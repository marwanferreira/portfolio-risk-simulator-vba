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marwanferreira/Desktop/CY Tech Courses/Ing 2 Marwan/S1/VBA/vba-project/portfolio-risk-simulator-vba/"/>
    </mc:Choice>
  </mc:AlternateContent>
  <xr:revisionPtr revIDLastSave="0" documentId="13_ncr:1_{FCE1D4E9-3F2C-8548-91A9-A1785C177204}" xr6:coauthVersionLast="47" xr6:coauthVersionMax="47" xr10:uidLastSave="{00000000-0000-0000-0000-000000000000}"/>
  <bookViews>
    <workbookView xWindow="2700" yWindow="1280" windowWidth="26100" windowHeight="15020" activeTab="2" xr2:uid="{D0E5A25D-CD70-8B4A-B46A-6E670015E848}"/>
  </bookViews>
  <sheets>
    <sheet name="Portfolio" sheetId="6" r:id="rId1"/>
    <sheet name="Market_Data" sheetId="2" r:id="rId2"/>
    <sheet name="Market_Returns" sheetId="8" r:id="rId3"/>
    <sheet name="Scenarios" sheetId="3" r:id="rId4"/>
    <sheet name="VaR_ES_Output" sheetId="4" r:id="rId5"/>
    <sheet name="Risk_Results" sheetId="7" r:id="rId6"/>
    <sheet name="Charts" sheetId="5" r:id="rId7"/>
    <sheet name="DEV_LOG" sheetId="1"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2" l="1" a="1"/>
  <c r="G2" i="2" s="1"/>
  <c r="G3" i="2" a="1"/>
  <c r="G3" i="2" s="1"/>
  <c r="G4" i="2" a="1"/>
  <c r="G4" i="2" s="1"/>
  <c r="G5" i="2" a="1"/>
  <c r="G5" i="2" s="1"/>
  <c r="G6" i="2" a="1"/>
  <c r="G6" i="2" s="1"/>
  <c r="G7" i="2" a="1"/>
  <c r="G7" i="2" s="1"/>
  <c r="G8" i="2" a="1"/>
  <c r="G8" i="2" s="1"/>
  <c r="G9" i="2" a="1"/>
  <c r="G9" i="2" s="1"/>
  <c r="G10" i="2" a="1"/>
  <c r="G10" i="2" s="1"/>
  <c r="G11" i="2" a="1"/>
  <c r="G11" i="2" s="1"/>
  <c r="G12" i="2" a="1"/>
  <c r="G12" i="2" s="1"/>
  <c r="G13" i="2" a="1"/>
  <c r="G13" i="2" s="1"/>
  <c r="G14" i="2" a="1"/>
  <c r="G14" i="2" s="1"/>
  <c r="D2" i="2" a="1"/>
  <c r="D2" i="2" s="1"/>
  <c r="D3" i="2" a="1"/>
  <c r="D3" i="2" s="1"/>
  <c r="D4" i="2" a="1"/>
  <c r="D4" i="2" s="1"/>
  <c r="D5" i="2" a="1"/>
  <c r="D5" i="2" s="1"/>
  <c r="D6" i="2" a="1"/>
  <c r="D6" i="2" s="1"/>
  <c r="D7" i="2" a="1"/>
  <c r="D7" i="2" s="1"/>
  <c r="D8" i="2" a="1"/>
  <c r="D8" i="2" s="1"/>
  <c r="D9" i="2" a="1"/>
  <c r="D9" i="2" s="1"/>
  <c r="D10" i="2" a="1"/>
  <c r="D10" i="2" s="1"/>
  <c r="D11" i="2" a="1"/>
  <c r="D11" i="2" s="1"/>
  <c r="D12" i="2" a="1"/>
  <c r="D12" i="2" s="1"/>
  <c r="D13" i="2" a="1"/>
  <c r="D13" i="2" s="1"/>
  <c r="D14" i="2" a="1"/>
  <c r="D14" i="2" s="1"/>
  <c r="C9" i="2" a="1"/>
  <c r="C9" i="2" s="1"/>
  <c r="C10" i="2" a="1"/>
  <c r="C10" i="2" s="1"/>
  <c r="C11" i="2" a="1"/>
  <c r="C11" i="2" s="1"/>
  <c r="C12" i="2" a="1"/>
  <c r="C12" i="2" s="1"/>
  <c r="C13" i="2" a="1"/>
  <c r="C13" i="2" s="1"/>
  <c r="C14" i="2" a="1"/>
  <c r="C14" i="2" s="1"/>
  <c r="B9" i="2" a="1"/>
  <c r="B9" i="2" s="1"/>
  <c r="B10" i="2" a="1"/>
  <c r="B10" i="2" s="1"/>
  <c r="B11" i="2" a="1"/>
  <c r="B11" i="2" s="1"/>
  <c r="B12" i="2" a="1"/>
  <c r="B12" i="2" s="1"/>
  <c r="B13" i="2" a="1"/>
  <c r="B13" i="2" s="1"/>
  <c r="B14" i="2" a="1"/>
  <c r="B14" i="2" s="1"/>
  <c r="C2" i="2" a="1"/>
  <c r="C2" i="2" s="1"/>
  <c r="C3" i="2" a="1"/>
  <c r="C3" i="2" s="1"/>
  <c r="C4" i="2" a="1"/>
  <c r="C4" i="2" s="1"/>
  <c r="C5" i="2" a="1"/>
  <c r="C5" i="2" s="1"/>
  <c r="C6" i="2" a="1"/>
  <c r="C6" i="2" s="1"/>
  <c r="C7" i="2" a="1"/>
  <c r="C7" i="2" s="1"/>
  <c r="C8" i="2" a="1"/>
  <c r="C8" i="2" s="1"/>
  <c r="B2" i="2" a="1"/>
  <c r="B2" i="2" s="1"/>
  <c r="B3" i="2" a="1"/>
  <c r="B3" i="2" s="1"/>
  <c r="B4" i="2" a="1"/>
  <c r="B4" i="2" s="1"/>
  <c r="B5" i="2" a="1"/>
  <c r="B5" i="2" s="1"/>
  <c r="B6" i="2" a="1"/>
  <c r="B6" i="2" s="1"/>
  <c r="B7" i="2" a="1"/>
  <c r="B7" i="2" s="1"/>
  <c r="B8" i="2" a="1"/>
  <c r="B8" i="2" s="1"/>
  <c r="F12" i="2" l="1"/>
  <c r="F2" i="2"/>
  <c r="F6" i="2"/>
  <c r="F13" i="2"/>
  <c r="F4" i="2"/>
  <c r="F7" i="2"/>
  <c r="F8" i="2"/>
  <c r="F5" i="2"/>
  <c r="F9" i="2"/>
  <c r="F14" i="2"/>
  <c r="F3" i="2"/>
  <c r="F11"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24FC066-E8B0-0B41-BDCE-5776D4F009DE}" name="Connection" type="4" refreshedVersion="0" background="1">
    <webPr url="https://stooq.com/q/d/l/?s=aapl.us&amp;i=d" htmlTables="1" htmlFormat="all"/>
  </connection>
  <connection id="2" xr16:uid="{3A139CEE-236D-AD4A-9E14-09665AF94A91}" name="Connection1" type="4" refreshedVersion="0" background="1">
    <webPr url="https://stooq.com/q/d/l/?s=nvda.us&amp;i=d" htmlTables="1" htmlFormat="all"/>
  </connection>
  <connection id="3" xr16:uid="{52672A1A-FE73-8342-BA86-CA2B93842076}" name="Connection10" type="4" refreshedVersion="0" background="1">
    <webPr url="https://query1.finance.yahoo.com/v7/finance/download/AAPL?period1=1695945600&amp;period2=1759104000&amp;interval=1d&amp;events=history" htmlTables="1" htmlFormat="all"/>
  </connection>
  <connection id="4" xr16:uid="{2CB92FB2-3BF6-BE46-81D9-B74E1844334A}" name="Connection2" type="4" refreshedVersion="0" background="1">
    <webPr url="https://stooq.com/q/d/l/?s=msft.us&amp;i=d" htmlTables="1" htmlFormat="all"/>
  </connection>
  <connection id="5" xr16:uid="{E35D9CD1-19C9-F947-B0DA-DAB4E7EE0688}" name="Connection3" type="4" refreshedVersion="0" background="1">
    <webPr url="https://stooq.com/q/d/l/?s=googl.us&amp;i=d" htmlTables="1" htmlFormat="all"/>
  </connection>
  <connection id="6" xr16:uid="{A6565DA8-DED9-B940-AA20-736373D58B89}" name="Connection4" type="4" refreshedVersion="0" background="1">
    <webPr url="https://stooq.com/q/d/l/?s=meta.us&amp;i=d" htmlTables="1" htmlFormat="all"/>
  </connection>
  <connection id="7" xr16:uid="{211D790B-AF98-1948-8F6E-19908619FAFF}" name="Connection5" type="4" refreshedVersion="0" background="1">
    <webPr url="https://stooq.com/q/d/l/?s=spy.us&amp;i=d" htmlTables="1" htmlFormat="all"/>
  </connection>
  <connection id="8" xr16:uid="{5CBC5803-EAF9-674F-885E-5098305CEBEB}" name="Connection6" type="4" refreshedVersion="0" background="1">
    <webPr url="https://stooq.com/q/d/l/?s=tlt.us&amp;i=d" htmlTables="1" htmlFormat="all"/>
  </connection>
  <connection id="9" xr16:uid="{2D93E06B-8951-6544-A249-5371C0562A47}" name="Connection7" type="4" refreshedVersion="0" background="1">
    <webPr url="https://stooq.com/q/d/l/?s=gld.us&amp;i=d" htmlTables="1" htmlFormat="all"/>
  </connection>
  <connection id="10" xr16:uid="{0E41F7F8-C597-D547-A73C-037F2CB602B2}" name="Connection8" type="4" refreshedVersion="0" background="1">
    <webPr url="https://stooq.com/q/d/l/?s=uso.us&amp;i=d" htmlTables="1" htmlFormat="all"/>
  </connection>
  <connection id="11" xr16:uid="{A394207E-4A35-BA41-9211-35BD662FF4D4}" name="Connection9" type="4" refreshedVersion="0" background="1">
    <webPr url="https://query1.finance.yahoo.com/v7/finance/download/AAPL?period1=1695945600&amp;period2=1759104000&amp;interval=1d&amp;events=history"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4"/>
        </ext>
      </extLst>
    </bk>
    <bk>
      <extLst>
        <ext uri="{3e2802c4-a4d2-4d8b-9148-e3be6c30e623}">
          <xlrd:rvb i="37"/>
        </ext>
      </extLst>
    </bk>
    <bk>
      <extLst>
        <ext uri="{3e2802c4-a4d2-4d8b-9148-e3be6c30e623}">
          <xlrd:rvb i="40"/>
        </ext>
      </extLst>
    </bk>
    <bk>
      <extLst>
        <ext uri="{3e2802c4-a4d2-4d8b-9148-e3be6c30e623}">
          <xlrd:rvb i="42"/>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<sst xmlns="http://schemas.openxmlformats.org/spreadsheetml/2006/main" count="91" uniqueCount="37">
  <si>
    <t>Asset Name</t>
  </si>
  <si>
    <t>Asset Type</t>
  </si>
  <si>
    <t>Exposure (€)</t>
  </si>
  <si>
    <t>Beta</t>
  </si>
  <si>
    <t>Equity</t>
  </si>
  <si>
    <t>Bond</t>
  </si>
  <si>
    <t>Shock</t>
  </si>
  <si>
    <t>Shock Unit (%, bps…)</t>
  </si>
  <si>
    <t>Timestamp</t>
  </si>
  <si>
    <t>Oil</t>
  </si>
  <si>
    <t>%</t>
  </si>
  <si>
    <t>Commodities</t>
  </si>
  <si>
    <t>Rates</t>
  </si>
  <si>
    <t>bps</t>
  </si>
  <si>
    <t>Asset</t>
  </si>
  <si>
    <t>Shock Applied</t>
  </si>
  <si>
    <t>PnL Impact (%)</t>
  </si>
  <si>
    <t>100</t>
  </si>
  <si>
    <t>Total Portfolio</t>
  </si>
  <si>
    <t>Ticker</t>
  </si>
  <si>
    <t>Price</t>
  </si>
  <si>
    <t>Market Cap</t>
  </si>
  <si>
    <t>FX</t>
  </si>
  <si>
    <t>MICROSOFT CORPORATION (XNAS:MSFT)</t>
  </si>
  <si>
    <t>12,5</t>
  </si>
  <si>
    <t>-15</t>
  </si>
  <si>
    <t>No data</t>
  </si>
  <si>
    <t>Bonds Powered Income USD</t>
  </si>
  <si>
    <t>ALPHABET INC. (XNAS:GOOGL)</t>
  </si>
  <si>
    <t>PnL Impact (€)</t>
  </si>
  <si>
    <t>12</t>
  </si>
  <si>
    <t>Asset (Ticker)</t>
  </si>
  <si>
    <t>VaR (95%) €</t>
  </si>
  <si>
    <t>Expected Shortfall (95%) €</t>
  </si>
  <si>
    <t>Previous close</t>
  </si>
  <si>
    <t>Returns</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</si>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</sst>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0\ [$€-407]"/>
    <numFmt numFmtId="166" formatCode="_([$$-409]* #,##0.00_);_([$$-409]* \(#,##0.00\);_([$$-409]* &quot;-&quot;??_);_(@_)"/>
    <numFmt numFmtId="167" formatCode="_([$$-409]* #,##0_);_([$$-409]* \(#,##0\);_([$$-409]* &quot;-&quot;_);_(@_)"/>
    <numFmt numFmtId="168" formatCode="_([$$-1009]* #,##0.00_);_([$$-1009]* \(#,##0.00\);_([$$-1009]* &quot;-&quot;??_);_(@_)"/>
    <numFmt numFmtId="171" formatCode="0.00000%"/>
  </numFmts>
  <fonts count="2" x14ac:knownFonts="1">
    <font>
      <sz val="12"/>
      <color theme="1"/>
      <name val="Aptos Narrow"/>
      <family val="2"/>
      <scheme val="minor"/>
    </font>
    <font>
      <b/>
      <sz val="12"/>
      <color theme="1"/>
      <name val="Aptos Narrow"/>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3">
    <xf numFmtId="0" fontId="0" fillId="0" borderId="0" xfId="0"/>
    <xf numFmtId="0" fontId="0" fillId="0" borderId="0" xfId="0" applyAlignment="1">
      <alignment horizontal="center"/>
    </xf>
    <xf numFmtId="22" fontId="0" fillId="0" borderId="0" xfId="0" applyNumberFormat="1" applyAlignment="1">
      <alignment horizontal="center"/>
    </xf>
    <xf numFmtId="0" fontId="1" fillId="0" borderId="0" xfId="0" applyFont="1" applyAlignment="1">
      <alignment horizontal="center"/>
    </xf>
    <xf numFmtId="0" fontId="1" fillId="0" borderId="0" xfId="0" applyFont="1"/>
    <xf numFmtId="165" fontId="0" fillId="0" borderId="0" xfId="0" applyNumberFormat="1"/>
    <xf numFmtId="165" fontId="1" fillId="0" borderId="0" xfId="0" applyNumberFormat="1" applyFont="1"/>
    <xf numFmtId="166" fontId="0" fillId="0" borderId="0" xfId="0" applyNumberFormat="1"/>
    <xf numFmtId="4" fontId="0" fillId="0" borderId="0" xfId="0" applyNumberFormat="1"/>
    <xf numFmtId="167" fontId="0" fillId="0" borderId="0" xfId="0" applyNumberFormat="1"/>
    <xf numFmtId="168" fontId="0" fillId="0" borderId="0" xfId="0" applyNumberFormat="1"/>
    <xf numFmtId="3" fontId="0" fillId="0" borderId="0" xfId="0" applyNumberFormat="1"/>
    <xf numFmtId="2" fontId="0" fillId="0" borderId="0" xfId="0" applyNumberFormat="1"/>
    <xf numFmtId="0" fontId="1" fillId="0" borderId="1" xfId="0" applyFont="1" applyFill="1" applyBorder="1" applyAlignment="1">
      <alignment horizontal="center"/>
    </xf>
    <xf numFmtId="0" fontId="0" fillId="0" borderId="1" xfId="0" applyFill="1" applyBorder="1"/>
    <xf numFmtId="49" fontId="0" fillId="0" borderId="1" xfId="0" applyNumberFormat="1" applyFill="1" applyBorder="1"/>
    <xf numFmtId="165" fontId="0" fillId="0" borderId="1" xfId="0" applyNumberFormat="1" applyFill="1" applyBorder="1"/>
    <xf numFmtId="164" fontId="0" fillId="0" borderId="1" xfId="0" applyNumberFormat="1" applyFill="1" applyBorder="1"/>
    <xf numFmtId="0" fontId="1" fillId="0" borderId="1" xfId="0" applyFont="1" applyFill="1" applyBorder="1"/>
    <xf numFmtId="165" fontId="1" fillId="0" borderId="1" xfId="0" applyNumberFormat="1" applyFont="1" applyFill="1" applyBorder="1"/>
    <xf numFmtId="164" fontId="1" fillId="0" borderId="1" xfId="0" applyNumberFormat="1" applyFont="1" applyFill="1" applyBorder="1"/>
    <xf numFmtId="171" fontId="0" fillId="0" borderId="0" xfId="0" applyNumberFormat="1"/>
    <xf numFmtId="14" fontId="0" fillId="0" borderId="0" xfId="0" applyNumberFormat="1"/>
  </cellXfs>
  <cellStyles count="1">
    <cellStyle name="Normal" xfId="0" builtinId="0"/>
  </cellStyles>
  <dxfs count="6">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connections" Target="connection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drawings/drawing1.xml><?xml version="1.0" encoding="utf-8"?>
<xdr:wsDr xmlns:xdr="http://schemas.openxmlformats.org/drawingml/2006/spreadsheetDrawing" xmlns:a="http://schemas.openxmlformats.org/drawingml/2006/main">
  <xdr:twoCellAnchor>
    <xdr:from>
      <xdr:col>7</xdr:col>
      <xdr:colOff>251460</xdr:colOff>
      <xdr:row>6</xdr:row>
      <xdr:rowOff>99060</xdr:rowOff>
    </xdr:from>
    <xdr:to>
      <xdr:col>8</xdr:col>
      <xdr:colOff>754380</xdr:colOff>
      <xdr:row>9</xdr:row>
      <xdr:rowOff>68580</xdr:rowOff>
    </xdr:to>
    <xdr:sp macro="[0]!OpenScenarioForm" textlink="">
      <xdr:nvSpPr>
        <xdr:cNvPr id="2" name="Rectangle: Rounded Corners 1">
          <a:extLst>
            <a:ext uri="{FF2B5EF4-FFF2-40B4-BE49-F238E27FC236}">
              <a16:creationId xmlns:a16="http://schemas.microsoft.com/office/drawing/2014/main" id="{50B9CCDA-5EC6-4029-922F-3EB5572D856A}"/>
            </a:ext>
          </a:extLst>
        </xdr:cNvPr>
        <xdr:cNvSpPr/>
      </xdr:nvSpPr>
      <xdr:spPr>
        <a:xfrm>
          <a:off x="7635240" y="1242060"/>
          <a:ext cx="1409700" cy="5410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Shock</a:t>
          </a:r>
          <a:endParaRPr lang="fr-FR" sz="1400" b="1"/>
        </a:p>
      </xdr:txBody>
    </xdr:sp>
    <xdr:clientData/>
  </xdr:twoCellAnchor>
  <xdr:twoCellAnchor>
    <xdr:from>
      <xdr:col>7</xdr:col>
      <xdr:colOff>243840</xdr:colOff>
      <xdr:row>11</xdr:row>
      <xdr:rowOff>7620</xdr:rowOff>
    </xdr:from>
    <xdr:to>
      <xdr:col>8</xdr:col>
      <xdr:colOff>784860</xdr:colOff>
      <xdr:row>14</xdr:row>
      <xdr:rowOff>15240</xdr:rowOff>
    </xdr:to>
    <xdr:sp macro="[0]!RunStressTest" textlink="">
      <xdr:nvSpPr>
        <xdr:cNvPr id="3" name="Rectangle: Rounded Corners 2">
          <a:extLst>
            <a:ext uri="{FF2B5EF4-FFF2-40B4-BE49-F238E27FC236}">
              <a16:creationId xmlns:a16="http://schemas.microsoft.com/office/drawing/2014/main" id="{02262FEA-C9EC-470B-B919-40AB4F89E176}"/>
            </a:ext>
          </a:extLst>
        </xdr:cNvPr>
        <xdr:cNvSpPr/>
      </xdr:nvSpPr>
      <xdr:spPr>
        <a:xfrm>
          <a:off x="7627620" y="2110740"/>
          <a:ext cx="1447800" cy="5791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Stress Test</a:t>
          </a:r>
        </a:p>
      </xdr:txBody>
    </xdr:sp>
    <xdr:clientData/>
  </xdr:twoCellAnchor>
  <xdr:twoCellAnchor>
    <xdr:from>
      <xdr:col>7</xdr:col>
      <xdr:colOff>101600</xdr:colOff>
      <xdr:row>15</xdr:row>
      <xdr:rowOff>111760</xdr:rowOff>
    </xdr:from>
    <xdr:to>
      <xdr:col>9</xdr:col>
      <xdr:colOff>0</xdr:colOff>
      <xdr:row>18</xdr:row>
      <xdr:rowOff>182880</xdr:rowOff>
    </xdr:to>
    <xdr:sp macro="[0]!OpenAddPortfolioForm" textlink="">
      <xdr:nvSpPr>
        <xdr:cNvPr id="4" name="Rectangle: Rounded Corners 3">
          <a:extLst>
            <a:ext uri="{FF2B5EF4-FFF2-40B4-BE49-F238E27FC236}">
              <a16:creationId xmlns:a16="http://schemas.microsoft.com/office/drawing/2014/main" id="{E2777AA1-E92A-466D-8006-A1DEC28C0B11}"/>
            </a:ext>
          </a:extLst>
        </xdr:cNvPr>
        <xdr:cNvSpPr/>
      </xdr:nvSpPr>
      <xdr:spPr>
        <a:xfrm>
          <a:off x="7477760" y="3017520"/>
          <a:ext cx="1706880" cy="6502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b="1"/>
            <a:t>Add</a:t>
          </a:r>
          <a:r>
            <a:rPr lang="fr-FR" sz="1400" b="1" baseline="0"/>
            <a:t> Portfolio</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43">
  <rv s="0">
    <v>https://www.bing.com/financeapi/forcetrigger?t=a1mou2&amp;q=XNAS%3aAAPL&amp;form=skydnc</v>
    <v>Learn more on Bing</v>
  </rv>
  <rv s="1">
    <v>0</v>
    <v>APPLE INC. (XNAS:AAPL)</v>
    <v>2</v>
    <v>3</v>
    <v>Finance</v>
    <v>4</v>
    <v>en-GB</v>
    <v>a1mou2</v>
    <v>268435456</v>
    <v>1</v>
    <v>Powered by Refinitiv</v>
    <v>260.10000000000002</v>
    <v>169.21010000000001</v>
    <v>1.0931</v>
    <v>0.2</v>
    <v>7.8609999999999997E-4</v>
    <v>-0.435</v>
    <v>-1.7080000000000001E-3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255.91900000000001</v>
    <v>Computers, Phones &amp; Household Electronics</v>
    <v>Stock</v>
    <v>45930.925351631253</v>
    <v>0</v>
    <v>253.11</v>
    <v>3778808505700</v>
    <v>APPLE INC.</v>
    <v>APPLE INC.</v>
    <v>254.85499999999999</v>
    <v>35.119900000000001</v>
    <v>254.43</v>
    <v>254.63</v>
    <v>254.19499999999999</v>
    <v>14840390000</v>
    <v>AAPL</v>
    <v>APPLE INC. (XNAS:AAPL)</v>
    <v>37666558</v>
    <v>56885723</v>
    <v>1977</v>
  </rv>
  <rv s="2">
    <v>1</v>
  </rv>
  <rv s="0">
    <v>https://www.bing.com/financeapi/forcetrigger?t=a1yv52&amp;q=XNAS%3aNVDA&amp;form=skydnc</v>
    <v>Learn more on Bing</v>
  </rv>
  <rv s="1">
    <v>0</v>
    <v>NVIDIA CORPORATION (XNAS:NVDA)</v>
    <v>2</v>
    <v>3</v>
    <v>Finance</v>
    <v>4</v>
    <v>en-GB</v>
    <v>a1yv52</v>
    <v>268435456</v>
    <v>1</v>
    <v>Powered by Refinitiv</v>
    <v>187.35</v>
    <v>86.62</v>
    <v>2.1213000000000002</v>
    <v>4.7249999999999996</v>
    <v>2.5982999999999999E-2</v>
    <v>-0.35</v>
    <v>-1.8759999999999998E-3</v>
    <v>USD</v>
    <v>NVIDIA Corporation is a full-stack computing infrastructure company. The Company is engaged in accelerated computing to help solve the challenging computational problems. The Company’s segments include Compute &amp; Networking and Graphics. The Compute &amp; Networking segment includes its Data Center accelerated computing platforms and artificial intelligence (AI) solutions and software; networking; automotive platforms and autonomous and electric vehicle solutions; Jetson for robotics and other embedded platforms, and DGX Cloud computing services. The Graphics segment includes GeForce GPUs for gaming and PCs, the GeForce NOW game streaming service and related infrastructure, and solutions for gaming platforms; Quadro/NVIDIA RTX GPUs for enterprise workstation graphics; virtual GPU software for cloud-based visual and virtual computing; automotive platforms for infotainment systems, and Omniverse Enterprise software for building and operating industrial AI and digital twin applications.</v>
    <v>36000</v>
    <v>Nasdaq Stock Market</v>
    <v>XNAS</v>
    <v>XNAS</v>
    <v>2788 San Tomas Expressway, SANTA CLARA, CA, 95051 US</v>
    <v>187.35</v>
    <v>Semiconductors &amp; Semiconductor Equipment</v>
    <v>Stock</v>
    <v>45930.925423784378</v>
    <v>3</v>
    <v>181.48</v>
    <v>4533772500000</v>
    <v>NVIDIA CORPORATION</v>
    <v>NVIDIA CORPORATION</v>
    <v>182.08</v>
    <v>53.1023</v>
    <v>181.85</v>
    <v>186.57499999999999</v>
    <v>186.23</v>
    <v>24300000000</v>
    <v>NVDA</v>
    <v>NVIDIA CORPORATION (XNAS:NVDA)</v>
    <v>236477702</v>
    <v>189831199</v>
    <v>1998</v>
  </rv>
  <rv s="2">
    <v>4</v>
  </rv>
  <rv s="0">
    <v>http://en.wikipedia.org/wiki/Public_domain</v>
    <v>Public domain</v>
  </rv>
  <rv s="0">
    <v>https://en.wikipedia.org/wiki/Microsoft</v>
    <v>Wikipedia</v>
  </rv>
  <rv s="3">
    <v>6</v>
    <v>7</v>
  </rv>
  <rv s="4">
    <v>9</v>
    <v>https://www.bing.com/th?id=AMMS_e6e837c7bf3a77408619758b7447855a&amp;qlt=95</v>
    <v>8</v>
    <v>0</v>
    <v>https://www.bing.com/images/search?form=xlimg&amp;q=microsoft</v>
    <v>Image of MICROSOFT CORPORATION</v>
  </rv>
  <rv s="0">
    <v>https://www.bing.com/financeapi/forcetrigger?t=a1xzim&amp;q=XNAS%3aMSFT&amp;form=skydnc</v>
    <v>Learn more on Bing</v>
  </rv>
  <rv s="5">
    <v>5</v>
    <v>MICROSOFT CORPORATION (XNAS:MSFT)</v>
    <v>7</v>
    <v>8</v>
    <v>Finance</v>
    <v>4</v>
    <v>en-GB</v>
    <v>a1xzim</v>
    <v>268435456</v>
    <v>1</v>
    <v>Powered by Refinitiv</v>
    <v>555.45000000000005</v>
    <v>344.79</v>
    <v>1.024</v>
    <v>3.35</v>
    <v>6.5100000000000002E-3</v>
    <v>-2.59</v>
    <v>-5.0000000000000001E-3</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518.16</v>
    <v>9</v>
    <v>Software &amp; IT Services</v>
    <v>Stock</v>
    <v>45930.925320092188</v>
    <v>10</v>
    <v>509.66</v>
    <v>3850008847650</v>
    <v>MICROSOFT CORPORATION</v>
    <v>MICROSOFT CORPORATION</v>
    <v>513.24</v>
    <v>37.724299999999999</v>
    <v>514.6</v>
    <v>517.95000000000005</v>
    <v>515.36</v>
    <v>7433167000</v>
    <v>MSFT</v>
    <v>MICROSOFT CORPORATION (XNAS:MSFT)</v>
    <v>19712383</v>
    <v>20521067</v>
    <v>1993</v>
  </rv>
  <rv s="2">
    <v>11</v>
  </rv>
  <rv s="0">
    <v>https://www.bing.com/financeapi/forcetrigger?t=a1slm7&amp;q=XNAS%3aMETA&amp;form=skydnc</v>
    <v>Learn more on Bing</v>
  </rv>
  <rv s="1">
    <v>0</v>
    <v>Meta Platforms, Inc. (XNAS:META)</v>
    <v>2</v>
    <v>3</v>
    <v>Finance</v>
    <v>4</v>
    <v>en-GB</v>
    <v>a1slm7</v>
    <v>268435456</v>
    <v>1</v>
    <v>Powered by Refinitiv</v>
    <v>796.25</v>
    <v>479.8</v>
    <v>1.2076</v>
    <v>-9.02</v>
    <v>-1.2133E-2</v>
    <v>-0.03</v>
    <v>-4.0850000000000004E-5</v>
    <v>USD</v>
    <v>Meta Platforms, Inc. is building human connections, powered by artificial intelligence and immersive technologies. The Company's products enable people to connect and share with friends and family through mobile devices, personal computers, virtual reality (VR) and mixed reality (MR) headsets, augmented reality (AR), and wearables. It also helps people discover and learn about what is going on in the world around them, enabling people to share their experiences, ideas, photos, videos, and other content with audiences ranging from their closest family members and friends to the public at large. The Company's segments include Family of Apps (FoA) and Reality Labs (RL). FoA segment includes Facebook, Instagram, Messenger, WhatsApp and Threads. RL segment includes its virtual, augmented, and mixed reality related consumer hardware, software and content. Its product offerings in VR include its Meta Quest devices, as well as software and content available through the Meta Horizon Store.</v>
    <v>75945</v>
    <v>Nasdaq Stock Market</v>
    <v>XNAS</v>
    <v>XNAS</v>
    <v>1 Meta Way, MENLO PARK, CA, 94025 US</v>
    <v>742.97</v>
    <v>Software &amp; IT Services</v>
    <v>Stock</v>
    <v>45930.925005635938</v>
    <v>13</v>
    <v>726.3</v>
    <v>1844866107580</v>
    <v>Meta Platforms, Inc.</v>
    <v>Meta Platforms, Inc.</v>
    <v>742.25</v>
    <v>26.689900000000002</v>
    <v>743.4</v>
    <v>734.38</v>
    <v>734.35</v>
    <v>2512141000</v>
    <v>META</v>
    <v>Meta Platforms, Inc. (XNAS:META)</v>
    <v>16207501</v>
    <v>10300696</v>
    <v>2004</v>
  </rv>
  <rv s="2">
    <v>14</v>
  </rv>
  <rv s="0">
    <v>https://www.bing.com/financeapi/forcetrigger?t=a1u3rw&amp;q=XNAS%3aGOOGL&amp;form=skydnc</v>
    <v>Learn more on Bing</v>
  </rv>
  <rv s="1">
    <v>0</v>
    <v>ALPHABET INC. (XNAS:GOOGL)</v>
    <v>2</v>
    <v>3</v>
    <v>Finance</v>
    <v>4</v>
    <v>en-GB</v>
    <v>a1u3rw</v>
    <v>268435456</v>
    <v>1</v>
    <v>Powered by Refinitiv</v>
    <v>256</v>
    <v>140.53</v>
    <v>0.998</v>
    <v>-0.95</v>
    <v>-3.8929999999999998E-3</v>
    <v>-0.1</v>
    <v>-4.1140000000000003E-4</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243.29</v>
    <v>Software &amp; IT Services</v>
    <v>Stock</v>
    <v>45930.924498460154</v>
    <v>16</v>
    <v>239.245</v>
    <v>2953224000000</v>
    <v>ALPHABET INC.</v>
    <v>ALPHABET INC.</v>
    <v>242.81</v>
    <v>25.988</v>
    <v>244.05</v>
    <v>243.1</v>
    <v>243</v>
    <v>12094000000</v>
    <v>GOOGL</v>
    <v>ALPHABET INC. (XNAS:GOOGL)</v>
    <v>34700446</v>
    <v>37928993</v>
    <v>2015</v>
  </rv>
  <rv s="2">
    <v>17</v>
  </rv>
  <rv s="0">
    <v>https://www.bing.com/financeapi/forcetrigger?t=a23hqh&amp;q=ARCX%3aSPY&amp;form=skydnc</v>
    <v>Learn more on Bing</v>
  </rv>
  <rv s="6">
    <v>10</v>
    <v>SPDR S&amp;P 500 (ARCX:SPY)</v>
    <v>11</v>
    <v>12</v>
    <v>Finance</v>
    <v>13</v>
    <v>en-GB</v>
    <v>a23hqh</v>
    <v>268435456</v>
    <v>1</v>
    <v>Powered by Refinitiv</v>
    <v>667.34</v>
    <v>481.8</v>
    <v>0.99850000000000005</v>
    <v>2.5249999999999999</v>
    <v>3.8050000000000002E-3</v>
    <v>-0.91</v>
    <v>-1.366E-3</v>
    <v>USD</v>
    <v>NYSE Arca</v>
    <v>ARCX</v>
    <v>9.4499999999999998E-4</v>
    <v>666.65</v>
    <v>ETF</v>
    <v>45930.92511394609</v>
    <v>19</v>
    <v>661.61</v>
    <v>654797681275.29004</v>
    <v>SPDR S&amp;P 500</v>
    <v>662.93</v>
    <v>663.68</v>
    <v>666.20500000000004</v>
    <v>665.27</v>
    <v>SPY</v>
    <v>SPDR S&amp;P 500 (ARCX:SPY)</v>
    <v>86114275</v>
    <v>70240998</v>
  </rv>
  <rv s="2">
    <v>20</v>
  </rv>
  <rv s="0">
    <v>https://www.bing.com/financeapi/forcetrigger?t=a24b5r&amp;q=XNAS%3aTLT&amp;form=skydnc</v>
    <v>Learn more on Bing</v>
  </rv>
  <rv s="6">
    <v>10</v>
    <v>iShares:20+ Trs Bd ETF (XNAS:TLT)</v>
    <v>11</v>
    <v>12</v>
    <v>Finance</v>
    <v>13</v>
    <v>en-GB</v>
    <v>a24b5r</v>
    <v>268435456</v>
    <v>1</v>
    <v>Powered by Refinitiv</v>
    <v>99.33</v>
    <v>83.295000000000002</v>
    <v>1.0716000000000001</v>
    <v>-0.26</v>
    <v>-2.9010000000000004E-3</v>
    <v>-0.08</v>
    <v>-8.9520000000000008E-4</v>
    <v>USD</v>
    <v>Nasdaq Stock Market</v>
    <v>XNAS</v>
    <v>1.5E-3</v>
    <v>90.04</v>
    <v>ETF</v>
    <v>45930.923941145309</v>
    <v>22</v>
    <v>89.21</v>
    <v>47464401523.18</v>
    <v>iShares:20+ Trs Bd ETF</v>
    <v>89.66</v>
    <v>89.63</v>
    <v>89.37</v>
    <v>89.29</v>
    <v>TLT</v>
    <v>iShares:20+ Trs Bd ETF (XNAS:TLT)</v>
    <v>38538830</v>
    <v>38176395</v>
  </rv>
  <rv s="2">
    <v>23</v>
  </rv>
  <rv s="0">
    <v>https://www.bing.com/financeapi/forcetrigger?t=a1twnm&amp;q=ARCX%3aGLD&amp;form=skydnc</v>
    <v>Learn more on Bing</v>
  </rv>
  <rv s="6">
    <v>10</v>
    <v>SPDR Gold (ARCX:GLD)</v>
    <v>11</v>
    <v>12</v>
    <v>Finance</v>
    <v>13</v>
    <v>en-GB</v>
    <v>a1twnm</v>
    <v>268435456</v>
    <v>1</v>
    <v>Powered by Refinitiv</v>
    <v>355.57</v>
    <v>236.1326</v>
    <v>0.81589999999999996</v>
    <v>2.97</v>
    <v>8.4259999999999995E-3</v>
    <v>-0.01</v>
    <v>-2.813E-5</v>
    <v>USD</v>
    <v>NYSE Arca</v>
    <v>ARCX</v>
    <v>4.0000000000000001E-3</v>
    <v>355.57</v>
    <v>ETF</v>
    <v>45930.925002696094</v>
    <v>25</v>
    <v>350.86500000000001</v>
    <v>82394162386.910004</v>
    <v>SPDR Gold</v>
    <v>351.13</v>
    <v>352.46</v>
    <v>355.43</v>
    <v>355.46</v>
    <v>GLD</v>
    <v>SPDR Gold (ARCX:GLD)</v>
    <v>13288267</v>
    <v>13198245</v>
  </rv>
  <rv s="2">
    <v>26</v>
  </rv>
  <rv s="7">
    <v>14</v>
    <v>EUR/USD</v>
    <v>15</v>
    <v>16</v>
    <v>Finance</v>
    <v>17</v>
    <v>en-GB</v>
    <v>av932w</v>
    <v>268435456</v>
    <v>1</v>
    <v>Powered by Refinitiv</v>
    <v>1.1918</v>
    <v>1.0176000000000001</v>
    <v>4.0000000000000002E-4</v>
    <v>3.4090000000000005E-4</v>
    <v>USD</v>
    <v>EUR</v>
    <v>1.1741999999999999</v>
    <v>Currency Pair</v>
    <v>45930.925428240742</v>
    <v>1.1734</v>
    <v>Euro/US Dollar FX Spot Rate</v>
    <v>1.1733</v>
    <v>1.1733</v>
    <v>1.1737</v>
    <v>EURUSD</v>
    <v>EUR/USD</v>
  </rv>
  <rv s="2">
    <v>28</v>
  </rv>
  <rv s="8">
    <v>12</v>
    <v>Beta</v>
    <v>0</v>
  </rv>
  <rv s="8">
    <v>12</v>
    <v>Market cap</v>
    <v>0</v>
  </rv>
  <rv s="0">
    <v>https://www.bing.com/financeapi/forcetrigger?t=a253hw&amp;q=ARCX%3aUSO&amp;form=skydnc</v>
    <v>Learn more on Bing</v>
  </rv>
  <rv s="6">
    <v>10</v>
    <v>United States Oil Fund (ARCX:USO)</v>
    <v>11</v>
    <v>12</v>
    <v>Finance</v>
    <v>18</v>
    <v>en-GB</v>
    <v>a253hw</v>
    <v>268435456</v>
    <v>1</v>
    <v>Powered by Refinitiv</v>
    <v>84.58</v>
    <v>60.67</v>
    <v>1.0226</v>
    <v>-0.84</v>
    <v>-1.1262000000000001E-2</v>
    <v>-0.05</v>
    <v>-6.78E-4</v>
    <v>USD</v>
    <v>NYSE Arca</v>
    <v>ARCX</v>
    <v>8.199999999999999E-3</v>
    <v>74.349999999999994</v>
    <v>ETF</v>
    <v>45930.914881631252</v>
    <v>32</v>
    <v>73.400000000000006</v>
    <v>982808980.90999997</v>
    <v>United States Oil Fund</v>
    <v>73.87</v>
    <v>74.59</v>
    <v>73.75</v>
    <v>73.7</v>
    <v>USO</v>
    <v>United States Oil Fund (ARCX:USO)</v>
    <v>7706668</v>
    <v>4583326</v>
  </rv>
  <rv s="2">
    <v>33</v>
  </rv>
  <rv s="0">
    <v>https://www.bing.com/financeapi/forcetrigger?t=a21mim&amp;q=XNAS%3aQQQ&amp;form=skydnc</v>
    <v>Learn more on Bing</v>
  </rv>
  <rv s="6">
    <v>10</v>
    <v>Invesco QQQ Trust 1 (XNAS:QQQ)</v>
    <v>11</v>
    <v>12</v>
    <v>Finance</v>
    <v>13</v>
    <v>en-GB</v>
    <v>a21mim</v>
    <v>268435456</v>
    <v>1</v>
    <v>Powered by Refinitiv</v>
    <v>602.87</v>
    <v>402.39</v>
    <v>1.0321</v>
    <v>1.64</v>
    <v>2.7389999999999997E-3</v>
    <v>-0.93010000000000004</v>
    <v>-1.549E-3</v>
    <v>USD</v>
    <v>Nasdaq Stock Market</v>
    <v>XNAS</v>
    <v>2E-3</v>
    <v>600.71</v>
    <v>ETF</v>
    <v>45930.925424062501</v>
    <v>35</v>
    <v>596.1</v>
    <v>365550355557.59003</v>
    <v>Invesco QQQ Trust 1</v>
    <v>598.42999999999995</v>
    <v>598.73</v>
    <v>600.37</v>
    <v>599.43989999999997</v>
    <v>QQQ</v>
    <v>Invesco QQQ Trust 1 (XNAS:QQQ)</v>
    <v>46408792</v>
    <v>51769252</v>
  </rv>
  <rv s="2">
    <v>36</v>
  </rv>
  <rv s="0">
    <v>https://www.bing.com/financeapi/forcetrigger?t=a1vbbh&amp;q=XNAS%3aIEF&amp;form=skydnc</v>
    <v>Learn more on Bing</v>
  </rv>
  <rv s="6">
    <v>10</v>
    <v>iShares:7-10 Trs Bd (XNAS:IEF)</v>
    <v>11</v>
    <v>12</v>
    <v>Finance</v>
    <v>13</v>
    <v>en-GB</v>
    <v>a1vbbh</v>
    <v>268435456</v>
    <v>1</v>
    <v>Powered by Refinitiv</v>
    <v>98.47</v>
    <v>91.08</v>
    <v>1.1922999999999999</v>
    <v>-0.04</v>
    <v>-4.1449999999999999E-4</v>
    <v>0.25</v>
    <v>2.5919999999999997E-3</v>
    <v>USD</v>
    <v>Nasdaq Stock Market</v>
    <v>XNAS</v>
    <v>1.5E-3</v>
    <v>96.76</v>
    <v>ETF</v>
    <v>45930.916540659375</v>
    <v>38</v>
    <v>96.420100000000005</v>
    <v>35770398943.690002</v>
    <v>iShares:7-10 Trs Bd</v>
    <v>96.58</v>
    <v>96.5</v>
    <v>96.46</v>
    <v>96.71</v>
    <v>IEF</v>
    <v>iShares:7-10 Trs Bd (XNAS:IEF)</v>
    <v>9255085</v>
    <v>8356821</v>
  </rv>
  <rv s="2">
    <v>39</v>
  </rv>
  <rv s="9">
    <v>19</v>
    <v>Bonds Powered Income USD</v>
    <v>20</v>
    <v>21</v>
    <v>Finance</v>
    <v>22</v>
    <v>en-GB</v>
    <v>caxasm</v>
    <v>268435456</v>
    <v>1</v>
    <v>Powered by Refinitiv</v>
    <v>0.14000000000000001</v>
    <v>2.101E-3</v>
    <v>KY</v>
    <v>USD</v>
    <v>Mutual Fund</v>
    <v>45929</v>
    <v>45930.837299154686</v>
    <v>Bonds Powered Income USD</v>
    <v>9912700</v>
    <v>66.62</v>
    <v>66.760000000000005</v>
    <v>0</v>
    <v>9.3939999999999996E-3</v>
    <v>-1.7656999999999999E-2</v>
    <v>3.2414999999999999E-2</v>
    <v>3.6177000000000001E-2</v>
    <v>0.11439199999999999</v>
    <v>0</v>
    <v>0.15679500000000002</v>
    <v>Bonds Powered Income USD</v>
  </rv>
  <rv s="2">
    <v>41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error">
    <k n="errorType" t="i"/>
    <k n="field" t="s"/>
    <k n="subType" t="i"/>
  </s>
  <s t="_linkedentitycore">
    <k n="_Display" t="spb"/>
    <k n="_DisplayString" t="s"/>
    <k n="_Flags" t="spb"/>
    <k n="_Format" t="spb"/>
    <k n="_Icon" t="s"/>
    <k n="_SubLabel" t="spb"/>
    <k n="%EntityCulture" t="s"/>
    <k n="%EntityId" t="s"/>
    <k n="%EntityServiceId"/>
    <k n="%IsRefreshable" t="b"/>
    <k n="%ProviderInfo" t="s"/>
    <k n="Change"/>
    <k n="Change (%)"/>
    <k n="Country/region" t="s"/>
    <k n="Currency" t="s"/>
    <k n="Instrument type" t="s"/>
    <k n="Last trade time"/>
    <k n="Last update time"/>
    <k n="Name" t="s"/>
    <k n="Net assets"/>
    <k n="Previous close"/>
    <k n="Price"/>
    <k n="Rating"/>
    <k n="Return (1m)"/>
    <k n="Return (1w)"/>
    <k n="Return (1y)"/>
    <k n="Return (3m)"/>
    <k n="Return (3y)"/>
    <k n="Return (5y)"/>
    <k n="Return (YTD)"/>
    <k n="UniqueName" t="s"/>
  </s>
</rvStructures>
</file>

<file path=xl/richData/rdsupportingpropertybag.xml><?xml version="1.0" encoding="utf-8"?>
<supportingPropertyBags xmlns="http://schemas.microsoft.com/office/spreadsheetml/2017/richdata2">
  <spbArrays count="5">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31">
      <v t="s">%EntityServiceId</v>
      <v t="s">_Format</v>
      <v t="s">%IsRefreshable</v>
      <v t="s">%EntityCulture</v>
      <v t="s">%EntityId</v>
      <v t="s">_Icon</v>
      <v t="s">_Display</v>
      <v t="s">Name</v>
      <v t="s">Price</v>
      <v t="s">Country/region</v>
      <v t="s">_SubLabel</v>
      <v t="s">Change</v>
      <v t="s">Change (%)</v>
      <v t="s">Rating</v>
      <v t="s">Previous close</v>
      <v t="s">Return (YTD)</v>
      <v t="s">Return (1w)</v>
      <v t="s">Return (1m)</v>
      <v t="s">Return (3m)</v>
      <v t="s">Return (1y)</v>
      <v t="s">Return (3y)</v>
      <v t="s">Return (5y)</v>
      <v t="s">Net assets</v>
      <v t="s">_Flags</v>
      <v t="s">Last update time</v>
      <v t="s">Last trade time</v>
      <v t="s">Instrument type</v>
      <v t="s">Currency</v>
      <v t="s">UniqueName</v>
      <v t="s">_DisplayString</v>
      <v t="s">%ProviderInfo</v>
    </a>
  </spbArrays>
  <spbData count="23">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0">
      <v>1</v>
      <v>Name</v>
      <v>LearnMoreOnLink</v>
    </spb>
    <spb s="5">
      <v>0</v>
      <v>0</v>
    </spb>
    <spb s="6">
      <v>6</v>
      <v>1</v>
      <v>1</v>
      <v>1</v>
      <v>1</v>
    </spb>
    <spb s="7">
      <v>1</v>
      <v>2</v>
      <v>2</v>
      <v>1</v>
      <v>3</v>
      <v>1</v>
      <v>10</v>
      <v>1</v>
      <v>1</v>
      <v>4</v>
      <v>4</v>
      <v>5</v>
      <v>6</v>
      <v>1</v>
      <v>1</v>
      <v>1</v>
      <v>4</v>
      <v>7</v>
      <v>8</v>
      <v>9</v>
      <v>4</v>
      <v>1</v>
      <v>1</v>
      <v>5</v>
    </spb>
    <spb s="8">
      <v>Powered by Refinitiv</v>
    </spb>
    <spb s="0">
      <v>2</v>
      <v>Name</v>
      <v>LearnMoreOnLink</v>
    </spb>
    <spb s="9">
      <v>1</v>
      <v>1</v>
      <v>1</v>
    </spb>
    <spb s="10">
      <v>1</v>
      <v>2</v>
      <v>1</v>
      <v>3</v>
      <v>1</v>
      <v>1</v>
      <v>1</v>
      <v>4</v>
      <v>5</v>
      <v>6</v>
      <v>1</v>
      <v>1</v>
      <v>5</v>
      <v>1</v>
      <v>4</v>
      <v>7</v>
      <v>9</v>
      <v>1</v>
      <v>1</v>
      <v>5</v>
    </spb>
    <spb s="11">
      <v>at close</v>
      <v>from previous close</v>
      <v>Source: Nasdaq Last Sale</v>
      <v>from previous close</v>
      <v>GMT</v>
      <v>Real-Time Nasdaq Last Sale</v>
      <v>from close</v>
      <v>from close</v>
    </spb>
    <spb s="12">
      <v>3</v>
      <v>Name</v>
    </spb>
    <spb s="13">
      <v>1</v>
      <v>1</v>
    </spb>
    <spb s="14">
      <v>1</v>
      <v>1</v>
      <v>3</v>
      <v>1</v>
      <v>1</v>
      <v>1</v>
      <v>5</v>
      <v>1</v>
      <v>1</v>
      <v>1</v>
      <v>7</v>
      <v>9</v>
    </spb>
    <spb s="15">
      <v>GMT</v>
    </spb>
    <spb s="11">
      <v>at close</v>
      <v>from previous close</v>
      <v>Source: Nasdaq</v>
      <v>from previous close</v>
      <v>GMT</v>
      <v>Delayed 15 minutes</v>
      <v>from close</v>
      <v>from close</v>
    </spb>
    <spb s="12">
      <v>4</v>
      <v>Name</v>
    </spb>
    <spb s="16">
      <v>1</v>
      <v>1</v>
      <v>1</v>
    </spb>
    <spb s="17">
      <v>3</v>
      <v>1</v>
      <v>1</v>
      <v>4</v>
      <v>5</v>
      <v>6</v>
      <v>5</v>
      <v>5</v>
      <v>5</v>
      <v>5</v>
      <v>5</v>
      <v>5</v>
      <v>5</v>
      <v>1</v>
      <v>11</v>
      <v>7</v>
      <v>9</v>
    </spb>
    <spb s="18">
      <v>from previous close</v>
      <v>from previous close</v>
      <v>GMT</v>
      <v>GMT</v>
    </spb>
  </spbData>
</supportingPropertyBags>
</file>

<file path=xl/richData/rdsupportingpropertybagstructure.xml><?xml version="1.0" encoding="utf-8"?>
<spbStructures xmlns="http://schemas.microsoft.com/office/spreadsheetml/2017/richdata2" count="1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UniqueName" t="spb"/>
    <k n="`%ProviderInfo" t="spb"/>
    <k n="LearnMoreOnLink" t="spb"/>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
    <k n="^Order" t="spba"/>
    <k n="TitleProperty" t="s"/>
  </s>
  <s>
    <k n="UniqueName" t="spb"/>
    <k n="`%ProviderInfo" t="spb"/>
  </s>
  <s>
    <k n="Low" t="i"/>
    <k n="High" t="i"/>
    <k n="Name" t="i"/>
    <k n="Open" t="i"/>
    <k n="Price" t="i"/>
    <k n="Change" t="i"/>
    <k n="Change (%)" t="i"/>
    <k n="52 week low" t="i"/>
    <k n="52 week high" t="i"/>
    <k n="Previous close" t="i"/>
    <k n="Last trade time" t="i"/>
    <k n="`%EntityServiceId" t="i"/>
  </s>
  <s>
    <k n="Last trade time" t="s"/>
  </s>
  <s>
    <k n="UniqueName" t="spb"/>
    <k n="`%ProviderInfo" t="spb"/>
    <k n="Last update time" t="spb"/>
  </s>
  <s>
    <k n="Name" t="i"/>
    <k n="Price" t="i"/>
    <k n="Change" t="i"/>
    <k n="Rating" t="i"/>
    <k n="Change (%)" t="i"/>
    <k n="Net assets" t="i"/>
    <k n="Return (1m)" t="i"/>
    <k n="Return (1w)" t="i"/>
    <k n="Return (1y)" t="i"/>
    <k n="Return (3m)" t="i"/>
    <k n="Return (3y)" t="i"/>
    <k n="Return (5y)" t="i"/>
    <k n="Return (YTD)" t="i"/>
    <k n="Previous close" t="i"/>
    <k n="Last trade time" t="i"/>
    <k n="Last update time" t="i"/>
    <k n="`%EntityServiceId" t="i"/>
  </s>
  <s>
    <k n="Change" t="s"/>
    <k n="Change (%)" t="s"/>
    <k n="Last trade time" t="s"/>
    <k n="Last updat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dd/mm/yyyy\ hh:mm"/>
    </x:dxf>
    <x:dxf>
      <x:numFmt numFmtId="14" formatCode="0.00%"/>
    </x:dxf>
    <x:dxf>
      <x:numFmt numFmtId="3" formatCode="#,##0"/>
    </x:dxf>
    <x:dxf>
      <x:numFmt numFmtId="4" formatCode="#,##0.00"/>
    </x:dxf>
    <x:dxf>
      <x:numFmt numFmtId="1" formatCode="0"/>
    </x:dxf>
    <x:dxf>
      <x:numFmt numFmtId="19" formatCode="dd/mm/yyyy"/>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0C13A-164C-A347-B11F-A8A4284F3EA3}">
  <sheetPr codeName="Sheet1"/>
  <dimension ref="A1:D8"/>
  <sheetViews>
    <sheetView zoomScale="142" workbookViewId="0">
      <selection activeCell="B14" sqref="B14"/>
    </sheetView>
  </sheetViews>
  <sheetFormatPr baseColWidth="10" defaultColWidth="10.83203125" defaultRowHeight="16" x14ac:dyDescent="0.2"/>
  <cols>
    <col min="1" max="1" width="29.5" customWidth="1"/>
    <col min="2" max="2" width="13.33203125" customWidth="1"/>
    <col min="3" max="3" width="14.6640625" customWidth="1"/>
    <col min="4" max="4" width="7.6640625" customWidth="1"/>
    <col min="6" max="6" width="14.5" customWidth="1"/>
  </cols>
  <sheetData>
    <row r="1" spans="1:4" s="4" customFormat="1" x14ac:dyDescent="0.2">
      <c r="A1" s="4" t="s">
        <v>0</v>
      </c>
      <c r="B1" s="4" t="s">
        <v>1</v>
      </c>
      <c r="C1" s="4" t="s">
        <v>2</v>
      </c>
      <c r="D1" s="4" t="s">
        <v>3</v>
      </c>
    </row>
    <row r="2" spans="1:4" x14ac:dyDescent="0.2">
      <c r="A2" t="s">
        <v>23</v>
      </c>
      <c r="B2" t="s">
        <v>4</v>
      </c>
      <c r="C2" s="11">
        <v>2000</v>
      </c>
      <c r="D2" s="12">
        <v>1.024</v>
      </c>
    </row>
    <row r="3" spans="1:4" x14ac:dyDescent="0.2">
      <c r="A3" t="s">
        <v>27</v>
      </c>
      <c r="B3" t="s">
        <v>5</v>
      </c>
      <c r="C3" s="11">
        <v>4000</v>
      </c>
      <c r="D3" s="12">
        <v>0</v>
      </c>
    </row>
    <row r="4" spans="1:4" x14ac:dyDescent="0.2">
      <c r="A4" t="s">
        <v>28</v>
      </c>
      <c r="B4" t="s">
        <v>4</v>
      </c>
      <c r="C4" s="11">
        <v>500</v>
      </c>
      <c r="D4" s="12">
        <v>0.998</v>
      </c>
    </row>
    <row r="5" spans="1:4" x14ac:dyDescent="0.2">
      <c r="C5" s="11"/>
      <c r="D5" s="12"/>
    </row>
    <row r="6" spans="1:4" x14ac:dyDescent="0.2">
      <c r="C6" s="11"/>
      <c r="D6" s="12"/>
    </row>
    <row r="7" spans="1:4" x14ac:dyDescent="0.2">
      <c r="C7" s="11"/>
      <c r="D7" s="12"/>
    </row>
    <row r="8" spans="1:4" x14ac:dyDescent="0.2">
      <c r="C8" s="11"/>
      <c r="D8" s="1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82E0A4-893F-384A-9C66-3EB670858756}">
  <sheetPr codeName="Sheet2"/>
  <dimension ref="A1:G15"/>
  <sheetViews>
    <sheetView workbookViewId="0">
      <selection activeCell="B17" sqref="B17"/>
    </sheetView>
  </sheetViews>
  <sheetFormatPr baseColWidth="10" defaultColWidth="10.83203125" defaultRowHeight="16" x14ac:dyDescent="0.2"/>
  <cols>
    <col min="1" max="1" width="37.83203125" customWidth="1"/>
    <col min="2" max="2" width="16.83203125" customWidth="1"/>
    <col min="4" max="4" width="22.1640625" customWidth="1"/>
    <col min="5" max="5" width="13.1640625" customWidth="1"/>
    <col min="6" max="7" width="12.6640625" customWidth="1"/>
  </cols>
  <sheetData>
    <row r="1" spans="1:7" x14ac:dyDescent="0.2">
      <c r="A1" t="s">
        <v>19</v>
      </c>
      <c r="B1" t="s">
        <v>20</v>
      </c>
      <c r="C1" t="s">
        <v>3</v>
      </c>
      <c r="D1" t="s">
        <v>21</v>
      </c>
      <c r="E1" t="s">
        <v>1</v>
      </c>
      <c r="F1" t="s">
        <v>35</v>
      </c>
      <c r="G1" t="s">
        <v>34</v>
      </c>
    </row>
    <row r="2" spans="1:7" x14ac:dyDescent="0.2">
      <c r="A2" t="e" vm="1">
        <v>#VALUE!</v>
      </c>
      <c r="B2" s="7" cm="1">
        <f t="array" aca="1" ref="B2" ca="1">_FV(A2,"Price")</f>
        <v>254.63</v>
      </c>
      <c r="C2" s="8" cm="1">
        <f t="array" aca="1" ref="C2" ca="1">_FV(A2,"Beta")</f>
        <v>1.0931</v>
      </c>
      <c r="D2" s="9" cm="1">
        <f t="array" aca="1" ref="D2" ca="1">_FV(A2,"Market cap",TRUE)</f>
        <v>3778808505700</v>
      </c>
      <c r="E2" s="7" t="s">
        <v>4</v>
      </c>
      <c r="F2" s="21">
        <f ca="1">(B2/G2)/G2</f>
        <v>3.9334436616160883E-3</v>
      </c>
      <c r="G2" s="7" cm="1">
        <f t="array" aca="1" ref="G2" ca="1">_FV(A2,"Previous close",TRUE)</f>
        <v>254.43</v>
      </c>
    </row>
    <row r="3" spans="1:7" x14ac:dyDescent="0.2">
      <c r="A3" t="e" vm="2">
        <v>#VALUE!</v>
      </c>
      <c r="B3" s="7" cm="1">
        <f t="array" aca="1" ref="B3" ca="1">_FV(A3,"Price")</f>
        <v>186.57499999999999</v>
      </c>
      <c r="C3" s="8" cm="1">
        <f t="array" aca="1" ref="C3" ca="1">_FV(A3,"Beta")</f>
        <v>2.1213000000000002</v>
      </c>
      <c r="D3" s="9" cm="1">
        <f t="array" aca="1" ref="D3" ca="1">_FV(A3,"Market cap",TRUE)</f>
        <v>4533772500000</v>
      </c>
      <c r="E3" s="7" t="s">
        <v>4</v>
      </c>
      <c r="F3" s="21">
        <f t="shared" ref="F3:F14" ca="1" si="0">(B3/G3)/G3</f>
        <v>5.6419189055992736E-3</v>
      </c>
      <c r="G3" s="7" cm="1">
        <f t="array" aca="1" ref="G3" ca="1">_FV(A3,"Previous close",TRUE)</f>
        <v>181.85</v>
      </c>
    </row>
    <row r="4" spans="1:7" x14ac:dyDescent="0.2">
      <c r="A4" t="e" vm="3">
        <v>#VALUE!</v>
      </c>
      <c r="B4" s="7" cm="1">
        <f t="array" aca="1" ref="B4" ca="1">_FV(A4,"Price")</f>
        <v>517.95000000000005</v>
      </c>
      <c r="C4" s="8" cm="1">
        <f t="array" aca="1" ref="C4" ca="1">_FV(A4,"Beta")</f>
        <v>1.024</v>
      </c>
      <c r="D4" s="9" cm="1">
        <f t="array" aca="1" ref="D4" ca="1">_FV(A4,"Market cap",TRUE)</f>
        <v>3850008847650</v>
      </c>
      <c r="E4" s="7" t="s">
        <v>4</v>
      </c>
      <c r="F4" s="21">
        <f t="shared" ca="1" si="0"/>
        <v>1.9559073272642493E-3</v>
      </c>
      <c r="G4" s="7" cm="1">
        <f t="array" aca="1" ref="G4" ca="1">_FV(A4,"Previous close",TRUE)</f>
        <v>514.6</v>
      </c>
    </row>
    <row r="5" spans="1:7" x14ac:dyDescent="0.2">
      <c r="A5" t="e" vm="4">
        <v>#VALUE!</v>
      </c>
      <c r="B5" s="7" cm="1">
        <f t="array" aca="1" ref="B5" ca="1">_FV(A5,"Price")</f>
        <v>734.38</v>
      </c>
      <c r="C5" s="8" cm="1">
        <f t="array" aca="1" ref="C5" ca="1">_FV(A5,"Beta")</f>
        <v>1.2076</v>
      </c>
      <c r="D5" s="9" cm="1">
        <f t="array" aca="1" ref="D5" ca="1">_FV(A5,"Market cap",TRUE)</f>
        <v>1844866107580</v>
      </c>
      <c r="E5" s="7" t="s">
        <v>4</v>
      </c>
      <c r="F5" s="21">
        <f t="shared" ca="1" si="0"/>
        <v>1.3288492857855794E-3</v>
      </c>
      <c r="G5" s="7" cm="1">
        <f t="array" aca="1" ref="G5" ca="1">_FV(A5,"Previous close",TRUE)</f>
        <v>743.4</v>
      </c>
    </row>
    <row r="6" spans="1:7" x14ac:dyDescent="0.2">
      <c r="A6" t="e" vm="5">
        <v>#VALUE!</v>
      </c>
      <c r="B6" s="7" cm="1">
        <f t="array" aca="1" ref="B6" ca="1">_FV(A6,"Price")</f>
        <v>243.1</v>
      </c>
      <c r="C6" s="8" cm="1">
        <f t="array" aca="1" ref="C6" ca="1">_FV(A6,"Beta")</f>
        <v>0.998</v>
      </c>
      <c r="D6" s="9" cm="1">
        <f t="array" aca="1" ref="D6" ca="1">_FV(A6,"Market cap",TRUE)</f>
        <v>2953224000000</v>
      </c>
      <c r="E6" s="7" t="s">
        <v>4</v>
      </c>
      <c r="F6" s="21">
        <f t="shared" ca="1" si="0"/>
        <v>4.0815708053685493E-3</v>
      </c>
      <c r="G6" s="7" cm="1">
        <f t="array" aca="1" ref="G6" ca="1">_FV(A6,"Previous close",TRUE)</f>
        <v>244.05</v>
      </c>
    </row>
    <row r="7" spans="1:7" x14ac:dyDescent="0.2">
      <c r="A7" t="e" vm="6">
        <v>#VALUE!</v>
      </c>
      <c r="B7" s="7" cm="1">
        <f t="array" aca="1" ref="B7" ca="1">_FV(A7,"Price")</f>
        <v>666.20500000000004</v>
      </c>
      <c r="C7" s="8" cm="1">
        <f t="array" aca="1" ref="C7" ca="1">_FV(A7,"Beta")</f>
        <v>0.99850000000000005</v>
      </c>
      <c r="D7" s="9" cm="1">
        <f t="array" aca="1" ref="D7" ca="1">_FV(A7,"Market cap",TRUE)</f>
        <v>654797681275.29004</v>
      </c>
      <c r="E7" s="7" t="s">
        <v>4</v>
      </c>
      <c r="F7" s="21">
        <f t="shared" ca="1" si="0"/>
        <v>1.5124827392097504E-3</v>
      </c>
      <c r="G7" s="7" cm="1">
        <f t="array" aca="1" ref="G7" ca="1">_FV(A7,"Previous close",TRUE)</f>
        <v>663.68</v>
      </c>
    </row>
    <row r="8" spans="1:7" x14ac:dyDescent="0.2">
      <c r="A8" t="e" vm="7">
        <v>#VALUE!</v>
      </c>
      <c r="B8" s="7" cm="1">
        <f t="array" aca="1" ref="B8" ca="1">_FV(A8,"Price")</f>
        <v>89.37</v>
      </c>
      <c r="C8" s="8" cm="1">
        <f t="array" aca="1" ref="C8" ca="1">_FV(A8,"Beta")</f>
        <v>1.0716000000000001</v>
      </c>
      <c r="D8" s="9" cm="1">
        <f t="array" aca="1" ref="D8" ca="1">_FV(A8,"Market cap",TRUE)</f>
        <v>47464401523.18</v>
      </c>
      <c r="E8" s="7" t="s">
        <v>5</v>
      </c>
      <c r="F8" s="21">
        <f t="shared" ca="1" si="0"/>
        <v>1.1124614365062544E-2</v>
      </c>
      <c r="G8" s="7" cm="1">
        <f t="array" aca="1" ref="G8" ca="1">_FV(A8,"Previous close",TRUE)</f>
        <v>89.63</v>
      </c>
    </row>
    <row r="9" spans="1:7" x14ac:dyDescent="0.2">
      <c r="A9" t="e" vm="8">
        <v>#VALUE!</v>
      </c>
      <c r="B9" s="7" cm="1">
        <f t="array" aca="1" ref="B9" ca="1">_FV(A9,"Price")</f>
        <v>355.43</v>
      </c>
      <c r="C9" s="8" cm="1">
        <f t="array" aca="1" ref="C9" ca="1">_FV(A9,"Beta")</f>
        <v>0.81589999999999996</v>
      </c>
      <c r="D9" s="7" cm="1">
        <f t="array" aca="1" ref="D9" ca="1">_FV(A9,"Market cap",TRUE)</f>
        <v>82394162386.910004</v>
      </c>
      <c r="E9" s="7" t="s">
        <v>11</v>
      </c>
      <c r="F9" s="21">
        <f t="shared" ca="1" si="0"/>
        <v>2.8611090282929306E-3</v>
      </c>
      <c r="G9" s="7" cm="1">
        <f t="array" aca="1" ref="G9" ca="1">_FV(A9,"Previous close",TRUE)</f>
        <v>352.46</v>
      </c>
    </row>
    <row r="10" spans="1:7" x14ac:dyDescent="0.2">
      <c r="A10" t="e" vm="9">
        <v>#VALUE!</v>
      </c>
      <c r="B10" s="7" cm="1">
        <f t="array" aca="1" ref="B10" ca="1">_FV(A10,"Price")</f>
        <v>1.1737</v>
      </c>
      <c r="C10" t="e" cm="1" vm="10">
        <f t="array" ref="C10">_FV(A10,"Beta")</f>
        <v>#VALUE!</v>
      </c>
      <c r="D10" s="7" t="e" cm="1" vm="11">
        <f t="array" ref="D10">_FV(A10,"Market cap",TRUE)</f>
        <v>#VALUE!</v>
      </c>
      <c r="E10" s="7" t="s">
        <v>22</v>
      </c>
      <c r="F10" s="21">
        <v>0</v>
      </c>
      <c r="G10" s="7" cm="1">
        <f t="array" aca="1" ref="G10" ca="1">_FV(A10,"Previous close",TRUE)</f>
        <v>1.1733</v>
      </c>
    </row>
    <row r="11" spans="1:7" x14ac:dyDescent="0.2">
      <c r="A11" t="e" vm="12">
        <v>#VALUE!</v>
      </c>
      <c r="B11" s="7" cm="1">
        <f t="array" aca="1" ref="B11" ca="1">_FV(A11,"Price")</f>
        <v>73.75</v>
      </c>
      <c r="C11" s="8" cm="1">
        <f t="array" aca="1" ref="C11" ca="1">_FV(A11,"Beta")</f>
        <v>1.0226</v>
      </c>
      <c r="D11" s="7" cm="1">
        <f t="array" aca="1" ref="D11" ca="1">_FV(A11,"Market cap",TRUE)</f>
        <v>982808980.90999997</v>
      </c>
      <c r="E11" s="7" t="s">
        <v>9</v>
      </c>
      <c r="F11" s="21">
        <f t="shared" ca="1" si="0"/>
        <v>1.3255643340766498E-2</v>
      </c>
      <c r="G11" s="7" cm="1">
        <f t="array" aca="1" ref="G11" ca="1">_FV(A11,"Previous close",TRUE)</f>
        <v>74.59</v>
      </c>
    </row>
    <row r="12" spans="1:7" x14ac:dyDescent="0.2">
      <c r="A12" t="e" vm="13">
        <v>#VALUE!</v>
      </c>
      <c r="B12" s="10" cm="1">
        <f t="array" aca="1" ref="B12" ca="1">_FV(A12,"Price")</f>
        <v>600.37</v>
      </c>
      <c r="C12" cm="1">
        <f t="array" aca="1" ref="C12" ca="1">_FV(A12,"Beta")</f>
        <v>1.0321</v>
      </c>
      <c r="D12" s="10" cm="1">
        <f t="array" aca="1" ref="D12" ca="1">_FV(A12,"Market cap",TRUE)</f>
        <v>365550355557.59003</v>
      </c>
      <c r="E12" s="7" t="s">
        <v>4</v>
      </c>
      <c r="F12" s="21">
        <f t="shared" ca="1" si="0"/>
        <v>1.6747768295574921E-3</v>
      </c>
      <c r="G12" s="7" cm="1">
        <f t="array" aca="1" ref="G12" ca="1">_FV(A12,"Previous close",TRUE)</f>
        <v>598.73</v>
      </c>
    </row>
    <row r="13" spans="1:7" x14ac:dyDescent="0.2">
      <c r="A13" t="e" vm="14">
        <v>#VALUE!</v>
      </c>
      <c r="B13" s="7" cm="1">
        <f t="array" aca="1" ref="B13" ca="1">_FV(A13,"Price")</f>
        <v>96.46</v>
      </c>
      <c r="C13" s="8" cm="1">
        <f t="array" aca="1" ref="C13" ca="1">_FV(A13,"Beta")</f>
        <v>1.1922999999999999</v>
      </c>
      <c r="D13" s="7" cm="1">
        <f t="array" aca="1" ref="D13" ca="1">_FV(A13,"Market cap",TRUE)</f>
        <v>35770398943.690002</v>
      </c>
      <c r="E13" t="s">
        <v>5</v>
      </c>
      <c r="F13" s="21">
        <f t="shared" ca="1" si="0"/>
        <v>1.0358398883191495E-2</v>
      </c>
      <c r="G13" s="7" cm="1">
        <f t="array" aca="1" ref="G13" ca="1">_FV(A13,"Previous close",TRUE)</f>
        <v>96.5</v>
      </c>
    </row>
    <row r="14" spans="1:7" x14ac:dyDescent="0.2">
      <c r="A14" t="e" vm="15">
        <v>#VALUE!</v>
      </c>
      <c r="B14" s="7" cm="1">
        <f t="array" aca="1" ref="B14" ca="1">_FV(A14,"Price")</f>
        <v>66.760000000000005</v>
      </c>
      <c r="C14" t="e" cm="1" vm="10">
        <f t="array" ref="C14">_FV(A14,"Beta")</f>
        <v>#VALUE!</v>
      </c>
      <c r="D14" s="7" t="e" cm="1" vm="11">
        <f t="array" ref="D14">_FV(A14,"Market cap",TRUE)</f>
        <v>#VALUE!</v>
      </c>
      <c r="E14" t="s">
        <v>5</v>
      </c>
      <c r="F14" s="21">
        <f t="shared" ca="1" si="0"/>
        <v>1.504205150149686E-2</v>
      </c>
      <c r="G14" s="7" cm="1">
        <f t="array" aca="1" ref="G14" ca="1">_FV(A14,"Previous close",TRUE)</f>
        <v>66.62</v>
      </c>
    </row>
    <row r="15" spans="1:7" x14ac:dyDescent="0.2">
      <c r="B15" s="7"/>
      <c r="C15" s="8"/>
      <c r="D15" s="7"/>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C20D-7713-894E-84C0-188553350CA5}">
  <sheetPr codeName="Sheet8"/>
  <dimension ref="A1:K2"/>
  <sheetViews>
    <sheetView tabSelected="1" workbookViewId="0">
      <selection activeCell="B2" sqref="B2"/>
    </sheetView>
  </sheetViews>
  <sheetFormatPr baseColWidth="10" defaultRowHeight="16" x14ac:dyDescent="0.2"/>
  <cols>
    <col min="11" max="11" width="27.5" customWidth="1"/>
  </cols>
  <sheetData>
    <row r="1" spans="1:11" x14ac:dyDescent="0.2">
      <c r="A1" t="s">
        <v>36</v>
      </c>
      <c r="B1" t="e" vm="1">
        <v>#VALUE!</v>
      </c>
      <c r="C1" t="e" vm="2">
        <v>#VALUE!</v>
      </c>
      <c r="D1" t="e" vm="3">
        <v>#VALUE!</v>
      </c>
      <c r="E1" t="e" vm="4">
        <v>#VALUE!</v>
      </c>
      <c r="F1" t="e" vm="5">
        <v>#VALUE!</v>
      </c>
      <c r="G1" t="e" vm="6">
        <v>#VALUE!</v>
      </c>
      <c r="H1" t="e" vm="7">
        <v>#VALUE!</v>
      </c>
      <c r="I1" t="e" vm="8">
        <v>#VALUE!</v>
      </c>
      <c r="J1" t="e" vm="12">
        <v>#VALUE!</v>
      </c>
      <c r="K1" t="e" vm="14">
        <v>#VALUE!</v>
      </c>
    </row>
    <row r="2" spans="1:11" x14ac:dyDescent="0.2">
      <c r="A2" s="22">
        <v>45929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14585-BA88-AD4B-9CE2-0A3A334AB860}">
  <sheetPr codeName="Sheet3"/>
  <dimension ref="A1:D9"/>
  <sheetViews>
    <sheetView workbookViewId="0">
      <selection activeCell="D24" sqref="D24"/>
    </sheetView>
  </sheetViews>
  <sheetFormatPr baseColWidth="10" defaultColWidth="10.83203125" defaultRowHeight="16" x14ac:dyDescent="0.2"/>
  <cols>
    <col min="1" max="2" width="10.83203125" style="1"/>
    <col min="3" max="3" width="21.5" style="1" customWidth="1"/>
    <col min="4" max="4" width="20.83203125" style="1" customWidth="1"/>
    <col min="5" max="16384" width="10.83203125" style="1"/>
  </cols>
  <sheetData>
    <row r="1" spans="1:4" x14ac:dyDescent="0.2">
      <c r="A1" s="3" t="s">
        <v>1</v>
      </c>
      <c r="B1" s="3" t="s">
        <v>6</v>
      </c>
      <c r="C1" s="3" t="s">
        <v>7</v>
      </c>
      <c r="D1" s="3" t="s">
        <v>8</v>
      </c>
    </row>
    <row r="2" spans="1:4" x14ac:dyDescent="0.2">
      <c r="A2" s="1" t="s">
        <v>4</v>
      </c>
      <c r="B2" s="1">
        <v>12.5</v>
      </c>
      <c r="C2" s="1" t="s">
        <v>10</v>
      </c>
      <c r="D2" s="2">
        <v>45929.626423611109</v>
      </c>
    </row>
    <row r="3" spans="1:4" x14ac:dyDescent="0.2">
      <c r="A3" s="1" t="s">
        <v>9</v>
      </c>
      <c r="B3" s="1">
        <v>15</v>
      </c>
      <c r="C3" s="1" t="s">
        <v>10</v>
      </c>
      <c r="D3" s="2">
        <v>45929.626423611109</v>
      </c>
    </row>
    <row r="4" spans="1:4" x14ac:dyDescent="0.2">
      <c r="A4" s="1" t="s">
        <v>11</v>
      </c>
      <c r="B4" s="1">
        <v>8.98</v>
      </c>
      <c r="C4" s="1" t="s">
        <v>10</v>
      </c>
      <c r="D4" s="2">
        <v>45929.629166666666</v>
      </c>
    </row>
    <row r="5" spans="1:4" x14ac:dyDescent="0.2">
      <c r="A5" s="1" t="s">
        <v>12</v>
      </c>
      <c r="B5" s="1">
        <v>12</v>
      </c>
      <c r="C5" s="1" t="s">
        <v>13</v>
      </c>
      <c r="D5" s="2">
        <v>45929.636111111111</v>
      </c>
    </row>
    <row r="6" spans="1:4" x14ac:dyDescent="0.2">
      <c r="A6" s="1" t="s">
        <v>5</v>
      </c>
      <c r="B6" s="1">
        <v>100</v>
      </c>
      <c r="C6" s="1" t="s">
        <v>13</v>
      </c>
      <c r="D6" s="2">
        <v>45929.890868055554</v>
      </c>
    </row>
    <row r="7" spans="1:4" x14ac:dyDescent="0.2">
      <c r="A7" s="1" t="s">
        <v>12</v>
      </c>
      <c r="B7" s="1">
        <v>71</v>
      </c>
      <c r="C7" s="1" t="s">
        <v>13</v>
      </c>
      <c r="D7" s="2">
        <v>45930.82236111111</v>
      </c>
    </row>
    <row r="8" spans="1:4" x14ac:dyDescent="0.2">
      <c r="A8" s="1" t="s">
        <v>4</v>
      </c>
      <c r="B8" s="1">
        <v>-15</v>
      </c>
      <c r="C8" s="1" t="s">
        <v>10</v>
      </c>
      <c r="D8" s="2">
        <v>45930.822766203702</v>
      </c>
    </row>
    <row r="9" spans="1:4" x14ac:dyDescent="0.2">
      <c r="A9" s="1" t="s">
        <v>5</v>
      </c>
      <c r="B9" s="1">
        <v>12</v>
      </c>
      <c r="C9" s="1" t="s">
        <v>13</v>
      </c>
      <c r="D9" s="2">
        <v>45930.973425925928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3D7EC0-4896-4341-817F-C03451AC577F}">
  <sheetPr codeName="Sheet4"/>
  <dimension ref="A1:H8"/>
  <sheetViews>
    <sheetView zoomScale="150" workbookViewId="0">
      <selection activeCell="D12" sqref="D12"/>
    </sheetView>
  </sheetViews>
  <sheetFormatPr baseColWidth="10" defaultColWidth="10.83203125" defaultRowHeight="16" x14ac:dyDescent="0.2"/>
  <cols>
    <col min="1" max="1" width="35.33203125" bestFit="1" customWidth="1"/>
    <col min="2" max="2" width="10" bestFit="1" customWidth="1"/>
    <col min="3" max="4" width="13" bestFit="1" customWidth="1"/>
    <col min="5" max="5" width="13.6640625" bestFit="1" customWidth="1"/>
    <col min="6" max="6" width="9.6640625" bestFit="1" customWidth="1"/>
    <col min="7" max="7" width="21.5" bestFit="1" customWidth="1"/>
    <col min="8" max="8" width="2.1640625" bestFit="1" customWidth="1"/>
  </cols>
  <sheetData>
    <row r="1" spans="1:8" s="4" customFormat="1" x14ac:dyDescent="0.2">
      <c r="A1" s="13" t="s">
        <v>14</v>
      </c>
      <c r="B1" s="13" t="s">
        <v>1</v>
      </c>
      <c r="C1" s="13" t="s">
        <v>15</v>
      </c>
      <c r="D1" s="13" t="s">
        <v>29</v>
      </c>
      <c r="E1" s="13" t="s">
        <v>16</v>
      </c>
      <c r="H1" s="6"/>
    </row>
    <row r="2" spans="1:8" x14ac:dyDescent="0.2">
      <c r="A2" s="14" t="s">
        <v>23</v>
      </c>
      <c r="B2" s="14" t="s">
        <v>4</v>
      </c>
      <c r="C2" s="15" t="s">
        <v>24</v>
      </c>
      <c r="D2" s="16">
        <v>250</v>
      </c>
      <c r="E2" s="17">
        <v>12.5</v>
      </c>
      <c r="G2" s="4"/>
      <c r="H2" s="5"/>
    </row>
    <row r="3" spans="1:8" x14ac:dyDescent="0.2">
      <c r="A3" s="14" t="s">
        <v>23</v>
      </c>
      <c r="B3" s="14" t="s">
        <v>4</v>
      </c>
      <c r="C3" s="15" t="s">
        <v>25</v>
      </c>
      <c r="D3" s="16">
        <v>-300</v>
      </c>
      <c r="E3" s="17">
        <v>-15</v>
      </c>
      <c r="G3" s="4"/>
      <c r="H3" s="5"/>
    </row>
    <row r="4" spans="1:8" s="4" customFormat="1" x14ac:dyDescent="0.2">
      <c r="A4" s="18" t="s">
        <v>27</v>
      </c>
      <c r="B4" s="18" t="s">
        <v>5</v>
      </c>
      <c r="C4" s="15" t="s">
        <v>17</v>
      </c>
      <c r="D4" s="19">
        <v>4000</v>
      </c>
      <c r="E4" s="20">
        <v>100</v>
      </c>
    </row>
    <row r="5" spans="1:8" s="4" customFormat="1" x14ac:dyDescent="0.2">
      <c r="A5" s="18" t="s">
        <v>27</v>
      </c>
      <c r="B5" s="18" t="s">
        <v>5</v>
      </c>
      <c r="C5" s="15" t="s">
        <v>30</v>
      </c>
      <c r="D5" s="19">
        <v>480</v>
      </c>
      <c r="E5" s="20">
        <v>12</v>
      </c>
    </row>
    <row r="6" spans="1:8" x14ac:dyDescent="0.2">
      <c r="A6" s="14" t="s">
        <v>28</v>
      </c>
      <c r="B6" s="14" t="s">
        <v>4</v>
      </c>
      <c r="C6" s="15" t="s">
        <v>24</v>
      </c>
      <c r="D6" s="16">
        <v>62.5</v>
      </c>
      <c r="E6" s="17">
        <v>12.5</v>
      </c>
    </row>
    <row r="7" spans="1:8" s="4" customFormat="1" x14ac:dyDescent="0.2">
      <c r="A7" s="18" t="s">
        <v>28</v>
      </c>
      <c r="B7" s="18" t="s">
        <v>4</v>
      </c>
      <c r="C7" s="15" t="s">
        <v>25</v>
      </c>
      <c r="D7" s="19">
        <v>-75</v>
      </c>
      <c r="E7" s="20">
        <v>-15</v>
      </c>
    </row>
    <row r="8" spans="1:8" s="4" customFormat="1" x14ac:dyDescent="0.2">
      <c r="A8" s="18" t="s">
        <v>18</v>
      </c>
      <c r="B8" s="18"/>
      <c r="C8" s="18"/>
      <c r="D8" s="19">
        <v>4417.5</v>
      </c>
      <c r="E8" s="20">
        <v>33.979999999999997</v>
      </c>
    </row>
  </sheetData>
  <conditionalFormatting sqref="D2:D7">
    <cfRule type="cellIs" dxfId="1" priority="1" stopIfTrue="1" operator="lessThan">
      <formula>0</formula>
    </cfRule>
    <cfRule type="cellIs" dxfId="0" priority="2" stopIfTrue="1" operator="greaterThan">
      <formula>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3BAD3-57CB-5A42-9299-109FB1AFBCD1}">
  <sheetPr codeName="Sheet7"/>
  <dimension ref="A1:D4"/>
  <sheetViews>
    <sheetView zoomScale="125" workbookViewId="0">
      <selection sqref="A1:D5"/>
    </sheetView>
  </sheetViews>
  <sheetFormatPr baseColWidth="10" defaultColWidth="10.83203125" defaultRowHeight="16" x14ac:dyDescent="0.2"/>
  <cols>
    <col min="1" max="1" width="35.33203125" bestFit="1" customWidth="1"/>
    <col min="2" max="2" width="10" bestFit="1" customWidth="1"/>
    <col min="3" max="3" width="10.83203125" bestFit="1" customWidth="1"/>
    <col min="4" max="4" width="23.1640625" bestFit="1" customWidth="1"/>
  </cols>
  <sheetData>
    <row r="1" spans="1:4" x14ac:dyDescent="0.2">
      <c r="A1" s="4" t="s">
        <v>31</v>
      </c>
      <c r="B1" s="4" t="s">
        <v>1</v>
      </c>
      <c r="C1" s="4" t="s">
        <v>32</v>
      </c>
      <c r="D1" s="4" t="s">
        <v>33</v>
      </c>
    </row>
    <row r="2" spans="1:4" x14ac:dyDescent="0.2">
      <c r="A2" t="s">
        <v>23</v>
      </c>
      <c r="B2" t="s">
        <v>4</v>
      </c>
      <c r="C2" s="5" t="s">
        <v>26</v>
      </c>
      <c r="D2" s="5" t="s">
        <v>26</v>
      </c>
    </row>
    <row r="3" spans="1:4" x14ac:dyDescent="0.2">
      <c r="A3" t="s">
        <v>27</v>
      </c>
      <c r="B3" t="s">
        <v>5</v>
      </c>
      <c r="C3" s="5" t="s">
        <v>26</v>
      </c>
      <c r="D3" s="5" t="s">
        <v>26</v>
      </c>
    </row>
    <row r="4" spans="1:4" x14ac:dyDescent="0.2">
      <c r="A4" t="s">
        <v>28</v>
      </c>
      <c r="B4" t="s">
        <v>4</v>
      </c>
      <c r="C4" s="5" t="s">
        <v>26</v>
      </c>
      <c r="D4" s="5" t="s">
        <v>26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C2BE7-699E-B147-80F7-E00E895453A8}">
  <sheetPr codeName="Sheet5"/>
  <dimension ref="A1"/>
  <sheetViews>
    <sheetView workbookViewId="0"/>
  </sheetViews>
  <sheetFormatPr baseColWidth="10" defaultColWidth="10.83203125" defaultRowHeight="16"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8D8EB-A69B-1648-89DB-9785E65B8F8A}">
  <sheetPr codeName="Sheet6"/>
  <dimension ref="A1"/>
  <sheetViews>
    <sheetView topLeftCell="A2" workbookViewId="0"/>
  </sheetViews>
  <sheetFormatPr baseColWidth="10" defaultColWidth="10.83203125"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Portfolio</vt:lpstr>
      <vt:lpstr>Market_Data</vt:lpstr>
      <vt:lpstr>Market_Returns</vt:lpstr>
      <vt:lpstr>Scenarios</vt:lpstr>
      <vt:lpstr>VaR_ES_Output</vt:lpstr>
      <vt:lpstr>Risk_Results</vt:lpstr>
      <vt:lpstr>Charts</vt:lpstr>
      <vt:lpstr>DEV_LOG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Marwan Ferreira Da Silva</dc:creator>
  <cp:lastModifiedBy>Marwan Ferreira Da Silva</cp:lastModifiedBy>
  <dcterms:created xsi:type="dcterms:W3CDTF">2025-09-22T13:12:55Z</dcterms:created>
  <dcterms:modified xsi:type="dcterms:W3CDTF">2025-09-30T22:16:06Z</dcterms:modified>
</cp:coreProperties>
</file>