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16A01497-C357-CF49-8277-E2BBC178E5A9}" xr6:coauthVersionLast="47" xr6:coauthVersionMax="47" xr10:uidLastSave="{00000000-0000-0000-0000-000000000000}"/>
  <bookViews>
    <workbookView xWindow="0" yWindow="3180" windowWidth="28800" windowHeight="17500" xr2:uid="{D0E5A25D-CD70-8B4A-B46A-6E670015E848}"/>
  </bookViews>
  <sheets>
    <sheet name="Portfolio" sheetId="6" r:id="rId1"/>
    <sheet name="Market_Data" sheetId="2" r:id="rId2"/>
    <sheet name="Scenarios" sheetId="3" r:id="rId3"/>
    <sheet name="VaR_ES_Output" sheetId="4" r:id="rId4"/>
    <sheet name="Risk_Results" sheetId="7" r:id="rId5"/>
    <sheet name="Charts" sheetId="5" r:id="rId6"/>
    <sheet name="DEV_LOG" sheetId="1"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D3" i="6"/>
  <c r="D2" i="6"/>
  <c r="C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5">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2"/>
        </ext>
      </extLst>
    </bk>
  </futureMetadata>
  <futureMetadata name="XLDAPR" count="1">
    <bk>
      <extLst>
        <ext uri="{bdbb8cdc-fa1e-496e-a857-3c3f30c029c3}">
          <xda:dynamicArrayProperties fDynamic="1" fCollapsed="0"/>
        </ext>
      </extLst>
    </bk>
  </futureMetadata>
  <cellMetadata count="1">
    <bk>
      <rc t="2" v="0"/>
    </bk>
  </cell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<sst xmlns="http://schemas.openxmlformats.org/spreadsheetml/2006/main" count="69" uniqueCount="34">
  <si>
    <t>Asset Name</t>
  </si>
  <si>
    <t>Asset Type</t>
  </si>
  <si>
    <t>Exposure (€)</t>
  </si>
  <si>
    <t>Beta</t>
  </si>
  <si>
    <t>Vol (%)</t>
  </si>
  <si>
    <t>Duration(if bond)</t>
  </si>
  <si>
    <t>TotalEquityETF</t>
  </si>
  <si>
    <t>Equity</t>
  </si>
  <si>
    <t>OilETF</t>
  </si>
  <si>
    <t>GovBond10Y</t>
  </si>
  <si>
    <t>Bond</t>
  </si>
  <si>
    <t>Shock</t>
  </si>
  <si>
    <t>Shock Unit (%, bps…)</t>
  </si>
  <si>
    <t>Timestamp</t>
  </si>
  <si>
    <t>Oil</t>
  </si>
  <si>
    <t>%</t>
  </si>
  <si>
    <t>Commodities</t>
  </si>
  <si>
    <t>Rates</t>
  </si>
  <si>
    <t>bps</t>
  </si>
  <si>
    <t>Asset</t>
  </si>
  <si>
    <t>Shock Applied</t>
  </si>
  <si>
    <t>VaR (95%)</t>
  </si>
  <si>
    <t>Expected Shortfall (95%)</t>
  </si>
  <si>
    <t>PnL Impact (€)</t>
  </si>
  <si>
    <t>PnL Impact (%)</t>
  </si>
  <si>
    <t>12,5</t>
  </si>
  <si>
    <t>15</t>
  </si>
  <si>
    <t>100</t>
  </si>
  <si>
    <t>Total Portfolio</t>
  </si>
  <si>
    <t>Ticker</t>
  </si>
  <si>
    <t>Price</t>
  </si>
  <si>
    <t>Market Cap</t>
  </si>
  <si>
    <t xml:space="preserve"> </t>
  </si>
  <si>
    <t>FX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</si>
</sst>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0\ [$€-407]"/>
    <numFmt numFmtId="166" formatCode="_([$$-409]* #,##0.00_);_([$$-409]* \(#,##0.00\);_([$$-409]* &quot;-&quot;??_);_(@_)"/>
    <numFmt numFmtId="167" formatCode="_([$$-409]* #,##0_);_([$$-409]* \(#,##0\);_([$$-409]* &quot;-&quot;_);_(@_)"/>
    <numFmt numFmtId="168" formatCode="_([$$-1009]* #,##0.00_);_([$$-1009]* \(#,##0.00\);_([$$-1009]* &quot;-&quot;??_);_(@_)"/>
  </numFmts>
  <fonts count="2" x14ac:knownFonts="1">
    <font>
      <sz val="12"/>
      <color theme="1"/>
      <name val="Aptos Narrow"/>
      <family val="2"/>
      <scheme val="minor"/>
    </font>
    <font>
      <b/>
      <sz val="12"/>
      <color theme="1"/>
      <name val="Aptos Narrow"/>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7">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applyAlignment="1">
      <alignment horizontal="center"/>
    </xf>
    <xf numFmtId="0" fontId="1" fillId="0" borderId="0" xfId="0" applyFont="1"/>
    <xf numFmtId="165" fontId="0" fillId="0" borderId="0" xfId="0" applyNumberFormat="1"/>
    <xf numFmtId="0" fontId="1" fillId="0" borderId="1" xfId="0" applyFont="1" applyBorder="1" applyAlignment="1">
      <alignment horizontal="center"/>
    </xf>
    <xf numFmtId="0" fontId="0" fillId="0" borderId="1" xfId="0" applyBorder="1"/>
    <xf numFmtId="165" fontId="0" fillId="0" borderId="1" xfId="0" applyNumberFormat="1" applyBorder="1"/>
    <xf numFmtId="164" fontId="0" fillId="0" borderId="1" xfId="0" applyNumberFormat="1" applyBorder="1"/>
    <xf numFmtId="165" fontId="1" fillId="0" borderId="0" xfId="0" applyNumberFormat="1" applyFont="1"/>
    <xf numFmtId="49" fontId="0" fillId="0" borderId="1" xfId="0" applyNumberFormat="1" applyBorder="1"/>
    <xf numFmtId="164" fontId="1" fillId="0" borderId="0" xfId="0" applyNumberFormat="1" applyFont="1"/>
    <xf numFmtId="166" fontId="0" fillId="0" borderId="0" xfId="0" applyNumberFormat="1"/>
    <xf numFmtId="4" fontId="0" fillId="0" borderId="0" xfId="0" applyNumberFormat="1"/>
    <xf numFmtId="167" fontId="0" fillId="0" borderId="0" xfId="0" applyNumberFormat="1"/>
    <xf numFmtId="168" fontId="0" fillId="0" borderId="0" xfId="0" applyNumberFormat="1"/>
  </cellXfs>
  <cellStyles count="1">
    <cellStyle name="Normal" xfId="0" builtinId="0"/>
  </cellStyles>
  <dxfs count="2">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tyles" Target="style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17/06/relationships/rdRichValueStructure" Target="richData/rdrichvaluestructure.xml"/></Relationships>
</file>

<file path=xl/drawings/drawing1.xml><?xml version="1.0" encoding="utf-8"?>
<xdr:wsDr xmlns:xdr="http://schemas.openxmlformats.org/drawingml/2006/spreadsheetDrawing" xmlns:a="http://schemas.openxmlformats.org/drawingml/2006/main">
  <xdr:twoCellAnchor>
    <xdr:from>
      <xdr:col>7</xdr:col>
      <xdr:colOff>251460</xdr:colOff>
      <xdr:row>6</xdr:row>
      <xdr:rowOff>99060</xdr:rowOff>
    </xdr:from>
    <xdr:to>
      <xdr:col>8</xdr:col>
      <xdr:colOff>754380</xdr:colOff>
      <xdr:row>9</xdr:row>
      <xdr:rowOff>68580</xdr:rowOff>
    </xdr:to>
    <xdr:sp macro="[0]!OpenScenarioForm" textlink="">
      <xdr:nvSpPr>
        <xdr:cNvPr id="2" name="Rectangle: Rounded Corners 1">
          <a:extLst>
            <a:ext uri="{FF2B5EF4-FFF2-40B4-BE49-F238E27FC236}">
              <a16:creationId xmlns:a16="http://schemas.microsoft.com/office/drawing/2014/main" id="{50B9CCDA-5EC6-4029-922F-3EB5572D856A}"/>
            </a:ext>
          </a:extLst>
        </xdr:cNvPr>
        <xdr:cNvSpPr/>
      </xdr:nvSpPr>
      <xdr:spPr>
        <a:xfrm>
          <a:off x="7635240" y="1242060"/>
          <a:ext cx="1409700" cy="5410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Shock</a:t>
          </a:r>
          <a:endParaRPr lang="fr-FR" sz="1400" b="1"/>
        </a:p>
      </xdr:txBody>
    </xdr:sp>
    <xdr:clientData/>
  </xdr:twoCellAnchor>
  <xdr:twoCellAnchor>
    <xdr:from>
      <xdr:col>7</xdr:col>
      <xdr:colOff>243840</xdr:colOff>
      <xdr:row>11</xdr:row>
      <xdr:rowOff>7620</xdr:rowOff>
    </xdr:from>
    <xdr:to>
      <xdr:col>8</xdr:col>
      <xdr:colOff>784860</xdr:colOff>
      <xdr:row>14</xdr:row>
      <xdr:rowOff>15240</xdr:rowOff>
    </xdr:to>
    <xdr:sp macro="[0]!RunStressTes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3">
  <rv s="0">
    <v>https://www.bing.com/financeapi/forcetrigger?t=a1mou2&amp;q=XNAS%3aAAPL&amp;form=skydnc</v>
    <v>Learn more on Bing</v>
  </rv>
  <rv s="1">
    <v>0</v>
    <v>APPLE INC. (XNAS:AAPL)</v>
    <v>2</v>
    <v>3</v>
    <v>Finance</v>
    <v>4</v>
    <v>en-GB</v>
    <v>a1mou2</v>
    <v>268435456</v>
    <v>1</v>
    <v>Powered by Refinitiv</v>
    <v>260.10000000000002</v>
    <v>169.21010000000001</v>
    <v>1.0931</v>
    <v>-1.03</v>
    <v>-4.032E-3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255</v>
    <v>Computers, Phones &amp; Household Electronics</v>
    <v>Stock</v>
    <v>45929.999967823438</v>
    <v>0</v>
    <v>253.01</v>
    <v>3775840427700</v>
    <v>APPLE INC.</v>
    <v>APPLE INC.</v>
    <v>254.56</v>
    <v>35.092199999999998</v>
    <v>255.46</v>
    <v>254.43</v>
    <v>14840390000</v>
    <v>AAPL</v>
    <v>APPLE INC. (XNAS:AAPL)</v>
    <v>44857</v>
    <v>56979728</v>
    <v>1977</v>
  </rv>
  <rv s="2">
    <v>1</v>
  </rv>
  <rv s="0">
    <v>https://www.bing.com/financeapi/forcetrigger?t=a1yv52&amp;q=XNAS%3aNVDA&amp;form=skydnc</v>
    <v>Learn more on Bing</v>
  </rv>
  <rv s="1">
    <v>0</v>
    <v>NVIDIA CORPORATION (XNAS:NVDA)</v>
    <v>2</v>
    <v>3</v>
    <v>Finance</v>
    <v>4</v>
    <v>en-GB</v>
    <v>a1yv52</v>
    <v>268435456</v>
    <v>1</v>
    <v>Powered by Refinitiv</v>
    <v>184.55</v>
    <v>86.62</v>
    <v>2.1204000000000001</v>
    <v>3.66</v>
    <v>2.0539999999999999E-2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184</v>
    <v>Semiconductors &amp; Semiconductor Equipment</v>
    <v>Stock</v>
    <v>45929.99999710625</v>
    <v>3</v>
    <v>180.32</v>
    <v>4418955000000</v>
    <v>NVIDIA CORPORATION</v>
    <v>NVIDIA CORPORATION</v>
    <v>180.42500000000001</v>
    <v>51.757399999999997</v>
    <v>178.19</v>
    <v>181.85</v>
    <v>24300000000</v>
    <v>NVDA</v>
    <v>NVIDIA CORPORATION (XNAS:NVDA)</v>
    <v>1264897</v>
    <v>189020238</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1.024</v>
    <v>3.14</v>
    <v>6.1390000000000004E-3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516.84500000000003</v>
    <v>9</v>
    <v>Software &amp; IT Services</v>
    <v>Stock</v>
    <v>45929.999755474222</v>
    <v>10</v>
    <v>508.88</v>
    <v>3825107738200</v>
    <v>MICROSOFT CORPORATION</v>
    <v>MICROSOFT CORPORATION</v>
    <v>511.5</v>
    <v>37.724299999999999</v>
    <v>511.46</v>
    <v>514.6</v>
    <v>7433167000</v>
    <v>MSFT</v>
    <v>MICROSOFT CORPORATION (XNAS:MSFT)</v>
    <v>17036</v>
    <v>20789322</v>
    <v>1993</v>
  </rv>
  <rv s="2">
    <v>11</v>
  </rv>
  <rv s="0">
    <v>https://www.bing.com/financeapi/forcetrigger?t=a1slm7&amp;q=XNAS%3aMETA&amp;form=skydnc</v>
    <v>Learn more on Bing</v>
  </rv>
  <rv s="1">
    <v>0</v>
    <v>Meta Platforms, Inc. (XNAS:META)</v>
    <v>2</v>
    <v>3</v>
    <v>Finance</v>
    <v>4</v>
    <v>en-GB</v>
    <v>a1slm7</v>
    <v>268435456</v>
    <v>1</v>
    <v>Powered by Refinitiv</v>
    <v>796.25</v>
    <v>479.8</v>
    <v>1.2076</v>
    <v>-0.35</v>
    <v>-4.706E-4</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750.78</v>
    <v>Software &amp; IT Services</v>
    <v>Stock</v>
    <v>45929.999962349219</v>
    <v>13</v>
    <v>739.15</v>
    <v>1867525619400</v>
    <v>Meta Platforms, Inc.</v>
    <v>Meta Platforms, Inc.</v>
    <v>748.72</v>
    <v>26.689900000000002</v>
    <v>743.75</v>
    <v>743.4</v>
    <v>2512141000</v>
    <v>META</v>
    <v>Meta Platforms, Inc. (XNAS:META)</v>
    <v>12502</v>
    <v>10355332</v>
    <v>2004</v>
  </rv>
  <rv s="2">
    <v>14</v>
  </rv>
  <rv s="0">
    <v>https://www.bing.com/financeapi/forcetrigger?t=a1u3rw&amp;q=XNAS%3aGOOGL&amp;form=skydnc</v>
    <v>Learn more on Bing</v>
  </rv>
  <rv s="1">
    <v>0</v>
    <v>ALPHABET INC. (XNAS:GOOGL)</v>
    <v>2</v>
    <v>3</v>
    <v>Finance</v>
    <v>4</v>
    <v>en-GB</v>
    <v>a1u3rw</v>
    <v>268435456</v>
    <v>1</v>
    <v>Powered by Refinitiv</v>
    <v>256</v>
    <v>140.53</v>
    <v>0.998</v>
    <v>-2.4900000000000002</v>
    <v>-1.01E-2</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251.14859999999999</v>
    <v>Software &amp; IT Services</v>
    <v>Stock</v>
    <v>45929.999974628903</v>
    <v>16</v>
    <v>242.77</v>
    <v>2985130000000</v>
    <v>ALPHABET INC.</v>
    <v>ALPHABET INC.</v>
    <v>247.85</v>
    <v>25.988</v>
    <v>246.54</v>
    <v>244.05</v>
    <v>12094000000</v>
    <v>GOOGL</v>
    <v>ALPHABET INC. (XNAS:GOOGL)</v>
    <v>115272</v>
    <v>38341843</v>
    <v>2015</v>
  </rv>
  <rv s="2">
    <v>17</v>
  </rv>
  <rv s="0">
    <v>https://www.bing.com/financeapi/forcetrigger?t=a23hqh&amp;q=ARCX%3aSPY&amp;form=skydnc</v>
    <v>Learn more on Bing</v>
  </rv>
  <rv s="6">
    <v>10</v>
    <v>SPDR S&amp;P 500 (ARCX:SPY)</v>
    <v>11</v>
    <v>12</v>
    <v>Finance</v>
    <v>13</v>
    <v>en-GB</v>
    <v>a23hqh</v>
    <v>268435456</v>
    <v>1</v>
    <v>Powered by Refinitiv</v>
    <v>667.34</v>
    <v>481.8</v>
    <v>0.99850000000000005</v>
    <v>1.86</v>
    <v>2.8100000000000004E-3</v>
    <v>USD</v>
    <v>NYSE Arca</v>
    <v>ARCX</v>
    <v>9.4499999999999998E-4</v>
    <v>665.28</v>
    <v>ETF</v>
    <v>45929.999999675783</v>
    <v>19</v>
    <v>661.86</v>
    <v>654797681275.29004</v>
    <v>SPDR S&amp;P 500</v>
    <v>664.36</v>
    <v>661.82</v>
    <v>663.68</v>
    <v>SPY</v>
    <v>SPDR S&amp;P 500 (ARCX:SPY)</v>
    <v>189445</v>
    <v>69352010</v>
  </rv>
  <rv s="2">
    <v>20</v>
  </rv>
  <rv s="0">
    <v>https://www.bing.com/financeapi/forcetrigger?t=a24b5r&amp;q=XNAS%3aTLT&amp;form=skydnc</v>
    <v>Learn more on Bing</v>
  </rv>
  <rv s="6">
    <v>10</v>
    <v>iShares:20+ Trs Bd ETF (XNAS:TLT)</v>
    <v>11</v>
    <v>12</v>
    <v>Finance</v>
    <v>13</v>
    <v>en-GB</v>
    <v>a24b5r</v>
    <v>268435456</v>
    <v>1</v>
    <v>Powered by Refinitiv</v>
    <v>99.33</v>
    <v>83.295000000000002</v>
    <v>1.0716000000000001</v>
    <v>0.73</v>
    <v>8.2110000000000013E-3</v>
    <v>USD</v>
    <v>Nasdaq Stock Market</v>
    <v>XNAS</v>
    <v>1.5E-3</v>
    <v>89.74</v>
    <v>ETF</v>
    <v>45929.99922232578</v>
    <v>22</v>
    <v>89.26</v>
    <v>47464401523.18</v>
    <v>iShares:20+ Trs Bd ETF</v>
    <v>89.29</v>
    <v>88.9</v>
    <v>89.63</v>
    <v>TLT</v>
    <v>iShares:20+ Trs Bd ETF (XNAS:TLT)</v>
    <v>207146</v>
    <v>38879822</v>
  </rv>
  <rv s="2">
    <v>23</v>
  </rv>
  <rv s="0">
    <v>https://www.bing.com/financeapi/forcetrigger?t=a1twnm&amp;q=ARCX%3aGLD&amp;form=skydnc</v>
    <v>Learn more on Bing</v>
  </rv>
  <rv s="6">
    <v>10</v>
    <v>SPDR Gold (ARCX:GLD)</v>
    <v>11</v>
    <v>12</v>
    <v>Finance</v>
    <v>13</v>
    <v>en-GB</v>
    <v>a1twnm</v>
    <v>268435456</v>
    <v>1</v>
    <v>Powered by Refinitiv</v>
    <v>352.83049999999997</v>
    <v>236.1326</v>
    <v>0.81589999999999996</v>
    <v>5.72</v>
    <v>1.6496999999999998E-2</v>
    <v>USD</v>
    <v>NYSE Arca</v>
    <v>ARCX</v>
    <v>4.0000000000000001E-3</v>
    <v>352.83049999999997</v>
    <v>ETF</v>
    <v>45930.000000057815</v>
    <v>25</v>
    <v>351.28</v>
    <v>82394162386.910004</v>
    <v>SPDR Gold</v>
    <v>351.79</v>
    <v>346.74</v>
    <v>352.46</v>
    <v>GLD</v>
    <v>SPDR Gold (ARCX:GLD)</v>
    <v>199098</v>
    <v>12731237</v>
  </rv>
  <rv s="2">
    <v>26</v>
  </rv>
  <rv s="7">
    <v>14</v>
    <v>EUR/USD</v>
    <v>15</v>
    <v>16</v>
    <v>Finance</v>
    <v>17</v>
    <v>en-GB</v>
    <v>av932w</v>
    <v>268435456</v>
    <v>1</v>
    <v>Powered by Refinitiv</v>
    <v>1.1918</v>
    <v>1.0176000000000001</v>
    <v>1.2999999999999999E-3</v>
    <v>1.109E-3</v>
    <v>USD</v>
    <v>EUR</v>
    <v>1.1760999999999999</v>
    <v>Currency Pair</v>
    <v>45930.474780092591</v>
    <v>1.1713</v>
    <v>Euro/US Dollar FX Spot Rate</v>
    <v>1.1726000000000001</v>
    <v>1.1725000000000001</v>
    <v>1.1738</v>
    <v>EURUSD</v>
    <v>EUR/USD</v>
  </rv>
  <rv s="2">
    <v>28</v>
  </rv>
  <rv s="8">
    <v>12</v>
    <v>Beta</v>
    <v>0</v>
  </rv>
  <rv s="8">
    <v>12</v>
    <v>Market cap</v>
    <v>0</v>
  </rv>
  <rv s="0">
    <v>https://www.bing.com/financeapi/forcetrigger?t=a253hw&amp;q=ARCX%3aUSO&amp;form=skydnc</v>
    <v>Learn more on Bing</v>
  </rv>
  <rv s="6">
    <v>10</v>
    <v>United States Oil Fund (ARCX:USO)</v>
    <v>11</v>
    <v>12</v>
    <v>Finance</v>
    <v>13</v>
    <v>en-GB</v>
    <v>a253hw</v>
    <v>268435456</v>
    <v>1</v>
    <v>Powered by Refinitiv</v>
    <v>84.58</v>
    <v>60.67</v>
    <v>1.0226</v>
    <v>-2.4300000000000002</v>
    <v>-3.1549999999999995E-2</v>
    <v>USD</v>
    <v>NYSE Arca</v>
    <v>ARCX</v>
    <v>8.199999999999999E-3</v>
    <v>75.5</v>
    <v>ETF</v>
    <v>45930.000001133594</v>
    <v>32</v>
    <v>74.314999999999998</v>
    <v>982808980.90999997</v>
    <v>United States Oil Fund</v>
    <v>75.430000000000007</v>
    <v>77.02</v>
    <v>74.59</v>
    <v>USO</v>
    <v>United States Oil Fund (ARCX:USO)</v>
    <v>66615</v>
    <v>4524612</v>
  </rv>
  <rv s="2">
    <v>33</v>
  </rv>
  <rv s="0">
    <v>https://www.bing.com/financeapi/forcetrigger?t=a21mim&amp;q=XNAS%3aQQQ&amp;form=skydnc</v>
    <v>Learn more on Bing</v>
  </rv>
  <rv s="6">
    <v>10</v>
    <v>Invesco QQQ Trust 1 (XNAS:QQQ)</v>
    <v>11</v>
    <v>12</v>
    <v>Finance</v>
    <v>13</v>
    <v>en-GB</v>
    <v>a21mim</v>
    <v>268435456</v>
    <v>1</v>
    <v>Powered by Refinitiv</v>
    <v>602.87</v>
    <v>402.39</v>
    <v>1.0321</v>
    <v>2.76</v>
    <v>4.6309999999999997E-3</v>
    <v>USD</v>
    <v>Nasdaq Stock Market</v>
    <v>XNAS</v>
    <v>2E-3</v>
    <v>602.04999999999995</v>
    <v>ETF</v>
    <v>45929.999984745315</v>
    <v>35</v>
    <v>597.41</v>
    <v>365550355557.59003</v>
    <v>Invesco QQQ Trust 1</v>
    <v>599.11</v>
    <v>595.97</v>
    <v>598.73</v>
    <v>QQQ</v>
    <v>Invesco QQQ Trust 1 (XNAS:QQQ)</v>
    <v>496854</v>
    <v>51896020</v>
  </rv>
  <rv s="2">
    <v>36</v>
  </rv>
  <rv s="0">
    <v>https://www.bing.com/financeapi/forcetrigger?t=a1vbbh&amp;q=XNAS%3aIEF&amp;form=skydnc</v>
    <v>Learn more on Bing</v>
  </rv>
  <rv s="6">
    <v>10</v>
    <v>iShares:7-10 Trs Bd (XNAS:IEF)</v>
    <v>11</v>
    <v>12</v>
    <v>Finance</v>
    <v>13</v>
    <v>en-GB</v>
    <v>a1vbbh</v>
    <v>268435456</v>
    <v>1</v>
    <v>Powered by Refinitiv</v>
    <v>98.47</v>
    <v>91.08</v>
    <v>1.1922999999999999</v>
    <v>0.28000000000000003</v>
    <v>2.9099999999999998E-3</v>
    <v>USD</v>
    <v>Nasdaq Stock Market</v>
    <v>XNAS</v>
    <v>1.5E-3</v>
    <v>96.55</v>
    <v>ETF</v>
    <v>45929.990518020313</v>
    <v>38</v>
    <v>96.325000000000003</v>
    <v>35770398943.690002</v>
    <v>iShares:7-10 Trs Bd</v>
    <v>96.34</v>
    <v>96.22</v>
    <v>96.5</v>
    <v>IEF</v>
    <v>iShares:7-10 Trs Bd (XNAS:IEF)</v>
    <v>7975</v>
    <v>8537220</v>
  </rv>
  <rv s="2">
    <v>39</v>
  </rv>
  <rv s="9">
    <v>18</v>
    <v>Bonds Powered Income USD</v>
    <v>19</v>
    <v>20</v>
    <v>Finance</v>
    <v>21</v>
    <v>en-GB</v>
    <v>caxasm</v>
    <v>268435456</v>
    <v>1</v>
    <v>Powered by Refinitiv</v>
    <v>0.14000000000000001</v>
    <v>2.101E-3</v>
    <v>KY</v>
    <v>USD</v>
    <v>Mutual Fund</v>
    <v>45929</v>
    <v>45930.097883257033</v>
    <v>Bonds Powered Income USD</v>
    <v>9912700</v>
    <v>66.62</v>
    <v>66.760000000000005</v>
    <v>0</v>
    <v>9.3939999999999996E-3</v>
    <v>-1.7656999999999999E-2</v>
    <v>3.2414999999999999E-2</v>
    <v>3.6177000000000001E-2</v>
    <v>0.11439199999999999</v>
    <v>0</v>
    <v>0.15679500000000002</v>
    <v>Bonds Powered Income USD</v>
  </rv>
  <rv s="2">
    <v>41</v>
  </rv>
</rvData>
</file>

<file path=xl/richData/rdrichvaluestructure.xml><?xml version="1.0" encoding="utf-8"?>
<rvStructures xmlns="http://schemas.microsoft.com/office/spreadsheetml/2017/richdata" count="10">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rvStructures>
</file>

<file path=xl/richData/rdsupportingpropertybag.xml><?xml version="1.0" encoding="utf-8"?>
<supportingPropertyBags xmlns="http://schemas.microsoft.com/office/spreadsheetml/2017/richdata2">
  <spbArrays count="5">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2">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 s="0">
      <v>2</v>
      <v>Name</v>
      <v>LearnMoreOnLink</v>
    </spb>
    <spb s="9">
      <v>1</v>
      <v>1</v>
      <v>1</v>
    </spb>
    <spb s="10">
      <v>1</v>
      <v>2</v>
      <v>1</v>
      <v>3</v>
      <v>1</v>
      <v>1</v>
      <v>1</v>
      <v>4</v>
      <v>5</v>
      <v>6</v>
      <v>1</v>
      <v>1</v>
      <v>5</v>
      <v>1</v>
      <v>4</v>
      <v>7</v>
      <v>9</v>
    </spb>
    <spb s="11">
      <v>Real-Time Nasdaq Last Sale</v>
      <v>from previous close</v>
      <v>Source: Nasdaq Last Sale</v>
      <v>from previous close</v>
      <v>GMT</v>
    </spb>
    <spb s="12">
      <v>3</v>
      <v>Name</v>
    </spb>
    <spb s="13">
      <v>1</v>
      <v>1</v>
    </spb>
    <spb s="14">
      <v>1</v>
      <v>1</v>
      <v>3</v>
      <v>1</v>
      <v>1</v>
      <v>1</v>
      <v>5</v>
      <v>1</v>
      <v>1</v>
      <v>1</v>
      <v>7</v>
      <v>9</v>
    </spb>
    <spb s="15">
      <v>GMT</v>
    </spb>
    <spb s="12">
      <v>4</v>
      <v>Name</v>
    </spb>
    <spb s="16">
      <v>1</v>
      <v>1</v>
      <v>1</v>
    </spb>
    <spb s="17">
      <v>3</v>
      <v>1</v>
      <v>1</v>
      <v>4</v>
      <v>5</v>
      <v>6</v>
      <v>5</v>
      <v>5</v>
      <v>5</v>
      <v>5</v>
      <v>5</v>
      <v>5</v>
      <v>5</v>
      <v>1</v>
      <v>11</v>
      <v>7</v>
      <v>9</v>
    </spb>
    <spb s="18">
      <v>from previous close</v>
      <v>from previous close</v>
      <v>GMT</v>
      <v>GMT</v>
    </spb>
  </spbData>
</supportingPropertyBags>
</file>

<file path=xl/richData/rdsupportingpropertybagstructure.xml><?xml version="1.0" encoding="utf-8"?>
<spbStructures xmlns="http://schemas.microsoft.com/office/spreadsheetml/2017/richdata2" count="1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s>
  <s>
    <k n="Price" t="s"/>
    <k n="Change" t="s"/>
    <k n="Exchange" t="s"/>
    <k n="Change (%)" t="s"/>
    <k n="Last trade time"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F4"/>
  <sheetViews>
    <sheetView tabSelected="1" zoomScale="75" workbookViewId="0">
      <selection activeCell="I6" sqref="I6"/>
    </sheetView>
  </sheetViews>
  <sheetFormatPr baseColWidth="10" defaultColWidth="10.83203125" defaultRowHeight="16" x14ac:dyDescent="0.2"/>
  <cols>
    <col min="1" max="1" width="16.33203125" customWidth="1"/>
    <col min="2" max="2" width="13.33203125" customWidth="1"/>
    <col min="3" max="3" width="14.6640625" customWidth="1"/>
    <col min="4" max="4" width="7.6640625" customWidth="1"/>
    <col min="6" max="6" width="14.5" customWidth="1"/>
  </cols>
  <sheetData>
    <row r="1" spans="1:6" s="4" customFormat="1" x14ac:dyDescent="0.2">
      <c r="A1" s="4" t="s">
        <v>0</v>
      </c>
      <c r="B1" s="4" t="s">
        <v>1</v>
      </c>
      <c r="C1" s="4" t="s">
        <v>2</v>
      </c>
      <c r="D1" s="4" t="s">
        <v>3</v>
      </c>
      <c r="E1" s="4" t="s">
        <v>4</v>
      </c>
      <c r="F1" s="4" t="s">
        <v>5</v>
      </c>
    </row>
    <row r="2" spans="1:6" x14ac:dyDescent="0.2">
      <c r="A2" t="s">
        <v>6</v>
      </c>
      <c r="B2" t="s">
        <v>7</v>
      </c>
      <c r="C2">
        <f>25000</f>
        <v>25000</v>
      </c>
      <c r="D2">
        <f>1.1</f>
        <v>1.1000000000000001</v>
      </c>
      <c r="E2">
        <v>18</v>
      </c>
    </row>
    <row r="3" spans="1:6" x14ac:dyDescent="0.2">
      <c r="A3" t="s">
        <v>8</v>
      </c>
      <c r="B3" t="s">
        <v>14</v>
      </c>
      <c r="C3">
        <v>15000</v>
      </c>
      <c r="D3">
        <f>0.6</f>
        <v>0.6</v>
      </c>
      <c r="E3">
        <v>25</v>
      </c>
    </row>
    <row r="4" spans="1:6" x14ac:dyDescent="0.2">
      <c r="A4" t="s">
        <v>9</v>
      </c>
      <c r="B4" t="s">
        <v>10</v>
      </c>
      <c r="C4">
        <v>10000</v>
      </c>
      <c r="F4">
        <v>8</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F15"/>
  <sheetViews>
    <sheetView workbookViewId="0">
      <selection activeCell="E22" sqref="E22"/>
    </sheetView>
  </sheetViews>
  <sheetFormatPr baseColWidth="10" defaultColWidth="10.83203125" defaultRowHeight="16" x14ac:dyDescent="0.2"/>
  <cols>
    <col min="1" max="1" width="37.83203125" customWidth="1"/>
    <col min="2" max="2" width="16.83203125" customWidth="1"/>
    <col min="4" max="4" width="22.1640625" customWidth="1"/>
    <col min="5" max="5" width="13.1640625" customWidth="1"/>
  </cols>
  <sheetData>
    <row r="1" spans="1:6" x14ac:dyDescent="0.2">
      <c r="A1" t="s">
        <v>29</v>
      </c>
      <c r="B1" t="s">
        <v>30</v>
      </c>
      <c r="C1" t="s">
        <v>3</v>
      </c>
      <c r="D1" t="s">
        <v>31</v>
      </c>
      <c r="E1" t="s">
        <v>1</v>
      </c>
    </row>
    <row r="2" spans="1:6" x14ac:dyDescent="0.2">
      <c r="A2" t="e" vm="1">
        <v>#VALUE!</v>
      </c>
      <c r="B2" s="13" cm="1">
        <f t="array" aca="1" ref="B2" ca="1">_FV(A2,"Price")</f>
        <v>254.43</v>
      </c>
      <c r="C2" s="14" cm="1">
        <f t="array" aca="1" ref="C2" ca="1">_FV(A2,"Beta")</f>
        <v>1.0931</v>
      </c>
      <c r="D2" s="15" cm="1">
        <f t="array" aca="1" ref="D2" ca="1">_FV(A2,"Market cap",TRUE)</f>
        <v>3775840427700</v>
      </c>
      <c r="E2" s="13" t="s">
        <v>7</v>
      </c>
      <c r="F2" s="13"/>
    </row>
    <row r="3" spans="1:6" x14ac:dyDescent="0.2">
      <c r="A3" t="e" vm="2">
        <v>#VALUE!</v>
      </c>
      <c r="B3" s="13" cm="1">
        <f t="array" aca="1" ref="B3" ca="1">_FV(A3,"Price")</f>
        <v>181.85</v>
      </c>
      <c r="C3" s="14" cm="1">
        <f t="array" aca="1" ref="C3" ca="1">_FV(A3,"Beta")</f>
        <v>2.1204000000000001</v>
      </c>
      <c r="D3" s="15" cm="1">
        <f t="array" aca="1" ref="D3" ca="1">_FV(A3,"Market cap",TRUE)</f>
        <v>4418955000000</v>
      </c>
      <c r="E3" s="13" t="s">
        <v>7</v>
      </c>
      <c r="F3" s="13"/>
    </row>
    <row r="4" spans="1:6" x14ac:dyDescent="0.2">
      <c r="A4" t="e" vm="3">
        <v>#VALUE!</v>
      </c>
      <c r="B4" s="13" cm="1">
        <f t="array" aca="1" ref="B4" ca="1">_FV(A4,"Price")</f>
        <v>514.6</v>
      </c>
      <c r="C4" s="14" cm="1">
        <f t="array" aca="1" ref="C4" ca="1">_FV(A4,"Beta")</f>
        <v>1.024</v>
      </c>
      <c r="D4" s="15" cm="1">
        <f t="array" aca="1" ref="D4" ca="1">_FV(A4,"Market cap",TRUE)</f>
        <v>3825107738200</v>
      </c>
      <c r="E4" s="13" t="s">
        <v>7</v>
      </c>
      <c r="F4" s="13"/>
    </row>
    <row r="5" spans="1:6" x14ac:dyDescent="0.2">
      <c r="A5" t="e" vm="4">
        <v>#VALUE!</v>
      </c>
      <c r="B5" s="13" cm="1">
        <f t="array" aca="1" ref="B5" ca="1">_FV(A5,"Price")</f>
        <v>743.4</v>
      </c>
      <c r="C5" s="14" cm="1">
        <f t="array" aca="1" ref="C5" ca="1">_FV(A5,"Beta")</f>
        <v>1.2076</v>
      </c>
      <c r="D5" s="15" cm="1">
        <f t="array" aca="1" ref="D5" ca="1">_FV(A5,"Market cap",TRUE)</f>
        <v>1867525619400</v>
      </c>
      <c r="E5" s="13" t="s">
        <v>7</v>
      </c>
      <c r="F5" s="13"/>
    </row>
    <row r="6" spans="1:6" x14ac:dyDescent="0.2">
      <c r="A6" t="e" vm="5">
        <v>#VALUE!</v>
      </c>
      <c r="B6" s="13" cm="1">
        <f t="array" aca="1" ref="B6" ca="1">_FV(A6,"Price")</f>
        <v>244.05</v>
      </c>
      <c r="C6" s="14" cm="1">
        <f t="array" aca="1" ref="C6" ca="1">_FV(A6,"Beta")</f>
        <v>0.998</v>
      </c>
      <c r="D6" s="15" cm="1">
        <f t="array" aca="1" ref="D6" ca="1">_FV(A6,"Market cap",TRUE)</f>
        <v>2985130000000</v>
      </c>
      <c r="E6" s="13" t="s">
        <v>7</v>
      </c>
      <c r="F6" s="13"/>
    </row>
    <row r="7" spans="1:6" x14ac:dyDescent="0.2">
      <c r="A7" t="e" vm="6">
        <v>#VALUE!</v>
      </c>
      <c r="B7" s="13" cm="1">
        <f t="array" aca="1" ref="B7" ca="1">_FV(A7,"Price")</f>
        <v>663.68</v>
      </c>
      <c r="C7" s="14" cm="1">
        <f t="array" aca="1" ref="C7" ca="1">_FV(A7,"Beta")</f>
        <v>0.99850000000000005</v>
      </c>
      <c r="D7" s="15" cm="1">
        <f t="array" aca="1" ref="D7" ca="1">_FV(A7,"Market cap",TRUE)</f>
        <v>654797681275.29004</v>
      </c>
      <c r="E7" s="13" t="s">
        <v>7</v>
      </c>
      <c r="F7" s="13"/>
    </row>
    <row r="8" spans="1:6" x14ac:dyDescent="0.2">
      <c r="A8" t="e" vm="7">
        <v>#VALUE!</v>
      </c>
      <c r="B8" s="13" cm="1">
        <f t="array" aca="1" ref="B8" ca="1">_FV(A8,"Price")</f>
        <v>89.63</v>
      </c>
      <c r="C8" s="14" cm="1">
        <f t="array" aca="1" ref="C8" ca="1">_FV(A8,"Beta")</f>
        <v>1.0716000000000001</v>
      </c>
      <c r="D8" s="15" cm="1">
        <f t="array" aca="1" ref="D8" ca="1">_FV(A8,"Market cap",TRUE)</f>
        <v>47464401523.18</v>
      </c>
      <c r="E8" s="13" t="s">
        <v>10</v>
      </c>
      <c r="F8" s="13"/>
    </row>
    <row r="9" spans="1:6" x14ac:dyDescent="0.2">
      <c r="A9" t="e" vm="8">
        <v>#VALUE!</v>
      </c>
      <c r="B9" s="13" cm="1">
        <f t="array" aca="1" ref="B9" ca="1">_FV(A9,"Price")</f>
        <v>352.46</v>
      </c>
      <c r="C9" s="14" cm="1">
        <f t="array" aca="1" ref="C9" ca="1">_FV(A9,"Beta")</f>
        <v>0.81589999999999996</v>
      </c>
      <c r="D9" s="13" cm="1">
        <f t="array" aca="1" ref="D9" ca="1">_FV(A9,"Market cap",TRUE)</f>
        <v>82394162386.910004</v>
      </c>
      <c r="E9" s="13" t="s">
        <v>16</v>
      </c>
    </row>
    <row r="10" spans="1:6" x14ac:dyDescent="0.2">
      <c r="A10" t="e" vm="9">
        <v>#VALUE!</v>
      </c>
      <c r="B10" s="13" cm="1">
        <f t="array" aca="1" ref="B10" ca="1">_FV(A10,"Price")</f>
        <v>1.1738</v>
      </c>
      <c r="C10" t="e" cm="1" vm="10">
        <f t="array" ref="C10">_FV(A10,"Beta")</f>
        <v>#VALUE!</v>
      </c>
      <c r="D10" s="13" t="e" cm="1" vm="11">
        <f t="array" ref="D10">_FV(A10,"Market cap",TRUE)</f>
        <v>#VALUE!</v>
      </c>
      <c r="E10" s="13" t="s">
        <v>33</v>
      </c>
      <c r="F10" t="s">
        <v>32</v>
      </c>
    </row>
    <row r="11" spans="1:6" x14ac:dyDescent="0.2">
      <c r="A11" t="e" vm="12">
        <v>#VALUE!</v>
      </c>
      <c r="B11" s="13" cm="1">
        <f t="array" aca="1" ref="B11" ca="1">_FV(A11,"Price")</f>
        <v>74.59</v>
      </c>
      <c r="C11" s="14" cm="1">
        <f t="array" aca="1" ref="C11" ca="1">_FV(A11,"Beta")</f>
        <v>1.0226</v>
      </c>
      <c r="D11" s="13" cm="1">
        <f t="array" aca="1" ref="D11" ca="1">_FV(A11,"Market cap",TRUE)</f>
        <v>982808980.90999997</v>
      </c>
      <c r="E11" s="13" t="s">
        <v>14</v>
      </c>
    </row>
    <row r="12" spans="1:6" x14ac:dyDescent="0.2">
      <c r="A12" t="e" vm="13">
        <v>#VALUE!</v>
      </c>
      <c r="B12" s="16" cm="1">
        <f t="array" aca="1" ref="B12" ca="1">_FV(A12,"Price")</f>
        <v>598.73</v>
      </c>
      <c r="C12" cm="1">
        <f t="array" aca="1" ref="C12" ca="1">_FV(A12,"Beta")</f>
        <v>1.0321</v>
      </c>
      <c r="D12" s="16" cm="1">
        <f t="array" aca="1" ref="D12" ca="1">_FV(A12,"Market cap",TRUE)</f>
        <v>365550355557.59003</v>
      </c>
      <c r="E12" s="13" t="s">
        <v>7</v>
      </c>
    </row>
    <row r="13" spans="1:6" x14ac:dyDescent="0.2">
      <c r="A13" t="e" vm="14">
        <v>#VALUE!</v>
      </c>
      <c r="B13" s="13" cm="1">
        <f t="array" aca="1" ref="B13" ca="1">_FV(A13,"Price")</f>
        <v>96.5</v>
      </c>
      <c r="C13" s="14" cm="1">
        <f t="array" aca="1" ref="C13" ca="1">_FV(A13,"Beta")</f>
        <v>1.1922999999999999</v>
      </c>
      <c r="D13" s="13" cm="1">
        <f t="array" aca="1" ref="D13" ca="1">_FV(A13,"Market cap",TRUE)</f>
        <v>35770398943.690002</v>
      </c>
      <c r="E13" t="s">
        <v>10</v>
      </c>
    </row>
    <row r="14" spans="1:6" x14ac:dyDescent="0.2">
      <c r="A14" t="e" vm="15">
        <v>#VALUE!</v>
      </c>
      <c r="B14" s="13" cm="1">
        <f t="array" aca="1" ref="B14" ca="1">_FV(A14,"Price")</f>
        <v>66.760000000000005</v>
      </c>
      <c r="C14" t="e" cm="1" vm="10">
        <f t="array" ref="C14">_FV(A14,"Beta")</f>
        <v>#VALUE!</v>
      </c>
      <c r="D14" s="13" t="e" cm="1" vm="11">
        <f t="array" ref="D14">_FV(A14,"Market cap",TRUE)</f>
        <v>#VALUE!</v>
      </c>
      <c r="E14" t="s">
        <v>10</v>
      </c>
    </row>
    <row r="15" spans="1:6" x14ac:dyDescent="0.2">
      <c r="B15" s="13"/>
      <c r="C15" s="14"/>
      <c r="D15" s="1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6"/>
  <sheetViews>
    <sheetView workbookViewId="0">
      <selection activeCell="D28" sqref="D28"/>
    </sheetView>
  </sheetViews>
  <sheetFormatPr baseColWidth="10" defaultColWidth="10.83203125" defaultRowHeight="16" x14ac:dyDescent="0.2"/>
  <cols>
    <col min="1" max="2" width="10.83203125" style="1"/>
    <col min="3" max="3" width="21.5" style="1" customWidth="1"/>
    <col min="4" max="4" width="20.83203125" style="1" customWidth="1"/>
    <col min="5" max="16384" width="10.83203125" style="1"/>
  </cols>
  <sheetData>
    <row r="1" spans="1:4" x14ac:dyDescent="0.2">
      <c r="A1" s="3" t="s">
        <v>1</v>
      </c>
      <c r="B1" s="3" t="s">
        <v>11</v>
      </c>
      <c r="C1" s="3" t="s">
        <v>12</v>
      </c>
      <c r="D1" s="3" t="s">
        <v>13</v>
      </c>
    </row>
    <row r="2" spans="1:4" x14ac:dyDescent="0.2">
      <c r="A2" s="1" t="s">
        <v>7</v>
      </c>
      <c r="B2" s="1">
        <v>12.5</v>
      </c>
    </row>
    <row r="3" spans="1:4" x14ac:dyDescent="0.2">
      <c r="A3" s="1" t="s">
        <v>14</v>
      </c>
      <c r="B3" s="1">
        <v>15</v>
      </c>
      <c r="C3" s="1" t="s">
        <v>15</v>
      </c>
      <c r="D3" s="2">
        <v>45929.626423611109</v>
      </c>
    </row>
    <row r="4" spans="1:4" x14ac:dyDescent="0.2">
      <c r="A4" s="1" t="s">
        <v>16</v>
      </c>
      <c r="B4" s="1">
        <v>8.98</v>
      </c>
      <c r="C4" s="1" t="s">
        <v>15</v>
      </c>
      <c r="D4" s="2">
        <v>45929.629166666666</v>
      </c>
    </row>
    <row r="5" spans="1:4" x14ac:dyDescent="0.2">
      <c r="A5" s="1" t="s">
        <v>17</v>
      </c>
      <c r="B5" s="1">
        <v>12</v>
      </c>
      <c r="C5" s="1" t="s">
        <v>18</v>
      </c>
      <c r="D5" s="2">
        <v>45929.636111111111</v>
      </c>
    </row>
    <row r="6" spans="1:4" x14ac:dyDescent="0.2">
      <c r="A6" s="1" t="s">
        <v>10</v>
      </c>
      <c r="B6" s="1">
        <v>100</v>
      </c>
      <c r="C6" s="1" t="s">
        <v>18</v>
      </c>
      <c r="D6" s="2">
        <v>45929.890868055554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H5"/>
  <sheetViews>
    <sheetView zoomScale="110" workbookViewId="0">
      <selection activeCell="G12" sqref="G12"/>
    </sheetView>
  </sheetViews>
  <sheetFormatPr baseColWidth="10" defaultColWidth="10.83203125" defaultRowHeight="16" x14ac:dyDescent="0.2"/>
  <cols>
    <col min="1" max="1" width="13" bestFit="1" customWidth="1"/>
    <col min="2" max="2" width="10" bestFit="1" customWidth="1"/>
    <col min="3" max="3" width="12.6640625" bestFit="1" customWidth="1"/>
    <col min="4" max="4" width="13" bestFit="1" customWidth="1"/>
    <col min="5" max="5" width="13.6640625" bestFit="1" customWidth="1"/>
    <col min="6" max="6" width="9.6640625" bestFit="1" customWidth="1"/>
    <col min="7" max="7" width="21.5" bestFit="1" customWidth="1"/>
    <col min="8" max="8" width="2.1640625" bestFit="1" customWidth="1"/>
  </cols>
  <sheetData>
    <row r="1" spans="1:8" s="4" customFormat="1" x14ac:dyDescent="0.2">
      <c r="A1" s="6" t="s">
        <v>19</v>
      </c>
      <c r="B1" s="6" t="s">
        <v>1</v>
      </c>
      <c r="C1" s="6" t="s">
        <v>20</v>
      </c>
      <c r="D1" s="6" t="s">
        <v>23</v>
      </c>
      <c r="E1" s="6" t="s">
        <v>24</v>
      </c>
      <c r="H1" s="10"/>
    </row>
    <row r="2" spans="1:8" x14ac:dyDescent="0.2">
      <c r="A2" s="7" t="s">
        <v>6</v>
      </c>
      <c r="B2" s="7" t="s">
        <v>7</v>
      </c>
      <c r="C2" s="11" t="s">
        <v>25</v>
      </c>
      <c r="D2" s="8">
        <v>3125</v>
      </c>
      <c r="E2" s="9">
        <v>12.5</v>
      </c>
      <c r="G2" s="4"/>
      <c r="H2" s="5"/>
    </row>
    <row r="3" spans="1:8" x14ac:dyDescent="0.2">
      <c r="A3" s="7" t="s">
        <v>8</v>
      </c>
      <c r="B3" s="7" t="s">
        <v>14</v>
      </c>
      <c r="C3" s="11" t="s">
        <v>26</v>
      </c>
      <c r="D3" s="8">
        <v>2250</v>
      </c>
      <c r="E3" s="9">
        <v>15</v>
      </c>
      <c r="G3" s="4"/>
      <c r="H3" s="5"/>
    </row>
    <row r="4" spans="1:8" x14ac:dyDescent="0.2">
      <c r="A4" s="7" t="s">
        <v>9</v>
      </c>
      <c r="B4" s="7" t="s">
        <v>10</v>
      </c>
      <c r="C4" s="11" t="s">
        <v>27</v>
      </c>
      <c r="D4" s="8">
        <v>-800</v>
      </c>
      <c r="E4" s="9">
        <v>-8</v>
      </c>
    </row>
    <row r="5" spans="1:8" s="4" customFormat="1" x14ac:dyDescent="0.2">
      <c r="A5" s="4" t="s">
        <v>28</v>
      </c>
      <c r="D5" s="4">
        <v>4575</v>
      </c>
      <c r="E5" s="12">
        <v>9.15</v>
      </c>
    </row>
  </sheetData>
  <conditionalFormatting sqref="D2:D4">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4"/>
  <sheetViews>
    <sheetView zoomScale="125" workbookViewId="0"/>
  </sheetViews>
  <sheetFormatPr baseColWidth="10" defaultRowHeight="16" x14ac:dyDescent="0.2"/>
  <cols>
    <col min="1" max="1" width="13.5" bestFit="1" customWidth="1"/>
    <col min="2" max="2" width="10.5" bestFit="1" customWidth="1"/>
    <col min="3" max="3" width="9.6640625" bestFit="1" customWidth="1"/>
    <col min="4" max="4" width="22.5" bestFit="1" customWidth="1"/>
  </cols>
  <sheetData>
    <row r="1" spans="1:4" x14ac:dyDescent="0.2">
      <c r="A1" s="4" t="s">
        <v>19</v>
      </c>
      <c r="B1" s="4" t="s">
        <v>1</v>
      </c>
      <c r="C1" s="4" t="s">
        <v>21</v>
      </c>
      <c r="D1" s="4" t="s">
        <v>22</v>
      </c>
    </row>
    <row r="2" spans="1:4" x14ac:dyDescent="0.2">
      <c r="A2" t="s">
        <v>6</v>
      </c>
      <c r="B2" t="s">
        <v>7</v>
      </c>
      <c r="C2">
        <v>-67.5</v>
      </c>
      <c r="D2">
        <v>-70.5</v>
      </c>
    </row>
    <row r="3" spans="1:4" x14ac:dyDescent="0.2">
      <c r="A3" t="s">
        <v>8</v>
      </c>
      <c r="B3" t="s">
        <v>14</v>
      </c>
      <c r="C3">
        <v>-73.5</v>
      </c>
      <c r="D3">
        <v>-74.400000000000006</v>
      </c>
    </row>
    <row r="4" spans="1:4" x14ac:dyDescent="0.2">
      <c r="A4" t="s">
        <v>9</v>
      </c>
      <c r="B4" t="s">
        <v>10</v>
      </c>
      <c r="C4">
        <v>-120</v>
      </c>
      <c r="D4">
        <v>-131.19999999999999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baseColWidth="10" defaultColWidth="10.83203125"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Portfolio</vt:lpstr>
      <vt:lpstr>Market_Data</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2025-09-30T11:27:15Z</dcterms:modified>
</cp:coreProperties>
</file>