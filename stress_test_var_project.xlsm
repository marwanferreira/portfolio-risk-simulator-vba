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dsupportingpropertybagstructure.xml" ContentType="application/vnd.ms-excel.rdsupportingpropertybagstructure+xml"/>
  <Override PartName="/xl/richData/richStyles.xml" ContentType="application/vnd.ms-excel.richstyles+xml"/>
  <Override PartName="/xl/richData/rdarray.xml" ContentType="application/vnd.ms-excel.rdarray+xml"/>
  <Override PartName="/xl/richData/rdRichValueTypes.xml" ContentType="application/vnd.ms-excel.rdrichvaluetypes+xml"/>
  <Override PartName="/xl/richData/rdrichvaluestructure.xml" ContentType="application/vnd.ms-excel.rdrichvaluestructure+xml"/>
  <Override PartName="/xl/richData/rdsupportingpropertybag.xml" ContentType="application/vnd.ms-excel.rdsupportingpropertybag+xml"/>
  <Override PartName="/xl/richData/rdrichvalue.xml" ContentType="application/vnd.ms-excel.rdrichvalu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H:\Documents\VBA\portfolio-risk-simulator-vba\"/>
    </mc:Choice>
  </mc:AlternateContent>
  <xr:revisionPtr revIDLastSave="0" documentId="8_{74ECC423-05C0-4447-BE17-CAF6E8CA5811}" xr6:coauthVersionLast="36" xr6:coauthVersionMax="36" xr10:uidLastSave="{00000000-0000-0000-0000-000000000000}"/>
  <bookViews>
    <workbookView xWindow="0" yWindow="0" windowWidth="23040" windowHeight="8484"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P2" i="8" l="1" a="1"/>
  <c r="CN2" i="8" a="1"/>
  <c r="CL2" i="8" a="1"/>
  <c r="CJ2" i="8" a="1"/>
  <c r="CH2" i="8" a="1"/>
  <c r="CF2" i="8" a="1"/>
  <c r="CD2" i="8" a="1"/>
  <c r="CB2" i="8" a="1"/>
  <c r="BZ2" i="8" a="1"/>
  <c r="BX2" i="8" a="1"/>
  <c r="BV2" i="8" a="1"/>
  <c r="BT2" i="8" a="1"/>
  <c r="BR2" i="8" a="1"/>
  <c r="BP2" i="8" a="1"/>
  <c r="BN2" i="8" a="1"/>
  <c r="BL2" i="8" a="1"/>
  <c r="BJ2" i="8" a="1"/>
  <c r="BH2" i="8" a="1"/>
  <c r="BF2" i="8" a="1"/>
  <c r="BD2" i="8" a="1"/>
  <c r="BB2" i="8" a="1"/>
  <c r="AZ2" i="8" a="1"/>
  <c r="AX2" i="8" a="1"/>
  <c r="AV2" i="8" a="1"/>
  <c r="AT2" i="8" a="1"/>
  <c r="AR2" i="8" a="1"/>
  <c r="AP2" i="8" a="1"/>
  <c r="AN2" i="8" a="1"/>
  <c r="AL2" i="8" a="1"/>
  <c r="AJ2" i="8" a="1"/>
  <c r="AH2" i="8" a="1"/>
  <c r="AF2" i="8" a="1"/>
  <c r="AD2" i="8" a="1"/>
  <c r="AB2" i="8" a="1"/>
  <c r="Z2" i="8" a="1"/>
  <c r="X2" i="8" a="1"/>
  <c r="B49" i="2" a="1"/>
  <c r="B49" i="2" s="1"/>
  <c r="C49" i="2" a="1"/>
  <c r="C49" i="2" s="1"/>
  <c r="D49" i="2" a="1"/>
  <c r="D49" i="2" s="1"/>
  <c r="G49" i="2" a="1"/>
  <c r="G49" i="2" s="1"/>
  <c r="B48" i="2" a="1"/>
  <c r="B48" i="2" s="1"/>
  <c r="C48" i="2" a="1"/>
  <c r="C48" i="2" s="1"/>
  <c r="D48" i="2" a="1"/>
  <c r="D48" i="2" s="1"/>
  <c r="G48" i="2" a="1"/>
  <c r="G48" i="2" s="1"/>
  <c r="B47" i="2" a="1"/>
  <c r="B47" i="2" s="1"/>
  <c r="C47" i="2" a="1"/>
  <c r="C47" i="2" s="1"/>
  <c r="D47" i="2" a="1"/>
  <c r="D47" i="2" s="1"/>
  <c r="G47" i="2" a="1"/>
  <c r="G47" i="2" s="1"/>
  <c r="B46" i="2" a="1"/>
  <c r="B46" i="2" s="1"/>
  <c r="C46" i="2" a="1"/>
  <c r="C46" i="2" s="1"/>
  <c r="D46" i="2" a="1"/>
  <c r="D46" i="2" s="1"/>
  <c r="G46" i="2" a="1"/>
  <c r="G46" i="2" s="1"/>
  <c r="B44" i="2" a="1"/>
  <c r="B44" i="2" s="1"/>
  <c r="C44" i="2" a="1"/>
  <c r="C44" i="2" s="1"/>
  <c r="D44" i="2" a="1"/>
  <c r="D44" i="2" s="1"/>
  <c r="G44" i="2" a="1"/>
  <c r="G44" i="2" s="1"/>
  <c r="B43" i="2" a="1"/>
  <c r="B43" i="2" s="1"/>
  <c r="C43" i="2" a="1"/>
  <c r="C43" i="2" s="1"/>
  <c r="D43" i="2" a="1"/>
  <c r="D43" i="2" s="1"/>
  <c r="G43" i="2" a="1"/>
  <c r="G43" i="2" s="1"/>
  <c r="B42" i="2" a="1"/>
  <c r="B42" i="2" s="1"/>
  <c r="C42" i="2" a="1"/>
  <c r="C42" i="2" s="1"/>
  <c r="D42" i="2" a="1"/>
  <c r="D42" i="2" s="1"/>
  <c r="G42" i="2" a="1"/>
  <c r="G42" i="2" s="1"/>
  <c r="B41" i="2" a="1"/>
  <c r="B41" i="2" s="1"/>
  <c r="C41" i="2" a="1"/>
  <c r="C41" i="2" s="1"/>
  <c r="D41" i="2" a="1"/>
  <c r="D41" i="2" s="1"/>
  <c r="G41" i="2" a="1"/>
  <c r="G41" i="2" s="1"/>
  <c r="B40" i="2" a="1"/>
  <c r="B40" i="2" s="1"/>
  <c r="C40" i="2" a="1"/>
  <c r="C40" i="2" s="1"/>
  <c r="D40" i="2" a="1"/>
  <c r="D40" i="2" s="1"/>
  <c r="G40" i="2" a="1"/>
  <c r="G40" i="2" s="1"/>
  <c r="B39" i="2" a="1"/>
  <c r="B39" i="2" s="1"/>
  <c r="C39" i="2" a="1"/>
  <c r="C39" i="2" s="1"/>
  <c r="D39" i="2" a="1"/>
  <c r="D39" i="2" s="1"/>
  <c r="G39" i="2" a="1"/>
  <c r="G39" i="2" s="1"/>
  <c r="B38" i="2" a="1"/>
  <c r="B38" i="2" s="1"/>
  <c r="C38" i="2" a="1"/>
  <c r="C38" i="2" s="1"/>
  <c r="D38" i="2" a="1"/>
  <c r="D38" i="2" s="1"/>
  <c r="G38" i="2" a="1"/>
  <c r="G38" i="2" s="1"/>
  <c r="B37" i="2" a="1"/>
  <c r="B37" i="2" s="1"/>
  <c r="C37" i="2" a="1"/>
  <c r="C37" i="2" s="1"/>
  <c r="D37" i="2" a="1"/>
  <c r="D37" i="2" s="1"/>
  <c r="G37" i="2" a="1"/>
  <c r="G37" i="2" s="1"/>
  <c r="B36" i="2" a="1"/>
  <c r="B36" i="2" s="1"/>
  <c r="C36" i="2" a="1"/>
  <c r="C36" i="2" s="1"/>
  <c r="D36" i="2" a="1"/>
  <c r="D36" i="2" s="1"/>
  <c r="G36" i="2" a="1"/>
  <c r="G36" i="2" s="1"/>
  <c r="B35" i="2" a="1"/>
  <c r="B35" i="2" s="1"/>
  <c r="C35" i="2" a="1"/>
  <c r="C35" i="2" s="1"/>
  <c r="D35" i="2" a="1"/>
  <c r="D35" i="2" s="1"/>
  <c r="G35" i="2" a="1"/>
  <c r="G35" i="2" s="1"/>
  <c r="B34" i="2" a="1"/>
  <c r="B34" i="2" s="1"/>
  <c r="C34" i="2" a="1"/>
  <c r="C34" i="2" s="1"/>
  <c r="D34" i="2" a="1"/>
  <c r="D34" i="2" s="1"/>
  <c r="G34" i="2" a="1"/>
  <c r="G34" i="2" s="1"/>
  <c r="B33" i="2" a="1"/>
  <c r="B33" i="2" s="1"/>
  <c r="C33" i="2" a="1"/>
  <c r="C33" i="2" s="1"/>
  <c r="D33" i="2" a="1"/>
  <c r="D33" i="2" s="1"/>
  <c r="G33" i="2" a="1"/>
  <c r="G33" i="2" s="1"/>
  <c r="B32" i="2" a="1"/>
  <c r="B32" i="2" s="1"/>
  <c r="C32" i="2" a="1"/>
  <c r="C32" i="2" s="1"/>
  <c r="D32" i="2" a="1"/>
  <c r="D32" i="2" s="1"/>
  <c r="G32" i="2" a="1"/>
  <c r="G32" i="2" s="1"/>
  <c r="B31" i="2" a="1"/>
  <c r="B31" i="2" s="1"/>
  <c r="C31" i="2" a="1"/>
  <c r="C31" i="2" s="1"/>
  <c r="D31" i="2" a="1"/>
  <c r="D31" i="2" s="1"/>
  <c r="G31" i="2" a="1"/>
  <c r="G31" i="2" s="1"/>
  <c r="B30" i="2" a="1"/>
  <c r="B30" i="2" s="1"/>
  <c r="C30" i="2" a="1"/>
  <c r="C30" i="2" s="1"/>
  <c r="D30" i="2" a="1"/>
  <c r="D30" i="2" s="1"/>
  <c r="G30" i="2" a="1"/>
  <c r="G30" i="2" s="1"/>
  <c r="B29" i="2" a="1"/>
  <c r="B29" i="2" s="1"/>
  <c r="C29" i="2" a="1"/>
  <c r="C29" i="2" s="1"/>
  <c r="D29" i="2" a="1"/>
  <c r="D29" i="2" s="1"/>
  <c r="G29" i="2" a="1"/>
  <c r="G29" i="2" s="1"/>
  <c r="B28" i="2" a="1"/>
  <c r="B28" i="2" s="1"/>
  <c r="C28" i="2" a="1"/>
  <c r="C28" i="2" s="1"/>
  <c r="D28" i="2" a="1"/>
  <c r="D28" i="2" s="1"/>
  <c r="G28" i="2" a="1"/>
  <c r="G28" i="2" s="1"/>
  <c r="B27" i="2" a="1"/>
  <c r="B27" i="2" s="1"/>
  <c r="C27" i="2" a="1"/>
  <c r="C27" i="2" s="1"/>
  <c r="D27" i="2" a="1"/>
  <c r="D27" i="2" s="1"/>
  <c r="G27" i="2" a="1"/>
  <c r="G27" i="2" s="1"/>
  <c r="B26" i="2" a="1"/>
  <c r="B26" i="2" s="1"/>
  <c r="C26" i="2" a="1"/>
  <c r="C26" i="2" s="1"/>
  <c r="D26" i="2" a="1"/>
  <c r="D26" i="2" s="1"/>
  <c r="G26" i="2" a="1"/>
  <c r="G26" i="2" s="1"/>
  <c r="B25" i="2" a="1"/>
  <c r="B25" i="2" s="1"/>
  <c r="C25" i="2" a="1"/>
  <c r="C25" i="2" s="1"/>
  <c r="D25" i="2" a="1"/>
  <c r="D25" i="2" s="1"/>
  <c r="G25" i="2" a="1"/>
  <c r="G25" i="2" s="1"/>
  <c r="B24" i="2" a="1"/>
  <c r="B24" i="2" s="1"/>
  <c r="C24" i="2" a="1"/>
  <c r="C24" i="2" s="1"/>
  <c r="D24" i="2" a="1"/>
  <c r="D24" i="2" s="1"/>
  <c r="G24" i="2" a="1"/>
  <c r="G24" i="2" s="1"/>
  <c r="B23" i="2" a="1"/>
  <c r="B23" i="2" s="1"/>
  <c r="C23" i="2" a="1"/>
  <c r="C23" i="2" s="1"/>
  <c r="D23" i="2" a="1"/>
  <c r="D23" i="2" s="1"/>
  <c r="G23" i="2" a="1"/>
  <c r="G23" i="2" s="1"/>
  <c r="B22" i="2" a="1"/>
  <c r="B22" i="2" s="1"/>
  <c r="C22" i="2" a="1"/>
  <c r="C22" i="2" s="1"/>
  <c r="D22" i="2" a="1"/>
  <c r="D22" i="2" s="1"/>
  <c r="G22" i="2" a="1"/>
  <c r="G22" i="2" s="1"/>
  <c r="B21" i="2" a="1"/>
  <c r="B21" i="2" s="1"/>
  <c r="C21" i="2" a="1"/>
  <c r="C21" i="2" s="1"/>
  <c r="D21" i="2" a="1"/>
  <c r="D21" i="2" s="1"/>
  <c r="G21" i="2" a="1"/>
  <c r="G21" i="2" s="1"/>
  <c r="B20" i="2" a="1"/>
  <c r="B20" i="2" s="1"/>
  <c r="C20" i="2" a="1"/>
  <c r="C20" i="2" s="1"/>
  <c r="D20" i="2" a="1"/>
  <c r="D20" i="2" s="1"/>
  <c r="G20" i="2" a="1"/>
  <c r="G20" i="2" s="1"/>
  <c r="B19" i="2" a="1"/>
  <c r="B19" i="2" s="1"/>
  <c r="C19" i="2" a="1"/>
  <c r="C19" i="2" s="1"/>
  <c r="D19" i="2" a="1"/>
  <c r="D19" i="2" s="1"/>
  <c r="G19" i="2" a="1"/>
  <c r="G19" i="2" s="1"/>
  <c r="B18" i="2" a="1"/>
  <c r="B18" i="2" s="1"/>
  <c r="C18" i="2" a="1"/>
  <c r="C18" i="2" s="1"/>
  <c r="D18" i="2" a="1"/>
  <c r="D18" i="2" s="1"/>
  <c r="G18" i="2" a="1"/>
  <c r="G18" i="2" s="1"/>
  <c r="B17" i="2" a="1"/>
  <c r="B17" i="2" s="1"/>
  <c r="C17" i="2" a="1"/>
  <c r="C17" i="2" s="1"/>
  <c r="D17" i="2" a="1"/>
  <c r="D17" i="2" s="1"/>
  <c r="G17" i="2" a="1"/>
  <c r="G17" i="2" s="1"/>
  <c r="C16" i="2" a="1"/>
  <c r="C16" i="2" s="1"/>
  <c r="D16" i="2" a="1"/>
  <c r="D16" i="2" s="1"/>
  <c r="G16" i="2" a="1"/>
  <c r="G16" i="2" s="1"/>
  <c r="B16" i="2" a="1"/>
  <c r="B16" i="2" s="1"/>
  <c r="G15" i="2" a="1"/>
  <c r="G15" i="2" s="1"/>
  <c r="D15" i="2" a="1"/>
  <c r="D15" i="2" s="1"/>
  <c r="C15" i="2" a="1"/>
  <c r="C15" i="2" s="1"/>
  <c r="B15" i="2" a="1"/>
  <c r="B15" i="2" s="1"/>
  <c r="G14" i="2" a="1"/>
  <c r="G14" i="2" s="1"/>
  <c r="D11" i="2" a="1"/>
  <c r="D11" i="2" s="1"/>
  <c r="D12" i="2" a="1"/>
  <c r="D12" i="2" s="1"/>
  <c r="D13" i="2" a="1"/>
  <c r="D13" i="2" s="1"/>
  <c r="D14" i="2" a="1"/>
  <c r="D14" i="2" s="1"/>
  <c r="C14" i="2" a="1"/>
  <c r="C14" i="2" s="1"/>
  <c r="B14" i="2" a="1"/>
  <c r="B14" i="2" s="1"/>
  <c r="N2" i="8" a="1"/>
  <c r="N2" i="8" s="1"/>
  <c r="V2" i="8" a="1"/>
  <c r="G2" i="2"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D2" i="2" a="1"/>
  <c r="D2" i="2" s="1"/>
  <c r="D3" i="2" a="1"/>
  <c r="D3" i="2" s="1"/>
  <c r="D4" i="2" a="1"/>
  <c r="D4" i="2" s="1"/>
  <c r="D5" i="2" a="1"/>
  <c r="D5" i="2" s="1"/>
  <c r="D6" i="2" a="1"/>
  <c r="D6" i="2" s="1"/>
  <c r="D7" i="2" a="1"/>
  <c r="D7" i="2" s="1"/>
  <c r="D8" i="2" a="1"/>
  <c r="D8" i="2" s="1"/>
  <c r="D9" i="2" a="1"/>
  <c r="D9" i="2" s="1"/>
  <c r="D10" i="2" a="1"/>
  <c r="D10" i="2" s="1"/>
  <c r="C9" i="2" a="1"/>
  <c r="C9" i="2" s="1"/>
  <c r="C10" i="2" a="1"/>
  <c r="C10" i="2" s="1"/>
  <c r="C11" i="2" a="1"/>
  <c r="C11" i="2" s="1"/>
  <c r="C12" i="2" a="1"/>
  <c r="C12" i="2" s="1"/>
  <c r="C13" i="2" a="1"/>
  <c r="C13" i="2" s="1"/>
  <c r="B9" i="2" a="1"/>
  <c r="B9" i="2" s="1"/>
  <c r="B10" i="2" a="1"/>
  <c r="B10" i="2" s="1"/>
  <c r="B11" i="2" a="1"/>
  <c r="B11" i="2" s="1"/>
  <c r="B12" i="2" a="1"/>
  <c r="B12" i="2" s="1"/>
  <c r="B13" i="2" a="1"/>
  <c r="B13"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L2" i="8" a="1"/>
  <c r="A2" i="8" a="1"/>
  <c r="D2" i="8" a="1"/>
  <c r="P2" i="8" a="1"/>
  <c r="T2" i="8" a="1"/>
  <c r="H2" i="8" a="1"/>
  <c r="J2" i="8" a="1"/>
  <c r="R2" i="8" a="1"/>
  <c r="F2" i="8" a="1"/>
  <c r="F16" i="2" l="1"/>
  <c r="CP2" i="8"/>
  <c r="CN2" i="8"/>
  <c r="CL2" i="8"/>
  <c r="CJ2" i="8"/>
  <c r="CH2" i="8"/>
  <c r="G45" i="2" a="1"/>
  <c r="G45" i="2" s="1"/>
  <c r="D45" i="2" a="1"/>
  <c r="D45" i="2" s="1"/>
  <c r="C45" i="2" a="1"/>
  <c r="C45" i="2" s="1"/>
  <c r="B45" i="2" a="1"/>
  <c r="B45" i="2" s="1"/>
  <c r="CD2" i="8"/>
  <c r="CF2" i="8"/>
  <c r="CB2" i="8"/>
  <c r="BZ2" i="8"/>
  <c r="BX2" i="8"/>
  <c r="BV2" i="8"/>
  <c r="BT2" i="8"/>
  <c r="BR2" i="8"/>
  <c r="BP2" i="8"/>
  <c r="BN2" i="8"/>
  <c r="BL2" i="8"/>
  <c r="BJ2" i="8"/>
  <c r="BH2" i="8"/>
  <c r="BF2" i="8"/>
  <c r="BD2" i="8"/>
  <c r="BB2" i="8"/>
  <c r="AZ2" i="8"/>
  <c r="AX2" i="8"/>
  <c r="AV2" i="8"/>
  <c r="AT2" i="8"/>
  <c r="AR2" i="8"/>
  <c r="AP2" i="8"/>
  <c r="AN2" i="8"/>
  <c r="AL2" i="8"/>
  <c r="AJ2" i="8"/>
  <c r="AH2" i="8"/>
  <c r="AF2" i="8"/>
  <c r="AD2" i="8"/>
  <c r="AB2" i="8"/>
  <c r="Z2" i="8"/>
  <c r="X2" i="8"/>
  <c r="F49" i="2"/>
  <c r="F48" i="2"/>
  <c r="F47" i="2"/>
  <c r="F46" i="2"/>
  <c r="F44" i="2"/>
  <c r="F43" i="2"/>
  <c r="F42" i="2"/>
  <c r="F41" i="2"/>
  <c r="F40" i="2"/>
  <c r="F7" i="2"/>
  <c r="F8" i="2"/>
  <c r="F5" i="2"/>
  <c r="F6" i="2"/>
  <c r="F39" i="2"/>
  <c r="F38" i="2"/>
  <c r="F37" i="2"/>
  <c r="F36" i="2"/>
  <c r="F35" i="2"/>
  <c r="F34" i="2"/>
  <c r="F33" i="2"/>
  <c r="F32" i="2"/>
  <c r="F31" i="2"/>
  <c r="F30" i="2"/>
  <c r="F29" i="2"/>
  <c r="F3" i="2"/>
  <c r="F17" i="2"/>
  <c r="F28" i="2"/>
  <c r="F27" i="2"/>
  <c r="F26" i="2"/>
  <c r="F25" i="2"/>
  <c r="F24" i="2"/>
  <c r="F15" i="2"/>
  <c r="F9" i="2"/>
  <c r="F10" i="2"/>
  <c r="F11" i="2"/>
  <c r="F12" i="2"/>
  <c r="F13" i="2"/>
  <c r="F2" i="2"/>
  <c r="F4" i="2"/>
  <c r="F14" i="2"/>
  <c r="F23" i="2"/>
  <c r="F22" i="2"/>
  <c r="F21" i="2"/>
  <c r="F20" i="2"/>
  <c r="F19" i="2"/>
  <c r="F18" i="2"/>
  <c r="V2" i="8"/>
  <c r="T2" i="8"/>
  <c r="R2" i="8"/>
  <c r="P2" i="8"/>
  <c r="L2" i="8"/>
  <c r="J2" i="8"/>
  <c r="H2" i="8"/>
  <c r="F2" i="8"/>
  <c r="D2" i="8"/>
  <c r="A2" i="8"/>
  <c r="F45" i="2" l="1"/>
  <c r="CP252" i="8" l="1"/>
  <c r="CP251" i="8"/>
  <c r="CP250" i="8"/>
  <c r="CP249" i="8"/>
  <c r="CP248" i="8"/>
  <c r="CP247" i="8"/>
  <c r="CP246" i="8"/>
  <c r="CP245" i="8"/>
  <c r="CP244" i="8"/>
  <c r="CP243" i="8"/>
  <c r="CP242" i="8"/>
  <c r="CP241" i="8"/>
  <c r="CP240" i="8"/>
  <c r="CP239" i="8"/>
  <c r="CP238" i="8"/>
  <c r="CP237" i="8"/>
  <c r="CP236" i="8"/>
  <c r="CP235" i="8"/>
  <c r="CP234" i="8"/>
  <c r="CP233" i="8"/>
  <c r="CP232" i="8"/>
  <c r="CP231" i="8"/>
  <c r="CP230" i="8"/>
  <c r="CP229" i="8"/>
  <c r="CP228" i="8"/>
  <c r="CP227" i="8"/>
  <c r="CP226" i="8"/>
  <c r="CP225" i="8"/>
  <c r="CP224" i="8"/>
  <c r="CP223" i="8"/>
  <c r="CP222" i="8"/>
  <c r="CP221" i="8"/>
  <c r="CP220" i="8"/>
  <c r="CP219" i="8"/>
  <c r="CP218" i="8"/>
  <c r="CP217" i="8"/>
  <c r="CP216" i="8"/>
  <c r="CP215" i="8"/>
  <c r="CP214" i="8"/>
  <c r="CP213" i="8"/>
  <c r="CP212" i="8"/>
  <c r="CP211" i="8"/>
  <c r="CP210" i="8"/>
  <c r="CP209" i="8"/>
  <c r="CP208" i="8"/>
  <c r="CP207" i="8"/>
  <c r="CP206" i="8"/>
  <c r="CP205" i="8"/>
  <c r="CP204" i="8"/>
  <c r="CP203" i="8"/>
  <c r="CP202" i="8"/>
  <c r="CP201" i="8"/>
  <c r="CP200" i="8"/>
  <c r="CP199" i="8"/>
  <c r="CP198" i="8"/>
  <c r="CP197" i="8"/>
  <c r="CP196" i="8"/>
  <c r="CP195" i="8"/>
  <c r="CP194" i="8"/>
  <c r="CP193" i="8"/>
  <c r="CP192" i="8"/>
  <c r="CP191" i="8"/>
  <c r="CP190" i="8"/>
  <c r="CP189" i="8"/>
  <c r="CP188" i="8"/>
  <c r="CP187" i="8"/>
  <c r="CP186" i="8"/>
  <c r="CP185" i="8"/>
  <c r="CP184" i="8"/>
  <c r="CP183" i="8"/>
  <c r="CP182" i="8"/>
  <c r="CP181" i="8"/>
  <c r="CP180" i="8"/>
  <c r="CP179" i="8"/>
  <c r="CP178" i="8"/>
  <c r="CP177" i="8"/>
  <c r="CP176" i="8"/>
  <c r="CP175" i="8"/>
  <c r="CP174" i="8"/>
  <c r="CP173" i="8"/>
  <c r="CP172" i="8"/>
  <c r="CP171" i="8"/>
  <c r="CP170" i="8"/>
  <c r="CP169" i="8"/>
  <c r="CP168" i="8"/>
  <c r="CP167" i="8"/>
  <c r="CP166" i="8"/>
  <c r="CP165" i="8"/>
  <c r="CP164" i="8"/>
  <c r="CP163" i="8"/>
  <c r="CP162" i="8"/>
  <c r="CP161" i="8"/>
  <c r="CP160" i="8"/>
  <c r="CP159" i="8"/>
  <c r="CP158" i="8"/>
  <c r="CP157" i="8"/>
  <c r="CP156" i="8"/>
  <c r="CP155" i="8"/>
  <c r="CP154" i="8"/>
  <c r="CP153" i="8"/>
  <c r="CP152" i="8"/>
  <c r="CP151" i="8"/>
  <c r="CP150" i="8"/>
  <c r="CP149" i="8"/>
  <c r="CP148" i="8"/>
  <c r="CP147" i="8"/>
  <c r="CP146" i="8"/>
  <c r="CP145" i="8"/>
  <c r="CP144" i="8"/>
  <c r="CP143" i="8"/>
  <c r="CP142" i="8"/>
  <c r="CP141" i="8"/>
  <c r="CP140" i="8"/>
  <c r="CP139" i="8"/>
  <c r="CP138" i="8"/>
  <c r="CP137" i="8"/>
  <c r="CP136" i="8"/>
  <c r="CP135" i="8"/>
  <c r="CP134" i="8"/>
  <c r="CP133" i="8"/>
  <c r="CP132" i="8"/>
  <c r="CP131" i="8"/>
  <c r="CP130" i="8"/>
  <c r="CP129" i="8"/>
  <c r="CP128" i="8"/>
  <c r="CP127" i="8"/>
  <c r="CP126" i="8"/>
  <c r="CP125" i="8"/>
  <c r="CP124" i="8"/>
  <c r="CP123" i="8"/>
  <c r="CP122" i="8"/>
  <c r="CP121" i="8"/>
  <c r="CP120" i="8"/>
  <c r="CP119" i="8"/>
  <c r="CP118" i="8"/>
  <c r="CP117" i="8"/>
  <c r="CP116" i="8"/>
  <c r="CP115" i="8"/>
  <c r="CP114" i="8"/>
  <c r="CP113" i="8"/>
  <c r="CP112" i="8"/>
  <c r="CP111" i="8"/>
  <c r="CP110" i="8"/>
  <c r="CP109" i="8"/>
  <c r="CP108" i="8"/>
  <c r="CP107" i="8"/>
  <c r="CP106" i="8"/>
  <c r="CP105" i="8"/>
  <c r="CP104" i="8"/>
  <c r="CP103" i="8"/>
  <c r="CP102" i="8"/>
  <c r="CP101" i="8"/>
  <c r="CP100" i="8"/>
  <c r="CP99" i="8"/>
  <c r="CP98" i="8"/>
  <c r="CP97" i="8"/>
  <c r="CP96" i="8"/>
  <c r="CP95" i="8"/>
  <c r="CP94" i="8"/>
  <c r="CP93" i="8"/>
  <c r="CP92" i="8"/>
  <c r="CP91" i="8"/>
  <c r="CP90" i="8"/>
  <c r="CP89" i="8"/>
  <c r="CP88" i="8"/>
  <c r="CP87" i="8"/>
  <c r="CP86" i="8"/>
  <c r="CP85" i="8"/>
  <c r="CP84" i="8"/>
  <c r="CP83" i="8"/>
  <c r="CP82" i="8"/>
  <c r="CP81" i="8"/>
  <c r="CP80" i="8"/>
  <c r="CP79" i="8"/>
  <c r="CP78" i="8"/>
  <c r="CP77" i="8"/>
  <c r="CP76" i="8"/>
  <c r="CP75" i="8"/>
  <c r="CP74" i="8"/>
  <c r="CP73" i="8"/>
  <c r="CP72" i="8"/>
  <c r="CP71" i="8"/>
  <c r="CP70" i="8"/>
  <c r="CP69" i="8"/>
  <c r="CP68" i="8"/>
  <c r="CP67" i="8"/>
  <c r="CP66" i="8"/>
  <c r="CP65" i="8"/>
  <c r="CP64" i="8"/>
  <c r="CP63" i="8"/>
  <c r="CP62" i="8"/>
  <c r="CP61" i="8"/>
  <c r="CP60" i="8"/>
  <c r="CP59" i="8"/>
  <c r="CP58" i="8"/>
  <c r="CP57" i="8"/>
  <c r="CP56" i="8"/>
  <c r="CP55" i="8"/>
  <c r="CP54" i="8"/>
  <c r="CP53" i="8"/>
  <c r="CP52" i="8"/>
  <c r="CP51" i="8"/>
  <c r="CP50" i="8"/>
  <c r="CP49" i="8"/>
  <c r="CP48" i="8"/>
  <c r="CP47" i="8"/>
  <c r="CP46" i="8"/>
  <c r="CP45" i="8"/>
  <c r="CP44" i="8"/>
  <c r="CP43" i="8"/>
  <c r="CP42" i="8"/>
  <c r="CP41" i="8"/>
  <c r="CP40" i="8"/>
  <c r="CP39" i="8"/>
  <c r="CP38" i="8"/>
  <c r="CP37" i="8"/>
  <c r="CP36" i="8"/>
  <c r="CP35" i="8"/>
  <c r="CP34" i="8"/>
  <c r="CP33" i="8"/>
  <c r="CP32" i="8"/>
  <c r="CP31" i="8"/>
  <c r="CP30" i="8"/>
  <c r="CP29" i="8"/>
  <c r="CP28" i="8"/>
  <c r="CP27" i="8"/>
  <c r="CP26" i="8"/>
  <c r="CP25" i="8"/>
  <c r="CP24" i="8"/>
  <c r="CP23" i="8"/>
  <c r="CP22" i="8"/>
  <c r="CP21" i="8"/>
  <c r="CP20" i="8"/>
  <c r="CP19" i="8"/>
  <c r="CP18" i="8"/>
  <c r="CP17" i="8"/>
  <c r="CP16" i="8"/>
  <c r="CP15" i="8"/>
  <c r="CP14" i="8"/>
  <c r="CP13" i="8"/>
  <c r="CP12" i="8"/>
  <c r="CP11" i="8"/>
  <c r="CP10" i="8"/>
  <c r="CP9" i="8"/>
  <c r="CP8" i="8"/>
  <c r="CP7" i="8"/>
  <c r="CP6" i="8"/>
  <c r="CP5" i="8"/>
  <c r="CP4" i="8"/>
  <c r="CP3" i="8"/>
  <c r="CN252" i="8"/>
  <c r="CN251" i="8"/>
  <c r="CN250" i="8"/>
  <c r="CN249" i="8"/>
  <c r="CN248" i="8"/>
  <c r="CN247" i="8"/>
  <c r="CN246" i="8"/>
  <c r="CN245" i="8"/>
  <c r="CN244" i="8"/>
  <c r="CN243" i="8"/>
  <c r="CN242" i="8"/>
  <c r="CN241" i="8"/>
  <c r="CN240" i="8"/>
  <c r="CN239" i="8"/>
  <c r="CN238" i="8"/>
  <c r="CN237" i="8"/>
  <c r="CN236" i="8"/>
  <c r="CN235" i="8"/>
  <c r="CN234" i="8"/>
  <c r="CN233" i="8"/>
  <c r="CN232" i="8"/>
  <c r="CN231" i="8"/>
  <c r="CN230" i="8"/>
  <c r="CN229" i="8"/>
  <c r="CN228" i="8"/>
  <c r="CN227" i="8"/>
  <c r="CN226" i="8"/>
  <c r="CN225" i="8"/>
  <c r="CN224" i="8"/>
  <c r="CN223" i="8"/>
  <c r="CN222" i="8"/>
  <c r="CN221" i="8"/>
  <c r="CN220" i="8"/>
  <c r="CN219" i="8"/>
  <c r="CN218" i="8"/>
  <c r="CN217" i="8"/>
  <c r="CN216" i="8"/>
  <c r="CN215" i="8"/>
  <c r="CN214" i="8"/>
  <c r="CN213" i="8"/>
  <c r="CN212" i="8"/>
  <c r="CN211" i="8"/>
  <c r="CN210" i="8"/>
  <c r="CN209" i="8"/>
  <c r="CN208" i="8"/>
  <c r="CN207" i="8"/>
  <c r="CN206" i="8"/>
  <c r="CN205" i="8"/>
  <c r="CN204" i="8"/>
  <c r="CN203" i="8"/>
  <c r="CN202" i="8"/>
  <c r="CN201" i="8"/>
  <c r="CN200" i="8"/>
  <c r="CN199" i="8"/>
  <c r="CN198" i="8"/>
  <c r="CN197" i="8"/>
  <c r="CN196" i="8"/>
  <c r="CN195" i="8"/>
  <c r="CN194" i="8"/>
  <c r="CN193" i="8"/>
  <c r="CN192" i="8"/>
  <c r="CN191" i="8"/>
  <c r="CN190" i="8"/>
  <c r="CN189" i="8"/>
  <c r="CN188" i="8"/>
  <c r="CN187" i="8"/>
  <c r="CN186" i="8"/>
  <c r="CN185" i="8"/>
  <c r="CN184" i="8"/>
  <c r="CN183" i="8"/>
  <c r="CN182" i="8"/>
  <c r="CN181" i="8"/>
  <c r="CN180" i="8"/>
  <c r="CN179" i="8"/>
  <c r="CN178" i="8"/>
  <c r="CN177" i="8"/>
  <c r="CN176" i="8"/>
  <c r="CN175" i="8"/>
  <c r="CN174" i="8"/>
  <c r="CN173" i="8"/>
  <c r="CN172" i="8"/>
  <c r="CN171" i="8"/>
  <c r="CN170" i="8"/>
  <c r="CN169" i="8"/>
  <c r="CN168" i="8"/>
  <c r="CN167" i="8"/>
  <c r="CN166" i="8"/>
  <c r="CN165" i="8"/>
  <c r="CN164" i="8"/>
  <c r="CN163" i="8"/>
  <c r="CN162" i="8"/>
  <c r="CN161" i="8"/>
  <c r="CN160" i="8"/>
  <c r="CN159" i="8"/>
  <c r="CN158" i="8"/>
  <c r="CN157" i="8"/>
  <c r="CN156" i="8"/>
  <c r="CN155" i="8"/>
  <c r="CN154" i="8"/>
  <c r="CN153" i="8"/>
  <c r="CN152" i="8"/>
  <c r="CN151" i="8"/>
  <c r="CN150" i="8"/>
  <c r="CN149" i="8"/>
  <c r="CN148" i="8"/>
  <c r="CN147" i="8"/>
  <c r="CN146" i="8"/>
  <c r="CN145" i="8"/>
  <c r="CN144" i="8"/>
  <c r="CN143" i="8"/>
  <c r="CN142" i="8"/>
  <c r="CN141" i="8"/>
  <c r="CN140" i="8"/>
  <c r="CN139" i="8"/>
  <c r="CN138" i="8"/>
  <c r="CN137" i="8"/>
  <c r="CN136" i="8"/>
  <c r="CN135" i="8"/>
  <c r="CN134" i="8"/>
  <c r="CN133" i="8"/>
  <c r="CN132" i="8"/>
  <c r="CN131" i="8"/>
  <c r="CN130" i="8"/>
  <c r="CN129" i="8"/>
  <c r="CN128" i="8"/>
  <c r="CN127" i="8"/>
  <c r="CN126" i="8"/>
  <c r="CN125" i="8"/>
  <c r="CN124" i="8"/>
  <c r="CN123" i="8"/>
  <c r="CN122" i="8"/>
  <c r="CN121" i="8"/>
  <c r="CN120" i="8"/>
  <c r="CN119" i="8"/>
  <c r="CN118" i="8"/>
  <c r="CN117" i="8"/>
  <c r="CN116" i="8"/>
  <c r="CN115" i="8"/>
  <c r="CN114" i="8"/>
  <c r="CN113" i="8"/>
  <c r="CN112" i="8"/>
  <c r="CN111" i="8"/>
  <c r="CN110" i="8"/>
  <c r="CN109" i="8"/>
  <c r="CN108" i="8"/>
  <c r="CN107" i="8"/>
  <c r="CN106" i="8"/>
  <c r="CN105" i="8"/>
  <c r="CN104" i="8"/>
  <c r="CN103" i="8"/>
  <c r="CN102" i="8"/>
  <c r="CN101" i="8"/>
  <c r="CN100" i="8"/>
  <c r="CN99" i="8"/>
  <c r="CN98" i="8"/>
  <c r="CN97" i="8"/>
  <c r="CN96" i="8"/>
  <c r="CN95" i="8"/>
  <c r="CN94" i="8"/>
  <c r="CN93" i="8"/>
  <c r="CN92" i="8"/>
  <c r="CN91" i="8"/>
  <c r="CN90" i="8"/>
  <c r="CN89" i="8"/>
  <c r="CN88" i="8"/>
  <c r="CN87" i="8"/>
  <c r="CN86" i="8"/>
  <c r="CN85" i="8"/>
  <c r="CN84" i="8"/>
  <c r="CN83" i="8"/>
  <c r="CN82" i="8"/>
  <c r="CN81" i="8"/>
  <c r="CN80" i="8"/>
  <c r="CN79" i="8"/>
  <c r="CN78" i="8"/>
  <c r="CN77" i="8"/>
  <c r="CN76" i="8"/>
  <c r="CN75" i="8"/>
  <c r="CN74" i="8"/>
  <c r="CN73" i="8"/>
  <c r="CN72" i="8"/>
  <c r="CN71" i="8"/>
  <c r="CN70" i="8"/>
  <c r="CN69" i="8"/>
  <c r="CN68" i="8"/>
  <c r="CN67" i="8"/>
  <c r="CN66" i="8"/>
  <c r="CN65" i="8"/>
  <c r="CN64" i="8"/>
  <c r="CN63" i="8"/>
  <c r="CN62" i="8"/>
  <c r="CN61" i="8"/>
  <c r="CN60" i="8"/>
  <c r="CN59" i="8"/>
  <c r="CN58" i="8"/>
  <c r="CN57" i="8"/>
  <c r="CN56" i="8"/>
  <c r="CN55" i="8"/>
  <c r="CN54" i="8"/>
  <c r="CN53" i="8"/>
  <c r="CN52" i="8"/>
  <c r="CN51" i="8"/>
  <c r="CN50" i="8"/>
  <c r="CN49" i="8"/>
  <c r="CN48" i="8"/>
  <c r="CN47" i="8"/>
  <c r="CN46" i="8"/>
  <c r="CN45" i="8"/>
  <c r="CN44" i="8"/>
  <c r="CN43" i="8"/>
  <c r="CN42" i="8"/>
  <c r="CN41" i="8"/>
  <c r="CN40" i="8"/>
  <c r="CN39" i="8"/>
  <c r="CN38" i="8"/>
  <c r="CN37" i="8"/>
  <c r="CN36" i="8"/>
  <c r="CN35" i="8"/>
  <c r="CN34" i="8"/>
  <c r="CN33" i="8"/>
  <c r="CN32" i="8"/>
  <c r="CN31" i="8"/>
  <c r="CN30" i="8"/>
  <c r="CN29" i="8"/>
  <c r="CN28" i="8"/>
  <c r="CN27" i="8"/>
  <c r="CN26" i="8"/>
  <c r="CN25" i="8"/>
  <c r="CN24" i="8"/>
  <c r="CN23" i="8"/>
  <c r="CN22" i="8"/>
  <c r="CN21" i="8"/>
  <c r="CN20" i="8"/>
  <c r="CN19" i="8"/>
  <c r="CN18" i="8"/>
  <c r="CN17" i="8"/>
  <c r="CN16" i="8"/>
  <c r="CN15" i="8"/>
  <c r="CN14" i="8"/>
  <c r="CN13" i="8"/>
  <c r="CN12" i="8"/>
  <c r="CN11" i="8"/>
  <c r="CN10" i="8"/>
  <c r="CN9" i="8"/>
  <c r="CN8" i="8"/>
  <c r="CN7" i="8"/>
  <c r="CN6" i="8"/>
  <c r="CN5" i="8"/>
  <c r="CN4" i="8"/>
  <c r="CN3" i="8"/>
  <c r="CL252" i="8"/>
  <c r="CL251" i="8"/>
  <c r="CL250" i="8"/>
  <c r="CL249" i="8"/>
  <c r="CL248" i="8"/>
  <c r="CL247" i="8"/>
  <c r="CL246" i="8"/>
  <c r="CL245" i="8"/>
  <c r="CL244" i="8"/>
  <c r="CL243" i="8"/>
  <c r="CL242" i="8"/>
  <c r="CL241" i="8"/>
  <c r="CL240" i="8"/>
  <c r="CL239" i="8"/>
  <c r="CL238" i="8"/>
  <c r="CL237" i="8"/>
  <c r="CL236" i="8"/>
  <c r="CL235" i="8"/>
  <c r="CL234" i="8"/>
  <c r="CL233" i="8"/>
  <c r="CL232" i="8"/>
  <c r="CL231" i="8"/>
  <c r="CL230" i="8"/>
  <c r="CL229" i="8"/>
  <c r="CL228" i="8"/>
  <c r="CL227" i="8"/>
  <c r="CL226" i="8"/>
  <c r="CL225" i="8"/>
  <c r="CL224" i="8"/>
  <c r="CL223" i="8"/>
  <c r="CL222" i="8"/>
  <c r="CL221" i="8"/>
  <c r="CL220" i="8"/>
  <c r="CL219" i="8"/>
  <c r="CL218" i="8"/>
  <c r="CL217" i="8"/>
  <c r="CL216" i="8"/>
  <c r="CL215" i="8"/>
  <c r="CL214" i="8"/>
  <c r="CL213" i="8"/>
  <c r="CL212" i="8"/>
  <c r="CL211" i="8"/>
  <c r="CL210" i="8"/>
  <c r="CL209" i="8"/>
  <c r="CL208" i="8"/>
  <c r="CL207" i="8"/>
  <c r="CL206" i="8"/>
  <c r="CL205" i="8"/>
  <c r="CL204" i="8"/>
  <c r="CL203" i="8"/>
  <c r="CL202" i="8"/>
  <c r="CL201" i="8"/>
  <c r="CL200" i="8"/>
  <c r="CL199" i="8"/>
  <c r="CL198" i="8"/>
  <c r="CL197" i="8"/>
  <c r="CL196" i="8"/>
  <c r="CL195" i="8"/>
  <c r="CL194" i="8"/>
  <c r="CL193" i="8"/>
  <c r="CL192" i="8"/>
  <c r="CL191" i="8"/>
  <c r="CL190" i="8"/>
  <c r="CL189" i="8"/>
  <c r="CL188" i="8"/>
  <c r="CL187" i="8"/>
  <c r="CL186" i="8"/>
  <c r="CL185" i="8"/>
  <c r="CL184" i="8"/>
  <c r="CL183" i="8"/>
  <c r="CL182" i="8"/>
  <c r="CL181" i="8"/>
  <c r="CL180" i="8"/>
  <c r="CL179" i="8"/>
  <c r="CL178" i="8"/>
  <c r="CL177" i="8"/>
  <c r="CL176" i="8"/>
  <c r="CL175" i="8"/>
  <c r="CL174" i="8"/>
  <c r="CL173" i="8"/>
  <c r="CL172" i="8"/>
  <c r="CL171" i="8"/>
  <c r="CL170" i="8"/>
  <c r="CL169" i="8"/>
  <c r="CL168" i="8"/>
  <c r="CL167" i="8"/>
  <c r="CL166" i="8"/>
  <c r="CL165" i="8"/>
  <c r="CL164" i="8"/>
  <c r="CL163" i="8"/>
  <c r="CL162" i="8"/>
  <c r="CL161" i="8"/>
  <c r="CL160" i="8"/>
  <c r="CL159" i="8"/>
  <c r="CL158" i="8"/>
  <c r="CL157" i="8"/>
  <c r="CL156" i="8"/>
  <c r="CL155" i="8"/>
  <c r="CL154" i="8"/>
  <c r="CL153" i="8"/>
  <c r="CL152" i="8"/>
  <c r="CL151" i="8"/>
  <c r="CL150" i="8"/>
  <c r="CL149" i="8"/>
  <c r="CL148" i="8"/>
  <c r="CL147" i="8"/>
  <c r="CL146" i="8"/>
  <c r="CL145" i="8"/>
  <c r="CL144" i="8"/>
  <c r="CL143" i="8"/>
  <c r="CL142" i="8"/>
  <c r="CL141" i="8"/>
  <c r="CL140" i="8"/>
  <c r="CL139" i="8"/>
  <c r="CL138" i="8"/>
  <c r="CL137" i="8"/>
  <c r="CL136" i="8"/>
  <c r="CL135" i="8"/>
  <c r="CL134" i="8"/>
  <c r="CL133" i="8"/>
  <c r="CL132" i="8"/>
  <c r="CL131" i="8"/>
  <c r="CL130" i="8"/>
  <c r="CL129" i="8"/>
  <c r="CL128" i="8"/>
  <c r="CL127" i="8"/>
  <c r="CL126" i="8"/>
  <c r="CL125" i="8"/>
  <c r="CL124" i="8"/>
  <c r="CL123" i="8"/>
  <c r="CL122" i="8"/>
  <c r="CL121" i="8"/>
  <c r="CL120" i="8"/>
  <c r="CL119" i="8"/>
  <c r="CL118" i="8"/>
  <c r="CL117" i="8"/>
  <c r="CL116" i="8"/>
  <c r="CL115" i="8"/>
  <c r="CL114" i="8"/>
  <c r="CL113" i="8"/>
  <c r="CL112" i="8"/>
  <c r="CL111" i="8"/>
  <c r="CL110" i="8"/>
  <c r="CL109" i="8"/>
  <c r="CL108" i="8"/>
  <c r="CL107" i="8"/>
  <c r="CL106" i="8"/>
  <c r="CL105" i="8"/>
  <c r="CL104" i="8"/>
  <c r="CL103" i="8"/>
  <c r="CL102" i="8"/>
  <c r="CL101" i="8"/>
  <c r="CL100" i="8"/>
  <c r="CL99" i="8"/>
  <c r="CL98" i="8"/>
  <c r="CL97" i="8"/>
  <c r="CL96" i="8"/>
  <c r="CL95" i="8"/>
  <c r="CL94" i="8"/>
  <c r="CL93" i="8"/>
  <c r="CL92" i="8"/>
  <c r="CL91" i="8"/>
  <c r="CL90" i="8"/>
  <c r="CL89" i="8"/>
  <c r="CL88" i="8"/>
  <c r="CL87" i="8"/>
  <c r="CL86" i="8"/>
  <c r="CL85" i="8"/>
  <c r="CL84" i="8"/>
  <c r="CL83" i="8"/>
  <c r="CL82" i="8"/>
  <c r="CL81" i="8"/>
  <c r="CL80" i="8"/>
  <c r="CL79" i="8"/>
  <c r="CL78" i="8"/>
  <c r="CL77" i="8"/>
  <c r="CL76" i="8"/>
  <c r="CL75" i="8"/>
  <c r="CL74" i="8"/>
  <c r="CL73" i="8"/>
  <c r="CL72" i="8"/>
  <c r="CL71" i="8"/>
  <c r="CL70" i="8"/>
  <c r="CL69" i="8"/>
  <c r="CL68" i="8"/>
  <c r="CL67" i="8"/>
  <c r="CL66" i="8"/>
  <c r="CL65" i="8"/>
  <c r="CL64" i="8"/>
  <c r="CL63" i="8"/>
  <c r="CL62" i="8"/>
  <c r="CL61" i="8"/>
  <c r="CL60" i="8"/>
  <c r="CL59" i="8"/>
  <c r="CL58" i="8"/>
  <c r="CL57" i="8"/>
  <c r="CL56" i="8"/>
  <c r="CL55" i="8"/>
  <c r="CL54" i="8"/>
  <c r="CL53" i="8"/>
  <c r="CL52" i="8"/>
  <c r="CL51" i="8"/>
  <c r="CL50" i="8"/>
  <c r="CL49" i="8"/>
  <c r="CL48" i="8"/>
  <c r="CL47" i="8"/>
  <c r="CL46" i="8"/>
  <c r="CL45" i="8"/>
  <c r="CL44" i="8"/>
  <c r="CL43" i="8"/>
  <c r="CL42" i="8"/>
  <c r="CL41" i="8"/>
  <c r="CL40" i="8"/>
  <c r="CL39" i="8"/>
  <c r="CL38" i="8"/>
  <c r="CL37" i="8"/>
  <c r="CL36" i="8"/>
  <c r="CL35" i="8"/>
  <c r="CL34" i="8"/>
  <c r="CL33" i="8"/>
  <c r="CL32" i="8"/>
  <c r="CL31" i="8"/>
  <c r="CL30" i="8"/>
  <c r="CL29" i="8"/>
  <c r="CL28" i="8"/>
  <c r="CL27" i="8"/>
  <c r="CL26" i="8"/>
  <c r="CL25" i="8"/>
  <c r="CL24" i="8"/>
  <c r="CL23" i="8"/>
  <c r="CL22" i="8"/>
  <c r="CL21" i="8"/>
  <c r="CL20" i="8"/>
  <c r="CL19" i="8"/>
  <c r="CL18" i="8"/>
  <c r="CL17" i="8"/>
  <c r="CL16" i="8"/>
  <c r="CL15" i="8"/>
  <c r="CL14" i="8"/>
  <c r="CL13" i="8"/>
  <c r="CL12" i="8"/>
  <c r="CL11" i="8"/>
  <c r="CL10" i="8"/>
  <c r="CL9" i="8"/>
  <c r="CL8" i="8"/>
  <c r="CL7" i="8"/>
  <c r="CL6" i="8"/>
  <c r="CL5" i="8"/>
  <c r="CL4" i="8"/>
  <c r="CL3" i="8"/>
  <c r="CJ252" i="8"/>
  <c r="CJ251" i="8"/>
  <c r="CJ250" i="8"/>
  <c r="CJ249" i="8"/>
  <c r="CJ248" i="8"/>
  <c r="CJ247" i="8"/>
  <c r="CJ246" i="8"/>
  <c r="CJ245" i="8"/>
  <c r="CJ244" i="8"/>
  <c r="CJ243" i="8"/>
  <c r="CJ242" i="8"/>
  <c r="CJ241" i="8"/>
  <c r="CJ240" i="8"/>
  <c r="CJ239" i="8"/>
  <c r="CJ238" i="8"/>
  <c r="CJ237" i="8"/>
  <c r="CJ236" i="8"/>
  <c r="CJ235" i="8"/>
  <c r="CJ234" i="8"/>
  <c r="CJ233" i="8"/>
  <c r="CJ232" i="8"/>
  <c r="CJ231" i="8"/>
  <c r="CJ230" i="8"/>
  <c r="CJ229" i="8"/>
  <c r="CJ228" i="8"/>
  <c r="CJ227" i="8"/>
  <c r="CJ226" i="8"/>
  <c r="CJ225" i="8"/>
  <c r="CJ224" i="8"/>
  <c r="CJ223" i="8"/>
  <c r="CJ222" i="8"/>
  <c r="CJ221" i="8"/>
  <c r="CJ220" i="8"/>
  <c r="CJ219" i="8"/>
  <c r="CJ218" i="8"/>
  <c r="CJ217" i="8"/>
  <c r="CJ216" i="8"/>
  <c r="CJ215" i="8"/>
  <c r="CJ214" i="8"/>
  <c r="CJ213" i="8"/>
  <c r="CJ212" i="8"/>
  <c r="CJ211" i="8"/>
  <c r="CJ210" i="8"/>
  <c r="CJ209" i="8"/>
  <c r="CJ208" i="8"/>
  <c r="CJ207" i="8"/>
  <c r="CJ206" i="8"/>
  <c r="CJ205" i="8"/>
  <c r="CJ204" i="8"/>
  <c r="CJ203" i="8"/>
  <c r="CJ202" i="8"/>
  <c r="CJ201" i="8"/>
  <c r="CJ200" i="8"/>
  <c r="CJ199" i="8"/>
  <c r="CJ198" i="8"/>
  <c r="CJ197" i="8"/>
  <c r="CJ196" i="8"/>
  <c r="CJ195" i="8"/>
  <c r="CJ194" i="8"/>
  <c r="CJ193" i="8"/>
  <c r="CJ192" i="8"/>
  <c r="CJ191" i="8"/>
  <c r="CJ190" i="8"/>
  <c r="CJ189" i="8"/>
  <c r="CJ188" i="8"/>
  <c r="CJ187" i="8"/>
  <c r="CJ186" i="8"/>
  <c r="CJ185" i="8"/>
  <c r="CJ184" i="8"/>
  <c r="CJ183" i="8"/>
  <c r="CJ182" i="8"/>
  <c r="CJ181" i="8"/>
  <c r="CJ180" i="8"/>
  <c r="CJ179" i="8"/>
  <c r="CJ178" i="8"/>
  <c r="CJ177" i="8"/>
  <c r="CJ176" i="8"/>
  <c r="CJ175" i="8"/>
  <c r="CJ174" i="8"/>
  <c r="CJ173" i="8"/>
  <c r="CJ172" i="8"/>
  <c r="CJ171" i="8"/>
  <c r="CJ170" i="8"/>
  <c r="CJ169" i="8"/>
  <c r="CJ168" i="8"/>
  <c r="CJ167" i="8"/>
  <c r="CJ166" i="8"/>
  <c r="CJ165" i="8"/>
  <c r="CJ164" i="8"/>
  <c r="CJ163" i="8"/>
  <c r="CJ162" i="8"/>
  <c r="CJ161" i="8"/>
  <c r="CJ160" i="8"/>
  <c r="CJ159" i="8"/>
  <c r="CJ158" i="8"/>
  <c r="CJ157" i="8"/>
  <c r="CJ156" i="8"/>
  <c r="CJ155" i="8"/>
  <c r="CJ154" i="8"/>
  <c r="CJ153" i="8"/>
  <c r="CJ152" i="8"/>
  <c r="CJ151" i="8"/>
  <c r="CJ150" i="8"/>
  <c r="CJ149" i="8"/>
  <c r="CJ148" i="8"/>
  <c r="CJ147" i="8"/>
  <c r="CJ146" i="8"/>
  <c r="CJ145" i="8"/>
  <c r="CJ144" i="8"/>
  <c r="CJ143" i="8"/>
  <c r="CJ142" i="8"/>
  <c r="CJ141" i="8"/>
  <c r="CJ140" i="8"/>
  <c r="CJ139" i="8"/>
  <c r="CJ138" i="8"/>
  <c r="CJ137" i="8"/>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J3" i="8"/>
  <c r="CH252" i="8"/>
  <c r="CH251" i="8"/>
  <c r="CH250" i="8"/>
  <c r="CH249" i="8"/>
  <c r="CH248" i="8"/>
  <c r="CH247" i="8"/>
  <c r="CH246" i="8"/>
  <c r="CH245" i="8"/>
  <c r="CH244" i="8"/>
  <c r="CH243" i="8"/>
  <c r="CH242" i="8"/>
  <c r="CH241" i="8"/>
  <c r="CH240" i="8"/>
  <c r="CH239" i="8"/>
  <c r="CH238" i="8"/>
  <c r="CH237" i="8"/>
  <c r="CH236" i="8"/>
  <c r="CH235" i="8"/>
  <c r="CH234" i="8"/>
  <c r="CH233" i="8"/>
  <c r="CH232" i="8"/>
  <c r="CH231" i="8"/>
  <c r="CH230" i="8"/>
  <c r="CH229" i="8"/>
  <c r="CH228" i="8"/>
  <c r="CH227" i="8"/>
  <c r="CH226" i="8"/>
  <c r="CH225" i="8"/>
  <c r="CH224" i="8"/>
  <c r="CH223" i="8"/>
  <c r="CH222" i="8"/>
  <c r="CH221" i="8"/>
  <c r="CH220" i="8"/>
  <c r="CH219" i="8"/>
  <c r="CH218" i="8"/>
  <c r="CH217" i="8"/>
  <c r="CH216" i="8"/>
  <c r="CH215" i="8"/>
  <c r="CH214" i="8"/>
  <c r="CH213" i="8"/>
  <c r="CH212" i="8"/>
  <c r="CH211" i="8"/>
  <c r="CH210" i="8"/>
  <c r="CH209" i="8"/>
  <c r="CH208" i="8"/>
  <c r="CH207" i="8"/>
  <c r="CH206" i="8"/>
  <c r="CH205" i="8"/>
  <c r="CH204" i="8"/>
  <c r="CH203" i="8"/>
  <c r="CH202" i="8"/>
  <c r="CH201" i="8"/>
  <c r="CH200" i="8"/>
  <c r="CH199" i="8"/>
  <c r="CH198" i="8"/>
  <c r="CH197" i="8"/>
  <c r="CH196" i="8"/>
  <c r="CH195" i="8"/>
  <c r="CH194" i="8"/>
  <c r="CH193" i="8"/>
  <c r="CH192" i="8"/>
  <c r="CH191" i="8"/>
  <c r="CH190" i="8"/>
  <c r="CH189" i="8"/>
  <c r="CH188" i="8"/>
  <c r="CH187" i="8"/>
  <c r="CH186" i="8"/>
  <c r="CH185" i="8"/>
  <c r="CH184" i="8"/>
  <c r="CH183" i="8"/>
  <c r="CH182" i="8"/>
  <c r="CH181" i="8"/>
  <c r="CH180" i="8"/>
  <c r="CH179" i="8"/>
  <c r="CH178" i="8"/>
  <c r="CH177" i="8"/>
  <c r="CH176" i="8"/>
  <c r="CH175" i="8"/>
  <c r="CH174" i="8"/>
  <c r="CH173" i="8"/>
  <c r="CH172" i="8"/>
  <c r="CH171" i="8"/>
  <c r="CH170" i="8"/>
  <c r="CH169" i="8"/>
  <c r="CH168" i="8"/>
  <c r="CH167" i="8"/>
  <c r="CH166" i="8"/>
  <c r="CH165" i="8"/>
  <c r="CH164" i="8"/>
  <c r="CH163" i="8"/>
  <c r="CH162" i="8"/>
  <c r="CH161" i="8"/>
  <c r="CH160" i="8"/>
  <c r="CH159" i="8"/>
  <c r="CH158" i="8"/>
  <c r="CH157" i="8"/>
  <c r="CH156" i="8"/>
  <c r="CH155" i="8"/>
  <c r="CH154" i="8"/>
  <c r="CH153" i="8"/>
  <c r="CH152" i="8"/>
  <c r="CH151" i="8"/>
  <c r="CH150" i="8"/>
  <c r="CH149" i="8"/>
  <c r="CH148" i="8"/>
  <c r="CH147" i="8"/>
  <c r="CH146" i="8"/>
  <c r="CH145" i="8"/>
  <c r="CH144" i="8"/>
  <c r="CH143" i="8"/>
  <c r="CH142" i="8"/>
  <c r="CH141" i="8"/>
  <c r="CH140" i="8"/>
  <c r="CH139" i="8"/>
  <c r="CH138" i="8"/>
  <c r="CH137" i="8"/>
  <c r="CH136" i="8"/>
  <c r="CH135" i="8"/>
  <c r="CH134" i="8"/>
  <c r="CH133" i="8"/>
  <c r="CH132" i="8"/>
  <c r="CH131" i="8"/>
  <c r="CH130" i="8"/>
  <c r="CH129" i="8"/>
  <c r="CH128" i="8"/>
  <c r="CH127" i="8"/>
  <c r="CH126" i="8"/>
  <c r="CH125" i="8"/>
  <c r="CH124" i="8"/>
  <c r="CH123" i="8"/>
  <c r="CH122" i="8"/>
  <c r="CH121" i="8"/>
  <c r="CH120" i="8"/>
  <c r="CH119" i="8"/>
  <c r="CH118" i="8"/>
  <c r="CH117" i="8"/>
  <c r="CH116" i="8"/>
  <c r="CH115" i="8"/>
  <c r="CH114" i="8"/>
  <c r="CH113" i="8"/>
  <c r="CH112" i="8"/>
  <c r="CH111" i="8"/>
  <c r="CH110" i="8"/>
  <c r="CH109" i="8"/>
  <c r="CH108" i="8"/>
  <c r="CH107" i="8"/>
  <c r="CH106" i="8"/>
  <c r="CH105" i="8"/>
  <c r="CH104" i="8"/>
  <c r="CH103" i="8"/>
  <c r="CH102" i="8"/>
  <c r="CH101" i="8"/>
  <c r="CH100" i="8"/>
  <c r="CH99" i="8"/>
  <c r="CH98" i="8"/>
  <c r="CH97" i="8"/>
  <c r="CH96" i="8"/>
  <c r="CH95" i="8"/>
  <c r="CH94" i="8"/>
  <c r="CH93" i="8"/>
  <c r="CH92" i="8"/>
  <c r="CH91" i="8"/>
  <c r="CH90" i="8"/>
  <c r="CH89" i="8"/>
  <c r="CH88" i="8"/>
  <c r="CH87" i="8"/>
  <c r="CH86" i="8"/>
  <c r="CH85" i="8"/>
  <c r="CH84" i="8"/>
  <c r="CH83" i="8"/>
  <c r="CH82" i="8"/>
  <c r="CH81" i="8"/>
  <c r="CH80" i="8"/>
  <c r="CH79" i="8"/>
  <c r="CH78" i="8"/>
  <c r="CH77" i="8"/>
  <c r="CH76" i="8"/>
  <c r="CH75" i="8"/>
  <c r="CH74" i="8"/>
  <c r="CH73" i="8"/>
  <c r="CH72" i="8"/>
  <c r="CH71" i="8"/>
  <c r="CH70" i="8"/>
  <c r="CH69" i="8"/>
  <c r="CH68" i="8"/>
  <c r="CH67" i="8"/>
  <c r="CH66" i="8"/>
  <c r="CH65" i="8"/>
  <c r="CH64" i="8"/>
  <c r="CH63" i="8"/>
  <c r="CH62" i="8"/>
  <c r="CH61" i="8"/>
  <c r="CH60" i="8"/>
  <c r="CH59" i="8"/>
  <c r="CH58" i="8"/>
  <c r="CH57" i="8"/>
  <c r="CH56" i="8"/>
  <c r="CH55" i="8"/>
  <c r="CH54" i="8"/>
  <c r="CH53" i="8"/>
  <c r="CH52" i="8"/>
  <c r="CH51" i="8"/>
  <c r="CH50" i="8"/>
  <c r="CH49" i="8"/>
  <c r="CH48" i="8"/>
  <c r="CH47" i="8"/>
  <c r="CH46" i="8"/>
  <c r="CH45" i="8"/>
  <c r="CH44" i="8"/>
  <c r="CH43" i="8"/>
  <c r="CH42" i="8"/>
  <c r="CH41" i="8"/>
  <c r="CH40" i="8"/>
  <c r="CH39" i="8"/>
  <c r="CH38" i="8"/>
  <c r="CH37" i="8"/>
  <c r="CH36" i="8"/>
  <c r="CH35" i="8"/>
  <c r="CH34" i="8"/>
  <c r="CH33" i="8"/>
  <c r="CH32" i="8"/>
  <c r="CH31" i="8"/>
  <c r="CH30" i="8"/>
  <c r="CH29" i="8"/>
  <c r="CH28" i="8"/>
  <c r="CH27" i="8"/>
  <c r="CH26" i="8"/>
  <c r="CH25" i="8"/>
  <c r="CH24" i="8"/>
  <c r="CH23" i="8"/>
  <c r="CH22" i="8"/>
  <c r="CH21" i="8"/>
  <c r="CH20" i="8"/>
  <c r="CH19" i="8"/>
  <c r="CH18" i="8"/>
  <c r="CH17" i="8"/>
  <c r="CH16" i="8"/>
  <c r="CH15" i="8"/>
  <c r="CH14" i="8"/>
  <c r="CH13" i="8"/>
  <c r="CH12" i="8"/>
  <c r="CH11" i="8"/>
  <c r="CH10" i="8"/>
  <c r="CH9" i="8"/>
  <c r="CH8" i="8"/>
  <c r="CH7" i="8"/>
  <c r="CH6" i="8"/>
  <c r="CH5" i="8"/>
  <c r="CH4" i="8"/>
  <c r="CH3" i="8"/>
  <c r="CF252" i="8"/>
  <c r="CF251" i="8"/>
  <c r="CF250" i="8"/>
  <c r="CF249" i="8"/>
  <c r="CF248" i="8"/>
  <c r="CF247" i="8"/>
  <c r="CF246" i="8"/>
  <c r="CF245" i="8"/>
  <c r="CF244" i="8"/>
  <c r="CF243" i="8"/>
  <c r="CF242" i="8"/>
  <c r="CF241" i="8"/>
  <c r="CF240" i="8"/>
  <c r="CF239" i="8"/>
  <c r="CF238" i="8"/>
  <c r="CF237" i="8"/>
  <c r="CF236" i="8"/>
  <c r="CF235" i="8"/>
  <c r="CF234" i="8"/>
  <c r="CF233" i="8"/>
  <c r="CF232" i="8"/>
  <c r="CF231" i="8"/>
  <c r="CF230" i="8"/>
  <c r="CF229" i="8"/>
  <c r="CF228" i="8"/>
  <c r="CF227" i="8"/>
  <c r="CF226" i="8"/>
  <c r="CF225" i="8"/>
  <c r="CF224" i="8"/>
  <c r="CF223" i="8"/>
  <c r="CF222" i="8"/>
  <c r="CF221" i="8"/>
  <c r="CF220" i="8"/>
  <c r="CF219" i="8"/>
  <c r="CF218" i="8"/>
  <c r="CF217" i="8"/>
  <c r="CF216" i="8"/>
  <c r="CF215" i="8"/>
  <c r="CF214" i="8"/>
  <c r="CF213" i="8"/>
  <c r="CF212" i="8"/>
  <c r="CF211" i="8"/>
  <c r="CF210" i="8"/>
  <c r="CF209" i="8"/>
  <c r="CF208" i="8"/>
  <c r="CF207" i="8"/>
  <c r="CF206" i="8"/>
  <c r="CF205" i="8"/>
  <c r="CF204" i="8"/>
  <c r="CF203" i="8"/>
  <c r="CF202" i="8"/>
  <c r="CF201" i="8"/>
  <c r="CF200" i="8"/>
  <c r="CF199" i="8"/>
  <c r="CF198" i="8"/>
  <c r="CF197" i="8"/>
  <c r="CF196" i="8"/>
  <c r="CF195" i="8"/>
  <c r="CF194" i="8"/>
  <c r="CF193" i="8"/>
  <c r="CF192" i="8"/>
  <c r="CF191" i="8"/>
  <c r="CF190" i="8"/>
  <c r="CF189" i="8"/>
  <c r="CF188" i="8"/>
  <c r="CF187" i="8"/>
  <c r="CF186" i="8"/>
  <c r="CF185" i="8"/>
  <c r="CF184" i="8"/>
  <c r="CF183" i="8"/>
  <c r="CF182" i="8"/>
  <c r="CF181" i="8"/>
  <c r="CF180" i="8"/>
  <c r="CF179" i="8"/>
  <c r="CF178" i="8"/>
  <c r="CF177" i="8"/>
  <c r="CF176" i="8"/>
  <c r="CF175" i="8"/>
  <c r="CF174" i="8"/>
  <c r="CF173" i="8"/>
  <c r="CF172" i="8"/>
  <c r="CF171" i="8"/>
  <c r="CF170" i="8"/>
  <c r="CF169" i="8"/>
  <c r="CF168" i="8"/>
  <c r="CF167" i="8"/>
  <c r="CF166" i="8"/>
  <c r="CF165" i="8"/>
  <c r="CF164" i="8"/>
  <c r="CF163" i="8"/>
  <c r="CF162" i="8"/>
  <c r="CF161" i="8"/>
  <c r="CF160" i="8"/>
  <c r="CF159" i="8"/>
  <c r="CF158" i="8"/>
  <c r="CF157" i="8"/>
  <c r="CF156" i="8"/>
  <c r="CF155" i="8"/>
  <c r="CF154" i="8"/>
  <c r="CF153" i="8"/>
  <c r="CF152" i="8"/>
  <c r="CF151" i="8"/>
  <c r="CF150" i="8"/>
  <c r="CF149" i="8"/>
  <c r="CF148" i="8"/>
  <c r="CF147" i="8"/>
  <c r="CF146" i="8"/>
  <c r="CF145" i="8"/>
  <c r="CF144" i="8"/>
  <c r="CF143" i="8"/>
  <c r="CF142" i="8"/>
  <c r="CF141" i="8"/>
  <c r="CF140" i="8"/>
  <c r="CF139" i="8"/>
  <c r="CF138" i="8"/>
  <c r="CF137" i="8"/>
  <c r="CF136" i="8"/>
  <c r="CF135" i="8"/>
  <c r="CF134" i="8"/>
  <c r="CF133" i="8"/>
  <c r="CF132" i="8"/>
  <c r="CF131" i="8"/>
  <c r="CF130" i="8"/>
  <c r="CF129" i="8"/>
  <c r="CF128" i="8"/>
  <c r="CF127" i="8"/>
  <c r="CF126" i="8"/>
  <c r="CF125" i="8"/>
  <c r="CF124" i="8"/>
  <c r="CF123" i="8"/>
  <c r="CF122" i="8"/>
  <c r="CF121" i="8"/>
  <c r="CF120" i="8"/>
  <c r="CF119" i="8"/>
  <c r="CF118" i="8"/>
  <c r="CF117" i="8"/>
  <c r="CF116" i="8"/>
  <c r="CF115" i="8"/>
  <c r="CF114" i="8"/>
  <c r="CF113" i="8"/>
  <c r="CF112" i="8"/>
  <c r="CF111" i="8"/>
  <c r="CF110" i="8"/>
  <c r="CF109" i="8"/>
  <c r="CF108" i="8"/>
  <c r="CF107" i="8"/>
  <c r="CF106" i="8"/>
  <c r="CF105" i="8"/>
  <c r="CF104" i="8"/>
  <c r="CF103" i="8"/>
  <c r="CF102" i="8"/>
  <c r="CF101" i="8"/>
  <c r="CF100" i="8"/>
  <c r="CF99" i="8"/>
  <c r="CF98" i="8"/>
  <c r="CF97" i="8"/>
  <c r="CF96" i="8"/>
  <c r="CF95" i="8"/>
  <c r="CF94" i="8"/>
  <c r="CF93" i="8"/>
  <c r="CF92" i="8"/>
  <c r="CF91" i="8"/>
  <c r="CF90" i="8"/>
  <c r="CF89" i="8"/>
  <c r="CF88" i="8"/>
  <c r="CF87" i="8"/>
  <c r="CF86" i="8"/>
  <c r="CF85" i="8"/>
  <c r="CF84" i="8"/>
  <c r="CF83" i="8"/>
  <c r="CF82" i="8"/>
  <c r="CF81" i="8"/>
  <c r="CF80" i="8"/>
  <c r="CF79" i="8"/>
  <c r="CF78" i="8"/>
  <c r="CF77" i="8"/>
  <c r="CF76" i="8"/>
  <c r="CF75" i="8"/>
  <c r="CF74" i="8"/>
  <c r="CF73" i="8"/>
  <c r="CF72" i="8"/>
  <c r="CF71" i="8"/>
  <c r="CF70" i="8"/>
  <c r="CF69" i="8"/>
  <c r="CF68" i="8"/>
  <c r="CF67" i="8"/>
  <c r="CF66" i="8"/>
  <c r="CF65" i="8"/>
  <c r="CF64" i="8"/>
  <c r="CF63" i="8"/>
  <c r="CF62" i="8"/>
  <c r="CF61" i="8"/>
  <c r="CF60" i="8"/>
  <c r="CF59" i="8"/>
  <c r="CF58" i="8"/>
  <c r="CF57" i="8"/>
  <c r="CF56" i="8"/>
  <c r="CF55" i="8"/>
  <c r="CF54" i="8"/>
  <c r="CF53" i="8"/>
  <c r="CF52" i="8"/>
  <c r="CF51" i="8"/>
  <c r="CF50" i="8"/>
  <c r="CF49" i="8"/>
  <c r="CF48" i="8"/>
  <c r="CF47" i="8"/>
  <c r="CF46" i="8"/>
  <c r="CF45" i="8"/>
  <c r="CF44" i="8"/>
  <c r="CF43" i="8"/>
  <c r="CF42" i="8"/>
  <c r="CF41" i="8"/>
  <c r="CF40" i="8"/>
  <c r="CF39" i="8"/>
  <c r="CF38" i="8"/>
  <c r="CF37" i="8"/>
  <c r="CF36" i="8"/>
  <c r="CF35" i="8"/>
  <c r="CF34" i="8"/>
  <c r="CF33" i="8"/>
  <c r="CF32" i="8"/>
  <c r="CF31" i="8"/>
  <c r="CF30" i="8"/>
  <c r="CF29" i="8"/>
  <c r="CF28" i="8"/>
  <c r="CF27" i="8"/>
  <c r="CF26" i="8"/>
  <c r="CF25" i="8"/>
  <c r="CF24" i="8"/>
  <c r="CF23" i="8"/>
  <c r="CF22" i="8"/>
  <c r="CF21" i="8"/>
  <c r="CF20" i="8"/>
  <c r="CF19" i="8"/>
  <c r="CF18" i="8"/>
  <c r="CF17" i="8"/>
  <c r="CF16" i="8"/>
  <c r="CF15" i="8"/>
  <c r="CF14" i="8"/>
  <c r="CF13" i="8"/>
  <c r="CF12" i="8"/>
  <c r="CF11" i="8"/>
  <c r="CF10" i="8"/>
  <c r="CF9" i="8"/>
  <c r="CF8" i="8"/>
  <c r="CF7" i="8"/>
  <c r="CF6" i="8"/>
  <c r="CF5" i="8"/>
  <c r="CF4" i="8"/>
  <c r="CF3" i="8"/>
  <c r="CD252" i="8"/>
  <c r="CD251" i="8"/>
  <c r="CD250" i="8"/>
  <c r="CD249" i="8"/>
  <c r="CD248" i="8"/>
  <c r="CD247" i="8"/>
  <c r="CD246" i="8"/>
  <c r="CD245" i="8"/>
  <c r="CD244" i="8"/>
  <c r="CD243" i="8"/>
  <c r="CD242" i="8"/>
  <c r="CD241" i="8"/>
  <c r="CD240" i="8"/>
  <c r="CD239" i="8"/>
  <c r="CD238" i="8"/>
  <c r="CD237" i="8"/>
  <c r="CD236" i="8"/>
  <c r="CD235" i="8"/>
  <c r="CD234" i="8"/>
  <c r="CD233" i="8"/>
  <c r="CD232" i="8"/>
  <c r="CD231" i="8"/>
  <c r="CD230" i="8"/>
  <c r="CD229" i="8"/>
  <c r="CD228" i="8"/>
  <c r="CD227" i="8"/>
  <c r="CD226" i="8"/>
  <c r="CD225" i="8"/>
  <c r="CD224" i="8"/>
  <c r="CD223" i="8"/>
  <c r="CD222" i="8"/>
  <c r="CD221" i="8"/>
  <c r="CD220" i="8"/>
  <c r="CD219" i="8"/>
  <c r="CD218" i="8"/>
  <c r="CD217" i="8"/>
  <c r="CD216" i="8"/>
  <c r="CD215" i="8"/>
  <c r="CD214" i="8"/>
  <c r="CD213" i="8"/>
  <c r="CD212" i="8"/>
  <c r="CD211" i="8"/>
  <c r="CD210" i="8"/>
  <c r="CD209" i="8"/>
  <c r="CD208" i="8"/>
  <c r="CD207" i="8"/>
  <c r="CD206" i="8"/>
  <c r="CD205" i="8"/>
  <c r="CD204" i="8"/>
  <c r="CD203" i="8"/>
  <c r="CD202" i="8"/>
  <c r="CD201" i="8"/>
  <c r="CD200" i="8"/>
  <c r="CD199" i="8"/>
  <c r="CD198" i="8"/>
  <c r="CD197" i="8"/>
  <c r="CD196" i="8"/>
  <c r="CD195" i="8"/>
  <c r="CD194" i="8"/>
  <c r="CD193" i="8"/>
  <c r="CD192" i="8"/>
  <c r="CD191" i="8"/>
  <c r="CD190" i="8"/>
  <c r="CD189" i="8"/>
  <c r="CD188" i="8"/>
  <c r="CD187" i="8"/>
  <c r="CD186" i="8"/>
  <c r="CD185" i="8"/>
  <c r="CD184" i="8"/>
  <c r="CD183" i="8"/>
  <c r="CD182" i="8"/>
  <c r="CD181" i="8"/>
  <c r="CD180" i="8"/>
  <c r="CD179" i="8"/>
  <c r="CD178" i="8"/>
  <c r="CD177" i="8"/>
  <c r="CD176" i="8"/>
  <c r="CD175" i="8"/>
  <c r="CD174" i="8"/>
  <c r="CD173" i="8"/>
  <c r="CD172" i="8"/>
  <c r="CD171" i="8"/>
  <c r="CD170" i="8"/>
  <c r="CD169" i="8"/>
  <c r="CD168" i="8"/>
  <c r="CD167" i="8"/>
  <c r="CD166" i="8"/>
  <c r="CD165" i="8"/>
  <c r="CD164" i="8"/>
  <c r="CD163" i="8"/>
  <c r="CD162" i="8"/>
  <c r="CD161" i="8"/>
  <c r="CD160" i="8"/>
  <c r="CD159" i="8"/>
  <c r="CD158" i="8"/>
  <c r="CD157" i="8"/>
  <c r="CD156" i="8"/>
  <c r="CD155" i="8"/>
  <c r="CD154" i="8"/>
  <c r="CD153" i="8"/>
  <c r="CD152" i="8"/>
  <c r="CD151" i="8"/>
  <c r="CD150" i="8"/>
  <c r="CD149" i="8"/>
  <c r="CD148" i="8"/>
  <c r="CD147" i="8"/>
  <c r="CD146" i="8"/>
  <c r="CD145" i="8"/>
  <c r="CD144" i="8"/>
  <c r="CD143" i="8"/>
  <c r="CD142" i="8"/>
  <c r="CD141" i="8"/>
  <c r="CD140" i="8"/>
  <c r="CD139" i="8"/>
  <c r="CD138" i="8"/>
  <c r="CD137" i="8"/>
  <c r="CD136" i="8"/>
  <c r="CD135" i="8"/>
  <c r="CD134" i="8"/>
  <c r="CD133" i="8"/>
  <c r="CD132" i="8"/>
  <c r="CD131" i="8"/>
  <c r="CD130" i="8"/>
  <c r="CD129" i="8"/>
  <c r="CD128" i="8"/>
  <c r="CD127" i="8"/>
  <c r="CD126" i="8"/>
  <c r="CD125" i="8"/>
  <c r="CD124" i="8"/>
  <c r="CD123" i="8"/>
  <c r="CD122" i="8"/>
  <c r="CD121" i="8"/>
  <c r="CD120" i="8"/>
  <c r="CD119" i="8"/>
  <c r="CD118" i="8"/>
  <c r="CD117" i="8"/>
  <c r="CD116" i="8"/>
  <c r="CD115" i="8"/>
  <c r="CD114" i="8"/>
  <c r="CD113" i="8"/>
  <c r="CD112" i="8"/>
  <c r="CD111" i="8"/>
  <c r="CD110" i="8"/>
  <c r="CD109" i="8"/>
  <c r="CD108" i="8"/>
  <c r="CD107" i="8"/>
  <c r="CD106" i="8"/>
  <c r="CD105" i="8"/>
  <c r="CD104" i="8"/>
  <c r="CD103" i="8"/>
  <c r="CD102" i="8"/>
  <c r="CD101" i="8"/>
  <c r="CD100" i="8"/>
  <c r="CD99" i="8"/>
  <c r="CD98" i="8"/>
  <c r="CD97" i="8"/>
  <c r="CD96" i="8"/>
  <c r="CD95" i="8"/>
  <c r="CD94" i="8"/>
  <c r="CD93" i="8"/>
  <c r="CD92" i="8"/>
  <c r="CD91" i="8"/>
  <c r="CD90" i="8"/>
  <c r="CD89" i="8"/>
  <c r="CD88" i="8"/>
  <c r="CD87" i="8"/>
  <c r="CD86" i="8"/>
  <c r="CD85" i="8"/>
  <c r="CD84" i="8"/>
  <c r="CD83" i="8"/>
  <c r="CD82" i="8"/>
  <c r="CD81" i="8"/>
  <c r="CD80" i="8"/>
  <c r="CD79" i="8"/>
  <c r="CD78" i="8"/>
  <c r="CD77" i="8"/>
  <c r="CD76" i="8"/>
  <c r="CD75" i="8"/>
  <c r="CD74" i="8"/>
  <c r="CD73" i="8"/>
  <c r="CD72" i="8"/>
  <c r="CD71" i="8"/>
  <c r="CD70" i="8"/>
  <c r="CD69" i="8"/>
  <c r="CD68" i="8"/>
  <c r="CD67" i="8"/>
  <c r="CD66" i="8"/>
  <c r="CD65" i="8"/>
  <c r="CD64" i="8"/>
  <c r="CD63" i="8"/>
  <c r="CD62" i="8"/>
  <c r="CD61" i="8"/>
  <c r="CD60" i="8"/>
  <c r="CD59" i="8"/>
  <c r="CD58" i="8"/>
  <c r="CD57" i="8"/>
  <c r="CD56" i="8"/>
  <c r="CD55" i="8"/>
  <c r="CD54" i="8"/>
  <c r="CD53" i="8"/>
  <c r="CD52" i="8"/>
  <c r="CD51" i="8"/>
  <c r="CD50" i="8"/>
  <c r="CD49" i="8"/>
  <c r="CD48" i="8"/>
  <c r="CD47" i="8"/>
  <c r="CD46" i="8"/>
  <c r="CD45" i="8"/>
  <c r="CD44" i="8"/>
  <c r="CD43" i="8"/>
  <c r="CD42" i="8"/>
  <c r="CD41" i="8"/>
  <c r="CD40" i="8"/>
  <c r="CD39" i="8"/>
  <c r="CD38" i="8"/>
  <c r="CD37" i="8"/>
  <c r="CD36" i="8"/>
  <c r="CD35" i="8"/>
  <c r="CD34" i="8"/>
  <c r="CD33" i="8"/>
  <c r="CD32" i="8"/>
  <c r="CD31" i="8"/>
  <c r="CD30" i="8"/>
  <c r="CD29" i="8"/>
  <c r="CD28" i="8"/>
  <c r="CD27" i="8"/>
  <c r="CD26" i="8"/>
  <c r="CD25" i="8"/>
  <c r="CD24" i="8"/>
  <c r="CD23" i="8"/>
  <c r="CD22" i="8"/>
  <c r="CD21" i="8"/>
  <c r="CD20" i="8"/>
  <c r="CD19" i="8"/>
  <c r="CD18" i="8"/>
  <c r="CD17" i="8"/>
  <c r="CD16" i="8"/>
  <c r="CD15" i="8"/>
  <c r="CD14" i="8"/>
  <c r="CD13" i="8"/>
  <c r="CD12" i="8"/>
  <c r="CD11" i="8"/>
  <c r="CD10" i="8"/>
  <c r="CD9" i="8"/>
  <c r="CD8" i="8"/>
  <c r="CD7" i="8"/>
  <c r="CD6" i="8"/>
  <c r="CD5" i="8"/>
  <c r="CD4" i="8"/>
  <c r="CD3" i="8"/>
  <c r="CB252" i="8"/>
  <c r="CB251" i="8"/>
  <c r="CB250" i="8"/>
  <c r="CB249" i="8"/>
  <c r="CB248" i="8"/>
  <c r="CB247" i="8"/>
  <c r="CB246" i="8"/>
  <c r="CB245" i="8"/>
  <c r="CB244" i="8"/>
  <c r="CB243" i="8"/>
  <c r="CB242" i="8"/>
  <c r="CB241" i="8"/>
  <c r="CB240" i="8"/>
  <c r="CB239" i="8"/>
  <c r="CB238" i="8"/>
  <c r="CB237" i="8"/>
  <c r="CB236" i="8"/>
  <c r="CB235" i="8"/>
  <c r="CB234" i="8"/>
  <c r="CB233" i="8"/>
  <c r="CB232" i="8"/>
  <c r="CB231" i="8"/>
  <c r="CB230" i="8"/>
  <c r="CB229" i="8"/>
  <c r="CB228" i="8"/>
  <c r="CB227" i="8"/>
  <c r="CB226" i="8"/>
  <c r="CB225" i="8"/>
  <c r="CB224" i="8"/>
  <c r="CB223" i="8"/>
  <c r="CB222" i="8"/>
  <c r="CB221" i="8"/>
  <c r="CB220" i="8"/>
  <c r="CB219" i="8"/>
  <c r="CB218" i="8"/>
  <c r="CB217" i="8"/>
  <c r="CB216" i="8"/>
  <c r="CB215" i="8"/>
  <c r="CB214" i="8"/>
  <c r="CB213" i="8"/>
  <c r="CB212" i="8"/>
  <c r="CB211" i="8"/>
  <c r="CB210" i="8"/>
  <c r="CB209" i="8"/>
  <c r="CB208" i="8"/>
  <c r="CB207" i="8"/>
  <c r="CB206" i="8"/>
  <c r="CB205" i="8"/>
  <c r="CB204" i="8"/>
  <c r="CB203" i="8"/>
  <c r="CB202" i="8"/>
  <c r="CB201" i="8"/>
  <c r="CB200" i="8"/>
  <c r="CB199" i="8"/>
  <c r="CB198" i="8"/>
  <c r="CB197" i="8"/>
  <c r="CB196" i="8"/>
  <c r="CB195" i="8"/>
  <c r="CB194" i="8"/>
  <c r="CB193" i="8"/>
  <c r="CB192" i="8"/>
  <c r="CB191" i="8"/>
  <c r="CB190" i="8"/>
  <c r="CB189" i="8"/>
  <c r="CB188" i="8"/>
  <c r="CB187" i="8"/>
  <c r="CB186" i="8"/>
  <c r="CB185" i="8"/>
  <c r="CB184" i="8"/>
  <c r="CB183" i="8"/>
  <c r="CB182" i="8"/>
  <c r="CB181" i="8"/>
  <c r="CB180" i="8"/>
  <c r="CB179" i="8"/>
  <c r="CB178" i="8"/>
  <c r="CB177" i="8"/>
  <c r="CB176" i="8"/>
  <c r="CB175" i="8"/>
  <c r="CB174" i="8"/>
  <c r="CB173" i="8"/>
  <c r="CB172" i="8"/>
  <c r="CB171" i="8"/>
  <c r="CB170" i="8"/>
  <c r="CB169" i="8"/>
  <c r="CB168" i="8"/>
  <c r="CB167" i="8"/>
  <c r="CB166" i="8"/>
  <c r="CB165" i="8"/>
  <c r="CB164" i="8"/>
  <c r="CB163" i="8"/>
  <c r="CB162" i="8"/>
  <c r="CB161" i="8"/>
  <c r="CB160" i="8"/>
  <c r="CB159" i="8"/>
  <c r="CB158" i="8"/>
  <c r="CB157" i="8"/>
  <c r="CB156" i="8"/>
  <c r="CB155" i="8"/>
  <c r="CB154" i="8"/>
  <c r="CB153" i="8"/>
  <c r="CB152" i="8"/>
  <c r="CB151" i="8"/>
  <c r="CB150" i="8"/>
  <c r="CB149" i="8"/>
  <c r="CB148" i="8"/>
  <c r="CB147" i="8"/>
  <c r="CB146" i="8"/>
  <c r="CB145" i="8"/>
  <c r="CB144" i="8"/>
  <c r="CB143" i="8"/>
  <c r="CB142" i="8"/>
  <c r="CB141" i="8"/>
  <c r="CB140" i="8"/>
  <c r="CB139" i="8"/>
  <c r="CB138" i="8"/>
  <c r="CB137" i="8"/>
  <c r="CB136" i="8"/>
  <c r="CB135" i="8"/>
  <c r="CB134" i="8"/>
  <c r="CB133" i="8"/>
  <c r="CB132" i="8"/>
  <c r="CB131" i="8"/>
  <c r="CB130" i="8"/>
  <c r="CB129" i="8"/>
  <c r="CB128" i="8"/>
  <c r="CB127" i="8"/>
  <c r="CB126" i="8"/>
  <c r="CB125" i="8"/>
  <c r="CB124" i="8"/>
  <c r="CB123" i="8"/>
  <c r="CB122" i="8"/>
  <c r="CB121" i="8"/>
  <c r="CB120" i="8"/>
  <c r="CB119" i="8"/>
  <c r="CB118" i="8"/>
  <c r="CB117" i="8"/>
  <c r="CB116" i="8"/>
  <c r="CB115" i="8"/>
  <c r="CB114" i="8"/>
  <c r="CB113" i="8"/>
  <c r="CB112" i="8"/>
  <c r="CB111" i="8"/>
  <c r="CB110" i="8"/>
  <c r="CB109" i="8"/>
  <c r="CB108" i="8"/>
  <c r="CB107" i="8"/>
  <c r="CB106" i="8"/>
  <c r="CB105" i="8"/>
  <c r="CB104" i="8"/>
  <c r="CB103" i="8"/>
  <c r="CB102" i="8"/>
  <c r="CB101" i="8"/>
  <c r="CB100" i="8"/>
  <c r="CB99" i="8"/>
  <c r="CB98" i="8"/>
  <c r="CB97" i="8"/>
  <c r="CB96" i="8"/>
  <c r="CB95" i="8"/>
  <c r="CB94" i="8"/>
  <c r="CB93" i="8"/>
  <c r="CB92" i="8"/>
  <c r="CB91" i="8"/>
  <c r="CB90" i="8"/>
  <c r="CB89" i="8"/>
  <c r="CB88" i="8"/>
  <c r="CB87" i="8"/>
  <c r="CB86" i="8"/>
  <c r="CB85" i="8"/>
  <c r="CB84" i="8"/>
  <c r="CB83" i="8"/>
  <c r="CB82" i="8"/>
  <c r="CB81" i="8"/>
  <c r="CB80" i="8"/>
  <c r="CB79" i="8"/>
  <c r="CB78" i="8"/>
  <c r="CB77" i="8"/>
  <c r="CB76" i="8"/>
  <c r="CB75" i="8"/>
  <c r="CB74" i="8"/>
  <c r="CB73" i="8"/>
  <c r="CB72" i="8"/>
  <c r="CB71" i="8"/>
  <c r="CB70" i="8"/>
  <c r="CB69" i="8"/>
  <c r="CB68" i="8"/>
  <c r="CB67" i="8"/>
  <c r="CB66" i="8"/>
  <c r="CB65" i="8"/>
  <c r="CB64" i="8"/>
  <c r="CB63" i="8"/>
  <c r="CB62" i="8"/>
  <c r="CB61" i="8"/>
  <c r="CB60" i="8"/>
  <c r="CB59" i="8"/>
  <c r="CB58" i="8"/>
  <c r="CB57" i="8"/>
  <c r="CB56" i="8"/>
  <c r="CB55" i="8"/>
  <c r="CB54" i="8"/>
  <c r="CB53" i="8"/>
  <c r="CB52" i="8"/>
  <c r="CB51" i="8"/>
  <c r="CB50" i="8"/>
  <c r="CB49" i="8"/>
  <c r="CB48" i="8"/>
  <c r="CB47" i="8"/>
  <c r="CB46" i="8"/>
  <c r="CB45" i="8"/>
  <c r="CB44" i="8"/>
  <c r="CB43" i="8"/>
  <c r="CB42" i="8"/>
  <c r="CB41" i="8"/>
  <c r="CB40" i="8"/>
  <c r="CB39" i="8"/>
  <c r="CB38" i="8"/>
  <c r="CB37" i="8"/>
  <c r="CB36" i="8"/>
  <c r="CB35" i="8"/>
  <c r="CB34" i="8"/>
  <c r="CB33" i="8"/>
  <c r="CB32" i="8"/>
  <c r="CB31" i="8"/>
  <c r="CB30" i="8"/>
  <c r="CB29" i="8"/>
  <c r="CB28" i="8"/>
  <c r="CB27" i="8"/>
  <c r="CB26" i="8"/>
  <c r="CB25" i="8"/>
  <c r="CB24" i="8"/>
  <c r="CB23" i="8"/>
  <c r="CB22" i="8"/>
  <c r="CB21" i="8"/>
  <c r="CB20" i="8"/>
  <c r="CB19" i="8"/>
  <c r="CB18" i="8"/>
  <c r="CB17" i="8"/>
  <c r="CB16" i="8"/>
  <c r="CB15" i="8"/>
  <c r="CB14" i="8"/>
  <c r="CB13" i="8"/>
  <c r="CB12" i="8"/>
  <c r="CB11" i="8"/>
  <c r="CB10" i="8"/>
  <c r="CB9" i="8"/>
  <c r="CB8" i="8"/>
  <c r="CB7" i="8"/>
  <c r="CB6" i="8"/>
  <c r="CB5" i="8"/>
  <c r="CB4" i="8"/>
  <c r="CB3" i="8"/>
  <c r="BZ252" i="8"/>
  <c r="BZ251" i="8"/>
  <c r="BZ250" i="8"/>
  <c r="BZ249" i="8"/>
  <c r="BZ248" i="8"/>
  <c r="BZ247" i="8"/>
  <c r="BZ246" i="8"/>
  <c r="BZ245" i="8"/>
  <c r="BZ244" i="8"/>
  <c r="BZ243" i="8"/>
  <c r="BZ242" i="8"/>
  <c r="BZ241" i="8"/>
  <c r="BZ240" i="8"/>
  <c r="BZ239" i="8"/>
  <c r="BZ238" i="8"/>
  <c r="BZ237" i="8"/>
  <c r="BZ236" i="8"/>
  <c r="BZ235" i="8"/>
  <c r="BZ234" i="8"/>
  <c r="BZ233" i="8"/>
  <c r="BZ232" i="8"/>
  <c r="BZ231" i="8"/>
  <c r="BZ230" i="8"/>
  <c r="BZ229" i="8"/>
  <c r="BZ228" i="8"/>
  <c r="BZ227" i="8"/>
  <c r="BZ226" i="8"/>
  <c r="BZ225" i="8"/>
  <c r="BZ224" i="8"/>
  <c r="BZ223" i="8"/>
  <c r="BZ222" i="8"/>
  <c r="BZ221" i="8"/>
  <c r="BZ220" i="8"/>
  <c r="BZ219" i="8"/>
  <c r="BZ218" i="8"/>
  <c r="BZ217" i="8"/>
  <c r="BZ216" i="8"/>
  <c r="BZ215" i="8"/>
  <c r="BZ214" i="8"/>
  <c r="BZ213" i="8"/>
  <c r="BZ212" i="8"/>
  <c r="BZ211" i="8"/>
  <c r="BZ210" i="8"/>
  <c r="BZ209" i="8"/>
  <c r="BZ208" i="8"/>
  <c r="BZ207" i="8"/>
  <c r="BZ206" i="8"/>
  <c r="BZ205" i="8"/>
  <c r="BZ204" i="8"/>
  <c r="BZ203" i="8"/>
  <c r="BZ202" i="8"/>
  <c r="BZ201" i="8"/>
  <c r="BZ200" i="8"/>
  <c r="BZ199" i="8"/>
  <c r="BZ198" i="8"/>
  <c r="BZ197" i="8"/>
  <c r="BZ196" i="8"/>
  <c r="BZ195" i="8"/>
  <c r="BZ194" i="8"/>
  <c r="BZ193" i="8"/>
  <c r="BZ192" i="8"/>
  <c r="BZ191" i="8"/>
  <c r="BZ190" i="8"/>
  <c r="BZ189" i="8"/>
  <c r="BZ188" i="8"/>
  <c r="BZ187" i="8"/>
  <c r="BZ186" i="8"/>
  <c r="BZ185" i="8"/>
  <c r="BZ184" i="8"/>
  <c r="BZ183" i="8"/>
  <c r="BZ182" i="8"/>
  <c r="BZ181" i="8"/>
  <c r="BZ180" i="8"/>
  <c r="BZ179" i="8"/>
  <c r="BZ178" i="8"/>
  <c r="BZ177" i="8"/>
  <c r="BZ176" i="8"/>
  <c r="BZ175" i="8"/>
  <c r="BZ174" i="8"/>
  <c r="BZ173" i="8"/>
  <c r="BZ172" i="8"/>
  <c r="BZ171" i="8"/>
  <c r="BZ170" i="8"/>
  <c r="BZ169" i="8"/>
  <c r="BZ168" i="8"/>
  <c r="BZ167" i="8"/>
  <c r="BZ166" i="8"/>
  <c r="BZ165" i="8"/>
  <c r="BZ164" i="8"/>
  <c r="BZ163" i="8"/>
  <c r="BZ162" i="8"/>
  <c r="BZ161" i="8"/>
  <c r="BZ160" i="8"/>
  <c r="BZ159" i="8"/>
  <c r="BZ158" i="8"/>
  <c r="BZ157" i="8"/>
  <c r="BZ156" i="8"/>
  <c r="BZ155" i="8"/>
  <c r="BZ154" i="8"/>
  <c r="BZ153" i="8"/>
  <c r="BZ152" i="8"/>
  <c r="BZ151" i="8"/>
  <c r="BZ150" i="8"/>
  <c r="BZ149" i="8"/>
  <c r="BZ148" i="8"/>
  <c r="BZ147" i="8"/>
  <c r="BZ146" i="8"/>
  <c r="BZ145" i="8"/>
  <c r="BZ144" i="8"/>
  <c r="BZ143" i="8"/>
  <c r="BZ142" i="8"/>
  <c r="BZ141" i="8"/>
  <c r="BZ140" i="8"/>
  <c r="BZ139" i="8"/>
  <c r="BZ138" i="8"/>
  <c r="BZ137" i="8"/>
  <c r="BZ136" i="8"/>
  <c r="BZ135" i="8"/>
  <c r="BZ134" i="8"/>
  <c r="BZ133" i="8"/>
  <c r="BZ132" i="8"/>
  <c r="BZ131" i="8"/>
  <c r="BZ130" i="8"/>
  <c r="BZ129" i="8"/>
  <c r="BZ128" i="8"/>
  <c r="BZ127" i="8"/>
  <c r="BZ126" i="8"/>
  <c r="BZ125" i="8"/>
  <c r="BZ124" i="8"/>
  <c r="BZ123" i="8"/>
  <c r="BZ122" i="8"/>
  <c r="BZ121" i="8"/>
  <c r="BZ120" i="8"/>
  <c r="BZ119" i="8"/>
  <c r="BZ118" i="8"/>
  <c r="BZ117" i="8"/>
  <c r="BZ116" i="8"/>
  <c r="BZ115" i="8"/>
  <c r="BZ114" i="8"/>
  <c r="BZ113" i="8"/>
  <c r="BZ112" i="8"/>
  <c r="BZ111" i="8"/>
  <c r="BZ110" i="8"/>
  <c r="BZ109" i="8"/>
  <c r="BZ108" i="8"/>
  <c r="BZ107" i="8"/>
  <c r="BZ106" i="8"/>
  <c r="BZ105" i="8"/>
  <c r="BZ104" i="8"/>
  <c r="BZ103" i="8"/>
  <c r="BZ102" i="8"/>
  <c r="BZ101" i="8"/>
  <c r="BZ100" i="8"/>
  <c r="BZ99" i="8"/>
  <c r="BZ98" i="8"/>
  <c r="BZ97" i="8"/>
  <c r="BZ96" i="8"/>
  <c r="BZ95" i="8"/>
  <c r="BZ94" i="8"/>
  <c r="BZ93" i="8"/>
  <c r="BZ92" i="8"/>
  <c r="BZ91" i="8"/>
  <c r="BZ90" i="8"/>
  <c r="BZ89" i="8"/>
  <c r="BZ88" i="8"/>
  <c r="BZ87" i="8"/>
  <c r="BZ86" i="8"/>
  <c r="BZ85" i="8"/>
  <c r="BZ84" i="8"/>
  <c r="BZ83" i="8"/>
  <c r="BZ82" i="8"/>
  <c r="BZ81" i="8"/>
  <c r="BZ80" i="8"/>
  <c r="BZ79" i="8"/>
  <c r="BZ78" i="8"/>
  <c r="BZ77" i="8"/>
  <c r="BZ76" i="8"/>
  <c r="BZ75" i="8"/>
  <c r="BZ74" i="8"/>
  <c r="BZ73" i="8"/>
  <c r="BZ72" i="8"/>
  <c r="BZ71" i="8"/>
  <c r="BZ70" i="8"/>
  <c r="BZ69" i="8"/>
  <c r="BZ68" i="8"/>
  <c r="BZ67" i="8"/>
  <c r="BZ66" i="8"/>
  <c r="BZ65" i="8"/>
  <c r="BZ64" i="8"/>
  <c r="BZ63" i="8"/>
  <c r="BZ62" i="8"/>
  <c r="BZ61" i="8"/>
  <c r="BZ60" i="8"/>
  <c r="BZ59" i="8"/>
  <c r="BZ58" i="8"/>
  <c r="BZ57" i="8"/>
  <c r="BZ56" i="8"/>
  <c r="BZ55" i="8"/>
  <c r="BZ54" i="8"/>
  <c r="BZ53" i="8"/>
  <c r="BZ52" i="8"/>
  <c r="BZ51" i="8"/>
  <c r="BZ50" i="8"/>
  <c r="BZ49" i="8"/>
  <c r="BZ48" i="8"/>
  <c r="BZ47" i="8"/>
  <c r="BZ46" i="8"/>
  <c r="BZ45" i="8"/>
  <c r="BZ44" i="8"/>
  <c r="BZ43" i="8"/>
  <c r="BZ42" i="8"/>
  <c r="BZ41" i="8"/>
  <c r="BZ40" i="8"/>
  <c r="BZ39" i="8"/>
  <c r="BZ38" i="8"/>
  <c r="BZ37" i="8"/>
  <c r="BZ36" i="8"/>
  <c r="BZ35" i="8"/>
  <c r="BZ34" i="8"/>
  <c r="BZ33" i="8"/>
  <c r="BZ32" i="8"/>
  <c r="BZ31" i="8"/>
  <c r="BZ30" i="8"/>
  <c r="BZ29" i="8"/>
  <c r="BZ28" i="8"/>
  <c r="BZ27" i="8"/>
  <c r="BZ26" i="8"/>
  <c r="BZ25" i="8"/>
  <c r="BZ24" i="8"/>
  <c r="BZ23" i="8"/>
  <c r="BZ22" i="8"/>
  <c r="BZ21" i="8"/>
  <c r="BZ20" i="8"/>
  <c r="BZ19" i="8"/>
  <c r="BZ18" i="8"/>
  <c r="BZ17" i="8"/>
  <c r="BZ16" i="8"/>
  <c r="BZ15" i="8"/>
  <c r="BZ14" i="8"/>
  <c r="BZ13" i="8"/>
  <c r="BZ12" i="8"/>
  <c r="BZ11" i="8"/>
  <c r="BZ10" i="8"/>
  <c r="BZ9" i="8"/>
  <c r="BZ8" i="8"/>
  <c r="BZ7" i="8"/>
  <c r="BZ6" i="8"/>
  <c r="BZ5" i="8"/>
  <c r="BZ4" i="8"/>
  <c r="BZ3" i="8"/>
  <c r="BX252" i="8"/>
  <c r="BX251" i="8"/>
  <c r="BX250" i="8"/>
  <c r="BX249" i="8"/>
  <c r="BX248" i="8"/>
  <c r="BX247" i="8"/>
  <c r="BX246" i="8"/>
  <c r="BX245" i="8"/>
  <c r="BX244" i="8"/>
  <c r="BX243" i="8"/>
  <c r="BX242" i="8"/>
  <c r="BX241" i="8"/>
  <c r="BX240" i="8"/>
  <c r="BX239" i="8"/>
  <c r="BX238" i="8"/>
  <c r="BX237" i="8"/>
  <c r="BX236" i="8"/>
  <c r="BX235" i="8"/>
  <c r="BX234" i="8"/>
  <c r="BX233" i="8"/>
  <c r="BX232" i="8"/>
  <c r="BX231" i="8"/>
  <c r="BX230" i="8"/>
  <c r="BX229" i="8"/>
  <c r="BX228" i="8"/>
  <c r="BX227" i="8"/>
  <c r="BX226" i="8"/>
  <c r="BX225" i="8"/>
  <c r="BX224" i="8"/>
  <c r="BX223" i="8"/>
  <c r="BX222" i="8"/>
  <c r="BX221" i="8"/>
  <c r="BX220" i="8"/>
  <c r="BX219" i="8"/>
  <c r="BX218" i="8"/>
  <c r="BX217" i="8"/>
  <c r="BX216" i="8"/>
  <c r="BX215" i="8"/>
  <c r="BX214" i="8"/>
  <c r="BX213" i="8"/>
  <c r="BX212" i="8"/>
  <c r="BX211" i="8"/>
  <c r="BX210" i="8"/>
  <c r="BX209" i="8"/>
  <c r="BX208" i="8"/>
  <c r="BX207" i="8"/>
  <c r="BX206" i="8"/>
  <c r="BX205" i="8"/>
  <c r="BX204" i="8"/>
  <c r="BX203" i="8"/>
  <c r="BX202" i="8"/>
  <c r="BX201" i="8"/>
  <c r="BX200" i="8"/>
  <c r="BX199" i="8"/>
  <c r="BX198" i="8"/>
  <c r="BX197" i="8"/>
  <c r="BX196" i="8"/>
  <c r="BX195" i="8"/>
  <c r="BX194" i="8"/>
  <c r="BX193" i="8"/>
  <c r="BX192" i="8"/>
  <c r="BX191" i="8"/>
  <c r="BX190" i="8"/>
  <c r="BX189" i="8"/>
  <c r="BX188" i="8"/>
  <c r="BX187" i="8"/>
  <c r="BX186" i="8"/>
  <c r="BX185" i="8"/>
  <c r="BX184" i="8"/>
  <c r="BX183" i="8"/>
  <c r="BX182" i="8"/>
  <c r="BX181" i="8"/>
  <c r="BX180" i="8"/>
  <c r="BX179" i="8"/>
  <c r="BX178" i="8"/>
  <c r="BX177" i="8"/>
  <c r="BX176" i="8"/>
  <c r="BX175" i="8"/>
  <c r="BX174" i="8"/>
  <c r="BX173" i="8"/>
  <c r="BX172" i="8"/>
  <c r="BX171" i="8"/>
  <c r="BX170" i="8"/>
  <c r="BX169" i="8"/>
  <c r="BX168" i="8"/>
  <c r="BX167" i="8"/>
  <c r="BX166" i="8"/>
  <c r="BX165" i="8"/>
  <c r="BX164" i="8"/>
  <c r="BX163" i="8"/>
  <c r="BX162" i="8"/>
  <c r="BX161" i="8"/>
  <c r="BX160" i="8"/>
  <c r="BX159" i="8"/>
  <c r="BX158" i="8"/>
  <c r="BX157" i="8"/>
  <c r="BX156" i="8"/>
  <c r="BX155" i="8"/>
  <c r="BX154" i="8"/>
  <c r="BX153" i="8"/>
  <c r="BX152" i="8"/>
  <c r="BX151" i="8"/>
  <c r="BX150" i="8"/>
  <c r="BX149" i="8"/>
  <c r="BX148" i="8"/>
  <c r="BX147" i="8"/>
  <c r="BX146" i="8"/>
  <c r="BX145" i="8"/>
  <c r="BX144" i="8"/>
  <c r="BX143" i="8"/>
  <c r="BX142" i="8"/>
  <c r="BX141" i="8"/>
  <c r="BX140" i="8"/>
  <c r="BX139" i="8"/>
  <c r="BX138" i="8"/>
  <c r="BX137" i="8"/>
  <c r="BX136" i="8"/>
  <c r="BX135" i="8"/>
  <c r="BX134" i="8"/>
  <c r="BX133" i="8"/>
  <c r="BX132" i="8"/>
  <c r="BX131" i="8"/>
  <c r="BX130" i="8"/>
  <c r="BX129" i="8"/>
  <c r="BX128" i="8"/>
  <c r="BX127" i="8"/>
  <c r="BX126" i="8"/>
  <c r="BX125" i="8"/>
  <c r="BX124" i="8"/>
  <c r="BX123" i="8"/>
  <c r="BX122" i="8"/>
  <c r="BX121" i="8"/>
  <c r="BX120" i="8"/>
  <c r="BX119" i="8"/>
  <c r="BX118" i="8"/>
  <c r="BX117" i="8"/>
  <c r="BX116" i="8"/>
  <c r="BX115" i="8"/>
  <c r="BX114" i="8"/>
  <c r="BX113" i="8"/>
  <c r="BX112" i="8"/>
  <c r="BX111" i="8"/>
  <c r="BX110" i="8"/>
  <c r="BX109" i="8"/>
  <c r="BX108" i="8"/>
  <c r="BX107" i="8"/>
  <c r="BX106" i="8"/>
  <c r="BX105" i="8"/>
  <c r="BX104" i="8"/>
  <c r="BX103" i="8"/>
  <c r="BX102" i="8"/>
  <c r="BX101" i="8"/>
  <c r="BX100" i="8"/>
  <c r="BX99" i="8"/>
  <c r="BX98" i="8"/>
  <c r="BX97" i="8"/>
  <c r="BX96" i="8"/>
  <c r="BX95" i="8"/>
  <c r="BX94" i="8"/>
  <c r="BX93" i="8"/>
  <c r="BX92" i="8"/>
  <c r="BX91" i="8"/>
  <c r="BX90" i="8"/>
  <c r="BX89" i="8"/>
  <c r="BX88" i="8"/>
  <c r="BX87" i="8"/>
  <c r="BX86" i="8"/>
  <c r="BX85" i="8"/>
  <c r="BX84" i="8"/>
  <c r="BX83" i="8"/>
  <c r="BX82" i="8"/>
  <c r="BX81" i="8"/>
  <c r="BX80" i="8"/>
  <c r="BX79" i="8"/>
  <c r="BX78" i="8"/>
  <c r="BX77" i="8"/>
  <c r="BX76" i="8"/>
  <c r="BX75" i="8"/>
  <c r="BX74" i="8"/>
  <c r="BX73" i="8"/>
  <c r="BX72" i="8"/>
  <c r="BX71" i="8"/>
  <c r="BX70" i="8"/>
  <c r="BX69" i="8"/>
  <c r="BX68" i="8"/>
  <c r="BX67" i="8"/>
  <c r="BX66" i="8"/>
  <c r="BX65" i="8"/>
  <c r="BX64" i="8"/>
  <c r="BX63" i="8"/>
  <c r="BX62" i="8"/>
  <c r="BX61" i="8"/>
  <c r="BX60" i="8"/>
  <c r="BX59" i="8"/>
  <c r="BX58" i="8"/>
  <c r="BX57" i="8"/>
  <c r="BX56" i="8"/>
  <c r="BX55" i="8"/>
  <c r="BX54" i="8"/>
  <c r="BX53" i="8"/>
  <c r="BX52" i="8"/>
  <c r="BX51" i="8"/>
  <c r="BX50" i="8"/>
  <c r="BX49" i="8"/>
  <c r="BX48" i="8"/>
  <c r="BX47" i="8"/>
  <c r="BX46" i="8"/>
  <c r="BX45" i="8"/>
  <c r="BX44" i="8"/>
  <c r="BX43" i="8"/>
  <c r="BX42" i="8"/>
  <c r="BX41" i="8"/>
  <c r="BX40" i="8"/>
  <c r="BX39" i="8"/>
  <c r="BX38" i="8"/>
  <c r="BX37" i="8"/>
  <c r="BX36" i="8"/>
  <c r="BX35" i="8"/>
  <c r="BX34" i="8"/>
  <c r="BX33" i="8"/>
  <c r="BX32" i="8"/>
  <c r="BX31" i="8"/>
  <c r="BX30" i="8"/>
  <c r="BX29" i="8"/>
  <c r="BX28" i="8"/>
  <c r="BX27" i="8"/>
  <c r="BX26" i="8"/>
  <c r="BX25" i="8"/>
  <c r="BX24" i="8"/>
  <c r="BX23" i="8"/>
  <c r="BX22" i="8"/>
  <c r="BX21" i="8"/>
  <c r="BX20" i="8"/>
  <c r="BX19" i="8"/>
  <c r="BX18" i="8"/>
  <c r="BX17" i="8"/>
  <c r="BX16" i="8"/>
  <c r="BX15" i="8"/>
  <c r="BX14" i="8"/>
  <c r="BX13" i="8"/>
  <c r="BX12" i="8"/>
  <c r="BX11" i="8"/>
  <c r="BX10" i="8"/>
  <c r="BX9" i="8"/>
  <c r="BX8" i="8"/>
  <c r="BX7" i="8"/>
  <c r="BX6" i="8"/>
  <c r="BX5" i="8"/>
  <c r="BX4" i="8"/>
  <c r="BX3" i="8"/>
  <c r="BV252" i="8"/>
  <c r="BV251" i="8"/>
  <c r="BV250" i="8"/>
  <c r="BV249" i="8"/>
  <c r="BV248" i="8"/>
  <c r="BV247" i="8"/>
  <c r="BV246" i="8"/>
  <c r="BV245" i="8"/>
  <c r="BV244" i="8"/>
  <c r="BV243" i="8"/>
  <c r="BV242" i="8"/>
  <c r="BV241" i="8"/>
  <c r="BV240" i="8"/>
  <c r="BV239" i="8"/>
  <c r="BV238" i="8"/>
  <c r="BV237" i="8"/>
  <c r="BV236" i="8"/>
  <c r="BV235" i="8"/>
  <c r="BV234" i="8"/>
  <c r="BV233" i="8"/>
  <c r="BV232" i="8"/>
  <c r="BV231" i="8"/>
  <c r="BV230" i="8"/>
  <c r="BV229" i="8"/>
  <c r="BV228" i="8"/>
  <c r="BV227" i="8"/>
  <c r="BV226" i="8"/>
  <c r="BV225" i="8"/>
  <c r="BV224" i="8"/>
  <c r="BV223" i="8"/>
  <c r="BV222" i="8"/>
  <c r="BV221" i="8"/>
  <c r="BV220" i="8"/>
  <c r="BV219" i="8"/>
  <c r="BV218" i="8"/>
  <c r="BV217" i="8"/>
  <c r="BV216" i="8"/>
  <c r="BV215" i="8"/>
  <c r="BV214" i="8"/>
  <c r="BV213" i="8"/>
  <c r="BV212" i="8"/>
  <c r="BV211" i="8"/>
  <c r="BV210" i="8"/>
  <c r="BV209" i="8"/>
  <c r="BV208" i="8"/>
  <c r="BV207" i="8"/>
  <c r="BV206" i="8"/>
  <c r="BV205" i="8"/>
  <c r="BV204" i="8"/>
  <c r="BV203" i="8"/>
  <c r="BV202" i="8"/>
  <c r="BV201" i="8"/>
  <c r="BV200" i="8"/>
  <c r="BV199" i="8"/>
  <c r="BV198" i="8"/>
  <c r="BV197" i="8"/>
  <c r="BV196" i="8"/>
  <c r="BV195" i="8"/>
  <c r="BV194" i="8"/>
  <c r="BV193" i="8"/>
  <c r="BV192" i="8"/>
  <c r="BV191" i="8"/>
  <c r="BV190" i="8"/>
  <c r="BV189" i="8"/>
  <c r="BV188" i="8"/>
  <c r="BV187" i="8"/>
  <c r="BV186" i="8"/>
  <c r="BV185" i="8"/>
  <c r="BV184" i="8"/>
  <c r="BV183" i="8"/>
  <c r="BV182" i="8"/>
  <c r="BV181" i="8"/>
  <c r="BV180" i="8"/>
  <c r="BV179" i="8"/>
  <c r="BV178" i="8"/>
  <c r="BV177" i="8"/>
  <c r="BV176" i="8"/>
  <c r="BV175" i="8"/>
  <c r="BV174" i="8"/>
  <c r="BV173" i="8"/>
  <c r="BV172" i="8"/>
  <c r="BV171" i="8"/>
  <c r="BV170" i="8"/>
  <c r="BV169" i="8"/>
  <c r="BV168" i="8"/>
  <c r="BV167" i="8"/>
  <c r="BV166" i="8"/>
  <c r="BV165" i="8"/>
  <c r="BV164" i="8"/>
  <c r="BV163" i="8"/>
  <c r="BV162" i="8"/>
  <c r="BV161" i="8"/>
  <c r="BV160" i="8"/>
  <c r="BV159" i="8"/>
  <c r="BV158" i="8"/>
  <c r="BV157" i="8"/>
  <c r="BV156" i="8"/>
  <c r="BV155" i="8"/>
  <c r="BV154" i="8"/>
  <c r="BV153" i="8"/>
  <c r="BV152" i="8"/>
  <c r="BV151" i="8"/>
  <c r="BV150" i="8"/>
  <c r="BV149" i="8"/>
  <c r="BV148" i="8"/>
  <c r="BV147" i="8"/>
  <c r="BV146" i="8"/>
  <c r="BV145" i="8"/>
  <c r="BV144" i="8"/>
  <c r="BV143" i="8"/>
  <c r="BV142" i="8"/>
  <c r="BV141" i="8"/>
  <c r="BV140" i="8"/>
  <c r="BV139" i="8"/>
  <c r="BV138" i="8"/>
  <c r="BV137" i="8"/>
  <c r="BV136" i="8"/>
  <c r="BV135" i="8"/>
  <c r="BV134" i="8"/>
  <c r="BV133" i="8"/>
  <c r="BV132" i="8"/>
  <c r="BV131" i="8"/>
  <c r="BV130" i="8"/>
  <c r="BV129" i="8"/>
  <c r="BV128" i="8"/>
  <c r="BV127" i="8"/>
  <c r="BV126" i="8"/>
  <c r="BV125" i="8"/>
  <c r="BV124" i="8"/>
  <c r="BV123" i="8"/>
  <c r="BV122" i="8"/>
  <c r="BV121" i="8"/>
  <c r="BV120" i="8"/>
  <c r="BV119" i="8"/>
  <c r="BV118" i="8"/>
  <c r="BV117" i="8"/>
  <c r="BV116" i="8"/>
  <c r="BV115" i="8"/>
  <c r="BV114" i="8"/>
  <c r="BV113" i="8"/>
  <c r="BV112" i="8"/>
  <c r="BV111" i="8"/>
  <c r="BV110" i="8"/>
  <c r="BV109" i="8"/>
  <c r="BV108" i="8"/>
  <c r="BV107" i="8"/>
  <c r="BV106" i="8"/>
  <c r="BV105" i="8"/>
  <c r="BV104" i="8"/>
  <c r="BV103" i="8"/>
  <c r="BV102" i="8"/>
  <c r="BV101" i="8"/>
  <c r="BV100" i="8"/>
  <c r="BV99" i="8"/>
  <c r="BV98" i="8"/>
  <c r="BV97" i="8"/>
  <c r="BV96" i="8"/>
  <c r="BV95" i="8"/>
  <c r="BV94" i="8"/>
  <c r="BV93" i="8"/>
  <c r="BV92" i="8"/>
  <c r="BV91" i="8"/>
  <c r="BV90" i="8"/>
  <c r="BV89" i="8"/>
  <c r="BV88" i="8"/>
  <c r="BV87" i="8"/>
  <c r="BV86" i="8"/>
  <c r="BV85" i="8"/>
  <c r="BV84" i="8"/>
  <c r="BV83" i="8"/>
  <c r="BV82" i="8"/>
  <c r="BV81" i="8"/>
  <c r="BV80" i="8"/>
  <c r="BV79" i="8"/>
  <c r="BV78" i="8"/>
  <c r="BV77" i="8"/>
  <c r="BV76" i="8"/>
  <c r="BV75" i="8"/>
  <c r="BV74" i="8"/>
  <c r="BV73" i="8"/>
  <c r="BV72" i="8"/>
  <c r="BV71" i="8"/>
  <c r="BV70" i="8"/>
  <c r="BV69" i="8"/>
  <c r="BV68" i="8"/>
  <c r="BV67" i="8"/>
  <c r="BV66" i="8"/>
  <c r="BV65" i="8"/>
  <c r="BV64" i="8"/>
  <c r="BV63" i="8"/>
  <c r="BV62" i="8"/>
  <c r="BV61" i="8"/>
  <c r="BV60" i="8"/>
  <c r="BV59" i="8"/>
  <c r="BV58" i="8"/>
  <c r="BV57" i="8"/>
  <c r="BV56" i="8"/>
  <c r="BV55" i="8"/>
  <c r="BV54" i="8"/>
  <c r="BV53" i="8"/>
  <c r="BV52" i="8"/>
  <c r="BV51" i="8"/>
  <c r="BV50" i="8"/>
  <c r="BV49" i="8"/>
  <c r="BV48" i="8"/>
  <c r="BV47" i="8"/>
  <c r="BV46" i="8"/>
  <c r="BV45" i="8"/>
  <c r="BV44" i="8"/>
  <c r="BV43" i="8"/>
  <c r="BV42" i="8"/>
  <c r="BV41" i="8"/>
  <c r="BV40" i="8"/>
  <c r="BV39" i="8"/>
  <c r="BV38" i="8"/>
  <c r="BV37" i="8"/>
  <c r="BV36" i="8"/>
  <c r="BV35" i="8"/>
  <c r="BV34" i="8"/>
  <c r="BV33" i="8"/>
  <c r="BV32" i="8"/>
  <c r="BV31" i="8"/>
  <c r="BV30" i="8"/>
  <c r="BV29" i="8"/>
  <c r="BV28" i="8"/>
  <c r="BV27" i="8"/>
  <c r="BV26" i="8"/>
  <c r="BV25" i="8"/>
  <c r="BV24" i="8"/>
  <c r="BV23" i="8"/>
  <c r="BV22" i="8"/>
  <c r="BV21" i="8"/>
  <c r="BV20" i="8"/>
  <c r="BV19" i="8"/>
  <c r="BV18" i="8"/>
  <c r="BV17" i="8"/>
  <c r="BV16" i="8"/>
  <c r="BV15" i="8"/>
  <c r="BV14" i="8"/>
  <c r="BV13" i="8"/>
  <c r="BV12" i="8"/>
  <c r="BV11" i="8"/>
  <c r="BV10" i="8"/>
  <c r="BV9" i="8"/>
  <c r="BV8" i="8"/>
  <c r="BV7" i="8"/>
  <c r="BV6" i="8"/>
  <c r="BV5" i="8"/>
  <c r="BV4" i="8"/>
  <c r="BV3" i="8"/>
  <c r="BT252" i="8"/>
  <c r="BT251" i="8"/>
  <c r="BT250" i="8"/>
  <c r="BT249" i="8"/>
  <c r="BT248" i="8"/>
  <c r="BT247" i="8"/>
  <c r="BT246" i="8"/>
  <c r="BT245" i="8"/>
  <c r="BT244" i="8"/>
  <c r="BT243" i="8"/>
  <c r="BT242" i="8"/>
  <c r="BT241" i="8"/>
  <c r="BT240" i="8"/>
  <c r="BT239" i="8"/>
  <c r="BT238" i="8"/>
  <c r="BT237" i="8"/>
  <c r="BT236" i="8"/>
  <c r="BT235" i="8"/>
  <c r="BT234" i="8"/>
  <c r="BT233" i="8"/>
  <c r="BT232" i="8"/>
  <c r="BT231" i="8"/>
  <c r="BT230" i="8"/>
  <c r="BT229" i="8"/>
  <c r="BT228" i="8"/>
  <c r="BT227" i="8"/>
  <c r="BT226" i="8"/>
  <c r="BT225" i="8"/>
  <c r="BT224" i="8"/>
  <c r="BT223" i="8"/>
  <c r="BT222" i="8"/>
  <c r="BT221" i="8"/>
  <c r="BT220" i="8"/>
  <c r="BT219" i="8"/>
  <c r="BT218" i="8"/>
  <c r="BT217" i="8"/>
  <c r="BT216" i="8"/>
  <c r="BT215" i="8"/>
  <c r="BT214" i="8"/>
  <c r="BT213" i="8"/>
  <c r="BT212" i="8"/>
  <c r="BT211" i="8"/>
  <c r="BT210" i="8"/>
  <c r="BT209" i="8"/>
  <c r="BT208" i="8"/>
  <c r="BT207" i="8"/>
  <c r="BT206" i="8"/>
  <c r="BT205" i="8"/>
  <c r="BT204" i="8"/>
  <c r="BT203" i="8"/>
  <c r="BT202" i="8"/>
  <c r="BT201" i="8"/>
  <c r="BT200" i="8"/>
  <c r="BT199" i="8"/>
  <c r="BT198" i="8"/>
  <c r="BT197" i="8"/>
  <c r="BT196" i="8"/>
  <c r="BT195" i="8"/>
  <c r="BT194" i="8"/>
  <c r="BT193" i="8"/>
  <c r="BT192" i="8"/>
  <c r="BT191" i="8"/>
  <c r="BT190" i="8"/>
  <c r="BT189" i="8"/>
  <c r="BT188" i="8"/>
  <c r="BT187" i="8"/>
  <c r="BT186" i="8"/>
  <c r="BT185" i="8"/>
  <c r="BT184" i="8"/>
  <c r="BT183" i="8"/>
  <c r="BT182" i="8"/>
  <c r="BT181" i="8"/>
  <c r="BT180" i="8"/>
  <c r="BT179" i="8"/>
  <c r="BT178" i="8"/>
  <c r="BT177" i="8"/>
  <c r="BT176" i="8"/>
  <c r="BT175" i="8"/>
  <c r="BT174" i="8"/>
  <c r="BT173" i="8"/>
  <c r="BT172" i="8"/>
  <c r="BT171" i="8"/>
  <c r="BT170" i="8"/>
  <c r="BT169" i="8"/>
  <c r="BT168" i="8"/>
  <c r="BT167" i="8"/>
  <c r="BT166" i="8"/>
  <c r="BT165" i="8"/>
  <c r="BT164" i="8"/>
  <c r="BT163" i="8"/>
  <c r="BT162" i="8"/>
  <c r="BT161" i="8"/>
  <c r="BT160" i="8"/>
  <c r="BT159" i="8"/>
  <c r="BT158" i="8"/>
  <c r="BT157" i="8"/>
  <c r="BT156" i="8"/>
  <c r="BT155" i="8"/>
  <c r="BT154" i="8"/>
  <c r="BT153" i="8"/>
  <c r="BT152" i="8"/>
  <c r="BT151" i="8"/>
  <c r="BT150" i="8"/>
  <c r="BT149" i="8"/>
  <c r="BT148" i="8"/>
  <c r="BT147" i="8"/>
  <c r="BT146" i="8"/>
  <c r="BT145" i="8"/>
  <c r="BT144" i="8"/>
  <c r="BT143" i="8"/>
  <c r="BT142" i="8"/>
  <c r="BT141" i="8"/>
  <c r="BT140" i="8"/>
  <c r="BT139" i="8"/>
  <c r="BT138" i="8"/>
  <c r="BT137" i="8"/>
  <c r="BT136" i="8"/>
  <c r="BT135" i="8"/>
  <c r="BT134" i="8"/>
  <c r="BT133" i="8"/>
  <c r="BT132" i="8"/>
  <c r="BT131" i="8"/>
  <c r="BT130" i="8"/>
  <c r="BT129" i="8"/>
  <c r="BT128" i="8"/>
  <c r="BT127" i="8"/>
  <c r="BT126" i="8"/>
  <c r="BT125" i="8"/>
  <c r="BT124" i="8"/>
  <c r="BT123" i="8"/>
  <c r="BT122" i="8"/>
  <c r="BT121" i="8"/>
  <c r="BT120" i="8"/>
  <c r="BT119" i="8"/>
  <c r="BT118" i="8"/>
  <c r="BT117" i="8"/>
  <c r="BT116" i="8"/>
  <c r="BT115" i="8"/>
  <c r="BT114" i="8"/>
  <c r="BT113" i="8"/>
  <c r="BT112" i="8"/>
  <c r="BT111" i="8"/>
  <c r="BT110" i="8"/>
  <c r="BT109" i="8"/>
  <c r="BT108" i="8"/>
  <c r="BT107" i="8"/>
  <c r="BT106" i="8"/>
  <c r="BT105" i="8"/>
  <c r="BT104" i="8"/>
  <c r="BT103" i="8"/>
  <c r="BT102" i="8"/>
  <c r="BT101" i="8"/>
  <c r="BT100" i="8"/>
  <c r="BT99" i="8"/>
  <c r="BT98" i="8"/>
  <c r="BT97" i="8"/>
  <c r="BT96" i="8"/>
  <c r="BT95" i="8"/>
  <c r="BT94" i="8"/>
  <c r="BT93" i="8"/>
  <c r="BT92" i="8"/>
  <c r="BT91" i="8"/>
  <c r="BT90" i="8"/>
  <c r="BT89" i="8"/>
  <c r="BT88" i="8"/>
  <c r="BT87" i="8"/>
  <c r="BT86" i="8"/>
  <c r="BT85" i="8"/>
  <c r="BT84" i="8"/>
  <c r="BT83" i="8"/>
  <c r="BT82" i="8"/>
  <c r="BT81" i="8"/>
  <c r="BT80" i="8"/>
  <c r="BT79" i="8"/>
  <c r="BT78" i="8"/>
  <c r="BT77" i="8"/>
  <c r="BT76" i="8"/>
  <c r="BT75" i="8"/>
  <c r="BT74" i="8"/>
  <c r="BT73" i="8"/>
  <c r="BT72" i="8"/>
  <c r="BT71" i="8"/>
  <c r="BT70" i="8"/>
  <c r="BT69" i="8"/>
  <c r="BT68" i="8"/>
  <c r="BT67" i="8"/>
  <c r="BT66" i="8"/>
  <c r="BT65" i="8"/>
  <c r="BT64" i="8"/>
  <c r="BT63" i="8"/>
  <c r="BT62" i="8"/>
  <c r="BT61" i="8"/>
  <c r="BT60" i="8"/>
  <c r="BT59" i="8"/>
  <c r="BT58" i="8"/>
  <c r="BT57" i="8"/>
  <c r="BT56" i="8"/>
  <c r="BT55" i="8"/>
  <c r="BT54" i="8"/>
  <c r="BT53" i="8"/>
  <c r="BT52" i="8"/>
  <c r="BT51" i="8"/>
  <c r="BT50" i="8"/>
  <c r="BT49" i="8"/>
  <c r="BT48" i="8"/>
  <c r="BT47" i="8"/>
  <c r="BT46" i="8"/>
  <c r="BT45" i="8"/>
  <c r="BT44" i="8"/>
  <c r="BT43" i="8"/>
  <c r="BT42" i="8"/>
  <c r="BT41" i="8"/>
  <c r="BT40" i="8"/>
  <c r="BT39" i="8"/>
  <c r="BT38" i="8"/>
  <c r="BT37" i="8"/>
  <c r="BT36" i="8"/>
  <c r="BT35" i="8"/>
  <c r="BT34" i="8"/>
  <c r="BT33" i="8"/>
  <c r="BT32" i="8"/>
  <c r="BT31" i="8"/>
  <c r="BT30" i="8"/>
  <c r="BT29" i="8"/>
  <c r="BT28" i="8"/>
  <c r="BT27" i="8"/>
  <c r="BT26" i="8"/>
  <c r="BT25" i="8"/>
  <c r="BT24" i="8"/>
  <c r="BT23" i="8"/>
  <c r="BT22" i="8"/>
  <c r="BT21" i="8"/>
  <c r="BT20" i="8"/>
  <c r="BT19" i="8"/>
  <c r="BT18" i="8"/>
  <c r="BT17" i="8"/>
  <c r="BT16" i="8"/>
  <c r="BT15" i="8"/>
  <c r="BT14" i="8"/>
  <c r="BT13" i="8"/>
  <c r="BT12" i="8"/>
  <c r="BT11" i="8"/>
  <c r="BT10" i="8"/>
  <c r="BT9" i="8"/>
  <c r="BT8" i="8"/>
  <c r="BT7" i="8"/>
  <c r="BT6" i="8"/>
  <c r="BT5" i="8"/>
  <c r="BT4" i="8"/>
  <c r="BT3" i="8"/>
  <c r="BR252" i="8"/>
  <c r="BR251" i="8"/>
  <c r="BR250" i="8"/>
  <c r="BR249" i="8"/>
  <c r="BR248" i="8"/>
  <c r="BR247" i="8"/>
  <c r="BR246" i="8"/>
  <c r="BR245" i="8"/>
  <c r="BR244" i="8"/>
  <c r="BR243" i="8"/>
  <c r="BR242" i="8"/>
  <c r="BR241" i="8"/>
  <c r="BR240" i="8"/>
  <c r="BR239" i="8"/>
  <c r="BR238" i="8"/>
  <c r="BR237" i="8"/>
  <c r="BR236" i="8"/>
  <c r="BR235" i="8"/>
  <c r="BR234" i="8"/>
  <c r="BR233" i="8"/>
  <c r="BR232" i="8"/>
  <c r="BR231" i="8"/>
  <c r="BR230" i="8"/>
  <c r="BR229" i="8"/>
  <c r="BR228" i="8"/>
  <c r="BR227" i="8"/>
  <c r="BR226" i="8"/>
  <c r="BR225" i="8"/>
  <c r="BR224" i="8"/>
  <c r="BR223" i="8"/>
  <c r="BR222" i="8"/>
  <c r="BR221" i="8"/>
  <c r="BR220" i="8"/>
  <c r="BR219" i="8"/>
  <c r="BR218" i="8"/>
  <c r="BR217" i="8"/>
  <c r="BR216" i="8"/>
  <c r="BR215" i="8"/>
  <c r="BR214" i="8"/>
  <c r="BR213" i="8"/>
  <c r="BR212" i="8"/>
  <c r="BR211" i="8"/>
  <c r="BR210" i="8"/>
  <c r="BR209" i="8"/>
  <c r="BR208" i="8"/>
  <c r="BR207" i="8"/>
  <c r="BR206" i="8"/>
  <c r="BR205" i="8"/>
  <c r="BR204" i="8"/>
  <c r="BR203" i="8"/>
  <c r="BR202" i="8"/>
  <c r="BR201" i="8"/>
  <c r="BR200" i="8"/>
  <c r="BR199" i="8"/>
  <c r="BR198" i="8"/>
  <c r="BR197" i="8"/>
  <c r="BR196" i="8"/>
  <c r="BR195" i="8"/>
  <c r="BR194" i="8"/>
  <c r="BR193" i="8"/>
  <c r="BR192" i="8"/>
  <c r="BR191" i="8"/>
  <c r="BR190" i="8"/>
  <c r="BR189" i="8"/>
  <c r="BR188" i="8"/>
  <c r="BR187" i="8"/>
  <c r="BR186" i="8"/>
  <c r="BR185" i="8"/>
  <c r="BR184" i="8"/>
  <c r="BR183" i="8"/>
  <c r="BR182" i="8"/>
  <c r="BR181" i="8"/>
  <c r="BR180" i="8"/>
  <c r="BR179" i="8"/>
  <c r="BR178" i="8"/>
  <c r="BR177" i="8"/>
  <c r="BR176" i="8"/>
  <c r="BR175" i="8"/>
  <c r="BR174" i="8"/>
  <c r="BR173" i="8"/>
  <c r="BR172" i="8"/>
  <c r="BR171" i="8"/>
  <c r="BR170" i="8"/>
  <c r="BR169" i="8"/>
  <c r="BR168" i="8"/>
  <c r="BR167" i="8"/>
  <c r="BR166" i="8"/>
  <c r="BR165" i="8"/>
  <c r="BR164" i="8"/>
  <c r="BR163" i="8"/>
  <c r="BR162" i="8"/>
  <c r="BR161" i="8"/>
  <c r="BR160" i="8"/>
  <c r="BR159" i="8"/>
  <c r="BR158" i="8"/>
  <c r="BR157" i="8"/>
  <c r="BR156" i="8"/>
  <c r="BR155" i="8"/>
  <c r="BR154" i="8"/>
  <c r="BR153" i="8"/>
  <c r="BR152" i="8"/>
  <c r="BR151" i="8"/>
  <c r="BR150" i="8"/>
  <c r="BR149" i="8"/>
  <c r="BR148" i="8"/>
  <c r="BR147" i="8"/>
  <c r="BR146" i="8"/>
  <c r="BR145" i="8"/>
  <c r="BR144" i="8"/>
  <c r="BR143" i="8"/>
  <c r="BR142" i="8"/>
  <c r="BR141" i="8"/>
  <c r="BR140" i="8"/>
  <c r="BR139" i="8"/>
  <c r="BR138" i="8"/>
  <c r="BR137" i="8"/>
  <c r="BR136" i="8"/>
  <c r="BR135" i="8"/>
  <c r="BR134" i="8"/>
  <c r="BR133" i="8"/>
  <c r="BR132" i="8"/>
  <c r="BR131" i="8"/>
  <c r="BR130" i="8"/>
  <c r="BR129" i="8"/>
  <c r="BR128" i="8"/>
  <c r="BR127" i="8"/>
  <c r="BR126" i="8"/>
  <c r="BR125" i="8"/>
  <c r="BR124" i="8"/>
  <c r="BR123" i="8"/>
  <c r="BR122" i="8"/>
  <c r="BR121" i="8"/>
  <c r="BR120" i="8"/>
  <c r="BR119" i="8"/>
  <c r="BR118" i="8"/>
  <c r="BR117" i="8"/>
  <c r="BR116" i="8"/>
  <c r="BR115" i="8"/>
  <c r="BR114" i="8"/>
  <c r="BR113" i="8"/>
  <c r="BR112" i="8"/>
  <c r="BR111" i="8"/>
  <c r="BR110" i="8"/>
  <c r="BR109" i="8"/>
  <c r="BR108" i="8"/>
  <c r="BR107" i="8"/>
  <c r="BR106" i="8"/>
  <c r="BR105" i="8"/>
  <c r="BR104" i="8"/>
  <c r="BR103" i="8"/>
  <c r="BR102" i="8"/>
  <c r="BR101" i="8"/>
  <c r="BR100" i="8"/>
  <c r="BR99" i="8"/>
  <c r="BR98" i="8"/>
  <c r="BR97" i="8"/>
  <c r="BR96" i="8"/>
  <c r="BR95" i="8"/>
  <c r="BR94" i="8"/>
  <c r="BR93" i="8"/>
  <c r="BR92" i="8"/>
  <c r="BR91" i="8"/>
  <c r="BR90" i="8"/>
  <c r="BR89" i="8"/>
  <c r="BR88" i="8"/>
  <c r="BR87" i="8"/>
  <c r="BR86" i="8"/>
  <c r="BR85" i="8"/>
  <c r="BR84" i="8"/>
  <c r="BR83" i="8"/>
  <c r="BR82" i="8"/>
  <c r="BR81" i="8"/>
  <c r="BR80" i="8"/>
  <c r="BR79" i="8"/>
  <c r="BR78" i="8"/>
  <c r="BR77" i="8"/>
  <c r="BR76" i="8"/>
  <c r="BR75" i="8"/>
  <c r="BR74" i="8"/>
  <c r="BR73" i="8"/>
  <c r="BR72" i="8"/>
  <c r="BR71" i="8"/>
  <c r="BR70" i="8"/>
  <c r="BR69" i="8"/>
  <c r="BR68" i="8"/>
  <c r="BR67" i="8"/>
  <c r="BR66" i="8"/>
  <c r="BR65" i="8"/>
  <c r="BR64" i="8"/>
  <c r="BR63" i="8"/>
  <c r="BR62" i="8"/>
  <c r="BR61" i="8"/>
  <c r="BR60" i="8"/>
  <c r="BR59" i="8"/>
  <c r="BR58" i="8"/>
  <c r="BR57" i="8"/>
  <c r="BR56" i="8"/>
  <c r="BR55" i="8"/>
  <c r="BR54" i="8"/>
  <c r="BR53" i="8"/>
  <c r="BR52" i="8"/>
  <c r="BR51" i="8"/>
  <c r="BR50" i="8"/>
  <c r="BR49" i="8"/>
  <c r="BR48" i="8"/>
  <c r="BR47" i="8"/>
  <c r="BR46" i="8"/>
  <c r="BR45" i="8"/>
  <c r="BR44" i="8"/>
  <c r="BR43" i="8"/>
  <c r="BR42" i="8"/>
  <c r="BR41" i="8"/>
  <c r="BR40" i="8"/>
  <c r="BR39" i="8"/>
  <c r="BR38" i="8"/>
  <c r="BR37" i="8"/>
  <c r="BR36" i="8"/>
  <c r="BR35" i="8"/>
  <c r="BR34" i="8"/>
  <c r="BR33" i="8"/>
  <c r="BR32" i="8"/>
  <c r="BR31" i="8"/>
  <c r="BR30" i="8"/>
  <c r="BR29" i="8"/>
  <c r="BR28" i="8"/>
  <c r="BR27" i="8"/>
  <c r="BR26" i="8"/>
  <c r="BR25" i="8"/>
  <c r="BR24" i="8"/>
  <c r="BR23" i="8"/>
  <c r="BR22" i="8"/>
  <c r="BR21" i="8"/>
  <c r="BR20" i="8"/>
  <c r="BR19" i="8"/>
  <c r="BR18" i="8"/>
  <c r="BR17" i="8"/>
  <c r="BR16" i="8"/>
  <c r="BR15" i="8"/>
  <c r="BR14" i="8"/>
  <c r="BR13" i="8"/>
  <c r="BR12" i="8"/>
  <c r="BR11" i="8"/>
  <c r="BR10" i="8"/>
  <c r="BR9" i="8"/>
  <c r="BR8" i="8"/>
  <c r="BR7" i="8"/>
  <c r="BR6" i="8"/>
  <c r="BR5" i="8"/>
  <c r="BR4" i="8"/>
  <c r="BR3" i="8"/>
  <c r="BP252" i="8"/>
  <c r="BP251" i="8"/>
  <c r="BP250" i="8"/>
  <c r="BP249" i="8"/>
  <c r="BP248" i="8"/>
  <c r="BP247" i="8"/>
  <c r="BP246" i="8"/>
  <c r="BP245" i="8"/>
  <c r="BP244" i="8"/>
  <c r="BP243" i="8"/>
  <c r="BP242" i="8"/>
  <c r="BP241" i="8"/>
  <c r="BP240" i="8"/>
  <c r="BP239" i="8"/>
  <c r="BP238" i="8"/>
  <c r="BP237" i="8"/>
  <c r="BP236" i="8"/>
  <c r="BP235" i="8"/>
  <c r="BP234" i="8"/>
  <c r="BP233" i="8"/>
  <c r="BP232" i="8"/>
  <c r="BP231" i="8"/>
  <c r="BP230" i="8"/>
  <c r="BP229" i="8"/>
  <c r="BP228" i="8"/>
  <c r="BP227" i="8"/>
  <c r="BP226" i="8"/>
  <c r="BP225" i="8"/>
  <c r="BP224" i="8"/>
  <c r="BP223" i="8"/>
  <c r="BP222" i="8"/>
  <c r="BP221" i="8"/>
  <c r="BP220" i="8"/>
  <c r="BP219" i="8"/>
  <c r="BP218" i="8"/>
  <c r="BP217" i="8"/>
  <c r="BP216" i="8"/>
  <c r="BP215" i="8"/>
  <c r="BP214" i="8"/>
  <c r="BP213" i="8"/>
  <c r="BP212" i="8"/>
  <c r="BP211" i="8"/>
  <c r="BP210" i="8"/>
  <c r="BP209" i="8"/>
  <c r="BP208" i="8"/>
  <c r="BP207" i="8"/>
  <c r="BP206" i="8"/>
  <c r="BP205" i="8"/>
  <c r="BP204" i="8"/>
  <c r="BP203" i="8"/>
  <c r="BP202" i="8"/>
  <c r="BP201" i="8"/>
  <c r="BP200" i="8"/>
  <c r="BP199" i="8"/>
  <c r="BP198" i="8"/>
  <c r="BP197" i="8"/>
  <c r="BP196" i="8"/>
  <c r="BP195" i="8"/>
  <c r="BP194" i="8"/>
  <c r="BP193" i="8"/>
  <c r="BP192" i="8"/>
  <c r="BP191" i="8"/>
  <c r="BP190" i="8"/>
  <c r="BP189" i="8"/>
  <c r="BP188" i="8"/>
  <c r="BP187" i="8"/>
  <c r="BP186" i="8"/>
  <c r="BP185" i="8"/>
  <c r="BP184" i="8"/>
  <c r="BP183" i="8"/>
  <c r="BP182" i="8"/>
  <c r="BP181" i="8"/>
  <c r="BP180" i="8"/>
  <c r="BP179" i="8"/>
  <c r="BP178" i="8"/>
  <c r="BP177" i="8"/>
  <c r="BP176" i="8"/>
  <c r="BP175" i="8"/>
  <c r="BP174" i="8"/>
  <c r="BP173" i="8"/>
  <c r="BP172" i="8"/>
  <c r="BP171" i="8"/>
  <c r="BP170" i="8"/>
  <c r="BP169" i="8"/>
  <c r="BP168" i="8"/>
  <c r="BP167" i="8"/>
  <c r="BP166" i="8"/>
  <c r="BP165" i="8"/>
  <c r="BP164" i="8"/>
  <c r="BP163" i="8"/>
  <c r="BP162" i="8"/>
  <c r="BP161" i="8"/>
  <c r="BP160" i="8"/>
  <c r="BP159" i="8"/>
  <c r="BP158" i="8"/>
  <c r="BP157" i="8"/>
  <c r="BP156" i="8"/>
  <c r="BP155" i="8"/>
  <c r="BP154" i="8"/>
  <c r="BP153" i="8"/>
  <c r="BP152" i="8"/>
  <c r="BP151" i="8"/>
  <c r="BP150" i="8"/>
  <c r="BP149" i="8"/>
  <c r="BP148" i="8"/>
  <c r="BP147" i="8"/>
  <c r="BP146" i="8"/>
  <c r="BP145" i="8"/>
  <c r="BP144" i="8"/>
  <c r="BP143" i="8"/>
  <c r="BP142" i="8"/>
  <c r="BP141" i="8"/>
  <c r="BP140" i="8"/>
  <c r="BP139" i="8"/>
  <c r="BP138" i="8"/>
  <c r="BP137" i="8"/>
  <c r="BP136" i="8"/>
  <c r="BP135" i="8"/>
  <c r="BP134" i="8"/>
  <c r="BP133" i="8"/>
  <c r="BP132" i="8"/>
  <c r="BP131" i="8"/>
  <c r="BP130" i="8"/>
  <c r="BP129" i="8"/>
  <c r="BP128" i="8"/>
  <c r="BP127" i="8"/>
  <c r="BP126" i="8"/>
  <c r="BP125" i="8"/>
  <c r="BP124" i="8"/>
  <c r="BP123" i="8"/>
  <c r="BP122" i="8"/>
  <c r="BP121" i="8"/>
  <c r="BP120" i="8"/>
  <c r="BP119" i="8"/>
  <c r="BP118" i="8"/>
  <c r="BP117" i="8"/>
  <c r="BP116" i="8"/>
  <c r="BP115" i="8"/>
  <c r="BP114" i="8"/>
  <c r="BP113" i="8"/>
  <c r="BP112" i="8"/>
  <c r="BP111" i="8"/>
  <c r="BP110" i="8"/>
  <c r="BP109" i="8"/>
  <c r="BP108" i="8"/>
  <c r="BP107" i="8"/>
  <c r="BP106" i="8"/>
  <c r="BP105" i="8"/>
  <c r="BP104" i="8"/>
  <c r="BP103" i="8"/>
  <c r="BP102" i="8"/>
  <c r="BP101" i="8"/>
  <c r="BP100" i="8"/>
  <c r="BP99" i="8"/>
  <c r="BP98" i="8"/>
  <c r="BP97" i="8"/>
  <c r="BP96" i="8"/>
  <c r="BP95" i="8"/>
  <c r="BP94" i="8"/>
  <c r="BP93" i="8"/>
  <c r="BP92" i="8"/>
  <c r="BP91" i="8"/>
  <c r="BP90" i="8"/>
  <c r="BP89" i="8"/>
  <c r="BP88" i="8"/>
  <c r="BP87" i="8"/>
  <c r="BP86" i="8"/>
  <c r="BP85" i="8"/>
  <c r="BP84" i="8"/>
  <c r="BP83" i="8"/>
  <c r="BP82" i="8"/>
  <c r="BP81" i="8"/>
  <c r="BP80" i="8"/>
  <c r="BP79" i="8"/>
  <c r="BP78" i="8"/>
  <c r="BP77" i="8"/>
  <c r="BP76" i="8"/>
  <c r="BP75" i="8"/>
  <c r="BP74" i="8"/>
  <c r="BP73" i="8"/>
  <c r="BP72" i="8"/>
  <c r="BP71" i="8"/>
  <c r="BP70" i="8"/>
  <c r="BP69" i="8"/>
  <c r="BP68" i="8"/>
  <c r="BP67" i="8"/>
  <c r="BP66" i="8"/>
  <c r="BP65" i="8"/>
  <c r="BP64" i="8"/>
  <c r="BP63" i="8"/>
  <c r="BP62" i="8"/>
  <c r="BP61" i="8"/>
  <c r="BP60" i="8"/>
  <c r="BP59" i="8"/>
  <c r="BP58" i="8"/>
  <c r="BP57" i="8"/>
  <c r="BP56" i="8"/>
  <c r="BP55" i="8"/>
  <c r="BP54" i="8"/>
  <c r="BP53" i="8"/>
  <c r="BP52" i="8"/>
  <c r="BP51" i="8"/>
  <c r="BP50" i="8"/>
  <c r="BP49" i="8"/>
  <c r="BP48" i="8"/>
  <c r="BP47" i="8"/>
  <c r="BP46" i="8"/>
  <c r="BP45" i="8"/>
  <c r="BP44" i="8"/>
  <c r="BP43" i="8"/>
  <c r="BP42" i="8"/>
  <c r="BP41" i="8"/>
  <c r="BP40" i="8"/>
  <c r="BP39" i="8"/>
  <c r="BP38" i="8"/>
  <c r="BP37" i="8"/>
  <c r="BP36" i="8"/>
  <c r="BP35" i="8"/>
  <c r="BP34" i="8"/>
  <c r="BP33" i="8"/>
  <c r="BP32" i="8"/>
  <c r="BP31" i="8"/>
  <c r="BP30" i="8"/>
  <c r="BP29" i="8"/>
  <c r="BP28" i="8"/>
  <c r="BP27" i="8"/>
  <c r="BP26" i="8"/>
  <c r="BP25" i="8"/>
  <c r="BP24" i="8"/>
  <c r="BP23" i="8"/>
  <c r="BP22" i="8"/>
  <c r="BP21" i="8"/>
  <c r="BP20" i="8"/>
  <c r="BP19" i="8"/>
  <c r="BP18" i="8"/>
  <c r="BP17" i="8"/>
  <c r="BP16" i="8"/>
  <c r="BP15" i="8"/>
  <c r="BP14" i="8"/>
  <c r="BP13" i="8"/>
  <c r="BP12" i="8"/>
  <c r="BP11" i="8"/>
  <c r="BP10" i="8"/>
  <c r="BP9" i="8"/>
  <c r="BP8" i="8"/>
  <c r="BP7" i="8"/>
  <c r="BP6" i="8"/>
  <c r="BP5" i="8"/>
  <c r="BP4" i="8"/>
  <c r="BP3" i="8"/>
  <c r="BN252" i="8"/>
  <c r="BN251" i="8"/>
  <c r="BN250" i="8"/>
  <c r="BN249" i="8"/>
  <c r="BN248" i="8"/>
  <c r="BN247" i="8"/>
  <c r="BN246" i="8"/>
  <c r="BN245" i="8"/>
  <c r="BN244" i="8"/>
  <c r="BN243" i="8"/>
  <c r="BN242" i="8"/>
  <c r="BN241" i="8"/>
  <c r="BN240" i="8"/>
  <c r="BN239" i="8"/>
  <c r="BN238" i="8"/>
  <c r="BN237" i="8"/>
  <c r="BN236" i="8"/>
  <c r="BN235" i="8"/>
  <c r="BN234" i="8"/>
  <c r="BN233" i="8"/>
  <c r="BN232" i="8"/>
  <c r="BN231" i="8"/>
  <c r="BN230" i="8"/>
  <c r="BN229" i="8"/>
  <c r="BN228" i="8"/>
  <c r="BN227" i="8"/>
  <c r="BN226" i="8"/>
  <c r="BN225" i="8"/>
  <c r="BN224" i="8"/>
  <c r="BN223" i="8"/>
  <c r="BN222" i="8"/>
  <c r="BN221" i="8"/>
  <c r="BN220" i="8"/>
  <c r="BN219" i="8"/>
  <c r="BN218" i="8"/>
  <c r="BN217" i="8"/>
  <c r="BN216" i="8"/>
  <c r="BN215" i="8"/>
  <c r="BN214" i="8"/>
  <c r="BN213" i="8"/>
  <c r="BN212" i="8"/>
  <c r="BN211" i="8"/>
  <c r="BN210" i="8"/>
  <c r="BN209" i="8"/>
  <c r="BN208" i="8"/>
  <c r="BN207" i="8"/>
  <c r="BN206" i="8"/>
  <c r="BN205" i="8"/>
  <c r="BN204" i="8"/>
  <c r="BN203" i="8"/>
  <c r="BN202" i="8"/>
  <c r="BN201" i="8"/>
  <c r="BN200" i="8"/>
  <c r="BN199" i="8"/>
  <c r="BN198" i="8"/>
  <c r="BN197" i="8"/>
  <c r="BN196" i="8"/>
  <c r="BN195" i="8"/>
  <c r="BN194" i="8"/>
  <c r="BN193" i="8"/>
  <c r="BN192" i="8"/>
  <c r="BN191" i="8"/>
  <c r="BN190" i="8"/>
  <c r="BN189" i="8"/>
  <c r="BN188" i="8"/>
  <c r="BN187" i="8"/>
  <c r="BN186" i="8"/>
  <c r="BN185" i="8"/>
  <c r="BN184" i="8"/>
  <c r="BN183" i="8"/>
  <c r="BN182" i="8"/>
  <c r="BN181" i="8"/>
  <c r="BN180" i="8"/>
  <c r="BN179" i="8"/>
  <c r="BN178" i="8"/>
  <c r="BN177" i="8"/>
  <c r="BN176" i="8"/>
  <c r="BN175" i="8"/>
  <c r="BN174" i="8"/>
  <c r="BN173" i="8"/>
  <c r="BN172" i="8"/>
  <c r="BN171" i="8"/>
  <c r="BN170" i="8"/>
  <c r="BN169" i="8"/>
  <c r="BN168" i="8"/>
  <c r="BN167" i="8"/>
  <c r="BN166" i="8"/>
  <c r="BN165" i="8"/>
  <c r="BN164" i="8"/>
  <c r="BN163" i="8"/>
  <c r="BN162" i="8"/>
  <c r="BN161" i="8"/>
  <c r="BN160" i="8"/>
  <c r="BN159" i="8"/>
  <c r="BN158" i="8"/>
  <c r="BN157" i="8"/>
  <c r="BN156" i="8"/>
  <c r="BN155" i="8"/>
  <c r="BN154" i="8"/>
  <c r="BN153" i="8"/>
  <c r="BN152" i="8"/>
  <c r="BN151" i="8"/>
  <c r="BN150" i="8"/>
  <c r="BN149" i="8"/>
  <c r="BN148" i="8"/>
  <c r="BN147" i="8"/>
  <c r="BN146" i="8"/>
  <c r="BN145" i="8"/>
  <c r="BN144" i="8"/>
  <c r="BN143" i="8"/>
  <c r="BN142" i="8"/>
  <c r="BN141" i="8"/>
  <c r="BN140" i="8"/>
  <c r="BN139" i="8"/>
  <c r="BN138" i="8"/>
  <c r="BN137" i="8"/>
  <c r="BN136" i="8"/>
  <c r="BN135" i="8"/>
  <c r="BN134" i="8"/>
  <c r="BN133" i="8"/>
  <c r="BN132" i="8"/>
  <c r="BN131" i="8"/>
  <c r="BN130" i="8"/>
  <c r="BN129" i="8"/>
  <c r="BN128" i="8"/>
  <c r="BN127" i="8"/>
  <c r="BN126" i="8"/>
  <c r="BN125" i="8"/>
  <c r="BN124" i="8"/>
  <c r="BN123" i="8"/>
  <c r="BN122" i="8"/>
  <c r="BN121" i="8"/>
  <c r="BN120" i="8"/>
  <c r="BN119" i="8"/>
  <c r="BN118" i="8"/>
  <c r="BN117" i="8"/>
  <c r="BN116" i="8"/>
  <c r="BN115" i="8"/>
  <c r="BN114" i="8"/>
  <c r="BN113" i="8"/>
  <c r="BN112" i="8"/>
  <c r="BN111" i="8"/>
  <c r="BN110" i="8"/>
  <c r="BN109" i="8"/>
  <c r="BN108" i="8"/>
  <c r="BN107" i="8"/>
  <c r="BN106" i="8"/>
  <c r="BN105" i="8"/>
  <c r="BN104" i="8"/>
  <c r="BN103" i="8"/>
  <c r="BN102" i="8"/>
  <c r="BN101" i="8"/>
  <c r="BN100" i="8"/>
  <c r="BN99" i="8"/>
  <c r="BN98" i="8"/>
  <c r="BN97" i="8"/>
  <c r="BN96" i="8"/>
  <c r="BN95" i="8"/>
  <c r="BN94" i="8"/>
  <c r="BN93" i="8"/>
  <c r="BN92" i="8"/>
  <c r="BN91" i="8"/>
  <c r="BN90" i="8"/>
  <c r="BN89" i="8"/>
  <c r="BN88" i="8"/>
  <c r="BN87" i="8"/>
  <c r="BN86" i="8"/>
  <c r="BN85" i="8"/>
  <c r="BN84" i="8"/>
  <c r="BN83" i="8"/>
  <c r="BN82" i="8"/>
  <c r="BN81" i="8"/>
  <c r="BN80" i="8"/>
  <c r="BN79" i="8"/>
  <c r="BN78" i="8"/>
  <c r="BN77" i="8"/>
  <c r="BN76" i="8"/>
  <c r="BN75" i="8"/>
  <c r="BN74" i="8"/>
  <c r="BN73" i="8"/>
  <c r="BN72" i="8"/>
  <c r="BN71" i="8"/>
  <c r="BN70" i="8"/>
  <c r="BN69" i="8"/>
  <c r="BN68" i="8"/>
  <c r="BN67" i="8"/>
  <c r="BN66" i="8"/>
  <c r="BN65" i="8"/>
  <c r="BN64" i="8"/>
  <c r="BN63" i="8"/>
  <c r="BN62" i="8"/>
  <c r="BN61" i="8"/>
  <c r="BN60" i="8"/>
  <c r="BN59" i="8"/>
  <c r="BN58" i="8"/>
  <c r="BN57" i="8"/>
  <c r="BN56" i="8"/>
  <c r="BN55" i="8"/>
  <c r="BN54" i="8"/>
  <c r="BN53" i="8"/>
  <c r="BN52" i="8"/>
  <c r="BN51" i="8"/>
  <c r="BN50" i="8"/>
  <c r="BN49" i="8"/>
  <c r="BN48" i="8"/>
  <c r="BN47" i="8"/>
  <c r="BN46" i="8"/>
  <c r="BN45" i="8"/>
  <c r="BN44" i="8"/>
  <c r="BN43" i="8"/>
  <c r="BN42" i="8"/>
  <c r="BN41" i="8"/>
  <c r="BN40" i="8"/>
  <c r="BN39" i="8"/>
  <c r="BN38" i="8"/>
  <c r="BN37" i="8"/>
  <c r="BN36" i="8"/>
  <c r="BN35" i="8"/>
  <c r="BN34" i="8"/>
  <c r="BN33" i="8"/>
  <c r="BN32" i="8"/>
  <c r="BN31" i="8"/>
  <c r="BN30" i="8"/>
  <c r="BN29" i="8"/>
  <c r="BN28" i="8"/>
  <c r="BN27" i="8"/>
  <c r="BN26" i="8"/>
  <c r="BN25" i="8"/>
  <c r="BN24" i="8"/>
  <c r="BN23" i="8"/>
  <c r="BN22" i="8"/>
  <c r="BN21" i="8"/>
  <c r="BN20" i="8"/>
  <c r="BN19" i="8"/>
  <c r="BN18" i="8"/>
  <c r="BN17" i="8"/>
  <c r="BN16" i="8"/>
  <c r="BN15" i="8"/>
  <c r="BN14" i="8"/>
  <c r="BN13" i="8"/>
  <c r="BN12" i="8"/>
  <c r="BN11" i="8"/>
  <c r="BN10" i="8"/>
  <c r="BN9" i="8"/>
  <c r="BN8" i="8"/>
  <c r="BN7" i="8"/>
  <c r="BN6" i="8"/>
  <c r="BN5" i="8"/>
  <c r="BN4" i="8"/>
  <c r="BN3" i="8"/>
  <c r="BL252" i="8"/>
  <c r="BL251" i="8"/>
  <c r="BL250" i="8"/>
  <c r="BL249" i="8"/>
  <c r="BL248" i="8"/>
  <c r="BL247" i="8"/>
  <c r="BL246" i="8"/>
  <c r="BL245" i="8"/>
  <c r="BL244" i="8"/>
  <c r="BL243" i="8"/>
  <c r="BL242" i="8"/>
  <c r="BL241" i="8"/>
  <c r="BL240" i="8"/>
  <c r="BL239" i="8"/>
  <c r="BL238" i="8"/>
  <c r="BL237" i="8"/>
  <c r="BL236" i="8"/>
  <c r="BL235" i="8"/>
  <c r="BL234" i="8"/>
  <c r="BL233" i="8"/>
  <c r="BL232" i="8"/>
  <c r="BL231" i="8"/>
  <c r="BL230" i="8"/>
  <c r="BL229" i="8"/>
  <c r="BL228" i="8"/>
  <c r="BL227" i="8"/>
  <c r="BL226" i="8"/>
  <c r="BL225" i="8"/>
  <c r="BL224" i="8"/>
  <c r="BL223" i="8"/>
  <c r="BL222" i="8"/>
  <c r="BL221" i="8"/>
  <c r="BL220" i="8"/>
  <c r="BL219" i="8"/>
  <c r="BL218" i="8"/>
  <c r="BL217" i="8"/>
  <c r="BL216" i="8"/>
  <c r="BL215" i="8"/>
  <c r="BL214" i="8"/>
  <c r="BL213" i="8"/>
  <c r="BL212" i="8"/>
  <c r="BL211" i="8"/>
  <c r="BL210" i="8"/>
  <c r="BL209" i="8"/>
  <c r="BL208" i="8"/>
  <c r="BL207" i="8"/>
  <c r="BL206" i="8"/>
  <c r="BL205" i="8"/>
  <c r="BL204" i="8"/>
  <c r="BL203" i="8"/>
  <c r="BL202" i="8"/>
  <c r="BL201" i="8"/>
  <c r="BL200" i="8"/>
  <c r="BL199" i="8"/>
  <c r="BL198" i="8"/>
  <c r="BL197" i="8"/>
  <c r="BL196" i="8"/>
  <c r="BL195" i="8"/>
  <c r="BL194" i="8"/>
  <c r="BL193" i="8"/>
  <c r="BL192" i="8"/>
  <c r="BL191" i="8"/>
  <c r="BL190" i="8"/>
  <c r="BL189" i="8"/>
  <c r="BL188" i="8"/>
  <c r="BL187" i="8"/>
  <c r="BL186" i="8"/>
  <c r="BL185" i="8"/>
  <c r="BL184" i="8"/>
  <c r="BL183" i="8"/>
  <c r="BL182" i="8"/>
  <c r="BL181" i="8"/>
  <c r="BL180" i="8"/>
  <c r="BL179" i="8"/>
  <c r="BL178" i="8"/>
  <c r="BL177" i="8"/>
  <c r="BL176" i="8"/>
  <c r="BL175" i="8"/>
  <c r="BL174" i="8"/>
  <c r="BL173" i="8"/>
  <c r="BL172" i="8"/>
  <c r="BL171" i="8"/>
  <c r="BL170" i="8"/>
  <c r="BL169" i="8"/>
  <c r="BL168" i="8"/>
  <c r="BL167" i="8"/>
  <c r="BL166" i="8"/>
  <c r="BL165" i="8"/>
  <c r="BL164" i="8"/>
  <c r="BL163" i="8"/>
  <c r="BL162" i="8"/>
  <c r="BL161" i="8"/>
  <c r="BL160" i="8"/>
  <c r="BL159" i="8"/>
  <c r="BL158" i="8"/>
  <c r="BL157" i="8"/>
  <c r="BL156" i="8"/>
  <c r="BL155" i="8"/>
  <c r="BL154" i="8"/>
  <c r="BL153" i="8"/>
  <c r="BL152" i="8"/>
  <c r="BL151" i="8"/>
  <c r="BL150" i="8"/>
  <c r="BL149" i="8"/>
  <c r="BL148" i="8"/>
  <c r="BL147" i="8"/>
  <c r="BL146" i="8"/>
  <c r="BL145" i="8"/>
  <c r="BL144" i="8"/>
  <c r="BL143" i="8"/>
  <c r="BL142" i="8"/>
  <c r="BL141" i="8"/>
  <c r="BL140" i="8"/>
  <c r="BL139" i="8"/>
  <c r="BL138" i="8"/>
  <c r="BL137" i="8"/>
  <c r="BL136" i="8"/>
  <c r="BL135" i="8"/>
  <c r="BL134" i="8"/>
  <c r="BL133" i="8"/>
  <c r="BL132" i="8"/>
  <c r="BL131" i="8"/>
  <c r="BL130" i="8"/>
  <c r="BL129" i="8"/>
  <c r="BL128" i="8"/>
  <c r="BL127" i="8"/>
  <c r="BL126" i="8"/>
  <c r="BL125" i="8"/>
  <c r="BL124" i="8"/>
  <c r="BL123" i="8"/>
  <c r="BL122" i="8"/>
  <c r="BL121" i="8"/>
  <c r="BL120" i="8"/>
  <c r="BL119" i="8"/>
  <c r="BL118" i="8"/>
  <c r="BL117" i="8"/>
  <c r="BL116" i="8"/>
  <c r="BL115" i="8"/>
  <c r="BL114" i="8"/>
  <c r="BL113" i="8"/>
  <c r="BL112" i="8"/>
  <c r="BL111" i="8"/>
  <c r="BL110" i="8"/>
  <c r="BL109" i="8"/>
  <c r="BL108" i="8"/>
  <c r="BL107" i="8"/>
  <c r="BL106" i="8"/>
  <c r="BL105" i="8"/>
  <c r="BL104" i="8"/>
  <c r="BL103" i="8"/>
  <c r="BL102" i="8"/>
  <c r="BL101" i="8"/>
  <c r="BL100" i="8"/>
  <c r="BL99" i="8"/>
  <c r="BL98" i="8"/>
  <c r="BL97" i="8"/>
  <c r="BL96" i="8"/>
  <c r="BL95" i="8"/>
  <c r="BL94" i="8"/>
  <c r="BL93" i="8"/>
  <c r="BL92" i="8"/>
  <c r="BL91" i="8"/>
  <c r="BL90" i="8"/>
  <c r="BL89" i="8"/>
  <c r="BL88" i="8"/>
  <c r="BL87" i="8"/>
  <c r="BL86" i="8"/>
  <c r="BL85" i="8"/>
  <c r="BL84" i="8"/>
  <c r="BL83" i="8"/>
  <c r="BL82" i="8"/>
  <c r="BL81" i="8"/>
  <c r="BL80" i="8"/>
  <c r="BL79" i="8"/>
  <c r="BL78" i="8"/>
  <c r="BL77" i="8"/>
  <c r="BL76" i="8"/>
  <c r="BL75" i="8"/>
  <c r="BL74" i="8"/>
  <c r="BL73" i="8"/>
  <c r="BL72" i="8"/>
  <c r="BL71" i="8"/>
  <c r="BL70" i="8"/>
  <c r="BL69" i="8"/>
  <c r="BL68" i="8"/>
  <c r="BL67" i="8"/>
  <c r="BL66" i="8"/>
  <c r="BL65" i="8"/>
  <c r="BL64" i="8"/>
  <c r="BL63" i="8"/>
  <c r="BL62" i="8"/>
  <c r="BL61" i="8"/>
  <c r="BL60" i="8"/>
  <c r="BL59" i="8"/>
  <c r="BL58" i="8"/>
  <c r="BL57" i="8"/>
  <c r="BL56" i="8"/>
  <c r="BL55" i="8"/>
  <c r="BL54" i="8"/>
  <c r="BL53" i="8"/>
  <c r="BL52" i="8"/>
  <c r="BL51" i="8"/>
  <c r="BL50" i="8"/>
  <c r="BL49" i="8"/>
  <c r="BL48" i="8"/>
  <c r="BL47" i="8"/>
  <c r="BL46" i="8"/>
  <c r="BL45" i="8"/>
  <c r="BL44" i="8"/>
  <c r="BL43" i="8"/>
  <c r="BL42" i="8"/>
  <c r="BL41" i="8"/>
  <c r="BL40" i="8"/>
  <c r="BL39" i="8"/>
  <c r="BL38" i="8"/>
  <c r="BL37" i="8"/>
  <c r="BL36" i="8"/>
  <c r="BL35" i="8"/>
  <c r="BL34" i="8"/>
  <c r="BL33" i="8"/>
  <c r="BL32" i="8"/>
  <c r="BL31" i="8"/>
  <c r="BL30" i="8"/>
  <c r="BL29" i="8"/>
  <c r="BL28" i="8"/>
  <c r="BL27" i="8"/>
  <c r="BL26" i="8"/>
  <c r="BL25" i="8"/>
  <c r="BL24" i="8"/>
  <c r="BL23" i="8"/>
  <c r="BL22" i="8"/>
  <c r="BL21" i="8"/>
  <c r="BL20" i="8"/>
  <c r="BL19" i="8"/>
  <c r="BL18" i="8"/>
  <c r="BL17" i="8"/>
  <c r="BL16" i="8"/>
  <c r="BL15" i="8"/>
  <c r="BL14" i="8"/>
  <c r="BL13" i="8"/>
  <c r="BL12" i="8"/>
  <c r="BL11" i="8"/>
  <c r="BL10" i="8"/>
  <c r="BL9" i="8"/>
  <c r="BL8" i="8"/>
  <c r="BL7" i="8"/>
  <c r="BL6" i="8"/>
  <c r="BL5" i="8"/>
  <c r="BL4" i="8"/>
  <c r="BL3" i="8"/>
  <c r="BJ252" i="8"/>
  <c r="BJ251" i="8"/>
  <c r="BJ250" i="8"/>
  <c r="BJ249" i="8"/>
  <c r="BJ248" i="8"/>
  <c r="BJ247" i="8"/>
  <c r="BJ246" i="8"/>
  <c r="BJ245" i="8"/>
  <c r="BJ244" i="8"/>
  <c r="BJ243" i="8"/>
  <c r="BJ242" i="8"/>
  <c r="BJ241" i="8"/>
  <c r="BJ240" i="8"/>
  <c r="BJ239" i="8"/>
  <c r="BJ238" i="8"/>
  <c r="BJ237" i="8"/>
  <c r="BJ236" i="8"/>
  <c r="BJ235" i="8"/>
  <c r="BJ234" i="8"/>
  <c r="BJ233" i="8"/>
  <c r="BJ232" i="8"/>
  <c r="BJ231" i="8"/>
  <c r="BJ230" i="8"/>
  <c r="BJ229" i="8"/>
  <c r="BJ228" i="8"/>
  <c r="BJ227" i="8"/>
  <c r="BJ226" i="8"/>
  <c r="BJ225" i="8"/>
  <c r="BJ224" i="8"/>
  <c r="BJ223" i="8"/>
  <c r="BJ222" i="8"/>
  <c r="BJ221" i="8"/>
  <c r="BJ220" i="8"/>
  <c r="BJ219" i="8"/>
  <c r="BJ218" i="8"/>
  <c r="BJ217" i="8"/>
  <c r="BJ216" i="8"/>
  <c r="BJ215" i="8"/>
  <c r="BJ214" i="8"/>
  <c r="BJ213" i="8"/>
  <c r="BJ212" i="8"/>
  <c r="BJ211" i="8"/>
  <c r="BJ210" i="8"/>
  <c r="BJ209" i="8"/>
  <c r="BJ208" i="8"/>
  <c r="BJ207" i="8"/>
  <c r="BJ206" i="8"/>
  <c r="BJ205" i="8"/>
  <c r="BJ204" i="8"/>
  <c r="BJ203" i="8"/>
  <c r="BJ202" i="8"/>
  <c r="BJ201" i="8"/>
  <c r="BJ200" i="8"/>
  <c r="BJ199" i="8"/>
  <c r="BJ198" i="8"/>
  <c r="BJ197" i="8"/>
  <c r="BJ196" i="8"/>
  <c r="BJ195" i="8"/>
  <c r="BJ194" i="8"/>
  <c r="BJ193" i="8"/>
  <c r="BJ192" i="8"/>
  <c r="BJ191" i="8"/>
  <c r="BJ190" i="8"/>
  <c r="BJ189" i="8"/>
  <c r="BJ188" i="8"/>
  <c r="BJ187" i="8"/>
  <c r="BJ186" i="8"/>
  <c r="BJ185" i="8"/>
  <c r="BJ184" i="8"/>
  <c r="BJ183" i="8"/>
  <c r="BJ182" i="8"/>
  <c r="BJ181" i="8"/>
  <c r="BJ180" i="8"/>
  <c r="BJ179" i="8"/>
  <c r="BJ178" i="8"/>
  <c r="BJ177" i="8"/>
  <c r="BJ176" i="8"/>
  <c r="BJ175" i="8"/>
  <c r="BJ174" i="8"/>
  <c r="BJ173" i="8"/>
  <c r="BJ172" i="8"/>
  <c r="BJ171" i="8"/>
  <c r="BJ170" i="8"/>
  <c r="BJ169" i="8"/>
  <c r="BJ168" i="8"/>
  <c r="BJ167" i="8"/>
  <c r="BJ166" i="8"/>
  <c r="BJ165" i="8"/>
  <c r="BJ164" i="8"/>
  <c r="BJ163" i="8"/>
  <c r="BJ162" i="8"/>
  <c r="BJ161" i="8"/>
  <c r="BJ160" i="8"/>
  <c r="BJ159" i="8"/>
  <c r="BJ158" i="8"/>
  <c r="BJ157" i="8"/>
  <c r="BJ156" i="8"/>
  <c r="BJ155" i="8"/>
  <c r="BJ154" i="8"/>
  <c r="BJ153" i="8"/>
  <c r="BJ152" i="8"/>
  <c r="BJ151" i="8"/>
  <c r="BJ150" i="8"/>
  <c r="BJ149" i="8"/>
  <c r="BJ148" i="8"/>
  <c r="BJ147" i="8"/>
  <c r="BJ146" i="8"/>
  <c r="BJ145" i="8"/>
  <c r="BJ144" i="8"/>
  <c r="BJ143" i="8"/>
  <c r="BJ142" i="8"/>
  <c r="BJ141" i="8"/>
  <c r="BJ140" i="8"/>
  <c r="BJ139" i="8"/>
  <c r="BJ138" i="8"/>
  <c r="BJ137" i="8"/>
  <c r="BJ136" i="8"/>
  <c r="BJ135" i="8"/>
  <c r="BJ134" i="8"/>
  <c r="BJ133" i="8"/>
  <c r="BJ132" i="8"/>
  <c r="BJ131" i="8"/>
  <c r="BJ130" i="8"/>
  <c r="BJ129" i="8"/>
  <c r="BJ128" i="8"/>
  <c r="BJ127" i="8"/>
  <c r="BJ126" i="8"/>
  <c r="BJ125" i="8"/>
  <c r="BJ124" i="8"/>
  <c r="BJ123" i="8"/>
  <c r="BJ122" i="8"/>
  <c r="BJ121" i="8"/>
  <c r="BJ120" i="8"/>
  <c r="BJ119" i="8"/>
  <c r="BJ118" i="8"/>
  <c r="BJ117" i="8"/>
  <c r="BJ116" i="8"/>
  <c r="BJ115" i="8"/>
  <c r="BJ114" i="8"/>
  <c r="BJ113" i="8"/>
  <c r="BJ112" i="8"/>
  <c r="BJ111" i="8"/>
  <c r="BJ110" i="8"/>
  <c r="BJ109" i="8"/>
  <c r="BJ108" i="8"/>
  <c r="BJ107" i="8"/>
  <c r="BJ106" i="8"/>
  <c r="BJ105" i="8"/>
  <c r="BJ104" i="8"/>
  <c r="BJ103" i="8"/>
  <c r="BJ102" i="8"/>
  <c r="BJ101" i="8"/>
  <c r="BJ100" i="8"/>
  <c r="BJ99" i="8"/>
  <c r="BJ98" i="8"/>
  <c r="BJ97" i="8"/>
  <c r="BJ96" i="8"/>
  <c r="BJ95" i="8"/>
  <c r="BJ94" i="8"/>
  <c r="BJ93" i="8"/>
  <c r="BJ92" i="8"/>
  <c r="BJ91" i="8"/>
  <c r="BJ90" i="8"/>
  <c r="BJ89" i="8"/>
  <c r="BJ88" i="8"/>
  <c r="BJ87" i="8"/>
  <c r="BJ86" i="8"/>
  <c r="BJ85" i="8"/>
  <c r="BJ84" i="8"/>
  <c r="BJ83" i="8"/>
  <c r="BJ82" i="8"/>
  <c r="BJ81" i="8"/>
  <c r="BJ80" i="8"/>
  <c r="BJ79" i="8"/>
  <c r="BJ78" i="8"/>
  <c r="BJ77" i="8"/>
  <c r="BJ76" i="8"/>
  <c r="BJ75" i="8"/>
  <c r="BJ74" i="8"/>
  <c r="BJ73" i="8"/>
  <c r="BJ72" i="8"/>
  <c r="BJ71" i="8"/>
  <c r="BJ70" i="8"/>
  <c r="BJ69" i="8"/>
  <c r="BJ68" i="8"/>
  <c r="BJ67" i="8"/>
  <c r="BJ66" i="8"/>
  <c r="BJ65" i="8"/>
  <c r="BJ64" i="8"/>
  <c r="BJ63" i="8"/>
  <c r="BJ62" i="8"/>
  <c r="BJ61" i="8"/>
  <c r="BJ60" i="8"/>
  <c r="BJ59" i="8"/>
  <c r="BJ58" i="8"/>
  <c r="BJ57" i="8"/>
  <c r="BJ56" i="8"/>
  <c r="BJ55" i="8"/>
  <c r="BJ54" i="8"/>
  <c r="BJ53" i="8"/>
  <c r="BJ52" i="8"/>
  <c r="BJ51" i="8"/>
  <c r="BJ50" i="8"/>
  <c r="BJ49" i="8"/>
  <c r="BJ48" i="8"/>
  <c r="BJ47" i="8"/>
  <c r="BJ46" i="8"/>
  <c r="BJ45" i="8"/>
  <c r="BJ44" i="8"/>
  <c r="BJ43" i="8"/>
  <c r="BJ42" i="8"/>
  <c r="BJ41" i="8"/>
  <c r="BJ40" i="8"/>
  <c r="BJ39" i="8"/>
  <c r="BJ38" i="8"/>
  <c r="BJ37" i="8"/>
  <c r="BJ36" i="8"/>
  <c r="BJ35" i="8"/>
  <c r="BJ34" i="8"/>
  <c r="BJ33" i="8"/>
  <c r="BJ32" i="8"/>
  <c r="BJ31" i="8"/>
  <c r="BJ30" i="8"/>
  <c r="BJ29" i="8"/>
  <c r="BJ28" i="8"/>
  <c r="BJ27" i="8"/>
  <c r="BJ26" i="8"/>
  <c r="BJ25" i="8"/>
  <c r="BJ24" i="8"/>
  <c r="BJ23" i="8"/>
  <c r="BJ22" i="8"/>
  <c r="BJ21" i="8"/>
  <c r="BJ20" i="8"/>
  <c r="BJ19" i="8"/>
  <c r="BJ18" i="8"/>
  <c r="BJ17" i="8"/>
  <c r="BJ16" i="8"/>
  <c r="BJ15" i="8"/>
  <c r="BJ14" i="8"/>
  <c r="BJ13" i="8"/>
  <c r="BJ12" i="8"/>
  <c r="BJ11" i="8"/>
  <c r="BJ10" i="8"/>
  <c r="BJ9" i="8"/>
  <c r="BJ8" i="8"/>
  <c r="BJ7" i="8"/>
  <c r="BJ6" i="8"/>
  <c r="BJ5" i="8"/>
  <c r="BJ4" i="8"/>
  <c r="BJ3" i="8"/>
  <c r="BH252" i="8"/>
  <c r="BH251" i="8"/>
  <c r="BH250" i="8"/>
  <c r="BH249" i="8"/>
  <c r="BH248" i="8"/>
  <c r="BH247" i="8"/>
  <c r="BH246" i="8"/>
  <c r="BH245" i="8"/>
  <c r="BH244" i="8"/>
  <c r="BH243" i="8"/>
  <c r="BH242" i="8"/>
  <c r="BH241" i="8"/>
  <c r="BH240" i="8"/>
  <c r="BH239" i="8"/>
  <c r="BH238" i="8"/>
  <c r="BH237" i="8"/>
  <c r="BH236" i="8"/>
  <c r="BH235" i="8"/>
  <c r="BH234" i="8"/>
  <c r="BH233" i="8"/>
  <c r="BH232" i="8"/>
  <c r="BH231" i="8"/>
  <c r="BH230" i="8"/>
  <c r="BH229" i="8"/>
  <c r="BH228" i="8"/>
  <c r="BH227" i="8"/>
  <c r="BH226" i="8"/>
  <c r="BH225" i="8"/>
  <c r="BH224" i="8"/>
  <c r="BH223" i="8"/>
  <c r="BH222" i="8"/>
  <c r="BH221" i="8"/>
  <c r="BH220" i="8"/>
  <c r="BH219" i="8"/>
  <c r="BH218" i="8"/>
  <c r="BH217" i="8"/>
  <c r="BH216" i="8"/>
  <c r="BH215" i="8"/>
  <c r="BH214" i="8"/>
  <c r="BH213" i="8"/>
  <c r="BH212" i="8"/>
  <c r="BH211" i="8"/>
  <c r="BH210" i="8"/>
  <c r="BH209" i="8"/>
  <c r="BH208" i="8"/>
  <c r="BH207" i="8"/>
  <c r="BH206" i="8"/>
  <c r="BH205" i="8"/>
  <c r="BH204" i="8"/>
  <c r="BH203" i="8"/>
  <c r="BH202" i="8"/>
  <c r="BH201" i="8"/>
  <c r="BH200" i="8"/>
  <c r="BH199" i="8"/>
  <c r="BH198" i="8"/>
  <c r="BH197" i="8"/>
  <c r="BH196" i="8"/>
  <c r="BH195" i="8"/>
  <c r="BH194" i="8"/>
  <c r="BH193" i="8"/>
  <c r="BH192" i="8"/>
  <c r="BH191" i="8"/>
  <c r="BH190" i="8"/>
  <c r="BH189" i="8"/>
  <c r="BH188" i="8"/>
  <c r="BH187" i="8"/>
  <c r="BH186" i="8"/>
  <c r="BH185" i="8"/>
  <c r="BH184" i="8"/>
  <c r="BH183" i="8"/>
  <c r="BH182" i="8"/>
  <c r="BH181" i="8"/>
  <c r="BH180" i="8"/>
  <c r="BH179" i="8"/>
  <c r="BH178" i="8"/>
  <c r="BH177" i="8"/>
  <c r="BH176" i="8"/>
  <c r="BH175" i="8"/>
  <c r="BH174" i="8"/>
  <c r="BH173" i="8"/>
  <c r="BH172" i="8"/>
  <c r="BH171" i="8"/>
  <c r="BH170" i="8"/>
  <c r="BH169" i="8"/>
  <c r="BH168" i="8"/>
  <c r="BH167" i="8"/>
  <c r="BH166" i="8"/>
  <c r="BH165" i="8"/>
  <c r="BH164" i="8"/>
  <c r="BH163" i="8"/>
  <c r="BH162" i="8"/>
  <c r="BH161" i="8"/>
  <c r="BH160" i="8"/>
  <c r="BH159" i="8"/>
  <c r="BH158" i="8"/>
  <c r="BH157" i="8"/>
  <c r="BH156" i="8"/>
  <c r="BH155" i="8"/>
  <c r="BH154" i="8"/>
  <c r="BH153" i="8"/>
  <c r="BH152" i="8"/>
  <c r="BH151" i="8"/>
  <c r="BH150" i="8"/>
  <c r="BH149" i="8"/>
  <c r="BH148" i="8"/>
  <c r="BH147" i="8"/>
  <c r="BH146" i="8"/>
  <c r="BH145" i="8"/>
  <c r="BH144" i="8"/>
  <c r="BH143" i="8"/>
  <c r="BH142" i="8"/>
  <c r="BH141" i="8"/>
  <c r="BH140" i="8"/>
  <c r="BH139" i="8"/>
  <c r="BH138" i="8"/>
  <c r="BH137" i="8"/>
  <c r="BH136" i="8"/>
  <c r="BH135" i="8"/>
  <c r="BH134" i="8"/>
  <c r="BH133" i="8"/>
  <c r="BH132" i="8"/>
  <c r="BH131" i="8"/>
  <c r="BH130" i="8"/>
  <c r="BH129" i="8"/>
  <c r="BH128" i="8"/>
  <c r="BH127" i="8"/>
  <c r="BH126" i="8"/>
  <c r="BH125" i="8"/>
  <c r="BH124" i="8"/>
  <c r="BH123" i="8"/>
  <c r="BH122" i="8"/>
  <c r="BH121" i="8"/>
  <c r="BH120" i="8"/>
  <c r="BH119" i="8"/>
  <c r="BH118" i="8"/>
  <c r="BH117" i="8"/>
  <c r="BH116" i="8"/>
  <c r="BH115" i="8"/>
  <c r="BH114" i="8"/>
  <c r="BH113" i="8"/>
  <c r="BH112" i="8"/>
  <c r="BH111" i="8"/>
  <c r="BH110" i="8"/>
  <c r="BH109" i="8"/>
  <c r="BH108" i="8"/>
  <c r="BH107" i="8"/>
  <c r="BH106" i="8"/>
  <c r="BH105" i="8"/>
  <c r="BH104" i="8"/>
  <c r="BH103" i="8"/>
  <c r="BH102" i="8"/>
  <c r="BH101" i="8"/>
  <c r="BH100" i="8"/>
  <c r="BH99" i="8"/>
  <c r="BH98" i="8"/>
  <c r="BH97" i="8"/>
  <c r="BH96" i="8"/>
  <c r="BH95" i="8"/>
  <c r="BH94" i="8"/>
  <c r="BH93" i="8"/>
  <c r="BH92" i="8"/>
  <c r="BH91" i="8"/>
  <c r="BH90" i="8"/>
  <c r="BH89" i="8"/>
  <c r="BH88" i="8"/>
  <c r="BH87" i="8"/>
  <c r="BH86" i="8"/>
  <c r="BH85" i="8"/>
  <c r="BH84" i="8"/>
  <c r="BH83" i="8"/>
  <c r="BH82" i="8"/>
  <c r="BH81" i="8"/>
  <c r="BH80" i="8"/>
  <c r="BH79" i="8"/>
  <c r="BH78" i="8"/>
  <c r="BH77" i="8"/>
  <c r="BH76" i="8"/>
  <c r="BH75" i="8"/>
  <c r="BH74" i="8"/>
  <c r="BH73" i="8"/>
  <c r="BH72" i="8"/>
  <c r="BH71" i="8"/>
  <c r="BH70" i="8"/>
  <c r="BH69" i="8"/>
  <c r="BH68" i="8"/>
  <c r="BH67" i="8"/>
  <c r="BH66" i="8"/>
  <c r="BH65" i="8"/>
  <c r="BH64" i="8"/>
  <c r="BH63" i="8"/>
  <c r="BH62" i="8"/>
  <c r="BH61" i="8"/>
  <c r="BH60" i="8"/>
  <c r="BH59" i="8"/>
  <c r="BH58" i="8"/>
  <c r="BH57" i="8"/>
  <c r="BH56" i="8"/>
  <c r="BH55" i="8"/>
  <c r="BH54" i="8"/>
  <c r="BH53" i="8"/>
  <c r="BH52" i="8"/>
  <c r="BH51" i="8"/>
  <c r="BH50" i="8"/>
  <c r="BH49" i="8"/>
  <c r="BH48" i="8"/>
  <c r="BH47" i="8"/>
  <c r="BH46" i="8"/>
  <c r="BH45" i="8"/>
  <c r="BH44" i="8"/>
  <c r="BH43" i="8"/>
  <c r="BH42" i="8"/>
  <c r="BH41" i="8"/>
  <c r="BH40" i="8"/>
  <c r="BH39" i="8"/>
  <c r="BH38" i="8"/>
  <c r="BH37" i="8"/>
  <c r="BH36" i="8"/>
  <c r="BH35" i="8"/>
  <c r="BH34" i="8"/>
  <c r="BH33" i="8"/>
  <c r="BH32" i="8"/>
  <c r="BH31" i="8"/>
  <c r="BH30" i="8"/>
  <c r="BH29" i="8"/>
  <c r="BH28" i="8"/>
  <c r="BH27" i="8"/>
  <c r="BH26" i="8"/>
  <c r="BH25" i="8"/>
  <c r="BH24" i="8"/>
  <c r="BH23" i="8"/>
  <c r="BH22" i="8"/>
  <c r="BH21" i="8"/>
  <c r="BH20" i="8"/>
  <c r="BH19" i="8"/>
  <c r="BH18" i="8"/>
  <c r="BH17" i="8"/>
  <c r="BH16" i="8"/>
  <c r="BH15" i="8"/>
  <c r="BH14" i="8"/>
  <c r="BH13" i="8"/>
  <c r="BH12" i="8"/>
  <c r="BH11" i="8"/>
  <c r="BH10" i="8"/>
  <c r="BH9" i="8"/>
  <c r="BH8" i="8"/>
  <c r="BH7" i="8"/>
  <c r="BH6" i="8"/>
  <c r="BH5" i="8"/>
  <c r="BH4" i="8"/>
  <c r="BH3" i="8"/>
  <c r="BF252" i="8"/>
  <c r="BF251" i="8"/>
  <c r="BF250" i="8"/>
  <c r="BF249" i="8"/>
  <c r="BF248" i="8"/>
  <c r="BF247" i="8"/>
  <c r="BF246" i="8"/>
  <c r="BF245" i="8"/>
  <c r="BF244" i="8"/>
  <c r="BF243" i="8"/>
  <c r="BF242" i="8"/>
  <c r="BF241" i="8"/>
  <c r="BF240" i="8"/>
  <c r="BF239" i="8"/>
  <c r="BF238" i="8"/>
  <c r="BF237" i="8"/>
  <c r="BF236" i="8"/>
  <c r="BF235" i="8"/>
  <c r="BF234" i="8"/>
  <c r="BF233" i="8"/>
  <c r="BF232" i="8"/>
  <c r="BF231" i="8"/>
  <c r="BF230" i="8"/>
  <c r="BF229" i="8"/>
  <c r="BF228" i="8"/>
  <c r="BF227" i="8"/>
  <c r="BF226" i="8"/>
  <c r="BF225" i="8"/>
  <c r="BF224" i="8"/>
  <c r="BF223" i="8"/>
  <c r="BF222" i="8"/>
  <c r="BF221" i="8"/>
  <c r="BF220" i="8"/>
  <c r="BF219" i="8"/>
  <c r="BF218" i="8"/>
  <c r="BF217" i="8"/>
  <c r="BF216" i="8"/>
  <c r="BF215" i="8"/>
  <c r="BF214" i="8"/>
  <c r="BF213" i="8"/>
  <c r="BF212" i="8"/>
  <c r="BF211" i="8"/>
  <c r="BF210" i="8"/>
  <c r="BF209" i="8"/>
  <c r="BF208" i="8"/>
  <c r="BF207" i="8"/>
  <c r="BF206" i="8"/>
  <c r="BF205" i="8"/>
  <c r="BF204" i="8"/>
  <c r="BF203" i="8"/>
  <c r="BF202" i="8"/>
  <c r="BF201" i="8"/>
  <c r="BF200" i="8"/>
  <c r="BF199" i="8"/>
  <c r="BF198" i="8"/>
  <c r="BF197" i="8"/>
  <c r="BF196" i="8"/>
  <c r="BF195" i="8"/>
  <c r="BF194" i="8"/>
  <c r="BF193" i="8"/>
  <c r="BF192" i="8"/>
  <c r="BF191" i="8"/>
  <c r="BF190" i="8"/>
  <c r="BF189" i="8"/>
  <c r="BF188" i="8"/>
  <c r="BF187" i="8"/>
  <c r="BF186" i="8"/>
  <c r="BF185" i="8"/>
  <c r="BF184" i="8"/>
  <c r="BF183" i="8"/>
  <c r="BF182" i="8"/>
  <c r="BF181" i="8"/>
  <c r="BF180" i="8"/>
  <c r="BF179" i="8"/>
  <c r="BF178" i="8"/>
  <c r="BF177" i="8"/>
  <c r="BF176" i="8"/>
  <c r="BF175" i="8"/>
  <c r="BF174" i="8"/>
  <c r="BF173" i="8"/>
  <c r="BF172" i="8"/>
  <c r="BF171" i="8"/>
  <c r="BF170" i="8"/>
  <c r="BF169" i="8"/>
  <c r="BF168" i="8"/>
  <c r="BF167" i="8"/>
  <c r="BF166" i="8"/>
  <c r="BF165" i="8"/>
  <c r="BF164" i="8"/>
  <c r="BF163" i="8"/>
  <c r="BF162" i="8"/>
  <c r="BF161" i="8"/>
  <c r="BF160" i="8"/>
  <c r="BF159" i="8"/>
  <c r="BF158" i="8"/>
  <c r="BF157" i="8"/>
  <c r="BF156" i="8"/>
  <c r="BF155" i="8"/>
  <c r="BF154" i="8"/>
  <c r="BF153" i="8"/>
  <c r="BF152" i="8"/>
  <c r="BF151" i="8"/>
  <c r="BF150" i="8"/>
  <c r="BF149" i="8"/>
  <c r="BF148" i="8"/>
  <c r="BF147" i="8"/>
  <c r="BF146" i="8"/>
  <c r="BF145" i="8"/>
  <c r="BF144" i="8"/>
  <c r="BF143" i="8"/>
  <c r="BF142" i="8"/>
  <c r="BF141" i="8"/>
  <c r="BF140" i="8"/>
  <c r="BF139" i="8"/>
  <c r="BF138" i="8"/>
  <c r="BF137" i="8"/>
  <c r="BF136" i="8"/>
  <c r="BF135" i="8"/>
  <c r="BF134" i="8"/>
  <c r="BF133" i="8"/>
  <c r="BF132" i="8"/>
  <c r="BF131" i="8"/>
  <c r="BF130" i="8"/>
  <c r="BF129" i="8"/>
  <c r="BF128" i="8"/>
  <c r="BF127" i="8"/>
  <c r="BF126" i="8"/>
  <c r="BF125" i="8"/>
  <c r="BF124" i="8"/>
  <c r="BF123" i="8"/>
  <c r="BF122" i="8"/>
  <c r="BF121" i="8"/>
  <c r="BF120" i="8"/>
  <c r="BF119" i="8"/>
  <c r="BF118" i="8"/>
  <c r="BF117" i="8"/>
  <c r="BF116" i="8"/>
  <c r="BF115" i="8"/>
  <c r="BF114" i="8"/>
  <c r="BF113" i="8"/>
  <c r="BF112" i="8"/>
  <c r="BF111" i="8"/>
  <c r="BF110" i="8"/>
  <c r="BF109" i="8"/>
  <c r="BF108" i="8"/>
  <c r="BF107" i="8"/>
  <c r="BF106" i="8"/>
  <c r="BF105" i="8"/>
  <c r="BF104" i="8"/>
  <c r="BF103" i="8"/>
  <c r="BF102" i="8"/>
  <c r="BF101" i="8"/>
  <c r="BF100" i="8"/>
  <c r="BF99" i="8"/>
  <c r="BF98" i="8"/>
  <c r="BF97" i="8"/>
  <c r="BF96" i="8"/>
  <c r="BF95" i="8"/>
  <c r="BF94" i="8"/>
  <c r="BF93" i="8"/>
  <c r="BF92" i="8"/>
  <c r="BF91" i="8"/>
  <c r="BF90" i="8"/>
  <c r="BF89" i="8"/>
  <c r="BF88" i="8"/>
  <c r="BF87" i="8"/>
  <c r="BF86" i="8"/>
  <c r="BF85" i="8"/>
  <c r="BF84" i="8"/>
  <c r="BF83" i="8"/>
  <c r="BF82" i="8"/>
  <c r="BF81" i="8"/>
  <c r="BF80" i="8"/>
  <c r="BF79" i="8"/>
  <c r="BF78" i="8"/>
  <c r="BF77" i="8"/>
  <c r="BF76" i="8"/>
  <c r="BF75" i="8"/>
  <c r="BF74" i="8"/>
  <c r="BF73" i="8"/>
  <c r="BF72" i="8"/>
  <c r="BF71" i="8"/>
  <c r="BF70" i="8"/>
  <c r="BF69" i="8"/>
  <c r="BF68" i="8"/>
  <c r="BF67" i="8"/>
  <c r="BF66" i="8"/>
  <c r="BF65" i="8"/>
  <c r="BF64" i="8"/>
  <c r="BF63" i="8"/>
  <c r="BF62" i="8"/>
  <c r="BF61" i="8"/>
  <c r="BF60" i="8"/>
  <c r="BF59" i="8"/>
  <c r="BF58" i="8"/>
  <c r="BF57" i="8"/>
  <c r="BF56" i="8"/>
  <c r="BF55" i="8"/>
  <c r="BF54" i="8"/>
  <c r="BF53" i="8"/>
  <c r="BF52" i="8"/>
  <c r="BF51" i="8"/>
  <c r="BF50" i="8"/>
  <c r="BF49" i="8"/>
  <c r="BF48" i="8"/>
  <c r="BF47" i="8"/>
  <c r="BF46" i="8"/>
  <c r="BF45" i="8"/>
  <c r="BF44" i="8"/>
  <c r="BF43" i="8"/>
  <c r="BF42" i="8"/>
  <c r="BF41" i="8"/>
  <c r="BF40" i="8"/>
  <c r="BF39" i="8"/>
  <c r="BF38" i="8"/>
  <c r="BF37" i="8"/>
  <c r="BF36" i="8"/>
  <c r="BF35" i="8"/>
  <c r="BF34" i="8"/>
  <c r="BF33" i="8"/>
  <c r="BF32" i="8"/>
  <c r="BF31" i="8"/>
  <c r="BF30" i="8"/>
  <c r="BF29" i="8"/>
  <c r="BF28" i="8"/>
  <c r="BF27" i="8"/>
  <c r="BF26" i="8"/>
  <c r="BF25" i="8"/>
  <c r="BF24" i="8"/>
  <c r="BF23" i="8"/>
  <c r="BF22" i="8"/>
  <c r="BF21" i="8"/>
  <c r="BF20" i="8"/>
  <c r="BF19" i="8"/>
  <c r="BF18" i="8"/>
  <c r="BF17" i="8"/>
  <c r="BF16" i="8"/>
  <c r="BF15" i="8"/>
  <c r="BF14" i="8"/>
  <c r="BF13" i="8"/>
  <c r="BF12" i="8"/>
  <c r="BF11" i="8"/>
  <c r="BF10" i="8"/>
  <c r="BF9" i="8"/>
  <c r="BF8" i="8"/>
  <c r="BF7" i="8"/>
  <c r="BF6" i="8"/>
  <c r="BF5" i="8"/>
  <c r="BF4" i="8"/>
  <c r="BF3" i="8"/>
  <c r="BD252" i="8"/>
  <c r="BD251" i="8"/>
  <c r="BD250" i="8"/>
  <c r="BD249" i="8"/>
  <c r="BD248" i="8"/>
  <c r="BD247" i="8"/>
  <c r="BD246" i="8"/>
  <c r="BD245" i="8"/>
  <c r="BD244" i="8"/>
  <c r="BD243" i="8"/>
  <c r="BD242" i="8"/>
  <c r="BD241" i="8"/>
  <c r="BD240" i="8"/>
  <c r="BD239" i="8"/>
  <c r="BD238" i="8"/>
  <c r="BD237" i="8"/>
  <c r="BD236" i="8"/>
  <c r="BD235" i="8"/>
  <c r="BD234" i="8"/>
  <c r="BD233" i="8"/>
  <c r="BD232" i="8"/>
  <c r="BD231" i="8"/>
  <c r="BD230" i="8"/>
  <c r="BD229" i="8"/>
  <c r="BD228" i="8"/>
  <c r="BD227" i="8"/>
  <c r="BD226" i="8"/>
  <c r="BD225" i="8"/>
  <c r="BD224" i="8"/>
  <c r="BD223" i="8"/>
  <c r="BD222" i="8"/>
  <c r="BD221" i="8"/>
  <c r="BD220" i="8"/>
  <c r="BD219" i="8"/>
  <c r="BD218" i="8"/>
  <c r="BD217" i="8"/>
  <c r="BD216" i="8"/>
  <c r="BD215" i="8"/>
  <c r="BD214" i="8"/>
  <c r="BD213" i="8"/>
  <c r="BD212" i="8"/>
  <c r="BD211" i="8"/>
  <c r="BD210" i="8"/>
  <c r="BD209" i="8"/>
  <c r="BD208" i="8"/>
  <c r="BD207" i="8"/>
  <c r="BD206" i="8"/>
  <c r="BD205" i="8"/>
  <c r="BD204" i="8"/>
  <c r="BD203" i="8"/>
  <c r="BD202" i="8"/>
  <c r="BD201" i="8"/>
  <c r="BD200" i="8"/>
  <c r="BD199" i="8"/>
  <c r="BD198" i="8"/>
  <c r="BD197" i="8"/>
  <c r="BD196" i="8"/>
  <c r="BD195" i="8"/>
  <c r="BD194" i="8"/>
  <c r="BD193" i="8"/>
  <c r="BD192" i="8"/>
  <c r="BD191" i="8"/>
  <c r="BD190" i="8"/>
  <c r="BD189" i="8"/>
  <c r="BD188" i="8"/>
  <c r="BD187" i="8"/>
  <c r="BD186" i="8"/>
  <c r="BD185" i="8"/>
  <c r="BD184" i="8"/>
  <c r="BD183" i="8"/>
  <c r="BD182" i="8"/>
  <c r="BD181" i="8"/>
  <c r="BD180" i="8"/>
  <c r="BD179" i="8"/>
  <c r="BD178" i="8"/>
  <c r="BD177" i="8"/>
  <c r="BD176" i="8"/>
  <c r="BD175" i="8"/>
  <c r="BD174" i="8"/>
  <c r="BD173" i="8"/>
  <c r="BD172" i="8"/>
  <c r="BD171" i="8"/>
  <c r="BD170" i="8"/>
  <c r="BD169" i="8"/>
  <c r="BD168" i="8"/>
  <c r="BD167" i="8"/>
  <c r="BD166" i="8"/>
  <c r="BD165" i="8"/>
  <c r="BD164" i="8"/>
  <c r="BD163" i="8"/>
  <c r="BD162" i="8"/>
  <c r="BD161" i="8"/>
  <c r="BD160" i="8"/>
  <c r="BD159" i="8"/>
  <c r="BD158" i="8"/>
  <c r="BD157" i="8"/>
  <c r="BD156" i="8"/>
  <c r="BD155" i="8"/>
  <c r="BD154" i="8"/>
  <c r="BD153" i="8"/>
  <c r="BD152" i="8"/>
  <c r="BD151" i="8"/>
  <c r="BD150" i="8"/>
  <c r="BD149" i="8"/>
  <c r="BD148" i="8"/>
  <c r="BD147" i="8"/>
  <c r="BD146" i="8"/>
  <c r="BD145" i="8"/>
  <c r="BD144" i="8"/>
  <c r="BD143" i="8"/>
  <c r="BD142" i="8"/>
  <c r="BD141" i="8"/>
  <c r="BD140" i="8"/>
  <c r="BD139" i="8"/>
  <c r="BD138" i="8"/>
  <c r="BD137" i="8"/>
  <c r="BD136" i="8"/>
  <c r="BD135" i="8"/>
  <c r="BD134" i="8"/>
  <c r="BD133" i="8"/>
  <c r="BD132" i="8"/>
  <c r="BD131" i="8"/>
  <c r="BD130" i="8"/>
  <c r="BD129" i="8"/>
  <c r="BD128" i="8"/>
  <c r="BD127" i="8"/>
  <c r="BD126" i="8"/>
  <c r="BD125" i="8"/>
  <c r="BD124" i="8"/>
  <c r="BD123" i="8"/>
  <c r="BD122" i="8"/>
  <c r="BD121" i="8"/>
  <c r="BD120" i="8"/>
  <c r="BD119" i="8"/>
  <c r="BD118" i="8"/>
  <c r="BD117" i="8"/>
  <c r="BD116" i="8"/>
  <c r="BD115" i="8"/>
  <c r="BD114" i="8"/>
  <c r="BD113" i="8"/>
  <c r="BD112" i="8"/>
  <c r="BD111" i="8"/>
  <c r="BD110" i="8"/>
  <c r="BD109" i="8"/>
  <c r="BD108" i="8"/>
  <c r="BD107" i="8"/>
  <c r="BD106" i="8"/>
  <c r="BD105" i="8"/>
  <c r="BD104" i="8"/>
  <c r="BD103" i="8"/>
  <c r="BD102" i="8"/>
  <c r="BD101" i="8"/>
  <c r="BD100" i="8"/>
  <c r="BD99" i="8"/>
  <c r="BD98" i="8"/>
  <c r="BD97" i="8"/>
  <c r="BD96" i="8"/>
  <c r="BD95" i="8"/>
  <c r="BD94" i="8"/>
  <c r="BD93" i="8"/>
  <c r="BD92" i="8"/>
  <c r="BD91" i="8"/>
  <c r="BD90" i="8"/>
  <c r="BD89" i="8"/>
  <c r="BD88" i="8"/>
  <c r="BD87" i="8"/>
  <c r="BD86" i="8"/>
  <c r="BD85" i="8"/>
  <c r="BD84" i="8"/>
  <c r="BD83" i="8"/>
  <c r="BD82" i="8"/>
  <c r="BD81" i="8"/>
  <c r="BD80" i="8"/>
  <c r="BD79" i="8"/>
  <c r="BD78" i="8"/>
  <c r="BD77" i="8"/>
  <c r="BD76" i="8"/>
  <c r="BD75" i="8"/>
  <c r="BD74" i="8"/>
  <c r="BD73" i="8"/>
  <c r="BD72" i="8"/>
  <c r="BD71" i="8"/>
  <c r="BD70" i="8"/>
  <c r="BD69" i="8"/>
  <c r="BD68" i="8"/>
  <c r="BD67" i="8"/>
  <c r="BD66" i="8"/>
  <c r="BD65" i="8"/>
  <c r="BD64" i="8"/>
  <c r="BD63" i="8"/>
  <c r="BD62" i="8"/>
  <c r="BD61" i="8"/>
  <c r="BD60" i="8"/>
  <c r="BD59" i="8"/>
  <c r="BD58" i="8"/>
  <c r="BD57" i="8"/>
  <c r="BD56" i="8"/>
  <c r="BD55" i="8"/>
  <c r="BD54" i="8"/>
  <c r="BD53" i="8"/>
  <c r="BD52" i="8"/>
  <c r="BD51" i="8"/>
  <c r="BD50" i="8"/>
  <c r="BD49" i="8"/>
  <c r="BD48" i="8"/>
  <c r="BD47" i="8"/>
  <c r="BD46" i="8"/>
  <c r="BD45" i="8"/>
  <c r="BD44" i="8"/>
  <c r="BD43" i="8"/>
  <c r="BD42" i="8"/>
  <c r="BD41" i="8"/>
  <c r="BD40" i="8"/>
  <c r="BD39" i="8"/>
  <c r="BD38" i="8"/>
  <c r="BD37" i="8"/>
  <c r="BD36" i="8"/>
  <c r="BD35" i="8"/>
  <c r="BD34" i="8"/>
  <c r="BD33" i="8"/>
  <c r="BD32" i="8"/>
  <c r="BD31" i="8"/>
  <c r="BD30" i="8"/>
  <c r="BD29" i="8"/>
  <c r="BD28" i="8"/>
  <c r="BD27" i="8"/>
  <c r="BD26" i="8"/>
  <c r="BD25" i="8"/>
  <c r="BD24" i="8"/>
  <c r="BD23" i="8"/>
  <c r="BD22" i="8"/>
  <c r="BD21" i="8"/>
  <c r="BD20" i="8"/>
  <c r="BD19" i="8"/>
  <c r="BD18" i="8"/>
  <c r="BD17" i="8"/>
  <c r="BD16" i="8"/>
  <c r="BD15" i="8"/>
  <c r="BD14" i="8"/>
  <c r="BD13" i="8"/>
  <c r="BD12" i="8"/>
  <c r="BD11" i="8"/>
  <c r="BD10" i="8"/>
  <c r="BD9" i="8"/>
  <c r="BD8" i="8"/>
  <c r="BD7" i="8"/>
  <c r="BD6" i="8"/>
  <c r="BD5" i="8"/>
  <c r="BD4" i="8"/>
  <c r="BD3" i="8"/>
  <c r="BB252" i="8"/>
  <c r="BB251" i="8"/>
  <c r="BB250" i="8"/>
  <c r="BB249" i="8"/>
  <c r="BB248" i="8"/>
  <c r="BB247" i="8"/>
  <c r="BB246" i="8"/>
  <c r="BB245" i="8"/>
  <c r="BB244" i="8"/>
  <c r="BB243" i="8"/>
  <c r="BB242" i="8"/>
  <c r="BB241" i="8"/>
  <c r="BB240" i="8"/>
  <c r="BB239" i="8"/>
  <c r="BB238" i="8"/>
  <c r="BB237" i="8"/>
  <c r="BB236" i="8"/>
  <c r="BB235" i="8"/>
  <c r="BB234" i="8"/>
  <c r="BB233" i="8"/>
  <c r="BB232" i="8"/>
  <c r="BB231" i="8"/>
  <c r="BB230" i="8"/>
  <c r="BB229" i="8"/>
  <c r="BB228" i="8"/>
  <c r="BB227" i="8"/>
  <c r="BB226" i="8"/>
  <c r="BB225" i="8"/>
  <c r="BB224" i="8"/>
  <c r="BB223" i="8"/>
  <c r="BB222" i="8"/>
  <c r="BB221" i="8"/>
  <c r="BB220" i="8"/>
  <c r="BB219" i="8"/>
  <c r="BB218" i="8"/>
  <c r="BB217" i="8"/>
  <c r="BB216" i="8"/>
  <c r="BB215" i="8"/>
  <c r="BB214" i="8"/>
  <c r="BB213" i="8"/>
  <c r="BB212" i="8"/>
  <c r="BB211" i="8"/>
  <c r="BB210" i="8"/>
  <c r="BB209" i="8"/>
  <c r="BB208" i="8"/>
  <c r="BB207" i="8"/>
  <c r="BB206" i="8"/>
  <c r="BB205" i="8"/>
  <c r="BB204" i="8"/>
  <c r="BB203" i="8"/>
  <c r="BB202" i="8"/>
  <c r="BB201" i="8"/>
  <c r="BB200" i="8"/>
  <c r="BB199" i="8"/>
  <c r="BB198" i="8"/>
  <c r="BB197" i="8"/>
  <c r="BB196" i="8"/>
  <c r="BB195" i="8"/>
  <c r="BB194" i="8"/>
  <c r="BB193" i="8"/>
  <c r="BB192" i="8"/>
  <c r="BB191" i="8"/>
  <c r="BB190" i="8"/>
  <c r="BB189" i="8"/>
  <c r="BB188" i="8"/>
  <c r="BB187" i="8"/>
  <c r="BB186" i="8"/>
  <c r="BB185" i="8"/>
  <c r="BB184" i="8"/>
  <c r="BB183" i="8"/>
  <c r="BB182" i="8"/>
  <c r="BB181" i="8"/>
  <c r="BB180" i="8"/>
  <c r="BB179" i="8"/>
  <c r="BB178" i="8"/>
  <c r="BB177" i="8"/>
  <c r="BB176" i="8"/>
  <c r="BB175" i="8"/>
  <c r="BB174" i="8"/>
  <c r="BB173" i="8"/>
  <c r="BB172" i="8"/>
  <c r="BB171" i="8"/>
  <c r="BB170" i="8"/>
  <c r="BB169" i="8"/>
  <c r="BB168" i="8"/>
  <c r="BB167" i="8"/>
  <c r="BB166" i="8"/>
  <c r="BB165" i="8"/>
  <c r="BB164" i="8"/>
  <c r="BB163" i="8"/>
  <c r="BB162" i="8"/>
  <c r="BB161" i="8"/>
  <c r="BB160" i="8"/>
  <c r="BB159" i="8"/>
  <c r="BB158" i="8"/>
  <c r="BB157" i="8"/>
  <c r="BB156" i="8"/>
  <c r="BB155" i="8"/>
  <c r="BB154" i="8"/>
  <c r="BB153" i="8"/>
  <c r="BB152" i="8"/>
  <c r="BB151" i="8"/>
  <c r="BB150" i="8"/>
  <c r="BB149" i="8"/>
  <c r="BB148" i="8"/>
  <c r="BB147" i="8"/>
  <c r="BB146" i="8"/>
  <c r="BB145" i="8"/>
  <c r="BB144" i="8"/>
  <c r="BB143" i="8"/>
  <c r="BB142" i="8"/>
  <c r="BB141" i="8"/>
  <c r="BB140" i="8"/>
  <c r="BB139" i="8"/>
  <c r="BB138" i="8"/>
  <c r="BB137" i="8"/>
  <c r="BB136" i="8"/>
  <c r="BB135" i="8"/>
  <c r="BB134" i="8"/>
  <c r="BB133" i="8"/>
  <c r="BB132" i="8"/>
  <c r="BB131" i="8"/>
  <c r="BB130" i="8"/>
  <c r="BB129" i="8"/>
  <c r="BB128" i="8"/>
  <c r="BB127" i="8"/>
  <c r="BB126" i="8"/>
  <c r="BB125" i="8"/>
  <c r="BB124" i="8"/>
  <c r="BB123" i="8"/>
  <c r="BB122" i="8"/>
  <c r="BB121" i="8"/>
  <c r="BB120" i="8"/>
  <c r="BB119" i="8"/>
  <c r="BB118" i="8"/>
  <c r="BB117" i="8"/>
  <c r="BB116" i="8"/>
  <c r="BB115" i="8"/>
  <c r="BB114" i="8"/>
  <c r="BB113" i="8"/>
  <c r="BB112" i="8"/>
  <c r="BB111" i="8"/>
  <c r="BB110" i="8"/>
  <c r="BB109" i="8"/>
  <c r="BB108" i="8"/>
  <c r="BB107" i="8"/>
  <c r="BB106" i="8"/>
  <c r="BB105" i="8"/>
  <c r="BB104" i="8"/>
  <c r="BB103" i="8"/>
  <c r="BB102" i="8"/>
  <c r="BB101" i="8"/>
  <c r="BB100" i="8"/>
  <c r="BB99" i="8"/>
  <c r="BB98" i="8"/>
  <c r="BB97" i="8"/>
  <c r="BB96" i="8"/>
  <c r="BB95" i="8"/>
  <c r="BB94" i="8"/>
  <c r="BB93" i="8"/>
  <c r="BB92" i="8"/>
  <c r="BB91" i="8"/>
  <c r="BB90" i="8"/>
  <c r="BB89" i="8"/>
  <c r="BB88" i="8"/>
  <c r="BB87" i="8"/>
  <c r="BB86" i="8"/>
  <c r="BB85" i="8"/>
  <c r="BB84" i="8"/>
  <c r="BB83" i="8"/>
  <c r="BB82" i="8"/>
  <c r="BB81" i="8"/>
  <c r="BB80" i="8"/>
  <c r="BB79" i="8"/>
  <c r="BB78" i="8"/>
  <c r="BB77" i="8"/>
  <c r="BB76" i="8"/>
  <c r="BB75" i="8"/>
  <c r="BB74" i="8"/>
  <c r="BB73" i="8"/>
  <c r="BB72" i="8"/>
  <c r="BB71" i="8"/>
  <c r="BB70" i="8"/>
  <c r="BB69" i="8"/>
  <c r="BB68" i="8"/>
  <c r="BB67" i="8"/>
  <c r="BB66" i="8"/>
  <c r="BB65" i="8"/>
  <c r="BB64" i="8"/>
  <c r="BB63" i="8"/>
  <c r="BB62" i="8"/>
  <c r="BB61" i="8"/>
  <c r="BB60" i="8"/>
  <c r="BB59" i="8"/>
  <c r="BB58" i="8"/>
  <c r="BB57" i="8"/>
  <c r="BB56" i="8"/>
  <c r="BB55" i="8"/>
  <c r="BB54" i="8"/>
  <c r="BB53" i="8"/>
  <c r="BB52" i="8"/>
  <c r="BB51" i="8"/>
  <c r="BB50" i="8"/>
  <c r="BB49" i="8"/>
  <c r="BB48" i="8"/>
  <c r="BB47" i="8"/>
  <c r="BB46" i="8"/>
  <c r="BB45" i="8"/>
  <c r="BB44" i="8"/>
  <c r="BB43" i="8"/>
  <c r="BB42" i="8"/>
  <c r="BB41" i="8"/>
  <c r="BB40" i="8"/>
  <c r="BB39" i="8"/>
  <c r="BB38" i="8"/>
  <c r="BB37" i="8"/>
  <c r="BB36" i="8"/>
  <c r="BB35" i="8"/>
  <c r="BB34" i="8"/>
  <c r="BB33" i="8"/>
  <c r="BB32" i="8"/>
  <c r="BB31" i="8"/>
  <c r="BB30" i="8"/>
  <c r="BB29" i="8"/>
  <c r="BB28" i="8"/>
  <c r="BB27" i="8"/>
  <c r="BB26" i="8"/>
  <c r="BB25" i="8"/>
  <c r="BB24" i="8"/>
  <c r="BB23" i="8"/>
  <c r="BB22" i="8"/>
  <c r="BB21" i="8"/>
  <c r="BB20" i="8"/>
  <c r="BB19" i="8"/>
  <c r="BB18" i="8"/>
  <c r="BB17" i="8"/>
  <c r="BB16" i="8"/>
  <c r="BB15" i="8"/>
  <c r="BB14" i="8"/>
  <c r="BB13" i="8"/>
  <c r="BB12" i="8"/>
  <c r="BB11" i="8"/>
  <c r="BB10" i="8"/>
  <c r="BB9" i="8"/>
  <c r="BB8" i="8"/>
  <c r="BB7" i="8"/>
  <c r="BB6" i="8"/>
  <c r="BB5" i="8"/>
  <c r="BB4" i="8"/>
  <c r="BB3" i="8"/>
  <c r="AZ252" i="8"/>
  <c r="AZ251" i="8"/>
  <c r="AZ250" i="8"/>
  <c r="AZ249" i="8"/>
  <c r="AZ248" i="8"/>
  <c r="AZ247" i="8"/>
  <c r="AZ246" i="8"/>
  <c r="AZ245" i="8"/>
  <c r="AZ244" i="8"/>
  <c r="AZ243" i="8"/>
  <c r="AZ242" i="8"/>
  <c r="AZ241" i="8"/>
  <c r="AZ240" i="8"/>
  <c r="AZ239" i="8"/>
  <c r="AZ238" i="8"/>
  <c r="AZ237" i="8"/>
  <c r="AZ236" i="8"/>
  <c r="AZ235" i="8"/>
  <c r="AZ234" i="8"/>
  <c r="AZ233" i="8"/>
  <c r="AZ232" i="8"/>
  <c r="AZ231" i="8"/>
  <c r="AZ230" i="8"/>
  <c r="AZ229" i="8"/>
  <c r="AZ228" i="8"/>
  <c r="AZ227" i="8"/>
  <c r="AZ226" i="8"/>
  <c r="AZ225" i="8"/>
  <c r="AZ224" i="8"/>
  <c r="AZ223" i="8"/>
  <c r="AZ222" i="8"/>
  <c r="AZ221" i="8"/>
  <c r="AZ220" i="8"/>
  <c r="AZ219" i="8"/>
  <c r="AZ218" i="8"/>
  <c r="AZ217" i="8"/>
  <c r="AZ216" i="8"/>
  <c r="AZ215" i="8"/>
  <c r="AZ214" i="8"/>
  <c r="AZ213" i="8"/>
  <c r="AZ212" i="8"/>
  <c r="AZ211" i="8"/>
  <c r="AZ210" i="8"/>
  <c r="AZ209" i="8"/>
  <c r="AZ208" i="8"/>
  <c r="AZ207" i="8"/>
  <c r="AZ206" i="8"/>
  <c r="AZ205" i="8"/>
  <c r="AZ204" i="8"/>
  <c r="AZ203" i="8"/>
  <c r="AZ202" i="8"/>
  <c r="AZ201" i="8"/>
  <c r="AZ200" i="8"/>
  <c r="AZ199" i="8"/>
  <c r="AZ198" i="8"/>
  <c r="AZ197" i="8"/>
  <c r="AZ196" i="8"/>
  <c r="AZ195" i="8"/>
  <c r="AZ194" i="8"/>
  <c r="AZ193" i="8"/>
  <c r="AZ192" i="8"/>
  <c r="AZ191" i="8"/>
  <c r="AZ190" i="8"/>
  <c r="AZ189" i="8"/>
  <c r="AZ188" i="8"/>
  <c r="AZ187" i="8"/>
  <c r="AZ186" i="8"/>
  <c r="AZ185" i="8"/>
  <c r="AZ184" i="8"/>
  <c r="AZ183" i="8"/>
  <c r="AZ182" i="8"/>
  <c r="AZ181" i="8"/>
  <c r="AZ180" i="8"/>
  <c r="AZ179" i="8"/>
  <c r="AZ178" i="8"/>
  <c r="AZ177" i="8"/>
  <c r="AZ176" i="8"/>
  <c r="AZ175" i="8"/>
  <c r="AZ174" i="8"/>
  <c r="AZ173" i="8"/>
  <c r="AZ172" i="8"/>
  <c r="AZ171" i="8"/>
  <c r="AZ170" i="8"/>
  <c r="AZ169" i="8"/>
  <c r="AZ168" i="8"/>
  <c r="AZ167" i="8"/>
  <c r="AZ166" i="8"/>
  <c r="AZ165" i="8"/>
  <c r="AZ164" i="8"/>
  <c r="AZ163" i="8"/>
  <c r="AZ162" i="8"/>
  <c r="AZ161" i="8"/>
  <c r="AZ160" i="8"/>
  <c r="AZ159" i="8"/>
  <c r="AZ158" i="8"/>
  <c r="AZ157" i="8"/>
  <c r="AZ156" i="8"/>
  <c r="AZ155" i="8"/>
  <c r="AZ154" i="8"/>
  <c r="AZ153" i="8"/>
  <c r="AZ152" i="8"/>
  <c r="AZ151" i="8"/>
  <c r="AZ150" i="8"/>
  <c r="AZ149" i="8"/>
  <c r="AZ148" i="8"/>
  <c r="AZ147" i="8"/>
  <c r="AZ146" i="8"/>
  <c r="AZ145" i="8"/>
  <c r="AZ144" i="8"/>
  <c r="AZ143" i="8"/>
  <c r="AZ142" i="8"/>
  <c r="AZ141" i="8"/>
  <c r="AZ140" i="8"/>
  <c r="AZ139" i="8"/>
  <c r="AZ138" i="8"/>
  <c r="AZ137" i="8"/>
  <c r="AZ136" i="8"/>
  <c r="AZ135" i="8"/>
  <c r="AZ134" i="8"/>
  <c r="AZ133" i="8"/>
  <c r="AZ132" i="8"/>
  <c r="AZ131" i="8"/>
  <c r="AZ130" i="8"/>
  <c r="AZ129" i="8"/>
  <c r="AZ128" i="8"/>
  <c r="AZ127" i="8"/>
  <c r="AZ126" i="8"/>
  <c r="AZ125" i="8"/>
  <c r="AZ124" i="8"/>
  <c r="AZ123" i="8"/>
  <c r="AZ122" i="8"/>
  <c r="AZ121" i="8"/>
  <c r="AZ120" i="8"/>
  <c r="AZ119" i="8"/>
  <c r="AZ118" i="8"/>
  <c r="AZ117" i="8"/>
  <c r="AZ116" i="8"/>
  <c r="AZ115" i="8"/>
  <c r="AZ114" i="8"/>
  <c r="AZ113" i="8"/>
  <c r="AZ112" i="8"/>
  <c r="AZ111" i="8"/>
  <c r="AZ110" i="8"/>
  <c r="AZ109" i="8"/>
  <c r="AZ108" i="8"/>
  <c r="AZ107" i="8"/>
  <c r="AZ106" i="8"/>
  <c r="AZ105" i="8"/>
  <c r="AZ104" i="8"/>
  <c r="AZ103" i="8"/>
  <c r="AZ102" i="8"/>
  <c r="AZ101" i="8"/>
  <c r="AZ100" i="8"/>
  <c r="AZ99" i="8"/>
  <c r="AZ98" i="8"/>
  <c r="AZ97" i="8"/>
  <c r="AZ96" i="8"/>
  <c r="AZ95" i="8"/>
  <c r="AZ94" i="8"/>
  <c r="AZ93" i="8"/>
  <c r="AZ92" i="8"/>
  <c r="AZ91" i="8"/>
  <c r="AZ90" i="8"/>
  <c r="AZ89" i="8"/>
  <c r="AZ88" i="8"/>
  <c r="AZ87" i="8"/>
  <c r="AZ86" i="8"/>
  <c r="AZ85" i="8"/>
  <c r="AZ84" i="8"/>
  <c r="AZ83" i="8"/>
  <c r="AZ82" i="8"/>
  <c r="AZ81" i="8"/>
  <c r="AZ80" i="8"/>
  <c r="AZ79" i="8"/>
  <c r="AZ78" i="8"/>
  <c r="AZ77" i="8"/>
  <c r="AZ76" i="8"/>
  <c r="AZ75" i="8"/>
  <c r="AZ74" i="8"/>
  <c r="AZ73" i="8"/>
  <c r="AZ72" i="8"/>
  <c r="AZ71" i="8"/>
  <c r="AZ70" i="8"/>
  <c r="AZ69" i="8"/>
  <c r="AZ68" i="8"/>
  <c r="AZ67" i="8"/>
  <c r="AZ66" i="8"/>
  <c r="AZ65" i="8"/>
  <c r="AZ64" i="8"/>
  <c r="AZ63" i="8"/>
  <c r="AZ62" i="8"/>
  <c r="AZ61" i="8"/>
  <c r="AZ60" i="8"/>
  <c r="AZ59" i="8"/>
  <c r="AZ58" i="8"/>
  <c r="AZ57" i="8"/>
  <c r="AZ56" i="8"/>
  <c r="AZ55" i="8"/>
  <c r="AZ54" i="8"/>
  <c r="AZ53" i="8"/>
  <c r="AZ52" i="8"/>
  <c r="AZ51" i="8"/>
  <c r="AZ50" i="8"/>
  <c r="AZ49" i="8"/>
  <c r="AZ48" i="8"/>
  <c r="AZ47" i="8"/>
  <c r="AZ46" i="8"/>
  <c r="AZ45" i="8"/>
  <c r="AZ44" i="8"/>
  <c r="AZ43" i="8"/>
  <c r="AZ42" i="8"/>
  <c r="AZ41" i="8"/>
  <c r="AZ40" i="8"/>
  <c r="AZ39" i="8"/>
  <c r="AZ38" i="8"/>
  <c r="AZ37" i="8"/>
  <c r="AZ36" i="8"/>
  <c r="AZ35" i="8"/>
  <c r="AZ34" i="8"/>
  <c r="AZ33" i="8"/>
  <c r="AZ32" i="8"/>
  <c r="AZ31" i="8"/>
  <c r="AZ30" i="8"/>
  <c r="AZ29" i="8"/>
  <c r="AZ28" i="8"/>
  <c r="AZ27" i="8"/>
  <c r="AZ26" i="8"/>
  <c r="AZ25" i="8"/>
  <c r="AZ24" i="8"/>
  <c r="AZ23" i="8"/>
  <c r="AZ22" i="8"/>
  <c r="AZ21" i="8"/>
  <c r="AZ20" i="8"/>
  <c r="AZ19" i="8"/>
  <c r="AZ18" i="8"/>
  <c r="AZ17" i="8"/>
  <c r="AZ16" i="8"/>
  <c r="AZ15" i="8"/>
  <c r="AZ14" i="8"/>
  <c r="AZ13" i="8"/>
  <c r="AZ12" i="8"/>
  <c r="AZ11" i="8"/>
  <c r="AZ10" i="8"/>
  <c r="AZ9" i="8"/>
  <c r="AZ8" i="8"/>
  <c r="AZ7" i="8"/>
  <c r="AZ6" i="8"/>
  <c r="AZ5" i="8"/>
  <c r="AZ4" i="8"/>
  <c r="AZ3" i="8"/>
  <c r="AX252" i="8"/>
  <c r="AX251" i="8"/>
  <c r="AX250" i="8"/>
  <c r="AX249" i="8"/>
  <c r="AX248" i="8"/>
  <c r="AX247" i="8"/>
  <c r="AX246" i="8"/>
  <c r="AX245" i="8"/>
  <c r="AX244" i="8"/>
  <c r="AX243" i="8"/>
  <c r="AX242" i="8"/>
  <c r="AX241" i="8"/>
  <c r="AX240" i="8"/>
  <c r="AX239" i="8"/>
  <c r="AX238" i="8"/>
  <c r="AX237" i="8"/>
  <c r="AX236" i="8"/>
  <c r="AX235" i="8"/>
  <c r="AX234" i="8"/>
  <c r="AX233" i="8"/>
  <c r="AX232" i="8"/>
  <c r="AX231" i="8"/>
  <c r="AX230" i="8"/>
  <c r="AX229" i="8"/>
  <c r="AX228" i="8"/>
  <c r="AX227" i="8"/>
  <c r="AX226" i="8"/>
  <c r="AX225" i="8"/>
  <c r="AX224" i="8"/>
  <c r="AX223" i="8"/>
  <c r="AX222" i="8"/>
  <c r="AX221" i="8"/>
  <c r="AX220" i="8"/>
  <c r="AX219" i="8"/>
  <c r="AX218" i="8"/>
  <c r="AX217" i="8"/>
  <c r="AX216" i="8"/>
  <c r="AX215" i="8"/>
  <c r="AX214" i="8"/>
  <c r="AX213" i="8"/>
  <c r="AX212" i="8"/>
  <c r="AX211" i="8"/>
  <c r="AX210" i="8"/>
  <c r="AX209" i="8"/>
  <c r="AX208" i="8"/>
  <c r="AX207" i="8"/>
  <c r="AX206" i="8"/>
  <c r="AX205" i="8"/>
  <c r="AX204" i="8"/>
  <c r="AX203" i="8"/>
  <c r="AX202" i="8"/>
  <c r="AX201" i="8"/>
  <c r="AX200" i="8"/>
  <c r="AX199" i="8"/>
  <c r="AX198" i="8"/>
  <c r="AX197" i="8"/>
  <c r="AX196" i="8"/>
  <c r="AX195" i="8"/>
  <c r="AX194" i="8"/>
  <c r="AX193" i="8"/>
  <c r="AX192" i="8"/>
  <c r="AX191" i="8"/>
  <c r="AX190" i="8"/>
  <c r="AX189" i="8"/>
  <c r="AX188" i="8"/>
  <c r="AX187" i="8"/>
  <c r="AX186" i="8"/>
  <c r="AX185" i="8"/>
  <c r="AX184" i="8"/>
  <c r="AX183" i="8"/>
  <c r="AX182" i="8"/>
  <c r="AX181" i="8"/>
  <c r="AX180" i="8"/>
  <c r="AX179" i="8"/>
  <c r="AX178" i="8"/>
  <c r="AX177" i="8"/>
  <c r="AX176" i="8"/>
  <c r="AX175" i="8"/>
  <c r="AX174" i="8"/>
  <c r="AX173" i="8"/>
  <c r="AX172" i="8"/>
  <c r="AX171" i="8"/>
  <c r="AX170" i="8"/>
  <c r="AX169" i="8"/>
  <c r="AX168" i="8"/>
  <c r="AX167" i="8"/>
  <c r="AX166" i="8"/>
  <c r="AX165" i="8"/>
  <c r="AX164" i="8"/>
  <c r="AX163" i="8"/>
  <c r="AX162" i="8"/>
  <c r="AX161" i="8"/>
  <c r="AX160" i="8"/>
  <c r="AX159" i="8"/>
  <c r="AX158" i="8"/>
  <c r="AX157" i="8"/>
  <c r="AX156" i="8"/>
  <c r="AX155" i="8"/>
  <c r="AX154" i="8"/>
  <c r="AX153" i="8"/>
  <c r="AX152" i="8"/>
  <c r="AX151" i="8"/>
  <c r="AX150" i="8"/>
  <c r="AX149" i="8"/>
  <c r="AX148" i="8"/>
  <c r="AX147" i="8"/>
  <c r="AX146" i="8"/>
  <c r="AX145" i="8"/>
  <c r="AX144" i="8"/>
  <c r="AX143" i="8"/>
  <c r="AX142" i="8"/>
  <c r="AX141" i="8"/>
  <c r="AX140" i="8"/>
  <c r="AX139" i="8"/>
  <c r="AX138" i="8"/>
  <c r="AX137" i="8"/>
  <c r="AX136" i="8"/>
  <c r="AX135" i="8"/>
  <c r="AX134" i="8"/>
  <c r="AX133" i="8"/>
  <c r="AX132" i="8"/>
  <c r="AX131" i="8"/>
  <c r="AX130" i="8"/>
  <c r="AX129" i="8"/>
  <c r="AX128" i="8"/>
  <c r="AX127" i="8"/>
  <c r="AX126" i="8"/>
  <c r="AX125" i="8"/>
  <c r="AX124" i="8"/>
  <c r="AX123" i="8"/>
  <c r="AX122" i="8"/>
  <c r="AX121" i="8"/>
  <c r="AX120" i="8"/>
  <c r="AX119" i="8"/>
  <c r="AX118" i="8"/>
  <c r="AX117" i="8"/>
  <c r="AX116" i="8"/>
  <c r="AX115" i="8"/>
  <c r="AX114" i="8"/>
  <c r="AX113" i="8"/>
  <c r="AX112" i="8"/>
  <c r="AX111" i="8"/>
  <c r="AX110" i="8"/>
  <c r="AX109" i="8"/>
  <c r="AX108" i="8"/>
  <c r="AX107" i="8"/>
  <c r="AX106" i="8"/>
  <c r="AX105" i="8"/>
  <c r="AX104" i="8"/>
  <c r="AX103" i="8"/>
  <c r="AX102" i="8"/>
  <c r="AX101" i="8"/>
  <c r="AX100" i="8"/>
  <c r="AX99" i="8"/>
  <c r="AX98" i="8"/>
  <c r="AX97" i="8"/>
  <c r="AX96" i="8"/>
  <c r="AX95" i="8"/>
  <c r="AX94" i="8"/>
  <c r="AX93" i="8"/>
  <c r="AX92" i="8"/>
  <c r="AX91" i="8"/>
  <c r="AX90" i="8"/>
  <c r="AX89" i="8"/>
  <c r="AX88" i="8"/>
  <c r="AX87" i="8"/>
  <c r="AX86" i="8"/>
  <c r="AX85" i="8"/>
  <c r="AX84" i="8"/>
  <c r="AX83" i="8"/>
  <c r="AX82" i="8"/>
  <c r="AX81" i="8"/>
  <c r="AX80" i="8"/>
  <c r="AX79" i="8"/>
  <c r="AX78" i="8"/>
  <c r="AX77" i="8"/>
  <c r="AX76" i="8"/>
  <c r="AX75" i="8"/>
  <c r="AX74" i="8"/>
  <c r="AX73" i="8"/>
  <c r="AX72" i="8"/>
  <c r="AX71" i="8"/>
  <c r="AX70" i="8"/>
  <c r="AX69" i="8"/>
  <c r="AX68" i="8"/>
  <c r="AX67" i="8"/>
  <c r="AX66" i="8"/>
  <c r="AX65" i="8"/>
  <c r="AX64" i="8"/>
  <c r="AX63" i="8"/>
  <c r="AX62" i="8"/>
  <c r="AX61" i="8"/>
  <c r="AX60" i="8"/>
  <c r="AX59" i="8"/>
  <c r="AX58" i="8"/>
  <c r="AX57" i="8"/>
  <c r="AX56" i="8"/>
  <c r="AX55" i="8"/>
  <c r="AX54" i="8"/>
  <c r="AX53" i="8"/>
  <c r="AX52" i="8"/>
  <c r="AX51" i="8"/>
  <c r="AX50" i="8"/>
  <c r="AX49" i="8"/>
  <c r="AX48" i="8"/>
  <c r="AX47" i="8"/>
  <c r="AX46" i="8"/>
  <c r="AX45" i="8"/>
  <c r="AX44" i="8"/>
  <c r="AX43" i="8"/>
  <c r="AX42" i="8"/>
  <c r="AX41" i="8"/>
  <c r="AX40" i="8"/>
  <c r="AX39" i="8"/>
  <c r="AX38" i="8"/>
  <c r="AX37" i="8"/>
  <c r="AX36" i="8"/>
  <c r="AX35" i="8"/>
  <c r="AX34" i="8"/>
  <c r="AX33" i="8"/>
  <c r="AX32" i="8"/>
  <c r="AX31" i="8"/>
  <c r="AX30" i="8"/>
  <c r="AX29" i="8"/>
  <c r="AX28" i="8"/>
  <c r="AX27" i="8"/>
  <c r="AX26" i="8"/>
  <c r="AX25" i="8"/>
  <c r="AX24" i="8"/>
  <c r="AX23" i="8"/>
  <c r="AX22" i="8"/>
  <c r="AX21" i="8"/>
  <c r="AX20" i="8"/>
  <c r="AX19" i="8"/>
  <c r="AX18" i="8"/>
  <c r="AX17" i="8"/>
  <c r="AX16" i="8"/>
  <c r="AX15" i="8"/>
  <c r="AX14" i="8"/>
  <c r="AX13" i="8"/>
  <c r="AX12" i="8"/>
  <c r="AX11" i="8"/>
  <c r="AX10" i="8"/>
  <c r="AX9" i="8"/>
  <c r="AX8" i="8"/>
  <c r="AX7" i="8"/>
  <c r="AX6" i="8"/>
  <c r="AX5" i="8"/>
  <c r="AX4" i="8"/>
  <c r="AX3" i="8"/>
  <c r="AV252" i="8"/>
  <c r="AV251" i="8"/>
  <c r="AV250" i="8"/>
  <c r="AV249" i="8"/>
  <c r="AV248" i="8"/>
  <c r="AV247" i="8"/>
  <c r="AV246" i="8"/>
  <c r="AV245" i="8"/>
  <c r="AV244" i="8"/>
  <c r="AV243" i="8"/>
  <c r="AV242" i="8"/>
  <c r="AV241" i="8"/>
  <c r="AV240" i="8"/>
  <c r="AV239" i="8"/>
  <c r="AV238" i="8"/>
  <c r="AV237" i="8"/>
  <c r="AV236" i="8"/>
  <c r="AV235" i="8"/>
  <c r="AV234" i="8"/>
  <c r="AV233" i="8"/>
  <c r="AV232" i="8"/>
  <c r="AV231" i="8"/>
  <c r="AV230" i="8"/>
  <c r="AV229" i="8"/>
  <c r="AV228" i="8"/>
  <c r="AV227" i="8"/>
  <c r="AV226" i="8"/>
  <c r="AV225" i="8"/>
  <c r="AV224" i="8"/>
  <c r="AV223" i="8"/>
  <c r="AV222" i="8"/>
  <c r="AV221" i="8"/>
  <c r="AV220" i="8"/>
  <c r="AV219" i="8"/>
  <c r="AV218" i="8"/>
  <c r="AV217" i="8"/>
  <c r="AV216" i="8"/>
  <c r="AV215" i="8"/>
  <c r="AV214" i="8"/>
  <c r="AV213" i="8"/>
  <c r="AV212" i="8"/>
  <c r="AV211" i="8"/>
  <c r="AV210" i="8"/>
  <c r="AV209" i="8"/>
  <c r="AV208" i="8"/>
  <c r="AV207" i="8"/>
  <c r="AV206" i="8"/>
  <c r="AV205" i="8"/>
  <c r="AV204" i="8"/>
  <c r="AV203" i="8"/>
  <c r="AV202" i="8"/>
  <c r="AV201" i="8"/>
  <c r="AV200" i="8"/>
  <c r="AV199" i="8"/>
  <c r="AV198" i="8"/>
  <c r="AV197" i="8"/>
  <c r="AV196" i="8"/>
  <c r="AV195" i="8"/>
  <c r="AV194" i="8"/>
  <c r="AV193" i="8"/>
  <c r="AV192" i="8"/>
  <c r="AV191" i="8"/>
  <c r="AV190" i="8"/>
  <c r="AV189" i="8"/>
  <c r="AV188" i="8"/>
  <c r="AV187" i="8"/>
  <c r="AV186" i="8"/>
  <c r="AV185" i="8"/>
  <c r="AV184" i="8"/>
  <c r="AV183" i="8"/>
  <c r="AV182" i="8"/>
  <c r="AV181" i="8"/>
  <c r="AV180" i="8"/>
  <c r="AV179" i="8"/>
  <c r="AV178" i="8"/>
  <c r="AV177" i="8"/>
  <c r="AV176" i="8"/>
  <c r="AV175" i="8"/>
  <c r="AV174" i="8"/>
  <c r="AV173" i="8"/>
  <c r="AV172" i="8"/>
  <c r="AV171" i="8"/>
  <c r="AV170" i="8"/>
  <c r="AV169" i="8"/>
  <c r="AV168" i="8"/>
  <c r="AV167" i="8"/>
  <c r="AV166" i="8"/>
  <c r="AV165" i="8"/>
  <c r="AV164" i="8"/>
  <c r="AV163" i="8"/>
  <c r="AV162" i="8"/>
  <c r="AV161" i="8"/>
  <c r="AV160" i="8"/>
  <c r="AV159" i="8"/>
  <c r="AV158" i="8"/>
  <c r="AV157" i="8"/>
  <c r="AV156" i="8"/>
  <c r="AV155" i="8"/>
  <c r="AV154" i="8"/>
  <c r="AV153" i="8"/>
  <c r="AV152" i="8"/>
  <c r="AV151" i="8"/>
  <c r="AV150" i="8"/>
  <c r="AV149" i="8"/>
  <c r="AV148" i="8"/>
  <c r="AV147" i="8"/>
  <c r="AV146" i="8"/>
  <c r="AV145" i="8"/>
  <c r="AV144" i="8"/>
  <c r="AV143" i="8"/>
  <c r="AV142" i="8"/>
  <c r="AV141" i="8"/>
  <c r="AV140" i="8"/>
  <c r="AV139" i="8"/>
  <c r="AV138" i="8"/>
  <c r="AV137" i="8"/>
  <c r="AV136" i="8"/>
  <c r="AV135" i="8"/>
  <c r="AV134" i="8"/>
  <c r="AV133" i="8"/>
  <c r="AV132" i="8"/>
  <c r="AV131" i="8"/>
  <c r="AV130" i="8"/>
  <c r="AV129" i="8"/>
  <c r="AV128" i="8"/>
  <c r="AV127" i="8"/>
  <c r="AV126" i="8"/>
  <c r="AV125" i="8"/>
  <c r="AV124" i="8"/>
  <c r="AV123" i="8"/>
  <c r="AV122" i="8"/>
  <c r="AV121" i="8"/>
  <c r="AV120" i="8"/>
  <c r="AV119" i="8"/>
  <c r="AV118" i="8"/>
  <c r="AV117" i="8"/>
  <c r="AV116" i="8"/>
  <c r="AV115" i="8"/>
  <c r="AV114" i="8"/>
  <c r="AV113" i="8"/>
  <c r="AV112" i="8"/>
  <c r="AV111" i="8"/>
  <c r="AV110" i="8"/>
  <c r="AV109" i="8"/>
  <c r="AV108" i="8"/>
  <c r="AV107" i="8"/>
  <c r="AV106" i="8"/>
  <c r="AV105" i="8"/>
  <c r="AV104" i="8"/>
  <c r="AV103" i="8"/>
  <c r="AV102" i="8"/>
  <c r="AV101" i="8"/>
  <c r="AV100" i="8"/>
  <c r="AV99" i="8"/>
  <c r="AV98" i="8"/>
  <c r="AV97" i="8"/>
  <c r="AV96" i="8"/>
  <c r="AV95" i="8"/>
  <c r="AV94" i="8"/>
  <c r="AV93" i="8"/>
  <c r="AV92" i="8"/>
  <c r="AV91" i="8"/>
  <c r="AV90" i="8"/>
  <c r="AV89" i="8"/>
  <c r="AV88" i="8"/>
  <c r="AV87" i="8"/>
  <c r="AV86" i="8"/>
  <c r="AV85" i="8"/>
  <c r="AV84" i="8"/>
  <c r="AV83" i="8"/>
  <c r="AV82" i="8"/>
  <c r="AV81" i="8"/>
  <c r="AV80" i="8"/>
  <c r="AV79" i="8"/>
  <c r="AV78" i="8"/>
  <c r="AV77" i="8"/>
  <c r="AV76" i="8"/>
  <c r="AV75" i="8"/>
  <c r="AV74" i="8"/>
  <c r="AV73" i="8"/>
  <c r="AV72" i="8"/>
  <c r="AV71" i="8"/>
  <c r="AV70" i="8"/>
  <c r="AV69" i="8"/>
  <c r="AV68" i="8"/>
  <c r="AV67" i="8"/>
  <c r="AV66" i="8"/>
  <c r="AV65" i="8"/>
  <c r="AV64" i="8"/>
  <c r="AV63" i="8"/>
  <c r="AV62" i="8"/>
  <c r="AV61" i="8"/>
  <c r="AV60" i="8"/>
  <c r="AV59" i="8"/>
  <c r="AV58" i="8"/>
  <c r="AV57" i="8"/>
  <c r="AV56" i="8"/>
  <c r="AV55" i="8"/>
  <c r="AV54" i="8"/>
  <c r="AV53" i="8"/>
  <c r="AV52" i="8"/>
  <c r="AV51" i="8"/>
  <c r="AV50" i="8"/>
  <c r="AV49" i="8"/>
  <c r="AV48" i="8"/>
  <c r="AV47" i="8"/>
  <c r="AV46" i="8"/>
  <c r="AV45" i="8"/>
  <c r="AV44" i="8"/>
  <c r="AV43" i="8"/>
  <c r="AV42" i="8"/>
  <c r="AV41" i="8"/>
  <c r="AV40" i="8"/>
  <c r="AV39" i="8"/>
  <c r="AV38" i="8"/>
  <c r="AV37" i="8"/>
  <c r="AV36" i="8"/>
  <c r="AV35" i="8"/>
  <c r="AV34" i="8"/>
  <c r="AV33" i="8"/>
  <c r="AV32" i="8"/>
  <c r="AV31" i="8"/>
  <c r="AV30" i="8"/>
  <c r="AV29" i="8"/>
  <c r="AV28" i="8"/>
  <c r="AV27" i="8"/>
  <c r="AV26" i="8"/>
  <c r="AV25" i="8"/>
  <c r="AV24" i="8"/>
  <c r="AV23" i="8"/>
  <c r="AV22" i="8"/>
  <c r="AV21" i="8"/>
  <c r="AV20" i="8"/>
  <c r="AV19" i="8"/>
  <c r="AV18" i="8"/>
  <c r="AV17" i="8"/>
  <c r="AV16" i="8"/>
  <c r="AV15" i="8"/>
  <c r="AV14" i="8"/>
  <c r="AV13" i="8"/>
  <c r="AV12" i="8"/>
  <c r="AV11" i="8"/>
  <c r="AV10" i="8"/>
  <c r="AV9" i="8"/>
  <c r="AV8" i="8"/>
  <c r="AV7" i="8"/>
  <c r="AV6" i="8"/>
  <c r="AV5" i="8"/>
  <c r="AV4" i="8"/>
  <c r="AV3" i="8"/>
  <c r="AT252" i="8"/>
  <c r="AT251" i="8"/>
  <c r="AT250" i="8"/>
  <c r="AT249" i="8"/>
  <c r="AT248" i="8"/>
  <c r="AT247" i="8"/>
  <c r="AT246" i="8"/>
  <c r="AT245" i="8"/>
  <c r="AT244" i="8"/>
  <c r="AT243" i="8"/>
  <c r="AT242" i="8"/>
  <c r="AT241" i="8"/>
  <c r="AT240" i="8"/>
  <c r="AT239" i="8"/>
  <c r="AT238" i="8"/>
  <c r="AT237" i="8"/>
  <c r="AT236" i="8"/>
  <c r="AT235" i="8"/>
  <c r="AT234" i="8"/>
  <c r="AT233" i="8"/>
  <c r="AT232" i="8"/>
  <c r="AT231" i="8"/>
  <c r="AT230" i="8"/>
  <c r="AT229" i="8"/>
  <c r="AT228" i="8"/>
  <c r="AT227" i="8"/>
  <c r="AT226" i="8"/>
  <c r="AT225" i="8"/>
  <c r="AT224" i="8"/>
  <c r="AT223" i="8"/>
  <c r="AT222" i="8"/>
  <c r="AT221" i="8"/>
  <c r="AT220" i="8"/>
  <c r="AT219" i="8"/>
  <c r="AT218" i="8"/>
  <c r="AT217" i="8"/>
  <c r="AT216" i="8"/>
  <c r="AT215" i="8"/>
  <c r="AT214" i="8"/>
  <c r="AT213" i="8"/>
  <c r="AT212" i="8"/>
  <c r="AT211" i="8"/>
  <c r="AT210" i="8"/>
  <c r="AT209" i="8"/>
  <c r="AT208" i="8"/>
  <c r="AT207" i="8"/>
  <c r="AT206" i="8"/>
  <c r="AT205" i="8"/>
  <c r="AT204" i="8"/>
  <c r="AT203" i="8"/>
  <c r="AT202" i="8"/>
  <c r="AT201" i="8"/>
  <c r="AT200" i="8"/>
  <c r="AT199" i="8"/>
  <c r="AT198" i="8"/>
  <c r="AT197" i="8"/>
  <c r="AT196" i="8"/>
  <c r="AT195" i="8"/>
  <c r="AT194" i="8"/>
  <c r="AT193" i="8"/>
  <c r="AT192" i="8"/>
  <c r="AT191" i="8"/>
  <c r="AT190" i="8"/>
  <c r="AT189" i="8"/>
  <c r="AT188" i="8"/>
  <c r="AT187" i="8"/>
  <c r="AT186" i="8"/>
  <c r="AT185" i="8"/>
  <c r="AT184" i="8"/>
  <c r="AT183" i="8"/>
  <c r="AT182" i="8"/>
  <c r="AT181" i="8"/>
  <c r="AT180" i="8"/>
  <c r="AT179" i="8"/>
  <c r="AT178" i="8"/>
  <c r="AT177" i="8"/>
  <c r="AT176" i="8"/>
  <c r="AT175" i="8"/>
  <c r="AT174" i="8"/>
  <c r="AT173" i="8"/>
  <c r="AT172" i="8"/>
  <c r="AT171" i="8"/>
  <c r="AT170" i="8"/>
  <c r="AT169" i="8"/>
  <c r="AT168" i="8"/>
  <c r="AT167" i="8"/>
  <c r="AT166" i="8"/>
  <c r="AT165" i="8"/>
  <c r="AT164" i="8"/>
  <c r="AT163" i="8"/>
  <c r="AT162" i="8"/>
  <c r="AT161" i="8"/>
  <c r="AT160" i="8"/>
  <c r="AT159" i="8"/>
  <c r="AT158" i="8"/>
  <c r="AT157" i="8"/>
  <c r="AT156" i="8"/>
  <c r="AT155" i="8"/>
  <c r="AT154" i="8"/>
  <c r="AT153" i="8"/>
  <c r="AT152" i="8"/>
  <c r="AT151" i="8"/>
  <c r="AT150" i="8"/>
  <c r="AT149" i="8"/>
  <c r="AT148" i="8"/>
  <c r="AT147" i="8"/>
  <c r="AT146" i="8"/>
  <c r="AT145" i="8"/>
  <c r="AT144" i="8"/>
  <c r="AT143" i="8"/>
  <c r="AT142" i="8"/>
  <c r="AT141" i="8"/>
  <c r="AT140" i="8"/>
  <c r="AT139" i="8"/>
  <c r="AT138" i="8"/>
  <c r="AT137" i="8"/>
  <c r="AT136" i="8"/>
  <c r="AT135" i="8"/>
  <c r="AT134" i="8"/>
  <c r="AT133" i="8"/>
  <c r="AT132" i="8"/>
  <c r="AT131" i="8"/>
  <c r="AT130" i="8"/>
  <c r="AT129" i="8"/>
  <c r="AT128" i="8"/>
  <c r="AT127" i="8"/>
  <c r="AT126" i="8"/>
  <c r="AT125" i="8"/>
  <c r="AT124" i="8"/>
  <c r="AT123" i="8"/>
  <c r="AT122" i="8"/>
  <c r="AT121" i="8"/>
  <c r="AT120" i="8"/>
  <c r="AT119" i="8"/>
  <c r="AT118" i="8"/>
  <c r="AT117" i="8"/>
  <c r="AT116" i="8"/>
  <c r="AT115" i="8"/>
  <c r="AT114" i="8"/>
  <c r="AT113" i="8"/>
  <c r="AT112" i="8"/>
  <c r="AT111" i="8"/>
  <c r="AT110" i="8"/>
  <c r="AT109" i="8"/>
  <c r="AT108" i="8"/>
  <c r="AT107" i="8"/>
  <c r="AT106" i="8"/>
  <c r="AT105" i="8"/>
  <c r="AT104" i="8"/>
  <c r="AT103" i="8"/>
  <c r="AT102" i="8"/>
  <c r="AT101" i="8"/>
  <c r="AT100" i="8"/>
  <c r="AT99" i="8"/>
  <c r="AT98" i="8"/>
  <c r="AT97" i="8"/>
  <c r="AT96" i="8"/>
  <c r="AT95" i="8"/>
  <c r="AT94" i="8"/>
  <c r="AT93" i="8"/>
  <c r="AT92" i="8"/>
  <c r="AT91" i="8"/>
  <c r="AT90" i="8"/>
  <c r="AT89" i="8"/>
  <c r="AT88" i="8"/>
  <c r="AT87" i="8"/>
  <c r="AT86" i="8"/>
  <c r="AT85" i="8"/>
  <c r="AT84" i="8"/>
  <c r="AT83" i="8"/>
  <c r="AT82" i="8"/>
  <c r="AT81" i="8"/>
  <c r="AT80" i="8"/>
  <c r="AT79" i="8"/>
  <c r="AT78" i="8"/>
  <c r="AT77" i="8"/>
  <c r="AT76" i="8"/>
  <c r="AT75" i="8"/>
  <c r="AT74" i="8"/>
  <c r="AT73" i="8"/>
  <c r="AT72" i="8"/>
  <c r="AT71" i="8"/>
  <c r="AT70" i="8"/>
  <c r="AT69" i="8"/>
  <c r="AT68" i="8"/>
  <c r="AT67" i="8"/>
  <c r="AT66" i="8"/>
  <c r="AT65" i="8"/>
  <c r="AT64" i="8"/>
  <c r="AT63" i="8"/>
  <c r="AT62" i="8"/>
  <c r="AT61" i="8"/>
  <c r="AT60" i="8"/>
  <c r="AT59" i="8"/>
  <c r="AT58" i="8"/>
  <c r="AT57" i="8"/>
  <c r="AT56" i="8"/>
  <c r="AT55" i="8"/>
  <c r="AT54" i="8"/>
  <c r="AT53" i="8"/>
  <c r="AT52" i="8"/>
  <c r="AT51" i="8"/>
  <c r="AT50" i="8"/>
  <c r="AT49" i="8"/>
  <c r="AT48" i="8"/>
  <c r="AT47" i="8"/>
  <c r="AT46" i="8"/>
  <c r="AT45" i="8"/>
  <c r="AT44" i="8"/>
  <c r="AT43" i="8"/>
  <c r="AT42" i="8"/>
  <c r="AT41" i="8"/>
  <c r="AT40" i="8"/>
  <c r="AT39" i="8"/>
  <c r="AT38" i="8"/>
  <c r="AT37" i="8"/>
  <c r="AT36" i="8"/>
  <c r="AT35" i="8"/>
  <c r="AT34" i="8"/>
  <c r="AT33" i="8"/>
  <c r="AT32" i="8"/>
  <c r="AT31" i="8"/>
  <c r="AT30" i="8"/>
  <c r="AT29" i="8"/>
  <c r="AT28" i="8"/>
  <c r="AT27" i="8"/>
  <c r="AT26" i="8"/>
  <c r="AT25" i="8"/>
  <c r="AT24" i="8"/>
  <c r="AT23" i="8"/>
  <c r="AT22" i="8"/>
  <c r="AT21" i="8"/>
  <c r="AT20" i="8"/>
  <c r="AT19" i="8"/>
  <c r="AT18" i="8"/>
  <c r="AT17" i="8"/>
  <c r="AT16" i="8"/>
  <c r="AT15" i="8"/>
  <c r="AT14" i="8"/>
  <c r="AT13" i="8"/>
  <c r="AT12" i="8"/>
  <c r="AT11" i="8"/>
  <c r="AT10" i="8"/>
  <c r="AT9" i="8"/>
  <c r="AT8" i="8"/>
  <c r="AT7" i="8"/>
  <c r="AT6" i="8"/>
  <c r="AT5" i="8"/>
  <c r="AT4" i="8"/>
  <c r="AT3" i="8"/>
  <c r="AR252" i="8"/>
  <c r="AR251" i="8"/>
  <c r="AR250" i="8"/>
  <c r="AR249" i="8"/>
  <c r="AR248" i="8"/>
  <c r="AR247" i="8"/>
  <c r="AR246" i="8"/>
  <c r="AR245" i="8"/>
  <c r="AR244" i="8"/>
  <c r="AR243" i="8"/>
  <c r="AR242" i="8"/>
  <c r="AR241" i="8"/>
  <c r="AR240" i="8"/>
  <c r="AR239" i="8"/>
  <c r="AR238" i="8"/>
  <c r="AR237" i="8"/>
  <c r="AR236" i="8"/>
  <c r="AR235" i="8"/>
  <c r="AR234" i="8"/>
  <c r="AR233" i="8"/>
  <c r="AR232" i="8"/>
  <c r="AR231" i="8"/>
  <c r="AR230" i="8"/>
  <c r="AR229" i="8"/>
  <c r="AR228" i="8"/>
  <c r="AR227" i="8"/>
  <c r="AR226" i="8"/>
  <c r="AR225" i="8"/>
  <c r="AR224" i="8"/>
  <c r="AR223" i="8"/>
  <c r="AR222" i="8"/>
  <c r="AR221" i="8"/>
  <c r="AR220" i="8"/>
  <c r="AR219" i="8"/>
  <c r="AR218" i="8"/>
  <c r="AR217" i="8"/>
  <c r="AR216" i="8"/>
  <c r="AR215" i="8"/>
  <c r="AR214" i="8"/>
  <c r="AR213" i="8"/>
  <c r="AR212" i="8"/>
  <c r="AR211" i="8"/>
  <c r="AR210" i="8"/>
  <c r="AR209" i="8"/>
  <c r="AR208" i="8"/>
  <c r="AR207" i="8"/>
  <c r="AR206" i="8"/>
  <c r="AR205" i="8"/>
  <c r="AR204" i="8"/>
  <c r="AR203" i="8"/>
  <c r="AR202" i="8"/>
  <c r="AR201" i="8"/>
  <c r="AR200" i="8"/>
  <c r="AR199" i="8"/>
  <c r="AR198" i="8"/>
  <c r="AR197" i="8"/>
  <c r="AR196" i="8"/>
  <c r="AR195" i="8"/>
  <c r="AR194" i="8"/>
  <c r="AR193" i="8"/>
  <c r="AR192" i="8"/>
  <c r="AR191" i="8"/>
  <c r="AR190" i="8"/>
  <c r="AR189" i="8"/>
  <c r="AR188" i="8"/>
  <c r="AR187" i="8"/>
  <c r="AR186" i="8"/>
  <c r="AR185" i="8"/>
  <c r="AR184" i="8"/>
  <c r="AR183" i="8"/>
  <c r="AR182" i="8"/>
  <c r="AR181" i="8"/>
  <c r="AR180" i="8"/>
  <c r="AR179" i="8"/>
  <c r="AR178" i="8"/>
  <c r="AR177" i="8"/>
  <c r="AR176" i="8"/>
  <c r="AR175" i="8"/>
  <c r="AR174" i="8"/>
  <c r="AR173" i="8"/>
  <c r="AR172" i="8"/>
  <c r="AR171" i="8"/>
  <c r="AR170" i="8"/>
  <c r="AR169" i="8"/>
  <c r="AR168" i="8"/>
  <c r="AR167" i="8"/>
  <c r="AR166" i="8"/>
  <c r="AR165" i="8"/>
  <c r="AR164" i="8"/>
  <c r="AR163" i="8"/>
  <c r="AR162" i="8"/>
  <c r="AR161" i="8"/>
  <c r="AR160" i="8"/>
  <c r="AR159" i="8"/>
  <c r="AR158" i="8"/>
  <c r="AR157" i="8"/>
  <c r="AR156" i="8"/>
  <c r="AR155" i="8"/>
  <c r="AR154" i="8"/>
  <c r="AR153" i="8"/>
  <c r="AR152" i="8"/>
  <c r="AR151" i="8"/>
  <c r="AR150" i="8"/>
  <c r="AR149" i="8"/>
  <c r="AR148" i="8"/>
  <c r="AR147" i="8"/>
  <c r="AR146" i="8"/>
  <c r="AR145" i="8"/>
  <c r="AR144" i="8"/>
  <c r="AR143" i="8"/>
  <c r="AR142" i="8"/>
  <c r="AR141" i="8"/>
  <c r="AR140" i="8"/>
  <c r="AR139" i="8"/>
  <c r="AR138" i="8"/>
  <c r="AR137" i="8"/>
  <c r="AR136" i="8"/>
  <c r="AR135" i="8"/>
  <c r="AR134" i="8"/>
  <c r="AR133" i="8"/>
  <c r="AR132" i="8"/>
  <c r="AR131" i="8"/>
  <c r="AR130" i="8"/>
  <c r="AR129" i="8"/>
  <c r="AR128" i="8"/>
  <c r="AR127" i="8"/>
  <c r="AR126" i="8"/>
  <c r="AR125" i="8"/>
  <c r="AR124" i="8"/>
  <c r="AR123" i="8"/>
  <c r="AR122" i="8"/>
  <c r="AR121" i="8"/>
  <c r="AR120" i="8"/>
  <c r="AR119" i="8"/>
  <c r="AR118" i="8"/>
  <c r="AR117" i="8"/>
  <c r="AR116" i="8"/>
  <c r="AR115" i="8"/>
  <c r="AR114" i="8"/>
  <c r="AR113" i="8"/>
  <c r="AR112" i="8"/>
  <c r="AR111" i="8"/>
  <c r="AR110" i="8"/>
  <c r="AR109" i="8"/>
  <c r="AR108" i="8"/>
  <c r="AR107" i="8"/>
  <c r="AR106" i="8"/>
  <c r="AR105" i="8"/>
  <c r="AR104" i="8"/>
  <c r="AR103" i="8"/>
  <c r="AR102" i="8"/>
  <c r="AR101" i="8"/>
  <c r="AR100" i="8"/>
  <c r="AR99" i="8"/>
  <c r="AR98" i="8"/>
  <c r="AR97" i="8"/>
  <c r="AR96" i="8"/>
  <c r="AR95" i="8"/>
  <c r="AR94" i="8"/>
  <c r="AR93" i="8"/>
  <c r="AR92" i="8"/>
  <c r="AR91" i="8"/>
  <c r="AR90" i="8"/>
  <c r="AR89" i="8"/>
  <c r="AR88" i="8"/>
  <c r="AR87" i="8"/>
  <c r="AR86" i="8"/>
  <c r="AR85" i="8"/>
  <c r="AR84" i="8"/>
  <c r="AR83" i="8"/>
  <c r="AR82" i="8"/>
  <c r="AR81" i="8"/>
  <c r="AR80" i="8"/>
  <c r="AR79" i="8"/>
  <c r="AR78" i="8"/>
  <c r="AR77" i="8"/>
  <c r="AR76" i="8"/>
  <c r="AR75" i="8"/>
  <c r="AR74" i="8"/>
  <c r="AR73" i="8"/>
  <c r="AR72" i="8"/>
  <c r="AR71" i="8"/>
  <c r="AR70" i="8"/>
  <c r="AR69" i="8"/>
  <c r="AR68" i="8"/>
  <c r="AR67" i="8"/>
  <c r="AR66" i="8"/>
  <c r="AR65" i="8"/>
  <c r="AR64" i="8"/>
  <c r="AR63" i="8"/>
  <c r="AR62" i="8"/>
  <c r="AR61" i="8"/>
  <c r="AR60" i="8"/>
  <c r="AR59" i="8"/>
  <c r="AR58" i="8"/>
  <c r="AR57" i="8"/>
  <c r="AR56" i="8"/>
  <c r="AR55" i="8"/>
  <c r="AR54" i="8"/>
  <c r="AR53" i="8"/>
  <c r="AR52" i="8"/>
  <c r="AR51" i="8"/>
  <c r="AR50" i="8"/>
  <c r="AR49" i="8"/>
  <c r="AR48" i="8"/>
  <c r="AR47" i="8"/>
  <c r="AR46" i="8"/>
  <c r="AR45" i="8"/>
  <c r="AR44" i="8"/>
  <c r="AR43" i="8"/>
  <c r="AR42" i="8"/>
  <c r="AR41" i="8"/>
  <c r="AR40" i="8"/>
  <c r="AR39" i="8"/>
  <c r="AR38" i="8"/>
  <c r="AR37" i="8"/>
  <c r="AR36" i="8"/>
  <c r="AR35" i="8"/>
  <c r="AR34" i="8"/>
  <c r="AR33" i="8"/>
  <c r="AR32" i="8"/>
  <c r="AR31" i="8"/>
  <c r="AR30" i="8"/>
  <c r="AR29" i="8"/>
  <c r="AR28" i="8"/>
  <c r="AR27" i="8"/>
  <c r="AR26" i="8"/>
  <c r="AR25" i="8"/>
  <c r="AR24" i="8"/>
  <c r="AR23" i="8"/>
  <c r="AR22" i="8"/>
  <c r="AR21" i="8"/>
  <c r="AR20" i="8"/>
  <c r="AR19" i="8"/>
  <c r="AR18" i="8"/>
  <c r="AR17" i="8"/>
  <c r="AR16" i="8"/>
  <c r="AR15" i="8"/>
  <c r="AR14" i="8"/>
  <c r="AR13" i="8"/>
  <c r="AR12" i="8"/>
  <c r="AR11" i="8"/>
  <c r="AR10" i="8"/>
  <c r="AR9" i="8"/>
  <c r="AR8" i="8"/>
  <c r="AR7" i="8"/>
  <c r="AR6" i="8"/>
  <c r="AR5" i="8"/>
  <c r="AR4" i="8"/>
  <c r="AR3" i="8"/>
  <c r="AP252" i="8"/>
  <c r="AP251" i="8"/>
  <c r="AP250" i="8"/>
  <c r="AP249" i="8"/>
  <c r="AP248" i="8"/>
  <c r="AP247" i="8"/>
  <c r="AP246" i="8"/>
  <c r="AP245" i="8"/>
  <c r="AP244" i="8"/>
  <c r="AP243" i="8"/>
  <c r="AP242" i="8"/>
  <c r="AP241" i="8"/>
  <c r="AP240" i="8"/>
  <c r="AP239" i="8"/>
  <c r="AP238" i="8"/>
  <c r="AP237" i="8"/>
  <c r="AP236" i="8"/>
  <c r="AP235" i="8"/>
  <c r="AP234" i="8"/>
  <c r="AP233" i="8"/>
  <c r="AP232" i="8"/>
  <c r="AP231" i="8"/>
  <c r="AP230" i="8"/>
  <c r="AP229" i="8"/>
  <c r="AP228" i="8"/>
  <c r="AP227" i="8"/>
  <c r="AP226" i="8"/>
  <c r="AP225" i="8"/>
  <c r="AP224" i="8"/>
  <c r="AP223" i="8"/>
  <c r="AP222" i="8"/>
  <c r="AP221" i="8"/>
  <c r="AP220" i="8"/>
  <c r="AP219" i="8"/>
  <c r="AP218" i="8"/>
  <c r="AP217" i="8"/>
  <c r="AP216" i="8"/>
  <c r="AP215" i="8"/>
  <c r="AP214" i="8"/>
  <c r="AP213" i="8"/>
  <c r="AP212" i="8"/>
  <c r="AP211" i="8"/>
  <c r="AP210" i="8"/>
  <c r="AP209" i="8"/>
  <c r="AP208" i="8"/>
  <c r="AP207" i="8"/>
  <c r="AP206" i="8"/>
  <c r="AP205" i="8"/>
  <c r="AP204" i="8"/>
  <c r="AP203" i="8"/>
  <c r="AP202" i="8"/>
  <c r="AP201" i="8"/>
  <c r="AP200" i="8"/>
  <c r="AP199" i="8"/>
  <c r="AP198" i="8"/>
  <c r="AP197" i="8"/>
  <c r="AP196" i="8"/>
  <c r="AP195" i="8"/>
  <c r="AP194" i="8"/>
  <c r="AP193" i="8"/>
  <c r="AP192" i="8"/>
  <c r="AP191" i="8"/>
  <c r="AP190" i="8"/>
  <c r="AP189" i="8"/>
  <c r="AP188" i="8"/>
  <c r="AP187" i="8"/>
  <c r="AP186" i="8"/>
  <c r="AP185" i="8"/>
  <c r="AP184" i="8"/>
  <c r="AP183" i="8"/>
  <c r="AP182" i="8"/>
  <c r="AP181" i="8"/>
  <c r="AP180" i="8"/>
  <c r="AP179" i="8"/>
  <c r="AP178" i="8"/>
  <c r="AP177" i="8"/>
  <c r="AP176" i="8"/>
  <c r="AP175" i="8"/>
  <c r="AP174" i="8"/>
  <c r="AP173" i="8"/>
  <c r="AP172" i="8"/>
  <c r="AP171" i="8"/>
  <c r="AP170" i="8"/>
  <c r="AP169" i="8"/>
  <c r="AP168" i="8"/>
  <c r="AP167" i="8"/>
  <c r="AP166" i="8"/>
  <c r="AP165" i="8"/>
  <c r="AP164" i="8"/>
  <c r="AP163" i="8"/>
  <c r="AP162" i="8"/>
  <c r="AP161" i="8"/>
  <c r="AP160" i="8"/>
  <c r="AP159" i="8"/>
  <c r="AP158" i="8"/>
  <c r="AP157" i="8"/>
  <c r="AP156" i="8"/>
  <c r="AP155" i="8"/>
  <c r="AP154" i="8"/>
  <c r="AP153" i="8"/>
  <c r="AP152" i="8"/>
  <c r="AP151" i="8"/>
  <c r="AP150" i="8"/>
  <c r="AP149" i="8"/>
  <c r="AP148" i="8"/>
  <c r="AP147" i="8"/>
  <c r="AP146" i="8"/>
  <c r="AP145" i="8"/>
  <c r="AP144" i="8"/>
  <c r="AP143" i="8"/>
  <c r="AP142" i="8"/>
  <c r="AP141" i="8"/>
  <c r="AP140" i="8"/>
  <c r="AP139" i="8"/>
  <c r="AP138" i="8"/>
  <c r="AP137" i="8"/>
  <c r="AP136" i="8"/>
  <c r="AP135" i="8"/>
  <c r="AP134" i="8"/>
  <c r="AP133" i="8"/>
  <c r="AP132" i="8"/>
  <c r="AP131" i="8"/>
  <c r="AP130" i="8"/>
  <c r="AP129" i="8"/>
  <c r="AP128" i="8"/>
  <c r="AP127" i="8"/>
  <c r="AP126" i="8"/>
  <c r="AP125" i="8"/>
  <c r="AP124" i="8"/>
  <c r="AP123" i="8"/>
  <c r="AP122" i="8"/>
  <c r="AP121" i="8"/>
  <c r="AP120" i="8"/>
  <c r="AP119" i="8"/>
  <c r="AP118" i="8"/>
  <c r="AP117" i="8"/>
  <c r="AP116" i="8"/>
  <c r="AP115" i="8"/>
  <c r="AP114" i="8"/>
  <c r="AP113" i="8"/>
  <c r="AP112" i="8"/>
  <c r="AP111" i="8"/>
  <c r="AP110" i="8"/>
  <c r="AP109" i="8"/>
  <c r="AP108" i="8"/>
  <c r="AP107" i="8"/>
  <c r="AP106" i="8"/>
  <c r="AP105" i="8"/>
  <c r="AP104" i="8"/>
  <c r="AP103" i="8"/>
  <c r="AP102" i="8"/>
  <c r="AP101" i="8"/>
  <c r="AP100" i="8"/>
  <c r="AP99" i="8"/>
  <c r="AP98" i="8"/>
  <c r="AP97" i="8"/>
  <c r="AP96" i="8"/>
  <c r="AP95" i="8"/>
  <c r="AP94" i="8"/>
  <c r="AP93" i="8"/>
  <c r="AP92" i="8"/>
  <c r="AP91" i="8"/>
  <c r="AP90" i="8"/>
  <c r="AP89" i="8"/>
  <c r="AP88" i="8"/>
  <c r="AP87" i="8"/>
  <c r="AP86" i="8"/>
  <c r="AP85" i="8"/>
  <c r="AP84" i="8"/>
  <c r="AP83" i="8"/>
  <c r="AP82" i="8"/>
  <c r="AP81" i="8"/>
  <c r="AP80" i="8"/>
  <c r="AP79" i="8"/>
  <c r="AP78" i="8"/>
  <c r="AP77" i="8"/>
  <c r="AP76" i="8"/>
  <c r="AP75" i="8"/>
  <c r="AP74" i="8"/>
  <c r="AP73" i="8"/>
  <c r="AP72" i="8"/>
  <c r="AP71" i="8"/>
  <c r="AP70" i="8"/>
  <c r="AP69" i="8"/>
  <c r="AP68" i="8"/>
  <c r="AP67" i="8"/>
  <c r="AP66" i="8"/>
  <c r="AP65" i="8"/>
  <c r="AP64" i="8"/>
  <c r="AP63" i="8"/>
  <c r="AP62" i="8"/>
  <c r="AP61" i="8"/>
  <c r="AP60" i="8"/>
  <c r="AP59" i="8"/>
  <c r="AP58" i="8"/>
  <c r="AP57" i="8"/>
  <c r="AP56" i="8"/>
  <c r="AP55" i="8"/>
  <c r="AP54" i="8"/>
  <c r="AP53" i="8"/>
  <c r="AP52" i="8"/>
  <c r="AP51" i="8"/>
  <c r="AP50" i="8"/>
  <c r="AP49" i="8"/>
  <c r="AP48" i="8"/>
  <c r="AP47" i="8"/>
  <c r="AP46" i="8"/>
  <c r="AP45" i="8"/>
  <c r="AP44" i="8"/>
  <c r="AP43" i="8"/>
  <c r="AP42" i="8"/>
  <c r="AP41" i="8"/>
  <c r="AP40" i="8"/>
  <c r="AP39" i="8"/>
  <c r="AP38" i="8"/>
  <c r="AP37" i="8"/>
  <c r="AP36" i="8"/>
  <c r="AP35" i="8"/>
  <c r="AP34" i="8"/>
  <c r="AP33" i="8"/>
  <c r="AP32" i="8"/>
  <c r="AP31" i="8"/>
  <c r="AP30" i="8"/>
  <c r="AP29" i="8"/>
  <c r="AP28" i="8"/>
  <c r="AP27" i="8"/>
  <c r="AP26" i="8"/>
  <c r="AP25" i="8"/>
  <c r="AP24" i="8"/>
  <c r="AP23" i="8"/>
  <c r="AP22" i="8"/>
  <c r="AP21" i="8"/>
  <c r="AP20" i="8"/>
  <c r="AP19" i="8"/>
  <c r="AP18" i="8"/>
  <c r="AP17" i="8"/>
  <c r="AP16" i="8"/>
  <c r="AP15" i="8"/>
  <c r="AP14" i="8"/>
  <c r="AP13" i="8"/>
  <c r="AP12" i="8"/>
  <c r="AP11" i="8"/>
  <c r="AP10" i="8"/>
  <c r="AP9" i="8"/>
  <c r="AP8" i="8"/>
  <c r="AP7" i="8"/>
  <c r="AP6" i="8"/>
  <c r="AP5" i="8"/>
  <c r="AP4" i="8"/>
  <c r="AP3" i="8"/>
  <c r="AN252" i="8"/>
  <c r="AN251" i="8"/>
  <c r="AN250" i="8"/>
  <c r="AN249" i="8"/>
  <c r="AN248" i="8"/>
  <c r="AN247" i="8"/>
  <c r="AN246" i="8"/>
  <c r="AN245" i="8"/>
  <c r="AN244" i="8"/>
  <c r="AN243" i="8"/>
  <c r="AN242" i="8"/>
  <c r="AN241" i="8"/>
  <c r="AN240" i="8"/>
  <c r="AN239" i="8"/>
  <c r="AN238" i="8"/>
  <c r="AN237" i="8"/>
  <c r="AN236" i="8"/>
  <c r="AN235" i="8"/>
  <c r="AN234" i="8"/>
  <c r="AN233" i="8"/>
  <c r="AN232" i="8"/>
  <c r="AN231" i="8"/>
  <c r="AN230" i="8"/>
  <c r="AN229" i="8"/>
  <c r="AN228" i="8"/>
  <c r="AN227" i="8"/>
  <c r="AN226" i="8"/>
  <c r="AN225" i="8"/>
  <c r="AN224" i="8"/>
  <c r="AN223" i="8"/>
  <c r="AN222" i="8"/>
  <c r="AN221" i="8"/>
  <c r="AN220" i="8"/>
  <c r="AN219" i="8"/>
  <c r="AN218" i="8"/>
  <c r="AN217" i="8"/>
  <c r="AN216" i="8"/>
  <c r="AN215" i="8"/>
  <c r="AN214" i="8"/>
  <c r="AN213" i="8"/>
  <c r="AN212" i="8"/>
  <c r="AN211" i="8"/>
  <c r="AN210" i="8"/>
  <c r="AN209" i="8"/>
  <c r="AN208" i="8"/>
  <c r="AN207" i="8"/>
  <c r="AN206" i="8"/>
  <c r="AN205" i="8"/>
  <c r="AN204" i="8"/>
  <c r="AN203" i="8"/>
  <c r="AN202" i="8"/>
  <c r="AN201" i="8"/>
  <c r="AN200" i="8"/>
  <c r="AN199" i="8"/>
  <c r="AN198" i="8"/>
  <c r="AN197" i="8"/>
  <c r="AN196" i="8"/>
  <c r="AN195" i="8"/>
  <c r="AN194" i="8"/>
  <c r="AN193" i="8"/>
  <c r="AN192" i="8"/>
  <c r="AN191" i="8"/>
  <c r="AN190" i="8"/>
  <c r="AN189" i="8"/>
  <c r="AN188" i="8"/>
  <c r="AN187" i="8"/>
  <c r="AN186" i="8"/>
  <c r="AN185" i="8"/>
  <c r="AN184" i="8"/>
  <c r="AN183" i="8"/>
  <c r="AN182" i="8"/>
  <c r="AN181" i="8"/>
  <c r="AN180" i="8"/>
  <c r="AN179" i="8"/>
  <c r="AN178" i="8"/>
  <c r="AN177" i="8"/>
  <c r="AN176" i="8"/>
  <c r="AN175" i="8"/>
  <c r="AN174" i="8"/>
  <c r="AN173" i="8"/>
  <c r="AN172" i="8"/>
  <c r="AN171" i="8"/>
  <c r="AN170" i="8"/>
  <c r="AN169" i="8"/>
  <c r="AN168" i="8"/>
  <c r="AN167" i="8"/>
  <c r="AN166" i="8"/>
  <c r="AN165" i="8"/>
  <c r="AN164" i="8"/>
  <c r="AN163" i="8"/>
  <c r="AN162" i="8"/>
  <c r="AN161" i="8"/>
  <c r="AN160" i="8"/>
  <c r="AN159" i="8"/>
  <c r="AN158" i="8"/>
  <c r="AN157" i="8"/>
  <c r="AN156" i="8"/>
  <c r="AN155" i="8"/>
  <c r="AN154" i="8"/>
  <c r="AN153" i="8"/>
  <c r="AN152" i="8"/>
  <c r="AN151" i="8"/>
  <c r="AN150" i="8"/>
  <c r="AN149" i="8"/>
  <c r="AN148" i="8"/>
  <c r="AN147" i="8"/>
  <c r="AN146" i="8"/>
  <c r="AN145" i="8"/>
  <c r="AN144" i="8"/>
  <c r="AN143" i="8"/>
  <c r="AN142" i="8"/>
  <c r="AN141" i="8"/>
  <c r="AN140" i="8"/>
  <c r="AN139" i="8"/>
  <c r="AN138" i="8"/>
  <c r="AN137" i="8"/>
  <c r="AN136" i="8"/>
  <c r="AN135" i="8"/>
  <c r="AN134" i="8"/>
  <c r="AN133" i="8"/>
  <c r="AN132" i="8"/>
  <c r="AN131" i="8"/>
  <c r="AN130" i="8"/>
  <c r="AN129" i="8"/>
  <c r="AN128" i="8"/>
  <c r="AN127" i="8"/>
  <c r="AN126" i="8"/>
  <c r="AN125" i="8"/>
  <c r="AN124" i="8"/>
  <c r="AN123" i="8"/>
  <c r="AN122" i="8"/>
  <c r="AN121" i="8"/>
  <c r="AN120" i="8"/>
  <c r="AN119" i="8"/>
  <c r="AN118" i="8"/>
  <c r="AN117" i="8"/>
  <c r="AN116" i="8"/>
  <c r="AN115" i="8"/>
  <c r="AN114" i="8"/>
  <c r="AN113" i="8"/>
  <c r="AN112" i="8"/>
  <c r="AN111" i="8"/>
  <c r="AN110" i="8"/>
  <c r="AN109" i="8"/>
  <c r="AN108" i="8"/>
  <c r="AN107" i="8"/>
  <c r="AN106" i="8"/>
  <c r="AN105" i="8"/>
  <c r="AN104" i="8"/>
  <c r="AN103" i="8"/>
  <c r="AN102" i="8"/>
  <c r="AN101" i="8"/>
  <c r="AN100" i="8"/>
  <c r="AN99" i="8"/>
  <c r="AN98" i="8"/>
  <c r="AN97" i="8"/>
  <c r="AN96" i="8"/>
  <c r="AN95" i="8"/>
  <c r="AN94" i="8"/>
  <c r="AN93" i="8"/>
  <c r="AN92" i="8"/>
  <c r="AN91" i="8"/>
  <c r="AN90" i="8"/>
  <c r="AN89" i="8"/>
  <c r="AN88" i="8"/>
  <c r="AN87" i="8"/>
  <c r="AN86" i="8"/>
  <c r="AN85" i="8"/>
  <c r="AN84" i="8"/>
  <c r="AN83" i="8"/>
  <c r="AN82" i="8"/>
  <c r="AN81" i="8"/>
  <c r="AN80" i="8"/>
  <c r="AN79" i="8"/>
  <c r="AN78" i="8"/>
  <c r="AN77" i="8"/>
  <c r="AN76" i="8"/>
  <c r="AN75" i="8"/>
  <c r="AN74" i="8"/>
  <c r="AN73" i="8"/>
  <c r="AN72" i="8"/>
  <c r="AN71" i="8"/>
  <c r="AN70" i="8"/>
  <c r="AN69" i="8"/>
  <c r="AN68" i="8"/>
  <c r="AN67" i="8"/>
  <c r="AN66" i="8"/>
  <c r="AN65" i="8"/>
  <c r="AN64" i="8"/>
  <c r="AN63" i="8"/>
  <c r="AN62" i="8"/>
  <c r="AN61" i="8"/>
  <c r="AN60" i="8"/>
  <c r="AN59" i="8"/>
  <c r="AN58" i="8"/>
  <c r="AN57" i="8"/>
  <c r="AN56" i="8"/>
  <c r="AN55" i="8"/>
  <c r="AN54" i="8"/>
  <c r="AN53" i="8"/>
  <c r="AN52" i="8"/>
  <c r="AN51" i="8"/>
  <c r="AN50" i="8"/>
  <c r="AN49" i="8"/>
  <c r="AN48" i="8"/>
  <c r="AN47" i="8"/>
  <c r="AN46" i="8"/>
  <c r="AN45" i="8"/>
  <c r="AN44" i="8"/>
  <c r="AN43" i="8"/>
  <c r="AN42" i="8"/>
  <c r="AN41" i="8"/>
  <c r="AN40" i="8"/>
  <c r="AN39" i="8"/>
  <c r="AN38" i="8"/>
  <c r="AN37" i="8"/>
  <c r="AN36" i="8"/>
  <c r="AN35" i="8"/>
  <c r="AN34" i="8"/>
  <c r="AN33" i="8"/>
  <c r="AN32" i="8"/>
  <c r="AN31" i="8"/>
  <c r="AN30" i="8"/>
  <c r="AN29" i="8"/>
  <c r="AN28" i="8"/>
  <c r="AN27" i="8"/>
  <c r="AN26" i="8"/>
  <c r="AN25" i="8"/>
  <c r="AN24" i="8"/>
  <c r="AN23" i="8"/>
  <c r="AN22" i="8"/>
  <c r="AN21" i="8"/>
  <c r="AN20" i="8"/>
  <c r="AN19" i="8"/>
  <c r="AN18" i="8"/>
  <c r="AN17" i="8"/>
  <c r="AN16" i="8"/>
  <c r="AN15" i="8"/>
  <c r="AN14" i="8"/>
  <c r="AN13" i="8"/>
  <c r="AN12" i="8"/>
  <c r="AN11" i="8"/>
  <c r="AN10" i="8"/>
  <c r="AN9" i="8"/>
  <c r="AN8" i="8"/>
  <c r="AN7" i="8"/>
  <c r="AN6" i="8"/>
  <c r="AN5" i="8"/>
  <c r="AN4" i="8"/>
  <c r="AN3" i="8"/>
  <c r="AL252" i="8"/>
  <c r="AL251" i="8"/>
  <c r="AL250" i="8"/>
  <c r="AL249" i="8"/>
  <c r="AL248" i="8"/>
  <c r="AL247" i="8"/>
  <c r="AL246" i="8"/>
  <c r="AL245" i="8"/>
  <c r="AL244" i="8"/>
  <c r="AL243" i="8"/>
  <c r="AL242" i="8"/>
  <c r="AL241" i="8"/>
  <c r="AL240" i="8"/>
  <c r="AL239" i="8"/>
  <c r="AL238" i="8"/>
  <c r="AL237" i="8"/>
  <c r="AL236" i="8"/>
  <c r="AL235" i="8"/>
  <c r="AL234" i="8"/>
  <c r="AL233" i="8"/>
  <c r="AL232" i="8"/>
  <c r="AL231" i="8"/>
  <c r="AL230" i="8"/>
  <c r="AL229" i="8"/>
  <c r="AL228" i="8"/>
  <c r="AL227" i="8"/>
  <c r="AL226" i="8"/>
  <c r="AL225" i="8"/>
  <c r="AL224" i="8"/>
  <c r="AL223" i="8"/>
  <c r="AL222" i="8"/>
  <c r="AL221" i="8"/>
  <c r="AL220" i="8"/>
  <c r="AL219" i="8"/>
  <c r="AL218" i="8"/>
  <c r="AL217" i="8"/>
  <c r="AL216" i="8"/>
  <c r="AL215" i="8"/>
  <c r="AL214" i="8"/>
  <c r="AL213" i="8"/>
  <c r="AL212" i="8"/>
  <c r="AL211" i="8"/>
  <c r="AL210" i="8"/>
  <c r="AL209" i="8"/>
  <c r="AL208" i="8"/>
  <c r="AL207" i="8"/>
  <c r="AL206" i="8"/>
  <c r="AL205" i="8"/>
  <c r="AL204" i="8"/>
  <c r="AL203" i="8"/>
  <c r="AL202" i="8"/>
  <c r="AL201" i="8"/>
  <c r="AL200" i="8"/>
  <c r="AL199" i="8"/>
  <c r="AL198" i="8"/>
  <c r="AL197" i="8"/>
  <c r="AL196" i="8"/>
  <c r="AL195" i="8"/>
  <c r="AL194" i="8"/>
  <c r="AL193" i="8"/>
  <c r="AL192" i="8"/>
  <c r="AL191" i="8"/>
  <c r="AL190" i="8"/>
  <c r="AL189" i="8"/>
  <c r="AL188" i="8"/>
  <c r="AL187" i="8"/>
  <c r="AL186" i="8"/>
  <c r="AL185" i="8"/>
  <c r="AL184" i="8"/>
  <c r="AL183" i="8"/>
  <c r="AL182" i="8"/>
  <c r="AL181" i="8"/>
  <c r="AL180" i="8"/>
  <c r="AL179" i="8"/>
  <c r="AL178" i="8"/>
  <c r="AL177" i="8"/>
  <c r="AL176" i="8"/>
  <c r="AL175" i="8"/>
  <c r="AL174" i="8"/>
  <c r="AL173" i="8"/>
  <c r="AL172" i="8"/>
  <c r="AL171" i="8"/>
  <c r="AL170" i="8"/>
  <c r="AL169" i="8"/>
  <c r="AL168" i="8"/>
  <c r="AL167" i="8"/>
  <c r="AL166" i="8"/>
  <c r="AL165" i="8"/>
  <c r="AL164" i="8"/>
  <c r="AL163" i="8"/>
  <c r="AL162" i="8"/>
  <c r="AL161" i="8"/>
  <c r="AL160" i="8"/>
  <c r="AL159" i="8"/>
  <c r="AL158" i="8"/>
  <c r="AL157" i="8"/>
  <c r="AL156" i="8"/>
  <c r="AL155" i="8"/>
  <c r="AL154" i="8"/>
  <c r="AL153" i="8"/>
  <c r="AL152" i="8"/>
  <c r="AL151" i="8"/>
  <c r="AL150" i="8"/>
  <c r="AL149" i="8"/>
  <c r="AL148" i="8"/>
  <c r="AL147" i="8"/>
  <c r="AL146" i="8"/>
  <c r="AL145" i="8"/>
  <c r="AL144" i="8"/>
  <c r="AL143" i="8"/>
  <c r="AL142" i="8"/>
  <c r="AL141" i="8"/>
  <c r="AL140" i="8"/>
  <c r="AL139" i="8"/>
  <c r="AL138" i="8"/>
  <c r="AL137" i="8"/>
  <c r="AL136" i="8"/>
  <c r="AL135" i="8"/>
  <c r="AL134" i="8"/>
  <c r="AL133" i="8"/>
  <c r="AL132" i="8"/>
  <c r="AL131" i="8"/>
  <c r="AL130" i="8"/>
  <c r="AL129" i="8"/>
  <c r="AL128" i="8"/>
  <c r="AL127" i="8"/>
  <c r="AL126" i="8"/>
  <c r="AL125" i="8"/>
  <c r="AL124" i="8"/>
  <c r="AL123" i="8"/>
  <c r="AL122" i="8"/>
  <c r="AL121" i="8"/>
  <c r="AL120" i="8"/>
  <c r="AL119" i="8"/>
  <c r="AL118" i="8"/>
  <c r="AL117" i="8"/>
  <c r="AL116" i="8"/>
  <c r="AL115" i="8"/>
  <c r="AL114" i="8"/>
  <c r="AL113" i="8"/>
  <c r="AL112" i="8"/>
  <c r="AL111" i="8"/>
  <c r="AL110" i="8"/>
  <c r="AL109" i="8"/>
  <c r="AL108" i="8"/>
  <c r="AL107" i="8"/>
  <c r="AL106" i="8"/>
  <c r="AL105" i="8"/>
  <c r="AL104" i="8"/>
  <c r="AL103" i="8"/>
  <c r="AL102" i="8"/>
  <c r="AL101" i="8"/>
  <c r="AL100" i="8"/>
  <c r="AL99" i="8"/>
  <c r="AL98" i="8"/>
  <c r="AL97" i="8"/>
  <c r="AL96" i="8"/>
  <c r="AL95" i="8"/>
  <c r="AL94" i="8"/>
  <c r="AL93" i="8"/>
  <c r="AL92" i="8"/>
  <c r="AL91" i="8"/>
  <c r="AL90" i="8"/>
  <c r="AL89" i="8"/>
  <c r="AL88" i="8"/>
  <c r="AL87" i="8"/>
  <c r="AL86" i="8"/>
  <c r="AL85" i="8"/>
  <c r="AL84" i="8"/>
  <c r="AL83" i="8"/>
  <c r="AL82" i="8"/>
  <c r="AL81" i="8"/>
  <c r="AL80" i="8"/>
  <c r="AL79" i="8"/>
  <c r="AL78" i="8"/>
  <c r="AL77" i="8"/>
  <c r="AL76" i="8"/>
  <c r="AL75" i="8"/>
  <c r="AL74" i="8"/>
  <c r="AL73" i="8"/>
  <c r="AL72" i="8"/>
  <c r="AL71" i="8"/>
  <c r="AL70" i="8"/>
  <c r="AL69" i="8"/>
  <c r="AL68" i="8"/>
  <c r="AL67" i="8"/>
  <c r="AL66" i="8"/>
  <c r="AL65" i="8"/>
  <c r="AL64" i="8"/>
  <c r="AL63" i="8"/>
  <c r="AL62" i="8"/>
  <c r="AL61" i="8"/>
  <c r="AL60" i="8"/>
  <c r="AL59" i="8"/>
  <c r="AL58" i="8"/>
  <c r="AL57" i="8"/>
  <c r="AL56" i="8"/>
  <c r="AL55" i="8"/>
  <c r="AL54" i="8"/>
  <c r="AL53" i="8"/>
  <c r="AL52" i="8"/>
  <c r="AL51" i="8"/>
  <c r="AL50" i="8"/>
  <c r="AL49" i="8"/>
  <c r="AL48" i="8"/>
  <c r="AL47" i="8"/>
  <c r="AL46" i="8"/>
  <c r="AL45" i="8"/>
  <c r="AL44" i="8"/>
  <c r="AL43" i="8"/>
  <c r="AL42" i="8"/>
  <c r="AL41" i="8"/>
  <c r="AL40" i="8"/>
  <c r="AL39" i="8"/>
  <c r="AL38" i="8"/>
  <c r="AL37" i="8"/>
  <c r="AL36" i="8"/>
  <c r="AL35" i="8"/>
  <c r="AL34" i="8"/>
  <c r="AL33" i="8"/>
  <c r="AL32" i="8"/>
  <c r="AL31" i="8"/>
  <c r="AL30" i="8"/>
  <c r="AL29" i="8"/>
  <c r="AL28" i="8"/>
  <c r="AL27" i="8"/>
  <c r="AL26" i="8"/>
  <c r="AL25" i="8"/>
  <c r="AL24" i="8"/>
  <c r="AL23" i="8"/>
  <c r="AL22" i="8"/>
  <c r="AL21" i="8"/>
  <c r="AL20" i="8"/>
  <c r="AL19" i="8"/>
  <c r="AL18" i="8"/>
  <c r="AL17" i="8"/>
  <c r="AL16" i="8"/>
  <c r="AL15" i="8"/>
  <c r="AL14" i="8"/>
  <c r="AL13" i="8"/>
  <c r="AL12" i="8"/>
  <c r="AL11" i="8"/>
  <c r="AL10" i="8"/>
  <c r="AL9" i="8"/>
  <c r="AL8" i="8"/>
  <c r="AL7" i="8"/>
  <c r="AL6" i="8"/>
  <c r="AL5" i="8"/>
  <c r="AL4" i="8"/>
  <c r="AL3" i="8"/>
  <c r="AJ252" i="8"/>
  <c r="AJ251" i="8"/>
  <c r="AJ250" i="8"/>
  <c r="AJ249" i="8"/>
  <c r="AJ248" i="8"/>
  <c r="AJ247" i="8"/>
  <c r="AJ246" i="8"/>
  <c r="AJ245" i="8"/>
  <c r="AJ244" i="8"/>
  <c r="AJ243" i="8"/>
  <c r="AJ242" i="8"/>
  <c r="AJ241" i="8"/>
  <c r="AJ240" i="8"/>
  <c r="AJ239" i="8"/>
  <c r="AJ238" i="8"/>
  <c r="AJ237" i="8"/>
  <c r="AJ236" i="8"/>
  <c r="AJ235" i="8"/>
  <c r="AJ234" i="8"/>
  <c r="AJ233" i="8"/>
  <c r="AJ232" i="8"/>
  <c r="AJ231" i="8"/>
  <c r="AJ230" i="8"/>
  <c r="AJ229" i="8"/>
  <c r="AJ228" i="8"/>
  <c r="AJ227" i="8"/>
  <c r="AJ226" i="8"/>
  <c r="AJ225" i="8"/>
  <c r="AJ224" i="8"/>
  <c r="AJ223" i="8"/>
  <c r="AJ222" i="8"/>
  <c r="AJ221" i="8"/>
  <c r="AJ220" i="8"/>
  <c r="AJ219" i="8"/>
  <c r="AJ218" i="8"/>
  <c r="AJ217" i="8"/>
  <c r="AJ216" i="8"/>
  <c r="AJ215" i="8"/>
  <c r="AJ214" i="8"/>
  <c r="AJ213" i="8"/>
  <c r="AJ212" i="8"/>
  <c r="AJ211" i="8"/>
  <c r="AJ210" i="8"/>
  <c r="AJ209" i="8"/>
  <c r="AJ208" i="8"/>
  <c r="AJ207" i="8"/>
  <c r="AJ206" i="8"/>
  <c r="AJ205" i="8"/>
  <c r="AJ204" i="8"/>
  <c r="AJ203" i="8"/>
  <c r="AJ202" i="8"/>
  <c r="AJ201" i="8"/>
  <c r="AJ200" i="8"/>
  <c r="AJ199" i="8"/>
  <c r="AJ198" i="8"/>
  <c r="AJ197" i="8"/>
  <c r="AJ196" i="8"/>
  <c r="AJ195" i="8"/>
  <c r="AJ194" i="8"/>
  <c r="AJ193" i="8"/>
  <c r="AJ192" i="8"/>
  <c r="AJ191" i="8"/>
  <c r="AJ190" i="8"/>
  <c r="AJ189" i="8"/>
  <c r="AJ188" i="8"/>
  <c r="AJ187" i="8"/>
  <c r="AJ186" i="8"/>
  <c r="AJ185" i="8"/>
  <c r="AJ184" i="8"/>
  <c r="AJ183" i="8"/>
  <c r="AJ182" i="8"/>
  <c r="AJ181" i="8"/>
  <c r="AJ180" i="8"/>
  <c r="AJ179" i="8"/>
  <c r="AJ178" i="8"/>
  <c r="AJ177" i="8"/>
  <c r="AJ176" i="8"/>
  <c r="AJ175" i="8"/>
  <c r="AJ174" i="8"/>
  <c r="AJ173" i="8"/>
  <c r="AJ172" i="8"/>
  <c r="AJ171" i="8"/>
  <c r="AJ170" i="8"/>
  <c r="AJ169" i="8"/>
  <c r="AJ168" i="8"/>
  <c r="AJ167" i="8"/>
  <c r="AJ166" i="8"/>
  <c r="AJ165" i="8"/>
  <c r="AJ164" i="8"/>
  <c r="AJ163" i="8"/>
  <c r="AJ162" i="8"/>
  <c r="AJ161" i="8"/>
  <c r="AJ160" i="8"/>
  <c r="AJ159" i="8"/>
  <c r="AJ158" i="8"/>
  <c r="AJ157" i="8"/>
  <c r="AJ156" i="8"/>
  <c r="AJ155" i="8"/>
  <c r="AJ154" i="8"/>
  <c r="AJ153" i="8"/>
  <c r="AJ152" i="8"/>
  <c r="AJ151" i="8"/>
  <c r="AJ150" i="8"/>
  <c r="AJ149" i="8"/>
  <c r="AJ148" i="8"/>
  <c r="AJ147" i="8"/>
  <c r="AJ146" i="8"/>
  <c r="AJ145" i="8"/>
  <c r="AJ144" i="8"/>
  <c r="AJ143" i="8"/>
  <c r="AJ142" i="8"/>
  <c r="AJ141" i="8"/>
  <c r="AJ140" i="8"/>
  <c r="AJ139" i="8"/>
  <c r="AJ138" i="8"/>
  <c r="AJ137" i="8"/>
  <c r="AJ136" i="8"/>
  <c r="AJ135" i="8"/>
  <c r="AJ134" i="8"/>
  <c r="AJ133" i="8"/>
  <c r="AJ132" i="8"/>
  <c r="AJ131" i="8"/>
  <c r="AJ130" i="8"/>
  <c r="AJ129" i="8"/>
  <c r="AJ128" i="8"/>
  <c r="AJ127" i="8"/>
  <c r="AJ126" i="8"/>
  <c r="AJ125" i="8"/>
  <c r="AJ124" i="8"/>
  <c r="AJ123" i="8"/>
  <c r="AJ122" i="8"/>
  <c r="AJ121" i="8"/>
  <c r="AJ120" i="8"/>
  <c r="AJ119" i="8"/>
  <c r="AJ118" i="8"/>
  <c r="AJ117" i="8"/>
  <c r="AJ116" i="8"/>
  <c r="AJ115" i="8"/>
  <c r="AJ114" i="8"/>
  <c r="AJ113" i="8"/>
  <c r="AJ112" i="8"/>
  <c r="AJ111" i="8"/>
  <c r="AJ110" i="8"/>
  <c r="AJ109" i="8"/>
  <c r="AJ108" i="8"/>
  <c r="AJ107" i="8"/>
  <c r="AJ106" i="8"/>
  <c r="AJ105" i="8"/>
  <c r="AJ104" i="8"/>
  <c r="AJ103" i="8"/>
  <c r="AJ102" i="8"/>
  <c r="AJ101" i="8"/>
  <c r="AJ100" i="8"/>
  <c r="AJ99" i="8"/>
  <c r="AJ98" i="8"/>
  <c r="AJ97" i="8"/>
  <c r="AJ96" i="8"/>
  <c r="AJ95" i="8"/>
  <c r="AJ94" i="8"/>
  <c r="AJ93" i="8"/>
  <c r="AJ92" i="8"/>
  <c r="AJ91" i="8"/>
  <c r="AJ90" i="8"/>
  <c r="AJ89" i="8"/>
  <c r="AJ88" i="8"/>
  <c r="AJ87" i="8"/>
  <c r="AJ86" i="8"/>
  <c r="AJ85" i="8"/>
  <c r="AJ84" i="8"/>
  <c r="AJ83" i="8"/>
  <c r="AJ82" i="8"/>
  <c r="AJ81" i="8"/>
  <c r="AJ80" i="8"/>
  <c r="AJ79" i="8"/>
  <c r="AJ78" i="8"/>
  <c r="AJ77" i="8"/>
  <c r="AJ76" i="8"/>
  <c r="AJ75" i="8"/>
  <c r="AJ74" i="8"/>
  <c r="AJ73" i="8"/>
  <c r="AJ72" i="8"/>
  <c r="AJ71" i="8"/>
  <c r="AJ70" i="8"/>
  <c r="AJ69" i="8"/>
  <c r="AJ68" i="8"/>
  <c r="AJ67" i="8"/>
  <c r="AJ66" i="8"/>
  <c r="AJ65" i="8"/>
  <c r="AJ64" i="8"/>
  <c r="AJ63" i="8"/>
  <c r="AJ62" i="8"/>
  <c r="AJ61" i="8"/>
  <c r="AJ60" i="8"/>
  <c r="AJ59" i="8"/>
  <c r="AJ58" i="8"/>
  <c r="AJ57" i="8"/>
  <c r="AJ56" i="8"/>
  <c r="AJ55" i="8"/>
  <c r="AJ54" i="8"/>
  <c r="AJ53" i="8"/>
  <c r="AJ52" i="8"/>
  <c r="AJ51" i="8"/>
  <c r="AJ50" i="8"/>
  <c r="AJ49" i="8"/>
  <c r="AJ48" i="8"/>
  <c r="AJ47" i="8"/>
  <c r="AJ46" i="8"/>
  <c r="AJ45" i="8"/>
  <c r="AJ44" i="8"/>
  <c r="AJ43" i="8"/>
  <c r="AJ42" i="8"/>
  <c r="AJ41" i="8"/>
  <c r="AJ40" i="8"/>
  <c r="AJ39" i="8"/>
  <c r="AJ38" i="8"/>
  <c r="AJ37" i="8"/>
  <c r="AJ36" i="8"/>
  <c r="AJ35" i="8"/>
  <c r="AJ34" i="8"/>
  <c r="AJ33" i="8"/>
  <c r="AJ32" i="8"/>
  <c r="AJ31" i="8"/>
  <c r="AJ30" i="8"/>
  <c r="AJ29" i="8"/>
  <c r="AJ28" i="8"/>
  <c r="AJ27" i="8"/>
  <c r="AJ26" i="8"/>
  <c r="AJ25" i="8"/>
  <c r="AJ24" i="8"/>
  <c r="AJ23" i="8"/>
  <c r="AJ22" i="8"/>
  <c r="AJ21" i="8"/>
  <c r="AJ20" i="8"/>
  <c r="AJ19" i="8"/>
  <c r="AJ18" i="8"/>
  <c r="AJ17" i="8"/>
  <c r="AJ16" i="8"/>
  <c r="AJ15" i="8"/>
  <c r="AJ14" i="8"/>
  <c r="AJ13" i="8"/>
  <c r="AJ12" i="8"/>
  <c r="AJ11" i="8"/>
  <c r="AJ10" i="8"/>
  <c r="AJ9" i="8"/>
  <c r="AJ8" i="8"/>
  <c r="AJ7" i="8"/>
  <c r="AJ6" i="8"/>
  <c r="AJ5" i="8"/>
  <c r="AJ4" i="8"/>
  <c r="AJ3" i="8"/>
  <c r="AH252" i="8"/>
  <c r="AH251" i="8"/>
  <c r="AH250" i="8"/>
  <c r="AH249" i="8"/>
  <c r="AH248" i="8"/>
  <c r="AH247" i="8"/>
  <c r="AH246" i="8"/>
  <c r="AH245" i="8"/>
  <c r="AH244" i="8"/>
  <c r="AH243" i="8"/>
  <c r="AH242" i="8"/>
  <c r="AH241" i="8"/>
  <c r="AH240" i="8"/>
  <c r="AH239" i="8"/>
  <c r="AH238" i="8"/>
  <c r="AH237" i="8"/>
  <c r="AH236" i="8"/>
  <c r="AH235" i="8"/>
  <c r="AH234" i="8"/>
  <c r="AH233" i="8"/>
  <c r="AH232" i="8"/>
  <c r="AH231" i="8"/>
  <c r="AH230" i="8"/>
  <c r="AH229" i="8"/>
  <c r="AH228" i="8"/>
  <c r="AH227" i="8"/>
  <c r="AH226" i="8"/>
  <c r="AH225" i="8"/>
  <c r="AH224" i="8"/>
  <c r="AH223" i="8"/>
  <c r="AH222" i="8"/>
  <c r="AH221" i="8"/>
  <c r="AH220" i="8"/>
  <c r="AH219" i="8"/>
  <c r="AH218" i="8"/>
  <c r="AH217" i="8"/>
  <c r="AH216" i="8"/>
  <c r="AH215" i="8"/>
  <c r="AH214" i="8"/>
  <c r="AH213" i="8"/>
  <c r="AH212" i="8"/>
  <c r="AH211" i="8"/>
  <c r="AH210" i="8"/>
  <c r="AH209" i="8"/>
  <c r="AH208" i="8"/>
  <c r="AH207" i="8"/>
  <c r="AH206" i="8"/>
  <c r="AH205" i="8"/>
  <c r="AH204" i="8"/>
  <c r="AH203" i="8"/>
  <c r="AH202" i="8"/>
  <c r="AH201" i="8"/>
  <c r="AH200" i="8"/>
  <c r="AH199" i="8"/>
  <c r="AH198" i="8"/>
  <c r="AH197" i="8"/>
  <c r="AH196" i="8"/>
  <c r="AH195" i="8"/>
  <c r="AH194" i="8"/>
  <c r="AH193" i="8"/>
  <c r="AH192" i="8"/>
  <c r="AH191" i="8"/>
  <c r="AH190" i="8"/>
  <c r="AH189" i="8"/>
  <c r="AH188" i="8"/>
  <c r="AH187" i="8"/>
  <c r="AH186" i="8"/>
  <c r="AH185" i="8"/>
  <c r="AH184" i="8"/>
  <c r="AH183" i="8"/>
  <c r="AH182" i="8"/>
  <c r="AH181" i="8"/>
  <c r="AH180" i="8"/>
  <c r="AH179" i="8"/>
  <c r="AH178" i="8"/>
  <c r="AH177" i="8"/>
  <c r="AH176" i="8"/>
  <c r="AH175" i="8"/>
  <c r="AH174" i="8"/>
  <c r="AH173" i="8"/>
  <c r="AH172" i="8"/>
  <c r="AH171" i="8"/>
  <c r="AH170" i="8"/>
  <c r="AH169" i="8"/>
  <c r="AH168" i="8"/>
  <c r="AH167" i="8"/>
  <c r="AH166" i="8"/>
  <c r="AH165" i="8"/>
  <c r="AH164" i="8"/>
  <c r="AH163" i="8"/>
  <c r="AH162" i="8"/>
  <c r="AH161" i="8"/>
  <c r="AH160" i="8"/>
  <c r="AH159" i="8"/>
  <c r="AH158" i="8"/>
  <c r="AH157" i="8"/>
  <c r="AH156" i="8"/>
  <c r="AH155" i="8"/>
  <c r="AH154" i="8"/>
  <c r="AH153" i="8"/>
  <c r="AH152" i="8"/>
  <c r="AH151" i="8"/>
  <c r="AH150" i="8"/>
  <c r="AH149" i="8"/>
  <c r="AH148" i="8"/>
  <c r="AH147" i="8"/>
  <c r="AH146" i="8"/>
  <c r="AH145" i="8"/>
  <c r="AH144" i="8"/>
  <c r="AH143" i="8"/>
  <c r="AH142" i="8"/>
  <c r="AH141" i="8"/>
  <c r="AH140" i="8"/>
  <c r="AH139" i="8"/>
  <c r="AH138" i="8"/>
  <c r="AH137" i="8"/>
  <c r="AH136" i="8"/>
  <c r="AH135" i="8"/>
  <c r="AH134" i="8"/>
  <c r="AH133" i="8"/>
  <c r="AH132" i="8"/>
  <c r="AH131" i="8"/>
  <c r="AH130" i="8"/>
  <c r="AH129" i="8"/>
  <c r="AH128" i="8"/>
  <c r="AH127" i="8"/>
  <c r="AH126" i="8"/>
  <c r="AH125" i="8"/>
  <c r="AH124" i="8"/>
  <c r="AH123" i="8"/>
  <c r="AH122" i="8"/>
  <c r="AH121" i="8"/>
  <c r="AH120" i="8"/>
  <c r="AH119" i="8"/>
  <c r="AH118" i="8"/>
  <c r="AH117" i="8"/>
  <c r="AH116" i="8"/>
  <c r="AH115" i="8"/>
  <c r="AH114" i="8"/>
  <c r="AH113" i="8"/>
  <c r="AH112" i="8"/>
  <c r="AH111" i="8"/>
  <c r="AH110" i="8"/>
  <c r="AH109" i="8"/>
  <c r="AH108" i="8"/>
  <c r="AH107" i="8"/>
  <c r="AH106" i="8"/>
  <c r="AH105" i="8"/>
  <c r="AH104" i="8"/>
  <c r="AH103" i="8"/>
  <c r="AH102" i="8"/>
  <c r="AH101" i="8"/>
  <c r="AH100" i="8"/>
  <c r="AH99" i="8"/>
  <c r="AH98" i="8"/>
  <c r="AH97" i="8"/>
  <c r="AH96" i="8"/>
  <c r="AH95" i="8"/>
  <c r="AH94" i="8"/>
  <c r="AH93" i="8"/>
  <c r="AH92" i="8"/>
  <c r="AH91" i="8"/>
  <c r="AH90" i="8"/>
  <c r="AH89" i="8"/>
  <c r="AH88" i="8"/>
  <c r="AH87" i="8"/>
  <c r="AH86" i="8"/>
  <c r="AH85" i="8"/>
  <c r="AH84" i="8"/>
  <c r="AH83" i="8"/>
  <c r="AH82" i="8"/>
  <c r="AH81" i="8"/>
  <c r="AH80" i="8"/>
  <c r="AH79" i="8"/>
  <c r="AH78" i="8"/>
  <c r="AH77" i="8"/>
  <c r="AH76" i="8"/>
  <c r="AH75" i="8"/>
  <c r="AH74" i="8"/>
  <c r="AH73" i="8"/>
  <c r="AH72" i="8"/>
  <c r="AH71" i="8"/>
  <c r="AH70" i="8"/>
  <c r="AH69" i="8"/>
  <c r="AH68" i="8"/>
  <c r="AH67" i="8"/>
  <c r="AH66" i="8"/>
  <c r="AH65" i="8"/>
  <c r="AH64" i="8"/>
  <c r="AH63" i="8"/>
  <c r="AH62" i="8"/>
  <c r="AH61" i="8"/>
  <c r="AH60" i="8"/>
  <c r="AH59" i="8"/>
  <c r="AH58" i="8"/>
  <c r="AH57" i="8"/>
  <c r="AH56" i="8"/>
  <c r="AH55" i="8"/>
  <c r="AH54" i="8"/>
  <c r="AH53" i="8"/>
  <c r="AH52" i="8"/>
  <c r="AH51" i="8"/>
  <c r="AH50" i="8"/>
  <c r="AH49" i="8"/>
  <c r="AH48" i="8"/>
  <c r="AH47" i="8"/>
  <c r="AH46" i="8"/>
  <c r="AH45" i="8"/>
  <c r="AH44" i="8"/>
  <c r="AH43" i="8"/>
  <c r="AH42" i="8"/>
  <c r="AH41" i="8"/>
  <c r="AH40" i="8"/>
  <c r="AH39" i="8"/>
  <c r="AH38" i="8"/>
  <c r="AH37" i="8"/>
  <c r="AH36" i="8"/>
  <c r="AH35" i="8"/>
  <c r="AH34" i="8"/>
  <c r="AH33" i="8"/>
  <c r="AH32" i="8"/>
  <c r="AH31" i="8"/>
  <c r="AH30" i="8"/>
  <c r="AH29" i="8"/>
  <c r="AH28" i="8"/>
  <c r="AH27" i="8"/>
  <c r="AH26" i="8"/>
  <c r="AH25" i="8"/>
  <c r="AH24" i="8"/>
  <c r="AH23" i="8"/>
  <c r="AH22" i="8"/>
  <c r="AH21" i="8"/>
  <c r="AH20" i="8"/>
  <c r="AH19" i="8"/>
  <c r="AH18" i="8"/>
  <c r="AH17" i="8"/>
  <c r="AH16" i="8"/>
  <c r="AH15" i="8"/>
  <c r="AH14" i="8"/>
  <c r="AH13" i="8"/>
  <c r="AH12" i="8"/>
  <c r="AH11" i="8"/>
  <c r="AH10" i="8"/>
  <c r="AH9" i="8"/>
  <c r="AH8" i="8"/>
  <c r="AH7" i="8"/>
  <c r="AH6" i="8"/>
  <c r="AH5" i="8"/>
  <c r="AH4" i="8"/>
  <c r="AH3" i="8"/>
  <c r="AF252" i="8"/>
  <c r="AF251" i="8"/>
  <c r="AF250" i="8"/>
  <c r="AF249" i="8"/>
  <c r="AF248" i="8"/>
  <c r="AF247" i="8"/>
  <c r="AF246" i="8"/>
  <c r="AF245" i="8"/>
  <c r="AF244" i="8"/>
  <c r="AF243" i="8"/>
  <c r="AF242" i="8"/>
  <c r="AF241" i="8"/>
  <c r="AF240" i="8"/>
  <c r="AF239" i="8"/>
  <c r="AF238" i="8"/>
  <c r="AF237" i="8"/>
  <c r="AF236" i="8"/>
  <c r="AF235" i="8"/>
  <c r="AF234" i="8"/>
  <c r="AF233" i="8"/>
  <c r="AF232" i="8"/>
  <c r="AF231" i="8"/>
  <c r="AF230" i="8"/>
  <c r="AF229" i="8"/>
  <c r="AF228" i="8"/>
  <c r="AF227" i="8"/>
  <c r="AF226" i="8"/>
  <c r="AF225" i="8"/>
  <c r="AF224" i="8"/>
  <c r="AF223" i="8"/>
  <c r="AF222" i="8"/>
  <c r="AF221" i="8"/>
  <c r="AF220" i="8"/>
  <c r="AF219" i="8"/>
  <c r="AF218" i="8"/>
  <c r="AF217" i="8"/>
  <c r="AF216" i="8"/>
  <c r="AF215" i="8"/>
  <c r="AF214" i="8"/>
  <c r="AF213" i="8"/>
  <c r="AF212" i="8"/>
  <c r="AF211" i="8"/>
  <c r="AF210" i="8"/>
  <c r="AF209" i="8"/>
  <c r="AF208" i="8"/>
  <c r="AF207" i="8"/>
  <c r="AF206" i="8"/>
  <c r="AF205" i="8"/>
  <c r="AF204" i="8"/>
  <c r="AF203" i="8"/>
  <c r="AF202" i="8"/>
  <c r="AF201" i="8"/>
  <c r="AF200" i="8"/>
  <c r="AF199" i="8"/>
  <c r="AF198" i="8"/>
  <c r="AF197" i="8"/>
  <c r="AF196" i="8"/>
  <c r="AF195" i="8"/>
  <c r="AF194" i="8"/>
  <c r="AF193" i="8"/>
  <c r="AF192" i="8"/>
  <c r="AF191" i="8"/>
  <c r="AF190" i="8"/>
  <c r="AF189" i="8"/>
  <c r="AF188" i="8"/>
  <c r="AF187" i="8"/>
  <c r="AF186" i="8"/>
  <c r="AF185" i="8"/>
  <c r="AF184" i="8"/>
  <c r="AF183" i="8"/>
  <c r="AF182" i="8"/>
  <c r="AF181" i="8"/>
  <c r="AF180" i="8"/>
  <c r="AF179" i="8"/>
  <c r="AF178" i="8"/>
  <c r="AF177" i="8"/>
  <c r="AF176" i="8"/>
  <c r="AF175" i="8"/>
  <c r="AF174" i="8"/>
  <c r="AF173" i="8"/>
  <c r="AF172" i="8"/>
  <c r="AF171" i="8"/>
  <c r="AF170" i="8"/>
  <c r="AF169" i="8"/>
  <c r="AF168" i="8"/>
  <c r="AF167" i="8"/>
  <c r="AF166" i="8"/>
  <c r="AF165" i="8"/>
  <c r="AF164" i="8"/>
  <c r="AF163" i="8"/>
  <c r="AF162" i="8"/>
  <c r="AF161" i="8"/>
  <c r="AF160" i="8"/>
  <c r="AF159" i="8"/>
  <c r="AF158" i="8"/>
  <c r="AF157" i="8"/>
  <c r="AF156" i="8"/>
  <c r="AF155" i="8"/>
  <c r="AF154" i="8"/>
  <c r="AF153" i="8"/>
  <c r="AF152" i="8"/>
  <c r="AF151" i="8"/>
  <c r="AF150" i="8"/>
  <c r="AF149" i="8"/>
  <c r="AF148" i="8"/>
  <c r="AF147" i="8"/>
  <c r="AF146" i="8"/>
  <c r="AF145" i="8"/>
  <c r="AF144" i="8"/>
  <c r="AF143" i="8"/>
  <c r="AF142" i="8"/>
  <c r="AF141" i="8"/>
  <c r="AF140" i="8"/>
  <c r="AF139" i="8"/>
  <c r="AF138" i="8"/>
  <c r="AF137" i="8"/>
  <c r="AF136" i="8"/>
  <c r="AF135" i="8"/>
  <c r="AF134" i="8"/>
  <c r="AF133" i="8"/>
  <c r="AF132" i="8"/>
  <c r="AF131" i="8"/>
  <c r="AF130" i="8"/>
  <c r="AF129" i="8"/>
  <c r="AF128" i="8"/>
  <c r="AF127" i="8"/>
  <c r="AF126" i="8"/>
  <c r="AF125" i="8"/>
  <c r="AF124" i="8"/>
  <c r="AF123" i="8"/>
  <c r="AF122" i="8"/>
  <c r="AF121" i="8"/>
  <c r="AF120" i="8"/>
  <c r="AF119" i="8"/>
  <c r="AF118" i="8"/>
  <c r="AF117" i="8"/>
  <c r="AF116" i="8"/>
  <c r="AF115" i="8"/>
  <c r="AF114" i="8"/>
  <c r="AF113" i="8"/>
  <c r="AF112" i="8"/>
  <c r="AF111" i="8"/>
  <c r="AF110" i="8"/>
  <c r="AF109" i="8"/>
  <c r="AF108" i="8"/>
  <c r="AF107" i="8"/>
  <c r="AF106" i="8"/>
  <c r="AF105" i="8"/>
  <c r="AF104" i="8"/>
  <c r="AF103" i="8"/>
  <c r="AF102" i="8"/>
  <c r="AF101" i="8"/>
  <c r="AF100" i="8"/>
  <c r="AF99" i="8"/>
  <c r="AF98" i="8"/>
  <c r="AF97" i="8"/>
  <c r="AF96" i="8"/>
  <c r="AF95" i="8"/>
  <c r="AF94" i="8"/>
  <c r="AF93" i="8"/>
  <c r="AF92" i="8"/>
  <c r="AF91" i="8"/>
  <c r="AF90" i="8"/>
  <c r="AF89" i="8"/>
  <c r="AF88" i="8"/>
  <c r="AF87" i="8"/>
  <c r="AF86" i="8"/>
  <c r="AF85" i="8"/>
  <c r="AF84" i="8"/>
  <c r="AF83" i="8"/>
  <c r="AF82" i="8"/>
  <c r="AF81" i="8"/>
  <c r="AF80" i="8"/>
  <c r="AF79" i="8"/>
  <c r="AF78" i="8"/>
  <c r="AF77" i="8"/>
  <c r="AF76" i="8"/>
  <c r="AF75" i="8"/>
  <c r="AF74" i="8"/>
  <c r="AF73" i="8"/>
  <c r="AF72" i="8"/>
  <c r="AF71" i="8"/>
  <c r="AF70" i="8"/>
  <c r="AF69" i="8"/>
  <c r="AF68" i="8"/>
  <c r="AF67" i="8"/>
  <c r="AF66" i="8"/>
  <c r="AF65" i="8"/>
  <c r="AF64" i="8"/>
  <c r="AF63" i="8"/>
  <c r="AF62" i="8"/>
  <c r="AF61" i="8"/>
  <c r="AF60" i="8"/>
  <c r="AF59" i="8"/>
  <c r="AF58" i="8"/>
  <c r="AF57" i="8"/>
  <c r="AF56" i="8"/>
  <c r="AF55" i="8"/>
  <c r="AF54" i="8"/>
  <c r="AF53" i="8"/>
  <c r="AF52" i="8"/>
  <c r="AF51" i="8"/>
  <c r="AF50" i="8"/>
  <c r="AF49" i="8"/>
  <c r="AF48" i="8"/>
  <c r="AF47" i="8"/>
  <c r="AF46" i="8"/>
  <c r="AF45" i="8"/>
  <c r="AF44" i="8"/>
  <c r="AF43" i="8"/>
  <c r="AF42" i="8"/>
  <c r="AF41" i="8"/>
  <c r="AF40" i="8"/>
  <c r="AF39" i="8"/>
  <c r="AF38" i="8"/>
  <c r="AF37" i="8"/>
  <c r="AF36" i="8"/>
  <c r="AF35" i="8"/>
  <c r="AF34" i="8"/>
  <c r="AF33" i="8"/>
  <c r="AF32" i="8"/>
  <c r="AF31" i="8"/>
  <c r="AF30" i="8"/>
  <c r="AF29" i="8"/>
  <c r="AF28" i="8"/>
  <c r="AF27" i="8"/>
  <c r="AF26" i="8"/>
  <c r="AF25" i="8"/>
  <c r="AF24" i="8"/>
  <c r="AF23" i="8"/>
  <c r="AF22" i="8"/>
  <c r="AF21" i="8"/>
  <c r="AF20" i="8"/>
  <c r="AF19" i="8"/>
  <c r="AF18" i="8"/>
  <c r="AF17" i="8"/>
  <c r="AF16" i="8"/>
  <c r="AF15" i="8"/>
  <c r="AF14" i="8"/>
  <c r="AF13" i="8"/>
  <c r="AF12" i="8"/>
  <c r="AF11" i="8"/>
  <c r="AF10" i="8"/>
  <c r="AF9" i="8"/>
  <c r="AF8" i="8"/>
  <c r="AF7" i="8"/>
  <c r="AF6" i="8"/>
  <c r="AF5" i="8"/>
  <c r="AF4" i="8"/>
  <c r="AF3" i="8"/>
  <c r="AD253" i="8"/>
  <c r="AD252" i="8"/>
  <c r="AD251" i="8"/>
  <c r="AD250" i="8"/>
  <c r="AD249" i="8"/>
  <c r="AD248" i="8"/>
  <c r="AD247" i="8"/>
  <c r="AD246" i="8"/>
  <c r="AD245" i="8"/>
  <c r="AD244" i="8"/>
  <c r="AD243" i="8"/>
  <c r="AD242" i="8"/>
  <c r="AD241" i="8"/>
  <c r="AD240" i="8"/>
  <c r="AD239" i="8"/>
  <c r="AD238" i="8"/>
  <c r="AD237" i="8"/>
  <c r="AD236" i="8"/>
  <c r="AD235" i="8"/>
  <c r="AD234" i="8"/>
  <c r="AD233" i="8"/>
  <c r="AD232" i="8"/>
  <c r="AD231" i="8"/>
  <c r="AD230" i="8"/>
  <c r="AD229" i="8"/>
  <c r="AD228" i="8"/>
  <c r="AD227" i="8"/>
  <c r="AD226" i="8"/>
  <c r="AD225" i="8"/>
  <c r="AD224" i="8"/>
  <c r="AD223" i="8"/>
  <c r="AD222" i="8"/>
  <c r="AD221" i="8"/>
  <c r="AD220" i="8"/>
  <c r="AD219" i="8"/>
  <c r="AD218" i="8"/>
  <c r="AD217" i="8"/>
  <c r="AD216" i="8"/>
  <c r="AD215" i="8"/>
  <c r="AD214" i="8"/>
  <c r="AD213" i="8"/>
  <c r="AD212" i="8"/>
  <c r="AD211" i="8"/>
  <c r="AD210" i="8"/>
  <c r="AD209" i="8"/>
  <c r="AD208" i="8"/>
  <c r="AD207" i="8"/>
  <c r="AD206" i="8"/>
  <c r="AD205" i="8"/>
  <c r="AD204" i="8"/>
  <c r="AD203" i="8"/>
  <c r="AD202" i="8"/>
  <c r="AD201" i="8"/>
  <c r="AD200" i="8"/>
  <c r="AD199" i="8"/>
  <c r="AD198" i="8"/>
  <c r="AD197" i="8"/>
  <c r="AD196" i="8"/>
  <c r="AD195" i="8"/>
  <c r="AD194" i="8"/>
  <c r="AD193" i="8"/>
  <c r="AD192" i="8"/>
  <c r="AD191" i="8"/>
  <c r="AD190" i="8"/>
  <c r="AD189" i="8"/>
  <c r="AD188" i="8"/>
  <c r="AD187" i="8"/>
  <c r="AD186" i="8"/>
  <c r="AD185" i="8"/>
  <c r="AD184" i="8"/>
  <c r="AD183" i="8"/>
  <c r="AD182" i="8"/>
  <c r="AD181" i="8"/>
  <c r="AD180" i="8"/>
  <c r="AD179" i="8"/>
  <c r="AD178" i="8"/>
  <c r="AD177" i="8"/>
  <c r="AD176" i="8"/>
  <c r="AD175" i="8"/>
  <c r="AD174" i="8"/>
  <c r="AD173" i="8"/>
  <c r="AD172" i="8"/>
  <c r="AD171" i="8"/>
  <c r="AD170" i="8"/>
  <c r="AD169" i="8"/>
  <c r="AD168" i="8"/>
  <c r="AD167" i="8"/>
  <c r="AD166" i="8"/>
  <c r="AD165" i="8"/>
  <c r="AD164" i="8"/>
  <c r="AD163" i="8"/>
  <c r="AD162" i="8"/>
  <c r="AD161" i="8"/>
  <c r="AD160" i="8"/>
  <c r="AD159" i="8"/>
  <c r="AD158" i="8"/>
  <c r="AD157" i="8"/>
  <c r="AD156" i="8"/>
  <c r="AD155" i="8"/>
  <c r="AD154" i="8"/>
  <c r="AD153" i="8"/>
  <c r="AD152" i="8"/>
  <c r="AD151" i="8"/>
  <c r="AD150" i="8"/>
  <c r="AD149" i="8"/>
  <c r="AD148" i="8"/>
  <c r="AD147" i="8"/>
  <c r="AD146" i="8"/>
  <c r="AD145" i="8"/>
  <c r="AD144" i="8"/>
  <c r="AD143" i="8"/>
  <c r="AD142" i="8"/>
  <c r="AD141" i="8"/>
  <c r="AD140" i="8"/>
  <c r="AD139" i="8"/>
  <c r="AD138" i="8"/>
  <c r="AD137" i="8"/>
  <c r="AD136" i="8"/>
  <c r="AD135" i="8"/>
  <c r="AD134" i="8"/>
  <c r="AD133" i="8"/>
  <c r="AD132" i="8"/>
  <c r="AD131" i="8"/>
  <c r="AD130" i="8"/>
  <c r="AD129" i="8"/>
  <c r="AD128" i="8"/>
  <c r="AD127" i="8"/>
  <c r="AD126" i="8"/>
  <c r="AD125" i="8"/>
  <c r="AD124" i="8"/>
  <c r="AD123" i="8"/>
  <c r="AD122" i="8"/>
  <c r="AD121" i="8"/>
  <c r="AD120" i="8"/>
  <c r="AD119" i="8"/>
  <c r="AD118" i="8"/>
  <c r="AD117" i="8"/>
  <c r="AD116" i="8"/>
  <c r="AD115" i="8"/>
  <c r="AD114" i="8"/>
  <c r="AD113" i="8"/>
  <c r="AD112" i="8"/>
  <c r="AD111" i="8"/>
  <c r="AD110" i="8"/>
  <c r="AD109" i="8"/>
  <c r="AD108" i="8"/>
  <c r="AD107" i="8"/>
  <c r="AD106" i="8"/>
  <c r="AD105" i="8"/>
  <c r="AD104" i="8"/>
  <c r="AD103" i="8"/>
  <c r="AD102" i="8"/>
  <c r="AD101" i="8"/>
  <c r="AD100" i="8"/>
  <c r="AD99" i="8"/>
  <c r="AD98" i="8"/>
  <c r="AD97" i="8"/>
  <c r="AD96" i="8"/>
  <c r="AD95" i="8"/>
  <c r="AD94" i="8"/>
  <c r="AD93" i="8"/>
  <c r="AD92" i="8"/>
  <c r="AD91" i="8"/>
  <c r="AD90" i="8"/>
  <c r="AD89" i="8"/>
  <c r="AD88" i="8"/>
  <c r="AD87" i="8"/>
  <c r="AD86" i="8"/>
  <c r="AD85" i="8"/>
  <c r="AD84" i="8"/>
  <c r="AD83" i="8"/>
  <c r="AD82" i="8"/>
  <c r="AD81" i="8"/>
  <c r="AD80" i="8"/>
  <c r="AD79" i="8"/>
  <c r="AD78" i="8"/>
  <c r="AD77" i="8"/>
  <c r="AD76" i="8"/>
  <c r="AD75" i="8"/>
  <c r="AD74" i="8"/>
  <c r="AD73" i="8"/>
  <c r="AD72" i="8"/>
  <c r="AD71" i="8"/>
  <c r="AD70" i="8"/>
  <c r="AD69" i="8"/>
  <c r="AD68" i="8"/>
  <c r="AD67" i="8"/>
  <c r="AD66" i="8"/>
  <c r="AD65" i="8"/>
  <c r="AD64" i="8"/>
  <c r="AD63" i="8"/>
  <c r="AD62" i="8"/>
  <c r="AD61" i="8"/>
  <c r="AD60" i="8"/>
  <c r="AD59" i="8"/>
  <c r="AD58" i="8"/>
  <c r="AD57" i="8"/>
  <c r="AD56" i="8"/>
  <c r="AD55" i="8"/>
  <c r="AD54" i="8"/>
  <c r="AD53" i="8"/>
  <c r="AD52" i="8"/>
  <c r="AD51" i="8"/>
  <c r="AD50" i="8"/>
  <c r="AD49" i="8"/>
  <c r="AD48" i="8"/>
  <c r="AD47" i="8"/>
  <c r="AD46" i="8"/>
  <c r="AD45" i="8"/>
  <c r="AD44" i="8"/>
  <c r="AD43" i="8"/>
  <c r="AD42" i="8"/>
  <c r="AD41" i="8"/>
  <c r="AD40" i="8"/>
  <c r="AD39" i="8"/>
  <c r="AD38" i="8"/>
  <c r="AD37" i="8"/>
  <c r="AD36" i="8"/>
  <c r="AD35" i="8"/>
  <c r="AD34" i="8"/>
  <c r="AD33" i="8"/>
  <c r="AD32" i="8"/>
  <c r="AD31" i="8"/>
  <c r="AD30" i="8"/>
  <c r="AD29" i="8"/>
  <c r="AD28" i="8"/>
  <c r="AD27" i="8"/>
  <c r="AD26" i="8"/>
  <c r="AD25" i="8"/>
  <c r="AD24" i="8"/>
  <c r="AD23" i="8"/>
  <c r="AD22" i="8"/>
  <c r="AD21" i="8"/>
  <c r="AD20" i="8"/>
  <c r="AD19" i="8"/>
  <c r="AD18" i="8"/>
  <c r="AD17" i="8"/>
  <c r="AD16" i="8"/>
  <c r="AD15" i="8"/>
  <c r="AD14" i="8"/>
  <c r="AD13" i="8"/>
  <c r="AD12" i="8"/>
  <c r="AD11" i="8"/>
  <c r="AD10" i="8"/>
  <c r="AD9" i="8"/>
  <c r="AD8" i="8"/>
  <c r="AD7" i="8"/>
  <c r="AD6" i="8"/>
  <c r="AD5" i="8"/>
  <c r="AD4" i="8"/>
  <c r="AD3" i="8"/>
  <c r="AB252" i="8"/>
  <c r="AB251" i="8"/>
  <c r="AB250" i="8"/>
  <c r="AB249" i="8"/>
  <c r="AB248" i="8"/>
  <c r="AB247" i="8"/>
  <c r="AB246" i="8"/>
  <c r="AB245" i="8"/>
  <c r="AB244" i="8"/>
  <c r="AB243" i="8"/>
  <c r="AB242" i="8"/>
  <c r="AB241" i="8"/>
  <c r="AB240" i="8"/>
  <c r="AB239" i="8"/>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204" i="8"/>
  <c r="AB203" i="8"/>
  <c r="AB202" i="8"/>
  <c r="AB201" i="8"/>
  <c r="AB200" i="8"/>
  <c r="AB199" i="8"/>
  <c r="AB198" i="8"/>
  <c r="AB197" i="8"/>
  <c r="AB196" i="8"/>
  <c r="AB195" i="8"/>
  <c r="AB194" i="8"/>
  <c r="AB193" i="8"/>
  <c r="AB192" i="8"/>
  <c r="AB191" i="8"/>
  <c r="AB190" i="8"/>
  <c r="AB189" i="8"/>
  <c r="AB188" i="8"/>
  <c r="AB187" i="8"/>
  <c r="AB186" i="8"/>
  <c r="AB185" i="8"/>
  <c r="AB184" i="8"/>
  <c r="AB183" i="8"/>
  <c r="AB182" i="8"/>
  <c r="AB181" i="8"/>
  <c r="AB180" i="8"/>
  <c r="AB179" i="8"/>
  <c r="AB178" i="8"/>
  <c r="AB177" i="8"/>
  <c r="AB176" i="8"/>
  <c r="AB175" i="8"/>
  <c r="AB174" i="8"/>
  <c r="AB173" i="8"/>
  <c r="AB172" i="8"/>
  <c r="AB171" i="8"/>
  <c r="AB170" i="8"/>
  <c r="AB169" i="8"/>
  <c r="AB168" i="8"/>
  <c r="AB167" i="8"/>
  <c r="AB166" i="8"/>
  <c r="AB165" i="8"/>
  <c r="AB164" i="8"/>
  <c r="AB163" i="8"/>
  <c r="AB162" i="8"/>
  <c r="AB161" i="8"/>
  <c r="AB160" i="8"/>
  <c r="AB159" i="8"/>
  <c r="AB158" i="8"/>
  <c r="AB157" i="8"/>
  <c r="AB156" i="8"/>
  <c r="AB155" i="8"/>
  <c r="AB154" i="8"/>
  <c r="AB153" i="8"/>
  <c r="AB152" i="8"/>
  <c r="AB151" i="8"/>
  <c r="AB150" i="8"/>
  <c r="AB149" i="8"/>
  <c r="AB148" i="8"/>
  <c r="AB147" i="8"/>
  <c r="AB146" i="8"/>
  <c r="AB145" i="8"/>
  <c r="AB144" i="8"/>
  <c r="AB143" i="8"/>
  <c r="AB142" i="8"/>
  <c r="AB141" i="8"/>
  <c r="AB140" i="8"/>
  <c r="AB139" i="8"/>
  <c r="AB138" i="8"/>
  <c r="AB137" i="8"/>
  <c r="AB136" i="8"/>
  <c r="AB135" i="8"/>
  <c r="AB134" i="8"/>
  <c r="AB133" i="8"/>
  <c r="AB132" i="8"/>
  <c r="AB131" i="8"/>
  <c r="AB130" i="8"/>
  <c r="AB129" i="8"/>
  <c r="AB128" i="8"/>
  <c r="AB127" i="8"/>
  <c r="AB126" i="8"/>
  <c r="AB125" i="8"/>
  <c r="AB124" i="8"/>
  <c r="AB123" i="8"/>
  <c r="AB122" i="8"/>
  <c r="AB121" i="8"/>
  <c r="AB120" i="8"/>
  <c r="AB119" i="8"/>
  <c r="AB118" i="8"/>
  <c r="AB117" i="8"/>
  <c r="AB116" i="8"/>
  <c r="AB115" i="8"/>
  <c r="AB114" i="8"/>
  <c r="AB113" i="8"/>
  <c r="AB112" i="8"/>
  <c r="AB111" i="8"/>
  <c r="AB110" i="8"/>
  <c r="AB109" i="8"/>
  <c r="AB108" i="8"/>
  <c r="AB107" i="8"/>
  <c r="AB106" i="8"/>
  <c r="AB105" i="8"/>
  <c r="AB104" i="8"/>
  <c r="AB103" i="8"/>
  <c r="AB102" i="8"/>
  <c r="AB101" i="8"/>
  <c r="AB100" i="8"/>
  <c r="AB99" i="8"/>
  <c r="AB98" i="8"/>
  <c r="AB97" i="8"/>
  <c r="AB96" i="8"/>
  <c r="AB95" i="8"/>
  <c r="AB94" i="8"/>
  <c r="AB93" i="8"/>
  <c r="AB92" i="8"/>
  <c r="AB91" i="8"/>
  <c r="AB90" i="8"/>
  <c r="AB89" i="8"/>
  <c r="AB88" i="8"/>
  <c r="AB87" i="8"/>
  <c r="AB86" i="8"/>
  <c r="AB85" i="8"/>
  <c r="AB84" i="8"/>
  <c r="AB83" i="8"/>
  <c r="AB82" i="8"/>
  <c r="AB81" i="8"/>
  <c r="AB80" i="8"/>
  <c r="AB79" i="8"/>
  <c r="AB78" i="8"/>
  <c r="AB77" i="8"/>
  <c r="AB76" i="8"/>
  <c r="AB75" i="8"/>
  <c r="AB74" i="8"/>
  <c r="AB73" i="8"/>
  <c r="AB72" i="8"/>
  <c r="AB71" i="8"/>
  <c r="AB70" i="8"/>
  <c r="AB69" i="8"/>
  <c r="AB68" i="8"/>
  <c r="AB67" i="8"/>
  <c r="AB66" i="8"/>
  <c r="AB65" i="8"/>
  <c r="AB64" i="8"/>
  <c r="AB63" i="8"/>
  <c r="AB62" i="8"/>
  <c r="AB61" i="8"/>
  <c r="AB60" i="8"/>
  <c r="AB59" i="8"/>
  <c r="AB58" i="8"/>
  <c r="AB57" i="8"/>
  <c r="AB56" i="8"/>
  <c r="AB55" i="8"/>
  <c r="AB54" i="8"/>
  <c r="AB53" i="8"/>
  <c r="AB52" i="8"/>
  <c r="AB51" i="8"/>
  <c r="AB50" i="8"/>
  <c r="AB49" i="8"/>
  <c r="AB48" i="8"/>
  <c r="AB47" i="8"/>
  <c r="AB46" i="8"/>
  <c r="AB45" i="8"/>
  <c r="AB44" i="8"/>
  <c r="AB43" i="8"/>
  <c r="AB42" i="8"/>
  <c r="AB41" i="8"/>
  <c r="AB40" i="8"/>
  <c r="AB39" i="8"/>
  <c r="AB38" i="8"/>
  <c r="AB37" i="8"/>
  <c r="AB36" i="8"/>
  <c r="AB35" i="8"/>
  <c r="AB34" i="8"/>
  <c r="AB33" i="8"/>
  <c r="AB32" i="8"/>
  <c r="AB31" i="8"/>
  <c r="AB30" i="8"/>
  <c r="AB29" i="8"/>
  <c r="AB28" i="8"/>
  <c r="AB27" i="8"/>
  <c r="AB26" i="8"/>
  <c r="AB25" i="8"/>
  <c r="AB24" i="8"/>
  <c r="AB23" i="8"/>
  <c r="AB22" i="8"/>
  <c r="AB21" i="8"/>
  <c r="AB20" i="8"/>
  <c r="AB19" i="8"/>
  <c r="AB18" i="8"/>
  <c r="AB17" i="8"/>
  <c r="AB16" i="8"/>
  <c r="AB15" i="8"/>
  <c r="AB14" i="8"/>
  <c r="AB13" i="8"/>
  <c r="AB12" i="8"/>
  <c r="AB11" i="8"/>
  <c r="AB10" i="8"/>
  <c r="AB9" i="8"/>
  <c r="AB8" i="8"/>
  <c r="AB7" i="8"/>
  <c r="AB6" i="8"/>
  <c r="AB5" i="8"/>
  <c r="AB4" i="8"/>
  <c r="AB3" i="8"/>
  <c r="Z252" i="8"/>
  <c r="Z251" i="8"/>
  <c r="Z250" i="8"/>
  <c r="Z249" i="8"/>
  <c r="Z248" i="8"/>
  <c r="Z247" i="8"/>
  <c r="Z246" i="8"/>
  <c r="Z245" i="8"/>
  <c r="Z244" i="8"/>
  <c r="Z243" i="8"/>
  <c r="Z242" i="8"/>
  <c r="Z241" i="8"/>
  <c r="Z240" i="8"/>
  <c r="Z239" i="8"/>
  <c r="Z238" i="8"/>
  <c r="Z237" i="8"/>
  <c r="Z236" i="8"/>
  <c r="Z235" i="8"/>
  <c r="Z234" i="8"/>
  <c r="Z233" i="8"/>
  <c r="Z232" i="8"/>
  <c r="Z231" i="8"/>
  <c r="Z230" i="8"/>
  <c r="Z229" i="8"/>
  <c r="Z228" i="8"/>
  <c r="Z227" i="8"/>
  <c r="Z226" i="8"/>
  <c r="Z225" i="8"/>
  <c r="Z224" i="8"/>
  <c r="Z223" i="8"/>
  <c r="Z222" i="8"/>
  <c r="Z221" i="8"/>
  <c r="Z220" i="8"/>
  <c r="Z219" i="8"/>
  <c r="Z218" i="8"/>
  <c r="Z217" i="8"/>
  <c r="Z216" i="8"/>
  <c r="Z215" i="8"/>
  <c r="Z214" i="8"/>
  <c r="Z213" i="8"/>
  <c r="Z212" i="8"/>
  <c r="Z211" i="8"/>
  <c r="Z210" i="8"/>
  <c r="Z209" i="8"/>
  <c r="Z208" i="8"/>
  <c r="Z207" i="8"/>
  <c r="Z206" i="8"/>
  <c r="Z205" i="8"/>
  <c r="Z204" i="8"/>
  <c r="Z203" i="8"/>
  <c r="Z202" i="8"/>
  <c r="Z201" i="8"/>
  <c r="Z200" i="8"/>
  <c r="Z199" i="8"/>
  <c r="Z198" i="8"/>
  <c r="Z197" i="8"/>
  <c r="Z196" i="8"/>
  <c r="Z195" i="8"/>
  <c r="Z194" i="8"/>
  <c r="Z193" i="8"/>
  <c r="Z192" i="8"/>
  <c r="Z191" i="8"/>
  <c r="Z190" i="8"/>
  <c r="Z189" i="8"/>
  <c r="Z188" i="8"/>
  <c r="Z187" i="8"/>
  <c r="Z186" i="8"/>
  <c r="Z185" i="8"/>
  <c r="Z184" i="8"/>
  <c r="Z183" i="8"/>
  <c r="Z182" i="8"/>
  <c r="Z181" i="8"/>
  <c r="Z180" i="8"/>
  <c r="Z179" i="8"/>
  <c r="Z178" i="8"/>
  <c r="Z177" i="8"/>
  <c r="Z176" i="8"/>
  <c r="Z175" i="8"/>
  <c r="Z174" i="8"/>
  <c r="Z173" i="8"/>
  <c r="Z172" i="8"/>
  <c r="Z171" i="8"/>
  <c r="Z170" i="8"/>
  <c r="Z169" i="8"/>
  <c r="Z168" i="8"/>
  <c r="Z167" i="8"/>
  <c r="Z166" i="8"/>
  <c r="Z165" i="8"/>
  <c r="Z164" i="8"/>
  <c r="Z163" i="8"/>
  <c r="Z162" i="8"/>
  <c r="Z161" i="8"/>
  <c r="Z160" i="8"/>
  <c r="Z159" i="8"/>
  <c r="Z158" i="8"/>
  <c r="Z157" i="8"/>
  <c r="Z156" i="8"/>
  <c r="Z155" i="8"/>
  <c r="Z154" i="8"/>
  <c r="Z153" i="8"/>
  <c r="Z152" i="8"/>
  <c r="Z151" i="8"/>
  <c r="Z150" i="8"/>
  <c r="Z149" i="8"/>
  <c r="Z148" i="8"/>
  <c r="Z147" i="8"/>
  <c r="Z146" i="8"/>
  <c r="Z145" i="8"/>
  <c r="Z144" i="8"/>
  <c r="Z143" i="8"/>
  <c r="Z142" i="8"/>
  <c r="Z141" i="8"/>
  <c r="Z140" i="8"/>
  <c r="Z139" i="8"/>
  <c r="Z138" i="8"/>
  <c r="Z137" i="8"/>
  <c r="Z136" i="8"/>
  <c r="Z135" i="8"/>
  <c r="Z134" i="8"/>
  <c r="Z133" i="8"/>
  <c r="Z132" i="8"/>
  <c r="Z131" i="8"/>
  <c r="Z130" i="8"/>
  <c r="Z129" i="8"/>
  <c r="Z128" i="8"/>
  <c r="Z127" i="8"/>
  <c r="Z126" i="8"/>
  <c r="Z125" i="8"/>
  <c r="Z124" i="8"/>
  <c r="Z123" i="8"/>
  <c r="Z122" i="8"/>
  <c r="Z121" i="8"/>
  <c r="Z120" i="8"/>
  <c r="Z119" i="8"/>
  <c r="Z118" i="8"/>
  <c r="Z117" i="8"/>
  <c r="Z116" i="8"/>
  <c r="Z115" i="8"/>
  <c r="Z114" i="8"/>
  <c r="Z113" i="8"/>
  <c r="Z112" i="8"/>
  <c r="Z111" i="8"/>
  <c r="Z110" i="8"/>
  <c r="Z109" i="8"/>
  <c r="Z108" i="8"/>
  <c r="Z107" i="8"/>
  <c r="Z106" i="8"/>
  <c r="Z105" i="8"/>
  <c r="Z104" i="8"/>
  <c r="Z103" i="8"/>
  <c r="Z102" i="8"/>
  <c r="Z101" i="8"/>
  <c r="Z100" i="8"/>
  <c r="Z99" i="8"/>
  <c r="Z98" i="8"/>
  <c r="Z97" i="8"/>
  <c r="Z96" i="8"/>
  <c r="Z95" i="8"/>
  <c r="Z94" i="8"/>
  <c r="Z93" i="8"/>
  <c r="Z92" i="8"/>
  <c r="Z91" i="8"/>
  <c r="Z90" i="8"/>
  <c r="Z89" i="8"/>
  <c r="Z88" i="8"/>
  <c r="Z87" i="8"/>
  <c r="Z86" i="8"/>
  <c r="Z85" i="8"/>
  <c r="Z84" i="8"/>
  <c r="Z83" i="8"/>
  <c r="Z82" i="8"/>
  <c r="Z81" i="8"/>
  <c r="Z80" i="8"/>
  <c r="Z79" i="8"/>
  <c r="Z78" i="8"/>
  <c r="Z77" i="8"/>
  <c r="Z76" i="8"/>
  <c r="Z75" i="8"/>
  <c r="Z74" i="8"/>
  <c r="Z73" i="8"/>
  <c r="Z72" i="8"/>
  <c r="Z71" i="8"/>
  <c r="Z70" i="8"/>
  <c r="Z69" i="8"/>
  <c r="Z68" i="8"/>
  <c r="Z67" i="8"/>
  <c r="Z66" i="8"/>
  <c r="Z65" i="8"/>
  <c r="Z64" i="8"/>
  <c r="Z63" i="8"/>
  <c r="Z62" i="8"/>
  <c r="Z61" i="8"/>
  <c r="Z60" i="8"/>
  <c r="Z59" i="8"/>
  <c r="Z58" i="8"/>
  <c r="Z57" i="8"/>
  <c r="Z56" i="8"/>
  <c r="Z55" i="8"/>
  <c r="Z54" i="8"/>
  <c r="Z53" i="8"/>
  <c r="Z52" i="8"/>
  <c r="Z51" i="8"/>
  <c r="Z50" i="8"/>
  <c r="Z49" i="8"/>
  <c r="Z48" i="8"/>
  <c r="Z47" i="8"/>
  <c r="Z46" i="8"/>
  <c r="Z45" i="8"/>
  <c r="Z44" i="8"/>
  <c r="Z43" i="8"/>
  <c r="Z42" i="8"/>
  <c r="Z41" i="8"/>
  <c r="Z40" i="8"/>
  <c r="Z39" i="8"/>
  <c r="Z38" i="8"/>
  <c r="Z37" i="8"/>
  <c r="Z36" i="8"/>
  <c r="Z35" i="8"/>
  <c r="Z34" i="8"/>
  <c r="Z33" i="8"/>
  <c r="Z32" i="8"/>
  <c r="Z31" i="8"/>
  <c r="Z30" i="8"/>
  <c r="Z29" i="8"/>
  <c r="Z28" i="8"/>
  <c r="Z27" i="8"/>
  <c r="Z26" i="8"/>
  <c r="Z25" i="8"/>
  <c r="Z24" i="8"/>
  <c r="Z23" i="8"/>
  <c r="Z22" i="8"/>
  <c r="Z21" i="8"/>
  <c r="Z20" i="8"/>
  <c r="Z19" i="8"/>
  <c r="Z18" i="8"/>
  <c r="Z17" i="8"/>
  <c r="Z16" i="8"/>
  <c r="Z15" i="8"/>
  <c r="Z14" i="8"/>
  <c r="Z13" i="8"/>
  <c r="Z12" i="8"/>
  <c r="Z11" i="8"/>
  <c r="Z10" i="8"/>
  <c r="Z9" i="8"/>
  <c r="Z8" i="8"/>
  <c r="Z7" i="8"/>
  <c r="Z6" i="8"/>
  <c r="Z5" i="8"/>
  <c r="Z4" i="8"/>
  <c r="Z3" i="8"/>
  <c r="X252" i="8"/>
  <c r="X251" i="8"/>
  <c r="X250" i="8"/>
  <c r="X249" i="8"/>
  <c r="X248" i="8"/>
  <c r="X247" i="8"/>
  <c r="X246" i="8"/>
  <c r="X245" i="8"/>
  <c r="X244" i="8"/>
  <c r="X243" i="8"/>
  <c r="X242" i="8"/>
  <c r="X241" i="8"/>
  <c r="X240" i="8"/>
  <c r="X239" i="8"/>
  <c r="X238" i="8"/>
  <c r="X237" i="8"/>
  <c r="X236" i="8"/>
  <c r="X235" i="8"/>
  <c r="X234" i="8"/>
  <c r="X233" i="8"/>
  <c r="X232" i="8"/>
  <c r="X231" i="8"/>
  <c r="X230" i="8"/>
  <c r="X229" i="8"/>
  <c r="X228" i="8"/>
  <c r="X227" i="8"/>
  <c r="X226" i="8"/>
  <c r="X225" i="8"/>
  <c r="X224" i="8"/>
  <c r="X223" i="8"/>
  <c r="X222" i="8"/>
  <c r="X221" i="8"/>
  <c r="X220" i="8"/>
  <c r="X219" i="8"/>
  <c r="X218" i="8"/>
  <c r="X217" i="8"/>
  <c r="X216" i="8"/>
  <c r="X215" i="8"/>
  <c r="X214" i="8"/>
  <c r="X213" i="8"/>
  <c r="X212" i="8"/>
  <c r="X211" i="8"/>
  <c r="X210" i="8"/>
  <c r="X209" i="8"/>
  <c r="X208" i="8"/>
  <c r="X207" i="8"/>
  <c r="X206" i="8"/>
  <c r="X205" i="8"/>
  <c r="X204" i="8"/>
  <c r="X203" i="8"/>
  <c r="X202" i="8"/>
  <c r="X201" i="8"/>
  <c r="X200" i="8"/>
  <c r="X199" i="8"/>
  <c r="X198" i="8"/>
  <c r="X197" i="8"/>
  <c r="X196" i="8"/>
  <c r="X195" i="8"/>
  <c r="X194" i="8"/>
  <c r="X193" i="8"/>
  <c r="X192" i="8"/>
  <c r="X191" i="8"/>
  <c r="X190" i="8"/>
  <c r="X189" i="8"/>
  <c r="X188" i="8"/>
  <c r="X187" i="8"/>
  <c r="X186" i="8"/>
  <c r="X185" i="8"/>
  <c r="X184" i="8"/>
  <c r="X183" i="8"/>
  <c r="X182" i="8"/>
  <c r="X181" i="8"/>
  <c r="X180" i="8"/>
  <c r="X179" i="8"/>
  <c r="X178" i="8"/>
  <c r="X177" i="8"/>
  <c r="X176" i="8"/>
  <c r="X175" i="8"/>
  <c r="X174" i="8"/>
  <c r="X173" i="8"/>
  <c r="X172" i="8"/>
  <c r="X171" i="8"/>
  <c r="X170" i="8"/>
  <c r="X169" i="8"/>
  <c r="X168" i="8"/>
  <c r="X167" i="8"/>
  <c r="X166" i="8"/>
  <c r="X165" i="8"/>
  <c r="X164" i="8"/>
  <c r="X163" i="8"/>
  <c r="X162" i="8"/>
  <c r="X161" i="8"/>
  <c r="X160" i="8"/>
  <c r="X159" i="8"/>
  <c r="X158" i="8"/>
  <c r="X157" i="8"/>
  <c r="X156" i="8"/>
  <c r="X155" i="8"/>
  <c r="X154" i="8"/>
  <c r="X153" i="8"/>
  <c r="X152" i="8"/>
  <c r="X151" i="8"/>
  <c r="X150" i="8"/>
  <c r="X149" i="8"/>
  <c r="X148" i="8"/>
  <c r="X147" i="8"/>
  <c r="X146" i="8"/>
  <c r="X145" i="8"/>
  <c r="X144" i="8"/>
  <c r="X143" i="8"/>
  <c r="X142" i="8"/>
  <c r="X141" i="8"/>
  <c r="X140" i="8"/>
  <c r="X139" i="8"/>
  <c r="X138" i="8"/>
  <c r="X137" i="8"/>
  <c r="X136" i="8"/>
  <c r="X135" i="8"/>
  <c r="X134" i="8"/>
  <c r="X133" i="8"/>
  <c r="X132" i="8"/>
  <c r="X131" i="8"/>
  <c r="X130" i="8"/>
  <c r="X129" i="8"/>
  <c r="X128" i="8"/>
  <c r="X127" i="8"/>
  <c r="X126" i="8"/>
  <c r="X125" i="8"/>
  <c r="X124" i="8"/>
  <c r="X123" i="8"/>
  <c r="X122" i="8"/>
  <c r="X121" i="8"/>
  <c r="X120" i="8"/>
  <c r="X119" i="8"/>
  <c r="X118" i="8"/>
  <c r="X117" i="8"/>
  <c r="X116" i="8"/>
  <c r="X115" i="8"/>
  <c r="X114" i="8"/>
  <c r="X113" i="8"/>
  <c r="X112" i="8"/>
  <c r="X111" i="8"/>
  <c r="X110" i="8"/>
  <c r="X109" i="8"/>
  <c r="X108" i="8"/>
  <c r="X107" i="8"/>
  <c r="X106" i="8"/>
  <c r="X105" i="8"/>
  <c r="X104" i="8"/>
  <c r="X103" i="8"/>
  <c r="X102" i="8"/>
  <c r="X101" i="8"/>
  <c r="X100" i="8"/>
  <c r="X99" i="8"/>
  <c r="X98" i="8"/>
  <c r="X97" i="8"/>
  <c r="X96" i="8"/>
  <c r="X95" i="8"/>
  <c r="X94" i="8"/>
  <c r="X93" i="8"/>
  <c r="X92" i="8"/>
  <c r="X91" i="8"/>
  <c r="X90" i="8"/>
  <c r="X89" i="8"/>
  <c r="X88" i="8"/>
  <c r="X87" i="8"/>
  <c r="X86" i="8"/>
  <c r="X85" i="8"/>
  <c r="X84" i="8"/>
  <c r="X83" i="8"/>
  <c r="X82" i="8"/>
  <c r="X81" i="8"/>
  <c r="X80" i="8"/>
  <c r="X79" i="8"/>
  <c r="X78" i="8"/>
  <c r="X77" i="8"/>
  <c r="X76" i="8"/>
  <c r="X75" i="8"/>
  <c r="X74" i="8"/>
  <c r="X73" i="8"/>
  <c r="X72" i="8"/>
  <c r="X71" i="8"/>
  <c r="X70" i="8"/>
  <c r="X69" i="8"/>
  <c r="X68" i="8"/>
  <c r="X67" i="8"/>
  <c r="X66" i="8"/>
  <c r="X65" i="8"/>
  <c r="X64" i="8"/>
  <c r="X63" i="8"/>
  <c r="X62" i="8"/>
  <c r="X61" i="8"/>
  <c r="X60" i="8"/>
  <c r="X59" i="8"/>
  <c r="X58" i="8"/>
  <c r="X57" i="8"/>
  <c r="X56" i="8"/>
  <c r="X55" i="8"/>
  <c r="X54" i="8"/>
  <c r="X53" i="8"/>
  <c r="X52" i="8"/>
  <c r="X51" i="8"/>
  <c r="X50" i="8"/>
  <c r="X49" i="8"/>
  <c r="X48" i="8"/>
  <c r="X47" i="8"/>
  <c r="X46" i="8"/>
  <c r="X4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X7" i="8"/>
  <c r="X6" i="8"/>
  <c r="X5" i="8"/>
  <c r="X4" i="8"/>
  <c r="X3" i="8"/>
  <c r="V252" i="8"/>
  <c r="V251" i="8"/>
  <c r="V250" i="8"/>
  <c r="V249" i="8"/>
  <c r="V248" i="8"/>
  <c r="V247" i="8"/>
  <c r="V246" i="8"/>
  <c r="V245" i="8"/>
  <c r="V244" i="8"/>
  <c r="V243" i="8"/>
  <c r="V242" i="8"/>
  <c r="V241" i="8"/>
  <c r="V240" i="8"/>
  <c r="V239" i="8"/>
  <c r="V238" i="8"/>
  <c r="V237" i="8"/>
  <c r="V236" i="8"/>
  <c r="V235" i="8"/>
  <c r="V234" i="8"/>
  <c r="V233" i="8"/>
  <c r="V232" i="8"/>
  <c r="V231" i="8"/>
  <c r="V230" i="8"/>
  <c r="V229" i="8"/>
  <c r="V228" i="8"/>
  <c r="V227" i="8"/>
  <c r="V226" i="8"/>
  <c r="V225" i="8"/>
  <c r="V224" i="8"/>
  <c r="V223" i="8"/>
  <c r="V222" i="8"/>
  <c r="V221" i="8"/>
  <c r="V220" i="8"/>
  <c r="V219" i="8"/>
  <c r="V218" i="8"/>
  <c r="V217" i="8"/>
  <c r="V216" i="8"/>
  <c r="V215" i="8"/>
  <c r="V214" i="8"/>
  <c r="V213" i="8"/>
  <c r="V212" i="8"/>
  <c r="V211" i="8"/>
  <c r="V210" i="8"/>
  <c r="V209" i="8"/>
  <c r="V208" i="8"/>
  <c r="V207" i="8"/>
  <c r="V206" i="8"/>
  <c r="V205" i="8"/>
  <c r="V204" i="8"/>
  <c r="V203" i="8"/>
  <c r="V202" i="8"/>
  <c r="V201" i="8"/>
  <c r="V200" i="8"/>
  <c r="V199" i="8"/>
  <c r="V198" i="8"/>
  <c r="V197" i="8"/>
  <c r="V196" i="8"/>
  <c r="V195" i="8"/>
  <c r="V194" i="8"/>
  <c r="V193" i="8"/>
  <c r="V192" i="8"/>
  <c r="V191" i="8"/>
  <c r="V190" i="8"/>
  <c r="V189" i="8"/>
  <c r="V188" i="8"/>
  <c r="V187" i="8"/>
  <c r="V186" i="8"/>
  <c r="V185" i="8"/>
  <c r="V184" i="8"/>
  <c r="V183" i="8"/>
  <c r="V182" i="8"/>
  <c r="V181" i="8"/>
  <c r="V180" i="8"/>
  <c r="V179" i="8"/>
  <c r="V178" i="8"/>
  <c r="V177" i="8"/>
  <c r="V176" i="8"/>
  <c r="V175" i="8"/>
  <c r="V174" i="8"/>
  <c r="V173" i="8"/>
  <c r="V172" i="8"/>
  <c r="V171" i="8"/>
  <c r="V170" i="8"/>
  <c r="V169" i="8"/>
  <c r="V168" i="8"/>
  <c r="V167" i="8"/>
  <c r="V166" i="8"/>
  <c r="V165" i="8"/>
  <c r="V164" i="8"/>
  <c r="V163" i="8"/>
  <c r="V162" i="8"/>
  <c r="V161" i="8"/>
  <c r="V160" i="8"/>
  <c r="V159" i="8"/>
  <c r="V158" i="8"/>
  <c r="V157" i="8"/>
  <c r="V156" i="8"/>
  <c r="V155" i="8"/>
  <c r="V154" i="8"/>
  <c r="V153" i="8"/>
  <c r="V152" i="8"/>
  <c r="V151" i="8"/>
  <c r="V150" i="8"/>
  <c r="V149" i="8"/>
  <c r="V148" i="8"/>
  <c r="V147" i="8"/>
  <c r="V146" i="8"/>
  <c r="V145" i="8"/>
  <c r="V144" i="8"/>
  <c r="V143" i="8"/>
  <c r="V142" i="8"/>
  <c r="V141" i="8"/>
  <c r="V140" i="8"/>
  <c r="V139" i="8"/>
  <c r="V138" i="8"/>
  <c r="V137" i="8"/>
  <c r="V136" i="8"/>
  <c r="V135" i="8"/>
  <c r="V134" i="8"/>
  <c r="V133" i="8"/>
  <c r="V132" i="8"/>
  <c r="V131" i="8"/>
  <c r="V130" i="8"/>
  <c r="V129" i="8"/>
  <c r="V128" i="8"/>
  <c r="V127" i="8"/>
  <c r="V126" i="8"/>
  <c r="V125" i="8"/>
  <c r="V124" i="8"/>
  <c r="V123" i="8"/>
  <c r="V122" i="8"/>
  <c r="V121" i="8"/>
  <c r="V120" i="8"/>
  <c r="V119" i="8"/>
  <c r="V118" i="8"/>
  <c r="V117" i="8"/>
  <c r="V116" i="8"/>
  <c r="V115" i="8"/>
  <c r="V114" i="8"/>
  <c r="V113" i="8"/>
  <c r="V112" i="8"/>
  <c r="V111" i="8"/>
  <c r="V110" i="8"/>
  <c r="V109" i="8"/>
  <c r="V108" i="8"/>
  <c r="V107" i="8"/>
  <c r="V106" i="8"/>
  <c r="V105" i="8"/>
  <c r="V104" i="8"/>
  <c r="V103" i="8"/>
  <c r="V102" i="8"/>
  <c r="V101" i="8"/>
  <c r="V100" i="8"/>
  <c r="V99" i="8"/>
  <c r="V98" i="8"/>
  <c r="V97" i="8"/>
  <c r="V96" i="8"/>
  <c r="V95" i="8"/>
  <c r="V94" i="8"/>
  <c r="V93" i="8"/>
  <c r="V92" i="8"/>
  <c r="V91" i="8"/>
  <c r="V90" i="8"/>
  <c r="V89" i="8"/>
  <c r="V88" i="8"/>
  <c r="V87" i="8"/>
  <c r="V86" i="8"/>
  <c r="V85" i="8"/>
  <c r="V84" i="8"/>
  <c r="V83" i="8"/>
  <c r="V82" i="8"/>
  <c r="V81" i="8"/>
  <c r="V80" i="8"/>
  <c r="V79" i="8"/>
  <c r="V78" i="8"/>
  <c r="V77" i="8"/>
  <c r="V76" i="8"/>
  <c r="V75" i="8"/>
  <c r="V74" i="8"/>
  <c r="V73" i="8"/>
  <c r="V72" i="8"/>
  <c r="V71" i="8"/>
  <c r="V70" i="8"/>
  <c r="V69" i="8"/>
  <c r="V68" i="8"/>
  <c r="V67" i="8"/>
  <c r="V66" i="8"/>
  <c r="V65" i="8"/>
  <c r="V64" i="8"/>
  <c r="V63" i="8"/>
  <c r="V62" i="8"/>
  <c r="V61" i="8"/>
  <c r="V60" i="8"/>
  <c r="V59" i="8"/>
  <c r="V58" i="8"/>
  <c r="V57" i="8"/>
  <c r="V56" i="8"/>
  <c r="V55" i="8"/>
  <c r="V54" i="8"/>
  <c r="V53" i="8"/>
  <c r="V52" i="8"/>
  <c r="V51" i="8"/>
  <c r="V50" i="8"/>
  <c r="V49" i="8"/>
  <c r="V48" i="8"/>
  <c r="V47" i="8"/>
  <c r="V46" i="8"/>
  <c r="V45" i="8"/>
  <c r="V44" i="8"/>
  <c r="V43" i="8"/>
  <c r="V42" i="8"/>
  <c r="V41" i="8"/>
  <c r="V40" i="8"/>
  <c r="V39" i="8"/>
  <c r="V38" i="8"/>
  <c r="V37" i="8"/>
  <c r="V36" i="8"/>
  <c r="V35" i="8"/>
  <c r="V34" i="8"/>
  <c r="V33" i="8"/>
  <c r="V32" i="8"/>
  <c r="V31" i="8"/>
  <c r="V30" i="8"/>
  <c r="V29" i="8"/>
  <c r="V28" i="8"/>
  <c r="V27" i="8"/>
  <c r="V26" i="8"/>
  <c r="V25" i="8"/>
  <c r="V24" i="8"/>
  <c r="V23" i="8"/>
  <c r="V22" i="8"/>
  <c r="V21" i="8"/>
  <c r="V20" i="8"/>
  <c r="V19" i="8"/>
  <c r="V18" i="8"/>
  <c r="V17" i="8"/>
  <c r="V16" i="8"/>
  <c r="V15" i="8"/>
  <c r="V14" i="8"/>
  <c r="V13" i="8"/>
  <c r="V12" i="8"/>
  <c r="V11" i="8"/>
  <c r="V10" i="8"/>
  <c r="V9" i="8"/>
  <c r="V8" i="8"/>
  <c r="V7" i="8"/>
  <c r="V6" i="8"/>
  <c r="V5" i="8"/>
  <c r="V4" i="8"/>
  <c r="V3" i="8"/>
  <c r="T252" i="8"/>
  <c r="T251" i="8"/>
  <c r="T250" i="8"/>
  <c r="T249" i="8"/>
  <c r="T248" i="8"/>
  <c r="T247" i="8"/>
  <c r="T246" i="8"/>
  <c r="T245" i="8"/>
  <c r="T244" i="8"/>
  <c r="T243" i="8"/>
  <c r="T242" i="8"/>
  <c r="T241" i="8"/>
  <c r="T240" i="8"/>
  <c r="T239" i="8"/>
  <c r="T238" i="8"/>
  <c r="T237" i="8"/>
  <c r="T236" i="8"/>
  <c r="T235" i="8"/>
  <c r="T234" i="8"/>
  <c r="T233" i="8"/>
  <c r="T232" i="8"/>
  <c r="T231" i="8"/>
  <c r="T230" i="8"/>
  <c r="T229" i="8"/>
  <c r="T228" i="8"/>
  <c r="T227" i="8"/>
  <c r="T226" i="8"/>
  <c r="T225" i="8"/>
  <c r="T224" i="8"/>
  <c r="T223" i="8"/>
  <c r="T222" i="8"/>
  <c r="T221" i="8"/>
  <c r="T220" i="8"/>
  <c r="T219" i="8"/>
  <c r="T218" i="8"/>
  <c r="T217" i="8"/>
  <c r="T216" i="8"/>
  <c r="T215" i="8"/>
  <c r="T214" i="8"/>
  <c r="T213" i="8"/>
  <c r="T212" i="8"/>
  <c r="T211" i="8"/>
  <c r="T210" i="8"/>
  <c r="T209" i="8"/>
  <c r="T208" i="8"/>
  <c r="T207" i="8"/>
  <c r="T206" i="8"/>
  <c r="T205" i="8"/>
  <c r="T204" i="8"/>
  <c r="T203" i="8"/>
  <c r="T202" i="8"/>
  <c r="T201" i="8"/>
  <c r="T200" i="8"/>
  <c r="T199" i="8"/>
  <c r="T198" i="8"/>
  <c r="T197" i="8"/>
  <c r="T196" i="8"/>
  <c r="T195" i="8"/>
  <c r="T194" i="8"/>
  <c r="T193" i="8"/>
  <c r="T192" i="8"/>
  <c r="T191" i="8"/>
  <c r="T190" i="8"/>
  <c r="T189" i="8"/>
  <c r="T188" i="8"/>
  <c r="T187" i="8"/>
  <c r="T186" i="8"/>
  <c r="T185" i="8"/>
  <c r="T184" i="8"/>
  <c r="T183" i="8"/>
  <c r="T182" i="8"/>
  <c r="T181" i="8"/>
  <c r="T180" i="8"/>
  <c r="T179" i="8"/>
  <c r="T178" i="8"/>
  <c r="T177" i="8"/>
  <c r="T176" i="8"/>
  <c r="T175" i="8"/>
  <c r="T174" i="8"/>
  <c r="T173" i="8"/>
  <c r="T172" i="8"/>
  <c r="T171" i="8"/>
  <c r="T170" i="8"/>
  <c r="T169" i="8"/>
  <c r="T168" i="8"/>
  <c r="T167" i="8"/>
  <c r="T166" i="8"/>
  <c r="T165" i="8"/>
  <c r="T164" i="8"/>
  <c r="T163" i="8"/>
  <c r="T162" i="8"/>
  <c r="T161" i="8"/>
  <c r="T160" i="8"/>
  <c r="T159" i="8"/>
  <c r="T158" i="8"/>
  <c r="T157" i="8"/>
  <c r="T156" i="8"/>
  <c r="T155" i="8"/>
  <c r="T154" i="8"/>
  <c r="T153" i="8"/>
  <c r="T152" i="8"/>
  <c r="T151" i="8"/>
  <c r="T150" i="8"/>
  <c r="T149" i="8"/>
  <c r="T148" i="8"/>
  <c r="T147" i="8"/>
  <c r="T146" i="8"/>
  <c r="T145" i="8"/>
  <c r="T144" i="8"/>
  <c r="T143" i="8"/>
  <c r="T142" i="8"/>
  <c r="T141" i="8"/>
  <c r="T140" i="8"/>
  <c r="T139" i="8"/>
  <c r="T138" i="8"/>
  <c r="T137" i="8"/>
  <c r="T136" i="8"/>
  <c r="T135" i="8"/>
  <c r="T134" i="8"/>
  <c r="T133" i="8"/>
  <c r="T132" i="8"/>
  <c r="T131" i="8"/>
  <c r="T130" i="8"/>
  <c r="T129" i="8"/>
  <c r="T128" i="8"/>
  <c r="T127" i="8"/>
  <c r="T126" i="8"/>
  <c r="T125" i="8"/>
  <c r="T124" i="8"/>
  <c r="T123" i="8"/>
  <c r="T122" i="8"/>
  <c r="T121" i="8"/>
  <c r="T120" i="8"/>
  <c r="T119" i="8"/>
  <c r="T118" i="8"/>
  <c r="T117" i="8"/>
  <c r="T116" i="8"/>
  <c r="T115" i="8"/>
  <c r="T114" i="8"/>
  <c r="T113" i="8"/>
  <c r="T112" i="8"/>
  <c r="T111" i="8"/>
  <c r="T110" i="8"/>
  <c r="T109" i="8"/>
  <c r="T108" i="8"/>
  <c r="T107" i="8"/>
  <c r="T106" i="8"/>
  <c r="T105" i="8"/>
  <c r="T104" i="8"/>
  <c r="T103" i="8"/>
  <c r="T102" i="8"/>
  <c r="T101" i="8"/>
  <c r="T100" i="8"/>
  <c r="T99" i="8"/>
  <c r="T98" i="8"/>
  <c r="T97" i="8"/>
  <c r="T96" i="8"/>
  <c r="T95" i="8"/>
  <c r="T94" i="8"/>
  <c r="T93" i="8"/>
  <c r="T92" i="8"/>
  <c r="T91" i="8"/>
  <c r="T90" i="8"/>
  <c r="T89" i="8"/>
  <c r="T88" i="8"/>
  <c r="T87" i="8"/>
  <c r="T86" i="8"/>
  <c r="T85" i="8"/>
  <c r="T84" i="8"/>
  <c r="T83" i="8"/>
  <c r="T82" i="8"/>
  <c r="T81" i="8"/>
  <c r="T80" i="8"/>
  <c r="T79" i="8"/>
  <c r="T78" i="8"/>
  <c r="T77" i="8"/>
  <c r="T76" i="8"/>
  <c r="T75" i="8"/>
  <c r="T74" i="8"/>
  <c r="T73" i="8"/>
  <c r="T72" i="8"/>
  <c r="T71" i="8"/>
  <c r="T70" i="8"/>
  <c r="T69" i="8"/>
  <c r="T68" i="8"/>
  <c r="T67" i="8"/>
  <c r="T66" i="8"/>
  <c r="T65" i="8"/>
  <c r="T64" i="8"/>
  <c r="T63" i="8"/>
  <c r="T62" i="8"/>
  <c r="T61" i="8"/>
  <c r="T60" i="8"/>
  <c r="T59" i="8"/>
  <c r="T58" i="8"/>
  <c r="T57" i="8"/>
  <c r="T56" i="8"/>
  <c r="T55" i="8"/>
  <c r="T54" i="8"/>
  <c r="T53" i="8"/>
  <c r="T52" i="8"/>
  <c r="T51" i="8"/>
  <c r="T50" i="8"/>
  <c r="T49" i="8"/>
  <c r="T48" i="8"/>
  <c r="T47" i="8"/>
  <c r="T46" i="8"/>
  <c r="T45" i="8"/>
  <c r="T44" i="8"/>
  <c r="T43" i="8"/>
  <c r="T42" i="8"/>
  <c r="T41" i="8"/>
  <c r="T40" i="8"/>
  <c r="T39" i="8"/>
  <c r="T38" i="8"/>
  <c r="T37" i="8"/>
  <c r="T36" i="8"/>
  <c r="T35" i="8"/>
  <c r="T34" i="8"/>
  <c r="T33" i="8"/>
  <c r="T32" i="8"/>
  <c r="T31" i="8"/>
  <c r="T30" i="8"/>
  <c r="T29" i="8"/>
  <c r="T28" i="8"/>
  <c r="T27" i="8"/>
  <c r="T26" i="8"/>
  <c r="T25" i="8"/>
  <c r="T24" i="8"/>
  <c r="T23" i="8"/>
  <c r="T22" i="8"/>
  <c r="T21" i="8"/>
  <c r="T20" i="8"/>
  <c r="T19" i="8"/>
  <c r="T18" i="8"/>
  <c r="T17" i="8"/>
  <c r="T16" i="8"/>
  <c r="T15" i="8"/>
  <c r="T14" i="8"/>
  <c r="T13" i="8"/>
  <c r="T12" i="8"/>
  <c r="T11" i="8"/>
  <c r="T10" i="8"/>
  <c r="T9" i="8"/>
  <c r="T8" i="8"/>
  <c r="T7" i="8"/>
  <c r="T6" i="8"/>
  <c r="T5" i="8"/>
  <c r="T4" i="8"/>
  <c r="T3" i="8"/>
  <c r="R252" i="8"/>
  <c r="R251" i="8"/>
  <c r="R250" i="8"/>
  <c r="R249" i="8"/>
  <c r="R248" i="8"/>
  <c r="R247" i="8"/>
  <c r="R246" i="8"/>
  <c r="R245" i="8"/>
  <c r="R244" i="8"/>
  <c r="R243" i="8"/>
  <c r="R242" i="8"/>
  <c r="R241" i="8"/>
  <c r="R240" i="8"/>
  <c r="R239" i="8"/>
  <c r="R238" i="8"/>
  <c r="R237" i="8"/>
  <c r="R236" i="8"/>
  <c r="R235" i="8"/>
  <c r="R234" i="8"/>
  <c r="R233" i="8"/>
  <c r="R232" i="8"/>
  <c r="R231" i="8"/>
  <c r="R230" i="8"/>
  <c r="R229" i="8"/>
  <c r="R228" i="8"/>
  <c r="R227" i="8"/>
  <c r="R226" i="8"/>
  <c r="R225" i="8"/>
  <c r="R224" i="8"/>
  <c r="R223" i="8"/>
  <c r="R222" i="8"/>
  <c r="R221" i="8"/>
  <c r="R220" i="8"/>
  <c r="R219" i="8"/>
  <c r="R218" i="8"/>
  <c r="R217" i="8"/>
  <c r="R216" i="8"/>
  <c r="R215" i="8"/>
  <c r="R214" i="8"/>
  <c r="R213" i="8"/>
  <c r="R212" i="8"/>
  <c r="R211" i="8"/>
  <c r="R210" i="8"/>
  <c r="R209" i="8"/>
  <c r="R208" i="8"/>
  <c r="R207" i="8"/>
  <c r="R206" i="8"/>
  <c r="R205" i="8"/>
  <c r="R204" i="8"/>
  <c r="R203" i="8"/>
  <c r="R202" i="8"/>
  <c r="R201" i="8"/>
  <c r="R200" i="8"/>
  <c r="R199" i="8"/>
  <c r="R198" i="8"/>
  <c r="R197" i="8"/>
  <c r="R196" i="8"/>
  <c r="R195" i="8"/>
  <c r="R194" i="8"/>
  <c r="R193" i="8"/>
  <c r="R192" i="8"/>
  <c r="R191" i="8"/>
  <c r="R190" i="8"/>
  <c r="R189" i="8"/>
  <c r="R188" i="8"/>
  <c r="R187" i="8"/>
  <c r="R186" i="8"/>
  <c r="R185" i="8"/>
  <c r="R184" i="8"/>
  <c r="R183" i="8"/>
  <c r="R182" i="8"/>
  <c r="R181" i="8"/>
  <c r="R180" i="8"/>
  <c r="R179" i="8"/>
  <c r="R178" i="8"/>
  <c r="R177" i="8"/>
  <c r="R176" i="8"/>
  <c r="R175" i="8"/>
  <c r="R174" i="8"/>
  <c r="R173" i="8"/>
  <c r="R172" i="8"/>
  <c r="R171" i="8"/>
  <c r="R170" i="8"/>
  <c r="R169" i="8"/>
  <c r="R168" i="8"/>
  <c r="R167" i="8"/>
  <c r="R166" i="8"/>
  <c r="R165" i="8"/>
  <c r="R164" i="8"/>
  <c r="R163" i="8"/>
  <c r="R162" i="8"/>
  <c r="R161" i="8"/>
  <c r="R160" i="8"/>
  <c r="R159" i="8"/>
  <c r="R158" i="8"/>
  <c r="R157" i="8"/>
  <c r="R156" i="8"/>
  <c r="R155" i="8"/>
  <c r="R154" i="8"/>
  <c r="R153" i="8"/>
  <c r="R152" i="8"/>
  <c r="R151" i="8"/>
  <c r="R150" i="8"/>
  <c r="R149" i="8"/>
  <c r="R148" i="8"/>
  <c r="R147" i="8"/>
  <c r="R146" i="8"/>
  <c r="R145" i="8"/>
  <c r="R144" i="8"/>
  <c r="R143" i="8"/>
  <c r="R142" i="8"/>
  <c r="R141" i="8"/>
  <c r="R140" i="8"/>
  <c r="R139" i="8"/>
  <c r="R138" i="8"/>
  <c r="R137" i="8"/>
  <c r="R136" i="8"/>
  <c r="R135" i="8"/>
  <c r="R134" i="8"/>
  <c r="R133" i="8"/>
  <c r="R132" i="8"/>
  <c r="R131" i="8"/>
  <c r="R130" i="8"/>
  <c r="R129" i="8"/>
  <c r="R128" i="8"/>
  <c r="R127" i="8"/>
  <c r="R126" i="8"/>
  <c r="R125" i="8"/>
  <c r="R124" i="8"/>
  <c r="R123" i="8"/>
  <c r="R122" i="8"/>
  <c r="R121" i="8"/>
  <c r="R120" i="8"/>
  <c r="R119" i="8"/>
  <c r="R118" i="8"/>
  <c r="R117" i="8"/>
  <c r="R116" i="8"/>
  <c r="R115" i="8"/>
  <c r="R114" i="8"/>
  <c r="R113" i="8"/>
  <c r="R112" i="8"/>
  <c r="R111" i="8"/>
  <c r="R110" i="8"/>
  <c r="R109" i="8"/>
  <c r="R108" i="8"/>
  <c r="R107" i="8"/>
  <c r="R106" i="8"/>
  <c r="R105" i="8"/>
  <c r="R104" i="8"/>
  <c r="R103" i="8"/>
  <c r="R102" i="8"/>
  <c r="R101" i="8"/>
  <c r="R100" i="8"/>
  <c r="R99" i="8"/>
  <c r="R98" i="8"/>
  <c r="R97" i="8"/>
  <c r="R96" i="8"/>
  <c r="R95" i="8"/>
  <c r="R94" i="8"/>
  <c r="R93" i="8"/>
  <c r="R92" i="8"/>
  <c r="R91" i="8"/>
  <c r="R90" i="8"/>
  <c r="R89" i="8"/>
  <c r="R88" i="8"/>
  <c r="R87" i="8"/>
  <c r="R86" i="8"/>
  <c r="R85" i="8"/>
  <c r="R84" i="8"/>
  <c r="R83" i="8"/>
  <c r="R82" i="8"/>
  <c r="R81" i="8"/>
  <c r="R80" i="8"/>
  <c r="R79" i="8"/>
  <c r="R78" i="8"/>
  <c r="R77" i="8"/>
  <c r="R76" i="8"/>
  <c r="R75" i="8"/>
  <c r="R74" i="8"/>
  <c r="R73" i="8"/>
  <c r="R72" i="8"/>
  <c r="R71" i="8"/>
  <c r="R70" i="8"/>
  <c r="R69" i="8"/>
  <c r="R68" i="8"/>
  <c r="R67" i="8"/>
  <c r="R66" i="8"/>
  <c r="R65" i="8"/>
  <c r="R64" i="8"/>
  <c r="R63" i="8"/>
  <c r="R62" i="8"/>
  <c r="R61" i="8"/>
  <c r="R60" i="8"/>
  <c r="R59" i="8"/>
  <c r="R58" i="8"/>
  <c r="R57" i="8"/>
  <c r="R56" i="8"/>
  <c r="R55" i="8"/>
  <c r="R54" i="8"/>
  <c r="R53" i="8"/>
  <c r="R52" i="8"/>
  <c r="R51" i="8"/>
  <c r="R50" i="8"/>
  <c r="R49" i="8"/>
  <c r="R48" i="8"/>
  <c r="R47" i="8"/>
  <c r="R46" i="8"/>
  <c r="R45" i="8"/>
  <c r="R44" i="8"/>
  <c r="R43" i="8"/>
  <c r="R42" i="8"/>
  <c r="R41" i="8"/>
  <c r="R40" i="8"/>
  <c r="R39" i="8"/>
  <c r="R38" i="8"/>
  <c r="R37" i="8"/>
  <c r="R36" i="8"/>
  <c r="R35" i="8"/>
  <c r="R34"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P252" i="8"/>
  <c r="P251" i="8"/>
  <c r="P250" i="8"/>
  <c r="P249" i="8"/>
  <c r="P248" i="8"/>
  <c r="P247" i="8"/>
  <c r="P246" i="8"/>
  <c r="P245" i="8"/>
  <c r="P244" i="8"/>
  <c r="P243" i="8"/>
  <c r="P242" i="8"/>
  <c r="P241" i="8"/>
  <c r="P240" i="8"/>
  <c r="P239" i="8"/>
  <c r="P238" i="8"/>
  <c r="P237" i="8"/>
  <c r="P236" i="8"/>
  <c r="P235" i="8"/>
  <c r="P234" i="8"/>
  <c r="P233" i="8"/>
  <c r="P232" i="8"/>
  <c r="P231" i="8"/>
  <c r="P230" i="8"/>
  <c r="P229" i="8"/>
  <c r="P228" i="8"/>
  <c r="P227" i="8"/>
  <c r="P226" i="8"/>
  <c r="P225" i="8"/>
  <c r="P224" i="8"/>
  <c r="P223" i="8"/>
  <c r="P222" i="8"/>
  <c r="P221" i="8"/>
  <c r="P220" i="8"/>
  <c r="P219" i="8"/>
  <c r="P218" i="8"/>
  <c r="P217" i="8"/>
  <c r="P216" i="8"/>
  <c r="P215" i="8"/>
  <c r="P214" i="8"/>
  <c r="P213" i="8"/>
  <c r="P212" i="8"/>
  <c r="P211" i="8"/>
  <c r="P210" i="8"/>
  <c r="P209" i="8"/>
  <c r="P208" i="8"/>
  <c r="P207" i="8"/>
  <c r="P206" i="8"/>
  <c r="P205" i="8"/>
  <c r="P204" i="8"/>
  <c r="P203" i="8"/>
  <c r="P202" i="8"/>
  <c r="P201" i="8"/>
  <c r="P200" i="8"/>
  <c r="P199" i="8"/>
  <c r="P198" i="8"/>
  <c r="P197" i="8"/>
  <c r="P196" i="8"/>
  <c r="P195" i="8"/>
  <c r="P194" i="8"/>
  <c r="P193" i="8"/>
  <c r="P192" i="8"/>
  <c r="P191" i="8"/>
  <c r="P190" i="8"/>
  <c r="P189" i="8"/>
  <c r="P188" i="8"/>
  <c r="P187" i="8"/>
  <c r="P186" i="8"/>
  <c r="P185" i="8"/>
  <c r="P184" i="8"/>
  <c r="P183" i="8"/>
  <c r="P182" i="8"/>
  <c r="P181" i="8"/>
  <c r="P180" i="8"/>
  <c r="P179" i="8"/>
  <c r="P178" i="8"/>
  <c r="P177" i="8"/>
  <c r="P176" i="8"/>
  <c r="P175" i="8"/>
  <c r="P174" i="8"/>
  <c r="P173" i="8"/>
  <c r="P172" i="8"/>
  <c r="P171" i="8"/>
  <c r="P170" i="8"/>
  <c r="P169" i="8"/>
  <c r="P168" i="8"/>
  <c r="P167" i="8"/>
  <c r="P166" i="8"/>
  <c r="P165" i="8"/>
  <c r="P164" i="8"/>
  <c r="P163" i="8"/>
  <c r="P162" i="8"/>
  <c r="P161" i="8"/>
  <c r="P160" i="8"/>
  <c r="P159" i="8"/>
  <c r="P158" i="8"/>
  <c r="P157" i="8"/>
  <c r="P156" i="8"/>
  <c r="P155" i="8"/>
  <c r="P154" i="8"/>
  <c r="P153" i="8"/>
  <c r="P152" i="8"/>
  <c r="P151" i="8"/>
  <c r="P150" i="8"/>
  <c r="P149" i="8"/>
  <c r="P148" i="8"/>
  <c r="P147" i="8"/>
  <c r="P146" i="8"/>
  <c r="P145" i="8"/>
  <c r="P144" i="8"/>
  <c r="P143" i="8"/>
  <c r="P142" i="8"/>
  <c r="P141" i="8"/>
  <c r="P140" i="8"/>
  <c r="P139" i="8"/>
  <c r="P138" i="8"/>
  <c r="P137" i="8"/>
  <c r="P136" i="8"/>
  <c r="P135" i="8"/>
  <c r="P134" i="8"/>
  <c r="P133" i="8"/>
  <c r="P132" i="8"/>
  <c r="P131" i="8"/>
  <c r="P130" i="8"/>
  <c r="P129" i="8"/>
  <c r="P128" i="8"/>
  <c r="P127" i="8"/>
  <c r="P126" i="8"/>
  <c r="P125" i="8"/>
  <c r="P124" i="8"/>
  <c r="P123" i="8"/>
  <c r="P122" i="8"/>
  <c r="P121" i="8"/>
  <c r="P120" i="8"/>
  <c r="P119" i="8"/>
  <c r="P118" i="8"/>
  <c r="P117" i="8"/>
  <c r="P116" i="8"/>
  <c r="P115" i="8"/>
  <c r="P114" i="8"/>
  <c r="P113" i="8"/>
  <c r="P112" i="8"/>
  <c r="P111" i="8"/>
  <c r="P110" i="8"/>
  <c r="P109" i="8"/>
  <c r="P108" i="8"/>
  <c r="P107" i="8"/>
  <c r="P106" i="8"/>
  <c r="P105" i="8"/>
  <c r="P104" i="8"/>
  <c r="P103" i="8"/>
  <c r="P102" i="8"/>
  <c r="P101" i="8"/>
  <c r="P100" i="8"/>
  <c r="P99" i="8"/>
  <c r="P98" i="8"/>
  <c r="P97" i="8"/>
  <c r="P96" i="8"/>
  <c r="P95" i="8"/>
  <c r="P94" i="8"/>
  <c r="P93" i="8"/>
  <c r="P92" i="8"/>
  <c r="P91" i="8"/>
  <c r="P90" i="8"/>
  <c r="P89" i="8"/>
  <c r="P88" i="8"/>
  <c r="P87" i="8"/>
  <c r="P86" i="8"/>
  <c r="P85" i="8"/>
  <c r="P84" i="8"/>
  <c r="P83" i="8"/>
  <c r="P82" i="8"/>
  <c r="P81" i="8"/>
  <c r="P80" i="8"/>
  <c r="P79" i="8"/>
  <c r="P78" i="8"/>
  <c r="P77" i="8"/>
  <c r="P76" i="8"/>
  <c r="P75" i="8"/>
  <c r="P74" i="8"/>
  <c r="P73" i="8"/>
  <c r="P72" i="8"/>
  <c r="P71" i="8"/>
  <c r="P70" i="8"/>
  <c r="P69" i="8"/>
  <c r="P68" i="8"/>
  <c r="P67" i="8"/>
  <c r="P66" i="8"/>
  <c r="P65" i="8"/>
  <c r="P64" i="8"/>
  <c r="P63" i="8"/>
  <c r="P62" i="8"/>
  <c r="P61" i="8"/>
  <c r="P60" i="8"/>
  <c r="P59" i="8"/>
  <c r="P58" i="8"/>
  <c r="P57" i="8"/>
  <c r="P56" i="8"/>
  <c r="P55" i="8"/>
  <c r="P54" i="8"/>
  <c r="P53" i="8"/>
  <c r="P52" i="8"/>
  <c r="P51" i="8"/>
  <c r="P50" i="8"/>
  <c r="P49" i="8"/>
  <c r="P48" i="8"/>
  <c r="P47" i="8"/>
  <c r="P46" i="8"/>
  <c r="P45" i="8"/>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N252" i="8"/>
  <c r="N251" i="8"/>
  <c r="N250" i="8"/>
  <c r="N249" i="8"/>
  <c r="N248" i="8"/>
  <c r="N247" i="8"/>
  <c r="N246" i="8"/>
  <c r="N245" i="8"/>
  <c r="N244" i="8"/>
  <c r="N243" i="8"/>
  <c r="N242" i="8"/>
  <c r="N241" i="8"/>
  <c r="N240" i="8"/>
  <c r="N239" i="8"/>
  <c r="N238" i="8"/>
  <c r="N237" i="8"/>
  <c r="N236" i="8"/>
  <c r="N235" i="8"/>
  <c r="N234" i="8"/>
  <c r="N233" i="8"/>
  <c r="N232" i="8"/>
  <c r="N231" i="8"/>
  <c r="N230" i="8"/>
  <c r="N229" i="8"/>
  <c r="N228" i="8"/>
  <c r="N227" i="8"/>
  <c r="N226" i="8"/>
  <c r="N225" i="8"/>
  <c r="N224" i="8"/>
  <c r="N223" i="8"/>
  <c r="N222" i="8"/>
  <c r="N221" i="8"/>
  <c r="N220" i="8"/>
  <c r="N219" i="8"/>
  <c r="N218" i="8"/>
  <c r="N217" i="8"/>
  <c r="N216" i="8"/>
  <c r="N215" i="8"/>
  <c r="N214" i="8"/>
  <c r="N213" i="8"/>
  <c r="N212" i="8"/>
  <c r="N211" i="8"/>
  <c r="N210" i="8"/>
  <c r="N209" i="8"/>
  <c r="N208" i="8"/>
  <c r="N207" i="8"/>
  <c r="N206" i="8"/>
  <c r="N205" i="8"/>
  <c r="N204" i="8"/>
  <c r="N203" i="8"/>
  <c r="N202" i="8"/>
  <c r="N201" i="8"/>
  <c r="N200" i="8"/>
  <c r="N199" i="8"/>
  <c r="N198" i="8"/>
  <c r="N197" i="8"/>
  <c r="N196" i="8"/>
  <c r="N195" i="8"/>
  <c r="N194" i="8"/>
  <c r="N193" i="8"/>
  <c r="N192" i="8"/>
  <c r="N191" i="8"/>
  <c r="N190" i="8"/>
  <c r="N189" i="8"/>
  <c r="N188" i="8"/>
  <c r="N187" i="8"/>
  <c r="N186" i="8"/>
  <c r="N185" i="8"/>
  <c r="N184" i="8"/>
  <c r="N183" i="8"/>
  <c r="N182" i="8"/>
  <c r="N181" i="8"/>
  <c r="N180" i="8"/>
  <c r="N179" i="8"/>
  <c r="N178" i="8"/>
  <c r="N177" i="8"/>
  <c r="N176" i="8"/>
  <c r="N175" i="8"/>
  <c r="N174" i="8"/>
  <c r="N173" i="8"/>
  <c r="N172" i="8"/>
  <c r="N171" i="8"/>
  <c r="N170" i="8"/>
  <c r="N169" i="8"/>
  <c r="N168" i="8"/>
  <c r="N167" i="8"/>
  <c r="N166" i="8"/>
  <c r="N165" i="8"/>
  <c r="N164" i="8"/>
  <c r="N163" i="8"/>
  <c r="N162" i="8"/>
  <c r="N161" i="8"/>
  <c r="N160" i="8"/>
  <c r="N159" i="8"/>
  <c r="N158" i="8"/>
  <c r="N157" i="8"/>
  <c r="N156" i="8"/>
  <c r="N155" i="8"/>
  <c r="N154" i="8"/>
  <c r="N153" i="8"/>
  <c r="N152" i="8"/>
  <c r="N151" i="8"/>
  <c r="N150" i="8"/>
  <c r="N149" i="8"/>
  <c r="N148" i="8"/>
  <c r="N147" i="8"/>
  <c r="N146" i="8"/>
  <c r="N145" i="8"/>
  <c r="N144" i="8"/>
  <c r="N143" i="8"/>
  <c r="N142" i="8"/>
  <c r="N141" i="8"/>
  <c r="N140" i="8"/>
  <c r="N139" i="8"/>
  <c r="N138" i="8"/>
  <c r="N137" i="8"/>
  <c r="N136" i="8"/>
  <c r="N135" i="8"/>
  <c r="N134" i="8"/>
  <c r="N133" i="8"/>
  <c r="N132" i="8"/>
  <c r="N131" i="8"/>
  <c r="N130" i="8"/>
  <c r="N129" i="8"/>
  <c r="N128" i="8"/>
  <c r="N127" i="8"/>
  <c r="N126" i="8"/>
  <c r="N125" i="8"/>
  <c r="N124" i="8"/>
  <c r="N123" i="8"/>
  <c r="N122" i="8"/>
  <c r="N121" i="8"/>
  <c r="N120" i="8"/>
  <c r="N119" i="8"/>
  <c r="N118" i="8"/>
  <c r="N117" i="8"/>
  <c r="N116" i="8"/>
  <c r="N115" i="8"/>
  <c r="N114" i="8"/>
  <c r="N113" i="8"/>
  <c r="N112" i="8"/>
  <c r="N111" i="8"/>
  <c r="N110" i="8"/>
  <c r="N109" i="8"/>
  <c r="N108" i="8"/>
  <c r="N107" i="8"/>
  <c r="N106" i="8"/>
  <c r="N105" i="8"/>
  <c r="N104" i="8"/>
  <c r="N103" i="8"/>
  <c r="N102" i="8"/>
  <c r="N101" i="8"/>
  <c r="N100" i="8"/>
  <c r="N99" i="8"/>
  <c r="N98" i="8"/>
  <c r="N97" i="8"/>
  <c r="N96" i="8"/>
  <c r="N95" i="8"/>
  <c r="N94" i="8"/>
  <c r="N93" i="8"/>
  <c r="N92" i="8"/>
  <c r="N91" i="8"/>
  <c r="N90" i="8"/>
  <c r="N89" i="8"/>
  <c r="N88" i="8"/>
  <c r="N87" i="8"/>
  <c r="N86" i="8"/>
  <c r="N85" i="8"/>
  <c r="N84" i="8"/>
  <c r="N83" i="8"/>
  <c r="N82" i="8"/>
  <c r="N81" i="8"/>
  <c r="N80" i="8"/>
  <c r="N79" i="8"/>
  <c r="N78" i="8"/>
  <c r="N77" i="8"/>
  <c r="N76" i="8"/>
  <c r="N75" i="8"/>
  <c r="N74" i="8"/>
  <c r="N73" i="8"/>
  <c r="N72" i="8"/>
  <c r="N71" i="8"/>
  <c r="N70" i="8"/>
  <c r="N69" i="8"/>
  <c r="N68" i="8"/>
  <c r="N67" i="8"/>
  <c r="N66" i="8"/>
  <c r="N65" i="8"/>
  <c r="N64" i="8"/>
  <c r="N63" i="8"/>
  <c r="N62" i="8"/>
  <c r="N61" i="8"/>
  <c r="N60" i="8"/>
  <c r="N59" i="8"/>
  <c r="N58" i="8"/>
  <c r="N57" i="8"/>
  <c r="N56" i="8"/>
  <c r="N55" i="8"/>
  <c r="N54" i="8"/>
  <c r="N53" i="8"/>
  <c r="N52" i="8"/>
  <c r="N51" i="8"/>
  <c r="N50" i="8"/>
  <c r="N49" i="8"/>
  <c r="N48" i="8"/>
  <c r="N47" i="8"/>
  <c r="N46" i="8"/>
  <c r="N45" i="8"/>
  <c r="N44" i="8"/>
  <c r="N43" i="8"/>
  <c r="N42" i="8"/>
  <c r="N41" i="8"/>
  <c r="N40" i="8"/>
  <c r="N39" i="8"/>
  <c r="N38" i="8"/>
  <c r="N37" i="8"/>
  <c r="N36" i="8"/>
  <c r="N35" i="8"/>
  <c r="N34" i="8"/>
  <c r="N33" i="8"/>
  <c r="N32" i="8"/>
  <c r="N31" i="8"/>
  <c r="N30" i="8"/>
  <c r="N29" i="8"/>
  <c r="N28" i="8"/>
  <c r="N27" i="8"/>
  <c r="N26" i="8"/>
  <c r="N25" i="8"/>
  <c r="N24" i="8"/>
  <c r="N23" i="8"/>
  <c r="N22" i="8"/>
  <c r="N21" i="8"/>
  <c r="N20" i="8"/>
  <c r="N19" i="8"/>
  <c r="N18" i="8"/>
  <c r="N17" i="8"/>
  <c r="N16" i="8"/>
  <c r="N15" i="8"/>
  <c r="N14" i="8"/>
  <c r="N13" i="8"/>
  <c r="N12" i="8"/>
  <c r="N11" i="8"/>
  <c r="N10" i="8"/>
  <c r="N9" i="8"/>
  <c r="N8" i="8"/>
  <c r="N7" i="8"/>
  <c r="N6" i="8"/>
  <c r="N5" i="8"/>
  <c r="N4" i="8"/>
  <c r="N3" i="8"/>
  <c r="L252" i="8"/>
  <c r="L251" i="8"/>
  <c r="L250" i="8"/>
  <c r="L249" i="8"/>
  <c r="L248" i="8"/>
  <c r="L247" i="8"/>
  <c r="L246" i="8"/>
  <c r="L245" i="8"/>
  <c r="L244" i="8"/>
  <c r="L243" i="8"/>
  <c r="L242" i="8"/>
  <c r="L241" i="8"/>
  <c r="L240" i="8"/>
  <c r="L239" i="8"/>
  <c r="L238" i="8"/>
  <c r="L237" i="8"/>
  <c r="L236" i="8"/>
  <c r="L235" i="8"/>
  <c r="L234" i="8"/>
  <c r="L233" i="8"/>
  <c r="L232" i="8"/>
  <c r="L231" i="8"/>
  <c r="L230" i="8"/>
  <c r="L229" i="8"/>
  <c r="L228" i="8"/>
  <c r="L227" i="8"/>
  <c r="L226" i="8"/>
  <c r="L225" i="8"/>
  <c r="L224" i="8"/>
  <c r="L223" i="8"/>
  <c r="L222" i="8"/>
  <c r="L221" i="8"/>
  <c r="L220" i="8"/>
  <c r="L219" i="8"/>
  <c r="L218" i="8"/>
  <c r="L217" i="8"/>
  <c r="L216" i="8"/>
  <c r="L215" i="8"/>
  <c r="L214" i="8"/>
  <c r="L213" i="8"/>
  <c r="L212" i="8"/>
  <c r="L211" i="8"/>
  <c r="L210" i="8"/>
  <c r="L209" i="8"/>
  <c r="L208" i="8"/>
  <c r="L207" i="8"/>
  <c r="L206" i="8"/>
  <c r="L205" i="8"/>
  <c r="L204" i="8"/>
  <c r="L203" i="8"/>
  <c r="L202" i="8"/>
  <c r="L201" i="8"/>
  <c r="L200" i="8"/>
  <c r="L199" i="8"/>
  <c r="L198" i="8"/>
  <c r="L197" i="8"/>
  <c r="L196" i="8"/>
  <c r="L195" i="8"/>
  <c r="L194" i="8"/>
  <c r="L193" i="8"/>
  <c r="L192" i="8"/>
  <c r="L191" i="8"/>
  <c r="L190" i="8"/>
  <c r="L189" i="8"/>
  <c r="L188" i="8"/>
  <c r="L187" i="8"/>
  <c r="L186" i="8"/>
  <c r="L185" i="8"/>
  <c r="L184" i="8"/>
  <c r="L183" i="8"/>
  <c r="L182" i="8"/>
  <c r="L181" i="8"/>
  <c r="L180" i="8"/>
  <c r="L179" i="8"/>
  <c r="L178" i="8"/>
  <c r="L177" i="8"/>
  <c r="L176" i="8"/>
  <c r="L175" i="8"/>
  <c r="L174" i="8"/>
  <c r="L173" i="8"/>
  <c r="L172" i="8"/>
  <c r="L171" i="8"/>
  <c r="L170" i="8"/>
  <c r="L169" i="8"/>
  <c r="L168" i="8"/>
  <c r="L167" i="8"/>
  <c r="L166" i="8"/>
  <c r="L165" i="8"/>
  <c r="L164" i="8"/>
  <c r="L163" i="8"/>
  <c r="L162" i="8"/>
  <c r="L161" i="8"/>
  <c r="L160" i="8"/>
  <c r="L159" i="8"/>
  <c r="L158" i="8"/>
  <c r="L157" i="8"/>
  <c r="L156" i="8"/>
  <c r="L155" i="8"/>
  <c r="L154" i="8"/>
  <c r="L153" i="8"/>
  <c r="L152" i="8"/>
  <c r="L151" i="8"/>
  <c r="L150" i="8"/>
  <c r="L149" i="8"/>
  <c r="L148" i="8"/>
  <c r="L147" i="8"/>
  <c r="L146" i="8"/>
  <c r="L145" i="8"/>
  <c r="L144" i="8"/>
  <c r="L143" i="8"/>
  <c r="L142" i="8"/>
  <c r="L141" i="8"/>
  <c r="L140" i="8"/>
  <c r="L139" i="8"/>
  <c r="L138" i="8"/>
  <c r="L137" i="8"/>
  <c r="L136" i="8"/>
  <c r="L135" i="8"/>
  <c r="L134" i="8"/>
  <c r="L133" i="8"/>
  <c r="L132" i="8"/>
  <c r="L131" i="8"/>
  <c r="L130" i="8"/>
  <c r="L129" i="8"/>
  <c r="L128" i="8"/>
  <c r="L127" i="8"/>
  <c r="L126" i="8"/>
  <c r="L125" i="8"/>
  <c r="L124" i="8"/>
  <c r="L123" i="8"/>
  <c r="L122" i="8"/>
  <c r="L121" i="8"/>
  <c r="L120" i="8"/>
  <c r="L119" i="8"/>
  <c r="L118" i="8"/>
  <c r="L117" i="8"/>
  <c r="L116" i="8"/>
  <c r="L115" i="8"/>
  <c r="L114" i="8"/>
  <c r="L113" i="8"/>
  <c r="L112" i="8"/>
  <c r="L111" i="8"/>
  <c r="L110" i="8"/>
  <c r="L109" i="8"/>
  <c r="L108" i="8"/>
  <c r="L107" i="8"/>
  <c r="L106" i="8"/>
  <c r="L105" i="8"/>
  <c r="L104" i="8"/>
  <c r="L103" i="8"/>
  <c r="L102" i="8"/>
  <c r="L101" i="8"/>
  <c r="L100" i="8"/>
  <c r="L99" i="8"/>
  <c r="L98" i="8"/>
  <c r="L97" i="8"/>
  <c r="L96" i="8"/>
  <c r="L95" i="8"/>
  <c r="L94" i="8"/>
  <c r="L93" i="8"/>
  <c r="L92" i="8"/>
  <c r="L91" i="8"/>
  <c r="L90" i="8"/>
  <c r="L89" i="8"/>
  <c r="L88" i="8"/>
  <c r="L87" i="8"/>
  <c r="L86" i="8"/>
  <c r="L85" i="8"/>
  <c r="L84" i="8"/>
  <c r="L83" i="8"/>
  <c r="L82" i="8"/>
  <c r="L81" i="8"/>
  <c r="L80" i="8"/>
  <c r="L79" i="8"/>
  <c r="L78" i="8"/>
  <c r="L77" i="8"/>
  <c r="L76" i="8"/>
  <c r="L75" i="8"/>
  <c r="L74" i="8"/>
  <c r="L73" i="8"/>
  <c r="L72" i="8"/>
  <c r="L71" i="8"/>
  <c r="L70" i="8"/>
  <c r="L69" i="8"/>
  <c r="L68" i="8"/>
  <c r="L67" i="8"/>
  <c r="L66" i="8"/>
  <c r="L65" i="8"/>
  <c r="L64" i="8"/>
  <c r="L63" i="8"/>
  <c r="L62" i="8"/>
  <c r="L61" i="8"/>
  <c r="L60" i="8"/>
  <c r="L59" i="8"/>
  <c r="L58" i="8"/>
  <c r="L57" i="8"/>
  <c r="L56" i="8"/>
  <c r="L55" i="8"/>
  <c r="L54" i="8"/>
  <c r="L53" i="8"/>
  <c r="L52" i="8"/>
  <c r="L51" i="8"/>
  <c r="L50" i="8"/>
  <c r="L49" i="8"/>
  <c r="L48" i="8"/>
  <c r="L47" i="8"/>
  <c r="L46" i="8"/>
  <c r="L45" i="8"/>
  <c r="L44" i="8"/>
  <c r="L43" i="8"/>
  <c r="L42" i="8"/>
  <c r="L41" i="8"/>
  <c r="L40" i="8"/>
  <c r="L39" i="8"/>
  <c r="L38" i="8"/>
  <c r="L37" i="8"/>
  <c r="L36" i="8"/>
  <c r="L35" i="8"/>
  <c r="L34" i="8"/>
  <c r="L33" i="8"/>
  <c r="L32" i="8"/>
  <c r="L31" i="8"/>
  <c r="L30" i="8"/>
  <c r="L29" i="8"/>
  <c r="L28" i="8"/>
  <c r="L27" i="8"/>
  <c r="L26" i="8"/>
  <c r="L25" i="8"/>
  <c r="L24" i="8"/>
  <c r="L23" i="8"/>
  <c r="L22" i="8"/>
  <c r="L21" i="8"/>
  <c r="L20" i="8"/>
  <c r="L19" i="8"/>
  <c r="L18" i="8"/>
  <c r="L17" i="8"/>
  <c r="L16" i="8"/>
  <c r="L15" i="8"/>
  <c r="L14" i="8"/>
  <c r="L13" i="8"/>
  <c r="L12" i="8"/>
  <c r="L11" i="8"/>
  <c r="L10" i="8"/>
  <c r="L9" i="8"/>
  <c r="L8" i="8"/>
  <c r="L7" i="8"/>
  <c r="L6" i="8"/>
  <c r="L5" i="8"/>
  <c r="L4" i="8"/>
  <c r="L3" i="8"/>
  <c r="J252" i="8"/>
  <c r="J251" i="8"/>
  <c r="J250" i="8"/>
  <c r="J249" i="8"/>
  <c r="J248" i="8"/>
  <c r="J247" i="8"/>
  <c r="J246" i="8"/>
  <c r="J245" i="8"/>
  <c r="J244" i="8"/>
  <c r="J243" i="8"/>
  <c r="J242" i="8"/>
  <c r="J241" i="8"/>
  <c r="J240" i="8"/>
  <c r="J239" i="8"/>
  <c r="J238" i="8"/>
  <c r="J237" i="8"/>
  <c r="J236" i="8"/>
  <c r="J235" i="8"/>
  <c r="J234" i="8"/>
  <c r="J233" i="8"/>
  <c r="J232" i="8"/>
  <c r="J231" i="8"/>
  <c r="J230" i="8"/>
  <c r="J229" i="8"/>
  <c r="J228" i="8"/>
  <c r="J227" i="8"/>
  <c r="J226" i="8"/>
  <c r="J225" i="8"/>
  <c r="J224" i="8"/>
  <c r="J223" i="8"/>
  <c r="J222" i="8"/>
  <c r="J221" i="8"/>
  <c r="J220" i="8"/>
  <c r="J219" i="8"/>
  <c r="J218" i="8"/>
  <c r="J217" i="8"/>
  <c r="J216" i="8"/>
  <c r="J215" i="8"/>
  <c r="J214" i="8"/>
  <c r="J213" i="8"/>
  <c r="J212" i="8"/>
  <c r="J211" i="8"/>
  <c r="J210" i="8"/>
  <c r="J209" i="8"/>
  <c r="J208" i="8"/>
  <c r="J207" i="8"/>
  <c r="J206" i="8"/>
  <c r="J205" i="8"/>
  <c r="J204" i="8"/>
  <c r="J203" i="8"/>
  <c r="J202" i="8"/>
  <c r="J201" i="8"/>
  <c r="J200" i="8"/>
  <c r="J199" i="8"/>
  <c r="J198" i="8"/>
  <c r="J197" i="8"/>
  <c r="J196" i="8"/>
  <c r="J195" i="8"/>
  <c r="J194" i="8"/>
  <c r="J193" i="8"/>
  <c r="J192" i="8"/>
  <c r="J191" i="8"/>
  <c r="J190" i="8"/>
  <c r="J189" i="8"/>
  <c r="J188" i="8"/>
  <c r="J187" i="8"/>
  <c r="J186" i="8"/>
  <c r="J185" i="8"/>
  <c r="J184" i="8"/>
  <c r="J183" i="8"/>
  <c r="J182" i="8"/>
  <c r="J181" i="8"/>
  <c r="J180" i="8"/>
  <c r="J179" i="8"/>
  <c r="J178" i="8"/>
  <c r="J177" i="8"/>
  <c r="J176" i="8"/>
  <c r="J175" i="8"/>
  <c r="J174" i="8"/>
  <c r="J173" i="8"/>
  <c r="J172" i="8"/>
  <c r="J171" i="8"/>
  <c r="J170" i="8"/>
  <c r="J169" i="8"/>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H252" i="8"/>
  <c r="H251" i="8"/>
  <c r="H250" i="8"/>
  <c r="H249" i="8"/>
  <c r="H248" i="8"/>
  <c r="H247" i="8"/>
  <c r="H246" i="8"/>
  <c r="H245" i="8"/>
  <c r="H244" i="8"/>
  <c r="H243" i="8"/>
  <c r="H242" i="8"/>
  <c r="H241" i="8"/>
  <c r="H240" i="8"/>
  <c r="H239" i="8"/>
  <c r="H238" i="8"/>
  <c r="H237" i="8"/>
  <c r="H236" i="8"/>
  <c r="H235" i="8"/>
  <c r="H234" i="8"/>
  <c r="H233" i="8"/>
  <c r="H232" i="8"/>
  <c r="H231" i="8"/>
  <c r="H230" i="8"/>
  <c r="H229" i="8"/>
  <c r="H228" i="8"/>
  <c r="H227" i="8"/>
  <c r="H226" i="8"/>
  <c r="H225" i="8"/>
  <c r="H224" i="8"/>
  <c r="H223" i="8"/>
  <c r="H222" i="8"/>
  <c r="H221" i="8"/>
  <c r="H220" i="8"/>
  <c r="H219" i="8"/>
  <c r="H218" i="8"/>
  <c r="H217" i="8"/>
  <c r="H216" i="8"/>
  <c r="H215" i="8"/>
  <c r="H214" i="8"/>
  <c r="H213" i="8"/>
  <c r="H212" i="8"/>
  <c r="H211" i="8"/>
  <c r="H210" i="8"/>
  <c r="H209" i="8"/>
  <c r="H208" i="8"/>
  <c r="H207" i="8"/>
  <c r="H206" i="8"/>
  <c r="H205" i="8"/>
  <c r="H204" i="8"/>
  <c r="H203" i="8"/>
  <c r="H202" i="8"/>
  <c r="H201" i="8"/>
  <c r="H200" i="8"/>
  <c r="H199" i="8"/>
  <c r="H198" i="8"/>
  <c r="H197" i="8"/>
  <c r="H196" i="8"/>
  <c r="H195" i="8"/>
  <c r="H194" i="8"/>
  <c r="H193" i="8"/>
  <c r="H192" i="8"/>
  <c r="H191" i="8"/>
  <c r="H190" i="8"/>
  <c r="H189" i="8"/>
  <c r="H188" i="8"/>
  <c r="H187" i="8"/>
  <c r="H186" i="8"/>
  <c r="H185" i="8"/>
  <c r="H184" i="8"/>
  <c r="H183" i="8"/>
  <c r="H182" i="8"/>
  <c r="H181" i="8"/>
  <c r="H180" i="8"/>
  <c r="H179" i="8"/>
  <c r="H178" i="8"/>
  <c r="H177" i="8"/>
  <c r="H176" i="8"/>
  <c r="H175" i="8"/>
  <c r="H174" i="8"/>
  <c r="H173" i="8"/>
  <c r="H172" i="8"/>
  <c r="H171" i="8"/>
  <c r="H170" i="8"/>
  <c r="H169" i="8"/>
  <c r="H168" i="8"/>
  <c r="H167" i="8"/>
  <c r="H166" i="8"/>
  <c r="H165" i="8"/>
  <c r="H164" i="8"/>
  <c r="H163" i="8"/>
  <c r="H162" i="8"/>
  <c r="H161" i="8"/>
  <c r="H160" i="8"/>
  <c r="H159" i="8"/>
  <c r="H158" i="8"/>
  <c r="H157" i="8"/>
  <c r="H156" i="8"/>
  <c r="H155" i="8"/>
  <c r="H154" i="8"/>
  <c r="H153" i="8"/>
  <c r="H152" i="8"/>
  <c r="H151" i="8"/>
  <c r="H150" i="8"/>
  <c r="H149" i="8"/>
  <c r="H148" i="8"/>
  <c r="H147" i="8"/>
  <c r="H146" i="8"/>
  <c r="H145" i="8"/>
  <c r="H144" i="8"/>
  <c r="H143" i="8"/>
  <c r="H142" i="8"/>
  <c r="H141" i="8"/>
  <c r="H140" i="8"/>
  <c r="H139" i="8"/>
  <c r="H138" i="8"/>
  <c r="H137" i="8"/>
  <c r="H136" i="8"/>
  <c r="H135" i="8"/>
  <c r="H134" i="8"/>
  <c r="H133" i="8"/>
  <c r="H132" i="8"/>
  <c r="H131" i="8"/>
  <c r="H130" i="8"/>
  <c r="H129" i="8"/>
  <c r="H128" i="8"/>
  <c r="H127" i="8"/>
  <c r="H126" i="8"/>
  <c r="H125" i="8"/>
  <c r="H124" i="8"/>
  <c r="H123" i="8"/>
  <c r="H122" i="8"/>
  <c r="H121" i="8"/>
  <c r="H120" i="8"/>
  <c r="H119" i="8"/>
  <c r="H118" i="8"/>
  <c r="H117" i="8"/>
  <c r="H116" i="8"/>
  <c r="H115" i="8"/>
  <c r="H114" i="8"/>
  <c r="H113" i="8"/>
  <c r="H112" i="8"/>
  <c r="H111" i="8"/>
  <c r="H110" i="8"/>
  <c r="H109" i="8"/>
  <c r="H108" i="8"/>
  <c r="H107" i="8"/>
  <c r="H106" i="8"/>
  <c r="H105" i="8"/>
  <c r="H104" i="8"/>
  <c r="H103" i="8"/>
  <c r="H102" i="8"/>
  <c r="H101" i="8"/>
  <c r="H100" i="8"/>
  <c r="H99" i="8"/>
  <c r="H98" i="8"/>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H19" i="8"/>
  <c r="H18" i="8"/>
  <c r="H17" i="8"/>
  <c r="H16" i="8"/>
  <c r="H15" i="8"/>
  <c r="H14" i="8"/>
  <c r="H13" i="8"/>
  <c r="H12" i="8"/>
  <c r="H11" i="8"/>
  <c r="H10" i="8"/>
  <c r="H9" i="8"/>
  <c r="H8" i="8"/>
  <c r="H7" i="8"/>
  <c r="H6" i="8"/>
  <c r="H5" i="8"/>
  <c r="H4" i="8"/>
  <c r="H3" i="8"/>
  <c r="F252" i="8"/>
  <c r="F251" i="8"/>
  <c r="F250" i="8"/>
  <c r="F249" i="8"/>
  <c r="F248" i="8"/>
  <c r="F247" i="8"/>
  <c r="F246" i="8"/>
  <c r="F245" i="8"/>
  <c r="F244" i="8"/>
  <c r="F243" i="8"/>
  <c r="F242" i="8"/>
  <c r="F241" i="8"/>
  <c r="F240" i="8"/>
  <c r="F239" i="8"/>
  <c r="F238" i="8"/>
  <c r="F237" i="8"/>
  <c r="F236" i="8"/>
  <c r="F235" i="8"/>
  <c r="F234" i="8"/>
  <c r="F233" i="8"/>
  <c r="F232" i="8"/>
  <c r="F231" i="8"/>
  <c r="F230" i="8"/>
  <c r="F229" i="8"/>
  <c r="F228" i="8"/>
  <c r="F227" i="8"/>
  <c r="F226" i="8"/>
  <c r="F225" i="8"/>
  <c r="F224" i="8"/>
  <c r="F223" i="8"/>
  <c r="F222" i="8"/>
  <c r="F221" i="8"/>
  <c r="F220" i="8"/>
  <c r="F219" i="8"/>
  <c r="F218" i="8"/>
  <c r="F217" i="8"/>
  <c r="F216" i="8"/>
  <c r="F215" i="8"/>
  <c r="F214" i="8"/>
  <c r="F213" i="8"/>
  <c r="F212" i="8"/>
  <c r="F211" i="8"/>
  <c r="F210" i="8"/>
  <c r="F209" i="8"/>
  <c r="F208" i="8"/>
  <c r="F207" i="8"/>
  <c r="F206" i="8"/>
  <c r="F205" i="8"/>
  <c r="F204" i="8"/>
  <c r="F203" i="8"/>
  <c r="F202" i="8"/>
  <c r="F201" i="8"/>
  <c r="F200" i="8"/>
  <c r="F199" i="8"/>
  <c r="F198" i="8"/>
  <c r="F197" i="8"/>
  <c r="F196" i="8"/>
  <c r="F195" i="8"/>
  <c r="F194" i="8"/>
  <c r="F193" i="8"/>
  <c r="F192" i="8"/>
  <c r="F191" i="8"/>
  <c r="F190" i="8"/>
  <c r="F189" i="8"/>
  <c r="F188" i="8"/>
  <c r="F187" i="8"/>
  <c r="F186" i="8"/>
  <c r="F185" i="8"/>
  <c r="F184" i="8"/>
  <c r="F183" i="8"/>
  <c r="F182" i="8"/>
  <c r="F181" i="8"/>
  <c r="F180" i="8"/>
  <c r="F179" i="8"/>
  <c r="F178" i="8"/>
  <c r="F177" i="8"/>
  <c r="F176" i="8"/>
  <c r="F175" i="8"/>
  <c r="F174" i="8"/>
  <c r="F173" i="8"/>
  <c r="F172" i="8"/>
  <c r="F171" i="8"/>
  <c r="F170" i="8"/>
  <c r="F169" i="8"/>
  <c r="F168" i="8"/>
  <c r="F167" i="8"/>
  <c r="F166" i="8"/>
  <c r="F165" i="8"/>
  <c r="F164" i="8"/>
  <c r="F163" i="8"/>
  <c r="F162" i="8"/>
  <c r="F161" i="8"/>
  <c r="F160" i="8"/>
  <c r="F159" i="8"/>
  <c r="F158" i="8"/>
  <c r="F157" i="8"/>
  <c r="F156" i="8"/>
  <c r="F155" i="8"/>
  <c r="F154" i="8"/>
  <c r="F153" i="8"/>
  <c r="F152" i="8"/>
  <c r="F151" i="8"/>
  <c r="F150" i="8"/>
  <c r="F149" i="8"/>
  <c r="F148" i="8"/>
  <c r="F147" i="8"/>
  <c r="F146" i="8"/>
  <c r="F145" i="8"/>
  <c r="F144" i="8"/>
  <c r="F143" i="8"/>
  <c r="F142" i="8"/>
  <c r="F141" i="8"/>
  <c r="F140" i="8"/>
  <c r="F139" i="8"/>
  <c r="F138" i="8"/>
  <c r="F137" i="8"/>
  <c r="F136" i="8"/>
  <c r="F135" i="8"/>
  <c r="F134" i="8"/>
  <c r="F133" i="8"/>
  <c r="F132" i="8"/>
  <c r="F131" i="8"/>
  <c r="F130" i="8"/>
  <c r="F129" i="8"/>
  <c r="F128" i="8"/>
  <c r="F127" i="8"/>
  <c r="F126" i="8"/>
  <c r="F125" i="8"/>
  <c r="F124" i="8"/>
  <c r="F123" i="8"/>
  <c r="F122" i="8"/>
  <c r="F121" i="8"/>
  <c r="F120" i="8"/>
  <c r="F119" i="8"/>
  <c r="F118" i="8"/>
  <c r="F117" i="8"/>
  <c r="F116" i="8"/>
  <c r="F115" i="8"/>
  <c r="F114" i="8"/>
  <c r="F113" i="8"/>
  <c r="F112" i="8"/>
  <c r="F111" i="8"/>
  <c r="F110" i="8"/>
  <c r="F109" i="8"/>
  <c r="F108" i="8"/>
  <c r="F107" i="8"/>
  <c r="F106" i="8"/>
  <c r="F105" i="8"/>
  <c r="F104" i="8"/>
  <c r="F103" i="8"/>
  <c r="F102" i="8"/>
  <c r="F101" i="8"/>
  <c r="F100" i="8"/>
  <c r="F99" i="8"/>
  <c r="F98" i="8"/>
  <c r="F97" i="8"/>
  <c r="F96" i="8"/>
  <c r="F95" i="8"/>
  <c r="F94" i="8"/>
  <c r="F93" i="8"/>
  <c r="F92" i="8"/>
  <c r="F91" i="8"/>
  <c r="F90" i="8"/>
  <c r="F89" i="8"/>
  <c r="F88" i="8"/>
  <c r="F87" i="8"/>
  <c r="F86" i="8"/>
  <c r="F85" i="8"/>
  <c r="F84" i="8"/>
  <c r="F83" i="8"/>
  <c r="F82" i="8"/>
  <c r="F81" i="8"/>
  <c r="F80" i="8"/>
  <c r="F79" i="8"/>
  <c r="F78" i="8"/>
  <c r="F77" i="8"/>
  <c r="F76" i="8"/>
  <c r="F75" i="8"/>
  <c r="F74" i="8"/>
  <c r="F73" i="8"/>
  <c r="F72" i="8"/>
  <c r="F71" i="8"/>
  <c r="F70" i="8"/>
  <c r="F69" i="8"/>
  <c r="F68" i="8"/>
  <c r="F67" i="8"/>
  <c r="F66" i="8"/>
  <c r="F65" i="8"/>
  <c r="F64" i="8"/>
  <c r="F63" i="8"/>
  <c r="F62" i="8"/>
  <c r="F61" i="8"/>
  <c r="F60" i="8"/>
  <c r="F59" i="8"/>
  <c r="F58" i="8"/>
  <c r="F57" i="8"/>
  <c r="F56" i="8"/>
  <c r="F55" i="8"/>
  <c r="F54" i="8"/>
  <c r="F53" i="8"/>
  <c r="F52" i="8"/>
  <c r="F51" i="8"/>
  <c r="F50" i="8"/>
  <c r="F49" i="8"/>
  <c r="F48" i="8"/>
  <c r="F47" i="8"/>
  <c r="F46" i="8"/>
  <c r="F45" i="8"/>
  <c r="F44" i="8"/>
  <c r="F43" i="8"/>
  <c r="F42" i="8"/>
  <c r="F41" i="8"/>
  <c r="F40" i="8"/>
  <c r="F39" i="8"/>
  <c r="F38" i="8"/>
  <c r="F37" i="8"/>
  <c r="F36" i="8"/>
  <c r="F35" i="8"/>
  <c r="F34" i="8"/>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F3" i="8"/>
  <c r="D252" i="8"/>
  <c r="D251" i="8"/>
  <c r="D250" i="8"/>
  <c r="D249" i="8"/>
  <c r="D248" i="8"/>
  <c r="D247" i="8"/>
  <c r="D246" i="8"/>
  <c r="D245" i="8"/>
  <c r="D244" i="8"/>
  <c r="D243" i="8"/>
  <c r="D242" i="8"/>
  <c r="D241" i="8"/>
  <c r="D240" i="8"/>
  <c r="D239" i="8"/>
  <c r="D238" i="8"/>
  <c r="D237" i="8"/>
  <c r="D236" i="8"/>
  <c r="D235" i="8"/>
  <c r="D234" i="8"/>
  <c r="D233" i="8"/>
  <c r="D232" i="8"/>
  <c r="D231" i="8"/>
  <c r="D230" i="8"/>
  <c r="D229" i="8"/>
  <c r="D228" i="8"/>
  <c r="D227" i="8"/>
  <c r="D226" i="8"/>
  <c r="D225" i="8"/>
  <c r="D224" i="8"/>
  <c r="D223" i="8"/>
  <c r="D222" i="8"/>
  <c r="D221" i="8"/>
  <c r="D220" i="8"/>
  <c r="D219" i="8"/>
  <c r="D218" i="8"/>
  <c r="D217" i="8"/>
  <c r="D216" i="8"/>
  <c r="D215" i="8"/>
  <c r="D214" i="8"/>
  <c r="D213" i="8"/>
  <c r="D212" i="8"/>
  <c r="D211" i="8"/>
  <c r="D210" i="8"/>
  <c r="D209" i="8"/>
  <c r="D208" i="8"/>
  <c r="D207" i="8"/>
  <c r="D206" i="8"/>
  <c r="D205" i="8"/>
  <c r="D204" i="8"/>
  <c r="D203" i="8"/>
  <c r="D202" i="8"/>
  <c r="D201" i="8"/>
  <c r="D200" i="8"/>
  <c r="D199" i="8"/>
  <c r="D198" i="8"/>
  <c r="D197" i="8"/>
  <c r="D196" i="8"/>
  <c r="D195" i="8"/>
  <c r="D194" i="8"/>
  <c r="D193" i="8"/>
  <c r="D192" i="8"/>
  <c r="D191" i="8"/>
  <c r="D190" i="8"/>
  <c r="D189" i="8"/>
  <c r="D188" i="8"/>
  <c r="D187" i="8"/>
  <c r="D186" i="8"/>
  <c r="D185" i="8"/>
  <c r="D184" i="8"/>
  <c r="D183" i="8"/>
  <c r="D182" i="8"/>
  <c r="D181" i="8"/>
  <c r="D180" i="8"/>
  <c r="D179" i="8"/>
  <c r="D178" i="8"/>
  <c r="D177" i="8"/>
  <c r="D176" i="8"/>
  <c r="D175" i="8"/>
  <c r="D174" i="8"/>
  <c r="D173" i="8"/>
  <c r="D172" i="8"/>
  <c r="D171" i="8"/>
  <c r="D170" i="8"/>
  <c r="D169" i="8"/>
  <c r="D168" i="8"/>
  <c r="D167" i="8"/>
  <c r="D166" i="8"/>
  <c r="D165" i="8"/>
  <c r="D164" i="8"/>
  <c r="D163" i="8"/>
  <c r="D162" i="8"/>
  <c r="D161" i="8"/>
  <c r="D160" i="8"/>
  <c r="D159" i="8"/>
  <c r="D158" i="8"/>
  <c r="D157" i="8"/>
  <c r="D156" i="8"/>
  <c r="D155" i="8"/>
  <c r="D154" i="8"/>
  <c r="D153" i="8"/>
  <c r="D152" i="8"/>
  <c r="D151" i="8"/>
  <c r="D150" i="8"/>
  <c r="D149" i="8"/>
  <c r="D148" i="8"/>
  <c r="D147" i="8"/>
  <c r="D146" i="8"/>
  <c r="D145" i="8"/>
  <c r="D144" i="8"/>
  <c r="D143" i="8"/>
  <c r="D142" i="8"/>
  <c r="D141" i="8"/>
  <c r="D140" i="8"/>
  <c r="D139" i="8"/>
  <c r="D138" i="8"/>
  <c r="D137" i="8"/>
  <c r="D136" i="8"/>
  <c r="D135" i="8"/>
  <c r="D134" i="8"/>
  <c r="D133" i="8"/>
  <c r="D132" i="8"/>
  <c r="D131" i="8"/>
  <c r="D130" i="8"/>
  <c r="D129" i="8"/>
  <c r="D128" i="8"/>
  <c r="D127" i="8"/>
  <c r="D126" i="8"/>
  <c r="D125" i="8"/>
  <c r="D124" i="8"/>
  <c r="D123" i="8"/>
  <c r="D122" i="8"/>
  <c r="D121" i="8"/>
  <c r="D120" i="8"/>
  <c r="D119" i="8"/>
  <c r="D118" i="8"/>
  <c r="D117" i="8"/>
  <c r="D116" i="8"/>
  <c r="D115" i="8"/>
  <c r="D114" i="8"/>
  <c r="D113" i="8"/>
  <c r="D112" i="8"/>
  <c r="D111" i="8"/>
  <c r="D110" i="8"/>
  <c r="D109" i="8"/>
  <c r="D108" i="8"/>
  <c r="D107" i="8"/>
  <c r="D106" i="8"/>
  <c r="D105" i="8"/>
  <c r="D104" i="8"/>
  <c r="D103" i="8"/>
  <c r="D102" i="8"/>
  <c r="D101" i="8"/>
  <c r="D100" i="8"/>
  <c r="D99" i="8"/>
  <c r="D98" i="8"/>
  <c r="D97" i="8"/>
  <c r="D96" i="8"/>
  <c r="D95" i="8"/>
  <c r="D94" i="8"/>
  <c r="D93" i="8"/>
  <c r="D92" i="8"/>
  <c r="D91" i="8"/>
  <c r="D90" i="8"/>
  <c r="D89" i="8"/>
  <c r="D88" i="8"/>
  <c r="D87" i="8"/>
  <c r="D86" i="8"/>
  <c r="D85" i="8"/>
  <c r="D84" i="8"/>
  <c r="D83" i="8"/>
  <c r="D82" i="8"/>
  <c r="D81" i="8"/>
  <c r="D80" i="8"/>
  <c r="D79" i="8"/>
  <c r="D78" i="8"/>
  <c r="D77" i="8"/>
  <c r="D76" i="8"/>
  <c r="D75" i="8"/>
  <c r="D74" i="8"/>
  <c r="D73" i="8"/>
  <c r="D72" i="8"/>
  <c r="D71" i="8"/>
  <c r="D70" i="8"/>
  <c r="D69" i="8"/>
  <c r="D68" i="8"/>
  <c r="D67" i="8"/>
  <c r="D66" i="8"/>
  <c r="D65" i="8"/>
  <c r="D64" i="8"/>
  <c r="D63" i="8"/>
  <c r="D62" i="8"/>
  <c r="D61" i="8"/>
  <c r="D60" i="8"/>
  <c r="D59" i="8"/>
  <c r="D58" i="8"/>
  <c r="D57" i="8"/>
  <c r="D56" i="8"/>
  <c r="D55" i="8"/>
  <c r="D54" i="8"/>
  <c r="D53" i="8"/>
  <c r="D52" i="8"/>
  <c r="D51" i="8"/>
  <c r="D50" i="8"/>
  <c r="D49" i="8"/>
  <c r="D48" i="8"/>
  <c r="D47" i="8"/>
  <c r="D46" i="8"/>
  <c r="D45" i="8"/>
  <c r="D44" i="8"/>
  <c r="D43" i="8"/>
  <c r="D42" i="8"/>
  <c r="D41" i="8"/>
  <c r="D40" i="8"/>
  <c r="D39" i="8"/>
  <c r="D38" i="8"/>
  <c r="D37" i="8"/>
  <c r="D36" i="8"/>
  <c r="D35" i="8"/>
  <c r="D34" i="8"/>
  <c r="D33" i="8"/>
  <c r="D32" i="8"/>
  <c r="D31" i="8"/>
  <c r="D30" i="8"/>
  <c r="D29" i="8"/>
  <c r="D28" i="8"/>
  <c r="D27" i="8"/>
  <c r="D26" i="8"/>
  <c r="D25" i="8"/>
  <c r="D24" i="8"/>
  <c r="D23" i="8"/>
  <c r="D22" i="8"/>
  <c r="D21" i="8"/>
  <c r="D20" i="8"/>
  <c r="D19" i="8"/>
  <c r="D18" i="8"/>
  <c r="D17" i="8"/>
  <c r="D16" i="8"/>
  <c r="D15" i="8"/>
  <c r="D14" i="8"/>
  <c r="D13" i="8"/>
  <c r="D12" i="8"/>
  <c r="D11" i="8"/>
  <c r="D10" i="8"/>
  <c r="D9" i="8"/>
  <c r="D8" i="8"/>
  <c r="D7" i="8"/>
  <c r="D6" i="8"/>
  <c r="D5" i="8"/>
  <c r="D4" i="8"/>
  <c r="D3" i="8"/>
  <c r="B252" i="8"/>
  <c r="A252" i="8"/>
  <c r="B251" i="8"/>
  <c r="A251" i="8"/>
  <c r="B250" i="8"/>
  <c r="A250" i="8"/>
  <c r="B249" i="8"/>
  <c r="A249" i="8"/>
  <c r="B248" i="8"/>
  <c r="A248" i="8"/>
  <c r="B247" i="8"/>
  <c r="A247" i="8"/>
  <c r="B246" i="8"/>
  <c r="A246" i="8"/>
  <c r="B245" i="8"/>
  <c r="A245" i="8"/>
  <c r="B244" i="8"/>
  <c r="A244" i="8"/>
  <c r="B243" i="8"/>
  <c r="A243" i="8"/>
  <c r="B242" i="8"/>
  <c r="A242" i="8"/>
  <c r="B241" i="8"/>
  <c r="A241" i="8"/>
  <c r="B240" i="8"/>
  <c r="A240" i="8"/>
  <c r="B239" i="8"/>
  <c r="A239" i="8"/>
  <c r="B238" i="8"/>
  <c r="A238" i="8"/>
  <c r="B237" i="8"/>
  <c r="A237" i="8"/>
  <c r="B236" i="8"/>
  <c r="A236" i="8"/>
  <c r="B235" i="8"/>
  <c r="A235" i="8"/>
  <c r="B234" i="8"/>
  <c r="A234" i="8"/>
  <c r="B233" i="8"/>
  <c r="A233" i="8"/>
  <c r="B232" i="8"/>
  <c r="A232" i="8"/>
  <c r="B231" i="8"/>
  <c r="A231" i="8"/>
  <c r="B230" i="8"/>
  <c r="A230" i="8"/>
  <c r="B229" i="8"/>
  <c r="A229" i="8"/>
  <c r="B228" i="8"/>
  <c r="A228" i="8"/>
  <c r="B227" i="8"/>
  <c r="A227" i="8"/>
  <c r="B226" i="8"/>
  <c r="A226" i="8"/>
  <c r="B225" i="8"/>
  <c r="A225" i="8"/>
  <c r="B224" i="8"/>
  <c r="A224" i="8"/>
  <c r="B223" i="8"/>
  <c r="A223" i="8"/>
  <c r="B222" i="8"/>
  <c r="A222" i="8"/>
  <c r="B221" i="8"/>
  <c r="A221" i="8"/>
  <c r="B220" i="8"/>
  <c r="A220" i="8"/>
  <c r="B219" i="8"/>
  <c r="A219" i="8"/>
  <c r="B218" i="8"/>
  <c r="A218" i="8"/>
  <c r="B217" i="8"/>
  <c r="A217" i="8"/>
  <c r="B216" i="8"/>
  <c r="A216" i="8"/>
  <c r="B215" i="8"/>
  <c r="A215" i="8"/>
  <c r="B214" i="8"/>
  <c r="A214" i="8"/>
  <c r="B213" i="8"/>
  <c r="A213" i="8"/>
  <c r="B212" i="8"/>
  <c r="A212" i="8"/>
  <c r="B211" i="8"/>
  <c r="A211" i="8"/>
  <c r="B210" i="8"/>
  <c r="A210" i="8"/>
  <c r="B209" i="8"/>
  <c r="A209" i="8"/>
  <c r="B208" i="8"/>
  <c r="A208" i="8"/>
  <c r="B207" i="8"/>
  <c r="A207" i="8"/>
  <c r="B206" i="8"/>
  <c r="A206" i="8"/>
  <c r="B205" i="8"/>
  <c r="A205" i="8"/>
  <c r="B204" i="8"/>
  <c r="A204" i="8"/>
  <c r="B203" i="8"/>
  <c r="A203" i="8"/>
  <c r="B202" i="8"/>
  <c r="A202" i="8"/>
  <c r="B201" i="8"/>
  <c r="A201" i="8"/>
  <c r="B200" i="8"/>
  <c r="A200" i="8"/>
  <c r="B199" i="8"/>
  <c r="A199" i="8"/>
  <c r="B198" i="8"/>
  <c r="A198" i="8"/>
  <c r="B197" i="8"/>
  <c r="A197" i="8"/>
  <c r="B196" i="8"/>
  <c r="A196" i="8"/>
  <c r="B195" i="8"/>
  <c r="A195" i="8"/>
  <c r="B194" i="8"/>
  <c r="A194" i="8"/>
  <c r="B193" i="8"/>
  <c r="A193" i="8"/>
  <c r="B192" i="8"/>
  <c r="A192" i="8"/>
  <c r="B191" i="8"/>
  <c r="A191" i="8"/>
  <c r="B190" i="8"/>
  <c r="A190" i="8"/>
  <c r="B189" i="8"/>
  <c r="A189" i="8"/>
  <c r="B188" i="8"/>
  <c r="A188" i="8"/>
  <c r="B187" i="8"/>
  <c r="A187" i="8"/>
  <c r="B186" i="8"/>
  <c r="A186" i="8"/>
  <c r="B185" i="8"/>
  <c r="A185" i="8"/>
  <c r="B184" i="8"/>
  <c r="A184" i="8"/>
  <c r="B183" i="8"/>
  <c r="A183" i="8"/>
  <c r="B182" i="8"/>
  <c r="A182" i="8"/>
  <c r="B181" i="8"/>
  <c r="A181" i="8"/>
  <c r="B180" i="8"/>
  <c r="A180" i="8"/>
  <c r="B179" i="8"/>
  <c r="A179" i="8"/>
  <c r="B178" i="8"/>
  <c r="A178" i="8"/>
  <c r="B177" i="8"/>
  <c r="A177" i="8"/>
  <c r="B176" i="8"/>
  <c r="A176" i="8"/>
  <c r="B175" i="8"/>
  <c r="A175" i="8"/>
  <c r="B174" i="8"/>
  <c r="A174" i="8"/>
  <c r="B173" i="8"/>
  <c r="A173" i="8"/>
  <c r="B172" i="8"/>
  <c r="A172" i="8"/>
  <c r="B171" i="8"/>
  <c r="A171" i="8"/>
  <c r="B170" i="8"/>
  <c r="A170" i="8"/>
  <c r="B169" i="8"/>
  <c r="A169" i="8"/>
  <c r="B168" i="8"/>
  <c r="A168" i="8"/>
  <c r="B167" i="8"/>
  <c r="A167" i="8"/>
  <c r="B166" i="8"/>
  <c r="A166" i="8"/>
  <c r="B165" i="8"/>
  <c r="A165" i="8"/>
  <c r="B164" i="8"/>
  <c r="A164" i="8"/>
  <c r="B163" i="8"/>
  <c r="A163" i="8"/>
  <c r="B162" i="8"/>
  <c r="A162" i="8"/>
  <c r="B161" i="8"/>
  <c r="A161" i="8"/>
  <c r="B160" i="8"/>
  <c r="A160" i="8"/>
  <c r="B159" i="8"/>
  <c r="A159" i="8"/>
  <c r="B158" i="8"/>
  <c r="A158" i="8"/>
  <c r="B157" i="8"/>
  <c r="A157" i="8"/>
  <c r="B156" i="8"/>
  <c r="A156" i="8"/>
  <c r="B155" i="8"/>
  <c r="A155" i="8"/>
  <c r="B154" i="8"/>
  <c r="A154" i="8"/>
  <c r="B153" i="8"/>
  <c r="A153" i="8"/>
  <c r="B152" i="8"/>
  <c r="A152" i="8"/>
  <c r="B151" i="8"/>
  <c r="A151" i="8"/>
  <c r="B150" i="8"/>
  <c r="A150" i="8"/>
  <c r="B149" i="8"/>
  <c r="A149" i="8"/>
  <c r="B148" i="8"/>
  <c r="A148" i="8"/>
  <c r="B147" i="8"/>
  <c r="A147" i="8"/>
  <c r="B146" i="8"/>
  <c r="A146" i="8"/>
  <c r="B145" i="8"/>
  <c r="A145" i="8"/>
  <c r="B144" i="8"/>
  <c r="A144" i="8"/>
  <c r="B143" i="8"/>
  <c r="A143" i="8"/>
  <c r="B142" i="8"/>
  <c r="A142" i="8"/>
  <c r="B141" i="8"/>
  <c r="A141" i="8"/>
  <c r="B140" i="8"/>
  <c r="A140" i="8"/>
  <c r="B139" i="8"/>
  <c r="A139" i="8"/>
  <c r="B138" i="8"/>
  <c r="A138" i="8"/>
  <c r="B137" i="8"/>
  <c r="A137" i="8"/>
  <c r="B136" i="8"/>
  <c r="A136" i="8"/>
  <c r="B135" i="8"/>
  <c r="A135" i="8"/>
  <c r="B134" i="8"/>
  <c r="A134" i="8"/>
  <c r="B133" i="8"/>
  <c r="A133" i="8"/>
  <c r="B132" i="8"/>
  <c r="A132" i="8"/>
  <c r="B131" i="8"/>
  <c r="A131" i="8"/>
  <c r="B130" i="8"/>
  <c r="A130" i="8"/>
  <c r="B129" i="8"/>
  <c r="A129" i="8"/>
  <c r="B128" i="8"/>
  <c r="A128" i="8"/>
  <c r="B127" i="8"/>
  <c r="A127" i="8"/>
  <c r="B126" i="8"/>
  <c r="A126" i="8"/>
  <c r="B125" i="8"/>
  <c r="A125" i="8"/>
  <c r="B124" i="8"/>
  <c r="A124" i="8"/>
  <c r="B123" i="8"/>
  <c r="A123" i="8"/>
  <c r="B122" i="8"/>
  <c r="A122" i="8"/>
  <c r="B121" i="8"/>
  <c r="A121" i="8"/>
  <c r="B120" i="8"/>
  <c r="A120" i="8"/>
  <c r="B119" i="8"/>
  <c r="A119" i="8"/>
  <c r="B118" i="8"/>
  <c r="A118" i="8"/>
  <c r="B117" i="8"/>
  <c r="A117" i="8"/>
  <c r="B116" i="8"/>
  <c r="A116" i="8"/>
  <c r="B115" i="8"/>
  <c r="A115" i="8"/>
  <c r="B114" i="8"/>
  <c r="A114" i="8"/>
  <c r="B113" i="8"/>
  <c r="A113" i="8"/>
  <c r="B112" i="8"/>
  <c r="A112" i="8"/>
  <c r="B111" i="8"/>
  <c r="A111" i="8"/>
  <c r="B110" i="8"/>
  <c r="A110" i="8"/>
  <c r="B109" i="8"/>
  <c r="A109" i="8"/>
  <c r="B108" i="8"/>
  <c r="A108" i="8"/>
  <c r="B107" i="8"/>
  <c r="A107" i="8"/>
  <c r="B106" i="8"/>
  <c r="A106" i="8"/>
  <c r="B105" i="8"/>
  <c r="A105" i="8"/>
  <c r="B104" i="8"/>
  <c r="A104" i="8"/>
  <c r="B103" i="8"/>
  <c r="A103" i="8"/>
  <c r="B102" i="8"/>
  <c r="A102" i="8"/>
  <c r="B101" i="8"/>
  <c r="A101" i="8"/>
  <c r="B100" i="8"/>
  <c r="A100" i="8"/>
  <c r="B99" i="8"/>
  <c r="A99" i="8"/>
  <c r="B98" i="8"/>
  <c r="A98" i="8"/>
  <c r="B97" i="8"/>
  <c r="A97" i="8"/>
  <c r="B96" i="8"/>
  <c r="A96" i="8"/>
  <c r="B95" i="8"/>
  <c r="A95" i="8"/>
  <c r="B94" i="8"/>
  <c r="A94" i="8"/>
  <c r="B93" i="8"/>
  <c r="A93" i="8"/>
  <c r="B92" i="8"/>
  <c r="A92" i="8"/>
  <c r="B91" i="8"/>
  <c r="A91" i="8"/>
  <c r="B90" i="8"/>
  <c r="A90" i="8"/>
  <c r="B89" i="8"/>
  <c r="A89" i="8"/>
  <c r="B88" i="8"/>
  <c r="A88" i="8"/>
  <c r="B87" i="8"/>
  <c r="A87" i="8"/>
  <c r="B86" i="8"/>
  <c r="A86" i="8"/>
  <c r="B85" i="8"/>
  <c r="A85" i="8"/>
  <c r="B84" i="8"/>
  <c r="A84" i="8"/>
  <c r="B83" i="8"/>
  <c r="A83" i="8"/>
  <c r="B82" i="8"/>
  <c r="A82" i="8"/>
  <c r="B81" i="8"/>
  <c r="A81" i="8"/>
  <c r="B80" i="8"/>
  <c r="A80" i="8"/>
  <c r="B79" i="8"/>
  <c r="A79" i="8"/>
  <c r="B78" i="8"/>
  <c r="A78" i="8"/>
  <c r="B77" i="8"/>
  <c r="A77" i="8"/>
  <c r="B76" i="8"/>
  <c r="A76" i="8"/>
  <c r="B75" i="8"/>
  <c r="A75" i="8"/>
  <c r="B74" i="8"/>
  <c r="A74" i="8"/>
  <c r="B73" i="8"/>
  <c r="A73" i="8"/>
  <c r="B72" i="8"/>
  <c r="A72" i="8"/>
  <c r="B71" i="8"/>
  <c r="A71" i="8"/>
  <c r="B70" i="8"/>
  <c r="A70" i="8"/>
  <c r="B69" i="8"/>
  <c r="A69" i="8"/>
  <c r="B68" i="8"/>
  <c r="A68" i="8"/>
  <c r="B67" i="8"/>
  <c r="A67" i="8"/>
  <c r="B66" i="8"/>
  <c r="A66" i="8"/>
  <c r="B65" i="8"/>
  <c r="A65" i="8"/>
  <c r="B64" i="8"/>
  <c r="A64" i="8"/>
  <c r="B63" i="8"/>
  <c r="A63" i="8"/>
  <c r="B62" i="8"/>
  <c r="A62" i="8"/>
  <c r="B61" i="8"/>
  <c r="A61" i="8"/>
  <c r="B60" i="8"/>
  <c r="A60" i="8"/>
  <c r="B59" i="8"/>
  <c r="A59" i="8"/>
  <c r="B58" i="8"/>
  <c r="A58" i="8"/>
  <c r="B57" i="8"/>
  <c r="A57" i="8"/>
  <c r="B56" i="8"/>
  <c r="A56" i="8"/>
  <c r="B55" i="8"/>
  <c r="A55" i="8"/>
  <c r="B54" i="8"/>
  <c r="A54" i="8"/>
  <c r="B53" i="8"/>
  <c r="A53" i="8"/>
  <c r="B52" i="8"/>
  <c r="A52" i="8"/>
  <c r="B51" i="8"/>
  <c r="A51" i="8"/>
  <c r="B50" i="8"/>
  <c r="A50" i="8"/>
  <c r="B49" i="8"/>
  <c r="A49" i="8"/>
  <c r="B48" i="8"/>
  <c r="A48" i="8"/>
  <c r="B47" i="8"/>
  <c r="A47" i="8"/>
  <c r="B46" i="8"/>
  <c r="A46" i="8"/>
  <c r="B45" i="8"/>
  <c r="A45" i="8"/>
  <c r="B44" i="8"/>
  <c r="A44" i="8"/>
  <c r="B43" i="8"/>
  <c r="A43" i="8"/>
  <c r="B42" i="8"/>
  <c r="A42" i="8"/>
  <c r="B41" i="8"/>
  <c r="A41" i="8"/>
  <c r="B40" i="8"/>
  <c r="A40" i="8"/>
  <c r="B39" i="8"/>
  <c r="A39" i="8"/>
  <c r="B38" i="8"/>
  <c r="A38" i="8"/>
  <c r="B37" i="8"/>
  <c r="A37" i="8"/>
  <c r="B36" i="8"/>
  <c r="A36" i="8"/>
  <c r="B35" i="8"/>
  <c r="A35" i="8"/>
  <c r="B34" i="8"/>
  <c r="A34" i="8"/>
  <c r="B33" i="8"/>
  <c r="A33" i="8"/>
  <c r="B32" i="8"/>
  <c r="A32" i="8"/>
  <c r="B31" i="8"/>
  <c r="A31" i="8"/>
  <c r="B30" i="8"/>
  <c r="A30" i="8"/>
  <c r="B29" i="8"/>
  <c r="A29" i="8"/>
  <c r="B28" i="8"/>
  <c r="A28" i="8"/>
  <c r="B27" i="8"/>
  <c r="A27" i="8"/>
  <c r="B26" i="8"/>
  <c r="A26" i="8"/>
  <c r="B25" i="8"/>
  <c r="A25" i="8"/>
  <c r="B24" i="8"/>
  <c r="A24" i="8"/>
  <c r="B23" i="8"/>
  <c r="A23" i="8"/>
  <c r="B22" i="8"/>
  <c r="A22" i="8"/>
  <c r="B21" i="8"/>
  <c r="A21" i="8"/>
  <c r="B20" i="8"/>
  <c r="A20" i="8"/>
  <c r="B19" i="8"/>
  <c r="A19" i="8"/>
  <c r="B18" i="8"/>
  <c r="A18" i="8"/>
  <c r="B17" i="8"/>
  <c r="A17" i="8"/>
  <c r="B16" i="8"/>
  <c r="A16" i="8"/>
  <c r="B15" i="8"/>
  <c r="A15" i="8"/>
  <c r="B14" i="8"/>
  <c r="A14" i="8"/>
  <c r="B13" i="8"/>
  <c r="A13" i="8"/>
  <c r="B12" i="8"/>
  <c r="A12" i="8"/>
  <c r="B11" i="8"/>
  <c r="A11" i="8"/>
  <c r="B10" i="8"/>
  <c r="A10" i="8"/>
  <c r="B9" i="8"/>
  <c r="A9" i="8"/>
  <c r="B8" i="8"/>
  <c r="A8" i="8"/>
  <c r="B7" i="8"/>
  <c r="A7" i="8"/>
  <c r="B6" i="8"/>
  <c r="A6" i="8"/>
  <c r="B5" i="8"/>
  <c r="A5" i="8"/>
  <c r="B4" i="8"/>
  <c r="A4" i="8"/>
  <c r="B3" i="8"/>
  <c r="A3" i="8"/>
  <c r="B2" i="8"/>
  <c r="BE132" i="8" l="1"/>
  <c r="AK147" i="8"/>
  <c r="AK171" i="8"/>
  <c r="AK195" i="8"/>
  <c r="AK219" i="8"/>
  <c r="AK243" i="8"/>
  <c r="AM17" i="8"/>
  <c r="AM41" i="8"/>
  <c r="AM65" i="8"/>
  <c r="AM89" i="8"/>
  <c r="AM113" i="8"/>
  <c r="AM137" i="8"/>
  <c r="AM161" i="8"/>
  <c r="AM185" i="8"/>
  <c r="AM209" i="8"/>
  <c r="AM233" i="8"/>
  <c r="AO7" i="8"/>
  <c r="AO31" i="8"/>
  <c r="AO55" i="8"/>
  <c r="AO79" i="8"/>
  <c r="AO103" i="8"/>
  <c r="AO115" i="8"/>
  <c r="AO163" i="8"/>
  <c r="AO187" i="8"/>
  <c r="AO199" i="8"/>
  <c r="AO223" i="8"/>
  <c r="AO235" i="8"/>
  <c r="AQ9" i="8"/>
  <c r="AQ21" i="8"/>
  <c r="AQ45" i="8"/>
  <c r="AQ57" i="8"/>
  <c r="AQ69" i="8"/>
  <c r="AQ93" i="8"/>
  <c r="AQ105" i="8"/>
  <c r="AQ117" i="8"/>
  <c r="AQ129" i="8"/>
  <c r="AQ153" i="8"/>
  <c r="AQ165" i="8"/>
  <c r="AQ177" i="8"/>
  <c r="AQ189" i="8"/>
  <c r="AQ201" i="8"/>
  <c r="AQ213" i="8"/>
  <c r="AQ225" i="8"/>
  <c r="AQ237" i="8"/>
  <c r="AQ249" i="8"/>
  <c r="AS11" i="8"/>
  <c r="AS23" i="8"/>
  <c r="AS47" i="8"/>
  <c r="AS59" i="8"/>
  <c r="AS71" i="8"/>
  <c r="AS83" i="8"/>
  <c r="AS95" i="8"/>
  <c r="AS107" i="8"/>
  <c r="AS119" i="8"/>
  <c r="AS131" i="8"/>
  <c r="AS143" i="8"/>
  <c r="AS155" i="8"/>
  <c r="AS167" i="8"/>
  <c r="AS179" i="8"/>
  <c r="AS191" i="8"/>
  <c r="AS203" i="8"/>
  <c r="AS215" i="8"/>
  <c r="AS227" i="8"/>
  <c r="AS239" i="8"/>
  <c r="AS251" i="8"/>
  <c r="AU13" i="8"/>
  <c r="AU25" i="8"/>
  <c r="AU37" i="8"/>
  <c r="AU49" i="8"/>
  <c r="AU61" i="8"/>
  <c r="AU73" i="8"/>
  <c r="AU85" i="8"/>
  <c r="AU97" i="8"/>
  <c r="AU109" i="8"/>
  <c r="AU121" i="8"/>
  <c r="AU145" i="8"/>
  <c r="AU157" i="8"/>
  <c r="AU169" i="8"/>
  <c r="AU181" i="8"/>
  <c r="AU193" i="8"/>
  <c r="AU205" i="8"/>
  <c r="AU217" i="8"/>
  <c r="AU229" i="8"/>
  <c r="AU241" i="8"/>
  <c r="AW15" i="8"/>
  <c r="AW27" i="8"/>
  <c r="AW39" i="8"/>
  <c r="AW51" i="8"/>
  <c r="AW63" i="8"/>
  <c r="AW75" i="8"/>
  <c r="AW87" i="8"/>
  <c r="AW99" i="8"/>
  <c r="AW111" i="8"/>
  <c r="AW123" i="8"/>
  <c r="AW135" i="8"/>
  <c r="AW147" i="8"/>
  <c r="AW159" i="8"/>
  <c r="AW171" i="8"/>
  <c r="AW183" i="8"/>
  <c r="AW195" i="8"/>
  <c r="AW207" i="8"/>
  <c r="AW219" i="8"/>
  <c r="AW231" i="8"/>
  <c r="AW243" i="8"/>
  <c r="AY5" i="8"/>
  <c r="AY17" i="8"/>
  <c r="AY29" i="8"/>
  <c r="AY41" i="8"/>
  <c r="AY53" i="8"/>
  <c r="AY65" i="8"/>
  <c r="AY77" i="8"/>
  <c r="AY89" i="8"/>
  <c r="AY101" i="8"/>
  <c r="AY113" i="8"/>
  <c r="AY125" i="8"/>
  <c r="AY137" i="8"/>
  <c r="AY149" i="8"/>
  <c r="AY161" i="8"/>
  <c r="AY173" i="8"/>
  <c r="AY185" i="8"/>
  <c r="AY197" i="8"/>
  <c r="AY209" i="8"/>
  <c r="AY221" i="8"/>
  <c r="AY233" i="8"/>
  <c r="AY245" i="8"/>
  <c r="BA7" i="8"/>
  <c r="BA19" i="8"/>
  <c r="BA31" i="8"/>
  <c r="BA43" i="8"/>
  <c r="BA55" i="8"/>
  <c r="BA67" i="8"/>
  <c r="BA79" i="8"/>
  <c r="BA91" i="8"/>
  <c r="BA103" i="8"/>
  <c r="BA115" i="8"/>
  <c r="BA127" i="8"/>
  <c r="BA139" i="8"/>
  <c r="BA151" i="8"/>
  <c r="BA163" i="8"/>
  <c r="BA175" i="8"/>
  <c r="BA187" i="8"/>
  <c r="BA199" i="8"/>
  <c r="BA211" i="8"/>
  <c r="BA223" i="8"/>
  <c r="BA235" i="8"/>
  <c r="BA247" i="8"/>
  <c r="BC9" i="8"/>
  <c r="BC21" i="8"/>
  <c r="BC33" i="8"/>
  <c r="BC45" i="8"/>
  <c r="BC57" i="8"/>
  <c r="BC69" i="8"/>
  <c r="BC81" i="8"/>
  <c r="BC93" i="8"/>
  <c r="BC105" i="8"/>
  <c r="BC117" i="8"/>
  <c r="BC129" i="8"/>
  <c r="BC141" i="8"/>
  <c r="BC153" i="8"/>
  <c r="BC165" i="8"/>
  <c r="BC177" i="8"/>
  <c r="BC189" i="8"/>
  <c r="BC201" i="8"/>
  <c r="BC213" i="8"/>
  <c r="BC225" i="8"/>
  <c r="BC237" i="8"/>
  <c r="BC249" i="8"/>
  <c r="BG13" i="8"/>
  <c r="BG25" i="8"/>
  <c r="BG37" i="8"/>
  <c r="BG49" i="8"/>
  <c r="BG61" i="8"/>
  <c r="BG73" i="8"/>
  <c r="BG85" i="8"/>
  <c r="BG97" i="8"/>
  <c r="BG109" i="8"/>
  <c r="BG121" i="8"/>
  <c r="BG133" i="8"/>
  <c r="BG145" i="8"/>
  <c r="BG157" i="8"/>
  <c r="BG169" i="8"/>
  <c r="BG181" i="8"/>
  <c r="BG193" i="8"/>
  <c r="BG205" i="8"/>
  <c r="BG217" i="8"/>
  <c r="BG229" i="8"/>
  <c r="BG241" i="8"/>
  <c r="BI15" i="8"/>
  <c r="BI27" i="8"/>
  <c r="BI39" i="8"/>
  <c r="BI51" i="8"/>
  <c r="BI63" i="8"/>
  <c r="BI87" i="8"/>
  <c r="BI99" i="8"/>
  <c r="BI111" i="8"/>
  <c r="BI123" i="8"/>
  <c r="BI135" i="8"/>
  <c r="BI147" i="8"/>
  <c r="BI159" i="8"/>
  <c r="BI171" i="8"/>
  <c r="BI183" i="8"/>
  <c r="BI195" i="8"/>
  <c r="BI207" i="8"/>
  <c r="BI219" i="8"/>
  <c r="BI231" i="8"/>
  <c r="BI243" i="8"/>
  <c r="BK5" i="8"/>
  <c r="BK17" i="8"/>
  <c r="BK29" i="8"/>
  <c r="BK41" i="8"/>
  <c r="BK53" i="8"/>
  <c r="BK65" i="8"/>
  <c r="BK77" i="8"/>
  <c r="BK89" i="8"/>
  <c r="BK101" i="8"/>
  <c r="BK113" i="8"/>
  <c r="BK125" i="8"/>
  <c r="BK137" i="8"/>
  <c r="BK149" i="8"/>
  <c r="BK161" i="8"/>
  <c r="BK173" i="8"/>
  <c r="BK185" i="8"/>
  <c r="BK197" i="8"/>
  <c r="BK209" i="8"/>
  <c r="BK221" i="8"/>
  <c r="BK233" i="8"/>
  <c r="BK245" i="8"/>
  <c r="BO9" i="8"/>
  <c r="BO21" i="8"/>
  <c r="BO33" i="8"/>
  <c r="BO45" i="8"/>
  <c r="BO57" i="8"/>
  <c r="BO69" i="8"/>
  <c r="BO81" i="8"/>
  <c r="BO93" i="8"/>
  <c r="BO105" i="8"/>
  <c r="BO117" i="8"/>
  <c r="BO129" i="8"/>
  <c r="BO141" i="8"/>
  <c r="BO153" i="8"/>
  <c r="BO165" i="8"/>
  <c r="BO177" i="8"/>
  <c r="BO189" i="8"/>
  <c r="BO201" i="8"/>
  <c r="BO213" i="8"/>
  <c r="BO225" i="8"/>
  <c r="BO237" i="8"/>
  <c r="BO249" i="8"/>
  <c r="BQ11" i="8"/>
  <c r="BQ23" i="8"/>
  <c r="BQ35" i="8"/>
  <c r="BQ47" i="8"/>
  <c r="BQ59" i="8"/>
  <c r="BQ71" i="8"/>
  <c r="BQ83" i="8"/>
  <c r="BQ95" i="8"/>
  <c r="BQ107" i="8"/>
  <c r="AK135" i="8"/>
  <c r="AK159" i="8"/>
  <c r="AK183" i="8"/>
  <c r="AK207" i="8"/>
  <c r="AK231" i="8"/>
  <c r="AM5" i="8"/>
  <c r="AM29" i="8"/>
  <c r="AM53" i="8"/>
  <c r="AM77" i="8"/>
  <c r="AM101" i="8"/>
  <c r="AM125" i="8"/>
  <c r="AM149" i="8"/>
  <c r="AM173" i="8"/>
  <c r="AM197" i="8"/>
  <c r="AM221" i="8"/>
  <c r="AM245" i="8"/>
  <c r="AO19" i="8"/>
  <c r="AO43" i="8"/>
  <c r="AO67" i="8"/>
  <c r="AO91" i="8"/>
  <c r="AO127" i="8"/>
  <c r="AO151" i="8"/>
  <c r="AO175" i="8"/>
  <c r="AO211" i="8"/>
  <c r="AO247" i="8"/>
  <c r="AQ33" i="8"/>
  <c r="AQ81" i="8"/>
  <c r="AQ141" i="8"/>
  <c r="AS35" i="8"/>
  <c r="AU133" i="8"/>
  <c r="BI75" i="8"/>
  <c r="BQ119" i="8"/>
  <c r="BQ131" i="8"/>
  <c r="BQ143" i="8"/>
  <c r="BQ155" i="8"/>
  <c r="BQ167" i="8"/>
  <c r="BQ179" i="8"/>
  <c r="BQ191" i="8"/>
  <c r="BQ203" i="8"/>
  <c r="BQ215" i="8"/>
  <c r="BQ227" i="8"/>
  <c r="BQ239" i="8"/>
  <c r="BQ251" i="8"/>
  <c r="BS13" i="8"/>
  <c r="BS25" i="8"/>
  <c r="BS37" i="8"/>
  <c r="BS49" i="8"/>
  <c r="BS61" i="8"/>
  <c r="BS73" i="8"/>
  <c r="BS85" i="8"/>
  <c r="BS97" i="8"/>
  <c r="BS109" i="8"/>
  <c r="BS121" i="8"/>
  <c r="BS133" i="8"/>
  <c r="BS145" i="8"/>
  <c r="BS157" i="8"/>
  <c r="BS169" i="8"/>
  <c r="BS181" i="8"/>
  <c r="BS193" i="8"/>
  <c r="BS205" i="8"/>
  <c r="BS217" i="8"/>
  <c r="BS229" i="8"/>
  <c r="BS241" i="8"/>
  <c r="BW5" i="8"/>
  <c r="BW17" i="8"/>
  <c r="BW29" i="8"/>
  <c r="BW41" i="8"/>
  <c r="BW53" i="8"/>
  <c r="BW65" i="8"/>
  <c r="BW77" i="8"/>
  <c r="BW89" i="8"/>
  <c r="BW101" i="8"/>
  <c r="BW113" i="8"/>
  <c r="BW125" i="8"/>
  <c r="BW137" i="8"/>
  <c r="BW149" i="8"/>
  <c r="BW161" i="8"/>
  <c r="BW173" i="8"/>
  <c r="BW185" i="8"/>
  <c r="BW197" i="8"/>
  <c r="BW209" i="8"/>
  <c r="BW221" i="8"/>
  <c r="BW233" i="8"/>
  <c r="BW245" i="8"/>
  <c r="BY7" i="8"/>
  <c r="BY19" i="8"/>
  <c r="BY31" i="8"/>
  <c r="BY43" i="8"/>
  <c r="BY55" i="8"/>
  <c r="BY67" i="8"/>
  <c r="BY79" i="8"/>
  <c r="BY91" i="8"/>
  <c r="BY103" i="8"/>
  <c r="BY115" i="8"/>
  <c r="BY127" i="8"/>
  <c r="BY139" i="8"/>
  <c r="BY151" i="8"/>
  <c r="BY163" i="8"/>
  <c r="BY175" i="8"/>
  <c r="BY187" i="8"/>
  <c r="BY199" i="8"/>
  <c r="BY211" i="8"/>
  <c r="BY223" i="8"/>
  <c r="BY235" i="8"/>
  <c r="BY247" i="8"/>
  <c r="CA9" i="8"/>
  <c r="CA21" i="8"/>
  <c r="CA45" i="8"/>
  <c r="CA57" i="8"/>
  <c r="CA69" i="8"/>
  <c r="CA81" i="8"/>
  <c r="CA93" i="8"/>
  <c r="CA105" i="8"/>
  <c r="CA117" i="8"/>
  <c r="CA129" i="8"/>
  <c r="CA141" i="8"/>
  <c r="CA153" i="8"/>
  <c r="CA165" i="8"/>
  <c r="CA177" i="8"/>
  <c r="CA189" i="8"/>
  <c r="CA201" i="8"/>
  <c r="CA213" i="8"/>
  <c r="CA225" i="8"/>
  <c r="CA237" i="8"/>
  <c r="CA249" i="8"/>
  <c r="CC11" i="8"/>
  <c r="CC23" i="8"/>
  <c r="CC35" i="8"/>
  <c r="CC47" i="8"/>
  <c r="CC59" i="8"/>
  <c r="CC71" i="8"/>
  <c r="CC83" i="8"/>
  <c r="CC95" i="8"/>
  <c r="CC107" i="8"/>
  <c r="CC119" i="8"/>
  <c r="CC131" i="8"/>
  <c r="CC143" i="8"/>
  <c r="CC155" i="8"/>
  <c r="CC167" i="8"/>
  <c r="CC179" i="8"/>
  <c r="CC191" i="8"/>
  <c r="CC203" i="8"/>
  <c r="CC215" i="8"/>
  <c r="CC227" i="8"/>
  <c r="CC251" i="8"/>
  <c r="CE13" i="8"/>
  <c r="CE25" i="8"/>
  <c r="CE37" i="8"/>
  <c r="CE49" i="8"/>
  <c r="CE61" i="8"/>
  <c r="CE73" i="8"/>
  <c r="CE85" i="8"/>
  <c r="CE97" i="8"/>
  <c r="CE109" i="8"/>
  <c r="CE121" i="8"/>
  <c r="CE133" i="8"/>
  <c r="CE145" i="8"/>
  <c r="CE193" i="8"/>
  <c r="CE205" i="8"/>
  <c r="CE217" i="8"/>
  <c r="CE229" i="8"/>
  <c r="CE241" i="8"/>
  <c r="CG15" i="8"/>
  <c r="CG27" i="8"/>
  <c r="CG39" i="8"/>
  <c r="CG51" i="8"/>
  <c r="CG63" i="8"/>
  <c r="CG75" i="8"/>
  <c r="CG87" i="8"/>
  <c r="CG99" i="8"/>
  <c r="CG111" i="8"/>
  <c r="CG123" i="8"/>
  <c r="CG135" i="8"/>
  <c r="CG147" i="8"/>
  <c r="CG159" i="8"/>
  <c r="CG171" i="8"/>
  <c r="CG183" i="8"/>
  <c r="CG195" i="8"/>
  <c r="CG207" i="8"/>
  <c r="CG219" i="8"/>
  <c r="CG231" i="8"/>
  <c r="CG243" i="8"/>
  <c r="CI5" i="8"/>
  <c r="CI17" i="8"/>
  <c r="CI29" i="8"/>
  <c r="CI41" i="8"/>
  <c r="CI53" i="8"/>
  <c r="CI65" i="8"/>
  <c r="CI77" i="8"/>
  <c r="CI89" i="8"/>
  <c r="CI101" i="8"/>
  <c r="CI113" i="8"/>
  <c r="CI125" i="8"/>
  <c r="CI137" i="8"/>
  <c r="CI149" i="8"/>
  <c r="CI161" i="8"/>
  <c r="CI173" i="8"/>
  <c r="CI185" i="8"/>
  <c r="CI197" i="8"/>
  <c r="CI209" i="8"/>
  <c r="CI221" i="8"/>
  <c r="CI233" i="8"/>
  <c r="CI245" i="8"/>
  <c r="CK7" i="8"/>
  <c r="CK19" i="8"/>
  <c r="CK31" i="8"/>
  <c r="CK43" i="8"/>
  <c r="CK55" i="8"/>
  <c r="CK67" i="8"/>
  <c r="CK79" i="8"/>
  <c r="CK91" i="8"/>
  <c r="CK103" i="8"/>
  <c r="CK115" i="8"/>
  <c r="CK127" i="8"/>
  <c r="CK139" i="8"/>
  <c r="CK151" i="8"/>
  <c r="CK163" i="8"/>
  <c r="CK175" i="8"/>
  <c r="CK187" i="8"/>
  <c r="CK199" i="8"/>
  <c r="CK211" i="8"/>
  <c r="CK223" i="8"/>
  <c r="CK235" i="8"/>
  <c r="CK247" i="8"/>
  <c r="CM9" i="8"/>
  <c r="CM21" i="8"/>
  <c r="CM33" i="8"/>
  <c r="CM45" i="8"/>
  <c r="CM57" i="8"/>
  <c r="CM69" i="8"/>
  <c r="CM81" i="8"/>
  <c r="CM93" i="8"/>
  <c r="CM105" i="8"/>
  <c r="CM117" i="8"/>
  <c r="CM129" i="8"/>
  <c r="CM141" i="8"/>
  <c r="CM153" i="8"/>
  <c r="CM165" i="8"/>
  <c r="CM177" i="8"/>
  <c r="CM189" i="8"/>
  <c r="CM201" i="8"/>
  <c r="CM213" i="8"/>
  <c r="CM225" i="8"/>
  <c r="CM237" i="8"/>
  <c r="CM249" i="8"/>
  <c r="CO11" i="8"/>
  <c r="CO23" i="8"/>
  <c r="CO35" i="8"/>
  <c r="CO47" i="8"/>
  <c r="CO59" i="8"/>
  <c r="CO71" i="8"/>
  <c r="CO83" i="8"/>
  <c r="CO95" i="8"/>
  <c r="CO107" i="8"/>
  <c r="CO119" i="8"/>
  <c r="CO131" i="8"/>
  <c r="CO143" i="8"/>
  <c r="CO155" i="8"/>
  <c r="CO167" i="8"/>
  <c r="CO179" i="8"/>
  <c r="CO191" i="8"/>
  <c r="CO203" i="8"/>
  <c r="CO215" i="8"/>
  <c r="CO227" i="8"/>
  <c r="CO239" i="8"/>
  <c r="CO251" i="8"/>
  <c r="CQ13" i="8"/>
  <c r="CQ25" i="8"/>
  <c r="CQ37" i="8"/>
  <c r="CQ49" i="8"/>
  <c r="CQ61" i="8"/>
  <c r="CQ73" i="8"/>
  <c r="CQ85" i="8"/>
  <c r="CQ97" i="8"/>
  <c r="CQ109" i="8"/>
  <c r="CQ121" i="8"/>
  <c r="CQ133" i="8"/>
  <c r="CQ145" i="8"/>
  <c r="CQ157" i="8"/>
  <c r="CQ169" i="8"/>
  <c r="CQ181" i="8"/>
  <c r="CQ193" i="8"/>
  <c r="CQ205" i="8"/>
  <c r="CQ217" i="8"/>
  <c r="CQ229" i="8"/>
  <c r="CQ241" i="8"/>
  <c r="BC101" i="8"/>
  <c r="BC113" i="8"/>
  <c r="BC125" i="8"/>
  <c r="BC137" i="8"/>
  <c r="BC149" i="8"/>
  <c r="BC161" i="8"/>
  <c r="BC173" i="8"/>
  <c r="BC185" i="8"/>
  <c r="BC197" i="8"/>
  <c r="BC209" i="8"/>
  <c r="BC221" i="8"/>
  <c r="BC233" i="8"/>
  <c r="BC245" i="8"/>
  <c r="BE7" i="8"/>
  <c r="BE19" i="8"/>
  <c r="BE31" i="8"/>
  <c r="BE43" i="8"/>
  <c r="BE55" i="8"/>
  <c r="BE67" i="8"/>
  <c r="BE79" i="8"/>
  <c r="BE91" i="8"/>
  <c r="BE103" i="8"/>
  <c r="BE115" i="8"/>
  <c r="BE127" i="8"/>
  <c r="BE139" i="8"/>
  <c r="BE151" i="8"/>
  <c r="BE163" i="8"/>
  <c r="BE175" i="8"/>
  <c r="BE187" i="8"/>
  <c r="BE199" i="8"/>
  <c r="BE211" i="8"/>
  <c r="BE223" i="8"/>
  <c r="BE235" i="8"/>
  <c r="BE247" i="8"/>
  <c r="BG9" i="8"/>
  <c r="BG21" i="8"/>
  <c r="BG33" i="8"/>
  <c r="BG45" i="8"/>
  <c r="BG57" i="8"/>
  <c r="BG69" i="8"/>
  <c r="BG81" i="8"/>
  <c r="BG93" i="8"/>
  <c r="BG105" i="8"/>
  <c r="BG117" i="8"/>
  <c r="BG129" i="8"/>
  <c r="BG141" i="8"/>
  <c r="BG153" i="8"/>
  <c r="BG165" i="8"/>
  <c r="BG177" i="8"/>
  <c r="BG189" i="8"/>
  <c r="BG201" i="8"/>
  <c r="BG213" i="8"/>
  <c r="BG225" i="8"/>
  <c r="BG237" i="8"/>
  <c r="BG249" i="8"/>
  <c r="BI11" i="8"/>
  <c r="BI23" i="8"/>
  <c r="BI35" i="8"/>
  <c r="BI47" i="8"/>
  <c r="BI59" i="8"/>
  <c r="BI71" i="8"/>
  <c r="BI83" i="8"/>
  <c r="BI95" i="8"/>
  <c r="BI107" i="8"/>
  <c r="BI119" i="8"/>
  <c r="BI131" i="8"/>
  <c r="BI143" i="8"/>
  <c r="BI155" i="8"/>
  <c r="BI167" i="8"/>
  <c r="BI179" i="8"/>
  <c r="BI191" i="8"/>
  <c r="BI203" i="8"/>
  <c r="BI215" i="8"/>
  <c r="BI227" i="8"/>
  <c r="BI239" i="8"/>
  <c r="BI251" i="8"/>
  <c r="BK13" i="8"/>
  <c r="BK25" i="8"/>
  <c r="BK37" i="8"/>
  <c r="BK49" i="8"/>
  <c r="BK61" i="8"/>
  <c r="BK73" i="8"/>
  <c r="BK85" i="8"/>
  <c r="BK97" i="8"/>
  <c r="BK109" i="8"/>
  <c r="BK121" i="8"/>
  <c r="BK133" i="8"/>
  <c r="BK145" i="8"/>
  <c r="BK157" i="8"/>
  <c r="BK169" i="8"/>
  <c r="BK181" i="8"/>
  <c r="BK193" i="8"/>
  <c r="BK205" i="8"/>
  <c r="BK217" i="8"/>
  <c r="BK229" i="8"/>
  <c r="BK241" i="8"/>
  <c r="BO5" i="8"/>
  <c r="BO17" i="8"/>
  <c r="BO29" i="8"/>
  <c r="BO41" i="8"/>
  <c r="BO53" i="8"/>
  <c r="BO65" i="8"/>
  <c r="BO77" i="8"/>
  <c r="BO89" i="8"/>
  <c r="BO101" i="8"/>
  <c r="BO113" i="8"/>
  <c r="BO125" i="8"/>
  <c r="BO137" i="8"/>
  <c r="BO149" i="8"/>
  <c r="BO161" i="8"/>
  <c r="BO173" i="8"/>
  <c r="BO185" i="8"/>
  <c r="BO197" i="8"/>
  <c r="BO209" i="8"/>
  <c r="BO221" i="8"/>
  <c r="BO233" i="8"/>
  <c r="BO245" i="8"/>
  <c r="BQ7" i="8"/>
  <c r="BQ19" i="8"/>
  <c r="BQ31" i="8"/>
  <c r="BQ43" i="8"/>
  <c r="BQ55" i="8"/>
  <c r="BQ67" i="8"/>
  <c r="BQ79" i="8"/>
  <c r="BQ91" i="8"/>
  <c r="BQ103" i="8"/>
  <c r="BQ115" i="8"/>
  <c r="BQ127" i="8"/>
  <c r="BQ139" i="8"/>
  <c r="BQ151" i="8"/>
  <c r="BQ163" i="8"/>
  <c r="BQ175" i="8"/>
  <c r="BQ187" i="8"/>
  <c r="BQ199" i="8"/>
  <c r="BQ211" i="8"/>
  <c r="BQ223" i="8"/>
  <c r="BQ235" i="8"/>
  <c r="BQ247" i="8"/>
  <c r="BS9" i="8"/>
  <c r="BS21" i="8"/>
  <c r="BS33" i="8"/>
  <c r="BS45" i="8"/>
  <c r="BS57" i="8"/>
  <c r="BS69" i="8"/>
  <c r="BS81" i="8"/>
  <c r="BS93" i="8"/>
  <c r="BS105" i="8"/>
  <c r="BS117" i="8"/>
  <c r="BS129" i="8"/>
  <c r="BS141" i="8"/>
  <c r="BS153" i="8"/>
  <c r="BS165" i="8"/>
  <c r="BS177" i="8"/>
  <c r="BS189" i="8"/>
  <c r="BS201" i="8"/>
  <c r="BS213" i="8"/>
  <c r="BS225" i="8"/>
  <c r="BS237" i="8"/>
  <c r="BS249" i="8"/>
  <c r="BW13" i="8"/>
  <c r="BW25" i="8"/>
  <c r="BW37" i="8"/>
  <c r="BW49" i="8"/>
  <c r="BW61" i="8"/>
  <c r="BW73" i="8"/>
  <c r="BW85" i="8"/>
  <c r="BW97" i="8"/>
  <c r="BW109" i="8"/>
  <c r="BW121" i="8"/>
  <c r="BW133" i="8"/>
  <c r="BW145" i="8"/>
  <c r="BW157" i="8"/>
  <c r="BW169" i="8"/>
  <c r="BW181" i="8"/>
  <c r="BW193" i="8"/>
  <c r="BW205" i="8"/>
  <c r="BW217" i="8"/>
  <c r="BW229" i="8"/>
  <c r="BW241" i="8"/>
  <c r="BY15" i="8"/>
  <c r="BY39" i="8"/>
  <c r="BY51" i="8"/>
  <c r="BY63" i="8"/>
  <c r="BY75" i="8"/>
  <c r="BY87" i="8"/>
  <c r="BY99" i="8"/>
  <c r="BY111" i="8"/>
  <c r="BY123" i="8"/>
  <c r="BY135" i="8"/>
  <c r="BY147" i="8"/>
  <c r="BY159" i="8"/>
  <c r="BY171" i="8"/>
  <c r="BY183" i="8"/>
  <c r="BY195" i="8"/>
  <c r="BY207" i="8"/>
  <c r="BY219" i="8"/>
  <c r="BY231" i="8"/>
  <c r="BY243" i="8"/>
  <c r="CA5" i="8"/>
  <c r="CA17" i="8"/>
  <c r="CA29" i="8"/>
  <c r="CA41" i="8"/>
  <c r="CA77" i="8"/>
  <c r="CA101" i="8"/>
  <c r="CA113" i="8"/>
  <c r="CA125" i="8"/>
  <c r="CA137" i="8"/>
  <c r="AE128" i="8"/>
  <c r="AE140" i="8"/>
  <c r="AE152" i="8"/>
  <c r="AE164" i="8"/>
  <c r="AE176" i="8"/>
  <c r="AE188" i="8"/>
  <c r="AE200" i="8"/>
  <c r="AE212" i="8"/>
  <c r="AE224" i="8"/>
  <c r="AE236" i="8"/>
  <c r="AE248" i="8"/>
  <c r="BC7" i="8"/>
  <c r="BC19" i="8"/>
  <c r="BC31" i="8"/>
  <c r="BC43" i="8"/>
  <c r="BC55" i="8"/>
  <c r="BC67" i="8"/>
  <c r="BC79" i="8"/>
  <c r="BC91" i="8"/>
  <c r="BC103" i="8"/>
  <c r="BC115" i="8"/>
  <c r="BC127" i="8"/>
  <c r="BC139" i="8"/>
  <c r="BC151" i="8"/>
  <c r="BC163" i="8"/>
  <c r="BC175" i="8"/>
  <c r="BC187" i="8"/>
  <c r="BC199" i="8"/>
  <c r="BC211" i="8"/>
  <c r="BC223" i="8"/>
  <c r="BC235" i="8"/>
  <c r="BC247" i="8"/>
  <c r="BE9" i="8"/>
  <c r="BE21" i="8"/>
  <c r="BE33" i="8"/>
  <c r="BE45" i="8"/>
  <c r="BE57" i="8"/>
  <c r="BE69" i="8"/>
  <c r="BE81" i="8"/>
  <c r="BE93" i="8"/>
  <c r="BE105" i="8"/>
  <c r="BE117" i="8"/>
  <c r="BE129" i="8"/>
  <c r="BE141" i="8"/>
  <c r="BE153" i="8"/>
  <c r="BE165" i="8"/>
  <c r="BE177" i="8"/>
  <c r="BE189" i="8"/>
  <c r="BE201" i="8"/>
  <c r="BE213" i="8"/>
  <c r="BE225" i="8"/>
  <c r="BE237" i="8"/>
  <c r="BE249" i="8"/>
  <c r="BG11" i="8"/>
  <c r="BG35" i="8"/>
  <c r="BG47" i="8"/>
  <c r="BG59" i="8"/>
  <c r="BG71" i="8"/>
  <c r="E118" i="8"/>
  <c r="E226" i="8"/>
  <c r="G72" i="8"/>
  <c r="G168" i="8"/>
  <c r="I38" i="8"/>
  <c r="I146" i="8"/>
  <c r="K4" i="8"/>
  <c r="K100" i="8"/>
  <c r="K196" i="8"/>
  <c r="M66" i="8"/>
  <c r="M174" i="8"/>
  <c r="O32" i="8"/>
  <c r="O152" i="8"/>
  <c r="O236" i="8"/>
  <c r="Q106" i="8"/>
  <c r="Q202" i="8"/>
  <c r="S48" i="8"/>
  <c r="S144" i="8"/>
  <c r="S228" i="8"/>
  <c r="U50" i="8"/>
  <c r="U146" i="8"/>
  <c r="U218" i="8"/>
  <c r="W40" i="8"/>
  <c r="W124" i="8"/>
  <c r="W184" i="8"/>
  <c r="W232" i="8"/>
  <c r="Y66" i="8"/>
  <c r="Y126" i="8"/>
  <c r="Y174" i="8"/>
  <c r="Y234" i="8"/>
  <c r="AA68" i="8"/>
  <c r="AA116" i="8"/>
  <c r="AA164" i="8"/>
  <c r="AA212" i="8"/>
  <c r="AC22" i="8"/>
  <c r="AC82" i="8"/>
  <c r="AC166" i="8"/>
  <c r="AC214" i="8"/>
  <c r="AE12" i="8"/>
  <c r="AE60" i="8"/>
  <c r="AE108" i="8"/>
  <c r="AE168" i="8"/>
  <c r="AE240" i="8"/>
  <c r="BC47" i="8"/>
  <c r="BC119" i="8"/>
  <c r="BC167" i="8"/>
  <c r="BC203" i="8"/>
  <c r="BC239" i="8"/>
  <c r="BE25" i="8"/>
  <c r="BE73" i="8"/>
  <c r="BE121" i="8"/>
  <c r="BE169" i="8"/>
  <c r="BE217" i="8"/>
  <c r="BG15" i="8"/>
  <c r="BG63" i="8"/>
  <c r="BG111" i="8"/>
  <c r="BG171" i="8"/>
  <c r="BG219" i="8"/>
  <c r="E22" i="8"/>
  <c r="E94" i="8"/>
  <c r="E178" i="8"/>
  <c r="G24" i="8"/>
  <c r="G108" i="8"/>
  <c r="G204" i="8"/>
  <c r="I50" i="8"/>
  <c r="I170" i="8"/>
  <c r="K16" i="8"/>
  <c r="K112" i="8"/>
  <c r="K232" i="8"/>
  <c r="M90" i="8"/>
  <c r="M198" i="8"/>
  <c r="O44" i="8"/>
  <c r="O140" i="8"/>
  <c r="O224" i="8"/>
  <c r="Q70" i="8"/>
  <c r="Q190" i="8"/>
  <c r="S36" i="8"/>
  <c r="S132" i="8"/>
  <c r="S204" i="8"/>
  <c r="U38" i="8"/>
  <c r="U134" i="8"/>
  <c r="U230" i="8"/>
  <c r="W52" i="8"/>
  <c r="W136" i="8"/>
  <c r="W208" i="8"/>
  <c r="Y30" i="8"/>
  <c r="Y90" i="8"/>
  <c r="Y138" i="8"/>
  <c r="Y186" i="8"/>
  <c r="AA20" i="8"/>
  <c r="AA80" i="8"/>
  <c r="AA128" i="8"/>
  <c r="AA176" i="8"/>
  <c r="AA224" i="8"/>
  <c r="AC10" i="8"/>
  <c r="AC70" i="8"/>
  <c r="AC130" i="8"/>
  <c r="AC190" i="8"/>
  <c r="AC238" i="8"/>
  <c r="AE36" i="8"/>
  <c r="AE84" i="8"/>
  <c r="AE132" i="8"/>
  <c r="AE192" i="8"/>
  <c r="BC11" i="8"/>
  <c r="BC83" i="8"/>
  <c r="BC143" i="8"/>
  <c r="BC191" i="8"/>
  <c r="BC251" i="8"/>
  <c r="BE61" i="8"/>
  <c r="BE109" i="8"/>
  <c r="BE145" i="8"/>
  <c r="BE229" i="8"/>
  <c r="BG27" i="8"/>
  <c r="BG75" i="8"/>
  <c r="BG123" i="8"/>
  <c r="BG159" i="8"/>
  <c r="BG195" i="8"/>
  <c r="BG231" i="8"/>
  <c r="E34" i="8"/>
  <c r="E106" i="8"/>
  <c r="E214" i="8"/>
  <c r="G60" i="8"/>
  <c r="G156" i="8"/>
  <c r="I110" i="8"/>
  <c r="I218" i="8"/>
  <c r="K88" i="8"/>
  <c r="K208" i="8"/>
  <c r="M102" i="8"/>
  <c r="M210" i="8"/>
  <c r="O68" i="8"/>
  <c r="O164" i="8"/>
  <c r="Q10" i="8"/>
  <c r="Q118" i="8"/>
  <c r="Q214" i="8"/>
  <c r="S72" i="8"/>
  <c r="S156" i="8"/>
  <c r="U14" i="8"/>
  <c r="U110" i="8"/>
  <c r="U182" i="8"/>
  <c r="W16" i="8"/>
  <c r="W88" i="8"/>
  <c r="W172" i="8"/>
  <c r="W220" i="8"/>
  <c r="Y54" i="8"/>
  <c r="Y114" i="8"/>
  <c r="Y162" i="8"/>
  <c r="Y222" i="8"/>
  <c r="AA44" i="8"/>
  <c r="AA104" i="8"/>
  <c r="AA152" i="8"/>
  <c r="AA200" i="8"/>
  <c r="AA248" i="8"/>
  <c r="AC58" i="8"/>
  <c r="AC142" i="8"/>
  <c r="AC202" i="8"/>
  <c r="AC250" i="8"/>
  <c r="AE48" i="8"/>
  <c r="AE96" i="8"/>
  <c r="AE156" i="8"/>
  <c r="AE216" i="8"/>
  <c r="BC35" i="8"/>
  <c r="BC107" i="8"/>
  <c r="BC155" i="8"/>
  <c r="BC215" i="8"/>
  <c r="BE13" i="8"/>
  <c r="BE49" i="8"/>
  <c r="BE85" i="8"/>
  <c r="BE133" i="8"/>
  <c r="BE193" i="8"/>
  <c r="BE241" i="8"/>
  <c r="BG39" i="8"/>
  <c r="BG87" i="8"/>
  <c r="BG135" i="8"/>
  <c r="BG183" i="8"/>
  <c r="BG243" i="8"/>
  <c r="E130" i="8"/>
  <c r="E250" i="8"/>
  <c r="G132" i="8"/>
  <c r="G228" i="8"/>
  <c r="I86" i="8"/>
  <c r="I182" i="8"/>
  <c r="K28" i="8"/>
  <c r="K160" i="8"/>
  <c r="M18" i="8"/>
  <c r="M150" i="8"/>
  <c r="O20" i="8"/>
  <c r="O128" i="8"/>
  <c r="O248" i="8"/>
  <c r="Q94" i="8"/>
  <c r="Q178" i="8"/>
  <c r="S24" i="8"/>
  <c r="S96" i="8"/>
  <c r="S180" i="8"/>
  <c r="U98" i="8"/>
  <c r="U170" i="8"/>
  <c r="W4" i="8"/>
  <c r="W64" i="8"/>
  <c r="W148" i="8"/>
  <c r="W196" i="8"/>
  <c r="Y6" i="8"/>
  <c r="Y102" i="8"/>
  <c r="Y150" i="8"/>
  <c r="Y198" i="8"/>
  <c r="AA32" i="8"/>
  <c r="AA92" i="8"/>
  <c r="AA140" i="8"/>
  <c r="AA188" i="8"/>
  <c r="AA236" i="8"/>
  <c r="AC34" i="8"/>
  <c r="AC94" i="8"/>
  <c r="AC178" i="8"/>
  <c r="AC226" i="8"/>
  <c r="AE24" i="8"/>
  <c r="AE72" i="8"/>
  <c r="AE120" i="8"/>
  <c r="AE144" i="8"/>
  <c r="AE180" i="8"/>
  <c r="AE204" i="8"/>
  <c r="AE228" i="8"/>
  <c r="BC59" i="8"/>
  <c r="BC131" i="8"/>
  <c r="BC179" i="8"/>
  <c r="BC227" i="8"/>
  <c r="BE37" i="8"/>
  <c r="BE97" i="8"/>
  <c r="BE157" i="8"/>
  <c r="BE205" i="8"/>
  <c r="BG51" i="8"/>
  <c r="BG99" i="8"/>
  <c r="BG147" i="8"/>
  <c r="BG207" i="8"/>
  <c r="E58" i="8"/>
  <c r="E166" i="8"/>
  <c r="G36" i="8"/>
  <c r="G120" i="8"/>
  <c r="G216" i="8"/>
  <c r="I62" i="8"/>
  <c r="I134" i="8"/>
  <c r="I242" i="8"/>
  <c r="K76" i="8"/>
  <c r="K172" i="8"/>
  <c r="M30" i="8"/>
  <c r="M126" i="8"/>
  <c r="M222" i="8"/>
  <c r="O92" i="8"/>
  <c r="O188" i="8"/>
  <c r="Q22" i="8"/>
  <c r="Q82" i="8"/>
  <c r="Q154" i="8"/>
  <c r="Q226" i="8"/>
  <c r="S60" i="8"/>
  <c r="S168" i="8"/>
  <c r="U26" i="8"/>
  <c r="U122" i="8"/>
  <c r="U242" i="8"/>
  <c r="W112" i="8"/>
  <c r="Y42" i="8"/>
  <c r="Y246" i="8"/>
  <c r="AC106" i="8"/>
  <c r="BK7" i="8"/>
  <c r="E70" i="8"/>
  <c r="E154" i="8"/>
  <c r="E202" i="8"/>
  <c r="G12" i="8"/>
  <c r="G84" i="8"/>
  <c r="G192" i="8"/>
  <c r="I26" i="8"/>
  <c r="I122" i="8"/>
  <c r="I206" i="8"/>
  <c r="K64" i="8"/>
  <c r="K136" i="8"/>
  <c r="K220" i="8"/>
  <c r="M54" i="8"/>
  <c r="M138" i="8"/>
  <c r="O8" i="8"/>
  <c r="O104" i="8"/>
  <c r="O212" i="8"/>
  <c r="Q58" i="8"/>
  <c r="Q166" i="8"/>
  <c r="S12" i="8"/>
  <c r="S120" i="8"/>
  <c r="S240" i="8"/>
  <c r="U86" i="8"/>
  <c r="U206" i="8"/>
  <c r="W100" i="8"/>
  <c r="Y18" i="8"/>
  <c r="AA8" i="8"/>
  <c r="AC118" i="8"/>
  <c r="BC95" i="8"/>
  <c r="E10" i="8"/>
  <c r="E82" i="8"/>
  <c r="E190" i="8"/>
  <c r="G48" i="8"/>
  <c r="G144" i="8"/>
  <c r="G240" i="8"/>
  <c r="I74" i="8"/>
  <c r="I158" i="8"/>
  <c r="I230" i="8"/>
  <c r="K52" i="8"/>
  <c r="K124" i="8"/>
  <c r="K184" i="8"/>
  <c r="M6" i="8"/>
  <c r="M42" i="8"/>
  <c r="M114" i="8"/>
  <c r="M186" i="8"/>
  <c r="M234" i="8"/>
  <c r="O56" i="8"/>
  <c r="O116" i="8"/>
  <c r="O200" i="8"/>
  <c r="Q46" i="8"/>
  <c r="Q142" i="8"/>
  <c r="Q250" i="8"/>
  <c r="S108" i="8"/>
  <c r="S216" i="8"/>
  <c r="U62" i="8"/>
  <c r="U158" i="8"/>
  <c r="W28" i="8"/>
  <c r="W160" i="8"/>
  <c r="Y78" i="8"/>
  <c r="AA56" i="8"/>
  <c r="AC154" i="8"/>
  <c r="BC71" i="8"/>
  <c r="BG83" i="8"/>
  <c r="BG95" i="8"/>
  <c r="BG119" i="8"/>
  <c r="BG131" i="8"/>
  <c r="BG143" i="8"/>
  <c r="BG155" i="8"/>
  <c r="E46" i="8"/>
  <c r="E142" i="8"/>
  <c r="E238" i="8"/>
  <c r="G96" i="8"/>
  <c r="G180" i="8"/>
  <c r="I14" i="8"/>
  <c r="I98" i="8"/>
  <c r="I194" i="8"/>
  <c r="K40" i="8"/>
  <c r="K148" i="8"/>
  <c r="K244" i="8"/>
  <c r="M78" i="8"/>
  <c r="M162" i="8"/>
  <c r="M246" i="8"/>
  <c r="O80" i="8"/>
  <c r="O176" i="8"/>
  <c r="Q34" i="8"/>
  <c r="Q130" i="8"/>
  <c r="Q238" i="8"/>
  <c r="S84" i="8"/>
  <c r="S192" i="8"/>
  <c r="U74" i="8"/>
  <c r="U194" i="8"/>
  <c r="W76" i="8"/>
  <c r="W244" i="8"/>
  <c r="Y210" i="8"/>
  <c r="AC46" i="8"/>
  <c r="BC23" i="8"/>
  <c r="BG167" i="8"/>
  <c r="BG179" i="8"/>
  <c r="BG191" i="8"/>
  <c r="BG203" i="8"/>
  <c r="BG215" i="8"/>
  <c r="BG227" i="8"/>
  <c r="BG239" i="8"/>
  <c r="BG251" i="8"/>
  <c r="BI13" i="8"/>
  <c r="BI25" i="8"/>
  <c r="BI37" i="8"/>
  <c r="BI49" i="8"/>
  <c r="BI61" i="8"/>
  <c r="BI73" i="8"/>
  <c r="BI85" i="8"/>
  <c r="BI97" i="8"/>
  <c r="BI109" i="8"/>
  <c r="BI121" i="8"/>
  <c r="BI133" i="8"/>
  <c r="BI145" i="8"/>
  <c r="BI157" i="8"/>
  <c r="BI169" i="8"/>
  <c r="BI181" i="8"/>
  <c r="BI193" i="8"/>
  <c r="BI205" i="8"/>
  <c r="BI217" i="8"/>
  <c r="BI229" i="8"/>
  <c r="BI241" i="8"/>
  <c r="BK15" i="8"/>
  <c r="BK27" i="8"/>
  <c r="BK39" i="8"/>
  <c r="BK51" i="8"/>
  <c r="BK63" i="8"/>
  <c r="BK75" i="8"/>
  <c r="BK87" i="8"/>
  <c r="BK99" i="8"/>
  <c r="BK111" i="8"/>
  <c r="BK123" i="8"/>
  <c r="BK135" i="8"/>
  <c r="BK147" i="8"/>
  <c r="BK159" i="8"/>
  <c r="BK171" i="8"/>
  <c r="BK183" i="8"/>
  <c r="BK195" i="8"/>
  <c r="BK207" i="8"/>
  <c r="BK219" i="8"/>
  <c r="BK231" i="8"/>
  <c r="BK243" i="8"/>
  <c r="BM5" i="8"/>
  <c r="BM17" i="8"/>
  <c r="BM29" i="8"/>
  <c r="BM41" i="8"/>
  <c r="BM53" i="8"/>
  <c r="BM65" i="8"/>
  <c r="BM77" i="8"/>
  <c r="BM89" i="8"/>
  <c r="BM101" i="8"/>
  <c r="BM113" i="8"/>
  <c r="BM125" i="8"/>
  <c r="BM137" i="8"/>
  <c r="BM149" i="8"/>
  <c r="BM161" i="8"/>
  <c r="BM173" i="8"/>
  <c r="BM185" i="8"/>
  <c r="BM197" i="8"/>
  <c r="BM209" i="8"/>
  <c r="BM221" i="8"/>
  <c r="BM233" i="8"/>
  <c r="BM245" i="8"/>
  <c r="BO7" i="8"/>
  <c r="BO19" i="8"/>
  <c r="BO31" i="8"/>
  <c r="BO43" i="8"/>
  <c r="BO55" i="8"/>
  <c r="BO67" i="8"/>
  <c r="BO79" i="8"/>
  <c r="BO91" i="8"/>
  <c r="BO103" i="8"/>
  <c r="BO115" i="8"/>
  <c r="BO127" i="8"/>
  <c r="BO139" i="8"/>
  <c r="BO151" i="8"/>
  <c r="BO163" i="8"/>
  <c r="BO175" i="8"/>
  <c r="BO187" i="8"/>
  <c r="BO199" i="8"/>
  <c r="BO211" i="8"/>
  <c r="BO223" i="8"/>
  <c r="BO235" i="8"/>
  <c r="BO247" i="8"/>
  <c r="BS11" i="8"/>
  <c r="BS23" i="8"/>
  <c r="BS35" i="8"/>
  <c r="BS47" i="8"/>
  <c r="BS59" i="8"/>
  <c r="BS71" i="8"/>
  <c r="BS83" i="8"/>
  <c r="BS95" i="8"/>
  <c r="BS107" i="8"/>
  <c r="BS119" i="8"/>
  <c r="BS131" i="8"/>
  <c r="BS143" i="8"/>
  <c r="BS155" i="8"/>
  <c r="BS167" i="8"/>
  <c r="BS179" i="8"/>
  <c r="BS191" i="8"/>
  <c r="BS203" i="8"/>
  <c r="BS215" i="8"/>
  <c r="BS227" i="8"/>
  <c r="BS239" i="8"/>
  <c r="BS251" i="8"/>
  <c r="BU13" i="8"/>
  <c r="BU25" i="8"/>
  <c r="BU37" i="8"/>
  <c r="BU49" i="8"/>
  <c r="BU61" i="8"/>
  <c r="BU73" i="8"/>
  <c r="BU85" i="8"/>
  <c r="BU97" i="8"/>
  <c r="BU109" i="8"/>
  <c r="BU121" i="8"/>
  <c r="BU133" i="8"/>
  <c r="BU145" i="8"/>
  <c r="BU157" i="8"/>
  <c r="BU169" i="8"/>
  <c r="BU181" i="8"/>
  <c r="BU193" i="8"/>
  <c r="BU205" i="8"/>
  <c r="BU217" i="8"/>
  <c r="BU229" i="8"/>
  <c r="BU241" i="8"/>
  <c r="BW15" i="8"/>
  <c r="BW27" i="8"/>
  <c r="BW39" i="8"/>
  <c r="BW51" i="8"/>
  <c r="BW63" i="8"/>
  <c r="BW75" i="8"/>
  <c r="BW87" i="8"/>
  <c r="BW99" i="8"/>
  <c r="BW111" i="8"/>
  <c r="BW123" i="8"/>
  <c r="BW135" i="8"/>
  <c r="BW147" i="8"/>
  <c r="BW159" i="8"/>
  <c r="BW171" i="8"/>
  <c r="BW183" i="8"/>
  <c r="BW195" i="8"/>
  <c r="BW207" i="8"/>
  <c r="BW219" i="8"/>
  <c r="BW231" i="8"/>
  <c r="BW243" i="8"/>
  <c r="CG13" i="8"/>
  <c r="CG25" i="8"/>
  <c r="CG37" i="8"/>
  <c r="CG49" i="8"/>
  <c r="CG61" i="8"/>
  <c r="CG73" i="8"/>
  <c r="CG85" i="8"/>
  <c r="CG97" i="8"/>
  <c r="CG109" i="8"/>
  <c r="CG121" i="8"/>
  <c r="CG133" i="8"/>
  <c r="CG145" i="8"/>
  <c r="CG157" i="8"/>
  <c r="CG169" i="8"/>
  <c r="CG181" i="8"/>
  <c r="CG193" i="8"/>
  <c r="CG205" i="8"/>
  <c r="CG217" i="8"/>
  <c r="CG229" i="8"/>
  <c r="CG241" i="8"/>
  <c r="CI15" i="8"/>
  <c r="CI27" i="8"/>
  <c r="CI39" i="8"/>
  <c r="CI51" i="8"/>
  <c r="CI63" i="8"/>
  <c r="CI75" i="8"/>
  <c r="CI87" i="8"/>
  <c r="CI99" i="8"/>
  <c r="CI111" i="8"/>
  <c r="CI123" i="8"/>
  <c r="CI135" i="8"/>
  <c r="CI147" i="8"/>
  <c r="CI159" i="8"/>
  <c r="CI171" i="8"/>
  <c r="CI183" i="8"/>
  <c r="CI195" i="8"/>
  <c r="CI207" i="8"/>
  <c r="CI219" i="8"/>
  <c r="CI231" i="8"/>
  <c r="CI243" i="8"/>
  <c r="CK5" i="8"/>
  <c r="CK17" i="8"/>
  <c r="CK29" i="8"/>
  <c r="CK41" i="8"/>
  <c r="CK53" i="8"/>
  <c r="CK65" i="8"/>
  <c r="CK77" i="8"/>
  <c r="CK89" i="8"/>
  <c r="CK101" i="8"/>
  <c r="CK113" i="8"/>
  <c r="CK125" i="8"/>
  <c r="CK137" i="8"/>
  <c r="CK149" i="8"/>
  <c r="CK161" i="8"/>
  <c r="CK173" i="8"/>
  <c r="CK185" i="8"/>
  <c r="CK197" i="8"/>
  <c r="CK209" i="8"/>
  <c r="CK221" i="8"/>
  <c r="CK233" i="8"/>
  <c r="CK245" i="8"/>
  <c r="CM7" i="8"/>
  <c r="CM19" i="8"/>
  <c r="CM31" i="8"/>
  <c r="CM43" i="8"/>
  <c r="CM55" i="8"/>
  <c r="CM67" i="8"/>
  <c r="CM79" i="8"/>
  <c r="CM91" i="8"/>
  <c r="CM103" i="8"/>
  <c r="CM115" i="8"/>
  <c r="CM127" i="8"/>
  <c r="CM139" i="8"/>
  <c r="CM151" i="8"/>
  <c r="CM163" i="8"/>
  <c r="CM175" i="8"/>
  <c r="CM187" i="8"/>
  <c r="CM199" i="8"/>
  <c r="CM211" i="8"/>
  <c r="CM223" i="8"/>
  <c r="CM235" i="8"/>
  <c r="CM247" i="8"/>
  <c r="CO9" i="8"/>
  <c r="CO21" i="8"/>
  <c r="CO33" i="8"/>
  <c r="CO45" i="8"/>
  <c r="CO57" i="8"/>
  <c r="CO69" i="8"/>
  <c r="CO81" i="8"/>
  <c r="CO93" i="8"/>
  <c r="CO105" i="8"/>
  <c r="CO117" i="8"/>
  <c r="CO129" i="8"/>
  <c r="CO141" i="8"/>
  <c r="CO153" i="8"/>
  <c r="CO165" i="8"/>
  <c r="CO177" i="8"/>
  <c r="CO189" i="8"/>
  <c r="CO201" i="8"/>
  <c r="CO213" i="8"/>
  <c r="CO225" i="8"/>
  <c r="CO237" i="8"/>
  <c r="CO249" i="8"/>
  <c r="CQ11" i="8"/>
  <c r="CQ23" i="8"/>
  <c r="CQ35" i="8"/>
  <c r="CQ47" i="8"/>
  <c r="CQ59" i="8"/>
  <c r="CQ71" i="8"/>
  <c r="AG135" i="8"/>
  <c r="E24" i="8"/>
  <c r="E48" i="8"/>
  <c r="E72" i="8"/>
  <c r="E96" i="8"/>
  <c r="E120" i="8"/>
  <c r="E144" i="8"/>
  <c r="E168" i="8"/>
  <c r="E192" i="8"/>
  <c r="E216" i="8"/>
  <c r="E240" i="8"/>
  <c r="G26" i="8"/>
  <c r="G50" i="8"/>
  <c r="G74" i="8"/>
  <c r="G98" i="8"/>
  <c r="G122" i="8"/>
  <c r="G146" i="8"/>
  <c r="G170" i="8"/>
  <c r="G194" i="8"/>
  <c r="G218" i="8"/>
  <c r="I4" i="8"/>
  <c r="I28" i="8"/>
  <c r="I52" i="8"/>
  <c r="I76" i="8"/>
  <c r="I100" i="8"/>
  <c r="I124" i="8"/>
  <c r="I148" i="8"/>
  <c r="I172" i="8"/>
  <c r="I196" i="8"/>
  <c r="I232" i="8"/>
  <c r="K30" i="8"/>
  <c r="M80" i="8"/>
  <c r="S62" i="8"/>
  <c r="E12" i="8"/>
  <c r="E36" i="8"/>
  <c r="E60" i="8"/>
  <c r="E84" i="8"/>
  <c r="E108" i="8"/>
  <c r="E132" i="8"/>
  <c r="E156" i="8"/>
  <c r="E180" i="8"/>
  <c r="E204" i="8"/>
  <c r="E228" i="8"/>
  <c r="G14" i="8"/>
  <c r="G38" i="8"/>
  <c r="G62" i="8"/>
  <c r="G86" i="8"/>
  <c r="G110" i="8"/>
  <c r="G134" i="8"/>
  <c r="G158" i="8"/>
  <c r="G182" i="8"/>
  <c r="G206" i="8"/>
  <c r="G230" i="8"/>
  <c r="G242" i="8"/>
  <c r="I16" i="8"/>
  <c r="I40" i="8"/>
  <c r="I64" i="8"/>
  <c r="I88" i="8"/>
  <c r="I112" i="8"/>
  <c r="I136" i="8"/>
  <c r="I160" i="8"/>
  <c r="I184" i="8"/>
  <c r="I208" i="8"/>
  <c r="I220" i="8"/>
  <c r="I244" i="8"/>
  <c r="K6" i="8"/>
  <c r="K18" i="8"/>
  <c r="K42" i="8"/>
  <c r="K54" i="8"/>
  <c r="K66" i="8"/>
  <c r="K78" i="8"/>
  <c r="K90" i="8"/>
  <c r="K102" i="8"/>
  <c r="K114" i="8"/>
  <c r="K126" i="8"/>
  <c r="K138" i="8"/>
  <c r="K150" i="8"/>
  <c r="K162" i="8"/>
  <c r="K174" i="8"/>
  <c r="K186" i="8"/>
  <c r="K198" i="8"/>
  <c r="K210" i="8"/>
  <c r="K222" i="8"/>
  <c r="K234" i="8"/>
  <c r="K246" i="8"/>
  <c r="M8" i="8"/>
  <c r="M20" i="8"/>
  <c r="M32" i="8"/>
  <c r="M44" i="8"/>
  <c r="M56" i="8"/>
  <c r="M68" i="8"/>
  <c r="M92" i="8"/>
  <c r="M104" i="8"/>
  <c r="M116" i="8"/>
  <c r="M128" i="8"/>
  <c r="M140" i="8"/>
  <c r="M152" i="8"/>
  <c r="M164" i="8"/>
  <c r="M176" i="8"/>
  <c r="M188" i="8"/>
  <c r="M200" i="8"/>
  <c r="M212" i="8"/>
  <c r="M224" i="8"/>
  <c r="M236" i="8"/>
  <c r="M248" i="8"/>
  <c r="O10" i="8"/>
  <c r="O22" i="8"/>
  <c r="O34" i="8"/>
  <c r="O46" i="8"/>
  <c r="O58" i="8"/>
  <c r="O70" i="8"/>
  <c r="O82" i="8"/>
  <c r="O94" i="8"/>
  <c r="O106" i="8"/>
  <c r="O118" i="8"/>
  <c r="O130" i="8"/>
  <c r="O142" i="8"/>
  <c r="O154" i="8"/>
  <c r="O166" i="8"/>
  <c r="O178" i="8"/>
  <c r="O190" i="8"/>
  <c r="O202" i="8"/>
  <c r="O214" i="8"/>
  <c r="O226" i="8"/>
  <c r="Q216" i="8"/>
  <c r="AG87" i="8"/>
  <c r="S98" i="8"/>
  <c r="AG99" i="8"/>
  <c r="AG123" i="8"/>
  <c r="AG111" i="8"/>
  <c r="O238" i="8"/>
  <c r="O250" i="8"/>
  <c r="Q12" i="8"/>
  <c r="Q24" i="8"/>
  <c r="Q36" i="8"/>
  <c r="Q48" i="8"/>
  <c r="Q60" i="8"/>
  <c r="Q72" i="8"/>
  <c r="Q84" i="8"/>
  <c r="Q96" i="8"/>
  <c r="Q108" i="8"/>
  <c r="Q120" i="8"/>
  <c r="Q132" i="8"/>
  <c r="Q144" i="8"/>
  <c r="Q156" i="8"/>
  <c r="Q168" i="8"/>
  <c r="Q180" i="8"/>
  <c r="Q192" i="8"/>
  <c r="Q204" i="8"/>
  <c r="Q228" i="8"/>
  <c r="Q240" i="8"/>
  <c r="S14" i="8"/>
  <c r="S26" i="8"/>
  <c r="S38" i="8"/>
  <c r="S50" i="8"/>
  <c r="S74" i="8"/>
  <c r="S86" i="8"/>
  <c r="S110" i="8"/>
  <c r="S122" i="8"/>
  <c r="S134" i="8"/>
  <c r="S146" i="8"/>
  <c r="S158" i="8"/>
  <c r="S170" i="8"/>
  <c r="S182" i="8"/>
  <c r="S194" i="8"/>
  <c r="S206" i="8"/>
  <c r="S218" i="8"/>
  <c r="S230" i="8"/>
  <c r="S242" i="8"/>
  <c r="U4" i="8"/>
  <c r="U16" i="8"/>
  <c r="U28" i="8"/>
  <c r="U40" i="8"/>
  <c r="U52" i="8"/>
  <c r="U64" i="8"/>
  <c r="U76" i="8"/>
  <c r="U88" i="8"/>
  <c r="U100" i="8"/>
  <c r="U112" i="8"/>
  <c r="U124" i="8"/>
  <c r="U136" i="8"/>
  <c r="U148" i="8"/>
  <c r="U160" i="8"/>
  <c r="U172" i="8"/>
  <c r="U184" i="8"/>
  <c r="U196" i="8"/>
  <c r="U208" i="8"/>
  <c r="U220" i="8"/>
  <c r="U232" i="8"/>
  <c r="U244" i="8"/>
  <c r="W6" i="8"/>
  <c r="W18" i="8"/>
  <c r="W30" i="8"/>
  <c r="W42" i="8"/>
  <c r="W54" i="8"/>
  <c r="W66" i="8"/>
  <c r="W78" i="8"/>
  <c r="W90" i="8"/>
  <c r="W102" i="8"/>
  <c r="W114" i="8"/>
  <c r="W126" i="8"/>
  <c r="W138" i="8"/>
  <c r="W150" i="8"/>
  <c r="W162" i="8"/>
  <c r="W174" i="8"/>
  <c r="W186" i="8"/>
  <c r="W198" i="8"/>
  <c r="W210" i="8"/>
  <c r="W222" i="8"/>
  <c r="W234" i="8"/>
  <c r="W246" i="8"/>
  <c r="Y8" i="8"/>
  <c r="Y20" i="8"/>
  <c r="Y32" i="8"/>
  <c r="Y44" i="8"/>
  <c r="Y56" i="8"/>
  <c r="Y68" i="8"/>
  <c r="Y80" i="8"/>
  <c r="Y92" i="8"/>
  <c r="Y104" i="8"/>
  <c r="Y116" i="8"/>
  <c r="Y128" i="8"/>
  <c r="Y140" i="8"/>
  <c r="Y152" i="8"/>
  <c r="Y164" i="8"/>
  <c r="Y176" i="8"/>
  <c r="Y188" i="8"/>
  <c r="Y200" i="8"/>
  <c r="Y212" i="8"/>
  <c r="Y224" i="8"/>
  <c r="Y236" i="8"/>
  <c r="Y248" i="8"/>
  <c r="AA10" i="8"/>
  <c r="AA22" i="8"/>
  <c r="AA34" i="8"/>
  <c r="AA46" i="8"/>
  <c r="AA58" i="8"/>
  <c r="AA70" i="8"/>
  <c r="AA82" i="8"/>
  <c r="AA94" i="8"/>
  <c r="AA106" i="8"/>
  <c r="AA118" i="8"/>
  <c r="AA130" i="8"/>
  <c r="AA142" i="8"/>
  <c r="AA154" i="8"/>
  <c r="AA166" i="8"/>
  <c r="AA178" i="8"/>
  <c r="AA190" i="8"/>
  <c r="AA202" i="8"/>
  <c r="AA214" i="8"/>
  <c r="AA226" i="8"/>
  <c r="AA238" i="8"/>
  <c r="AA250" i="8"/>
  <c r="AC12" i="8"/>
  <c r="AC24" i="8"/>
  <c r="AC36" i="8"/>
  <c r="AC48" i="8"/>
  <c r="AC60" i="8"/>
  <c r="AC72" i="8"/>
  <c r="AC84" i="8"/>
  <c r="AC96" i="8"/>
  <c r="AC108" i="8"/>
  <c r="AC120" i="8"/>
  <c r="AC132" i="8"/>
  <c r="AC144" i="8"/>
  <c r="AC156" i="8"/>
  <c r="AC168" i="8"/>
  <c r="AC180" i="8"/>
  <c r="AC192" i="8"/>
  <c r="AC204" i="8"/>
  <c r="AC216" i="8"/>
  <c r="AC228" i="8"/>
  <c r="AC240" i="8"/>
  <c r="AE14" i="8"/>
  <c r="AE26" i="8"/>
  <c r="AE38" i="8"/>
  <c r="AE50" i="8"/>
  <c r="AE62" i="8"/>
  <c r="AE74" i="8"/>
  <c r="AE86" i="8"/>
  <c r="AE98" i="8"/>
  <c r="AE110" i="8"/>
  <c r="AE122" i="8"/>
  <c r="AE134" i="8"/>
  <c r="AE146" i="8"/>
  <c r="AE158" i="8"/>
  <c r="AE170" i="8"/>
  <c r="AE182" i="8"/>
  <c r="AE194" i="8"/>
  <c r="AE206" i="8"/>
  <c r="AE218" i="8"/>
  <c r="AE230" i="8"/>
  <c r="AE242" i="8"/>
  <c r="AG15" i="8"/>
  <c r="AG27" i="8"/>
  <c r="AG39" i="8"/>
  <c r="AG51" i="8"/>
  <c r="AG63" i="8"/>
  <c r="AG75" i="8"/>
  <c r="AG147" i="8"/>
  <c r="AO179" i="8"/>
  <c r="AO167" i="8"/>
  <c r="AW211" i="8"/>
  <c r="AW247" i="8"/>
  <c r="AG159" i="8"/>
  <c r="AG171" i="8"/>
  <c r="AG183" i="8"/>
  <c r="AG195" i="8"/>
  <c r="AG207" i="8"/>
  <c r="AG219" i="8"/>
  <c r="AG231" i="8"/>
  <c r="AG243" i="8"/>
  <c r="AI5" i="8"/>
  <c r="AI17" i="8"/>
  <c r="AI29" i="8"/>
  <c r="AI41" i="8"/>
  <c r="AI53" i="8"/>
  <c r="AI65" i="8"/>
  <c r="AI77" i="8"/>
  <c r="AI89" i="8"/>
  <c r="AI101" i="8"/>
  <c r="AI113" i="8"/>
  <c r="AI125" i="8"/>
  <c r="AI137" i="8"/>
  <c r="AI149" i="8"/>
  <c r="AI161" i="8"/>
  <c r="AI173" i="8"/>
  <c r="AI185" i="8"/>
  <c r="AI197" i="8"/>
  <c r="AI209" i="8"/>
  <c r="AI221" i="8"/>
  <c r="AI233" i="8"/>
  <c r="AI245" i="8"/>
  <c r="AK7" i="8"/>
  <c r="AK19" i="8"/>
  <c r="AK31" i="8"/>
  <c r="AK43" i="8"/>
  <c r="AK55" i="8"/>
  <c r="AK67" i="8"/>
  <c r="AK79" i="8"/>
  <c r="AK91" i="8"/>
  <c r="AK103" i="8"/>
  <c r="AK115" i="8"/>
  <c r="AK127" i="8"/>
  <c r="AK139" i="8"/>
  <c r="AK151" i="8"/>
  <c r="AK163" i="8"/>
  <c r="AK175" i="8"/>
  <c r="AK187" i="8"/>
  <c r="AK199" i="8"/>
  <c r="AK211" i="8"/>
  <c r="AK223" i="8"/>
  <c r="AK235" i="8"/>
  <c r="AK247" i="8"/>
  <c r="AM9" i="8"/>
  <c r="AM21" i="8"/>
  <c r="AM33" i="8"/>
  <c r="AM45" i="8"/>
  <c r="AM57" i="8"/>
  <c r="AM69" i="8"/>
  <c r="AM81" i="8"/>
  <c r="AM93" i="8"/>
  <c r="AM105" i="8"/>
  <c r="AM117" i="8"/>
  <c r="AM129" i="8"/>
  <c r="AM141" i="8"/>
  <c r="AM153" i="8"/>
  <c r="AM165" i="8"/>
  <c r="AM177" i="8"/>
  <c r="AM189" i="8"/>
  <c r="AM201" i="8"/>
  <c r="AM213" i="8"/>
  <c r="AM225" i="8"/>
  <c r="AM237" i="8"/>
  <c r="AM249" i="8"/>
  <c r="AO11" i="8"/>
  <c r="AO23" i="8"/>
  <c r="AO35" i="8"/>
  <c r="AO47" i="8"/>
  <c r="AO59" i="8"/>
  <c r="AO71" i="8"/>
  <c r="AO83" i="8"/>
  <c r="AO95" i="8"/>
  <c r="AO107" i="8"/>
  <c r="AO119" i="8"/>
  <c r="AO131" i="8"/>
  <c r="AO143" i="8"/>
  <c r="AO155" i="8"/>
  <c r="AW235" i="8"/>
  <c r="BS209" i="8"/>
  <c r="BK201" i="8"/>
  <c r="BK225" i="8"/>
  <c r="AO191" i="8"/>
  <c r="AO203" i="8"/>
  <c r="AO215" i="8"/>
  <c r="AO227" i="8"/>
  <c r="AO239" i="8"/>
  <c r="AO251" i="8"/>
  <c r="AQ13" i="8"/>
  <c r="AQ25" i="8"/>
  <c r="AQ37" i="8"/>
  <c r="AQ49" i="8"/>
  <c r="AQ61" i="8"/>
  <c r="AQ73" i="8"/>
  <c r="AQ85" i="8"/>
  <c r="AQ97" i="8"/>
  <c r="AQ109" i="8"/>
  <c r="AQ121" i="8"/>
  <c r="AQ133" i="8"/>
  <c r="AQ145" i="8"/>
  <c r="AQ157" i="8"/>
  <c r="AQ169" i="8"/>
  <c r="AQ181" i="8"/>
  <c r="AQ193" i="8"/>
  <c r="AQ205" i="8"/>
  <c r="AQ217" i="8"/>
  <c r="AQ229" i="8"/>
  <c r="AQ241" i="8"/>
  <c r="AS15" i="8"/>
  <c r="AS27" i="8"/>
  <c r="AS39" i="8"/>
  <c r="AS51" i="8"/>
  <c r="AS63" i="8"/>
  <c r="AS75" i="8"/>
  <c r="AS87" i="8"/>
  <c r="AS99" i="8"/>
  <c r="AS111" i="8"/>
  <c r="AS123" i="8"/>
  <c r="AS135" i="8"/>
  <c r="AS147" i="8"/>
  <c r="AS159" i="8"/>
  <c r="AS171" i="8"/>
  <c r="AS183" i="8"/>
  <c r="AS195" i="8"/>
  <c r="AS207" i="8"/>
  <c r="AS219" i="8"/>
  <c r="AS231" i="8"/>
  <c r="AS243" i="8"/>
  <c r="AU5" i="8"/>
  <c r="AU17" i="8"/>
  <c r="AU29" i="8"/>
  <c r="AU41" i="8"/>
  <c r="AU53" i="8"/>
  <c r="AU65" i="8"/>
  <c r="AU77" i="8"/>
  <c r="AU89" i="8"/>
  <c r="AU101" i="8"/>
  <c r="AU113" i="8"/>
  <c r="AU125" i="8"/>
  <c r="AU137" i="8"/>
  <c r="AU149" i="8"/>
  <c r="AU161" i="8"/>
  <c r="AU173" i="8"/>
  <c r="AU185" i="8"/>
  <c r="AU197" i="8"/>
  <c r="AU209" i="8"/>
  <c r="AU221" i="8"/>
  <c r="AU233" i="8"/>
  <c r="AU245" i="8"/>
  <c r="AW7" i="8"/>
  <c r="AW19" i="8"/>
  <c r="AW31" i="8"/>
  <c r="AW43" i="8"/>
  <c r="AW55" i="8"/>
  <c r="AW67" i="8"/>
  <c r="AW79" i="8"/>
  <c r="AW91" i="8"/>
  <c r="AW103" i="8"/>
  <c r="AW115" i="8"/>
  <c r="AW127" i="8"/>
  <c r="AW139" i="8"/>
  <c r="AW151" i="8"/>
  <c r="AW163" i="8"/>
  <c r="AW175" i="8"/>
  <c r="AW187" i="8"/>
  <c r="AW199" i="8"/>
  <c r="AW223" i="8"/>
  <c r="CO168" i="8"/>
  <c r="CO192" i="8"/>
  <c r="CQ98" i="8"/>
  <c r="AY33" i="8"/>
  <c r="AY69" i="8"/>
  <c r="AY105" i="8"/>
  <c r="AY141" i="8"/>
  <c r="AY177" i="8"/>
  <c r="AY213" i="8"/>
  <c r="AY249" i="8"/>
  <c r="BA35" i="8"/>
  <c r="BA83" i="8"/>
  <c r="BA119" i="8"/>
  <c r="BA155" i="8"/>
  <c r="BA191" i="8"/>
  <c r="BA227" i="8"/>
  <c r="BC13" i="8"/>
  <c r="BC49" i="8"/>
  <c r="BC85" i="8"/>
  <c r="BC121" i="8"/>
  <c r="BC157" i="8"/>
  <c r="BC193" i="8"/>
  <c r="BC217" i="8"/>
  <c r="BG29" i="8"/>
  <c r="BG65" i="8"/>
  <c r="BG101" i="8"/>
  <c r="BG137" i="8"/>
  <c r="BG161" i="8"/>
  <c r="BG197" i="8"/>
  <c r="BG233" i="8"/>
  <c r="BI19" i="8"/>
  <c r="BI55" i="8"/>
  <c r="BI91" i="8"/>
  <c r="BI127" i="8"/>
  <c r="BI163" i="8"/>
  <c r="BI199" i="8"/>
  <c r="BI235" i="8"/>
  <c r="BK21" i="8"/>
  <c r="BK57" i="8"/>
  <c r="BK93" i="8"/>
  <c r="BK129" i="8"/>
  <c r="BK177" i="8"/>
  <c r="BK237" i="8"/>
  <c r="BO13" i="8"/>
  <c r="BO49" i="8"/>
  <c r="BO85" i="8"/>
  <c r="BO121" i="8"/>
  <c r="BO157" i="8"/>
  <c r="BO193" i="8"/>
  <c r="BO241" i="8"/>
  <c r="BQ27" i="8"/>
  <c r="BQ63" i="8"/>
  <c r="BQ99" i="8"/>
  <c r="BQ135" i="8"/>
  <c r="BQ171" i="8"/>
  <c r="BQ207" i="8"/>
  <c r="BQ243" i="8"/>
  <c r="BS29" i="8"/>
  <c r="BS65" i="8"/>
  <c r="BS101" i="8"/>
  <c r="BS137" i="8"/>
  <c r="BS173" i="8"/>
  <c r="BS233" i="8"/>
  <c r="BW21" i="8"/>
  <c r="BW57" i="8"/>
  <c r="BW93" i="8"/>
  <c r="BW117" i="8"/>
  <c r="BW153" i="8"/>
  <c r="BW189" i="8"/>
  <c r="BW225" i="8"/>
  <c r="BY11" i="8"/>
  <c r="BY47" i="8"/>
  <c r="BY83" i="8"/>
  <c r="BY119" i="8"/>
  <c r="BY155" i="8"/>
  <c r="BY191" i="8"/>
  <c r="BY239" i="8"/>
  <c r="CA13" i="8"/>
  <c r="CA49" i="8"/>
  <c r="CA85" i="8"/>
  <c r="CA121" i="8"/>
  <c r="CA145" i="8"/>
  <c r="CA169" i="8"/>
  <c r="CA193" i="8"/>
  <c r="CA217" i="8"/>
  <c r="CA241" i="8"/>
  <c r="CC15" i="8"/>
  <c r="BO99" i="8"/>
  <c r="AY21" i="8"/>
  <c r="AY57" i="8"/>
  <c r="AY93" i="8"/>
  <c r="AY129" i="8"/>
  <c r="AY165" i="8"/>
  <c r="AY201" i="8"/>
  <c r="AY237" i="8"/>
  <c r="BA23" i="8"/>
  <c r="BA59" i="8"/>
  <c r="BA95" i="8"/>
  <c r="BA131" i="8"/>
  <c r="BA167" i="8"/>
  <c r="BA203" i="8"/>
  <c r="BA239" i="8"/>
  <c r="BC25" i="8"/>
  <c r="BC61" i="8"/>
  <c r="BC97" i="8"/>
  <c r="BC133" i="8"/>
  <c r="BC169" i="8"/>
  <c r="BC205" i="8"/>
  <c r="BC241" i="8"/>
  <c r="BG5" i="8"/>
  <c r="BG41" i="8"/>
  <c r="BG77" i="8"/>
  <c r="BG113" i="8"/>
  <c r="BG149" i="8"/>
  <c r="BG185" i="8"/>
  <c r="BG221" i="8"/>
  <c r="BI7" i="8"/>
  <c r="BI43" i="8"/>
  <c r="BI79" i="8"/>
  <c r="BI115" i="8"/>
  <c r="BI151" i="8"/>
  <c r="BI187" i="8"/>
  <c r="BI211" i="8"/>
  <c r="BI247" i="8"/>
  <c r="BK33" i="8"/>
  <c r="BK69" i="8"/>
  <c r="BK105" i="8"/>
  <c r="BK153" i="8"/>
  <c r="BK189" i="8"/>
  <c r="BK249" i="8"/>
  <c r="BO37" i="8"/>
  <c r="BO73" i="8"/>
  <c r="BO109" i="8"/>
  <c r="BO145" i="8"/>
  <c r="BO181" i="8"/>
  <c r="BO205" i="8"/>
  <c r="BO229" i="8"/>
  <c r="BQ39" i="8"/>
  <c r="BQ87" i="8"/>
  <c r="BQ123" i="8"/>
  <c r="BQ159" i="8"/>
  <c r="BQ183" i="8"/>
  <c r="BQ219" i="8"/>
  <c r="BS5" i="8"/>
  <c r="BS41" i="8"/>
  <c r="BS77" i="8"/>
  <c r="BS113" i="8"/>
  <c r="BS149" i="8"/>
  <c r="BS185" i="8"/>
  <c r="BS245" i="8"/>
  <c r="BW9" i="8"/>
  <c r="BW45" i="8"/>
  <c r="BW81" i="8"/>
  <c r="BW129" i="8"/>
  <c r="BW165" i="8"/>
  <c r="BW201" i="8"/>
  <c r="BW237" i="8"/>
  <c r="BY23" i="8"/>
  <c r="BY59" i="8"/>
  <c r="BY95" i="8"/>
  <c r="BY131" i="8"/>
  <c r="BY167" i="8"/>
  <c r="BY203" i="8"/>
  <c r="BY227" i="8"/>
  <c r="CA25" i="8"/>
  <c r="CA61" i="8"/>
  <c r="CA97" i="8"/>
  <c r="CA133" i="8"/>
  <c r="CA181" i="8"/>
  <c r="CA229" i="8"/>
  <c r="CC39" i="8"/>
  <c r="AY9" i="8"/>
  <c r="AY45" i="8"/>
  <c r="AY81" i="8"/>
  <c r="AY117" i="8"/>
  <c r="AY153" i="8"/>
  <c r="AY189" i="8"/>
  <c r="AY225" i="8"/>
  <c r="BA11" i="8"/>
  <c r="BA47" i="8"/>
  <c r="BA71" i="8"/>
  <c r="BA107" i="8"/>
  <c r="BA143" i="8"/>
  <c r="BA179" i="8"/>
  <c r="BA215" i="8"/>
  <c r="BA251" i="8"/>
  <c r="BC37" i="8"/>
  <c r="BC73" i="8"/>
  <c r="BC109" i="8"/>
  <c r="BC145" i="8"/>
  <c r="BC181" i="8"/>
  <c r="BC229" i="8"/>
  <c r="BG17" i="8"/>
  <c r="BG53" i="8"/>
  <c r="BG89" i="8"/>
  <c r="BG125" i="8"/>
  <c r="BG173" i="8"/>
  <c r="BG209" i="8"/>
  <c r="BG245" i="8"/>
  <c r="BI31" i="8"/>
  <c r="BI67" i="8"/>
  <c r="BI103" i="8"/>
  <c r="BI139" i="8"/>
  <c r="BI175" i="8"/>
  <c r="BI223" i="8"/>
  <c r="BK9" i="8"/>
  <c r="BK45" i="8"/>
  <c r="BK81" i="8"/>
  <c r="BK117" i="8"/>
  <c r="BK141" i="8"/>
  <c r="BK165" i="8"/>
  <c r="BK213" i="8"/>
  <c r="BO25" i="8"/>
  <c r="BO61" i="8"/>
  <c r="BO97" i="8"/>
  <c r="BO133" i="8"/>
  <c r="BO169" i="8"/>
  <c r="BO217" i="8"/>
  <c r="BQ15" i="8"/>
  <c r="BQ51" i="8"/>
  <c r="BQ75" i="8"/>
  <c r="BQ111" i="8"/>
  <c r="BQ147" i="8"/>
  <c r="BQ195" i="8"/>
  <c r="BQ231" i="8"/>
  <c r="BS17" i="8"/>
  <c r="BS53" i="8"/>
  <c r="BS89" i="8"/>
  <c r="BS125" i="8"/>
  <c r="BS161" i="8"/>
  <c r="BS197" i="8"/>
  <c r="BS221" i="8"/>
  <c r="BW33" i="8"/>
  <c r="BW69" i="8"/>
  <c r="BW105" i="8"/>
  <c r="BW141" i="8"/>
  <c r="BW177" i="8"/>
  <c r="BW213" i="8"/>
  <c r="BW249" i="8"/>
  <c r="BY35" i="8"/>
  <c r="BY71" i="8"/>
  <c r="BY107" i="8"/>
  <c r="BY143" i="8"/>
  <c r="BY179" i="8"/>
  <c r="BY215" i="8"/>
  <c r="BY251" i="8"/>
  <c r="CA37" i="8"/>
  <c r="CA73" i="8"/>
  <c r="CA109" i="8"/>
  <c r="CA157" i="8"/>
  <c r="CA205" i="8"/>
  <c r="CC27" i="8"/>
  <c r="CQ143" i="8"/>
  <c r="C41" i="8"/>
  <c r="C83" i="8"/>
  <c r="C125" i="8"/>
  <c r="C161" i="8"/>
  <c r="C209" i="8"/>
  <c r="C251" i="8"/>
  <c r="CG56" i="8"/>
  <c r="CG68" i="8"/>
  <c r="CG92" i="8"/>
  <c r="CI118" i="8"/>
  <c r="CI130" i="8"/>
  <c r="CI142" i="8"/>
  <c r="CI238" i="8"/>
  <c r="CI250" i="8"/>
  <c r="CK24" i="8"/>
  <c r="CK180" i="8"/>
  <c r="CM38" i="8"/>
  <c r="CM50" i="8"/>
  <c r="CM62" i="8"/>
  <c r="CM74" i="8"/>
  <c r="CM86" i="8"/>
  <c r="CM98" i="8"/>
  <c r="CM110" i="8"/>
  <c r="CM122" i="8"/>
  <c r="CM134" i="8"/>
  <c r="CM146" i="8"/>
  <c r="CM158" i="8"/>
  <c r="CM170" i="8"/>
  <c r="CM182" i="8"/>
  <c r="CM194" i="8"/>
  <c r="CM206" i="8"/>
  <c r="CM218" i="8"/>
  <c r="CM230" i="8"/>
  <c r="CM242" i="8"/>
  <c r="CO4" i="8"/>
  <c r="CO16" i="8"/>
  <c r="CO28" i="8"/>
  <c r="CO40" i="8"/>
  <c r="CO52" i="8"/>
  <c r="CO64" i="8"/>
  <c r="CO76" i="8"/>
  <c r="CO88" i="8"/>
  <c r="CO100" i="8"/>
  <c r="CO112" i="8"/>
  <c r="CO124" i="8"/>
  <c r="CO136" i="8"/>
  <c r="CO148" i="8"/>
  <c r="CO160" i="8"/>
  <c r="CO172" i="8"/>
  <c r="CO184" i="8"/>
  <c r="CO196" i="8"/>
  <c r="CO208" i="8"/>
  <c r="CO220" i="8"/>
  <c r="CO232" i="8"/>
  <c r="CO244" i="8"/>
  <c r="CQ6" i="8"/>
  <c r="CQ18" i="8"/>
  <c r="CQ30" i="8"/>
  <c r="CQ42" i="8"/>
  <c r="CQ54" i="8"/>
  <c r="CQ66" i="8"/>
  <c r="CQ78" i="8"/>
  <c r="CQ90" i="8"/>
  <c r="CQ102" i="8"/>
  <c r="CQ114" i="8"/>
  <c r="CQ126" i="8"/>
  <c r="CQ138" i="8"/>
  <c r="CQ150" i="8"/>
  <c r="CQ162" i="8"/>
  <c r="CQ174" i="8"/>
  <c r="CQ186" i="8"/>
  <c r="CQ198" i="8"/>
  <c r="CQ210" i="8"/>
  <c r="CQ222" i="8"/>
  <c r="CQ234" i="8"/>
  <c r="CQ246" i="8"/>
  <c r="C23" i="8"/>
  <c r="C53" i="8"/>
  <c r="C95" i="8"/>
  <c r="C137" i="8"/>
  <c r="C173" i="8"/>
  <c r="C203" i="8"/>
  <c r="C239" i="8"/>
  <c r="AM251" i="8"/>
  <c r="AO25" i="8"/>
  <c r="AO61" i="8"/>
  <c r="AO97" i="8"/>
  <c r="AO121" i="8"/>
  <c r="AO145" i="8"/>
  <c r="AO169" i="8"/>
  <c r="AO205" i="8"/>
  <c r="AO241" i="8"/>
  <c r="AQ27" i="8"/>
  <c r="AQ51" i="8"/>
  <c r="AQ75" i="8"/>
  <c r="AQ99" i="8"/>
  <c r="AQ123" i="8"/>
  <c r="AQ147" i="8"/>
  <c r="AQ171" i="8"/>
  <c r="AQ195" i="8"/>
  <c r="AQ207" i="8"/>
  <c r="AQ231" i="8"/>
  <c r="AS5" i="8"/>
  <c r="AS29" i="8"/>
  <c r="AS53" i="8"/>
  <c r="AS77" i="8"/>
  <c r="AS101" i="8"/>
  <c r="AS125" i="8"/>
  <c r="AS149" i="8"/>
  <c r="AS173" i="8"/>
  <c r="AS197" i="8"/>
  <c r="AS221" i="8"/>
  <c r="AS245" i="8"/>
  <c r="AU31" i="8"/>
  <c r="AU55" i="8"/>
  <c r="AU79" i="8"/>
  <c r="AU139" i="8"/>
  <c r="AW45" i="8"/>
  <c r="C11" i="8"/>
  <c r="C47" i="8"/>
  <c r="C77" i="8"/>
  <c r="C119" i="8"/>
  <c r="C167" i="8"/>
  <c r="C215" i="8"/>
  <c r="AO13" i="8"/>
  <c r="AO37" i="8"/>
  <c r="AO49" i="8"/>
  <c r="AO73" i="8"/>
  <c r="AO85" i="8"/>
  <c r="AO109" i="8"/>
  <c r="AO133" i="8"/>
  <c r="AO157" i="8"/>
  <c r="AO193" i="8"/>
  <c r="AO217" i="8"/>
  <c r="AO229" i="8"/>
  <c r="AQ15" i="8"/>
  <c r="AQ39" i="8"/>
  <c r="AQ63" i="8"/>
  <c r="AQ87" i="8"/>
  <c r="AQ111" i="8"/>
  <c r="AQ135" i="8"/>
  <c r="AQ159" i="8"/>
  <c r="AQ183" i="8"/>
  <c r="AQ219" i="8"/>
  <c r="AQ243" i="8"/>
  <c r="AS17" i="8"/>
  <c r="AS41" i="8"/>
  <c r="AS65" i="8"/>
  <c r="AS89" i="8"/>
  <c r="AS113" i="8"/>
  <c r="AS137" i="8"/>
  <c r="AS161" i="8"/>
  <c r="AS185" i="8"/>
  <c r="AS209" i="8"/>
  <c r="AS233" i="8"/>
  <c r="AU7" i="8"/>
  <c r="AU19" i="8"/>
  <c r="AU43" i="8"/>
  <c r="AU67" i="8"/>
  <c r="AU91" i="8"/>
  <c r="AU103" i="8"/>
  <c r="AU115" i="8"/>
  <c r="AU127" i="8"/>
  <c r="AU151" i="8"/>
  <c r="AU163" i="8"/>
  <c r="AU175" i="8"/>
  <c r="AU187" i="8"/>
  <c r="AU199" i="8"/>
  <c r="AU211" i="8"/>
  <c r="AU223" i="8"/>
  <c r="AU235" i="8"/>
  <c r="AU247" i="8"/>
  <c r="AW9" i="8"/>
  <c r="AW21" i="8"/>
  <c r="AW33" i="8"/>
  <c r="BA37" i="8"/>
  <c r="C29" i="8"/>
  <c r="C71" i="8"/>
  <c r="C113" i="8"/>
  <c r="C149" i="8"/>
  <c r="C191" i="8"/>
  <c r="C233" i="8"/>
  <c r="AO181" i="8"/>
  <c r="C35" i="8"/>
  <c r="C89" i="8"/>
  <c r="C131" i="8"/>
  <c r="C185" i="8"/>
  <c r="C227" i="8"/>
  <c r="C17" i="8"/>
  <c r="C59" i="8"/>
  <c r="C101" i="8"/>
  <c r="C143" i="8"/>
  <c r="C179" i="8"/>
  <c r="C221" i="8"/>
  <c r="C5" i="8"/>
  <c r="C65" i="8"/>
  <c r="C107" i="8"/>
  <c r="C155" i="8"/>
  <c r="C197" i="8"/>
  <c r="C245" i="8"/>
  <c r="AW57" i="8"/>
  <c r="AW69" i="8"/>
  <c r="AW81" i="8"/>
  <c r="AW93" i="8"/>
  <c r="AW105" i="8"/>
  <c r="AW117" i="8"/>
  <c r="AW129" i="8"/>
  <c r="AW141" i="8"/>
  <c r="AW153" i="8"/>
  <c r="AW165" i="8"/>
  <c r="AW177" i="8"/>
  <c r="AW189" i="8"/>
  <c r="AW201" i="8"/>
  <c r="AW213" i="8"/>
  <c r="AW225" i="8"/>
  <c r="AW237" i="8"/>
  <c r="AW249" i="8"/>
  <c r="AY11" i="8"/>
  <c r="AY23" i="8"/>
  <c r="AY35" i="8"/>
  <c r="AY47" i="8"/>
  <c r="AY59" i="8"/>
  <c r="AY71" i="8"/>
  <c r="AY83" i="8"/>
  <c r="AY95" i="8"/>
  <c r="AY107" i="8"/>
  <c r="AY119" i="8"/>
  <c r="AY131" i="8"/>
  <c r="AY143" i="8"/>
  <c r="AY155" i="8"/>
  <c r="AY167" i="8"/>
  <c r="AY179" i="8"/>
  <c r="AY191" i="8"/>
  <c r="AY203" i="8"/>
  <c r="AY215" i="8"/>
  <c r="AY227" i="8"/>
  <c r="AY239" i="8"/>
  <c r="AY251" i="8"/>
  <c r="BA13" i="8"/>
  <c r="BA25" i="8"/>
  <c r="BA49" i="8"/>
  <c r="BA61" i="8"/>
  <c r="BA73" i="8"/>
  <c r="BA85" i="8"/>
  <c r="BA97" i="8"/>
  <c r="BA109" i="8"/>
  <c r="BA121" i="8"/>
  <c r="BA133" i="8"/>
  <c r="BA145" i="8"/>
  <c r="BA157" i="8"/>
  <c r="BA169" i="8"/>
  <c r="BA181" i="8"/>
  <c r="BA193" i="8"/>
  <c r="BA205" i="8"/>
  <c r="BA217" i="8"/>
  <c r="BA229" i="8"/>
  <c r="BA241" i="8"/>
  <c r="BC15" i="8"/>
  <c r="BC27" i="8"/>
  <c r="BC39" i="8"/>
  <c r="BC51" i="8"/>
  <c r="BC63" i="8"/>
  <c r="BC75" i="8"/>
  <c r="BC87" i="8"/>
  <c r="BC99" i="8"/>
  <c r="BC111" i="8"/>
  <c r="BC123" i="8"/>
  <c r="BC135" i="8"/>
  <c r="BC147" i="8"/>
  <c r="BC159" i="8"/>
  <c r="BC171" i="8"/>
  <c r="BC183" i="8"/>
  <c r="BC195" i="8"/>
  <c r="BC207" i="8"/>
  <c r="BC219" i="8"/>
  <c r="BC231" i="8"/>
  <c r="BC243" i="8"/>
  <c r="BE5" i="8"/>
  <c r="BE17" i="8"/>
  <c r="BE29" i="8"/>
  <c r="BE41" i="8"/>
  <c r="BE53" i="8"/>
  <c r="BE65" i="8"/>
  <c r="BE77" i="8"/>
  <c r="BE89" i="8"/>
  <c r="CA149" i="8"/>
  <c r="CA161" i="8"/>
  <c r="CA173" i="8"/>
  <c r="CA185" i="8"/>
  <c r="CA197" i="8"/>
  <c r="CA209" i="8"/>
  <c r="CA221" i="8"/>
  <c r="CA233" i="8"/>
  <c r="CC7" i="8"/>
  <c r="CC19" i="8"/>
  <c r="CC31" i="8"/>
  <c r="CC43" i="8"/>
  <c r="CC55" i="8"/>
  <c r="CC67" i="8"/>
  <c r="CC79" i="8"/>
  <c r="CC139" i="8"/>
  <c r="CC151" i="8"/>
  <c r="CC163" i="8"/>
  <c r="CC175" i="8"/>
  <c r="CC187" i="8"/>
  <c r="CC199" i="8"/>
  <c r="CC211" i="8"/>
  <c r="CC223" i="8"/>
  <c r="CC247" i="8"/>
  <c r="CE9" i="8"/>
  <c r="CE21" i="8"/>
  <c r="CE33" i="8"/>
  <c r="CE45" i="8"/>
  <c r="CE57" i="8"/>
  <c r="CE69" i="8"/>
  <c r="CE81" i="8"/>
  <c r="CE93" i="8"/>
  <c r="CE105" i="8"/>
  <c r="CE117" i="8"/>
  <c r="CE129" i="8"/>
  <c r="CE189" i="8"/>
  <c r="CE201" i="8"/>
  <c r="CE213" i="8"/>
  <c r="CE225" i="8"/>
  <c r="CE237" i="8"/>
  <c r="CE249" i="8"/>
  <c r="CG11" i="8"/>
  <c r="CG23" i="8"/>
  <c r="CG35" i="8"/>
  <c r="CG47" i="8"/>
  <c r="CG59" i="8"/>
  <c r="CG119" i="8"/>
  <c r="CG131" i="8"/>
  <c r="CG143" i="8"/>
  <c r="CG155" i="8"/>
  <c r="CG167" i="8"/>
  <c r="CG179" i="8"/>
  <c r="CG191" i="8"/>
  <c r="CG215" i="8"/>
  <c r="CG239" i="8"/>
  <c r="CG251" i="8"/>
  <c r="CI13" i="8"/>
  <c r="CI25" i="8"/>
  <c r="CI37" i="8"/>
  <c r="CI49" i="8"/>
  <c r="CI61" i="8"/>
  <c r="CI73" i="8"/>
  <c r="CI85" i="8"/>
  <c r="CI97" i="8"/>
  <c r="CI109" i="8"/>
  <c r="CI121" i="8"/>
  <c r="CI133" i="8"/>
  <c r="CI145" i="8"/>
  <c r="CI157" i="8"/>
  <c r="CI169" i="8"/>
  <c r="CI181" i="8"/>
  <c r="CI193" i="8"/>
  <c r="CI205" i="8"/>
  <c r="CI217" i="8"/>
  <c r="CI229" i="8"/>
  <c r="CI241" i="8"/>
  <c r="CK15" i="8"/>
  <c r="CK27" i="8"/>
  <c r="CK39" i="8"/>
  <c r="CK51" i="8"/>
  <c r="CK63" i="8"/>
  <c r="CK75" i="8"/>
  <c r="CK87" i="8"/>
  <c r="CK99" i="8"/>
  <c r="CK111" i="8"/>
  <c r="E7" i="8"/>
  <c r="E19" i="8"/>
  <c r="E31" i="8"/>
  <c r="E43" i="8"/>
  <c r="E55" i="8"/>
  <c r="E67" i="8"/>
  <c r="E79" i="8"/>
  <c r="E91" i="8"/>
  <c r="E103" i="8"/>
  <c r="E115" i="8"/>
  <c r="E127" i="8"/>
  <c r="E139" i="8"/>
  <c r="E151" i="8"/>
  <c r="E163" i="8"/>
  <c r="E175" i="8"/>
  <c r="E187" i="8"/>
  <c r="E199" i="8"/>
  <c r="E211" i="8"/>
  <c r="E223" i="8"/>
  <c r="E235" i="8"/>
  <c r="E247" i="8"/>
  <c r="G9" i="8"/>
  <c r="G21" i="8"/>
  <c r="G33" i="8"/>
  <c r="G45" i="8"/>
  <c r="G57" i="8"/>
  <c r="G69" i="8"/>
  <c r="G81" i="8"/>
  <c r="G93" i="8"/>
  <c r="G105" i="8"/>
  <c r="G117" i="8"/>
  <c r="G129" i="8"/>
  <c r="G141" i="8"/>
  <c r="G153" i="8"/>
  <c r="G165" i="8"/>
  <c r="G177" i="8"/>
  <c r="G189" i="8"/>
  <c r="G201" i="8"/>
  <c r="G213" i="8"/>
  <c r="G225" i="8"/>
  <c r="G237" i="8"/>
  <c r="G249" i="8"/>
  <c r="I11" i="8"/>
  <c r="E13" i="8"/>
  <c r="E25" i="8"/>
  <c r="E37" i="8"/>
  <c r="E49" i="8"/>
  <c r="E61" i="8"/>
  <c r="E73" i="8"/>
  <c r="E85" i="8"/>
  <c r="E97" i="8"/>
  <c r="E109" i="8"/>
  <c r="E121" i="8"/>
  <c r="E133" i="8"/>
  <c r="E145" i="8"/>
  <c r="E157" i="8"/>
  <c r="E169" i="8"/>
  <c r="E181" i="8"/>
  <c r="E193" i="8"/>
  <c r="E205" i="8"/>
  <c r="E217" i="8"/>
  <c r="E229" i="8"/>
  <c r="E241" i="8"/>
  <c r="G15" i="8"/>
  <c r="G27" i="8"/>
  <c r="G39" i="8"/>
  <c r="G51" i="8"/>
  <c r="G63" i="8"/>
  <c r="G75" i="8"/>
  <c r="G87" i="8"/>
  <c r="G99" i="8"/>
  <c r="G111" i="8"/>
  <c r="G123" i="8"/>
  <c r="G135" i="8"/>
  <c r="G147" i="8"/>
  <c r="G159" i="8"/>
  <c r="G171" i="8"/>
  <c r="G183" i="8"/>
  <c r="G195" i="8"/>
  <c r="G207" i="8"/>
  <c r="G219" i="8"/>
  <c r="G231" i="8"/>
  <c r="G243" i="8"/>
  <c r="I5" i="8"/>
  <c r="I17" i="8"/>
  <c r="I29" i="8"/>
  <c r="I41" i="8"/>
  <c r="I53" i="8"/>
  <c r="I65" i="8"/>
  <c r="I77" i="8"/>
  <c r="I89" i="8"/>
  <c r="I101" i="8"/>
  <c r="I113" i="8"/>
  <c r="I125" i="8"/>
  <c r="I137" i="8"/>
  <c r="I149" i="8"/>
  <c r="I161" i="8"/>
  <c r="I173" i="8"/>
  <c r="I185" i="8"/>
  <c r="I197" i="8"/>
  <c r="I209" i="8"/>
  <c r="I221" i="8"/>
  <c r="I233" i="8"/>
  <c r="I245" i="8"/>
  <c r="K7" i="8"/>
  <c r="K19" i="8"/>
  <c r="K31" i="8"/>
  <c r="K43" i="8"/>
  <c r="K55" i="8"/>
  <c r="K67" i="8"/>
  <c r="K79" i="8"/>
  <c r="K91" i="8"/>
  <c r="K103" i="8"/>
  <c r="K115" i="8"/>
  <c r="K127" i="8"/>
  <c r="K139" i="8"/>
  <c r="K151" i="8"/>
  <c r="K163" i="8"/>
  <c r="K175" i="8"/>
  <c r="K187" i="8"/>
  <c r="K199" i="8"/>
  <c r="K211" i="8"/>
  <c r="K223" i="8"/>
  <c r="K235" i="8"/>
  <c r="K247" i="8"/>
  <c r="M9" i="8"/>
  <c r="M21" i="8"/>
  <c r="M33" i="8"/>
  <c r="M45" i="8"/>
  <c r="M57" i="8"/>
  <c r="M69" i="8"/>
  <c r="M81" i="8"/>
  <c r="M93" i="8"/>
  <c r="M105" i="8"/>
  <c r="M117" i="8"/>
  <c r="M129" i="8"/>
  <c r="M141" i="8"/>
  <c r="M153" i="8"/>
  <c r="M165" i="8"/>
  <c r="M177" i="8"/>
  <c r="M189" i="8"/>
  <c r="M201" i="8"/>
  <c r="M213" i="8"/>
  <c r="M225" i="8"/>
  <c r="M237" i="8"/>
  <c r="M249" i="8"/>
  <c r="O11" i="8"/>
  <c r="O23" i="8"/>
  <c r="O35" i="8"/>
  <c r="O47" i="8"/>
  <c r="O59" i="8"/>
  <c r="O71" i="8"/>
  <c r="O83" i="8"/>
  <c r="O95" i="8"/>
  <c r="O107" i="8"/>
  <c r="O119" i="8"/>
  <c r="O131" i="8"/>
  <c r="O143" i="8"/>
  <c r="O155" i="8"/>
  <c r="O167" i="8"/>
  <c r="O179" i="8"/>
  <c r="C151" i="8"/>
  <c r="BI42" i="8"/>
  <c r="BI198" i="8"/>
  <c r="BI210" i="8"/>
  <c r="BI222" i="8"/>
  <c r="CK8" i="8"/>
  <c r="CK200" i="8"/>
  <c r="CM130" i="8"/>
  <c r="CO156" i="8"/>
  <c r="CQ86" i="8"/>
  <c r="CQ242" i="8"/>
  <c r="O191" i="8"/>
  <c r="O203" i="8"/>
  <c r="O215" i="8"/>
  <c r="O227" i="8"/>
  <c r="O239" i="8"/>
  <c r="O251" i="8"/>
  <c r="Q13" i="8"/>
  <c r="Q25" i="8"/>
  <c r="Q37" i="8"/>
  <c r="Q49" i="8"/>
  <c r="Q61" i="8"/>
  <c r="Q73" i="8"/>
  <c r="Q85" i="8"/>
  <c r="Q97" i="8"/>
  <c r="Q109" i="8"/>
  <c r="Q121" i="8"/>
  <c r="Q133" i="8"/>
  <c r="Q145" i="8"/>
  <c r="Q157" i="8"/>
  <c r="Q169" i="8"/>
  <c r="Q181" i="8"/>
  <c r="Q193" i="8"/>
  <c r="Q205" i="8"/>
  <c r="Q217" i="8"/>
  <c r="Q229" i="8"/>
  <c r="Q241" i="8"/>
  <c r="S15" i="8"/>
  <c r="S27" i="8"/>
  <c r="S39" i="8"/>
  <c r="S51" i="8"/>
  <c r="S63" i="8"/>
  <c r="S75" i="8"/>
  <c r="S87" i="8"/>
  <c r="S99" i="8"/>
  <c r="S111" i="8"/>
  <c r="S123" i="8"/>
  <c r="S135" i="8"/>
  <c r="S147" i="8"/>
  <c r="S159" i="8"/>
  <c r="S171" i="8"/>
  <c r="S183" i="8"/>
  <c r="S195" i="8"/>
  <c r="S207" i="8"/>
  <c r="S219" i="8"/>
  <c r="S231" i="8"/>
  <c r="S243" i="8"/>
  <c r="U5" i="8"/>
  <c r="U17" i="8"/>
  <c r="U29" i="8"/>
  <c r="U41" i="8"/>
  <c r="U53" i="8"/>
  <c r="U65" i="8"/>
  <c r="U77" i="8"/>
  <c r="U89" i="8"/>
  <c r="U101" i="8"/>
  <c r="U113" i="8"/>
  <c r="U125" i="8"/>
  <c r="U137" i="8"/>
  <c r="U149" i="8"/>
  <c r="U161" i="8"/>
  <c r="U173" i="8"/>
  <c r="U185" i="8"/>
  <c r="U197" i="8"/>
  <c r="U209" i="8"/>
  <c r="U221" i="8"/>
  <c r="U233" i="8"/>
  <c r="U245" i="8"/>
  <c r="W7" i="8"/>
  <c r="W19" i="8"/>
  <c r="W31" i="8"/>
  <c r="W43" i="8"/>
  <c r="W55" i="8"/>
  <c r="W67" i="8"/>
  <c r="W79" i="8"/>
  <c r="W91" i="8"/>
  <c r="W103" i="8"/>
  <c r="W115" i="8"/>
  <c r="W127" i="8"/>
  <c r="W139" i="8"/>
  <c r="W151" i="8"/>
  <c r="W163" i="8"/>
  <c r="W175" i="8"/>
  <c r="W187" i="8"/>
  <c r="W199" i="8"/>
  <c r="CK188" i="8"/>
  <c r="BE101" i="8"/>
  <c r="BE113" i="8"/>
  <c r="BE125" i="8"/>
  <c r="BE137" i="8"/>
  <c r="BE149" i="8"/>
  <c r="BE161" i="8"/>
  <c r="BE173" i="8"/>
  <c r="BE185" i="8"/>
  <c r="BE197" i="8"/>
  <c r="BE209" i="8"/>
  <c r="BE221" i="8"/>
  <c r="BE233" i="8"/>
  <c r="BE245" i="8"/>
  <c r="BG7" i="8"/>
  <c r="BG19" i="8"/>
  <c r="BG31" i="8"/>
  <c r="BG43" i="8"/>
  <c r="BG55" i="8"/>
  <c r="BG67" i="8"/>
  <c r="BG79" i="8"/>
  <c r="BG91" i="8"/>
  <c r="BG103" i="8"/>
  <c r="BG115" i="8"/>
  <c r="BG127" i="8"/>
  <c r="BG139" i="8"/>
  <c r="BG151" i="8"/>
  <c r="BG163" i="8"/>
  <c r="BG175" i="8"/>
  <c r="BG187" i="8"/>
  <c r="BG199" i="8"/>
  <c r="BG211" i="8"/>
  <c r="BG223" i="8"/>
  <c r="BG235" i="8"/>
  <c r="BG247" i="8"/>
  <c r="BK11" i="8"/>
  <c r="BK23" i="8"/>
  <c r="BK35" i="8"/>
  <c r="BK47" i="8"/>
  <c r="BK59" i="8"/>
  <c r="BK71" i="8"/>
  <c r="BK83" i="8"/>
  <c r="BK95" i="8"/>
  <c r="BK107" i="8"/>
  <c r="BK119" i="8"/>
  <c r="BK131" i="8"/>
  <c r="BK143" i="8"/>
  <c r="BK155" i="8"/>
  <c r="BK167" i="8"/>
  <c r="BK179" i="8"/>
  <c r="BK191" i="8"/>
  <c r="BK203" i="8"/>
  <c r="BK215" i="8"/>
  <c r="BK227" i="8"/>
  <c r="BK239" i="8"/>
  <c r="BK251" i="8"/>
  <c r="BM13" i="8"/>
  <c r="BM25" i="8"/>
  <c r="BM37" i="8"/>
  <c r="BM49" i="8"/>
  <c r="BM61" i="8"/>
  <c r="BM73" i="8"/>
  <c r="BM85" i="8"/>
  <c r="BM97" i="8"/>
  <c r="BM109" i="8"/>
  <c r="BM121" i="8"/>
  <c r="BM133" i="8"/>
  <c r="BM145" i="8"/>
  <c r="BM157" i="8"/>
  <c r="BM181" i="8"/>
  <c r="BM193" i="8"/>
  <c r="BM205" i="8"/>
  <c r="BM217" i="8"/>
  <c r="BM229" i="8"/>
  <c r="BM241" i="8"/>
  <c r="BO15" i="8"/>
  <c r="BO27" i="8"/>
  <c r="BO39" i="8"/>
  <c r="CK123" i="8"/>
  <c r="CK135" i="8"/>
  <c r="CK147" i="8"/>
  <c r="CK159" i="8"/>
  <c r="CK171" i="8"/>
  <c r="CK183" i="8"/>
  <c r="CK195" i="8"/>
  <c r="CK207" i="8"/>
  <c r="CK219" i="8"/>
  <c r="CK231" i="8"/>
  <c r="CK243" i="8"/>
  <c r="CM5" i="8"/>
  <c r="CM17" i="8"/>
  <c r="CM29" i="8"/>
  <c r="CM41" i="8"/>
  <c r="CM53" i="8"/>
  <c r="CM65" i="8"/>
  <c r="CM77" i="8"/>
  <c r="CM89" i="8"/>
  <c r="CM101" i="8"/>
  <c r="CM113" i="8"/>
  <c r="CM125" i="8"/>
  <c r="CM137" i="8"/>
  <c r="CM149" i="8"/>
  <c r="CM161" i="8"/>
  <c r="CM173" i="8"/>
  <c r="CM185" i="8"/>
  <c r="CM197" i="8"/>
  <c r="CM209" i="8"/>
  <c r="CM221" i="8"/>
  <c r="CM233" i="8"/>
  <c r="CM245" i="8"/>
  <c r="CO7" i="8"/>
  <c r="CO19" i="8"/>
  <c r="CQ83" i="8"/>
  <c r="CQ95" i="8"/>
  <c r="CQ107" i="8"/>
  <c r="CQ119" i="8"/>
  <c r="CQ131" i="8"/>
  <c r="CQ155" i="8"/>
  <c r="CQ167" i="8"/>
  <c r="CQ179" i="8"/>
  <c r="CQ191" i="8"/>
  <c r="CQ203" i="8"/>
  <c r="CQ215" i="8"/>
  <c r="CQ227" i="8"/>
  <c r="CQ239" i="8"/>
  <c r="CQ251" i="8"/>
  <c r="I23" i="8"/>
  <c r="I35" i="8"/>
  <c r="I47" i="8"/>
  <c r="I59" i="8"/>
  <c r="I71" i="8"/>
  <c r="I83" i="8"/>
  <c r="I95" i="8"/>
  <c r="I107" i="8"/>
  <c r="I119" i="8"/>
  <c r="I131" i="8"/>
  <c r="I143" i="8"/>
  <c r="I155" i="8"/>
  <c r="I167" i="8"/>
  <c r="I179" i="8"/>
  <c r="I191" i="8"/>
  <c r="I203" i="8"/>
  <c r="I215" i="8"/>
  <c r="I227" i="8"/>
  <c r="I239" i="8"/>
  <c r="I251" i="8"/>
  <c r="M15" i="8"/>
  <c r="M27" i="8"/>
  <c r="M39" i="8"/>
  <c r="M51" i="8"/>
  <c r="M63" i="8"/>
  <c r="M75" i="8"/>
  <c r="M87" i="8"/>
  <c r="M99" i="8"/>
  <c r="M111" i="8"/>
  <c r="M123" i="8"/>
  <c r="M135" i="8"/>
  <c r="M147" i="8"/>
  <c r="M159" i="8"/>
  <c r="M171" i="8"/>
  <c r="M183" i="8"/>
  <c r="M195" i="8"/>
  <c r="M207" i="8"/>
  <c r="M219" i="8"/>
  <c r="M231" i="8"/>
  <c r="M243" i="8"/>
  <c r="O5" i="8"/>
  <c r="O17" i="8"/>
  <c r="O29" i="8"/>
  <c r="O41" i="8"/>
  <c r="O53" i="8"/>
  <c r="O65" i="8"/>
  <c r="O77" i="8"/>
  <c r="O89" i="8"/>
  <c r="O101" i="8"/>
  <c r="O113" i="8"/>
  <c r="O125" i="8"/>
  <c r="O137" i="8"/>
  <c r="O149" i="8"/>
  <c r="O161" i="8"/>
  <c r="O173" i="8"/>
  <c r="O185" i="8"/>
  <c r="O197" i="8"/>
  <c r="O209" i="8"/>
  <c r="O221" i="8"/>
  <c r="O233" i="8"/>
  <c r="O245" i="8"/>
  <c r="Q7" i="8"/>
  <c r="Q19" i="8"/>
  <c r="Q31" i="8"/>
  <c r="Q43" i="8"/>
  <c r="Q55" i="8"/>
  <c r="Q67" i="8"/>
  <c r="Q79" i="8"/>
  <c r="Q91" i="8"/>
  <c r="Q103" i="8"/>
  <c r="S177" i="8"/>
  <c r="BU194" i="8"/>
  <c r="BY42" i="8"/>
  <c r="BK19" i="8"/>
  <c r="BK31" i="8"/>
  <c r="BK43" i="8"/>
  <c r="BK55" i="8"/>
  <c r="BK67" i="8"/>
  <c r="BK79" i="8"/>
  <c r="BK91" i="8"/>
  <c r="BK103" i="8"/>
  <c r="BK115" i="8"/>
  <c r="BK127" i="8"/>
  <c r="BK139" i="8"/>
  <c r="BK151" i="8"/>
  <c r="BK163" i="8"/>
  <c r="BK175" i="8"/>
  <c r="BK187" i="8"/>
  <c r="BK199" i="8"/>
  <c r="BK211" i="8"/>
  <c r="BK223" i="8"/>
  <c r="BK235" i="8"/>
  <c r="BK247" i="8"/>
  <c r="BM9" i="8"/>
  <c r="BM21" i="8"/>
  <c r="BM33" i="8"/>
  <c r="BM45" i="8"/>
  <c r="BM57" i="8"/>
  <c r="BM69" i="8"/>
  <c r="BM81" i="8"/>
  <c r="BM93" i="8"/>
  <c r="BM105" i="8"/>
  <c r="BM117" i="8"/>
  <c r="BM129" i="8"/>
  <c r="BM141" i="8"/>
  <c r="BM153" i="8"/>
  <c r="BM165" i="8"/>
  <c r="BM177" i="8"/>
  <c r="BM189" i="8"/>
  <c r="BM201" i="8"/>
  <c r="BM213" i="8"/>
  <c r="BM225" i="8"/>
  <c r="BM237" i="8"/>
  <c r="BM249" i="8"/>
  <c r="BO11" i="8"/>
  <c r="BO23" i="8"/>
  <c r="BO35" i="8"/>
  <c r="BO47" i="8"/>
  <c r="BO59" i="8"/>
  <c r="BO71" i="8"/>
  <c r="BO83" i="8"/>
  <c r="BO95" i="8"/>
  <c r="BO107" i="8"/>
  <c r="BO119" i="8"/>
  <c r="BO131" i="8"/>
  <c r="BO143" i="8"/>
  <c r="BO155" i="8"/>
  <c r="BO167" i="8"/>
  <c r="BO179" i="8"/>
  <c r="BO191" i="8"/>
  <c r="BO203" i="8"/>
  <c r="BO215" i="8"/>
  <c r="BO227" i="8"/>
  <c r="BO239" i="8"/>
  <c r="BO251" i="8"/>
  <c r="BS15" i="8"/>
  <c r="BS27" i="8"/>
  <c r="BS39" i="8"/>
  <c r="BS51" i="8"/>
  <c r="BS63" i="8"/>
  <c r="BS75" i="8"/>
  <c r="BS87" i="8"/>
  <c r="BS99" i="8"/>
  <c r="BS111" i="8"/>
  <c r="BS123" i="8"/>
  <c r="BS135" i="8"/>
  <c r="BS147" i="8"/>
  <c r="BS159" i="8"/>
  <c r="BS171" i="8"/>
  <c r="BS183" i="8"/>
  <c r="BS195" i="8"/>
  <c r="BS207" i="8"/>
  <c r="BS219" i="8"/>
  <c r="BS231" i="8"/>
  <c r="BS243" i="8"/>
  <c r="BU5" i="8"/>
  <c r="BU17" i="8"/>
  <c r="BU29" i="8"/>
  <c r="BU41" i="8"/>
  <c r="BU53" i="8"/>
  <c r="BU65" i="8"/>
  <c r="BU77" i="8"/>
  <c r="BU89" i="8"/>
  <c r="BU101" i="8"/>
  <c r="BU113" i="8"/>
  <c r="BU125" i="8"/>
  <c r="BU137" i="8"/>
  <c r="BU149" i="8"/>
  <c r="BU161" i="8"/>
  <c r="BU173" i="8"/>
  <c r="BU185" i="8"/>
  <c r="BU197" i="8"/>
  <c r="BU209" i="8"/>
  <c r="BU221" i="8"/>
  <c r="BU233" i="8"/>
  <c r="BU245" i="8"/>
  <c r="BW7" i="8"/>
  <c r="BW19" i="8"/>
  <c r="BW31" i="8"/>
  <c r="BW43" i="8"/>
  <c r="BW55" i="8"/>
  <c r="BW67" i="8"/>
  <c r="BW79" i="8"/>
  <c r="BW91" i="8"/>
  <c r="BW103" i="8"/>
  <c r="BW115" i="8"/>
  <c r="BW127" i="8"/>
  <c r="BW139" i="8"/>
  <c r="BW151" i="8"/>
  <c r="BW163" i="8"/>
  <c r="BW175" i="8"/>
  <c r="BW187" i="8"/>
  <c r="BW199" i="8"/>
  <c r="BW211" i="8"/>
  <c r="BW223" i="8"/>
  <c r="BW235" i="8"/>
  <c r="BW247" i="8"/>
  <c r="CG5" i="8"/>
  <c r="CG17" i="8"/>
  <c r="CG29" i="8"/>
  <c r="CG41" i="8"/>
  <c r="CG53" i="8"/>
  <c r="CG65" i="8"/>
  <c r="CG77" i="8"/>
  <c r="CG89" i="8"/>
  <c r="CG101" i="8"/>
  <c r="CG113" i="8"/>
  <c r="CG125" i="8"/>
  <c r="CG137" i="8"/>
  <c r="CG149" i="8"/>
  <c r="CG161" i="8"/>
  <c r="CG173" i="8"/>
  <c r="CG185" i="8"/>
  <c r="CG197" i="8"/>
  <c r="CG209" i="8"/>
  <c r="CG221" i="8"/>
  <c r="CG233" i="8"/>
  <c r="CG245" i="8"/>
  <c r="CI7" i="8"/>
  <c r="CI19" i="8"/>
  <c r="CI31" i="8"/>
  <c r="CI43" i="8"/>
  <c r="CI55" i="8"/>
  <c r="CI67" i="8"/>
  <c r="CI79" i="8"/>
  <c r="CI91" i="8"/>
  <c r="CI103" i="8"/>
  <c r="CI115" i="8"/>
  <c r="CI127" i="8"/>
  <c r="CI139" i="8"/>
  <c r="CI151" i="8"/>
  <c r="CI163" i="8"/>
  <c r="CI175" i="8"/>
  <c r="CI187" i="8"/>
  <c r="CI199" i="8"/>
  <c r="CI211" i="8"/>
  <c r="CI223" i="8"/>
  <c r="CI235" i="8"/>
  <c r="CI247" i="8"/>
  <c r="CK9" i="8"/>
  <c r="CK21" i="8"/>
  <c r="CK33" i="8"/>
  <c r="CC51" i="8"/>
  <c r="CC63" i="8"/>
  <c r="CC75" i="8"/>
  <c r="CC87" i="8"/>
  <c r="CC99" i="8"/>
  <c r="CC111" i="8"/>
  <c r="CC123" i="8"/>
  <c r="CC135" i="8"/>
  <c r="CC147" i="8"/>
  <c r="CC159" i="8"/>
  <c r="CC171" i="8"/>
  <c r="CC183" i="8"/>
  <c r="CC195" i="8"/>
  <c r="CC207" i="8"/>
  <c r="CC219" i="8"/>
  <c r="CC231" i="8"/>
  <c r="CC243" i="8"/>
  <c r="CE5" i="8"/>
  <c r="CE17" i="8"/>
  <c r="CE29" i="8"/>
  <c r="CE41" i="8"/>
  <c r="CE53" i="8"/>
  <c r="CE65" i="8"/>
  <c r="CE77" i="8"/>
  <c r="CE89" i="8"/>
  <c r="CE101" i="8"/>
  <c r="CE113" i="8"/>
  <c r="CE125" i="8"/>
  <c r="CE137" i="8"/>
  <c r="CE149" i="8"/>
  <c r="CE161" i="8"/>
  <c r="CE173" i="8"/>
  <c r="CE185" i="8"/>
  <c r="CE197" i="8"/>
  <c r="CE209" i="8"/>
  <c r="CE221" i="8"/>
  <c r="CE233" i="8"/>
  <c r="CE245" i="8"/>
  <c r="CG7" i="8"/>
  <c r="CG19" i="8"/>
  <c r="CG31" i="8"/>
  <c r="CG43" i="8"/>
  <c r="CG55" i="8"/>
  <c r="CG67" i="8"/>
  <c r="CG79" i="8"/>
  <c r="CG91" i="8"/>
  <c r="CG103" i="8"/>
  <c r="CG115" i="8"/>
  <c r="CG127" i="8"/>
  <c r="CG139" i="8"/>
  <c r="CG151" i="8"/>
  <c r="CG163" i="8"/>
  <c r="CG175" i="8"/>
  <c r="CG187" i="8"/>
  <c r="CG199" i="8"/>
  <c r="CG211" i="8"/>
  <c r="CG223" i="8"/>
  <c r="CG235" i="8"/>
  <c r="CG247" i="8"/>
  <c r="CI9" i="8"/>
  <c r="CI21" i="8"/>
  <c r="CI33" i="8"/>
  <c r="CI45" i="8"/>
  <c r="CI57" i="8"/>
  <c r="CI69" i="8"/>
  <c r="CI81" i="8"/>
  <c r="CI93" i="8"/>
  <c r="CI105" i="8"/>
  <c r="CI117" i="8"/>
  <c r="CI129" i="8"/>
  <c r="CI141" i="8"/>
  <c r="CI153" i="8"/>
  <c r="CI165" i="8"/>
  <c r="CI177" i="8"/>
  <c r="CI189" i="8"/>
  <c r="CI201" i="8"/>
  <c r="CI213" i="8"/>
  <c r="CI225" i="8"/>
  <c r="CI237" i="8"/>
  <c r="CI249" i="8"/>
  <c r="CK11" i="8"/>
  <c r="CK23" i="8"/>
  <c r="CK35" i="8"/>
  <c r="CK47" i="8"/>
  <c r="CO31" i="8"/>
  <c r="CO43" i="8"/>
  <c r="CO55" i="8"/>
  <c r="CO67" i="8"/>
  <c r="CO79" i="8"/>
  <c r="CO91" i="8"/>
  <c r="CO103" i="8"/>
  <c r="CO115" i="8"/>
  <c r="CO127" i="8"/>
  <c r="CO139" i="8"/>
  <c r="CO151" i="8"/>
  <c r="CO163" i="8"/>
  <c r="CO175" i="8"/>
  <c r="CO187" i="8"/>
  <c r="CO199" i="8"/>
  <c r="CO211" i="8"/>
  <c r="CO223" i="8"/>
  <c r="CO235" i="8"/>
  <c r="CO247" i="8"/>
  <c r="CQ9" i="8"/>
  <c r="CQ21" i="8"/>
  <c r="CQ33" i="8"/>
  <c r="CQ45" i="8"/>
  <c r="CQ57" i="8"/>
  <c r="CQ69" i="8"/>
  <c r="CQ81" i="8"/>
  <c r="CQ93" i="8"/>
  <c r="CQ105" i="8"/>
  <c r="CQ117" i="8"/>
  <c r="CQ129" i="8"/>
  <c r="CQ141" i="8"/>
  <c r="CQ153" i="8"/>
  <c r="CQ165" i="8"/>
  <c r="CQ177" i="8"/>
  <c r="CQ189" i="8"/>
  <c r="CQ201" i="8"/>
  <c r="CQ213" i="8"/>
  <c r="CQ225" i="8"/>
  <c r="CQ237" i="8"/>
  <c r="CQ249" i="8"/>
  <c r="CQ248" i="8" s="1"/>
  <c r="CQ247" i="8" s="1"/>
  <c r="CQ245" i="8" s="1"/>
  <c r="CQ244" i="8" s="1"/>
  <c r="E87" i="8"/>
  <c r="I55" i="8"/>
  <c r="E123" i="8"/>
  <c r="I79" i="8"/>
  <c r="E15" i="8"/>
  <c r="E75" i="8"/>
  <c r="E147" i="8"/>
  <c r="E195" i="8"/>
  <c r="E243" i="8"/>
  <c r="I31" i="8"/>
  <c r="I91" i="8"/>
  <c r="I151" i="8"/>
  <c r="I223" i="8"/>
  <c r="K21" i="8"/>
  <c r="K81" i="8"/>
  <c r="K129" i="8"/>
  <c r="K177" i="8"/>
  <c r="K237" i="8"/>
  <c r="M47" i="8"/>
  <c r="M119" i="8"/>
  <c r="O13" i="8"/>
  <c r="Q99" i="8"/>
  <c r="Y71" i="8"/>
  <c r="C163" i="8"/>
  <c r="E51" i="8"/>
  <c r="E135" i="8"/>
  <c r="E207" i="8"/>
  <c r="I19" i="8"/>
  <c r="I103" i="8"/>
  <c r="I163" i="8"/>
  <c r="I199" i="8"/>
  <c r="I235" i="8"/>
  <c r="K33" i="8"/>
  <c r="K93" i="8"/>
  <c r="K141" i="8"/>
  <c r="K189" i="8"/>
  <c r="K225" i="8"/>
  <c r="M23" i="8"/>
  <c r="M71" i="8"/>
  <c r="M107" i="8"/>
  <c r="M155" i="8"/>
  <c r="M191" i="8"/>
  <c r="M227" i="8"/>
  <c r="O37" i="8"/>
  <c r="O73" i="8"/>
  <c r="O109" i="8"/>
  <c r="O145" i="8"/>
  <c r="O181" i="8"/>
  <c r="O205" i="8"/>
  <c r="O241" i="8"/>
  <c r="Q15" i="8"/>
  <c r="Q51" i="8"/>
  <c r="Q75" i="8"/>
  <c r="Q111" i="8"/>
  <c r="Q147" i="8"/>
  <c r="Q183" i="8"/>
  <c r="Q231" i="8"/>
  <c r="S17" i="8"/>
  <c r="S53" i="8"/>
  <c r="S89" i="8"/>
  <c r="S137" i="8"/>
  <c r="S173" i="8"/>
  <c r="S209" i="8"/>
  <c r="S245" i="8"/>
  <c r="U31" i="8"/>
  <c r="U67" i="8"/>
  <c r="U103" i="8"/>
  <c r="U151" i="8"/>
  <c r="U187" i="8"/>
  <c r="U223" i="8"/>
  <c r="W9" i="8"/>
  <c r="W45" i="8"/>
  <c r="W93" i="8"/>
  <c r="W129" i="8"/>
  <c r="W165" i="8"/>
  <c r="W201" i="8"/>
  <c r="W237" i="8"/>
  <c r="Y11" i="8"/>
  <c r="Y47" i="8"/>
  <c r="Y83" i="8"/>
  <c r="Y119" i="8"/>
  <c r="Y155" i="8"/>
  <c r="C7" i="8"/>
  <c r="C25" i="8"/>
  <c r="C49" i="8"/>
  <c r="C85" i="8"/>
  <c r="C169" i="8"/>
  <c r="E63" i="8"/>
  <c r="E159" i="8"/>
  <c r="E231" i="8"/>
  <c r="I127" i="8"/>
  <c r="K57" i="8"/>
  <c r="M239" i="8"/>
  <c r="W57" i="8"/>
  <c r="C199" i="8"/>
  <c r="E39" i="8"/>
  <c r="E111" i="8"/>
  <c r="E183" i="8"/>
  <c r="I7" i="8"/>
  <c r="I67" i="8"/>
  <c r="I139" i="8"/>
  <c r="I187" i="8"/>
  <c r="K9" i="8"/>
  <c r="K69" i="8"/>
  <c r="K117" i="8"/>
  <c r="K165" i="8"/>
  <c r="K213" i="8"/>
  <c r="M11" i="8"/>
  <c r="M59" i="8"/>
  <c r="M95" i="8"/>
  <c r="M143" i="8"/>
  <c r="M179" i="8"/>
  <c r="M215" i="8"/>
  <c r="O25" i="8"/>
  <c r="O61" i="8"/>
  <c r="O97" i="8"/>
  <c r="O133" i="8"/>
  <c r="O169" i="8"/>
  <c r="O217" i="8"/>
  <c r="Q27" i="8"/>
  <c r="Q123" i="8"/>
  <c r="Q159" i="8"/>
  <c r="Q195" i="8"/>
  <c r="Q219" i="8"/>
  <c r="S5" i="8"/>
  <c r="S41" i="8"/>
  <c r="S77" i="8"/>
  <c r="S113" i="8"/>
  <c r="S149" i="8"/>
  <c r="S185" i="8"/>
  <c r="S221" i="8"/>
  <c r="U7" i="8"/>
  <c r="U55" i="8"/>
  <c r="U91" i="8"/>
  <c r="U127" i="8"/>
  <c r="U175" i="8"/>
  <c r="U211" i="8"/>
  <c r="U247" i="8"/>
  <c r="W33" i="8"/>
  <c r="W81" i="8"/>
  <c r="W117" i="8"/>
  <c r="W141" i="8"/>
  <c r="W177" i="8"/>
  <c r="W213" i="8"/>
  <c r="W249" i="8"/>
  <c r="Y35" i="8"/>
  <c r="Y95" i="8"/>
  <c r="Y131" i="8"/>
  <c r="Y167" i="8"/>
  <c r="C13" i="8"/>
  <c r="C31" i="8"/>
  <c r="C43" i="8"/>
  <c r="C61" i="8"/>
  <c r="C73" i="8"/>
  <c r="C91" i="8"/>
  <c r="C103" i="8"/>
  <c r="C115" i="8"/>
  <c r="C127" i="8"/>
  <c r="C205" i="8"/>
  <c r="E27" i="8"/>
  <c r="E99" i="8"/>
  <c r="E171" i="8"/>
  <c r="E219" i="8"/>
  <c r="I43" i="8"/>
  <c r="I115" i="8"/>
  <c r="I175" i="8"/>
  <c r="I211" i="8"/>
  <c r="I247" i="8"/>
  <c r="K45" i="8"/>
  <c r="K105" i="8"/>
  <c r="K153" i="8"/>
  <c r="K201" i="8"/>
  <c r="K249" i="8"/>
  <c r="M35" i="8"/>
  <c r="M83" i="8"/>
  <c r="M131" i="8"/>
  <c r="M167" i="8"/>
  <c r="M203" i="8"/>
  <c r="M251" i="8"/>
  <c r="O49" i="8"/>
  <c r="O85" i="8"/>
  <c r="O121" i="8"/>
  <c r="O157" i="8"/>
  <c r="O193" i="8"/>
  <c r="O229" i="8"/>
  <c r="Q39" i="8"/>
  <c r="Q63" i="8"/>
  <c r="Q87" i="8"/>
  <c r="Q135" i="8"/>
  <c r="Q171" i="8"/>
  <c r="Q207" i="8"/>
  <c r="Q243" i="8"/>
  <c r="S29" i="8"/>
  <c r="S65" i="8"/>
  <c r="S101" i="8"/>
  <c r="S125" i="8"/>
  <c r="S161" i="8"/>
  <c r="S197" i="8"/>
  <c r="S233" i="8"/>
  <c r="U19" i="8"/>
  <c r="U43" i="8"/>
  <c r="U79" i="8"/>
  <c r="U115" i="8"/>
  <c r="U139" i="8"/>
  <c r="U163" i="8"/>
  <c r="U199" i="8"/>
  <c r="U235" i="8"/>
  <c r="W21" i="8"/>
  <c r="W69" i="8"/>
  <c r="W105" i="8"/>
  <c r="W153" i="8"/>
  <c r="W189" i="8"/>
  <c r="W225" i="8"/>
  <c r="Y23" i="8"/>
  <c r="Y59" i="8"/>
  <c r="Y107" i="8"/>
  <c r="Y143" i="8"/>
  <c r="C19" i="8"/>
  <c r="C37" i="8"/>
  <c r="C55" i="8"/>
  <c r="C67" i="8"/>
  <c r="C79" i="8"/>
  <c r="C97" i="8"/>
  <c r="C109" i="8"/>
  <c r="C121" i="8"/>
  <c r="C133" i="8"/>
  <c r="C139" i="8"/>
  <c r="C145" i="8"/>
  <c r="C157" i="8"/>
  <c r="C175" i="8"/>
  <c r="C187" i="8"/>
  <c r="C211" i="8"/>
  <c r="C229" i="8"/>
  <c r="C241" i="8"/>
  <c r="G18" i="8"/>
  <c r="G42" i="8"/>
  <c r="G66" i="8"/>
  <c r="G90" i="8"/>
  <c r="G114" i="8"/>
  <c r="G138" i="8"/>
  <c r="G174" i="8"/>
  <c r="G210" i="8"/>
  <c r="G234" i="8"/>
  <c r="K22" i="8"/>
  <c r="K46" i="8"/>
  <c r="K70" i="8"/>
  <c r="K94" i="8"/>
  <c r="K118" i="8"/>
  <c r="K142" i="8"/>
  <c r="K166" i="8"/>
  <c r="K190" i="8"/>
  <c r="K226" i="8"/>
  <c r="K250" i="8"/>
  <c r="M36" i="8"/>
  <c r="M60" i="8"/>
  <c r="M96" i="8"/>
  <c r="M120" i="8"/>
  <c r="M144" i="8"/>
  <c r="M168" i="8"/>
  <c r="M192" i="8"/>
  <c r="M216" i="8"/>
  <c r="M228" i="8"/>
  <c r="O26" i="8"/>
  <c r="O50" i="8"/>
  <c r="O74" i="8"/>
  <c r="O98" i="8"/>
  <c r="O122" i="8"/>
  <c r="O146" i="8"/>
  <c r="O170" i="8"/>
  <c r="O194" i="8"/>
  <c r="O218" i="8"/>
  <c r="O242" i="8"/>
  <c r="Q16" i="8"/>
  <c r="Q40" i="8"/>
  <c r="Q64" i="8"/>
  <c r="Q88" i="8"/>
  <c r="Q112" i="8"/>
  <c r="Q136" i="8"/>
  <c r="Q160" i="8"/>
  <c r="Q184" i="8"/>
  <c r="Q208" i="8"/>
  <c r="Q232" i="8"/>
  <c r="S6" i="8"/>
  <c r="S30" i="8"/>
  <c r="S54" i="8"/>
  <c r="S78" i="8"/>
  <c r="S102" i="8"/>
  <c r="S126" i="8"/>
  <c r="S150" i="8"/>
  <c r="S162" i="8"/>
  <c r="S198" i="8"/>
  <c r="AA14" i="8"/>
  <c r="AA38" i="8"/>
  <c r="AA62" i="8"/>
  <c r="AA86" i="8"/>
  <c r="AA110" i="8"/>
  <c r="AA134" i="8"/>
  <c r="AA158" i="8"/>
  <c r="AA182" i="8"/>
  <c r="AA206" i="8"/>
  <c r="AA230" i="8"/>
  <c r="AC4" i="8"/>
  <c r="AC40" i="8"/>
  <c r="AC64" i="8"/>
  <c r="AC88" i="8"/>
  <c r="AC112" i="8"/>
  <c r="AC136" i="8"/>
  <c r="AC160" i="8"/>
  <c r="AC184" i="8"/>
  <c r="AC208" i="8"/>
  <c r="AC232" i="8"/>
  <c r="AE6" i="8"/>
  <c r="AE30" i="8"/>
  <c r="AE54" i="8"/>
  <c r="AE78" i="8"/>
  <c r="AE102" i="8"/>
  <c r="AE126" i="8"/>
  <c r="AE150" i="8"/>
  <c r="AE174" i="8"/>
  <c r="AE198" i="8"/>
  <c r="AE222" i="8"/>
  <c r="AE246" i="8"/>
  <c r="AG19" i="8"/>
  <c r="AG43" i="8"/>
  <c r="AG67" i="8"/>
  <c r="AG91" i="8"/>
  <c r="AG115" i="8"/>
  <c r="AG139" i="8"/>
  <c r="AG163" i="8"/>
  <c r="AG187" i="8"/>
  <c r="AG211" i="8"/>
  <c r="AG235" i="8"/>
  <c r="AG247" i="8"/>
  <c r="AI21" i="8"/>
  <c r="AI45" i="8"/>
  <c r="AI69" i="8"/>
  <c r="AI93" i="8"/>
  <c r="AI117" i="8"/>
  <c r="AI141" i="8"/>
  <c r="AI165" i="8"/>
  <c r="AI189" i="8"/>
  <c r="AI213" i="8"/>
  <c r="AI237" i="8"/>
  <c r="AK11" i="8"/>
  <c r="AK35" i="8"/>
  <c r="AK59" i="8"/>
  <c r="AK83" i="8"/>
  <c r="AK107" i="8"/>
  <c r="AK131" i="8"/>
  <c r="AK155" i="8"/>
  <c r="AK179" i="8"/>
  <c r="AK203" i="8"/>
  <c r="AK239" i="8"/>
  <c r="AM25" i="8"/>
  <c r="AM61" i="8"/>
  <c r="AM85" i="8"/>
  <c r="AM109" i="8"/>
  <c r="AM133" i="8"/>
  <c r="AM157" i="8"/>
  <c r="AM181" i="8"/>
  <c r="AM217" i="8"/>
  <c r="AM241" i="8"/>
  <c r="AO15" i="8"/>
  <c r="AO27" i="8"/>
  <c r="AO51" i="8"/>
  <c r="AO63" i="8"/>
  <c r="AO75" i="8"/>
  <c r="AO99" i="8"/>
  <c r="AO123" i="8"/>
  <c r="AO135" i="8"/>
  <c r="AO159" i="8"/>
  <c r="AO183" i="8"/>
  <c r="AO207" i="8"/>
  <c r="AO231" i="8"/>
  <c r="AQ5" i="8"/>
  <c r="AQ29" i="8"/>
  <c r="AQ53" i="8"/>
  <c r="AQ77" i="8"/>
  <c r="AQ101" i="8"/>
  <c r="AQ125" i="8"/>
  <c r="AQ149" i="8"/>
  <c r="AQ173" i="8"/>
  <c r="AQ197" i="8"/>
  <c r="AQ221" i="8"/>
  <c r="AQ245" i="8"/>
  <c r="AS19" i="8"/>
  <c r="AS43" i="8"/>
  <c r="AS67" i="8"/>
  <c r="AS91" i="8"/>
  <c r="AS115" i="8"/>
  <c r="AS139" i="8"/>
  <c r="AS175" i="8"/>
  <c r="AS223" i="8"/>
  <c r="AU57" i="8"/>
  <c r="AY229" i="8"/>
  <c r="C181" i="8"/>
  <c r="C193" i="8"/>
  <c r="C217" i="8"/>
  <c r="C235" i="8"/>
  <c r="C247" i="8"/>
  <c r="G6" i="8"/>
  <c r="G30" i="8"/>
  <c r="G54" i="8"/>
  <c r="G78" i="8"/>
  <c r="G102" i="8"/>
  <c r="G126" i="8"/>
  <c r="G162" i="8"/>
  <c r="G198" i="8"/>
  <c r="G246" i="8"/>
  <c r="K10" i="8"/>
  <c r="K34" i="8"/>
  <c r="K58" i="8"/>
  <c r="K82" i="8"/>
  <c r="K106" i="8"/>
  <c r="K130" i="8"/>
  <c r="K154" i="8"/>
  <c r="K178" i="8"/>
  <c r="K214" i="8"/>
  <c r="K238" i="8"/>
  <c r="M12" i="8"/>
  <c r="M48" i="8"/>
  <c r="M84" i="8"/>
  <c r="M108" i="8"/>
  <c r="M132" i="8"/>
  <c r="M156" i="8"/>
  <c r="M180" i="8"/>
  <c r="M204" i="8"/>
  <c r="M240" i="8"/>
  <c r="O14" i="8"/>
  <c r="O38" i="8"/>
  <c r="O62" i="8"/>
  <c r="O86" i="8"/>
  <c r="O110" i="8"/>
  <c r="O134" i="8"/>
  <c r="O158" i="8"/>
  <c r="O182" i="8"/>
  <c r="O206" i="8"/>
  <c r="O230" i="8"/>
  <c r="Q4" i="8"/>
  <c r="Q28" i="8"/>
  <c r="Q52" i="8"/>
  <c r="Q76" i="8"/>
  <c r="Q100" i="8"/>
  <c r="Q124" i="8"/>
  <c r="Q148" i="8"/>
  <c r="Q172" i="8"/>
  <c r="Q196" i="8"/>
  <c r="Q220" i="8"/>
  <c r="Q244" i="8"/>
  <c r="S18" i="8"/>
  <c r="S42" i="8"/>
  <c r="S66" i="8"/>
  <c r="S90" i="8"/>
  <c r="S114" i="8"/>
  <c r="S138" i="8"/>
  <c r="S174" i="8"/>
  <c r="S210" i="8"/>
  <c r="AA26" i="8"/>
  <c r="AA50" i="8"/>
  <c r="AA74" i="8"/>
  <c r="AA98" i="8"/>
  <c r="AA122" i="8"/>
  <c r="AA146" i="8"/>
  <c r="AA170" i="8"/>
  <c r="AA194" i="8"/>
  <c r="AA218" i="8"/>
  <c r="AA242" i="8"/>
  <c r="AC16" i="8"/>
  <c r="AC28" i="8"/>
  <c r="AC52" i="8"/>
  <c r="AC76" i="8"/>
  <c r="AC100" i="8"/>
  <c r="AC124" i="8"/>
  <c r="AC148" i="8"/>
  <c r="AC172" i="8"/>
  <c r="AC196" i="8"/>
  <c r="AC220" i="8"/>
  <c r="AC244" i="8"/>
  <c r="AE18" i="8"/>
  <c r="AE42" i="8"/>
  <c r="AE66" i="8"/>
  <c r="AE90" i="8"/>
  <c r="AE114" i="8"/>
  <c r="AE138" i="8"/>
  <c r="AE162" i="8"/>
  <c r="AE186" i="8"/>
  <c r="AE210" i="8"/>
  <c r="AE234" i="8"/>
  <c r="AG7" i="8"/>
  <c r="AG31" i="8"/>
  <c r="AG55" i="8"/>
  <c r="AG79" i="8"/>
  <c r="AG103" i="8"/>
  <c r="AG127" i="8"/>
  <c r="AG151" i="8"/>
  <c r="AG175" i="8"/>
  <c r="AG199" i="8"/>
  <c r="AG223" i="8"/>
  <c r="AI9" i="8"/>
  <c r="AI33" i="8"/>
  <c r="AI57" i="8"/>
  <c r="AI81" i="8"/>
  <c r="AI105" i="8"/>
  <c r="AI129" i="8"/>
  <c r="AI153" i="8"/>
  <c r="AI177" i="8"/>
  <c r="AI201" i="8"/>
  <c r="AI225" i="8"/>
  <c r="AI249" i="8"/>
  <c r="AK23" i="8"/>
  <c r="AK47" i="8"/>
  <c r="AK71" i="8"/>
  <c r="AK95" i="8"/>
  <c r="AK119" i="8"/>
  <c r="AK143" i="8"/>
  <c r="AK167" i="8"/>
  <c r="AK191" i="8"/>
  <c r="AK227" i="8"/>
  <c r="AK251" i="8"/>
  <c r="AM49" i="8"/>
  <c r="AM73" i="8"/>
  <c r="AM97" i="8"/>
  <c r="AM121" i="8"/>
  <c r="AM145" i="8"/>
  <c r="AM169" i="8"/>
  <c r="AM193" i="8"/>
  <c r="AM205" i="8"/>
  <c r="AM229" i="8"/>
  <c r="AO39" i="8"/>
  <c r="AO87" i="8"/>
  <c r="AO111" i="8"/>
  <c r="AO147" i="8"/>
  <c r="AO171" i="8"/>
  <c r="AO195" i="8"/>
  <c r="AO219" i="8"/>
  <c r="AO243" i="8"/>
  <c r="AQ17" i="8"/>
  <c r="AQ41" i="8"/>
  <c r="AQ65" i="8"/>
  <c r="AQ89" i="8"/>
  <c r="AQ113" i="8"/>
  <c r="AQ137" i="8"/>
  <c r="AQ161" i="8"/>
  <c r="AQ185" i="8"/>
  <c r="AQ209" i="8"/>
  <c r="AQ233" i="8"/>
  <c r="AS7" i="8"/>
  <c r="AS31" i="8"/>
  <c r="AS55" i="8"/>
  <c r="AS79" i="8"/>
  <c r="AS103" i="8"/>
  <c r="AS127" i="8"/>
  <c r="AS151" i="8"/>
  <c r="AS163" i="8"/>
  <c r="AS187" i="8"/>
  <c r="AS199" i="8"/>
  <c r="AS211" i="8"/>
  <c r="AS235" i="8"/>
  <c r="AS247" i="8"/>
  <c r="AU9" i="8"/>
  <c r="AU21" i="8"/>
  <c r="AU33" i="8"/>
  <c r="AU45" i="8"/>
  <c r="AU69" i="8"/>
  <c r="AU81" i="8"/>
  <c r="G150" i="8"/>
  <c r="K202" i="8"/>
  <c r="S186" i="8"/>
  <c r="AK215" i="8"/>
  <c r="G186" i="8"/>
  <c r="M24" i="8"/>
  <c r="AM13" i="8"/>
  <c r="C223" i="8"/>
  <c r="G222" i="8"/>
  <c r="M72" i="8"/>
  <c r="AM37" i="8"/>
  <c r="W211" i="8"/>
  <c r="W223" i="8"/>
  <c r="W235" i="8"/>
  <c r="W247" i="8"/>
  <c r="Y9" i="8"/>
  <c r="Y21" i="8"/>
  <c r="Y33" i="8"/>
  <c r="Y45" i="8"/>
  <c r="Y57" i="8"/>
  <c r="Y69" i="8"/>
  <c r="Y81" i="8"/>
  <c r="Y93" i="8"/>
  <c r="Y105" i="8"/>
  <c r="Y117" i="8"/>
  <c r="Y129" i="8"/>
  <c r="Y141" i="8"/>
  <c r="Y153" i="8"/>
  <c r="Y165" i="8"/>
  <c r="Y177" i="8"/>
  <c r="Y189" i="8"/>
  <c r="Y201" i="8"/>
  <c r="Y213" i="8"/>
  <c r="Y225" i="8"/>
  <c r="Y237" i="8"/>
  <c r="Y249" i="8"/>
  <c r="AA11" i="8"/>
  <c r="AA23" i="8"/>
  <c r="AA35" i="8"/>
  <c r="AA47" i="8"/>
  <c r="AA59" i="8"/>
  <c r="AA71" i="8"/>
  <c r="AA83" i="8"/>
  <c r="AA95" i="8"/>
  <c r="AA107" i="8"/>
  <c r="AA119" i="8"/>
  <c r="AA131" i="8"/>
  <c r="AA143" i="8"/>
  <c r="AA155" i="8"/>
  <c r="AA167" i="8"/>
  <c r="AA179" i="8"/>
  <c r="AA191" i="8"/>
  <c r="AA203" i="8"/>
  <c r="AA215" i="8"/>
  <c r="AA227" i="8"/>
  <c r="AA239" i="8"/>
  <c r="AA251" i="8"/>
  <c r="AC13" i="8"/>
  <c r="AC25" i="8"/>
  <c r="AC37" i="8"/>
  <c r="AC49" i="8"/>
  <c r="AC61" i="8"/>
  <c r="AC73" i="8"/>
  <c r="AC85" i="8"/>
  <c r="AC97" i="8"/>
  <c r="AC109" i="8"/>
  <c r="AC121" i="8"/>
  <c r="AC133" i="8"/>
  <c r="AC145" i="8"/>
  <c r="AC157" i="8"/>
  <c r="AC169" i="8"/>
  <c r="AC181" i="8"/>
  <c r="AC193" i="8"/>
  <c r="AC205" i="8"/>
  <c r="AC217" i="8"/>
  <c r="AC229" i="8"/>
  <c r="AC241" i="8"/>
  <c r="AE15" i="8"/>
  <c r="AE27" i="8"/>
  <c r="AE39" i="8"/>
  <c r="AE51" i="8"/>
  <c r="AE63" i="8"/>
  <c r="AE75" i="8"/>
  <c r="AE87" i="8"/>
  <c r="AE99" i="8"/>
  <c r="AE111" i="8"/>
  <c r="AE123" i="8"/>
  <c r="AE135" i="8"/>
  <c r="AE147" i="8"/>
  <c r="AE159" i="8"/>
  <c r="AE171" i="8"/>
  <c r="AE183" i="8"/>
  <c r="AE195" i="8"/>
  <c r="AE207" i="8"/>
  <c r="AE219" i="8"/>
  <c r="AE231" i="8"/>
  <c r="AE243" i="8"/>
  <c r="AG4" i="8"/>
  <c r="AG16" i="8"/>
  <c r="AG28" i="8"/>
  <c r="AG40" i="8"/>
  <c r="AG52" i="8"/>
  <c r="AG64" i="8"/>
  <c r="AG76" i="8"/>
  <c r="AG88" i="8"/>
  <c r="AG100" i="8"/>
  <c r="AG112" i="8"/>
  <c r="AG124" i="8"/>
  <c r="AG136" i="8"/>
  <c r="AG148" i="8"/>
  <c r="AG160" i="8"/>
  <c r="AG172" i="8"/>
  <c r="AG184" i="8"/>
  <c r="AG196" i="8"/>
  <c r="AG208" i="8"/>
  <c r="AG220" i="8"/>
  <c r="AG232" i="8"/>
  <c r="AG244" i="8"/>
  <c r="AI6" i="8"/>
  <c r="AI18" i="8"/>
  <c r="AI30" i="8"/>
  <c r="AI42" i="8"/>
  <c r="AI54" i="8"/>
  <c r="AI66" i="8"/>
  <c r="AI78" i="8"/>
  <c r="AI90" i="8"/>
  <c r="AI102" i="8"/>
  <c r="AI114" i="8"/>
  <c r="AI126" i="8"/>
  <c r="AI138" i="8"/>
  <c r="AI150" i="8"/>
  <c r="AI162" i="8"/>
  <c r="AI174" i="8"/>
  <c r="AI186" i="8"/>
  <c r="AI198" i="8"/>
  <c r="AI210" i="8"/>
  <c r="AI222" i="8"/>
  <c r="AI234" i="8"/>
  <c r="AI246" i="8"/>
  <c r="AK8" i="8"/>
  <c r="AK20" i="8"/>
  <c r="AK32" i="8"/>
  <c r="AK44" i="8"/>
  <c r="AK56" i="8"/>
  <c r="AK68" i="8"/>
  <c r="AK80" i="8"/>
  <c r="AK92" i="8"/>
  <c r="AK104" i="8"/>
  <c r="AK116" i="8"/>
  <c r="AK128" i="8"/>
  <c r="AK140" i="8"/>
  <c r="AK152" i="8"/>
  <c r="AK164" i="8"/>
  <c r="AK176" i="8"/>
  <c r="AK188" i="8"/>
  <c r="AK200" i="8"/>
  <c r="AK212" i="8"/>
  <c r="AK224" i="8"/>
  <c r="AK236" i="8"/>
  <c r="AK248" i="8"/>
  <c r="AM10" i="8"/>
  <c r="AM22" i="8"/>
  <c r="AM34" i="8"/>
  <c r="AM46" i="8"/>
  <c r="AM58" i="8"/>
  <c r="AM70" i="8"/>
  <c r="AM82" i="8"/>
  <c r="AM94" i="8"/>
  <c r="AM106" i="8"/>
  <c r="AM118" i="8"/>
  <c r="AM130" i="8"/>
  <c r="AM142" i="8"/>
  <c r="AM154" i="8"/>
  <c r="AM166" i="8"/>
  <c r="AM178" i="8"/>
  <c r="AM190" i="8"/>
  <c r="AM202" i="8"/>
  <c r="AM214" i="8"/>
  <c r="AM226" i="8"/>
  <c r="AM238" i="8"/>
  <c r="BM180" i="8"/>
  <c r="BO51" i="8"/>
  <c r="BO63" i="8"/>
  <c r="BO75" i="8"/>
  <c r="BO87" i="8"/>
  <c r="BO111" i="8"/>
  <c r="BO123" i="8"/>
  <c r="BO135" i="8"/>
  <c r="BO147" i="8"/>
  <c r="BO159" i="8"/>
  <c r="BO171" i="8"/>
  <c r="BO183" i="8"/>
  <c r="BO195" i="8"/>
  <c r="BO207" i="8"/>
  <c r="BO219" i="8"/>
  <c r="BO231" i="8"/>
  <c r="BO243" i="8"/>
  <c r="BS7" i="8"/>
  <c r="BS19" i="8"/>
  <c r="BS31" i="8"/>
  <c r="BS43" i="8"/>
  <c r="BS55" i="8"/>
  <c r="BS67" i="8"/>
  <c r="BS79" i="8"/>
  <c r="BS91" i="8"/>
  <c r="BS103" i="8"/>
  <c r="BS115" i="8"/>
  <c r="BS127" i="8"/>
  <c r="BS139" i="8"/>
  <c r="BS151" i="8"/>
  <c r="BS163" i="8"/>
  <c r="BS175" i="8"/>
  <c r="BS187" i="8"/>
  <c r="BS199" i="8"/>
  <c r="BS211" i="8"/>
  <c r="BS223" i="8"/>
  <c r="BS235" i="8"/>
  <c r="BS247" i="8"/>
  <c r="BU9" i="8"/>
  <c r="BU21" i="8"/>
  <c r="BU33" i="8"/>
  <c r="BU45" i="8"/>
  <c r="BU57" i="8"/>
  <c r="BU69" i="8"/>
  <c r="BU81" i="8"/>
  <c r="BU93" i="8"/>
  <c r="BU105" i="8"/>
  <c r="BU117" i="8"/>
  <c r="BU141" i="8"/>
  <c r="BU153" i="8"/>
  <c r="BU165" i="8"/>
  <c r="BU177" i="8"/>
  <c r="BU189" i="8"/>
  <c r="BU201" i="8"/>
  <c r="BU213" i="8"/>
  <c r="BU225" i="8"/>
  <c r="BU237" i="8"/>
  <c r="BU249" i="8"/>
  <c r="BW23" i="8"/>
  <c r="BW35" i="8"/>
  <c r="BW47" i="8"/>
  <c r="BW59" i="8"/>
  <c r="BW71" i="8"/>
  <c r="BW83" i="8"/>
  <c r="BW95" i="8"/>
  <c r="BW107" i="8"/>
  <c r="BW119" i="8"/>
  <c r="BW131" i="8"/>
  <c r="BW143" i="8"/>
  <c r="BW155" i="8"/>
  <c r="BW167" i="8"/>
  <c r="BW179" i="8"/>
  <c r="BW191" i="8"/>
  <c r="BW203" i="8"/>
  <c r="BW215" i="8"/>
  <c r="BW227" i="8"/>
  <c r="BW239" i="8"/>
  <c r="BW251" i="8"/>
  <c r="BY37" i="8"/>
  <c r="BY49" i="8"/>
  <c r="BY61" i="8"/>
  <c r="BY73" i="8"/>
  <c r="BY85" i="8"/>
  <c r="BY97" i="8"/>
  <c r="BY109" i="8"/>
  <c r="CG9" i="8"/>
  <c r="BM70" i="8"/>
  <c r="CQ134" i="8"/>
  <c r="AU93" i="8"/>
  <c r="AU105" i="8"/>
  <c r="AU117" i="8"/>
  <c r="AU129" i="8"/>
  <c r="AU141" i="8"/>
  <c r="AU153" i="8"/>
  <c r="AU165" i="8"/>
  <c r="AU177" i="8"/>
  <c r="AU189" i="8"/>
  <c r="AU201" i="8"/>
  <c r="AU213" i="8"/>
  <c r="AU225" i="8"/>
  <c r="AU237" i="8"/>
  <c r="AU249" i="8"/>
  <c r="AW11" i="8"/>
  <c r="AW23" i="8"/>
  <c r="AW35" i="8"/>
  <c r="AW47" i="8"/>
  <c r="AW59" i="8"/>
  <c r="AW71" i="8"/>
  <c r="AW83" i="8"/>
  <c r="AW95" i="8"/>
  <c r="AW107" i="8"/>
  <c r="AW119" i="8"/>
  <c r="AW131" i="8"/>
  <c r="AW143" i="8"/>
  <c r="AW155" i="8"/>
  <c r="AW167" i="8"/>
  <c r="AW179" i="8"/>
  <c r="AW191" i="8"/>
  <c r="AW203" i="8"/>
  <c r="AW215" i="8"/>
  <c r="AW227" i="8"/>
  <c r="AW239" i="8"/>
  <c r="AW251" i="8"/>
  <c r="AY13" i="8"/>
  <c r="AY25" i="8"/>
  <c r="AY37" i="8"/>
  <c r="AY49" i="8"/>
  <c r="AY61" i="8"/>
  <c r="AY73" i="8"/>
  <c r="AY85" i="8"/>
  <c r="AY97" i="8"/>
  <c r="AY109" i="8"/>
  <c r="AY121" i="8"/>
  <c r="AY133" i="8"/>
  <c r="AY145" i="8"/>
  <c r="AY157" i="8"/>
  <c r="AY169" i="8"/>
  <c r="AY181" i="8"/>
  <c r="AY193" i="8"/>
  <c r="AY205" i="8"/>
  <c r="AY217" i="8"/>
  <c r="AY241" i="8"/>
  <c r="BA15" i="8"/>
  <c r="BA27" i="8"/>
  <c r="BA39" i="8"/>
  <c r="BA51" i="8"/>
  <c r="BA63" i="8"/>
  <c r="BA75" i="8"/>
  <c r="BA87" i="8"/>
  <c r="BA99" i="8"/>
  <c r="BA111" i="8"/>
  <c r="BA123" i="8"/>
  <c r="BA135" i="8"/>
  <c r="BA147" i="8"/>
  <c r="BA159" i="8"/>
  <c r="BA171" i="8"/>
  <c r="BA183" i="8"/>
  <c r="BA195" i="8"/>
  <c r="BA207" i="8"/>
  <c r="BA219" i="8"/>
  <c r="BA231" i="8"/>
  <c r="BA243" i="8"/>
  <c r="BC5" i="8"/>
  <c r="BC17" i="8"/>
  <c r="BC29" i="8"/>
  <c r="BC41" i="8"/>
  <c r="BC53" i="8"/>
  <c r="BC65" i="8"/>
  <c r="BC77" i="8"/>
  <c r="BC89" i="8"/>
  <c r="CO48" i="8"/>
  <c r="AM64" i="8"/>
  <c r="AY112" i="8"/>
  <c r="BY6" i="8"/>
  <c r="BY18" i="8"/>
  <c r="CA32" i="8"/>
  <c r="CA44" i="8"/>
  <c r="CA56" i="8"/>
  <c r="CA68" i="8"/>
  <c r="CA80" i="8"/>
  <c r="CA188" i="8"/>
  <c r="CC94" i="8"/>
  <c r="CC106" i="8"/>
  <c r="CC118" i="8"/>
  <c r="CC214" i="8"/>
  <c r="CC226" i="8"/>
  <c r="CC250" i="8"/>
  <c r="CE156" i="8"/>
  <c r="CM34" i="8"/>
  <c r="BY164" i="8"/>
  <c r="CK224" i="8"/>
  <c r="BE120" i="8"/>
  <c r="BY8" i="8"/>
  <c r="CA10" i="8"/>
  <c r="CI150" i="8"/>
  <c r="CI246" i="8"/>
  <c r="CK20" i="8"/>
  <c r="CK32" i="8"/>
  <c r="CK44" i="8"/>
  <c r="CK56" i="8"/>
  <c r="CK80" i="8"/>
  <c r="CK116" i="8"/>
  <c r="CK140" i="8"/>
  <c r="CK152" i="8"/>
  <c r="CK164" i="8"/>
  <c r="CK176" i="8"/>
  <c r="CM10" i="8"/>
  <c r="CM46" i="8"/>
  <c r="CM58" i="8"/>
  <c r="CM70" i="8"/>
  <c r="CM82" i="8"/>
  <c r="CM94" i="8"/>
  <c r="CM118" i="8"/>
  <c r="CM142" i="8"/>
  <c r="CM154" i="8"/>
  <c r="CM166" i="8"/>
  <c r="CM178" i="8"/>
  <c r="CM190" i="8"/>
  <c r="CM202" i="8"/>
  <c r="CM214" i="8"/>
  <c r="CM226" i="8"/>
  <c r="CM238" i="8"/>
  <c r="CM250" i="8"/>
  <c r="CO12" i="8"/>
  <c r="CO24" i="8"/>
  <c r="CO36" i="8"/>
  <c r="CO60" i="8"/>
  <c r="CO72" i="8"/>
  <c r="CO84" i="8"/>
  <c r="CO96" i="8"/>
  <c r="CO108" i="8"/>
  <c r="CO120" i="8"/>
  <c r="CO132" i="8"/>
  <c r="CO144" i="8"/>
  <c r="CO180" i="8"/>
  <c r="CO204" i="8"/>
  <c r="CO216" i="8"/>
  <c r="CO228" i="8"/>
  <c r="CO240" i="8"/>
  <c r="CQ14" i="8"/>
  <c r="CQ26" i="8"/>
  <c r="CQ38" i="8"/>
  <c r="CQ50" i="8"/>
  <c r="CQ62" i="8"/>
  <c r="CQ74" i="8"/>
  <c r="CQ110" i="8"/>
  <c r="CQ122" i="8"/>
  <c r="CQ146" i="8"/>
  <c r="CQ158" i="8"/>
  <c r="CQ170" i="8"/>
  <c r="CQ182" i="8"/>
  <c r="CQ194" i="8"/>
  <c r="CQ206" i="8"/>
  <c r="CQ218" i="8"/>
  <c r="CQ230" i="8"/>
  <c r="CQ240" i="8"/>
  <c r="CQ236" i="8" s="1"/>
  <c r="CQ233" i="8" s="1"/>
  <c r="CQ232" i="8" s="1"/>
  <c r="CQ228" i="8" s="1"/>
  <c r="CQ224" i="8" s="1"/>
  <c r="CQ221" i="8" s="1"/>
  <c r="CQ220" i="8" s="1"/>
  <c r="CQ216" i="8" s="1"/>
  <c r="CQ212" i="8" s="1"/>
  <c r="CQ208" i="8" s="1"/>
  <c r="CQ204" i="8" s="1"/>
  <c r="CQ200" i="8" s="1"/>
  <c r="CQ196" i="8" s="1"/>
  <c r="CQ192" i="8" s="1"/>
  <c r="CQ188" i="8" s="1"/>
  <c r="CQ184" i="8" s="1"/>
  <c r="CQ180" i="8" s="1"/>
  <c r="CQ176" i="8" s="1"/>
  <c r="CQ172" i="8" s="1"/>
  <c r="CQ168" i="8" s="1"/>
  <c r="CQ164" i="8" s="1"/>
  <c r="CQ160" i="8" s="1"/>
  <c r="CQ156" i="8" s="1"/>
  <c r="CQ152" i="8" s="1"/>
  <c r="CQ148" i="8" s="1"/>
  <c r="CQ144" i="8" s="1"/>
  <c r="CQ140" i="8" s="1"/>
  <c r="CQ136" i="8" s="1"/>
  <c r="CQ132" i="8" s="1"/>
  <c r="CQ128" i="8" s="1"/>
  <c r="CQ124" i="8" s="1"/>
  <c r="CQ120" i="8" s="1"/>
  <c r="CQ116" i="8" s="1"/>
  <c r="CQ112" i="8" s="1"/>
  <c r="CQ108" i="8" s="1"/>
  <c r="CQ104" i="8" s="1"/>
  <c r="CQ100" i="8" s="1"/>
  <c r="CQ96" i="8" s="1"/>
  <c r="CQ92" i="8" s="1"/>
  <c r="CQ88" i="8" s="1"/>
  <c r="CQ84" i="8" s="1"/>
  <c r="CQ80" i="8" s="1"/>
  <c r="CQ76" i="8" s="1"/>
  <c r="CQ72" i="8" s="1"/>
  <c r="CQ68" i="8" s="1"/>
  <c r="CQ64" i="8" s="1"/>
  <c r="CQ60" i="8" s="1"/>
  <c r="CQ56" i="8" s="1"/>
  <c r="CQ52" i="8" s="1"/>
  <c r="CQ48" i="8" s="1"/>
  <c r="CQ44" i="8" s="1"/>
  <c r="CQ40" i="8" s="1"/>
  <c r="CQ36" i="8" s="1"/>
  <c r="CQ32" i="8" s="1"/>
  <c r="CQ28" i="8" s="1"/>
  <c r="CQ24" i="8" s="1"/>
  <c r="CQ20" i="8" s="1"/>
  <c r="CQ16" i="8" s="1"/>
  <c r="CQ12" i="8" s="1"/>
  <c r="CQ8" i="8" s="1"/>
  <c r="CQ4" i="8" s="1"/>
  <c r="CO250" i="8" s="1"/>
  <c r="CO246" i="8" s="1"/>
  <c r="CO242" i="8" s="1"/>
  <c r="CO238" i="8" s="1"/>
  <c r="CO234" i="8" s="1"/>
  <c r="CO230" i="8" s="1"/>
  <c r="CO226" i="8" s="1"/>
  <c r="CO222" i="8" s="1"/>
  <c r="CO218" i="8" s="1"/>
  <c r="CO214" i="8" s="1"/>
  <c r="CO210" i="8" s="1"/>
  <c r="CO206" i="8" s="1"/>
  <c r="CO202" i="8" s="1"/>
  <c r="CO198" i="8" s="1"/>
  <c r="CO194" i="8" s="1"/>
  <c r="CO190" i="8" s="1"/>
  <c r="CO186" i="8" s="1"/>
  <c r="CO182" i="8" s="1"/>
  <c r="CO178" i="8" s="1"/>
  <c r="CO174" i="8" s="1"/>
  <c r="CO170" i="8" s="1"/>
  <c r="CO166" i="8" s="1"/>
  <c r="CO162" i="8" s="1"/>
  <c r="CO158" i="8" s="1"/>
  <c r="CO154" i="8" s="1"/>
  <c r="CO150" i="8" s="1"/>
  <c r="CO146" i="8" s="1"/>
  <c r="CO142" i="8" s="1"/>
  <c r="CO138" i="8" s="1"/>
  <c r="CO134" i="8" s="1"/>
  <c r="CO130" i="8" s="1"/>
  <c r="CO126" i="8" s="1"/>
  <c r="CO122" i="8" s="1"/>
  <c r="CO118" i="8" s="1"/>
  <c r="CO114" i="8" s="1"/>
  <c r="CO110" i="8" s="1"/>
  <c r="CO106" i="8" s="1"/>
  <c r="CO102" i="8" s="1"/>
  <c r="CO98" i="8" s="1"/>
  <c r="CO94" i="8" s="1"/>
  <c r="CO90" i="8" s="1"/>
  <c r="CO86" i="8" s="1"/>
  <c r="CO82" i="8" s="1"/>
  <c r="CO78" i="8" s="1"/>
  <c r="CO74" i="8" s="1"/>
  <c r="CO70" i="8" s="1"/>
  <c r="CK45" i="8"/>
  <c r="CK57" i="8"/>
  <c r="CK69" i="8"/>
  <c r="CK81" i="8"/>
  <c r="CK93" i="8"/>
  <c r="CK105" i="8"/>
  <c r="CK117" i="8"/>
  <c r="CK129" i="8"/>
  <c r="CK141" i="8"/>
  <c r="CK153" i="8"/>
  <c r="CK165" i="8"/>
  <c r="CK177" i="8"/>
  <c r="CK189" i="8"/>
  <c r="CK201" i="8"/>
  <c r="CK213" i="8"/>
  <c r="CK225" i="8"/>
  <c r="CK237" i="8"/>
  <c r="CK249" i="8"/>
  <c r="CM11" i="8"/>
  <c r="CM23" i="8"/>
  <c r="CM35" i="8"/>
  <c r="CM47" i="8"/>
  <c r="CM59" i="8"/>
  <c r="CM71" i="8"/>
  <c r="CM83" i="8"/>
  <c r="CM95" i="8"/>
  <c r="CM107" i="8"/>
  <c r="CM119" i="8"/>
  <c r="CM131" i="8"/>
  <c r="CM143" i="8"/>
  <c r="CM155" i="8"/>
  <c r="CM167" i="8"/>
  <c r="CM179" i="8"/>
  <c r="CM191" i="8"/>
  <c r="CM203" i="8"/>
  <c r="CM215" i="8"/>
  <c r="CM227" i="8"/>
  <c r="CM239" i="8"/>
  <c r="CM251" i="8"/>
  <c r="CO13" i="8"/>
  <c r="CO25" i="8"/>
  <c r="CO37" i="8"/>
  <c r="CO49" i="8"/>
  <c r="CO61" i="8"/>
  <c r="CO73" i="8"/>
  <c r="CO85" i="8"/>
  <c r="CO97" i="8"/>
  <c r="CO109" i="8"/>
  <c r="CO121" i="8"/>
  <c r="CO133" i="8"/>
  <c r="CO145" i="8"/>
  <c r="CO157" i="8"/>
  <c r="CO169" i="8"/>
  <c r="CO181" i="8"/>
  <c r="CO193" i="8"/>
  <c r="CO205" i="8"/>
  <c r="CO217" i="8"/>
  <c r="CO229" i="8"/>
  <c r="CO241" i="8"/>
  <c r="CQ15" i="8"/>
  <c r="CQ27" i="8"/>
  <c r="CQ39" i="8"/>
  <c r="CQ51" i="8"/>
  <c r="CQ63" i="8"/>
  <c r="CQ75" i="8"/>
  <c r="CQ87" i="8"/>
  <c r="CQ99" i="8"/>
  <c r="CQ111" i="8"/>
  <c r="CQ123" i="8"/>
  <c r="CQ135" i="8"/>
  <c r="CQ147" i="8"/>
  <c r="CQ159" i="8"/>
  <c r="CQ171" i="8"/>
  <c r="CQ183" i="8"/>
  <c r="CQ195" i="8"/>
  <c r="CQ207" i="8"/>
  <c r="CQ219" i="8"/>
  <c r="CQ231" i="8"/>
  <c r="CQ243" i="8"/>
  <c r="CG21" i="8"/>
  <c r="CG33" i="8"/>
  <c r="CG45" i="8"/>
  <c r="CG57" i="8"/>
  <c r="CG69" i="8"/>
  <c r="CG81" i="8"/>
  <c r="CG93" i="8"/>
  <c r="CG105" i="8"/>
  <c r="CG117" i="8"/>
  <c r="CG129" i="8"/>
  <c r="CG141" i="8"/>
  <c r="CG153" i="8"/>
  <c r="CG165" i="8"/>
  <c r="CG177" i="8"/>
  <c r="CG189" i="8"/>
  <c r="CG201" i="8"/>
  <c r="CG213" i="8"/>
  <c r="CG225" i="8"/>
  <c r="CG237" i="8"/>
  <c r="CG249" i="8"/>
  <c r="CI11" i="8"/>
  <c r="CI23" i="8"/>
  <c r="CI35" i="8"/>
  <c r="CI47" i="8"/>
  <c r="CI59" i="8"/>
  <c r="CI71" i="8"/>
  <c r="CI83" i="8"/>
  <c r="CI95" i="8"/>
  <c r="CI107" i="8"/>
  <c r="CI119" i="8"/>
  <c r="CI131" i="8"/>
  <c r="CI143" i="8"/>
  <c r="CI155" i="8"/>
  <c r="CI167" i="8"/>
  <c r="CI179" i="8"/>
  <c r="CI191" i="8"/>
  <c r="CI203" i="8"/>
  <c r="CI215" i="8"/>
  <c r="CI227" i="8"/>
  <c r="CI239" i="8"/>
  <c r="CI251" i="8"/>
  <c r="CK13" i="8"/>
  <c r="CK25" i="8"/>
  <c r="CK37" i="8"/>
  <c r="CK49" i="8"/>
  <c r="CK61" i="8"/>
  <c r="CK73" i="8"/>
  <c r="CK85" i="8"/>
  <c r="CK97" i="8"/>
  <c r="CK109" i="8"/>
  <c r="CK121" i="8"/>
  <c r="CK133" i="8"/>
  <c r="CK145" i="8"/>
  <c r="CK157" i="8"/>
  <c r="CK169" i="8"/>
  <c r="CK181" i="8"/>
  <c r="CK193" i="8"/>
  <c r="CK205" i="8"/>
  <c r="CK217" i="8"/>
  <c r="CK59" i="8"/>
  <c r="CK71" i="8"/>
  <c r="CK83" i="8"/>
  <c r="CK95" i="8"/>
  <c r="CK107" i="8"/>
  <c r="CK119" i="8"/>
  <c r="CK131" i="8"/>
  <c r="CK143" i="8"/>
  <c r="CK155" i="8"/>
  <c r="CK167" i="8"/>
  <c r="CK179" i="8"/>
  <c r="CK191" i="8"/>
  <c r="CK203" i="8"/>
  <c r="CK215" i="8"/>
  <c r="CK227" i="8"/>
  <c r="CK239" i="8"/>
  <c r="CK251" i="8"/>
  <c r="CM13" i="8"/>
  <c r="CM25" i="8"/>
  <c r="CM37" i="8"/>
  <c r="CM49" i="8"/>
  <c r="CM61" i="8"/>
  <c r="CM73" i="8"/>
  <c r="CM85" i="8"/>
  <c r="CM97" i="8"/>
  <c r="CM109" i="8"/>
  <c r="CM121" i="8"/>
  <c r="CM133" i="8"/>
  <c r="CM145" i="8"/>
  <c r="CM157" i="8"/>
  <c r="CM169" i="8"/>
  <c r="CM181" i="8"/>
  <c r="CM193" i="8"/>
  <c r="CM205" i="8"/>
  <c r="CM217" i="8"/>
  <c r="CM229" i="8"/>
  <c r="CM241" i="8"/>
  <c r="CO15" i="8"/>
  <c r="CO27" i="8"/>
  <c r="CO39" i="8"/>
  <c r="CO51" i="8"/>
  <c r="CO63" i="8"/>
  <c r="CO75" i="8"/>
  <c r="CO87" i="8"/>
  <c r="CO99" i="8"/>
  <c r="CO111" i="8"/>
  <c r="CO123" i="8"/>
  <c r="CO135" i="8"/>
  <c r="CO147" i="8"/>
  <c r="CO159" i="8"/>
  <c r="CO171" i="8"/>
  <c r="CO183" i="8"/>
  <c r="CO195" i="8"/>
  <c r="CO207" i="8"/>
  <c r="CO219" i="8"/>
  <c r="CO231" i="8"/>
  <c r="CO243" i="8"/>
  <c r="CQ5" i="8"/>
  <c r="CQ17" i="8"/>
  <c r="CQ29" i="8"/>
  <c r="CQ41" i="8"/>
  <c r="CQ53" i="8"/>
  <c r="CQ65" i="8"/>
  <c r="CQ77" i="8"/>
  <c r="CQ89" i="8"/>
  <c r="CQ101" i="8"/>
  <c r="CQ113" i="8"/>
  <c r="CQ125" i="8"/>
  <c r="CQ137" i="8"/>
  <c r="CQ149" i="8"/>
  <c r="CQ161" i="8"/>
  <c r="CQ173" i="8"/>
  <c r="CQ185" i="8"/>
  <c r="CQ197" i="8"/>
  <c r="CQ209" i="8"/>
  <c r="CK229" i="8"/>
  <c r="CK241" i="8"/>
  <c r="CM15" i="8"/>
  <c r="CM27" i="8"/>
  <c r="CM39" i="8"/>
  <c r="CM51" i="8"/>
  <c r="CM63" i="8"/>
  <c r="CM75" i="8"/>
  <c r="CM87" i="8"/>
  <c r="CM99" i="8"/>
  <c r="CM111" i="8"/>
  <c r="CM123" i="8"/>
  <c r="CM135" i="8"/>
  <c r="CM147" i="8"/>
  <c r="CM159" i="8"/>
  <c r="CM171" i="8"/>
  <c r="CM183" i="8"/>
  <c r="CM195" i="8"/>
  <c r="CM207" i="8"/>
  <c r="CM219" i="8"/>
  <c r="CM231" i="8"/>
  <c r="CM243" i="8"/>
  <c r="CO5" i="8"/>
  <c r="CO17" i="8"/>
  <c r="CO29" i="8"/>
  <c r="CO41" i="8"/>
  <c r="CO53" i="8"/>
  <c r="CO65" i="8"/>
  <c r="CO77" i="8"/>
  <c r="CO89" i="8"/>
  <c r="CO101" i="8"/>
  <c r="CO113" i="8"/>
  <c r="CO125" i="8"/>
  <c r="CO137" i="8"/>
  <c r="CO149" i="8"/>
  <c r="CO161" i="8"/>
  <c r="CO173" i="8"/>
  <c r="CO185" i="8"/>
  <c r="CO197" i="8"/>
  <c r="CO209" i="8"/>
  <c r="CO221" i="8"/>
  <c r="CO233" i="8"/>
  <c r="CO245" i="8"/>
  <c r="CQ7" i="8"/>
  <c r="CQ19" i="8"/>
  <c r="CQ31" i="8"/>
  <c r="CQ43" i="8"/>
  <c r="CQ55" i="8"/>
  <c r="CQ67" i="8"/>
  <c r="CQ79" i="8"/>
  <c r="CQ91" i="8"/>
  <c r="CQ103" i="8"/>
  <c r="CQ115" i="8"/>
  <c r="CQ127" i="8"/>
  <c r="CQ139" i="8"/>
  <c r="CQ151" i="8"/>
  <c r="CQ163" i="8"/>
  <c r="CQ175" i="8"/>
  <c r="CQ187" i="8"/>
  <c r="CQ199" i="8"/>
  <c r="CQ211" i="8"/>
  <c r="CQ223" i="8"/>
  <c r="CQ235" i="8"/>
  <c r="E5" i="8"/>
  <c r="E17" i="8"/>
  <c r="E29" i="8"/>
  <c r="E41" i="8"/>
  <c r="E53" i="8"/>
  <c r="E65" i="8"/>
  <c r="E77" i="8"/>
  <c r="E89" i="8"/>
  <c r="E101" i="8"/>
  <c r="E113" i="8"/>
  <c r="E125" i="8"/>
  <c r="E137" i="8"/>
  <c r="E149" i="8"/>
  <c r="E161" i="8"/>
  <c r="E173" i="8"/>
  <c r="E185" i="8"/>
  <c r="E197" i="8"/>
  <c r="E209" i="8"/>
  <c r="E221" i="8"/>
  <c r="E233" i="8"/>
  <c r="E245" i="8"/>
  <c r="I9" i="8"/>
  <c r="I21" i="8"/>
  <c r="I33" i="8"/>
  <c r="I45" i="8"/>
  <c r="I57" i="8"/>
  <c r="I69" i="8"/>
  <c r="I81" i="8"/>
  <c r="I93" i="8"/>
  <c r="I105" i="8"/>
  <c r="I117" i="8"/>
  <c r="I129" i="8"/>
  <c r="I141" i="8"/>
  <c r="I153" i="8"/>
  <c r="I165" i="8"/>
  <c r="I177" i="8"/>
  <c r="I189" i="8"/>
  <c r="I201" i="8"/>
  <c r="I213" i="8"/>
  <c r="I225" i="8"/>
  <c r="I237" i="8"/>
  <c r="I249" i="8"/>
  <c r="M13" i="8"/>
  <c r="M25" i="8"/>
  <c r="M37" i="8"/>
  <c r="M49" i="8"/>
  <c r="M61" i="8"/>
  <c r="M73" i="8"/>
  <c r="M85" i="8"/>
  <c r="M97" i="8"/>
  <c r="M109" i="8"/>
  <c r="M121" i="8"/>
  <c r="M133" i="8"/>
  <c r="M145" i="8"/>
  <c r="M157" i="8"/>
  <c r="M169" i="8"/>
  <c r="M181" i="8"/>
  <c r="M193" i="8"/>
  <c r="M205" i="8"/>
  <c r="M217" i="8"/>
  <c r="M229" i="8"/>
  <c r="M241" i="8"/>
  <c r="O15" i="8"/>
  <c r="O27" i="8"/>
  <c r="O39" i="8"/>
  <c r="O51" i="8"/>
  <c r="O63" i="8"/>
  <c r="O75" i="8"/>
  <c r="O87" i="8"/>
  <c r="O99" i="8"/>
  <c r="O111" i="8"/>
  <c r="O123" i="8"/>
  <c r="O135" i="8"/>
  <c r="O147" i="8"/>
  <c r="O159" i="8"/>
  <c r="O171" i="8"/>
  <c r="O183" i="8"/>
  <c r="O195" i="8"/>
  <c r="O207" i="8"/>
  <c r="O219" i="8"/>
  <c r="O231" i="8"/>
  <c r="O243" i="8"/>
  <c r="Q5" i="8"/>
  <c r="Q17" i="8"/>
  <c r="Q29" i="8"/>
  <c r="Q41" i="8"/>
  <c r="Q53" i="8"/>
  <c r="Q65" i="8"/>
  <c r="Q77" i="8"/>
  <c r="Q89" i="8"/>
  <c r="Q101" i="8"/>
  <c r="Q113" i="8"/>
  <c r="Q125" i="8"/>
  <c r="Q137" i="8"/>
  <c r="Q149" i="8"/>
  <c r="Q161" i="8"/>
  <c r="Q173" i="8"/>
  <c r="Q185" i="8"/>
  <c r="Q197" i="8"/>
  <c r="Q209" i="8"/>
  <c r="Q221" i="8"/>
  <c r="Q233" i="8"/>
  <c r="Q245" i="8"/>
  <c r="S7" i="8"/>
  <c r="S19" i="8"/>
  <c r="S31" i="8"/>
  <c r="S43" i="8"/>
  <c r="S55" i="8"/>
  <c r="S67" i="8"/>
  <c r="S79" i="8"/>
  <c r="S91" i="8"/>
  <c r="S103" i="8"/>
  <c r="S115" i="8"/>
  <c r="S127" i="8"/>
  <c r="S139" i="8"/>
  <c r="S151" i="8"/>
  <c r="S163" i="8"/>
  <c r="S175" i="8"/>
  <c r="S187" i="8"/>
  <c r="S199" i="8"/>
  <c r="S211" i="8"/>
  <c r="S223" i="8"/>
  <c r="S235" i="8"/>
  <c r="S247" i="8"/>
  <c r="U9" i="8"/>
  <c r="U21" i="8"/>
  <c r="U33" i="8"/>
  <c r="U45" i="8"/>
  <c r="U57" i="8"/>
  <c r="U69" i="8"/>
  <c r="U81" i="8"/>
  <c r="U93" i="8"/>
  <c r="U105" i="8"/>
  <c r="U117" i="8"/>
  <c r="U129" i="8"/>
  <c r="U141" i="8"/>
  <c r="U153" i="8"/>
  <c r="U165" i="8"/>
  <c r="U177" i="8"/>
  <c r="U189" i="8"/>
  <c r="U201" i="8"/>
  <c r="U213" i="8"/>
  <c r="U225" i="8"/>
  <c r="U237" i="8"/>
  <c r="U249" i="8"/>
  <c r="W11" i="8"/>
  <c r="W23" i="8"/>
  <c r="W35" i="8"/>
  <c r="W47" i="8"/>
  <c r="W59" i="8"/>
  <c r="W71" i="8"/>
  <c r="W83" i="8"/>
  <c r="W95" i="8"/>
  <c r="W107" i="8"/>
  <c r="W119" i="8"/>
  <c r="W131" i="8"/>
  <c r="W143" i="8"/>
  <c r="W155" i="8"/>
  <c r="W167" i="8"/>
  <c r="W179" i="8"/>
  <c r="W191" i="8"/>
  <c r="W203" i="8"/>
  <c r="W215" i="8"/>
  <c r="W227" i="8"/>
  <c r="W239" i="8"/>
  <c r="W251" i="8"/>
  <c r="Y13" i="8"/>
  <c r="Y25" i="8"/>
  <c r="Y37" i="8"/>
  <c r="Y49" i="8"/>
  <c r="Y61" i="8"/>
  <c r="Y73" i="8"/>
  <c r="Y85" i="8"/>
  <c r="Y97" i="8"/>
  <c r="Y109" i="8"/>
  <c r="Y121" i="8"/>
  <c r="Y133" i="8"/>
  <c r="Y145" i="8"/>
  <c r="Y157" i="8"/>
  <c r="Y169" i="8"/>
  <c r="Y181" i="8"/>
  <c r="Y193" i="8"/>
  <c r="Y205" i="8"/>
  <c r="Y217" i="8"/>
  <c r="Y229" i="8"/>
  <c r="Y241" i="8"/>
  <c r="C8" i="8"/>
  <c r="C14" i="8"/>
  <c r="C20" i="8"/>
  <c r="C26" i="8"/>
  <c r="C32" i="8"/>
  <c r="C38" i="8"/>
  <c r="C44" i="8"/>
  <c r="C50" i="8"/>
  <c r="C56" i="8"/>
  <c r="C62" i="8"/>
  <c r="C68" i="8"/>
  <c r="C74" i="8"/>
  <c r="C80" i="8"/>
  <c r="C86" i="8"/>
  <c r="C92" i="8"/>
  <c r="C98" i="8"/>
  <c r="C104" i="8"/>
  <c r="C110" i="8"/>
  <c r="C116" i="8"/>
  <c r="C122" i="8"/>
  <c r="C128" i="8"/>
  <c r="C134" i="8"/>
  <c r="C140" i="8"/>
  <c r="C146" i="8"/>
  <c r="C152" i="8"/>
  <c r="C158" i="8"/>
  <c r="C164" i="8"/>
  <c r="C170" i="8"/>
  <c r="C176" i="8"/>
  <c r="C182" i="8"/>
  <c r="C188" i="8"/>
  <c r="C194" i="8"/>
  <c r="C200" i="8"/>
  <c r="C206" i="8"/>
  <c r="C212" i="8"/>
  <c r="C218" i="8"/>
  <c r="C224" i="8"/>
  <c r="C230" i="8"/>
  <c r="C236" i="8"/>
  <c r="C242" i="8"/>
  <c r="C248" i="8"/>
  <c r="E6" i="8"/>
  <c r="E18" i="8"/>
  <c r="E30" i="8"/>
  <c r="E42" i="8"/>
  <c r="E54" i="8"/>
  <c r="E66" i="8"/>
  <c r="E78" i="8"/>
  <c r="E90" i="8"/>
  <c r="E102" i="8"/>
  <c r="E114" i="8"/>
  <c r="E126" i="8"/>
  <c r="E138" i="8"/>
  <c r="E150" i="8"/>
  <c r="E162" i="8"/>
  <c r="E174" i="8"/>
  <c r="E186" i="8"/>
  <c r="E198" i="8"/>
  <c r="E210" i="8"/>
  <c r="E222" i="8"/>
  <c r="E234" i="8"/>
  <c r="E246" i="8"/>
  <c r="G8" i="8"/>
  <c r="G20" i="8"/>
  <c r="G32" i="8"/>
  <c r="G44" i="8"/>
  <c r="G56" i="8"/>
  <c r="G68" i="8"/>
  <c r="G80" i="8"/>
  <c r="G92" i="8"/>
  <c r="G104" i="8"/>
  <c r="G116" i="8"/>
  <c r="G128" i="8"/>
  <c r="G140" i="8"/>
  <c r="G152" i="8"/>
  <c r="G164" i="8"/>
  <c r="G176" i="8"/>
  <c r="G188" i="8"/>
  <c r="G200" i="8"/>
  <c r="G212" i="8"/>
  <c r="G224" i="8"/>
  <c r="G236" i="8"/>
  <c r="G248" i="8"/>
  <c r="K12" i="8"/>
  <c r="K24" i="8"/>
  <c r="K36" i="8"/>
  <c r="K48" i="8"/>
  <c r="K60" i="8"/>
  <c r="K72" i="8"/>
  <c r="K84" i="8"/>
  <c r="K96" i="8"/>
  <c r="K108" i="8"/>
  <c r="K120" i="8"/>
  <c r="K132" i="8"/>
  <c r="K144" i="8"/>
  <c r="K156" i="8"/>
  <c r="K168" i="8"/>
  <c r="K180" i="8"/>
  <c r="K192" i="8"/>
  <c r="K204" i="8"/>
  <c r="K216" i="8"/>
  <c r="K228" i="8"/>
  <c r="K240" i="8"/>
  <c r="AA4" i="8"/>
  <c r="AA16" i="8"/>
  <c r="AA28" i="8"/>
  <c r="AA40" i="8"/>
  <c r="AA52" i="8"/>
  <c r="AA64" i="8"/>
  <c r="AA76" i="8"/>
  <c r="AA88" i="8"/>
  <c r="AA100" i="8"/>
  <c r="AA112" i="8"/>
  <c r="AA124" i="8"/>
  <c r="AA136" i="8"/>
  <c r="AA148" i="8"/>
  <c r="AA160" i="8"/>
  <c r="AA172" i="8"/>
  <c r="AA184" i="8"/>
  <c r="AA196" i="8"/>
  <c r="AA208" i="8"/>
  <c r="AA220" i="8"/>
  <c r="AA232" i="8"/>
  <c r="AA244" i="8"/>
  <c r="AC6" i="8"/>
  <c r="AC18" i="8"/>
  <c r="AC30" i="8"/>
  <c r="AC42" i="8"/>
  <c r="AC54" i="8"/>
  <c r="AC66" i="8"/>
  <c r="AC78" i="8"/>
  <c r="AC90" i="8"/>
  <c r="AC102" i="8"/>
  <c r="AC114" i="8"/>
  <c r="AC126" i="8"/>
  <c r="AC138" i="8"/>
  <c r="AC150" i="8"/>
  <c r="AC162" i="8"/>
  <c r="AC174" i="8"/>
  <c r="AC186" i="8"/>
  <c r="AC198" i="8"/>
  <c r="AC210" i="8"/>
  <c r="AC222" i="8"/>
  <c r="AC234" i="8"/>
  <c r="AC246" i="8"/>
  <c r="AE8" i="8"/>
  <c r="AE20" i="8"/>
  <c r="AE32" i="8"/>
  <c r="AE44" i="8"/>
  <c r="AE56" i="8"/>
  <c r="AE68" i="8"/>
  <c r="AE80" i="8"/>
  <c r="AE92" i="8"/>
  <c r="AE104" i="8"/>
  <c r="AE116" i="8"/>
  <c r="BG23" i="8"/>
  <c r="BG24" i="8"/>
  <c r="BG107" i="8"/>
  <c r="BG108" i="8"/>
  <c r="BY27" i="8"/>
  <c r="BY28" i="8"/>
  <c r="CA53" i="8"/>
  <c r="CA54" i="8"/>
  <c r="CA65" i="8"/>
  <c r="CA66" i="8"/>
  <c r="CA89" i="8"/>
  <c r="CA90" i="8"/>
  <c r="CA245" i="8"/>
  <c r="CA246" i="8"/>
  <c r="CC91" i="8"/>
  <c r="CC92" i="8"/>
  <c r="CC103" i="8"/>
  <c r="CC104" i="8"/>
  <c r="CC115" i="8"/>
  <c r="CC116" i="8"/>
  <c r="CC127" i="8"/>
  <c r="CC128" i="8"/>
  <c r="CC235" i="8"/>
  <c r="CC236" i="8"/>
  <c r="CE141" i="8"/>
  <c r="CE142" i="8"/>
  <c r="CE153" i="8"/>
  <c r="CE154" i="8"/>
  <c r="CE166" i="8"/>
  <c r="CE165" i="8"/>
  <c r="CE177" i="8"/>
  <c r="CE178" i="8"/>
  <c r="CG71" i="8"/>
  <c r="CG72" i="8"/>
  <c r="CG83" i="8"/>
  <c r="CG84" i="8"/>
  <c r="CG95" i="8"/>
  <c r="CG96" i="8"/>
  <c r="CG107" i="8"/>
  <c r="CG108" i="8"/>
  <c r="CG203" i="8"/>
  <c r="CG204" i="8"/>
  <c r="CG227" i="8"/>
  <c r="CG228" i="8"/>
  <c r="CO68" i="8"/>
  <c r="CO66" i="8" s="1"/>
  <c r="CO62" i="8" s="1"/>
  <c r="CO58" i="8" s="1"/>
  <c r="CO56" i="8" s="1"/>
  <c r="CO54" i="8" s="1"/>
  <c r="CO50" i="8" s="1"/>
  <c r="CO46" i="8" s="1"/>
  <c r="CO44" i="8" s="1"/>
  <c r="CO42" i="8" s="1"/>
  <c r="CO38" i="8" s="1"/>
  <c r="CO34" i="8" s="1"/>
  <c r="CO32" i="8" s="1"/>
  <c r="CO30" i="8" s="1"/>
  <c r="CO26" i="8" s="1"/>
  <c r="CO22" i="8" s="1"/>
  <c r="CO20" i="8" s="1"/>
  <c r="CO18" i="8" s="1"/>
  <c r="CO14" i="8" s="1"/>
  <c r="CO10" i="8" s="1"/>
  <c r="CO8" i="8" s="1"/>
  <c r="CO6" i="8" s="1"/>
  <c r="CM248" i="8" s="1"/>
  <c r="CM246" i="8" s="1"/>
  <c r="CM244" i="8" s="1"/>
  <c r="CM240" i="8" s="1"/>
  <c r="CM236" i="8" s="1"/>
  <c r="CM234" i="8" s="1"/>
  <c r="CM232" i="8" s="1"/>
  <c r="CM228" i="8" s="1"/>
  <c r="CM224" i="8" s="1"/>
  <c r="CM222" i="8" s="1"/>
  <c r="CM220" i="8" s="1"/>
  <c r="CM216" i="8" s="1"/>
  <c r="CM212" i="8" s="1"/>
  <c r="CM210" i="8" s="1"/>
  <c r="CM208" i="8" s="1"/>
  <c r="CM204" i="8" s="1"/>
  <c r="CM200" i="8" s="1"/>
  <c r="CM198" i="8" s="1"/>
  <c r="CM196" i="8" s="1"/>
  <c r="CM192" i="8" s="1"/>
  <c r="CM188" i="8" s="1"/>
  <c r="CM186" i="8" s="1"/>
  <c r="CM184" i="8" s="1"/>
  <c r="CM180" i="8" s="1"/>
  <c r="CM176" i="8" s="1"/>
  <c r="CM174" i="8" s="1"/>
  <c r="CM172" i="8" s="1"/>
  <c r="CM168" i="8" s="1"/>
  <c r="CM164" i="8" s="1"/>
  <c r="CM162" i="8" s="1"/>
  <c r="CM160" i="8" s="1"/>
  <c r="CM156" i="8" s="1"/>
  <c r="CM152" i="8" s="1"/>
  <c r="CM150" i="8" s="1"/>
  <c r="CM148" i="8" s="1"/>
  <c r="CM144" i="8" s="1"/>
  <c r="CM140" i="8" s="1"/>
  <c r="CM138" i="8" s="1"/>
  <c r="CM136" i="8" s="1"/>
  <c r="CM132" i="8" s="1"/>
  <c r="CM128" i="8" s="1"/>
  <c r="CM126" i="8" s="1"/>
  <c r="CM124" i="8" s="1"/>
  <c r="CM120" i="8" s="1"/>
  <c r="CM116" i="8" s="1"/>
  <c r="CM114" i="8" s="1"/>
  <c r="CM112" i="8" s="1"/>
  <c r="CM108" i="8" s="1"/>
  <c r="CM104" i="8" s="1"/>
  <c r="CM102" i="8" s="1"/>
  <c r="CM100" i="8" s="1"/>
  <c r="CM96" i="8" s="1"/>
  <c r="CM92" i="8" s="1"/>
  <c r="CM90" i="8" s="1"/>
  <c r="CM88" i="8" s="1"/>
  <c r="CM84" i="8" s="1"/>
  <c r="CM80" i="8" s="1"/>
  <c r="CM78" i="8" s="1"/>
  <c r="CM76" i="8" s="1"/>
  <c r="CM72" i="8" s="1"/>
  <c r="CM68" i="8" s="1"/>
  <c r="CM66" i="8" s="1"/>
  <c r="CM64" i="8" s="1"/>
  <c r="CM60" i="8" s="1"/>
  <c r="CM56" i="8" s="1"/>
  <c r="CM54" i="8" s="1"/>
  <c r="CM52" i="8" s="1"/>
  <c r="CM48" i="8" s="1"/>
  <c r="CM44" i="8" s="1"/>
  <c r="CM42" i="8" s="1"/>
  <c r="CM40" i="8" s="1"/>
  <c r="CM36" i="8" s="1"/>
  <c r="CM32" i="8" s="1"/>
  <c r="CM30" i="8" s="1"/>
  <c r="CM28" i="8" s="1"/>
  <c r="CM24" i="8" s="1"/>
  <c r="CM20" i="8" s="1"/>
  <c r="CM18" i="8" s="1"/>
  <c r="CM16" i="8" s="1"/>
  <c r="CM12" i="8" s="1"/>
  <c r="CM8" i="8" s="1"/>
  <c r="CM6" i="8" s="1"/>
  <c r="CM4" i="8" s="1"/>
  <c r="CK250" i="8" s="1"/>
  <c r="CK246" i="8" s="1"/>
  <c r="CK244" i="8" s="1"/>
  <c r="CK242" i="8" s="1"/>
  <c r="CK238" i="8" s="1"/>
  <c r="CK234" i="8" s="1"/>
  <c r="CK232" i="8" s="1"/>
  <c r="CK230" i="8" s="1"/>
  <c r="CK226" i="8" s="1"/>
  <c r="CK222" i="8" s="1"/>
  <c r="CK220" i="8" s="1"/>
  <c r="CK218" i="8" s="1"/>
  <c r="CK214" i="8" s="1"/>
  <c r="CK210" i="8" s="1"/>
  <c r="CK208" i="8" s="1"/>
  <c r="CK206" i="8" s="1"/>
  <c r="CK202" i="8" s="1"/>
  <c r="CK198" i="8" s="1"/>
  <c r="CK196" i="8" s="1"/>
  <c r="CK194" i="8" s="1"/>
  <c r="CK190" i="8" s="1"/>
  <c r="CK186" i="8" s="1"/>
  <c r="CK184" i="8" s="1"/>
  <c r="CK182" i="8" s="1"/>
  <c r="CK178" i="8" s="1"/>
  <c r="CK174" i="8" s="1"/>
  <c r="CK172" i="8" s="1"/>
  <c r="CK170" i="8" s="1"/>
  <c r="CK166" i="8" s="1"/>
  <c r="CK162" i="8" s="1"/>
  <c r="CK160" i="8" s="1"/>
  <c r="CK158" i="8" s="1"/>
  <c r="CK154" i="8" s="1"/>
  <c r="CK150" i="8" s="1"/>
  <c r="CK148" i="8" s="1"/>
  <c r="CK146" i="8" s="1"/>
  <c r="CK142" i="8" s="1"/>
  <c r="CK138" i="8" s="1"/>
  <c r="CK136" i="8" s="1"/>
  <c r="CK134" i="8" s="1"/>
  <c r="CK130" i="8" s="1"/>
  <c r="CK126" i="8" s="1"/>
  <c r="CK124" i="8" s="1"/>
  <c r="CK122" i="8" s="1"/>
  <c r="CK118" i="8" s="1"/>
  <c r="CK114" i="8" s="1"/>
  <c r="CK112" i="8" s="1"/>
  <c r="CK110" i="8" s="1"/>
  <c r="CK106" i="8" s="1"/>
  <c r="CK102" i="8" s="1"/>
  <c r="CK100" i="8" s="1"/>
  <c r="CK98" i="8" s="1"/>
  <c r="CK94" i="8" s="1"/>
  <c r="CK90" i="8" s="1"/>
  <c r="CK88" i="8" s="1"/>
  <c r="CK86" i="8" s="1"/>
  <c r="CK82" i="8" s="1"/>
  <c r="CK78" i="8" s="1"/>
  <c r="CK76" i="8" s="1"/>
  <c r="CK74" i="8" s="1"/>
  <c r="CK70" i="8" s="1"/>
  <c r="CK66" i="8" s="1"/>
  <c r="CK64" i="8" s="1"/>
  <c r="CK62" i="8" s="1"/>
  <c r="CK58" i="8" s="1"/>
  <c r="CK54" i="8" s="1"/>
  <c r="CK52" i="8" s="1"/>
  <c r="CK50" i="8" s="1"/>
  <c r="CK46" i="8" s="1"/>
  <c r="CK42" i="8" s="1"/>
  <c r="CK40" i="8" s="1"/>
  <c r="CK38" i="8" s="1"/>
  <c r="CK34" i="8" s="1"/>
  <c r="CK30" i="8" s="1"/>
  <c r="CK28" i="8" s="1"/>
  <c r="CK26" i="8" s="1"/>
  <c r="CK22" i="8" s="1"/>
  <c r="CK18" i="8" s="1"/>
  <c r="CK16" i="8" s="1"/>
  <c r="CK14" i="8" s="1"/>
  <c r="CK10" i="8" s="1"/>
  <c r="CK6" i="8" s="1"/>
  <c r="CK4" i="8" s="1"/>
  <c r="CI248" i="8" s="1"/>
  <c r="CI244" i="8" s="1"/>
  <c r="CI242" i="8" s="1"/>
  <c r="CI240" i="8" s="1"/>
  <c r="CI236" i="8" s="1"/>
  <c r="CI232" i="8" s="1"/>
  <c r="CI230" i="8" s="1"/>
  <c r="CI228" i="8" s="1"/>
  <c r="CI224" i="8" s="1"/>
  <c r="CI220" i="8" s="1"/>
  <c r="CI218" i="8" s="1"/>
  <c r="CI216" i="8" s="1"/>
  <c r="CI212" i="8" s="1"/>
  <c r="CI208" i="8" s="1"/>
  <c r="CI206" i="8" s="1"/>
  <c r="CI204" i="8" s="1"/>
  <c r="CI200" i="8" s="1"/>
  <c r="CI196" i="8" s="1"/>
  <c r="CI194" i="8" s="1"/>
  <c r="CI192" i="8" s="1"/>
  <c r="CI188" i="8" s="1"/>
  <c r="CI184" i="8" s="1"/>
  <c r="CI182" i="8" s="1"/>
  <c r="CI180" i="8" s="1"/>
  <c r="CI176" i="8" s="1"/>
  <c r="CI172" i="8" s="1"/>
  <c r="CI170" i="8" s="1"/>
  <c r="CI168" i="8" s="1"/>
  <c r="CI164" i="8" s="1"/>
  <c r="CI160" i="8" s="1"/>
  <c r="CI158" i="8" s="1"/>
  <c r="CI156" i="8" s="1"/>
  <c r="CI152" i="8" s="1"/>
  <c r="CI148" i="8" s="1"/>
  <c r="CI146" i="8" s="1"/>
  <c r="CI144" i="8" s="1"/>
  <c r="CI140" i="8" s="1"/>
  <c r="CI136" i="8" s="1"/>
  <c r="CI134" i="8" s="1"/>
  <c r="CI132" i="8" s="1"/>
  <c r="CI128" i="8" s="1"/>
  <c r="CI124" i="8" s="1"/>
  <c r="CI122" i="8" s="1"/>
  <c r="CI120" i="8" s="1"/>
  <c r="CI116" i="8" s="1"/>
  <c r="CI112" i="8" s="1"/>
  <c r="CI108" i="8" s="1"/>
  <c r="CI104" i="8" s="1"/>
  <c r="CI100" i="8" s="1"/>
  <c r="CI96" i="8" s="1"/>
  <c r="CI92" i="8" s="1"/>
  <c r="CI88" i="8" s="1"/>
  <c r="CI84" i="8" s="1"/>
  <c r="CI80" i="8" s="1"/>
  <c r="CI76" i="8" s="1"/>
  <c r="CI72" i="8" s="1"/>
  <c r="CI68" i="8" s="1"/>
  <c r="CI64" i="8" s="1"/>
  <c r="CI60" i="8" s="1"/>
  <c r="CI56" i="8" s="1"/>
  <c r="CI52" i="8" s="1"/>
  <c r="CI48" i="8" s="1"/>
  <c r="CI44" i="8" s="1"/>
  <c r="CI40" i="8" s="1"/>
  <c r="CI36" i="8" s="1"/>
  <c r="CI32" i="8" s="1"/>
  <c r="CI28" i="8" s="1"/>
  <c r="CI24" i="8" s="1"/>
  <c r="CI20" i="8" s="1"/>
  <c r="CI16" i="8" s="1"/>
  <c r="CI12" i="8" s="1"/>
  <c r="CI8" i="8" s="1"/>
  <c r="CI4" i="8" s="1"/>
  <c r="CG250" i="8" s="1"/>
  <c r="CG246" i="8" s="1"/>
  <c r="CG242" i="8" s="1"/>
  <c r="CG238" i="8" s="1"/>
  <c r="CG234" i="8" s="1"/>
  <c r="CG230" i="8" s="1"/>
  <c r="CG226" i="8" s="1"/>
  <c r="CG222" i="8" s="1"/>
  <c r="CG218" i="8" s="1"/>
  <c r="CG214" i="8" s="1"/>
  <c r="CG210" i="8" s="1"/>
  <c r="CG206" i="8" s="1"/>
  <c r="CG202" i="8" s="1"/>
  <c r="CG198" i="8" s="1"/>
  <c r="CG194" i="8" s="1"/>
  <c r="CG190" i="8" s="1"/>
  <c r="CG186" i="8" s="1"/>
  <c r="CG182" i="8" s="1"/>
  <c r="CG178" i="8" s="1"/>
  <c r="CG174" i="8" s="1"/>
  <c r="CG170" i="8" s="1"/>
  <c r="CG166" i="8" s="1"/>
  <c r="CG162" i="8" s="1"/>
  <c r="CG158" i="8" s="1"/>
  <c r="CG154" i="8" s="1"/>
  <c r="CG150" i="8" s="1"/>
  <c r="CG146" i="8" s="1"/>
  <c r="CG142" i="8" s="1"/>
  <c r="CG138" i="8" s="1"/>
  <c r="CG134" i="8" s="1"/>
  <c r="CG130" i="8" s="1"/>
  <c r="CG126" i="8" s="1"/>
  <c r="CG122" i="8" s="1"/>
  <c r="CG118" i="8" s="1"/>
  <c r="CG114" i="8" s="1"/>
  <c r="CG110" i="8" s="1"/>
  <c r="CG106" i="8" s="1"/>
  <c r="CG102" i="8" s="1"/>
  <c r="CG98" i="8" s="1"/>
  <c r="CG94" i="8" s="1"/>
  <c r="CG90" i="8" s="1"/>
  <c r="CG86" i="8" s="1"/>
  <c r="CG82" i="8" s="1"/>
  <c r="CG78" i="8" s="1"/>
  <c r="CG74" i="8" s="1"/>
  <c r="CG70" i="8" s="1"/>
  <c r="CG66" i="8" s="1"/>
  <c r="CG62" i="8" s="1"/>
  <c r="CG58" i="8" s="1"/>
  <c r="CG54" i="8" s="1"/>
  <c r="CG50" i="8" s="1"/>
  <c r="CG46" i="8" s="1"/>
  <c r="CG42" i="8" s="1"/>
  <c r="CG38" i="8" s="1"/>
  <c r="CG34" i="8" s="1"/>
  <c r="CG30" i="8" s="1"/>
  <c r="CG26" i="8" s="1"/>
  <c r="CG22" i="8" s="1"/>
  <c r="CG18" i="8" s="1"/>
  <c r="CG14" i="8" s="1"/>
  <c r="CG10" i="8" s="1"/>
  <c r="CG6" i="8" s="1"/>
  <c r="CE251" i="8" s="1"/>
  <c r="CE247" i="8" s="1"/>
  <c r="CE243" i="8" s="1"/>
  <c r="CE239" i="8" s="1"/>
  <c r="CE235" i="8" s="1"/>
  <c r="CE231" i="8" s="1"/>
  <c r="CE227" i="8" s="1"/>
  <c r="CE223" i="8" s="1"/>
  <c r="CE219" i="8" s="1"/>
  <c r="CE215" i="8" s="1"/>
  <c r="CE211" i="8" s="1"/>
  <c r="CE207" i="8" s="1"/>
  <c r="CE203" i="8" s="1"/>
  <c r="CE199" i="8" s="1"/>
  <c r="CE195" i="8" s="1"/>
  <c r="CE191" i="8" s="1"/>
  <c r="CE187" i="8" s="1"/>
  <c r="CE183" i="8" s="1"/>
  <c r="CE179" i="8" s="1"/>
  <c r="CE175" i="8" s="1"/>
  <c r="CE171" i="8" s="1"/>
  <c r="CE167" i="8" s="1"/>
  <c r="CE163" i="8" s="1"/>
  <c r="CE159" i="8" s="1"/>
  <c r="CE155" i="8" s="1"/>
  <c r="CE151" i="8" s="1"/>
  <c r="CE147" i="8" s="1"/>
  <c r="CE143" i="8" s="1"/>
  <c r="CE139" i="8" s="1"/>
  <c r="CE135" i="8" s="1"/>
  <c r="CE131" i="8" s="1"/>
  <c r="CE127" i="8" s="1"/>
  <c r="CE123" i="8" s="1"/>
  <c r="CE119" i="8" s="1"/>
  <c r="CE115" i="8" s="1"/>
  <c r="CE111" i="8" s="1"/>
  <c r="CE107" i="8" s="1"/>
  <c r="CE103" i="8" s="1"/>
  <c r="CE99" i="8" s="1"/>
  <c r="CE95" i="8" s="1"/>
  <c r="CE91" i="8" s="1"/>
  <c r="CE87" i="8" s="1"/>
  <c r="CE83" i="8" s="1"/>
  <c r="CE79" i="8" s="1"/>
  <c r="CE75" i="8" s="1"/>
  <c r="CE71" i="8" s="1"/>
  <c r="CE67" i="8" s="1"/>
  <c r="CE63" i="8" s="1"/>
  <c r="CE59" i="8" s="1"/>
  <c r="CE55" i="8" s="1"/>
  <c r="CE51" i="8" s="1"/>
  <c r="CE47" i="8" s="1"/>
  <c r="CE43" i="8" s="1"/>
  <c r="CE39" i="8" s="1"/>
  <c r="CE35" i="8" s="1"/>
  <c r="CE31" i="8" s="1"/>
  <c r="CE27" i="8" s="1"/>
  <c r="CE23" i="8" s="1"/>
  <c r="CE19" i="8" s="1"/>
  <c r="CE15" i="8" s="1"/>
  <c r="CE11" i="8" s="1"/>
  <c r="CE7" i="8" s="1"/>
  <c r="CC249" i="8" s="1"/>
  <c r="CC245" i="8" s="1"/>
  <c r="CC241" i="8" s="1"/>
  <c r="CC237" i="8" s="1"/>
  <c r="CC233" i="8" s="1"/>
  <c r="CC229" i="8" s="1"/>
  <c r="CC225" i="8" s="1"/>
  <c r="CC221" i="8" s="1"/>
  <c r="CC217" i="8" s="1"/>
  <c r="CC213" i="8" s="1"/>
  <c r="CC209" i="8" s="1"/>
  <c r="CC205" i="8" s="1"/>
  <c r="CC201" i="8" s="1"/>
  <c r="CC197" i="8" s="1"/>
  <c r="CC193" i="8" s="1"/>
  <c r="CC189" i="8" s="1"/>
  <c r="CC185" i="8" s="1"/>
  <c r="CC181" i="8" s="1"/>
  <c r="CC177" i="8" s="1"/>
  <c r="CC173" i="8" s="1"/>
  <c r="CC169" i="8" s="1"/>
  <c r="CC165" i="8" s="1"/>
  <c r="CC161" i="8" s="1"/>
  <c r="CC157" i="8" s="1"/>
  <c r="CC153" i="8" s="1"/>
  <c r="CC149" i="8" s="1"/>
  <c r="CC145" i="8" s="1"/>
  <c r="CC141" i="8" s="1"/>
  <c r="CC137" i="8" s="1"/>
  <c r="CC133" i="8" s="1"/>
  <c r="CC129" i="8" s="1"/>
  <c r="CC125" i="8" s="1"/>
  <c r="CC121" i="8" s="1"/>
  <c r="CC117" i="8" s="1"/>
  <c r="CC113" i="8" s="1"/>
  <c r="CC109" i="8" s="1"/>
  <c r="CC105" i="8" s="1"/>
  <c r="CC101" i="8" s="1"/>
  <c r="CC97" i="8" s="1"/>
  <c r="CC93" i="8" s="1"/>
  <c r="CC89" i="8" s="1"/>
  <c r="CC85" i="8" s="1"/>
  <c r="CC81" i="8" s="1"/>
  <c r="CC77" i="8" s="1"/>
  <c r="CC73" i="8" s="1"/>
  <c r="CC69" i="8" s="1"/>
  <c r="CC65" i="8" s="1"/>
  <c r="CC61" i="8" s="1"/>
  <c r="CC57" i="8" s="1"/>
  <c r="CC53" i="8" s="1"/>
  <c r="CC49" i="8" s="1"/>
  <c r="CC45" i="8" s="1"/>
  <c r="CC41" i="8" s="1"/>
  <c r="CC37" i="8" s="1"/>
  <c r="CC33" i="8" s="1"/>
  <c r="CC29" i="8" s="1"/>
  <c r="CC25" i="8" s="1"/>
  <c r="CC21" i="8" s="1"/>
  <c r="CC17" i="8" s="1"/>
  <c r="CC13" i="8" s="1"/>
  <c r="CC9" i="8" s="1"/>
  <c r="CC5" i="8" s="1"/>
  <c r="CA251" i="8" s="1"/>
  <c r="CA247" i="8" s="1"/>
  <c r="CA243" i="8" s="1"/>
  <c r="CA239" i="8" s="1"/>
  <c r="CA235" i="8" s="1"/>
  <c r="CA231" i="8" s="1"/>
  <c r="CA227" i="8" s="1"/>
  <c r="CA223" i="8" s="1"/>
  <c r="CA219" i="8" s="1"/>
  <c r="CA215" i="8" s="1"/>
  <c r="CA211" i="8" s="1"/>
  <c r="CA207" i="8" s="1"/>
  <c r="CA203" i="8" s="1"/>
  <c r="CA199" i="8" s="1"/>
  <c r="CA195" i="8" s="1"/>
  <c r="CA191" i="8" s="1"/>
  <c r="CA187" i="8" s="1"/>
  <c r="CA183" i="8" s="1"/>
  <c r="CA179" i="8" s="1"/>
  <c r="CA175" i="8" s="1"/>
  <c r="CA171" i="8" s="1"/>
  <c r="CA167" i="8" s="1"/>
  <c r="CA163" i="8" s="1"/>
  <c r="CA159" i="8" s="1"/>
  <c r="CA155" i="8" s="1"/>
  <c r="CA151" i="8" s="1"/>
  <c r="CA147" i="8" s="1"/>
  <c r="CA143" i="8" s="1"/>
  <c r="CA139" i="8" s="1"/>
  <c r="CA135" i="8" s="1"/>
  <c r="CA131" i="8" s="1"/>
  <c r="CA127" i="8" s="1"/>
  <c r="CA123" i="8" s="1"/>
  <c r="CA119" i="8" s="1"/>
  <c r="CA115" i="8" s="1"/>
  <c r="CA111" i="8" s="1"/>
  <c r="CA107" i="8" s="1"/>
  <c r="CA103" i="8" s="1"/>
  <c r="CA99" i="8" s="1"/>
  <c r="CA95" i="8" s="1"/>
  <c r="CA91" i="8" s="1"/>
  <c r="CA87" i="8" s="1"/>
  <c r="CA83" i="8" s="1"/>
  <c r="CA79" i="8" s="1"/>
  <c r="CA75" i="8" s="1"/>
  <c r="CA71" i="8" s="1"/>
  <c r="CA67" i="8" s="1"/>
  <c r="CA63" i="8" s="1"/>
  <c r="CA59" i="8" s="1"/>
  <c r="CA55" i="8" s="1"/>
  <c r="CA51" i="8" s="1"/>
  <c r="CA47" i="8" s="1"/>
  <c r="CA43" i="8" s="1"/>
  <c r="CA39" i="8" s="1"/>
  <c r="CA35" i="8" s="1"/>
  <c r="CA31" i="8" s="1"/>
  <c r="CA27" i="8" s="1"/>
  <c r="CA23" i="8" s="1"/>
  <c r="CA19" i="8" s="1"/>
  <c r="CA15" i="8" s="1"/>
  <c r="CA11" i="8" s="1"/>
  <c r="CA7" i="8" s="1"/>
  <c r="BY249" i="8" s="1"/>
  <c r="BY245" i="8" s="1"/>
  <c r="BY241" i="8" s="1"/>
  <c r="BY237" i="8" s="1"/>
  <c r="BY233" i="8" s="1"/>
  <c r="BY229" i="8" s="1"/>
  <c r="BY225" i="8" s="1"/>
  <c r="BY221" i="8" s="1"/>
  <c r="BY217" i="8" s="1"/>
  <c r="BY213" i="8" s="1"/>
  <c r="BY209" i="8" s="1"/>
  <c r="BY205" i="8" s="1"/>
  <c r="BY201" i="8" s="1"/>
  <c r="BY197" i="8" s="1"/>
  <c r="BY193" i="8" s="1"/>
  <c r="BY189" i="8" s="1"/>
  <c r="BY185" i="8" s="1"/>
  <c r="BY181" i="8" s="1"/>
  <c r="BY177" i="8" s="1"/>
  <c r="BY173" i="8" s="1"/>
  <c r="BY169" i="8" s="1"/>
  <c r="BY165" i="8" s="1"/>
  <c r="BY161" i="8" s="1"/>
  <c r="BY157" i="8" s="1"/>
  <c r="BY153" i="8" s="1"/>
  <c r="BY149" i="8" s="1"/>
  <c r="BY145" i="8" s="1"/>
  <c r="BY141" i="8" s="1"/>
  <c r="BY137" i="8" s="1"/>
  <c r="BY133" i="8" s="1"/>
  <c r="BY129" i="8" s="1"/>
  <c r="BY125" i="8" s="1"/>
  <c r="BY121" i="8" s="1"/>
  <c r="BY117" i="8" s="1"/>
  <c r="BY113" i="8" s="1"/>
  <c r="BY105" i="8" s="1"/>
  <c r="BY101" i="8" s="1"/>
  <c r="BY93" i="8" s="1"/>
  <c r="BY89" i="8" s="1"/>
  <c r="BY81" i="8" s="1"/>
  <c r="BY77" i="8" s="1"/>
  <c r="BY69" i="8" s="1"/>
  <c r="BY65" i="8" s="1"/>
  <c r="BY57" i="8" s="1"/>
  <c r="BY53" i="8" s="1"/>
  <c r="BY45" i="8" s="1"/>
  <c r="BY41" i="8" s="1"/>
  <c r="BY33" i="8" s="1"/>
  <c r="BY29" i="8" s="1"/>
  <c r="BY25" i="8" s="1"/>
  <c r="BY21" i="8" s="1"/>
  <c r="BY17" i="8" s="1"/>
  <c r="BY13" i="8" s="1"/>
  <c r="BY9" i="8" s="1"/>
  <c r="BY5" i="8" s="1"/>
  <c r="BW250" i="8" s="1"/>
  <c r="BW246" i="8" s="1"/>
  <c r="BW242" i="8" s="1"/>
  <c r="BW238" i="8" s="1"/>
  <c r="BW234" i="8" s="1"/>
  <c r="BW230" i="8" s="1"/>
  <c r="BW226" i="8" s="1"/>
  <c r="BW222" i="8" s="1"/>
  <c r="BW218" i="8" s="1"/>
  <c r="BW214" i="8" s="1"/>
  <c r="BW210" i="8" s="1"/>
  <c r="BW206" i="8" s="1"/>
  <c r="BW202" i="8" s="1"/>
  <c r="BW198" i="8" s="1"/>
  <c r="BW194" i="8" s="1"/>
  <c r="BW190" i="8" s="1"/>
  <c r="BW186" i="8" s="1"/>
  <c r="BW182" i="8" s="1"/>
  <c r="BW178" i="8" s="1"/>
  <c r="BW174" i="8" s="1"/>
  <c r="BW170" i="8" s="1"/>
  <c r="BW166" i="8" s="1"/>
  <c r="BW162" i="8" s="1"/>
  <c r="BW158" i="8" s="1"/>
  <c r="BW154" i="8" s="1"/>
  <c r="BW150" i="8" s="1"/>
  <c r="BW146" i="8" s="1"/>
  <c r="BW142" i="8" s="1"/>
  <c r="BW138" i="8" s="1"/>
  <c r="BW134" i="8" s="1"/>
  <c r="BW130" i="8" s="1"/>
  <c r="BW126" i="8" s="1"/>
  <c r="BW122" i="8" s="1"/>
  <c r="BW118" i="8" s="1"/>
  <c r="BW114" i="8" s="1"/>
  <c r="BW110" i="8" s="1"/>
  <c r="BW106" i="8" s="1"/>
  <c r="BW102" i="8" s="1"/>
  <c r="BW98" i="8" s="1"/>
  <c r="BW94" i="8" s="1"/>
  <c r="BW90" i="8" s="1"/>
  <c r="BW86" i="8" s="1"/>
  <c r="BW82" i="8" s="1"/>
  <c r="BW78" i="8" s="1"/>
  <c r="BW74" i="8" s="1"/>
  <c r="BW70" i="8" s="1"/>
  <c r="BW66" i="8" s="1"/>
  <c r="BW62" i="8" s="1"/>
  <c r="BW58" i="8" s="1"/>
  <c r="BW54" i="8" s="1"/>
  <c r="BW50" i="8" s="1"/>
  <c r="BW46" i="8" s="1"/>
  <c r="BW42" i="8" s="1"/>
  <c r="BW38" i="8" s="1"/>
  <c r="BW34" i="8" s="1"/>
  <c r="BW30" i="8" s="1"/>
  <c r="BW26" i="8" s="1"/>
  <c r="BW22" i="8" s="1"/>
  <c r="BW18" i="8" s="1"/>
  <c r="BW14" i="8" s="1"/>
  <c r="BW10" i="8" s="1"/>
  <c r="BW6" i="8" s="1"/>
  <c r="BU251" i="8" s="1"/>
  <c r="BU247" i="8" s="1"/>
  <c r="BU243" i="8" s="1"/>
  <c r="BU239" i="8" s="1"/>
  <c r="BU235" i="8" s="1"/>
  <c r="BU231" i="8" s="1"/>
  <c r="BU227" i="8" s="1"/>
  <c r="BU223" i="8" s="1"/>
  <c r="BU219" i="8" s="1"/>
  <c r="BU215" i="8" s="1"/>
  <c r="BU211" i="8" s="1"/>
  <c r="BU207" i="8" s="1"/>
  <c r="BU203" i="8" s="1"/>
  <c r="BU199" i="8" s="1"/>
  <c r="BU195" i="8" s="1"/>
  <c r="BU191" i="8" s="1"/>
  <c r="BU187" i="8" s="1"/>
  <c r="BU183" i="8" s="1"/>
  <c r="BU179" i="8" s="1"/>
  <c r="BU175" i="8" s="1"/>
  <c r="BU171" i="8" s="1"/>
  <c r="BU167" i="8" s="1"/>
  <c r="BU163" i="8" s="1"/>
  <c r="BU159" i="8" s="1"/>
  <c r="BU155" i="8" s="1"/>
  <c r="BU151" i="8" s="1"/>
  <c r="BU147" i="8" s="1"/>
  <c r="BU143" i="8" s="1"/>
  <c r="BU139" i="8" s="1"/>
  <c r="BU135" i="8" s="1"/>
  <c r="BU131" i="8" s="1"/>
  <c r="BU127" i="8" s="1"/>
  <c r="BU123" i="8" s="1"/>
  <c r="BU119" i="8" s="1"/>
  <c r="BU115" i="8" s="1"/>
  <c r="BU111" i="8" s="1"/>
  <c r="BU107" i="8" s="1"/>
  <c r="BU103" i="8" s="1"/>
  <c r="BU99" i="8" s="1"/>
  <c r="BU95" i="8" s="1"/>
  <c r="BU91" i="8" s="1"/>
  <c r="BU87" i="8" s="1"/>
  <c r="BU83" i="8" s="1"/>
  <c r="BU79" i="8" s="1"/>
  <c r="BU75" i="8" s="1"/>
  <c r="BU71" i="8" s="1"/>
  <c r="BU67" i="8" s="1"/>
  <c r="BU63" i="8" s="1"/>
  <c r="BU59" i="8" s="1"/>
  <c r="BU55" i="8" s="1"/>
  <c r="BU51" i="8" s="1"/>
  <c r="BU47" i="8" s="1"/>
  <c r="BU43" i="8" s="1"/>
  <c r="BU39" i="8" s="1"/>
  <c r="BU35" i="8" s="1"/>
  <c r="BU31" i="8" s="1"/>
  <c r="BU27" i="8" s="1"/>
  <c r="BU23" i="8" s="1"/>
  <c r="BU19" i="8" s="1"/>
  <c r="BU15" i="8" s="1"/>
  <c r="BU11" i="8" s="1"/>
  <c r="BU7" i="8" s="1"/>
  <c r="BS248" i="8" s="1"/>
  <c r="BS244" i="8" s="1"/>
  <c r="BS240" i="8" s="1"/>
  <c r="BS236" i="8" s="1"/>
  <c r="BS232" i="8" s="1"/>
  <c r="BS228" i="8" s="1"/>
  <c r="BS224" i="8" s="1"/>
  <c r="BS220" i="8" s="1"/>
  <c r="BS216" i="8" s="1"/>
  <c r="BS212" i="8" s="1"/>
  <c r="BS208" i="8" s="1"/>
  <c r="BS204" i="8" s="1"/>
  <c r="BS200" i="8" s="1"/>
  <c r="BS196" i="8" s="1"/>
  <c r="BS192" i="8" s="1"/>
  <c r="BS188" i="8" s="1"/>
  <c r="BS184" i="8" s="1"/>
  <c r="BS180" i="8" s="1"/>
  <c r="BS176" i="8" s="1"/>
  <c r="BS172" i="8" s="1"/>
  <c r="BS168" i="8" s="1"/>
  <c r="BS164" i="8" s="1"/>
  <c r="BS160" i="8" s="1"/>
  <c r="BS156" i="8" s="1"/>
  <c r="BS152" i="8" s="1"/>
  <c r="BS148" i="8" s="1"/>
  <c r="BS144" i="8" s="1"/>
  <c r="BS140" i="8" s="1"/>
  <c r="BS136" i="8" s="1"/>
  <c r="BS132" i="8" s="1"/>
  <c r="BS128" i="8" s="1"/>
  <c r="BS124" i="8" s="1"/>
  <c r="BS120" i="8" s="1"/>
  <c r="BS116" i="8" s="1"/>
  <c r="BS112" i="8" s="1"/>
  <c r="BS108" i="8" s="1"/>
  <c r="BS104" i="8" s="1"/>
  <c r="BS100" i="8" s="1"/>
  <c r="BS96" i="8" s="1"/>
  <c r="BS92" i="8" s="1"/>
  <c r="BS88" i="8" s="1"/>
  <c r="BS84" i="8" s="1"/>
  <c r="BS80" i="8" s="1"/>
  <c r="BS76" i="8" s="1"/>
  <c r="BS72" i="8" s="1"/>
  <c r="BS68" i="8" s="1"/>
  <c r="BS64" i="8" s="1"/>
  <c r="BS60" i="8" s="1"/>
  <c r="BS56" i="8" s="1"/>
  <c r="BS52" i="8" s="1"/>
  <c r="BS48" i="8" s="1"/>
  <c r="BS44" i="8" s="1"/>
  <c r="BS40" i="8" s="1"/>
  <c r="BS36" i="8" s="1"/>
  <c r="BS32" i="8" s="1"/>
  <c r="BS28" i="8" s="1"/>
  <c r="BS24" i="8" s="1"/>
  <c r="BS20" i="8" s="1"/>
  <c r="BS16" i="8" s="1"/>
  <c r="BS12" i="8" s="1"/>
  <c r="BS8" i="8" s="1"/>
  <c r="BS4" i="8" s="1"/>
  <c r="BQ249" i="8" s="1"/>
  <c r="BQ245" i="8" s="1"/>
  <c r="BQ241" i="8" s="1"/>
  <c r="BQ237" i="8" s="1"/>
  <c r="BQ233" i="8" s="1"/>
  <c r="BQ229" i="8" s="1"/>
  <c r="BQ225" i="8" s="1"/>
  <c r="BQ221" i="8" s="1"/>
  <c r="BQ217" i="8" s="1"/>
  <c r="BQ213" i="8" s="1"/>
  <c r="BQ209" i="8" s="1"/>
  <c r="BQ205" i="8" s="1"/>
  <c r="BQ201" i="8" s="1"/>
  <c r="BQ197" i="8" s="1"/>
  <c r="BQ193" i="8" s="1"/>
  <c r="BQ189" i="8" s="1"/>
  <c r="BQ185" i="8" s="1"/>
  <c r="BQ181" i="8" s="1"/>
  <c r="BQ177" i="8" s="1"/>
  <c r="BQ173" i="8" s="1"/>
  <c r="BQ169" i="8" s="1"/>
  <c r="BQ165" i="8" s="1"/>
  <c r="BQ161" i="8" s="1"/>
  <c r="BQ157" i="8" s="1"/>
  <c r="BQ153" i="8" s="1"/>
  <c r="BQ149" i="8" s="1"/>
  <c r="BQ145" i="8" s="1"/>
  <c r="BQ141" i="8" s="1"/>
  <c r="BQ137" i="8" s="1"/>
  <c r="BQ133" i="8" s="1"/>
  <c r="BQ129" i="8" s="1"/>
  <c r="BQ125" i="8" s="1"/>
  <c r="BQ121" i="8" s="1"/>
  <c r="BQ117" i="8" s="1"/>
  <c r="BQ113" i="8" s="1"/>
  <c r="BQ109" i="8" s="1"/>
  <c r="BQ105" i="8" s="1"/>
  <c r="BQ101" i="8" s="1"/>
  <c r="BQ97" i="8" s="1"/>
  <c r="BQ93" i="8" s="1"/>
  <c r="BQ89" i="8" s="1"/>
  <c r="BQ85" i="8" s="1"/>
  <c r="BQ81" i="8" s="1"/>
  <c r="BQ77" i="8" s="1"/>
  <c r="BQ73" i="8" s="1"/>
  <c r="BQ69" i="8" s="1"/>
  <c r="BQ65" i="8" s="1"/>
  <c r="BQ61" i="8" s="1"/>
  <c r="BQ57" i="8" s="1"/>
  <c r="BQ53" i="8" s="1"/>
  <c r="BQ49" i="8" s="1"/>
  <c r="BQ45" i="8" s="1"/>
  <c r="BQ41" i="8" s="1"/>
  <c r="BQ37" i="8" s="1"/>
  <c r="BQ33" i="8" s="1"/>
  <c r="BQ29" i="8" s="1"/>
  <c r="BQ25" i="8" s="1"/>
  <c r="BQ21" i="8" s="1"/>
  <c r="BQ17" i="8" s="1"/>
  <c r="BQ13" i="8" s="1"/>
  <c r="BQ9" i="8" s="1"/>
  <c r="BQ5" i="8" s="1"/>
  <c r="BO250" i="8" s="1"/>
  <c r="BO246" i="8" s="1"/>
  <c r="BO242" i="8" s="1"/>
  <c r="BO238" i="8" s="1"/>
  <c r="BO234" i="8" s="1"/>
  <c r="BO230" i="8" s="1"/>
  <c r="BO226" i="8" s="1"/>
  <c r="BO222" i="8" s="1"/>
  <c r="BO218" i="8" s="1"/>
  <c r="BO214" i="8" s="1"/>
  <c r="BO210" i="8" s="1"/>
  <c r="BO206" i="8" s="1"/>
  <c r="BO202" i="8" s="1"/>
  <c r="BO198" i="8" s="1"/>
  <c r="BO194" i="8" s="1"/>
  <c r="BO190" i="8" s="1"/>
  <c r="BO186" i="8" s="1"/>
  <c r="BO182" i="8" s="1"/>
  <c r="BO178" i="8" s="1"/>
  <c r="BO174" i="8" s="1"/>
  <c r="BO170" i="8" s="1"/>
  <c r="BO166" i="8" s="1"/>
  <c r="BO162" i="8" s="1"/>
  <c r="BO158" i="8" s="1"/>
  <c r="BO154" i="8" s="1"/>
  <c r="BO150" i="8" s="1"/>
  <c r="BO146" i="8" s="1"/>
  <c r="BO142" i="8" s="1"/>
  <c r="BO138" i="8" s="1"/>
  <c r="BO134" i="8" s="1"/>
  <c r="BO130" i="8" s="1"/>
  <c r="BO126" i="8" s="1"/>
  <c r="BO122" i="8" s="1"/>
  <c r="BO118" i="8" s="1"/>
  <c r="BO114" i="8" s="1"/>
  <c r="BO110" i="8" s="1"/>
  <c r="BO106" i="8" s="1"/>
  <c r="BO102" i="8" s="1"/>
  <c r="BO98" i="8" s="1"/>
  <c r="BO94" i="8" s="1"/>
  <c r="BO90" i="8" s="1"/>
  <c r="BO86" i="8" s="1"/>
  <c r="BO82" i="8" s="1"/>
  <c r="BO78" i="8" s="1"/>
  <c r="BO74" i="8" s="1"/>
  <c r="BO70" i="8" s="1"/>
  <c r="BO66" i="8" s="1"/>
  <c r="BO62" i="8" s="1"/>
  <c r="BO58" i="8" s="1"/>
  <c r="BO54" i="8" s="1"/>
  <c r="BO50" i="8" s="1"/>
  <c r="BO46" i="8" s="1"/>
  <c r="BO42" i="8" s="1"/>
  <c r="BO38" i="8" s="1"/>
  <c r="BO34" i="8" s="1"/>
  <c r="BO30" i="8" s="1"/>
  <c r="BO26" i="8" s="1"/>
  <c r="BO22" i="8" s="1"/>
  <c r="BO18" i="8" s="1"/>
  <c r="BO14" i="8" s="1"/>
  <c r="BO10" i="8" s="1"/>
  <c r="BO6" i="8" s="1"/>
  <c r="BM251" i="8" s="1"/>
  <c r="BM247" i="8" s="1"/>
  <c r="BM243" i="8" s="1"/>
  <c r="BM239" i="8" s="1"/>
  <c r="BM235" i="8" s="1"/>
  <c r="BM231" i="8" s="1"/>
  <c r="BM227" i="8" s="1"/>
  <c r="BM223" i="8" s="1"/>
  <c r="BM219" i="8" s="1"/>
  <c r="BM215" i="8" s="1"/>
  <c r="BM211" i="8" s="1"/>
  <c r="BM207" i="8" s="1"/>
  <c r="BM203" i="8" s="1"/>
  <c r="BM199" i="8" s="1"/>
  <c r="BM195" i="8" s="1"/>
  <c r="BM191" i="8" s="1"/>
  <c r="BM187" i="8" s="1"/>
  <c r="BM183" i="8" s="1"/>
  <c r="BM179" i="8" s="1"/>
  <c r="BM175" i="8" s="1"/>
  <c r="BM171" i="8" s="1"/>
  <c r="BM167" i="8" s="1"/>
  <c r="BM163" i="8" s="1"/>
  <c r="BM159" i="8" s="1"/>
  <c r="BM155" i="8" s="1"/>
  <c r="BM151" i="8" s="1"/>
  <c r="BM147" i="8" s="1"/>
  <c r="BM143" i="8" s="1"/>
  <c r="BM139" i="8" s="1"/>
  <c r="BM135" i="8" s="1"/>
  <c r="BM131" i="8" s="1"/>
  <c r="BM127" i="8" s="1"/>
  <c r="BM123" i="8" s="1"/>
  <c r="BM119" i="8" s="1"/>
  <c r="BM115" i="8" s="1"/>
  <c r="BM111" i="8" s="1"/>
  <c r="BM107" i="8" s="1"/>
  <c r="BM103" i="8" s="1"/>
  <c r="BM99" i="8" s="1"/>
  <c r="BM95" i="8" s="1"/>
  <c r="BM91" i="8" s="1"/>
  <c r="BM87" i="8" s="1"/>
  <c r="BM83" i="8" s="1"/>
  <c r="BM79" i="8" s="1"/>
  <c r="BM75" i="8" s="1"/>
  <c r="BM71" i="8" s="1"/>
  <c r="BM67" i="8" s="1"/>
  <c r="BM63" i="8" s="1"/>
  <c r="BM59" i="8" s="1"/>
  <c r="BM55" i="8" s="1"/>
  <c r="BM51" i="8" s="1"/>
  <c r="BM47" i="8" s="1"/>
  <c r="BM43" i="8" s="1"/>
  <c r="BM39" i="8" s="1"/>
  <c r="BM35" i="8" s="1"/>
  <c r="BM31" i="8" s="1"/>
  <c r="BM27" i="8" s="1"/>
  <c r="BM23" i="8" s="1"/>
  <c r="BM19" i="8" s="1"/>
  <c r="BM15" i="8" s="1"/>
  <c r="BM11" i="8" s="1"/>
  <c r="BM7" i="8" s="1"/>
  <c r="BK248" i="8" s="1"/>
  <c r="BK244" i="8" s="1"/>
  <c r="BK240" i="8" s="1"/>
  <c r="BK236" i="8" s="1"/>
  <c r="BK232" i="8" s="1"/>
  <c r="BK228" i="8" s="1"/>
  <c r="BK224" i="8" s="1"/>
  <c r="BK220" i="8" s="1"/>
  <c r="BK216" i="8" s="1"/>
  <c r="BK212" i="8" s="1"/>
  <c r="BK208" i="8" s="1"/>
  <c r="BK204" i="8" s="1"/>
  <c r="BK200" i="8" s="1"/>
  <c r="BK196" i="8" s="1"/>
  <c r="BK192" i="8" s="1"/>
  <c r="BK188" i="8" s="1"/>
  <c r="BK184" i="8" s="1"/>
  <c r="BK180" i="8" s="1"/>
  <c r="BK176" i="8" s="1"/>
  <c r="BK172" i="8" s="1"/>
  <c r="BK168" i="8" s="1"/>
  <c r="BK164" i="8" s="1"/>
  <c r="BK160" i="8" s="1"/>
  <c r="BK156" i="8" s="1"/>
  <c r="BK152" i="8" s="1"/>
  <c r="BK148" i="8" s="1"/>
  <c r="BK144" i="8" s="1"/>
  <c r="BK140" i="8" s="1"/>
  <c r="BK136" i="8" s="1"/>
  <c r="BK132" i="8" s="1"/>
  <c r="BK128" i="8" s="1"/>
  <c r="BK124" i="8" s="1"/>
  <c r="BK120" i="8" s="1"/>
  <c r="BK116" i="8" s="1"/>
  <c r="BK112" i="8" s="1"/>
  <c r="BK108" i="8" s="1"/>
  <c r="BK104" i="8" s="1"/>
  <c r="BK100" i="8" s="1"/>
  <c r="BK96" i="8" s="1"/>
  <c r="BK92" i="8" s="1"/>
  <c r="BK84" i="8" s="1"/>
  <c r="BK80" i="8" s="1"/>
  <c r="BK72" i="8" s="1"/>
  <c r="BK68" i="8" s="1"/>
  <c r="BK60" i="8" s="1"/>
  <c r="BK56" i="8" s="1"/>
  <c r="BK48" i="8" s="1"/>
  <c r="BK44" i="8" s="1"/>
  <c r="BK36" i="8" s="1"/>
  <c r="BK32" i="8" s="1"/>
  <c r="BK24" i="8" s="1"/>
  <c r="BK20" i="8" s="1"/>
  <c r="BK12" i="8" s="1"/>
  <c r="BK8" i="8" s="1"/>
  <c r="BI249" i="8" s="1"/>
  <c r="BI245" i="8" s="1"/>
  <c r="BI237" i="8" s="1"/>
  <c r="BI233" i="8" s="1"/>
  <c r="BI225" i="8" s="1"/>
  <c r="BI221" i="8" s="1"/>
  <c r="BI213" i="8" s="1"/>
  <c r="BI209" i="8" s="1"/>
  <c r="BI201" i="8" s="1"/>
  <c r="BI197" i="8" s="1"/>
  <c r="BI189" i="8" s="1"/>
  <c r="BI185" i="8" s="1"/>
  <c r="BI177" i="8" s="1"/>
  <c r="BI173" i="8" s="1"/>
  <c r="BI165" i="8" s="1"/>
  <c r="BI161" i="8" s="1"/>
  <c r="BI153" i="8" s="1"/>
  <c r="BI149" i="8" s="1"/>
  <c r="BI141" i="8" s="1"/>
  <c r="BI137" i="8" s="1"/>
  <c r="BI129" i="8" s="1"/>
  <c r="BI125" i="8" s="1"/>
  <c r="BI117" i="8" s="1"/>
  <c r="BI113" i="8" s="1"/>
  <c r="BI105" i="8" s="1"/>
  <c r="BI101" i="8" s="1"/>
  <c r="BI93" i="8" s="1"/>
  <c r="BI89" i="8" s="1"/>
  <c r="BI81" i="8" s="1"/>
  <c r="BI77" i="8" s="1"/>
  <c r="BI69" i="8" s="1"/>
  <c r="BI65" i="8" s="1"/>
  <c r="BI57" i="8" s="1"/>
  <c r="BI53" i="8" s="1"/>
  <c r="BI45" i="8" s="1"/>
  <c r="BI41" i="8" s="1"/>
  <c r="BI33" i="8" s="1"/>
  <c r="BI29" i="8" s="1"/>
  <c r="BI21" i="8" s="1"/>
  <c r="BI17" i="8" s="1"/>
  <c r="BI9" i="8" s="1"/>
  <c r="BI5" i="8" s="1"/>
  <c r="BG246" i="8" s="1"/>
  <c r="BG242" i="8" s="1"/>
  <c r="BG234" i="8" s="1"/>
  <c r="BG230" i="8" s="1"/>
  <c r="BG222" i="8" s="1"/>
  <c r="BG218" i="8" s="1"/>
  <c r="BG210" i="8" s="1"/>
  <c r="BG206" i="8" s="1"/>
  <c r="BG198" i="8" s="1"/>
  <c r="BG194" i="8" s="1"/>
  <c r="BG186" i="8" s="1"/>
  <c r="BG182" i="8" s="1"/>
  <c r="BG174" i="8" s="1"/>
  <c r="BG170" i="8" s="1"/>
  <c r="BG162" i="8" s="1"/>
  <c r="BG158" i="8" s="1"/>
  <c r="BG150" i="8" s="1"/>
  <c r="BG146" i="8" s="1"/>
  <c r="BG138" i="8" s="1"/>
  <c r="BG134" i="8" s="1"/>
  <c r="BG126" i="8" s="1"/>
  <c r="BG122" i="8" s="1"/>
  <c r="BG114" i="8" s="1"/>
  <c r="BG110" i="8" s="1"/>
  <c r="BG102" i="8" s="1"/>
  <c r="BG98" i="8" s="1"/>
  <c r="BG90" i="8" s="1"/>
  <c r="BG86" i="8" s="1"/>
  <c r="BG78" i="8" s="1"/>
  <c r="BG74" i="8" s="1"/>
  <c r="BG66" i="8" s="1"/>
  <c r="BG62" i="8" s="1"/>
  <c r="BG54" i="8" s="1"/>
  <c r="BG50" i="8" s="1"/>
  <c r="BG42" i="8" s="1"/>
  <c r="BG38" i="8" s="1"/>
  <c r="BG30" i="8" s="1"/>
  <c r="BG26" i="8" s="1"/>
  <c r="BG18" i="8" s="1"/>
  <c r="BG14" i="8" s="1"/>
  <c r="BG6" i="8" s="1"/>
  <c r="BE251" i="8" s="1"/>
  <c r="BE243" i="8" s="1"/>
  <c r="BE239" i="8" s="1"/>
  <c r="BE231" i="8" s="1"/>
  <c r="BE227" i="8" s="1"/>
  <c r="BE219" i="8" s="1"/>
  <c r="BE215" i="8" s="1"/>
  <c r="BE207" i="8" s="1"/>
  <c r="BE203" i="8" s="1"/>
  <c r="BE195" i="8" s="1"/>
  <c r="BE191" i="8" s="1"/>
  <c r="BE183" i="8" s="1"/>
  <c r="BE179" i="8" s="1"/>
  <c r="BE171" i="8" s="1"/>
  <c r="BE167" i="8" s="1"/>
  <c r="BE159" i="8" s="1"/>
  <c r="BE155" i="8" s="1"/>
  <c r="BE147" i="8" s="1"/>
  <c r="BE143" i="8" s="1"/>
  <c r="BE135" i="8" s="1"/>
  <c r="BE131" i="8" s="1"/>
  <c r="BE123" i="8" s="1"/>
  <c r="BE119" i="8" s="1"/>
  <c r="BE111" i="8" s="1"/>
  <c r="BE107" i="8" s="1"/>
  <c r="BE99" i="8" s="1"/>
  <c r="BE95" i="8" s="1"/>
  <c r="BE87" i="8" s="1"/>
  <c r="BE83" i="8" s="1"/>
  <c r="BE75" i="8" s="1"/>
  <c r="BE71" i="8" s="1"/>
  <c r="BE63" i="8" s="1"/>
  <c r="BE59" i="8" s="1"/>
  <c r="BE51" i="8" s="1"/>
  <c r="BE47" i="8" s="1"/>
  <c r="BE39" i="8" s="1"/>
  <c r="BE35" i="8" s="1"/>
  <c r="BE27" i="8" s="1"/>
  <c r="BE23" i="8" s="1"/>
  <c r="BE15" i="8" s="1"/>
  <c r="BE11" i="8" s="1"/>
  <c r="BC248" i="8" s="1"/>
  <c r="BC240" i="8" s="1"/>
  <c r="BC236" i="8" s="1"/>
  <c r="BC228" i="8" s="1"/>
  <c r="BC224" i="8" s="1"/>
  <c r="BC216" i="8" s="1"/>
  <c r="BC212" i="8" s="1"/>
  <c r="BC204" i="8" s="1"/>
  <c r="BC200" i="8" s="1"/>
  <c r="BC192" i="8" s="1"/>
  <c r="BC188" i="8" s="1"/>
  <c r="BC180" i="8" s="1"/>
  <c r="BC176" i="8" s="1"/>
  <c r="BC168" i="8" s="1"/>
  <c r="BC164" i="8" s="1"/>
  <c r="BC156" i="8" s="1"/>
  <c r="BC152" i="8" s="1"/>
  <c r="BC144" i="8" s="1"/>
  <c r="BC140" i="8" s="1"/>
  <c r="BC132" i="8" s="1"/>
  <c r="BC128" i="8" s="1"/>
  <c r="BC120" i="8" s="1"/>
  <c r="BC116" i="8" s="1"/>
  <c r="BC108" i="8" s="1"/>
  <c r="BC104" i="8" s="1"/>
  <c r="BC96" i="8" s="1"/>
  <c r="BC92" i="8" s="1"/>
  <c r="BC84" i="8" s="1"/>
  <c r="BC80" i="8" s="1"/>
  <c r="BC72" i="8" s="1"/>
  <c r="BC68" i="8" s="1"/>
  <c r="BC60" i="8" s="1"/>
  <c r="BC56" i="8" s="1"/>
  <c r="BC48" i="8" s="1"/>
  <c r="BC44" i="8" s="1"/>
  <c r="BC36" i="8" s="1"/>
  <c r="BC32" i="8" s="1"/>
  <c r="BC24" i="8" s="1"/>
  <c r="BC20" i="8" s="1"/>
  <c r="BC12" i="8" s="1"/>
  <c r="BC8" i="8" s="1"/>
  <c r="BA249" i="8" s="1"/>
  <c r="BA245" i="8" s="1"/>
  <c r="BA237" i="8" s="1"/>
  <c r="BA233" i="8" s="1"/>
  <c r="BA225" i="8" s="1"/>
  <c r="BA221" i="8" s="1"/>
  <c r="BA213" i="8" s="1"/>
  <c r="BA209" i="8" s="1"/>
  <c r="BA201" i="8" s="1"/>
  <c r="BA197" i="8" s="1"/>
  <c r="BA189" i="8" s="1"/>
  <c r="BA185" i="8" s="1"/>
  <c r="BA177" i="8" s="1"/>
  <c r="BA173" i="8" s="1"/>
  <c r="BA165" i="8" s="1"/>
  <c r="BA161" i="8" s="1"/>
  <c r="BA153" i="8" s="1"/>
  <c r="BA149" i="8" s="1"/>
  <c r="BA141" i="8" s="1"/>
  <c r="BA137" i="8" s="1"/>
  <c r="BA129" i="8" s="1"/>
  <c r="BA125" i="8" s="1"/>
  <c r="BA117" i="8" s="1"/>
  <c r="BA113" i="8" s="1"/>
  <c r="BA105" i="8" s="1"/>
  <c r="BA101" i="8" s="1"/>
  <c r="BA93" i="8" s="1"/>
  <c r="BA89" i="8" s="1"/>
  <c r="BA81" i="8" s="1"/>
  <c r="BA77" i="8" s="1"/>
  <c r="BA69" i="8" s="1"/>
  <c r="BA65" i="8" s="1"/>
  <c r="BA57" i="8" s="1"/>
  <c r="BA53" i="8" s="1"/>
  <c r="BA45" i="8" s="1"/>
  <c r="BA41" i="8" s="1"/>
  <c r="BA33" i="8" s="1"/>
  <c r="BA29" i="8" s="1"/>
  <c r="BA21" i="8" s="1"/>
  <c r="BA17" i="8" s="1"/>
  <c r="BA9" i="8" s="1"/>
  <c r="BA5" i="8" s="1"/>
  <c r="AY247" i="8" s="1"/>
  <c r="AY243" i="8" s="1"/>
  <c r="AY235" i="8" s="1"/>
  <c r="AY231" i="8" s="1"/>
  <c r="AY223" i="8" s="1"/>
  <c r="AY219" i="8" s="1"/>
  <c r="AY211" i="8" s="1"/>
  <c r="AY207" i="8" s="1"/>
  <c r="AY199" i="8" s="1"/>
  <c r="AY195" i="8" s="1"/>
  <c r="AY187" i="8" s="1"/>
  <c r="AY183" i="8" s="1"/>
  <c r="AY175" i="8" s="1"/>
  <c r="AY171" i="8" s="1"/>
  <c r="AY163" i="8" s="1"/>
  <c r="AY159" i="8" s="1"/>
  <c r="AY151" i="8" s="1"/>
  <c r="AY147" i="8" s="1"/>
  <c r="AY139" i="8" s="1"/>
  <c r="AY135" i="8" s="1"/>
  <c r="AY127" i="8" s="1"/>
  <c r="AY123" i="8" s="1"/>
  <c r="AY115" i="8" s="1"/>
  <c r="AY111" i="8" s="1"/>
  <c r="AY103" i="8" s="1"/>
  <c r="AY99" i="8" s="1"/>
  <c r="AY91" i="8" s="1"/>
  <c r="AY87" i="8" s="1"/>
  <c r="AY79" i="8" s="1"/>
  <c r="AY75" i="8" s="1"/>
  <c r="AY67" i="8" s="1"/>
  <c r="AY63" i="8" s="1"/>
  <c r="AY55" i="8" s="1"/>
  <c r="AY51" i="8" s="1"/>
  <c r="AY43" i="8" s="1"/>
  <c r="AY39" i="8" s="1"/>
  <c r="AY31" i="8" s="1"/>
  <c r="AY27" i="8" s="1"/>
  <c r="AY19" i="8" s="1"/>
  <c r="AY15" i="8" s="1"/>
  <c r="AY7" i="8" s="1"/>
  <c r="AW245" i="8" s="1"/>
  <c r="AW241" i="8" s="1"/>
  <c r="AW233" i="8" s="1"/>
  <c r="AW229" i="8" s="1"/>
  <c r="AW221" i="8" s="1"/>
  <c r="AW217" i="8" s="1"/>
  <c r="AW209" i="8" s="1"/>
  <c r="AW205" i="8" s="1"/>
  <c r="AW197" i="8" s="1"/>
  <c r="AW193" i="8" s="1"/>
  <c r="AW185" i="8" s="1"/>
  <c r="AW181" i="8" s="1"/>
  <c r="AW173" i="8" s="1"/>
  <c r="AW169" i="8" s="1"/>
  <c r="AW161" i="8" s="1"/>
  <c r="AW157" i="8" s="1"/>
  <c r="AW149" i="8" s="1"/>
  <c r="AW145" i="8" s="1"/>
  <c r="AW137" i="8" s="1"/>
  <c r="AW133" i="8" s="1"/>
  <c r="AW125" i="8" s="1"/>
  <c r="AW121" i="8" s="1"/>
  <c r="AW113" i="8" s="1"/>
  <c r="AW109" i="8" s="1"/>
  <c r="AW101" i="8" s="1"/>
  <c r="AW97" i="8" s="1"/>
  <c r="AW89" i="8" s="1"/>
  <c r="AW85" i="8" s="1"/>
  <c r="AW77" i="8" s="1"/>
  <c r="AW73" i="8" s="1"/>
  <c r="AW65" i="8" s="1"/>
  <c r="AW61" i="8" s="1"/>
  <c r="AW53" i="8" s="1"/>
  <c r="AW49" i="8" s="1"/>
  <c r="AW41" i="8" s="1"/>
  <c r="AW37" i="8" s="1"/>
  <c r="AW29" i="8" s="1"/>
  <c r="AW25" i="8" s="1"/>
  <c r="AW17" i="8" s="1"/>
  <c r="AW13" i="8" s="1"/>
  <c r="AW5" i="8" s="1"/>
  <c r="AU251" i="8" s="1"/>
  <c r="AU243" i="8" s="1"/>
  <c r="AU239" i="8" s="1"/>
  <c r="AU231" i="8" s="1"/>
  <c r="AU227" i="8" s="1"/>
  <c r="AU219" i="8" s="1"/>
  <c r="AU215" i="8" s="1"/>
  <c r="AU207" i="8" s="1"/>
  <c r="AU203" i="8" s="1"/>
  <c r="AU195" i="8" s="1"/>
  <c r="AU191" i="8" s="1"/>
  <c r="AU183" i="8" s="1"/>
  <c r="AU179" i="8" s="1"/>
  <c r="AU171" i="8" s="1"/>
  <c r="AU167" i="8" s="1"/>
  <c r="AU159" i="8" s="1"/>
  <c r="AU155" i="8" s="1"/>
  <c r="AU147" i="8" s="1"/>
  <c r="AU143" i="8" s="1"/>
  <c r="AU135" i="8" s="1"/>
  <c r="AU131" i="8" s="1"/>
  <c r="AU123" i="8" s="1"/>
  <c r="AU119" i="8" s="1"/>
  <c r="AU111" i="8" s="1"/>
  <c r="AU107" i="8" s="1"/>
  <c r="AU99" i="8" s="1"/>
  <c r="AU95" i="8" s="1"/>
  <c r="AU87" i="8" s="1"/>
  <c r="AU83" i="8" s="1"/>
  <c r="AU75" i="8" s="1"/>
  <c r="AU71" i="8" s="1"/>
  <c r="AU63" i="8" s="1"/>
  <c r="AU59" i="8" s="1"/>
  <c r="AU51" i="8" s="1"/>
  <c r="AU47" i="8" s="1"/>
  <c r="AU39" i="8" s="1"/>
  <c r="AU35" i="8" s="1"/>
  <c r="AU27" i="8" s="1"/>
  <c r="AU23" i="8" s="1"/>
  <c r="AU15" i="8" s="1"/>
  <c r="AU11" i="8" s="1"/>
  <c r="AS249" i="8" s="1"/>
  <c r="AS241" i="8" s="1"/>
  <c r="AS237" i="8" s="1"/>
  <c r="AS229" i="8" s="1"/>
  <c r="AS225" i="8" s="1"/>
  <c r="AS217" i="8" s="1"/>
  <c r="AS213" i="8" s="1"/>
  <c r="AS205" i="8" s="1"/>
  <c r="AS201" i="8" s="1"/>
  <c r="AS193" i="8" s="1"/>
  <c r="AS189" i="8" s="1"/>
  <c r="AS181" i="8" s="1"/>
  <c r="AS177" i="8" s="1"/>
  <c r="AS169" i="8" s="1"/>
  <c r="AS165" i="8" s="1"/>
  <c r="AS157" i="8" s="1"/>
  <c r="AS153" i="8" s="1"/>
  <c r="AS145" i="8" s="1"/>
  <c r="AS141" i="8" s="1"/>
  <c r="AS133" i="8" s="1"/>
  <c r="AS129" i="8" s="1"/>
  <c r="AS121" i="8" s="1"/>
  <c r="AS117" i="8" s="1"/>
  <c r="AS109" i="8" s="1"/>
  <c r="AS105" i="8" s="1"/>
  <c r="AS97" i="8" s="1"/>
  <c r="AS93" i="8" s="1"/>
  <c r="AS85" i="8" s="1"/>
  <c r="AS81" i="8" s="1"/>
  <c r="AS73" i="8" s="1"/>
  <c r="AS69" i="8" s="1"/>
  <c r="AS61" i="8" s="1"/>
  <c r="AS57" i="8" s="1"/>
  <c r="AS49" i="8" s="1"/>
  <c r="AS45" i="8" s="1"/>
  <c r="AS37" i="8" s="1"/>
  <c r="AS33" i="8" s="1"/>
  <c r="AS25" i="8" s="1"/>
  <c r="AS21" i="8" s="1"/>
  <c r="AS13" i="8" s="1"/>
  <c r="AS9" i="8" s="1"/>
  <c r="AQ251" i="8" s="1"/>
  <c r="AQ247" i="8" s="1"/>
  <c r="AQ239" i="8" s="1"/>
  <c r="AQ235" i="8" s="1"/>
  <c r="AQ227" i="8" s="1"/>
  <c r="AQ223" i="8" s="1"/>
  <c r="AQ215" i="8" s="1"/>
  <c r="AQ211" i="8" s="1"/>
  <c r="AQ203" i="8" s="1"/>
  <c r="AQ199" i="8" s="1"/>
  <c r="AQ191" i="8" s="1"/>
  <c r="AQ187" i="8" s="1"/>
  <c r="AQ179" i="8" s="1"/>
  <c r="AQ175" i="8" s="1"/>
  <c r="AQ167" i="8" s="1"/>
  <c r="AQ163" i="8" s="1"/>
  <c r="AQ155" i="8" s="1"/>
  <c r="AQ151" i="8" s="1"/>
  <c r="AQ143" i="8" s="1"/>
  <c r="AQ139" i="8" s="1"/>
  <c r="AQ131" i="8" s="1"/>
  <c r="AQ127" i="8" s="1"/>
  <c r="AQ119" i="8" s="1"/>
  <c r="AQ115" i="8" s="1"/>
  <c r="AQ107" i="8" s="1"/>
  <c r="AQ103" i="8" s="1"/>
  <c r="AQ95" i="8" s="1"/>
  <c r="AQ91" i="8" s="1"/>
  <c r="AQ83" i="8" s="1"/>
  <c r="AQ79" i="8" s="1"/>
  <c r="AQ71" i="8" s="1"/>
  <c r="AQ67" i="8" s="1"/>
  <c r="AQ59" i="8" s="1"/>
  <c r="AQ55" i="8" s="1"/>
  <c r="AQ47" i="8" s="1"/>
  <c r="AQ43" i="8" s="1"/>
  <c r="AQ35" i="8" s="1"/>
  <c r="AQ31" i="8" s="1"/>
  <c r="AQ23" i="8" s="1"/>
  <c r="AQ19" i="8" s="1"/>
  <c r="AQ11" i="8" s="1"/>
  <c r="AQ7" i="8" s="1"/>
  <c r="AO249" i="8" s="1"/>
  <c r="AO245" i="8" s="1"/>
  <c r="AO237" i="8" s="1"/>
  <c r="AO233" i="8" s="1"/>
  <c r="AO225" i="8" s="1"/>
  <c r="AO221" i="8" s="1"/>
  <c r="AO213" i="8" s="1"/>
  <c r="AO209" i="8" s="1"/>
  <c r="AO201" i="8" s="1"/>
  <c r="AO197" i="8" s="1"/>
  <c r="AO189" i="8" s="1"/>
  <c r="AO185" i="8" s="1"/>
  <c r="AO177" i="8" s="1"/>
  <c r="AO173" i="8" s="1"/>
  <c r="AO165" i="8" s="1"/>
  <c r="AO161" i="8" s="1"/>
  <c r="AO153" i="8" s="1"/>
  <c r="AO149" i="8" s="1"/>
  <c r="AO141" i="8" s="1"/>
  <c r="AO139" i="8" s="1"/>
  <c r="AO137" i="8" s="1"/>
  <c r="AO129" i="8" s="1"/>
  <c r="AO125" i="8" s="1"/>
  <c r="AO117" i="8" s="1"/>
  <c r="AO113" i="8" s="1"/>
  <c r="AO105" i="8" s="1"/>
  <c r="AO101" i="8" s="1"/>
  <c r="AO93" i="8" s="1"/>
  <c r="AO89" i="8" s="1"/>
  <c r="AO81" i="8" s="1"/>
  <c r="AO77" i="8" s="1"/>
  <c r="AO69" i="8" s="1"/>
  <c r="AO65" i="8" s="1"/>
  <c r="AO57" i="8" s="1"/>
  <c r="AO53" i="8" s="1"/>
  <c r="AO45" i="8" s="1"/>
  <c r="AO41" i="8" s="1"/>
  <c r="AO33" i="8" s="1"/>
  <c r="AO29" i="8" s="1"/>
  <c r="AO21" i="8" s="1"/>
  <c r="AO17" i="8" s="1"/>
  <c r="AO9" i="8" s="1"/>
  <c r="AO5" i="8" s="1"/>
  <c r="AM247" i="8" s="1"/>
  <c r="AM243" i="8" s="1"/>
  <c r="AM235" i="8" s="1"/>
  <c r="AM231" i="8" s="1"/>
  <c r="AM223" i="8" s="1"/>
  <c r="AM219" i="8" s="1"/>
  <c r="AM211" i="8" s="1"/>
  <c r="AM207" i="8" s="1"/>
  <c r="AM199" i="8" s="1"/>
  <c r="AM195" i="8" s="1"/>
  <c r="AM187" i="8" s="1"/>
  <c r="AM183" i="8" s="1"/>
  <c r="AM175" i="8" s="1"/>
  <c r="AM171" i="8" s="1"/>
  <c r="AM163" i="8" s="1"/>
  <c r="AM159" i="8" s="1"/>
  <c r="AM151" i="8" s="1"/>
  <c r="AM147" i="8" s="1"/>
  <c r="AM139" i="8" s="1"/>
  <c r="AM135" i="8" s="1"/>
  <c r="AM127" i="8" s="1"/>
  <c r="AM123" i="8" s="1"/>
  <c r="AM115" i="8" s="1"/>
  <c r="AM111" i="8" s="1"/>
  <c r="AM103" i="8" s="1"/>
  <c r="AM99" i="8" s="1"/>
  <c r="AM91" i="8" s="1"/>
  <c r="AM87" i="8" s="1"/>
  <c r="AM79" i="8" s="1"/>
  <c r="AM75" i="8" s="1"/>
  <c r="AM67" i="8" s="1"/>
  <c r="AM63" i="8" s="1"/>
  <c r="AM55" i="8" s="1"/>
  <c r="AM51" i="8" s="1"/>
  <c r="AM43" i="8" s="1"/>
  <c r="AM39" i="8" s="1"/>
  <c r="AM31" i="8" s="1"/>
  <c r="AM27" i="8" s="1"/>
  <c r="AM19" i="8" s="1"/>
  <c r="AM15" i="8" s="1"/>
  <c r="AM7" i="8" s="1"/>
  <c r="AK245" i="8" s="1"/>
  <c r="AK241" i="8" s="1"/>
  <c r="AK233" i="8" s="1"/>
  <c r="AK229" i="8" s="1"/>
  <c r="AK221" i="8" s="1"/>
  <c r="AK217" i="8" s="1"/>
  <c r="AK209" i="8" s="1"/>
  <c r="AK205" i="8" s="1"/>
  <c r="AK197" i="8" s="1"/>
  <c r="AK193" i="8" s="1"/>
  <c r="AK185" i="8" s="1"/>
  <c r="AK181" i="8" s="1"/>
  <c r="AK173" i="8" s="1"/>
  <c r="AK169" i="8" s="1"/>
  <c r="AK161" i="8" s="1"/>
  <c r="AK157" i="8" s="1"/>
  <c r="AK149" i="8" s="1"/>
  <c r="AK145" i="8" s="1"/>
  <c r="AK137" i="8" s="1"/>
  <c r="AK133" i="8" s="1"/>
  <c r="AK125" i="8" s="1"/>
  <c r="AK121" i="8" s="1"/>
  <c r="AK113" i="8" s="1"/>
  <c r="AK109" i="8" s="1"/>
  <c r="AK101" i="8" s="1"/>
  <c r="AK97" i="8" s="1"/>
  <c r="AK89" i="8" s="1"/>
  <c r="AK85" i="8" s="1"/>
  <c r="AK77" i="8" s="1"/>
  <c r="AK73" i="8" s="1"/>
  <c r="AK65" i="8" s="1"/>
  <c r="AK61" i="8" s="1"/>
  <c r="AK53" i="8" s="1"/>
  <c r="AK49" i="8" s="1"/>
  <c r="AK41" i="8" s="1"/>
  <c r="AK37" i="8" s="1"/>
  <c r="AK29" i="8" s="1"/>
  <c r="AK25" i="8" s="1"/>
  <c r="AK17" i="8" s="1"/>
  <c r="AK13" i="8" s="1"/>
  <c r="AK5" i="8" s="1"/>
  <c r="AI251" i="8" s="1"/>
  <c r="AI243" i="8" s="1"/>
  <c r="AI239" i="8" s="1"/>
  <c r="AI231" i="8" s="1"/>
  <c r="AI227" i="8" s="1"/>
  <c r="AI219" i="8" s="1"/>
  <c r="AI215" i="8" s="1"/>
  <c r="AI207" i="8" s="1"/>
  <c r="AI203" i="8" s="1"/>
  <c r="AI195" i="8" s="1"/>
  <c r="AI191" i="8" s="1"/>
  <c r="AI183" i="8" s="1"/>
  <c r="AI179" i="8" s="1"/>
  <c r="AI171" i="8" s="1"/>
  <c r="AI167" i="8" s="1"/>
  <c r="AI159" i="8" s="1"/>
  <c r="AI155" i="8" s="1"/>
  <c r="AI147" i="8" s="1"/>
  <c r="AI143" i="8" s="1"/>
  <c r="AI135" i="8" s="1"/>
  <c r="AI131" i="8" s="1"/>
  <c r="AI123" i="8" s="1"/>
  <c r="AI119" i="8" s="1"/>
  <c r="AI111" i="8" s="1"/>
  <c r="AI107" i="8" s="1"/>
  <c r="AI99" i="8" s="1"/>
  <c r="AI95" i="8" s="1"/>
  <c r="AI87" i="8" s="1"/>
  <c r="AI83" i="8" s="1"/>
  <c r="AI75" i="8" s="1"/>
  <c r="AI71" i="8" s="1"/>
  <c r="AI63" i="8" s="1"/>
  <c r="AI59" i="8" s="1"/>
  <c r="AI51" i="8" s="1"/>
  <c r="AI47" i="8" s="1"/>
  <c r="AI39" i="8" s="1"/>
  <c r="AI35" i="8" s="1"/>
  <c r="AI27" i="8" s="1"/>
  <c r="AI23" i="8" s="1"/>
  <c r="AI15" i="8" s="1"/>
  <c r="AI11" i="8" s="1"/>
  <c r="AG249" i="8" s="1"/>
  <c r="AG241" i="8" s="1"/>
  <c r="AG237" i="8" s="1"/>
  <c r="AG229" i="8" s="1"/>
  <c r="AG225" i="8" s="1"/>
  <c r="AG217" i="8" s="1"/>
  <c r="AG213" i="8" s="1"/>
  <c r="AG205" i="8" s="1"/>
  <c r="AG201" i="8" s="1"/>
  <c r="AG193" i="8" s="1"/>
  <c r="AG189" i="8" s="1"/>
  <c r="AG181" i="8" s="1"/>
  <c r="AG177" i="8" s="1"/>
  <c r="AG169" i="8" s="1"/>
  <c r="AG165" i="8" s="1"/>
  <c r="AG157" i="8" s="1"/>
  <c r="AG153" i="8" s="1"/>
  <c r="AG145" i="8" s="1"/>
  <c r="AG141" i="8" s="1"/>
  <c r="AG133" i="8" s="1"/>
  <c r="AG129" i="8" s="1"/>
  <c r="AG121" i="8" s="1"/>
  <c r="AG117" i="8" s="1"/>
  <c r="AG109" i="8" s="1"/>
  <c r="AG105" i="8" s="1"/>
  <c r="AG97" i="8" s="1"/>
  <c r="AG93" i="8" s="1"/>
  <c r="AG85" i="8" s="1"/>
  <c r="AG81" i="8" s="1"/>
  <c r="AG73" i="8" s="1"/>
  <c r="AG69" i="8" s="1"/>
  <c r="AG61" i="8" s="1"/>
  <c r="AG57" i="8" s="1"/>
  <c r="AG49" i="8" s="1"/>
  <c r="AG45" i="8" s="1"/>
  <c r="AG37" i="8" s="1"/>
  <c r="AG33" i="8" s="1"/>
  <c r="AG25" i="8" s="1"/>
  <c r="AG23" i="8" s="1"/>
  <c r="AG21" i="8" s="1"/>
  <c r="AG13" i="8" s="1"/>
  <c r="AG11" i="8" s="1"/>
  <c r="AG9" i="8" s="1"/>
  <c r="AE251" i="8" s="1"/>
  <c r="AE249" i="8" s="1"/>
  <c r="AE247" i="8" s="1"/>
  <c r="AE239" i="8" s="1"/>
  <c r="AE237" i="8" s="1"/>
  <c r="AE235" i="8" s="1"/>
  <c r="AE227" i="8" s="1"/>
  <c r="AE225" i="8" s="1"/>
  <c r="AE223" i="8" s="1"/>
  <c r="AE215" i="8" s="1"/>
  <c r="AE213" i="8" s="1"/>
  <c r="AE211" i="8" s="1"/>
  <c r="AE203" i="8" s="1"/>
  <c r="AE201" i="8" s="1"/>
  <c r="AE199" i="8" s="1"/>
  <c r="AE191" i="8" s="1"/>
  <c r="AE189" i="8" s="1"/>
  <c r="AE187" i="8" s="1"/>
  <c r="AE179" i="8" s="1"/>
  <c r="AE177" i="8" s="1"/>
  <c r="AE175" i="8" s="1"/>
  <c r="AE167" i="8" s="1"/>
  <c r="AE165" i="8" s="1"/>
  <c r="AE163" i="8" s="1"/>
  <c r="AE155" i="8" s="1"/>
  <c r="AE153" i="8" s="1"/>
  <c r="AE151" i="8" s="1"/>
  <c r="AE143" i="8" s="1"/>
  <c r="AE141" i="8" s="1"/>
  <c r="AE139" i="8" s="1"/>
  <c r="AE131" i="8" s="1"/>
  <c r="AE129" i="8" s="1"/>
  <c r="AE127" i="8" s="1"/>
  <c r="AE119" i="8" s="1"/>
  <c r="AE117" i="8" s="1"/>
  <c r="AE115" i="8" s="1"/>
  <c r="AE107" i="8" s="1"/>
  <c r="AE105" i="8" s="1"/>
  <c r="AE103" i="8" s="1"/>
  <c r="AE95" i="8" s="1"/>
  <c r="AE93" i="8" s="1"/>
  <c r="AE91" i="8" s="1"/>
  <c r="AE83" i="8" s="1"/>
  <c r="AE81" i="8" s="1"/>
  <c r="AE79" i="8" s="1"/>
  <c r="AE71" i="8" s="1"/>
  <c r="AE69" i="8" s="1"/>
  <c r="AE67" i="8" s="1"/>
  <c r="AE59" i="8" s="1"/>
  <c r="AE57" i="8" s="1"/>
  <c r="AE55" i="8" s="1"/>
  <c r="AE47" i="8" s="1"/>
  <c r="AE45" i="8" s="1"/>
  <c r="AE43" i="8" s="1"/>
  <c r="AE35" i="8" s="1"/>
  <c r="AE33" i="8" s="1"/>
  <c r="AE31" i="8" s="1"/>
  <c r="AE23" i="8" s="1"/>
  <c r="AE21" i="8" s="1"/>
  <c r="AE19" i="8" s="1"/>
  <c r="AE11" i="8" s="1"/>
  <c r="AE9" i="8" s="1"/>
  <c r="AE7" i="8" s="1"/>
  <c r="AC249" i="8" s="1"/>
  <c r="AC247" i="8" s="1"/>
  <c r="AC245" i="8" s="1"/>
  <c r="AC237" i="8" s="1"/>
  <c r="AC235" i="8" s="1"/>
  <c r="AC233" i="8" s="1"/>
  <c r="AC225" i="8" s="1"/>
  <c r="AC223" i="8" s="1"/>
  <c r="AC221" i="8" s="1"/>
  <c r="AC213" i="8" s="1"/>
  <c r="AC211" i="8" s="1"/>
  <c r="AC209" i="8" s="1"/>
  <c r="AC201" i="8" s="1"/>
  <c r="AC199" i="8" s="1"/>
  <c r="AC197" i="8" s="1"/>
  <c r="AC189" i="8" s="1"/>
  <c r="AC187" i="8" s="1"/>
  <c r="AC185" i="8" s="1"/>
  <c r="AC177" i="8" s="1"/>
  <c r="AC175" i="8" s="1"/>
  <c r="AC173" i="8" s="1"/>
  <c r="AC165" i="8" s="1"/>
  <c r="AC163" i="8" s="1"/>
  <c r="AC161" i="8" s="1"/>
  <c r="AC153" i="8" s="1"/>
  <c r="AC151" i="8" s="1"/>
  <c r="AC149" i="8" s="1"/>
  <c r="AC141" i="8" s="1"/>
  <c r="AC139" i="8" s="1"/>
  <c r="AC137" i="8" s="1"/>
  <c r="AC129" i="8" s="1"/>
  <c r="AC127" i="8" s="1"/>
  <c r="AC125" i="8" s="1"/>
  <c r="AC117" i="8" s="1"/>
  <c r="AC115" i="8" s="1"/>
  <c r="AC113" i="8" s="1"/>
  <c r="AC105" i="8" s="1"/>
  <c r="AC103" i="8" s="1"/>
  <c r="AC101" i="8" s="1"/>
  <c r="AC93" i="8" s="1"/>
  <c r="AC91" i="8" s="1"/>
  <c r="AC89" i="8" s="1"/>
  <c r="AC81" i="8" s="1"/>
  <c r="AC79" i="8" s="1"/>
  <c r="AC77" i="8" s="1"/>
  <c r="AC69" i="8" s="1"/>
  <c r="AC67" i="8" s="1"/>
  <c r="AC65" i="8" s="1"/>
  <c r="AC57" i="8" s="1"/>
  <c r="AC55" i="8" s="1"/>
  <c r="AC53" i="8" s="1"/>
  <c r="AC45" i="8" s="1"/>
  <c r="AC43" i="8" s="1"/>
  <c r="AC41" i="8" s="1"/>
  <c r="AC33" i="8" s="1"/>
  <c r="AC31" i="8" s="1"/>
  <c r="AC29" i="8" s="1"/>
  <c r="AC21" i="8" s="1"/>
  <c r="AC19" i="8" s="1"/>
  <c r="AC17" i="8" s="1"/>
  <c r="AC9" i="8" s="1"/>
  <c r="AC7" i="8" s="1"/>
  <c r="AC5" i="8" s="1"/>
  <c r="AA247" i="8" s="1"/>
  <c r="AA245" i="8" s="1"/>
  <c r="AA243" i="8" s="1"/>
  <c r="AA235" i="8" s="1"/>
  <c r="AA233" i="8" s="1"/>
  <c r="AA231" i="8" s="1"/>
  <c r="AA223" i="8" s="1"/>
  <c r="AA221" i="8" s="1"/>
  <c r="AA219" i="8" s="1"/>
  <c r="AA211" i="8" s="1"/>
  <c r="AA209" i="8" s="1"/>
  <c r="AA207" i="8" s="1"/>
  <c r="AA199" i="8" s="1"/>
  <c r="AA197" i="8" s="1"/>
  <c r="AA195" i="8" s="1"/>
  <c r="AA187" i="8" s="1"/>
  <c r="AA185" i="8" s="1"/>
  <c r="AA183" i="8" s="1"/>
  <c r="AA175" i="8" s="1"/>
  <c r="AA173" i="8" s="1"/>
  <c r="AA171" i="8" s="1"/>
  <c r="AA163" i="8" s="1"/>
  <c r="AA161" i="8" s="1"/>
  <c r="AA159" i="8" s="1"/>
  <c r="AA151" i="8" s="1"/>
  <c r="AA149" i="8" s="1"/>
  <c r="AA147" i="8" s="1"/>
  <c r="AA139" i="8" s="1"/>
  <c r="AA137" i="8" s="1"/>
  <c r="AA135" i="8" s="1"/>
  <c r="AA127" i="8" s="1"/>
  <c r="AA125" i="8" s="1"/>
  <c r="AA123" i="8" s="1"/>
  <c r="AA115" i="8" s="1"/>
  <c r="AA113" i="8" s="1"/>
  <c r="AA111" i="8" s="1"/>
  <c r="AA103" i="8" s="1"/>
  <c r="AA101" i="8" s="1"/>
  <c r="AA99" i="8" s="1"/>
  <c r="AA91" i="8" s="1"/>
  <c r="AA89" i="8" s="1"/>
  <c r="AA87" i="8" s="1"/>
  <c r="AA79" i="8" s="1"/>
  <c r="AA77" i="8" s="1"/>
  <c r="AA75" i="8" s="1"/>
  <c r="AA67" i="8" s="1"/>
  <c r="AA65" i="8" s="1"/>
  <c r="AA63" i="8" s="1"/>
  <c r="AA55" i="8" s="1"/>
  <c r="AA53" i="8" s="1"/>
  <c r="AA51" i="8" s="1"/>
  <c r="AA43" i="8" s="1"/>
  <c r="AA41" i="8" s="1"/>
  <c r="AA39" i="8" s="1"/>
  <c r="AA31" i="8" s="1"/>
  <c r="AA29" i="8" s="1"/>
  <c r="AA27" i="8" s="1"/>
  <c r="AA19" i="8" s="1"/>
  <c r="AA17" i="8" s="1"/>
  <c r="AA15" i="8" s="1"/>
  <c r="AA7" i="8" s="1"/>
  <c r="AA5" i="8" s="1"/>
  <c r="Y244" i="8" s="1"/>
  <c r="Y242" i="8" s="1"/>
  <c r="Y240" i="8" s="1"/>
  <c r="Y232" i="8" s="1"/>
  <c r="Y230" i="8" s="1"/>
  <c r="Y228" i="8" s="1"/>
  <c r="Y220" i="8" s="1"/>
  <c r="Y218" i="8" s="1"/>
  <c r="Y216" i="8" s="1"/>
  <c r="Y208" i="8" s="1"/>
  <c r="Y206" i="8" s="1"/>
  <c r="Y204" i="8" s="1"/>
  <c r="Y196" i="8" s="1"/>
  <c r="Y194" i="8" s="1"/>
  <c r="Y192" i="8" s="1"/>
  <c r="Y184" i="8" s="1"/>
  <c r="Y182" i="8" s="1"/>
  <c r="Y180" i="8" s="1"/>
  <c r="Y172" i="8" s="1"/>
  <c r="Y170" i="8" s="1"/>
  <c r="Y168" i="8" s="1"/>
  <c r="Y160" i="8" s="1"/>
  <c r="Y158" i="8" s="1"/>
  <c r="Y156" i="8" s="1"/>
  <c r="Y148" i="8" s="1"/>
  <c r="Y146" i="8" s="1"/>
  <c r="Y144" i="8" s="1"/>
  <c r="Y136" i="8" s="1"/>
  <c r="Y134" i="8" s="1"/>
  <c r="Y132" i="8" s="1"/>
  <c r="Y124" i="8" s="1"/>
  <c r="Y122" i="8" s="1"/>
  <c r="Y120" i="8" s="1"/>
  <c r="Y112" i="8" s="1"/>
  <c r="Y110" i="8" s="1"/>
  <c r="Y108" i="8" s="1"/>
  <c r="Y100" i="8" s="1"/>
  <c r="Y98" i="8" s="1"/>
  <c r="Y96" i="8" s="1"/>
  <c r="Y88" i="8" s="1"/>
  <c r="Y86" i="8" s="1"/>
  <c r="Y84" i="8" s="1"/>
  <c r="Y76" i="8" s="1"/>
  <c r="Y74" i="8" s="1"/>
  <c r="Y72" i="8" s="1"/>
  <c r="Y64" i="8" s="1"/>
  <c r="Y62" i="8" s="1"/>
  <c r="Y60" i="8" s="1"/>
  <c r="Y52" i="8" s="1"/>
  <c r="Y50" i="8" s="1"/>
  <c r="Y48" i="8" s="1"/>
  <c r="Y40" i="8" s="1"/>
  <c r="Y38" i="8" s="1"/>
  <c r="Y36" i="8" s="1"/>
  <c r="Y28" i="8" s="1"/>
  <c r="Y26" i="8" s="1"/>
  <c r="Y24" i="8" s="1"/>
  <c r="Y16" i="8" s="1"/>
  <c r="Y14" i="8" s="1"/>
  <c r="Y12" i="8" s="1"/>
  <c r="Y4" i="8" s="1"/>
  <c r="W250" i="8" s="1"/>
  <c r="W242" i="8" s="1"/>
  <c r="W240" i="8" s="1"/>
  <c r="W238" i="8" s="1"/>
  <c r="W230" i="8" s="1"/>
  <c r="W228" i="8" s="1"/>
  <c r="W226" i="8" s="1"/>
  <c r="W218" i="8" s="1"/>
  <c r="W216" i="8" s="1"/>
  <c r="W214" i="8" s="1"/>
  <c r="W206" i="8" s="1"/>
  <c r="W204" i="8" s="1"/>
  <c r="W202" i="8" s="1"/>
  <c r="W194" i="8" s="1"/>
  <c r="W192" i="8" s="1"/>
  <c r="W190" i="8" s="1"/>
  <c r="W182" i="8" s="1"/>
  <c r="W180" i="8" s="1"/>
  <c r="W178" i="8" s="1"/>
  <c r="W170" i="8" s="1"/>
  <c r="W168" i="8" s="1"/>
  <c r="W166" i="8" s="1"/>
  <c r="W158" i="8" s="1"/>
  <c r="W156" i="8" s="1"/>
  <c r="W154" i="8" s="1"/>
  <c r="W146" i="8" s="1"/>
  <c r="W144" i="8" s="1"/>
  <c r="W142" i="8" s="1"/>
  <c r="W134" i="8" s="1"/>
  <c r="W132" i="8" s="1"/>
  <c r="W130" i="8" s="1"/>
  <c r="W122" i="8" s="1"/>
  <c r="W120" i="8" s="1"/>
  <c r="W118" i="8" s="1"/>
  <c r="W110" i="8" s="1"/>
  <c r="W108" i="8" s="1"/>
  <c r="W106" i="8" s="1"/>
  <c r="W98" i="8" s="1"/>
  <c r="W96" i="8" s="1"/>
  <c r="W94" i="8" s="1"/>
  <c r="W86" i="8" s="1"/>
  <c r="W84" i="8" s="1"/>
  <c r="W82" i="8" s="1"/>
  <c r="W74" i="8" s="1"/>
  <c r="W72" i="8" s="1"/>
  <c r="W70" i="8" s="1"/>
  <c r="W62" i="8" s="1"/>
  <c r="W60" i="8" s="1"/>
  <c r="W58" i="8" s="1"/>
  <c r="W50" i="8" s="1"/>
  <c r="W48" i="8" s="1"/>
  <c r="W46" i="8" s="1"/>
  <c r="W38" i="8" s="1"/>
  <c r="W36" i="8" s="1"/>
  <c r="W34" i="8" s="1"/>
  <c r="W26" i="8" s="1"/>
  <c r="W24" i="8" s="1"/>
  <c r="W22" i="8" s="1"/>
  <c r="W14" i="8" s="1"/>
  <c r="W12" i="8" s="1"/>
  <c r="W10" i="8" s="1"/>
  <c r="U250" i="8" s="1"/>
  <c r="U248" i="8" s="1"/>
  <c r="U240" i="8" s="1"/>
  <c r="U238" i="8" s="1"/>
  <c r="U236" i="8" s="1"/>
  <c r="U228" i="8" s="1"/>
  <c r="U226" i="8" s="1"/>
  <c r="U224" i="8" s="1"/>
  <c r="U216" i="8" s="1"/>
  <c r="U214" i="8" s="1"/>
  <c r="U212" i="8" s="1"/>
  <c r="U204" i="8" s="1"/>
  <c r="U202" i="8" s="1"/>
  <c r="U200" i="8" s="1"/>
  <c r="U192" i="8" s="1"/>
  <c r="U190" i="8" s="1"/>
  <c r="U188" i="8" s="1"/>
  <c r="U180" i="8" s="1"/>
  <c r="U178" i="8" s="1"/>
  <c r="U176" i="8" s="1"/>
  <c r="U168" i="8" s="1"/>
  <c r="U166" i="8" s="1"/>
  <c r="U164" i="8" s="1"/>
  <c r="U156" i="8" s="1"/>
  <c r="U154" i="8" s="1"/>
  <c r="U152" i="8" s="1"/>
  <c r="U144" i="8" s="1"/>
  <c r="U142" i="8" s="1"/>
  <c r="U140" i="8" s="1"/>
  <c r="U132" i="8" s="1"/>
  <c r="U130" i="8" s="1"/>
  <c r="U128" i="8" s="1"/>
  <c r="U120" i="8" s="1"/>
  <c r="U118" i="8" s="1"/>
  <c r="U116" i="8" s="1"/>
  <c r="U108" i="8" s="1"/>
  <c r="U106" i="8" s="1"/>
  <c r="U104" i="8" s="1"/>
  <c r="U96" i="8" s="1"/>
  <c r="U94" i="8" s="1"/>
  <c r="U92" i="8" s="1"/>
  <c r="U84" i="8" s="1"/>
  <c r="U82" i="8" s="1"/>
  <c r="U80" i="8" s="1"/>
  <c r="U72" i="8" s="1"/>
  <c r="U70" i="8" s="1"/>
  <c r="U68" i="8" s="1"/>
  <c r="U60" i="8" s="1"/>
  <c r="U58" i="8" s="1"/>
  <c r="U56" i="8" s="1"/>
  <c r="U48" i="8" s="1"/>
  <c r="U46" i="8" s="1"/>
  <c r="U44" i="8" s="1"/>
  <c r="U36" i="8" s="1"/>
  <c r="U34" i="8" s="1"/>
  <c r="U32" i="8" s="1"/>
  <c r="U24" i="8" s="1"/>
  <c r="U22" i="8" s="1"/>
  <c r="U20" i="8" s="1"/>
  <c r="U12" i="8" s="1"/>
  <c r="U10" i="8" s="1"/>
  <c r="U8" i="8" s="1"/>
  <c r="S250" i="8" s="1"/>
  <c r="S248" i="8" s="1"/>
  <c r="S246" i="8" s="1"/>
  <c r="S238" i="8" s="1"/>
  <c r="S236" i="8" s="1"/>
  <c r="S234" i="8" s="1"/>
  <c r="S226" i="8" s="1"/>
  <c r="S224" i="8" s="1"/>
  <c r="S222" i="8" s="1"/>
  <c r="S214" i="8" s="1"/>
  <c r="S212" i="8" s="1"/>
  <c r="S202" i="8" s="1"/>
  <c r="S200" i="8" s="1"/>
  <c r="S190" i="8" s="1"/>
  <c r="S188" i="8" s="1"/>
  <c r="S178" i="8" s="1"/>
  <c r="S176" i="8" s="1"/>
  <c r="S166" i="8" s="1"/>
  <c r="S164" i="8" s="1"/>
  <c r="S154" i="8" s="1"/>
  <c r="S152" i="8" s="1"/>
  <c r="S142" i="8" s="1"/>
  <c r="S140" i="8" s="1"/>
  <c r="S130" i="8" s="1"/>
  <c r="S128" i="8" s="1"/>
  <c r="S118" i="8" s="1"/>
  <c r="S116" i="8" s="1"/>
  <c r="S106" i="8" s="1"/>
  <c r="S104" i="8" s="1"/>
  <c r="S94" i="8" s="1"/>
  <c r="S92" i="8" s="1"/>
  <c r="S82" i="8" s="1"/>
  <c r="S80" i="8" s="1"/>
  <c r="S70" i="8" s="1"/>
  <c r="S68" i="8" s="1"/>
  <c r="S58" i="8" s="1"/>
  <c r="S56" i="8" s="1"/>
  <c r="S46" i="8" s="1"/>
  <c r="S44" i="8" s="1"/>
  <c r="S34" i="8" s="1"/>
  <c r="S32" i="8" s="1"/>
  <c r="S22" i="8" s="1"/>
  <c r="S20" i="8" s="1"/>
  <c r="S10" i="8" s="1"/>
  <c r="S8" i="8" s="1"/>
  <c r="Q248" i="8" s="1"/>
  <c r="Q246" i="8" s="1"/>
  <c r="Q236" i="8" s="1"/>
  <c r="Q234" i="8" s="1"/>
  <c r="Q224" i="8" s="1"/>
  <c r="Q222" i="8" s="1"/>
  <c r="Q212" i="8" s="1"/>
  <c r="Q210" i="8" s="1"/>
  <c r="Q200" i="8" s="1"/>
  <c r="Q198" i="8" s="1"/>
  <c r="Q188" i="8" s="1"/>
  <c r="Q186" i="8" s="1"/>
  <c r="Q176" i="8" s="1"/>
  <c r="Q174" i="8" s="1"/>
  <c r="Q164" i="8" s="1"/>
  <c r="Q162" i="8" s="1"/>
  <c r="Q152" i="8" s="1"/>
  <c r="Q150" i="8" s="1"/>
  <c r="Q140" i="8" s="1"/>
  <c r="Q138" i="8" s="1"/>
  <c r="Q128" i="8" s="1"/>
  <c r="Q126" i="8" s="1"/>
  <c r="Q116" i="8" s="1"/>
  <c r="Q114" i="8" s="1"/>
  <c r="Q104" i="8" s="1"/>
  <c r="Q102" i="8" s="1"/>
  <c r="Q92" i="8" s="1"/>
  <c r="Q90" i="8" s="1"/>
  <c r="Q80" i="8" s="1"/>
  <c r="Q78" i="8" s="1"/>
  <c r="Q68" i="8" s="1"/>
  <c r="Q66" i="8" s="1"/>
  <c r="Q56" i="8" s="1"/>
  <c r="Q54" i="8" s="1"/>
  <c r="Q44" i="8" s="1"/>
  <c r="Q42" i="8" s="1"/>
  <c r="Q32" i="8" s="1"/>
  <c r="Q30" i="8" s="1"/>
  <c r="Q20" i="8" s="1"/>
  <c r="Q18" i="8" s="1"/>
  <c r="Q8" i="8" s="1"/>
  <c r="Q6" i="8" s="1"/>
  <c r="O246" i="8" s="1"/>
  <c r="O244" i="8" s="1"/>
  <c r="O234" i="8" s="1"/>
  <c r="O232" i="8" s="1"/>
  <c r="O222" i="8" s="1"/>
  <c r="O220" i="8" s="1"/>
  <c r="O210" i="8" s="1"/>
  <c r="O208" i="8" s="1"/>
  <c r="O198" i="8" s="1"/>
  <c r="O196" i="8" s="1"/>
  <c r="O186" i="8" s="1"/>
  <c r="O184" i="8" s="1"/>
  <c r="O174" i="8" s="1"/>
  <c r="O172" i="8" s="1"/>
  <c r="O162" i="8" s="1"/>
  <c r="O160" i="8" s="1"/>
  <c r="O150" i="8" s="1"/>
  <c r="O148" i="8" s="1"/>
  <c r="O138" i="8" s="1"/>
  <c r="O136" i="8" s="1"/>
  <c r="O126" i="8" s="1"/>
  <c r="O124" i="8" s="1"/>
  <c r="O114" i="8" s="1"/>
  <c r="O112" i="8" s="1"/>
  <c r="O102" i="8" s="1"/>
  <c r="O100" i="8" s="1"/>
  <c r="O90" i="8" s="1"/>
  <c r="O88" i="8" s="1"/>
  <c r="O78" i="8" s="1"/>
  <c r="O76" i="8" s="1"/>
  <c r="O66" i="8" s="1"/>
  <c r="O64" i="8" s="1"/>
  <c r="O54" i="8" s="1"/>
  <c r="O52" i="8" s="1"/>
  <c r="O42" i="8" s="1"/>
  <c r="O40" i="8" s="1"/>
  <c r="O30" i="8" s="1"/>
  <c r="O28" i="8" s="1"/>
  <c r="O18" i="8" s="1"/>
  <c r="O16" i="8" s="1"/>
  <c r="O6" i="8" s="1"/>
  <c r="O4" i="8" s="1"/>
  <c r="M244" i="8" s="1"/>
  <c r="M242" i="8" s="1"/>
  <c r="M232" i="8" s="1"/>
  <c r="M230" i="8" s="1"/>
  <c r="M220" i="8" s="1"/>
  <c r="M218" i="8" s="1"/>
  <c r="M208" i="8" s="1"/>
  <c r="M206" i="8" s="1"/>
  <c r="M196" i="8" s="1"/>
  <c r="M194" i="8" s="1"/>
  <c r="M184" i="8" s="1"/>
  <c r="M182" i="8" s="1"/>
  <c r="M172" i="8" s="1"/>
  <c r="M170" i="8" s="1"/>
  <c r="M160" i="8" s="1"/>
  <c r="M158" i="8" s="1"/>
  <c r="M148" i="8" s="1"/>
  <c r="M146" i="8" s="1"/>
  <c r="M136" i="8" s="1"/>
  <c r="M134" i="8" s="1"/>
  <c r="M124" i="8" s="1"/>
  <c r="M122" i="8" s="1"/>
  <c r="M112" i="8" s="1"/>
  <c r="M110" i="8" s="1"/>
  <c r="M100" i="8" s="1"/>
  <c r="M98" i="8" s="1"/>
  <c r="M88" i="8" s="1"/>
  <c r="M86" i="8" s="1"/>
  <c r="M76" i="8" s="1"/>
  <c r="M74" i="8" s="1"/>
  <c r="M64" i="8" s="1"/>
  <c r="M62" i="8" s="1"/>
  <c r="M52" i="8" s="1"/>
  <c r="M50" i="8" s="1"/>
  <c r="M40" i="8" s="1"/>
  <c r="M38" i="8" s="1"/>
  <c r="M28" i="8" s="1"/>
  <c r="M26" i="8" s="1"/>
  <c r="M16" i="8" s="1"/>
  <c r="M14" i="8" s="1"/>
  <c r="M4" i="8" s="1"/>
  <c r="K251" i="8" s="1"/>
  <c r="K241" i="8" s="1"/>
  <c r="K239" i="8" s="1"/>
  <c r="K229" i="8" s="1"/>
  <c r="K227" i="8" s="1"/>
  <c r="K217" i="8" s="1"/>
  <c r="K215" i="8" s="1"/>
  <c r="K205" i="8" s="1"/>
  <c r="K203" i="8" s="1"/>
  <c r="K193" i="8" s="1"/>
  <c r="K191" i="8" s="1"/>
  <c r="K181" i="8" s="1"/>
  <c r="K179" i="8" s="1"/>
  <c r="K169" i="8" s="1"/>
  <c r="K167" i="8" s="1"/>
  <c r="K157" i="8" s="1"/>
  <c r="K155" i="8" s="1"/>
  <c r="K145" i="8" s="1"/>
  <c r="K143" i="8" s="1"/>
  <c r="K133" i="8" s="1"/>
  <c r="K131" i="8" s="1"/>
  <c r="K121" i="8" s="1"/>
  <c r="K119" i="8" s="1"/>
  <c r="K109" i="8" s="1"/>
  <c r="K107" i="8" s="1"/>
  <c r="K97" i="8" s="1"/>
  <c r="K95" i="8" s="1"/>
  <c r="K85" i="8" s="1"/>
  <c r="K83" i="8" s="1"/>
  <c r="K73" i="8" s="1"/>
  <c r="K71" i="8" s="1"/>
  <c r="K61" i="8" s="1"/>
  <c r="K59" i="8" s="1"/>
  <c r="K49" i="8" s="1"/>
  <c r="K47" i="8" s="1"/>
  <c r="K37" i="8" s="1"/>
  <c r="K35" i="8" s="1"/>
  <c r="K25" i="8" s="1"/>
  <c r="K23" i="8" s="1"/>
  <c r="K13" i="8" s="1"/>
  <c r="K11" i="8" s="1"/>
  <c r="I250" i="8" s="1"/>
  <c r="I248" i="8" s="1"/>
  <c r="I238" i="8" s="1"/>
  <c r="I236" i="8" s="1"/>
  <c r="I226" i="8" s="1"/>
  <c r="I224" i="8" s="1"/>
  <c r="I214" i="8" s="1"/>
  <c r="I212" i="8" s="1"/>
  <c r="I202" i="8" s="1"/>
  <c r="I200" i="8" s="1"/>
  <c r="I190" i="8" s="1"/>
  <c r="I188" i="8" s="1"/>
  <c r="I178" i="8" s="1"/>
  <c r="I176" i="8" s="1"/>
  <c r="I166" i="8" s="1"/>
  <c r="I164" i="8" s="1"/>
  <c r="I154" i="8" s="1"/>
  <c r="I152" i="8" s="1"/>
  <c r="I142" i="8" s="1"/>
  <c r="I140" i="8" s="1"/>
  <c r="I130" i="8" s="1"/>
  <c r="I128" i="8" s="1"/>
  <c r="I118" i="8" s="1"/>
  <c r="I116" i="8" s="1"/>
  <c r="I106" i="8" s="1"/>
  <c r="I104" i="8" s="1"/>
  <c r="I94" i="8" s="1"/>
  <c r="I92" i="8" s="1"/>
  <c r="I82" i="8" s="1"/>
  <c r="I80" i="8" s="1"/>
  <c r="I70" i="8" s="1"/>
  <c r="I68" i="8" s="1"/>
  <c r="I58" i="8" s="1"/>
  <c r="I56" i="8" s="1"/>
  <c r="I46" i="8" s="1"/>
  <c r="I44" i="8" s="1"/>
  <c r="I34" i="8" s="1"/>
  <c r="I32" i="8" s="1"/>
  <c r="I22" i="8" s="1"/>
  <c r="I20" i="8" s="1"/>
  <c r="I10" i="8" s="1"/>
  <c r="I8" i="8" s="1"/>
  <c r="G247" i="8" s="1"/>
  <c r="G245" i="8" s="1"/>
  <c r="G235" i="8" s="1"/>
  <c r="G233" i="8" s="1"/>
  <c r="G223" i="8" s="1"/>
  <c r="G221" i="8" s="1"/>
  <c r="G211" i="8" s="1"/>
  <c r="G209" i="8" s="1"/>
  <c r="G199" i="8" s="1"/>
  <c r="G197" i="8" s="1"/>
  <c r="G187" i="8" s="1"/>
  <c r="G185" i="8" s="1"/>
  <c r="G175" i="8" s="1"/>
  <c r="G173" i="8" s="1"/>
  <c r="G163" i="8" s="1"/>
  <c r="G161" i="8" s="1"/>
  <c r="G151" i="8" s="1"/>
  <c r="G149" i="8" s="1"/>
  <c r="G139" i="8" s="1"/>
  <c r="G137" i="8" s="1"/>
  <c r="G127" i="8" s="1"/>
  <c r="G125" i="8" s="1"/>
  <c r="G115" i="8" s="1"/>
  <c r="G113" i="8" s="1"/>
  <c r="G103" i="8" s="1"/>
  <c r="G101" i="8" s="1"/>
  <c r="G91" i="8" s="1"/>
  <c r="G89" i="8" s="1"/>
  <c r="G79" i="8" s="1"/>
  <c r="G77" i="8" s="1"/>
  <c r="G67" i="8" s="1"/>
  <c r="G65" i="8" s="1"/>
  <c r="G55" i="8" s="1"/>
  <c r="G53" i="8" s="1"/>
  <c r="G43" i="8" s="1"/>
  <c r="G41" i="8" s="1"/>
  <c r="G31" i="8" s="1"/>
  <c r="G29" i="8" s="1"/>
  <c r="G19" i="8" s="1"/>
  <c r="G17" i="8" s="1"/>
  <c r="G7" i="8" s="1"/>
  <c r="G5" i="8" s="1"/>
  <c r="E244" i="8" s="1"/>
  <c r="E242" i="8" s="1"/>
  <c r="E232" i="8" s="1"/>
  <c r="E230" i="8" s="1"/>
  <c r="E220" i="8" s="1"/>
  <c r="E218" i="8" s="1"/>
  <c r="E208" i="8" s="1"/>
  <c r="E206" i="8" s="1"/>
  <c r="E196" i="8" s="1"/>
  <c r="E194" i="8" s="1"/>
  <c r="E184" i="8" s="1"/>
  <c r="E182" i="8" s="1"/>
  <c r="E172" i="8" s="1"/>
  <c r="E170" i="8" s="1"/>
  <c r="E160" i="8" s="1"/>
  <c r="E158" i="8" s="1"/>
  <c r="E148" i="8" s="1"/>
  <c r="E146" i="8" s="1"/>
  <c r="E136" i="8" s="1"/>
  <c r="E134" i="8" s="1"/>
  <c r="E124" i="8" s="1"/>
  <c r="E122" i="8" s="1"/>
  <c r="E112" i="8" s="1"/>
  <c r="E110" i="8" s="1"/>
  <c r="E100" i="8" s="1"/>
  <c r="E98" i="8" s="1"/>
  <c r="E88" i="8" s="1"/>
  <c r="E86" i="8" s="1"/>
  <c r="E76" i="8" s="1"/>
  <c r="E74" i="8" s="1"/>
  <c r="E64" i="8" s="1"/>
  <c r="E62" i="8" s="1"/>
  <c r="E52" i="8" s="1"/>
  <c r="E50" i="8" s="1"/>
  <c r="E40" i="8" s="1"/>
  <c r="E38" i="8" s="1"/>
  <c r="E28" i="8" s="1"/>
  <c r="E26" i="8" s="1"/>
  <c r="E16" i="8" s="1"/>
  <c r="E14" i="8" s="1"/>
  <c r="E4" i="8" s="1"/>
  <c r="C250" i="8" s="1"/>
  <c r="C246" i="8" s="1"/>
  <c r="C244" i="8" s="1"/>
  <c r="C240" i="8" s="1"/>
  <c r="C238" i="8" s="1"/>
  <c r="C234" i="8" s="1"/>
  <c r="C232" i="8" s="1"/>
  <c r="C228" i="8" s="1"/>
  <c r="C226" i="8" s="1"/>
  <c r="C222" i="8" s="1"/>
  <c r="C220" i="8" s="1"/>
  <c r="C216" i="8" s="1"/>
  <c r="C214" i="8" s="1"/>
  <c r="C210" i="8" s="1"/>
  <c r="C208" i="8" s="1"/>
  <c r="C204" i="8" s="1"/>
  <c r="C202" i="8" s="1"/>
  <c r="C198" i="8" s="1"/>
  <c r="C196" i="8" s="1"/>
  <c r="C192" i="8" s="1"/>
  <c r="C190" i="8" s="1"/>
  <c r="C186" i="8" s="1"/>
  <c r="C184" i="8" s="1"/>
  <c r="C180" i="8" s="1"/>
  <c r="C178" i="8" s="1"/>
  <c r="C174" i="8" s="1"/>
  <c r="C172" i="8" s="1"/>
  <c r="C168" i="8" s="1"/>
  <c r="C166" i="8" s="1"/>
  <c r="C162" i="8" s="1"/>
  <c r="C160" i="8" s="1"/>
  <c r="C156" i="8" s="1"/>
  <c r="C154" i="8" s="1"/>
  <c r="C150" i="8" s="1"/>
  <c r="C148" i="8" s="1"/>
  <c r="C144" i="8" s="1"/>
  <c r="C142" i="8" s="1"/>
  <c r="C138" i="8" s="1"/>
  <c r="C136" i="8" s="1"/>
  <c r="C132" i="8" s="1"/>
  <c r="C130" i="8" s="1"/>
  <c r="C126" i="8" s="1"/>
  <c r="C124" i="8" s="1"/>
  <c r="C120" i="8" s="1"/>
  <c r="C118" i="8" s="1"/>
  <c r="C114" i="8" s="1"/>
  <c r="C112" i="8" s="1"/>
  <c r="C108" i="8" s="1"/>
  <c r="C106" i="8" s="1"/>
  <c r="C102" i="8" s="1"/>
  <c r="C100" i="8" s="1"/>
  <c r="C96" i="8" s="1"/>
  <c r="C94" i="8" s="1"/>
  <c r="C90" i="8" s="1"/>
  <c r="C88" i="8" s="1"/>
  <c r="C84" i="8" s="1"/>
  <c r="C82" i="8" s="1"/>
  <c r="C78" i="8" s="1"/>
  <c r="C76" i="8" s="1"/>
  <c r="C72" i="8" s="1"/>
  <c r="C70" i="8" s="1"/>
  <c r="C66" i="8" s="1"/>
  <c r="C64" i="8" s="1"/>
  <c r="C60" i="8" s="1"/>
  <c r="C58" i="8" s="1"/>
  <c r="C54" i="8" s="1"/>
  <c r="C52" i="8" s="1"/>
  <c r="C48" i="8" s="1"/>
  <c r="C46" i="8" s="1"/>
  <c r="C42" i="8" s="1"/>
  <c r="C40" i="8" s="1"/>
  <c r="C36" i="8" s="1"/>
  <c r="C34" i="8" s="1"/>
  <c r="C30" i="8" s="1"/>
  <c r="C28" i="8" s="1"/>
  <c r="C24" i="8" s="1"/>
  <c r="C22" i="8" s="1"/>
  <c r="C18" i="8" s="1"/>
  <c r="C16" i="8" s="1"/>
  <c r="C12" i="8" s="1"/>
  <c r="C10" i="8" s="1"/>
  <c r="C6" i="8" s="1"/>
  <c r="C4" i="8" s="1"/>
  <c r="G4" i="8"/>
  <c r="G16" i="8"/>
  <c r="G28" i="8"/>
  <c r="G40" i="8"/>
  <c r="G52" i="8"/>
  <c r="G64" i="8"/>
  <c r="G76" i="8"/>
  <c r="G88" i="8"/>
  <c r="G100" i="8"/>
  <c r="G112" i="8"/>
  <c r="G124" i="8"/>
  <c r="G136" i="8"/>
  <c r="G148" i="8"/>
  <c r="G160" i="8"/>
  <c r="G172" i="8"/>
  <c r="G184" i="8"/>
  <c r="G196" i="8"/>
  <c r="G208" i="8"/>
  <c r="G220" i="8"/>
  <c r="G232" i="8"/>
  <c r="G244" i="8"/>
  <c r="I6" i="8"/>
  <c r="I18" i="8"/>
  <c r="I30" i="8"/>
  <c r="I42" i="8"/>
  <c r="I54" i="8"/>
  <c r="I66" i="8"/>
  <c r="I78" i="8"/>
  <c r="I90" i="8"/>
  <c r="I102" i="8"/>
  <c r="I114" i="8"/>
  <c r="I126" i="8"/>
  <c r="I138" i="8"/>
  <c r="I150" i="8"/>
  <c r="I162" i="8"/>
  <c r="I174" i="8"/>
  <c r="I186" i="8"/>
  <c r="I198" i="8"/>
  <c r="I210" i="8"/>
  <c r="I222" i="8"/>
  <c r="I234" i="8"/>
  <c r="I246" i="8"/>
  <c r="K8" i="8"/>
  <c r="K20" i="8"/>
  <c r="K32" i="8"/>
  <c r="K44" i="8"/>
  <c r="K56" i="8"/>
  <c r="K68" i="8"/>
  <c r="K80" i="8"/>
  <c r="K92" i="8"/>
  <c r="K104" i="8"/>
  <c r="K116" i="8"/>
  <c r="K128" i="8"/>
  <c r="K140" i="8"/>
  <c r="K152" i="8"/>
  <c r="K164" i="8"/>
  <c r="K176" i="8"/>
  <c r="K188" i="8"/>
  <c r="K200" i="8"/>
  <c r="K212" i="8"/>
  <c r="K224" i="8"/>
  <c r="K236" i="8"/>
  <c r="K248" i="8"/>
  <c r="M10" i="8"/>
  <c r="M22" i="8"/>
  <c r="M34" i="8"/>
  <c r="M46" i="8"/>
  <c r="M58" i="8"/>
  <c r="M70" i="8"/>
  <c r="M82" i="8"/>
  <c r="M94" i="8"/>
  <c r="M106" i="8"/>
  <c r="M118" i="8"/>
  <c r="M130" i="8"/>
  <c r="M142" i="8"/>
  <c r="M154" i="8"/>
  <c r="M166" i="8"/>
  <c r="M178" i="8"/>
  <c r="M190" i="8"/>
  <c r="M202" i="8"/>
  <c r="M214" i="8"/>
  <c r="M226" i="8"/>
  <c r="M238" i="8"/>
  <c r="M250" i="8"/>
  <c r="O12" i="8"/>
  <c r="O24" i="8"/>
  <c r="O36" i="8"/>
  <c r="O48" i="8"/>
  <c r="O60" i="8"/>
  <c r="O72" i="8"/>
  <c r="O84" i="8"/>
  <c r="O96" i="8"/>
  <c r="O108" i="8"/>
  <c r="O120" i="8"/>
  <c r="O132" i="8"/>
  <c r="O144" i="8"/>
  <c r="O156" i="8"/>
  <c r="O168" i="8"/>
  <c r="O180" i="8"/>
  <c r="O192" i="8"/>
  <c r="O204" i="8"/>
  <c r="O216" i="8"/>
  <c r="O228" i="8"/>
  <c r="O240" i="8"/>
  <c r="Q14" i="8"/>
  <c r="Q26" i="8"/>
  <c r="Q38" i="8"/>
  <c r="Q50" i="8"/>
  <c r="Q62" i="8"/>
  <c r="Q74" i="8"/>
  <c r="Q86" i="8"/>
  <c r="Q98" i="8"/>
  <c r="Q110" i="8"/>
  <c r="Q122" i="8"/>
  <c r="Q134" i="8"/>
  <c r="Q146" i="8"/>
  <c r="Q158" i="8"/>
  <c r="Q170" i="8"/>
  <c r="Q182" i="8"/>
  <c r="Q194" i="8"/>
  <c r="Q206" i="8"/>
  <c r="Q218" i="8"/>
  <c r="Q230" i="8"/>
  <c r="Q242" i="8"/>
  <c r="S4" i="8"/>
  <c r="S16" i="8"/>
  <c r="S28" i="8"/>
  <c r="S40" i="8"/>
  <c r="S52" i="8"/>
  <c r="S64" i="8"/>
  <c r="S76" i="8"/>
  <c r="S88" i="8"/>
  <c r="S100" i="8"/>
  <c r="S112" i="8"/>
  <c r="S124" i="8"/>
  <c r="S136" i="8"/>
  <c r="S148" i="8"/>
  <c r="S160" i="8"/>
  <c r="S172" i="8"/>
  <c r="S184" i="8"/>
  <c r="S196" i="8"/>
  <c r="S208" i="8"/>
  <c r="S220" i="8"/>
  <c r="S232" i="8"/>
  <c r="S244" i="8"/>
  <c r="U6" i="8"/>
  <c r="U18" i="8"/>
  <c r="U30" i="8"/>
  <c r="U42" i="8"/>
  <c r="U54" i="8"/>
  <c r="U66" i="8"/>
  <c r="U78" i="8"/>
  <c r="U90" i="8"/>
  <c r="U102" i="8"/>
  <c r="U114" i="8"/>
  <c r="U126" i="8"/>
  <c r="U138" i="8"/>
  <c r="U150" i="8"/>
  <c r="U162" i="8"/>
  <c r="U174" i="8"/>
  <c r="U186" i="8"/>
  <c r="U198" i="8"/>
  <c r="U210" i="8"/>
  <c r="U222" i="8"/>
  <c r="U234" i="8"/>
  <c r="U246" i="8"/>
  <c r="W8" i="8"/>
  <c r="W20" i="8"/>
  <c r="W32" i="8"/>
  <c r="W44" i="8"/>
  <c r="W56" i="8"/>
  <c r="W68" i="8"/>
  <c r="W80" i="8"/>
  <c r="W92" i="8"/>
  <c r="W104" i="8"/>
  <c r="W116" i="8"/>
  <c r="W128" i="8"/>
  <c r="W140" i="8"/>
  <c r="W152" i="8"/>
  <c r="W164" i="8"/>
  <c r="W176" i="8"/>
  <c r="W188" i="8"/>
  <c r="W200" i="8"/>
  <c r="W212" i="8"/>
  <c r="W224" i="8"/>
  <c r="W236" i="8"/>
  <c r="W248" i="8"/>
  <c r="Y10" i="8"/>
  <c r="Y22" i="8"/>
  <c r="Y34" i="8"/>
  <c r="Y46" i="8"/>
  <c r="Y58" i="8"/>
  <c r="Y70" i="8"/>
  <c r="Y82" i="8"/>
  <c r="Y94" i="8"/>
  <c r="Y106" i="8"/>
  <c r="Y118" i="8"/>
  <c r="Y130" i="8"/>
  <c r="Y142" i="8"/>
  <c r="Y154" i="8"/>
  <c r="Y166" i="8"/>
  <c r="Y178" i="8"/>
  <c r="Y190" i="8"/>
  <c r="Y202" i="8"/>
  <c r="Y214" i="8"/>
  <c r="Y226" i="8"/>
  <c r="Y238" i="8"/>
  <c r="Y250" i="8"/>
  <c r="AA12" i="8"/>
  <c r="AA24" i="8"/>
  <c r="AA36" i="8"/>
  <c r="AA48" i="8"/>
  <c r="AA60" i="8"/>
  <c r="AA72" i="8"/>
  <c r="AA84" i="8"/>
  <c r="AA96" i="8"/>
  <c r="AA108" i="8"/>
  <c r="AA120" i="8"/>
  <c r="AA132" i="8"/>
  <c r="AA144" i="8"/>
  <c r="AA156" i="8"/>
  <c r="AA168" i="8"/>
  <c r="AA180" i="8"/>
  <c r="AA192" i="8"/>
  <c r="AA204" i="8"/>
  <c r="AA216" i="8"/>
  <c r="AA228" i="8"/>
  <c r="AA240" i="8"/>
  <c r="AC14" i="8"/>
  <c r="AC26" i="8"/>
  <c r="AC38" i="8"/>
  <c r="AC50" i="8"/>
  <c r="AC62" i="8"/>
  <c r="AC74" i="8"/>
  <c r="AC86" i="8"/>
  <c r="AC98" i="8"/>
  <c r="AC110" i="8"/>
  <c r="AC122" i="8"/>
  <c r="AC134" i="8"/>
  <c r="AC146" i="8"/>
  <c r="AC158" i="8"/>
  <c r="AC170" i="8"/>
  <c r="AC182" i="8"/>
  <c r="AC194" i="8"/>
  <c r="AC206" i="8"/>
  <c r="AC218" i="8"/>
  <c r="AC230" i="8"/>
  <c r="AC242" i="8"/>
  <c r="AE4" i="8"/>
  <c r="AE16" i="8"/>
  <c r="AE28" i="8"/>
  <c r="AE40" i="8"/>
  <c r="AE52" i="8"/>
  <c r="AE64" i="8"/>
  <c r="AE76" i="8"/>
  <c r="AE88" i="8"/>
  <c r="AE100" i="8"/>
  <c r="AE112" i="8"/>
  <c r="AE124" i="8"/>
  <c r="AE136" i="8"/>
  <c r="AE148" i="8"/>
  <c r="AE160" i="8"/>
  <c r="AE172" i="8"/>
  <c r="AE184" i="8"/>
  <c r="AE196" i="8"/>
  <c r="AE208" i="8"/>
  <c r="AE220" i="8"/>
  <c r="AE232" i="8"/>
  <c r="AE244" i="8"/>
  <c r="AG5" i="8"/>
  <c r="AG17" i="8"/>
  <c r="AG29" i="8"/>
  <c r="AG41" i="8"/>
  <c r="AG53" i="8"/>
  <c r="AG65" i="8"/>
  <c r="AG77" i="8"/>
  <c r="AG89" i="8"/>
  <c r="AG101" i="8"/>
  <c r="AG113" i="8"/>
  <c r="AG125" i="8"/>
  <c r="AG137" i="8"/>
  <c r="AG149" i="8"/>
  <c r="AG161" i="8"/>
  <c r="AG173" i="8"/>
  <c r="AG185" i="8"/>
  <c r="AG197" i="8"/>
  <c r="AG209" i="8"/>
  <c r="AG221" i="8"/>
  <c r="AG233" i="8"/>
  <c r="AG245" i="8"/>
  <c r="AI7" i="8"/>
  <c r="AI19" i="8"/>
  <c r="AI31" i="8"/>
  <c r="AI43" i="8"/>
  <c r="AI55" i="8"/>
  <c r="AI67" i="8"/>
  <c r="AI79" i="8"/>
  <c r="AI91" i="8"/>
  <c r="AI103" i="8"/>
  <c r="AI115" i="8"/>
  <c r="AI127" i="8"/>
  <c r="AI139" i="8"/>
  <c r="AI151" i="8"/>
  <c r="AI163" i="8"/>
  <c r="AI175" i="8"/>
  <c r="AI187" i="8"/>
  <c r="AI199" i="8"/>
  <c r="AI211" i="8"/>
  <c r="AI223" i="8"/>
  <c r="AI235" i="8"/>
  <c r="AI247" i="8"/>
  <c r="AK9" i="8"/>
  <c r="AK21" i="8"/>
  <c r="AK33" i="8"/>
  <c r="AK45" i="8"/>
  <c r="AK57" i="8"/>
  <c r="AK69" i="8"/>
  <c r="AK81" i="8"/>
  <c r="AK93" i="8"/>
  <c r="AK105" i="8"/>
  <c r="AK117" i="8"/>
  <c r="AK129" i="8"/>
  <c r="AK141" i="8"/>
  <c r="AK153" i="8"/>
  <c r="AK165" i="8"/>
  <c r="AK177" i="8"/>
  <c r="AK189" i="8"/>
  <c r="AK201" i="8"/>
  <c r="AK213" i="8"/>
  <c r="AK225" i="8"/>
  <c r="AK237" i="8"/>
  <c r="AK249" i="8"/>
  <c r="AM11" i="8"/>
  <c r="AM23" i="8"/>
  <c r="AM35" i="8"/>
  <c r="AM47" i="8"/>
  <c r="AM59" i="8"/>
  <c r="AM71" i="8"/>
  <c r="AM83" i="8"/>
  <c r="AM95" i="8"/>
  <c r="AM107" i="8"/>
  <c r="AM119" i="8"/>
  <c r="AM131" i="8"/>
  <c r="AM143" i="8"/>
  <c r="AM155" i="8"/>
  <c r="AM167" i="8"/>
  <c r="AM179" i="8"/>
  <c r="AM191" i="8"/>
  <c r="AM203" i="8"/>
  <c r="AM215" i="8"/>
  <c r="AM227" i="8"/>
  <c r="AM239" i="8"/>
  <c r="BM169" i="8"/>
  <c r="BM170" i="8"/>
  <c r="BU129" i="8"/>
  <c r="BU130" i="8"/>
  <c r="BW11" i="8"/>
  <c r="BW12" i="8"/>
  <c r="Q115" i="8"/>
  <c r="Q163" i="8"/>
  <c r="Q211" i="8"/>
  <c r="S33" i="8"/>
  <c r="S93" i="8"/>
  <c r="S141" i="8"/>
  <c r="S201" i="8"/>
  <c r="U23" i="8"/>
  <c r="U71" i="8"/>
  <c r="U119" i="8"/>
  <c r="U155" i="8"/>
  <c r="U191" i="8"/>
  <c r="U215" i="8"/>
  <c r="U251" i="8"/>
  <c r="W25" i="8"/>
  <c r="W73" i="8"/>
  <c r="W97" i="8"/>
  <c r="W133" i="8"/>
  <c r="W181" i="8"/>
  <c r="W229" i="8"/>
  <c r="Y27" i="8"/>
  <c r="Y75" i="8"/>
  <c r="Y147" i="8"/>
  <c r="Y231" i="8"/>
  <c r="AG130" i="8"/>
  <c r="AK26" i="8"/>
  <c r="C21" i="8"/>
  <c r="C51" i="8"/>
  <c r="C81" i="8"/>
  <c r="C105" i="8"/>
  <c r="C135" i="8"/>
  <c r="C159" i="8"/>
  <c r="C183" i="8"/>
  <c r="C213" i="8"/>
  <c r="C237" i="8"/>
  <c r="E20" i="8"/>
  <c r="E68" i="8"/>
  <c r="E116" i="8"/>
  <c r="E176" i="8"/>
  <c r="E236" i="8"/>
  <c r="G46" i="8"/>
  <c r="G106" i="8"/>
  <c r="G166" i="8"/>
  <c r="G214" i="8"/>
  <c r="I12" i="8"/>
  <c r="I60" i="8"/>
  <c r="I84" i="8"/>
  <c r="I132" i="8"/>
  <c r="I156" i="8"/>
  <c r="I180" i="8"/>
  <c r="I192" i="8"/>
  <c r="I216" i="8"/>
  <c r="K26" i="8"/>
  <c r="K50" i="8"/>
  <c r="K62" i="8"/>
  <c r="K86" i="8"/>
  <c r="K110" i="8"/>
  <c r="K134" i="8"/>
  <c r="K146" i="8"/>
  <c r="K170" i="8"/>
  <c r="K194" i="8"/>
  <c r="K218" i="8"/>
  <c r="K242" i="8"/>
  <c r="AA6" i="8"/>
  <c r="AA30" i="8"/>
  <c r="AA54" i="8"/>
  <c r="AA78" i="8"/>
  <c r="AA102" i="8"/>
  <c r="AA126" i="8"/>
  <c r="AA150" i="8"/>
  <c r="AA174" i="8"/>
  <c r="AA198" i="8"/>
  <c r="AA222" i="8"/>
  <c r="AA246" i="8"/>
  <c r="AC20" i="8"/>
  <c r="AC44" i="8"/>
  <c r="AC68" i="8"/>
  <c r="AC80" i="8"/>
  <c r="AC104" i="8"/>
  <c r="AC128" i="8"/>
  <c r="AC140" i="8"/>
  <c r="AC164" i="8"/>
  <c r="AC188" i="8"/>
  <c r="AC200" i="8"/>
  <c r="AC224" i="8"/>
  <c r="AC248" i="8"/>
  <c r="AE22" i="8"/>
  <c r="AE46" i="8"/>
  <c r="AE70" i="8"/>
  <c r="AE94" i="8"/>
  <c r="AE118" i="8"/>
  <c r="AE142" i="8"/>
  <c r="AE166" i="8"/>
  <c r="AE190" i="8"/>
  <c r="AE214" i="8"/>
  <c r="AE238" i="8"/>
  <c r="AG35" i="8"/>
  <c r="AG59" i="8"/>
  <c r="AG83" i="8"/>
  <c r="AG107" i="8"/>
  <c r="AG131" i="8"/>
  <c r="AG155" i="8"/>
  <c r="AG179" i="8"/>
  <c r="AG203" i="8"/>
  <c r="AG227" i="8"/>
  <c r="AG251" i="8"/>
  <c r="AI25" i="8"/>
  <c r="AI49" i="8"/>
  <c r="AI73" i="8"/>
  <c r="AI97" i="8"/>
  <c r="AI121" i="8"/>
  <c r="AI145" i="8"/>
  <c r="AI169" i="8"/>
  <c r="AI193" i="8"/>
  <c r="AI217" i="8"/>
  <c r="AI241" i="8"/>
  <c r="AK27" i="8"/>
  <c r="AK51" i="8"/>
  <c r="AK52" i="8"/>
  <c r="AK75" i="8"/>
  <c r="AK99" i="8"/>
  <c r="AK123" i="8"/>
  <c r="Q151" i="8"/>
  <c r="Q199" i="8"/>
  <c r="Q247" i="8"/>
  <c r="S57" i="8"/>
  <c r="S105" i="8"/>
  <c r="S153" i="8"/>
  <c r="S237" i="8"/>
  <c r="U35" i="8"/>
  <c r="U83" i="8"/>
  <c r="U143" i="8"/>
  <c r="U203" i="8"/>
  <c r="W13" i="8"/>
  <c r="W61" i="8"/>
  <c r="W121" i="8"/>
  <c r="W169" i="8"/>
  <c r="W217" i="8"/>
  <c r="Y51" i="8"/>
  <c r="Y87" i="8"/>
  <c r="Y111" i="8"/>
  <c r="Y159" i="8"/>
  <c r="Y171" i="8"/>
  <c r="Y195" i="8"/>
  <c r="Y219" i="8"/>
  <c r="Y243" i="8"/>
  <c r="AG10" i="8"/>
  <c r="AG22" i="8"/>
  <c r="AG34" i="8"/>
  <c r="AG46" i="8"/>
  <c r="AG58" i="8"/>
  <c r="AG70" i="8"/>
  <c r="AG82" i="8"/>
  <c r="AG94" i="8"/>
  <c r="AG118" i="8"/>
  <c r="AG154" i="8"/>
  <c r="AG166" i="8"/>
  <c r="AG178" i="8"/>
  <c r="AG190" i="8"/>
  <c r="AG202" i="8"/>
  <c r="AG214" i="8"/>
  <c r="AG226" i="8"/>
  <c r="AG238" i="8"/>
  <c r="AG250" i="8"/>
  <c r="AI12" i="8"/>
  <c r="AI24" i="8"/>
  <c r="AI36" i="8"/>
  <c r="AI48" i="8"/>
  <c r="AI60" i="8"/>
  <c r="AI72" i="8"/>
  <c r="AI84" i="8"/>
  <c r="AI96" i="8"/>
  <c r="AI108" i="8"/>
  <c r="AI120" i="8"/>
  <c r="AI132" i="8"/>
  <c r="AI144" i="8"/>
  <c r="AI156" i="8"/>
  <c r="AI168" i="8"/>
  <c r="AI180" i="8"/>
  <c r="AI192" i="8"/>
  <c r="AI216" i="8"/>
  <c r="AI228" i="8"/>
  <c r="AI240" i="8"/>
  <c r="AK38" i="8"/>
  <c r="AK50" i="8"/>
  <c r="AK62" i="8"/>
  <c r="AK74" i="8"/>
  <c r="AK86" i="8"/>
  <c r="AK98" i="8"/>
  <c r="AK110" i="8"/>
  <c r="AK122" i="8"/>
  <c r="BG120" i="8"/>
  <c r="C9" i="8"/>
  <c r="C39" i="8"/>
  <c r="C63" i="8"/>
  <c r="C87" i="8"/>
  <c r="C111" i="8"/>
  <c r="C129" i="8"/>
  <c r="C153" i="8"/>
  <c r="C177" i="8"/>
  <c r="C201" i="8"/>
  <c r="C231" i="8"/>
  <c r="E8" i="8"/>
  <c r="E56" i="8"/>
  <c r="E104" i="8"/>
  <c r="E152" i="8"/>
  <c r="E200" i="8"/>
  <c r="G10" i="8"/>
  <c r="G70" i="8"/>
  <c r="G142" i="8"/>
  <c r="G202" i="8"/>
  <c r="G250" i="8"/>
  <c r="I36" i="8"/>
  <c r="I72" i="8"/>
  <c r="I96" i="8"/>
  <c r="I144" i="8"/>
  <c r="I168" i="8"/>
  <c r="I204" i="8"/>
  <c r="K14" i="8"/>
  <c r="K38" i="8"/>
  <c r="K74" i="8"/>
  <c r="K98" i="8"/>
  <c r="K122" i="8"/>
  <c r="K158" i="8"/>
  <c r="K182" i="8"/>
  <c r="K206" i="8"/>
  <c r="K230" i="8"/>
  <c r="AA18" i="8"/>
  <c r="AA42" i="8"/>
  <c r="AA66" i="8"/>
  <c r="AA90" i="8"/>
  <c r="AA114" i="8"/>
  <c r="AA138" i="8"/>
  <c r="AA162" i="8"/>
  <c r="AA186" i="8"/>
  <c r="AA210" i="8"/>
  <c r="AA234" i="8"/>
  <c r="AC8" i="8"/>
  <c r="AC32" i="8"/>
  <c r="AC56" i="8"/>
  <c r="AC92" i="8"/>
  <c r="AC116" i="8"/>
  <c r="AC152" i="8"/>
  <c r="AC176" i="8"/>
  <c r="AC212" i="8"/>
  <c r="AC236" i="8"/>
  <c r="AE10" i="8"/>
  <c r="AE34" i="8"/>
  <c r="AE58" i="8"/>
  <c r="AE82" i="8"/>
  <c r="AE106" i="8"/>
  <c r="AE130" i="8"/>
  <c r="AE154" i="8"/>
  <c r="AE178" i="8"/>
  <c r="AE202" i="8"/>
  <c r="AE226" i="8"/>
  <c r="AE250" i="8"/>
  <c r="AG47" i="8"/>
  <c r="AG71" i="8"/>
  <c r="AG95" i="8"/>
  <c r="AG119" i="8"/>
  <c r="AG143" i="8"/>
  <c r="AG167" i="8"/>
  <c r="AG191" i="8"/>
  <c r="AG215" i="8"/>
  <c r="AG239" i="8"/>
  <c r="AI13" i="8"/>
  <c r="AI37" i="8"/>
  <c r="AI61" i="8"/>
  <c r="AI85" i="8"/>
  <c r="AI109" i="8"/>
  <c r="AI133" i="8"/>
  <c r="AI157" i="8"/>
  <c r="AI181" i="8"/>
  <c r="AI205" i="8"/>
  <c r="AI229" i="8"/>
  <c r="AK15" i="8"/>
  <c r="AK39" i="8"/>
  <c r="AK63" i="8"/>
  <c r="AK87" i="8"/>
  <c r="AK111" i="8"/>
  <c r="E9" i="8"/>
  <c r="E21" i="8"/>
  <c r="E33" i="8"/>
  <c r="E45" i="8"/>
  <c r="E57" i="8"/>
  <c r="E69" i="8"/>
  <c r="E81" i="8"/>
  <c r="E93" i="8"/>
  <c r="E105" i="8"/>
  <c r="AG228" i="8"/>
  <c r="Q139" i="8"/>
  <c r="Q175" i="8"/>
  <c r="Q223" i="8"/>
  <c r="S21" i="8"/>
  <c r="S69" i="8"/>
  <c r="S117" i="8"/>
  <c r="S165" i="8"/>
  <c r="S225" i="8"/>
  <c r="U11" i="8"/>
  <c r="U59" i="8"/>
  <c r="U107" i="8"/>
  <c r="U167" i="8"/>
  <c r="U227" i="8"/>
  <c r="W49" i="8"/>
  <c r="W109" i="8"/>
  <c r="W145" i="8"/>
  <c r="W193" i="8"/>
  <c r="W241" i="8"/>
  <c r="Y39" i="8"/>
  <c r="Y99" i="8"/>
  <c r="Y135" i="8"/>
  <c r="Y207" i="8"/>
  <c r="AG106" i="8"/>
  <c r="AI204" i="8"/>
  <c r="C27" i="8"/>
  <c r="C45" i="8"/>
  <c r="C69" i="8"/>
  <c r="C99" i="8"/>
  <c r="C123" i="8"/>
  <c r="C147" i="8"/>
  <c r="C165" i="8"/>
  <c r="C189" i="8"/>
  <c r="C207" i="8"/>
  <c r="C225" i="8"/>
  <c r="C249" i="8"/>
  <c r="E44" i="8"/>
  <c r="E92" i="8"/>
  <c r="E140" i="8"/>
  <c r="E188" i="8"/>
  <c r="E224" i="8"/>
  <c r="G22" i="8"/>
  <c r="G58" i="8"/>
  <c r="G94" i="8"/>
  <c r="G130" i="8"/>
  <c r="G178" i="8"/>
  <c r="G226" i="8"/>
  <c r="I24" i="8"/>
  <c r="I108" i="8"/>
  <c r="I228" i="8"/>
  <c r="BE181" i="8"/>
  <c r="BE182" i="8"/>
  <c r="Q127" i="8"/>
  <c r="Q187" i="8"/>
  <c r="Q235" i="8"/>
  <c r="S9" i="8"/>
  <c r="S45" i="8"/>
  <c r="S81" i="8"/>
  <c r="S129" i="8"/>
  <c r="S189" i="8"/>
  <c r="S213" i="8"/>
  <c r="S249" i="8"/>
  <c r="U47" i="8"/>
  <c r="U95" i="8"/>
  <c r="U131" i="8"/>
  <c r="U179" i="8"/>
  <c r="U239" i="8"/>
  <c r="W37" i="8"/>
  <c r="W85" i="8"/>
  <c r="W157" i="8"/>
  <c r="W205" i="8"/>
  <c r="Y15" i="8"/>
  <c r="Y63" i="8"/>
  <c r="Y123" i="8"/>
  <c r="Y183" i="8"/>
  <c r="AG142" i="8"/>
  <c r="AK14" i="8"/>
  <c r="C15" i="8"/>
  <c r="C33" i="8"/>
  <c r="C57" i="8"/>
  <c r="C75" i="8"/>
  <c r="C93" i="8"/>
  <c r="C117" i="8"/>
  <c r="C141" i="8"/>
  <c r="C171" i="8"/>
  <c r="C195" i="8"/>
  <c r="C219" i="8"/>
  <c r="C243" i="8"/>
  <c r="E32" i="8"/>
  <c r="E80" i="8"/>
  <c r="E128" i="8"/>
  <c r="E164" i="8"/>
  <c r="E212" i="8"/>
  <c r="E248" i="8"/>
  <c r="G34" i="8"/>
  <c r="G82" i="8"/>
  <c r="G118" i="8"/>
  <c r="G154" i="8"/>
  <c r="G190" i="8"/>
  <c r="G238" i="8"/>
  <c r="I48" i="8"/>
  <c r="I120" i="8"/>
  <c r="I240" i="8"/>
  <c r="AE233" i="8"/>
  <c r="AM162" i="8"/>
  <c r="Y179" i="8"/>
  <c r="Y191" i="8"/>
  <c r="Y203" i="8"/>
  <c r="Y215" i="8"/>
  <c r="Y227" i="8"/>
  <c r="Y239" i="8"/>
  <c r="Y251" i="8"/>
  <c r="AA13" i="8"/>
  <c r="AA25" i="8"/>
  <c r="AA37" i="8"/>
  <c r="AA49" i="8"/>
  <c r="AA61" i="8"/>
  <c r="AA73" i="8"/>
  <c r="AA85" i="8"/>
  <c r="AA97" i="8"/>
  <c r="AA109" i="8"/>
  <c r="AA121" i="8"/>
  <c r="AA133" i="8"/>
  <c r="AA145" i="8"/>
  <c r="AA157" i="8"/>
  <c r="AA169" i="8"/>
  <c r="AA181" i="8"/>
  <c r="AA193" i="8"/>
  <c r="AA205" i="8"/>
  <c r="AA217" i="8"/>
  <c r="AA229" i="8"/>
  <c r="AA241" i="8"/>
  <c r="AC15" i="8"/>
  <c r="AC27" i="8"/>
  <c r="AC39" i="8"/>
  <c r="AC51" i="8"/>
  <c r="AC63" i="8"/>
  <c r="AC75" i="8"/>
  <c r="AC87" i="8"/>
  <c r="AC99" i="8"/>
  <c r="AC111" i="8"/>
  <c r="AC123" i="8"/>
  <c r="AC135" i="8"/>
  <c r="AC147" i="8"/>
  <c r="AC159" i="8"/>
  <c r="AC171" i="8"/>
  <c r="AC183" i="8"/>
  <c r="AC195" i="8"/>
  <c r="AC207" i="8"/>
  <c r="AC219" i="8"/>
  <c r="AC231" i="8"/>
  <c r="AC243" i="8"/>
  <c r="AE5" i="8"/>
  <c r="AE17" i="8"/>
  <c r="AE29" i="8"/>
  <c r="AE41" i="8"/>
  <c r="AE53" i="8"/>
  <c r="AE65" i="8"/>
  <c r="AE77" i="8"/>
  <c r="AE89" i="8"/>
  <c r="AE101" i="8"/>
  <c r="AE113" i="8"/>
  <c r="AE125" i="8"/>
  <c r="AE137" i="8"/>
  <c r="AE149" i="8"/>
  <c r="AE161" i="8"/>
  <c r="AE173" i="8"/>
  <c r="AE185" i="8"/>
  <c r="AE197" i="8"/>
  <c r="AE209" i="8"/>
  <c r="AE221" i="8"/>
  <c r="AE245" i="8"/>
  <c r="AG6" i="8"/>
  <c r="AG18" i="8"/>
  <c r="AG30" i="8"/>
  <c r="AG42" i="8"/>
  <c r="AG54" i="8"/>
  <c r="AG66" i="8"/>
  <c r="AG78" i="8"/>
  <c r="AG90" i="8"/>
  <c r="AG102" i="8"/>
  <c r="AG114" i="8"/>
  <c r="AG126" i="8"/>
  <c r="AG138" i="8"/>
  <c r="AG150" i="8"/>
  <c r="AG162" i="8"/>
  <c r="AG174" i="8"/>
  <c r="AG186" i="8"/>
  <c r="AG198" i="8"/>
  <c r="AG210" i="8"/>
  <c r="AG222" i="8"/>
  <c r="AG234" i="8"/>
  <c r="AG246" i="8"/>
  <c r="AI8" i="8"/>
  <c r="AI20" i="8"/>
  <c r="AI32" i="8"/>
  <c r="AI44" i="8"/>
  <c r="AI56" i="8"/>
  <c r="AI68" i="8"/>
  <c r="AI80" i="8"/>
  <c r="AI92" i="8"/>
  <c r="AI104" i="8"/>
  <c r="AI116" i="8"/>
  <c r="AI128" i="8"/>
  <c r="AI140" i="8"/>
  <c r="AI152" i="8"/>
  <c r="AI164" i="8"/>
  <c r="AI176" i="8"/>
  <c r="AI188" i="8"/>
  <c r="AI200" i="8"/>
  <c r="AI212" i="8"/>
  <c r="AI224" i="8"/>
  <c r="AI236" i="8"/>
  <c r="AI248" i="8"/>
  <c r="AK10" i="8"/>
  <c r="AK22" i="8"/>
  <c r="AK34" i="8"/>
  <c r="AK46" i="8"/>
  <c r="AK58" i="8"/>
  <c r="AK70" i="8"/>
  <c r="AK82" i="8"/>
  <c r="AK94" i="8"/>
  <c r="AK106" i="8"/>
  <c r="AK118" i="8"/>
  <c r="AK130" i="8"/>
  <c r="AK142" i="8"/>
  <c r="AK154" i="8"/>
  <c r="AK166" i="8"/>
  <c r="AK178" i="8"/>
  <c r="AK190" i="8"/>
  <c r="AK202" i="8"/>
  <c r="AK214" i="8"/>
  <c r="AK226" i="8"/>
  <c r="AK238" i="8"/>
  <c r="AK250" i="8"/>
  <c r="AM12" i="8"/>
  <c r="AM24" i="8"/>
  <c r="AM36" i="8"/>
  <c r="AM48" i="8"/>
  <c r="AM60" i="8"/>
  <c r="AM72" i="8"/>
  <c r="AM84" i="8"/>
  <c r="AM96" i="8"/>
  <c r="AM108" i="8"/>
  <c r="AM120" i="8"/>
  <c r="AM132" i="8"/>
  <c r="AM144" i="8"/>
  <c r="AM156" i="8"/>
  <c r="AM168" i="8"/>
  <c r="AM180" i="8"/>
  <c r="AM192" i="8"/>
  <c r="AM204" i="8"/>
  <c r="AM216" i="8"/>
  <c r="AM228" i="8"/>
  <c r="AM240" i="8"/>
  <c r="AO14" i="8"/>
  <c r="AO26" i="8"/>
  <c r="AO38" i="8"/>
  <c r="AO50" i="8"/>
  <c r="AO62" i="8"/>
  <c r="AO74" i="8"/>
  <c r="AO86" i="8"/>
  <c r="AO98" i="8"/>
  <c r="AO110" i="8"/>
  <c r="AO122" i="8"/>
  <c r="AO134" i="8"/>
  <c r="AO146" i="8"/>
  <c r="AO158" i="8"/>
  <c r="AO170" i="8"/>
  <c r="AO182" i="8"/>
  <c r="AO194" i="8"/>
  <c r="AO206" i="8"/>
  <c r="AO218" i="8"/>
  <c r="AO230" i="8"/>
  <c r="AO242" i="8"/>
  <c r="AQ4" i="8"/>
  <c r="AQ16" i="8"/>
  <c r="AQ28" i="8"/>
  <c r="AQ40" i="8"/>
  <c r="AQ52" i="8"/>
  <c r="AQ64" i="8"/>
  <c r="AQ76" i="8"/>
  <c r="AQ88" i="8"/>
  <c r="AQ100" i="8"/>
  <c r="AQ112" i="8"/>
  <c r="AQ124" i="8"/>
  <c r="AQ136" i="8"/>
  <c r="AQ148" i="8"/>
  <c r="AQ160" i="8"/>
  <c r="AQ172" i="8"/>
  <c r="AQ184" i="8"/>
  <c r="AQ196" i="8"/>
  <c r="AQ208" i="8"/>
  <c r="AQ220" i="8"/>
  <c r="AQ232" i="8"/>
  <c r="AQ244" i="8"/>
  <c r="AS6" i="8"/>
  <c r="AS18" i="8"/>
  <c r="AS30" i="8"/>
  <c r="AS42" i="8"/>
  <c r="AS54" i="8"/>
  <c r="AS66" i="8"/>
  <c r="AS78" i="8"/>
  <c r="AS90" i="8"/>
  <c r="AS102" i="8"/>
  <c r="AS114" i="8"/>
  <c r="AS126" i="8"/>
  <c r="AS138" i="8"/>
  <c r="AS150" i="8"/>
  <c r="AS162" i="8"/>
  <c r="AS174" i="8"/>
  <c r="AS186" i="8"/>
  <c r="AS198" i="8"/>
  <c r="AS210" i="8"/>
  <c r="AS222" i="8"/>
  <c r="AS234" i="8"/>
  <c r="AS246" i="8"/>
  <c r="AU8" i="8"/>
  <c r="AU20" i="8"/>
  <c r="AU32" i="8"/>
  <c r="AU44" i="8"/>
  <c r="AU56" i="8"/>
  <c r="AU68" i="8"/>
  <c r="AU80" i="8"/>
  <c r="AU92" i="8"/>
  <c r="AU104" i="8"/>
  <c r="AU116" i="8"/>
  <c r="AU128" i="8"/>
  <c r="AU140" i="8"/>
  <c r="AU152" i="8"/>
  <c r="AU164" i="8"/>
  <c r="AU176" i="8"/>
  <c r="AU188" i="8"/>
  <c r="AU200" i="8"/>
  <c r="AU212" i="8"/>
  <c r="AU224" i="8"/>
  <c r="AU236" i="8"/>
  <c r="AU248" i="8"/>
  <c r="AW10" i="8"/>
  <c r="AW22" i="8"/>
  <c r="AW34" i="8"/>
  <c r="AW46" i="8"/>
  <c r="AW58" i="8"/>
  <c r="AW70" i="8"/>
  <c r="AW82" i="8"/>
  <c r="AW94" i="8"/>
  <c r="AW106" i="8"/>
  <c r="AW118" i="8"/>
  <c r="AW130" i="8"/>
  <c r="AW142" i="8"/>
  <c r="AW154" i="8"/>
  <c r="AW166" i="8"/>
  <c r="AW178" i="8"/>
  <c r="AW190" i="8"/>
  <c r="AW202" i="8"/>
  <c r="AW214" i="8"/>
  <c r="AW226" i="8"/>
  <c r="AW238" i="8"/>
  <c r="AW250" i="8"/>
  <c r="AY12" i="8"/>
  <c r="AY24" i="8"/>
  <c r="AY36" i="8"/>
  <c r="AY48" i="8"/>
  <c r="AY60" i="8"/>
  <c r="AY72" i="8"/>
  <c r="AY84" i="8"/>
  <c r="AY96" i="8"/>
  <c r="AY108" i="8"/>
  <c r="AY120" i="8"/>
  <c r="AY132" i="8"/>
  <c r="AY144" i="8"/>
  <c r="AY156" i="8"/>
  <c r="AY168" i="8"/>
  <c r="AY180" i="8"/>
  <c r="AY192" i="8"/>
  <c r="AY204" i="8"/>
  <c r="AY216" i="8"/>
  <c r="AY228" i="8"/>
  <c r="AY240" i="8"/>
  <c r="BA14" i="8"/>
  <c r="BA26" i="8"/>
  <c r="BA38" i="8"/>
  <c r="BA50" i="8"/>
  <c r="BA62" i="8"/>
  <c r="BA74" i="8"/>
  <c r="BA86" i="8"/>
  <c r="BA98" i="8"/>
  <c r="BA110" i="8"/>
  <c r="BA122" i="8"/>
  <c r="BA134" i="8"/>
  <c r="BA146" i="8"/>
  <c r="BA158" i="8"/>
  <c r="BA170" i="8"/>
  <c r="BA182" i="8"/>
  <c r="BA194" i="8"/>
  <c r="BA206" i="8"/>
  <c r="BA218" i="8"/>
  <c r="BA230" i="8"/>
  <c r="BA242" i="8"/>
  <c r="BC4" i="8"/>
  <c r="BC16" i="8"/>
  <c r="BC28" i="8"/>
  <c r="BC40" i="8"/>
  <c r="BC52" i="8"/>
  <c r="BC64" i="8"/>
  <c r="BC76" i="8"/>
  <c r="BC88" i="8"/>
  <c r="BC100" i="8"/>
  <c r="BC112" i="8"/>
  <c r="BC124" i="8"/>
  <c r="BC136" i="8"/>
  <c r="BC148" i="8"/>
  <c r="BC160" i="8"/>
  <c r="BC172" i="8"/>
  <c r="BC184" i="8"/>
  <c r="BC196" i="8"/>
  <c r="BC208" i="8"/>
  <c r="BC220" i="8"/>
  <c r="BC232" i="8"/>
  <c r="BC244" i="8"/>
  <c r="BE6" i="8"/>
  <c r="BE18" i="8"/>
  <c r="BE30" i="8"/>
  <c r="BE42" i="8"/>
  <c r="BE54" i="8"/>
  <c r="BE66" i="8"/>
  <c r="BE78" i="8"/>
  <c r="BE90" i="8"/>
  <c r="BE102" i="8"/>
  <c r="BE114" i="8"/>
  <c r="BE126" i="8"/>
  <c r="BE138" i="8"/>
  <c r="BE150" i="8"/>
  <c r="BE162" i="8"/>
  <c r="BE174" i="8"/>
  <c r="BE186" i="8"/>
  <c r="BE198" i="8"/>
  <c r="BE210" i="8"/>
  <c r="BE222" i="8"/>
  <c r="BE234" i="8"/>
  <c r="BE246" i="8"/>
  <c r="BG8" i="8"/>
  <c r="BG164" i="8"/>
  <c r="BQ6" i="8"/>
  <c r="E117" i="8"/>
  <c r="E129" i="8"/>
  <c r="E141" i="8"/>
  <c r="E153" i="8"/>
  <c r="E165" i="8"/>
  <c r="E177" i="8"/>
  <c r="E189" i="8"/>
  <c r="E201" i="8"/>
  <c r="E213" i="8"/>
  <c r="E225" i="8"/>
  <c r="E237" i="8"/>
  <c r="E249" i="8"/>
  <c r="G11" i="8"/>
  <c r="G23" i="8"/>
  <c r="G35" i="8"/>
  <c r="G47" i="8"/>
  <c r="G59" i="8"/>
  <c r="G71" i="8"/>
  <c r="G83" i="8"/>
  <c r="G95" i="8"/>
  <c r="G107" i="8"/>
  <c r="G119" i="8"/>
  <c r="G131" i="8"/>
  <c r="G143" i="8"/>
  <c r="G155" i="8"/>
  <c r="G167" i="8"/>
  <c r="G179" i="8"/>
  <c r="G191" i="8"/>
  <c r="G203" i="8"/>
  <c r="G215" i="8"/>
  <c r="G227" i="8"/>
  <c r="G239" i="8"/>
  <c r="G251" i="8"/>
  <c r="I13" i="8"/>
  <c r="I25" i="8"/>
  <c r="I37" i="8"/>
  <c r="I49" i="8"/>
  <c r="I61" i="8"/>
  <c r="I73" i="8"/>
  <c r="I85" i="8"/>
  <c r="I97" i="8"/>
  <c r="I109" i="8"/>
  <c r="I121" i="8"/>
  <c r="I133" i="8"/>
  <c r="I145" i="8"/>
  <c r="I157" i="8"/>
  <c r="I169" i="8"/>
  <c r="I181" i="8"/>
  <c r="I193" i="8"/>
  <c r="I205" i="8"/>
  <c r="I217" i="8"/>
  <c r="I229" i="8"/>
  <c r="I241" i="8"/>
  <c r="K15" i="8"/>
  <c r="K27" i="8"/>
  <c r="K39" i="8"/>
  <c r="K51" i="8"/>
  <c r="K63" i="8"/>
  <c r="K75" i="8"/>
  <c r="K87" i="8"/>
  <c r="K99" i="8"/>
  <c r="K111" i="8"/>
  <c r="K123" i="8"/>
  <c r="K135" i="8"/>
  <c r="K147" i="8"/>
  <c r="K159" i="8"/>
  <c r="K171" i="8"/>
  <c r="K183" i="8"/>
  <c r="K195" i="8"/>
  <c r="K207" i="8"/>
  <c r="K219" i="8"/>
  <c r="K231" i="8"/>
  <c r="K243" i="8"/>
  <c r="M5" i="8"/>
  <c r="M17" i="8"/>
  <c r="M29" i="8"/>
  <c r="M41" i="8"/>
  <c r="M53" i="8"/>
  <c r="M65" i="8"/>
  <c r="M77" i="8"/>
  <c r="M89" i="8"/>
  <c r="M101" i="8"/>
  <c r="M113" i="8"/>
  <c r="M125" i="8"/>
  <c r="M137" i="8"/>
  <c r="M149" i="8"/>
  <c r="M161" i="8"/>
  <c r="M173" i="8"/>
  <c r="M185" i="8"/>
  <c r="M197" i="8"/>
  <c r="M209" i="8"/>
  <c r="M221" i="8"/>
  <c r="M233" i="8"/>
  <c r="M245" i="8"/>
  <c r="O7" i="8"/>
  <c r="O19" i="8"/>
  <c r="O31" i="8"/>
  <c r="O43" i="8"/>
  <c r="O55" i="8"/>
  <c r="O67" i="8"/>
  <c r="O79" i="8"/>
  <c r="O91" i="8"/>
  <c r="O103" i="8"/>
  <c r="O115" i="8"/>
  <c r="O127" i="8"/>
  <c r="O139" i="8"/>
  <c r="O151" i="8"/>
  <c r="O163" i="8"/>
  <c r="O175" i="8"/>
  <c r="O187" i="8"/>
  <c r="O199" i="8"/>
  <c r="O211" i="8"/>
  <c r="O223" i="8"/>
  <c r="O235" i="8"/>
  <c r="O247" i="8"/>
  <c r="Q9" i="8"/>
  <c r="Q21" i="8"/>
  <c r="Q33" i="8"/>
  <c r="Q45" i="8"/>
  <c r="Q57" i="8"/>
  <c r="Q69" i="8"/>
  <c r="Q81" i="8"/>
  <c r="Q93" i="8"/>
  <c r="Q105" i="8"/>
  <c r="Q117" i="8"/>
  <c r="Q129" i="8"/>
  <c r="Q141" i="8"/>
  <c r="Q153" i="8"/>
  <c r="Q165" i="8"/>
  <c r="Q177" i="8"/>
  <c r="Q189" i="8"/>
  <c r="Q201" i="8"/>
  <c r="Q213" i="8"/>
  <c r="Q225" i="8"/>
  <c r="Q237" i="8"/>
  <c r="Q249" i="8"/>
  <c r="S11" i="8"/>
  <c r="S23" i="8"/>
  <c r="S35" i="8"/>
  <c r="S47" i="8"/>
  <c r="S59" i="8"/>
  <c r="S71" i="8"/>
  <c r="S83" i="8"/>
  <c r="S95" i="8"/>
  <c r="S107" i="8"/>
  <c r="S119" i="8"/>
  <c r="S131" i="8"/>
  <c r="S143" i="8"/>
  <c r="S155" i="8"/>
  <c r="S167" i="8"/>
  <c r="S179" i="8"/>
  <c r="S191" i="8"/>
  <c r="S203" i="8"/>
  <c r="S215" i="8"/>
  <c r="S227" i="8"/>
  <c r="S239" i="8"/>
  <c r="S251" i="8"/>
  <c r="U13" i="8"/>
  <c r="U25" i="8"/>
  <c r="U37" i="8"/>
  <c r="U49" i="8"/>
  <c r="U61" i="8"/>
  <c r="U73" i="8"/>
  <c r="U85" i="8"/>
  <c r="U97" i="8"/>
  <c r="U109" i="8"/>
  <c r="U121" i="8"/>
  <c r="U133" i="8"/>
  <c r="U145" i="8"/>
  <c r="U157" i="8"/>
  <c r="U169" i="8"/>
  <c r="U181" i="8"/>
  <c r="U193" i="8"/>
  <c r="U205" i="8"/>
  <c r="U217" i="8"/>
  <c r="U229" i="8"/>
  <c r="U241" i="8"/>
  <c r="W15" i="8"/>
  <c r="W27" i="8"/>
  <c r="W39" i="8"/>
  <c r="W51" i="8"/>
  <c r="W63" i="8"/>
  <c r="W75" i="8"/>
  <c r="W87" i="8"/>
  <c r="W99" i="8"/>
  <c r="W111" i="8"/>
  <c r="W123" i="8"/>
  <c r="W135" i="8"/>
  <c r="W147" i="8"/>
  <c r="W159" i="8"/>
  <c r="W171" i="8"/>
  <c r="W183" i="8"/>
  <c r="W195" i="8"/>
  <c r="W207" i="8"/>
  <c r="W219" i="8"/>
  <c r="W231" i="8"/>
  <c r="W243" i="8"/>
  <c r="Y5" i="8"/>
  <c r="Y17" i="8"/>
  <c r="Y29" i="8"/>
  <c r="Y41" i="8"/>
  <c r="Y53" i="8"/>
  <c r="Y65" i="8"/>
  <c r="Y77" i="8"/>
  <c r="Y89" i="8"/>
  <c r="Y101" i="8"/>
  <c r="Y113" i="8"/>
  <c r="Y125" i="8"/>
  <c r="Y137" i="8"/>
  <c r="Y149" i="8"/>
  <c r="Y161" i="8"/>
  <c r="Y173" i="8"/>
  <c r="Y185" i="8"/>
  <c r="Y197" i="8"/>
  <c r="Y209" i="8"/>
  <c r="Y221" i="8"/>
  <c r="Y233" i="8"/>
  <c r="Y245" i="8"/>
  <c r="AG12" i="8"/>
  <c r="AG24" i="8"/>
  <c r="AG36" i="8"/>
  <c r="AG48" i="8"/>
  <c r="AG60" i="8"/>
  <c r="AG72" i="8"/>
  <c r="AG84" i="8"/>
  <c r="AG96" i="8"/>
  <c r="AG108" i="8"/>
  <c r="AG120" i="8"/>
  <c r="AG132" i="8"/>
  <c r="AG144" i="8"/>
  <c r="AG156" i="8"/>
  <c r="AG168" i="8"/>
  <c r="AG180" i="8"/>
  <c r="AG192" i="8"/>
  <c r="AG204" i="8"/>
  <c r="AG216" i="8"/>
  <c r="AG240" i="8"/>
  <c r="AI14" i="8"/>
  <c r="AI26" i="8"/>
  <c r="AI38" i="8"/>
  <c r="AI50" i="8"/>
  <c r="AI62" i="8"/>
  <c r="AK64" i="8"/>
  <c r="AY198" i="8"/>
  <c r="BE144" i="8"/>
  <c r="BI196" i="8"/>
  <c r="BW236" i="8"/>
  <c r="BW212" i="8"/>
  <c r="E11" i="8"/>
  <c r="E23" i="8"/>
  <c r="E35" i="8"/>
  <c r="E47" i="8"/>
  <c r="E59" i="8"/>
  <c r="E71" i="8"/>
  <c r="E83" i="8"/>
  <c r="E95" i="8"/>
  <c r="E107" i="8"/>
  <c r="E119" i="8"/>
  <c r="E131" i="8"/>
  <c r="E143" i="8"/>
  <c r="E155" i="8"/>
  <c r="E167" i="8"/>
  <c r="E179" i="8"/>
  <c r="E191" i="8"/>
  <c r="E203" i="8"/>
  <c r="E215" i="8"/>
  <c r="E227" i="8"/>
  <c r="E239" i="8"/>
  <c r="E251" i="8"/>
  <c r="G13" i="8"/>
  <c r="G25" i="8"/>
  <c r="G37" i="8"/>
  <c r="G49" i="8"/>
  <c r="G61" i="8"/>
  <c r="G73" i="8"/>
  <c r="G85" i="8"/>
  <c r="G97" i="8"/>
  <c r="G109" i="8"/>
  <c r="G121" i="8"/>
  <c r="G133" i="8"/>
  <c r="G145" i="8"/>
  <c r="G157" i="8"/>
  <c r="G169" i="8"/>
  <c r="G181" i="8"/>
  <c r="G193" i="8"/>
  <c r="G205" i="8"/>
  <c r="G217" i="8"/>
  <c r="G229" i="8"/>
  <c r="G241" i="8"/>
  <c r="I15" i="8"/>
  <c r="I27" i="8"/>
  <c r="I39" i="8"/>
  <c r="I51" i="8"/>
  <c r="I63" i="8"/>
  <c r="I75" i="8"/>
  <c r="I87" i="8"/>
  <c r="I99" i="8"/>
  <c r="I111" i="8"/>
  <c r="I123" i="8"/>
  <c r="I135" i="8"/>
  <c r="I147" i="8"/>
  <c r="I159" i="8"/>
  <c r="I171" i="8"/>
  <c r="I183" i="8"/>
  <c r="I195" i="8"/>
  <c r="I207" i="8"/>
  <c r="I219" i="8"/>
  <c r="I231" i="8"/>
  <c r="I243" i="8"/>
  <c r="K5" i="8"/>
  <c r="K17" i="8"/>
  <c r="K29" i="8"/>
  <c r="K41" i="8"/>
  <c r="K53" i="8"/>
  <c r="K65" i="8"/>
  <c r="K77" i="8"/>
  <c r="K89" i="8"/>
  <c r="K101" i="8"/>
  <c r="K113" i="8"/>
  <c r="K125" i="8"/>
  <c r="K137" i="8"/>
  <c r="K149" i="8"/>
  <c r="K161" i="8"/>
  <c r="K173" i="8"/>
  <c r="K185" i="8"/>
  <c r="K197" i="8"/>
  <c r="K209" i="8"/>
  <c r="K221" i="8"/>
  <c r="K233" i="8"/>
  <c r="K245" i="8"/>
  <c r="M7" i="8"/>
  <c r="M19" i="8"/>
  <c r="M31" i="8"/>
  <c r="M43" i="8"/>
  <c r="M55" i="8"/>
  <c r="M67" i="8"/>
  <c r="M79" i="8"/>
  <c r="M91" i="8"/>
  <c r="M103" i="8"/>
  <c r="M115" i="8"/>
  <c r="M127" i="8"/>
  <c r="M139" i="8"/>
  <c r="M151" i="8"/>
  <c r="M163" i="8"/>
  <c r="M175" i="8"/>
  <c r="M187" i="8"/>
  <c r="M199" i="8"/>
  <c r="M211" i="8"/>
  <c r="M223" i="8"/>
  <c r="M235" i="8"/>
  <c r="M247" i="8"/>
  <c r="O9" i="8"/>
  <c r="O21" i="8"/>
  <c r="O33" i="8"/>
  <c r="O45" i="8"/>
  <c r="O57" i="8"/>
  <c r="O69" i="8"/>
  <c r="O81" i="8"/>
  <c r="O93" i="8"/>
  <c r="O105" i="8"/>
  <c r="O117" i="8"/>
  <c r="O129" i="8"/>
  <c r="O141" i="8"/>
  <c r="O153" i="8"/>
  <c r="O165" i="8"/>
  <c r="O177" i="8"/>
  <c r="O189" i="8"/>
  <c r="O201" i="8"/>
  <c r="O213" i="8"/>
  <c r="O225" i="8"/>
  <c r="O237" i="8"/>
  <c r="O249" i="8"/>
  <c r="Q11" i="8"/>
  <c r="Q23" i="8"/>
  <c r="Q35" i="8"/>
  <c r="Q47" i="8"/>
  <c r="Q59" i="8"/>
  <c r="Q71" i="8"/>
  <c r="Q83" i="8"/>
  <c r="Q95" i="8"/>
  <c r="Q107" i="8"/>
  <c r="Q119" i="8"/>
  <c r="Q131" i="8"/>
  <c r="Q143" i="8"/>
  <c r="Q155" i="8"/>
  <c r="Q167" i="8"/>
  <c r="Q179" i="8"/>
  <c r="Q191" i="8"/>
  <c r="Q203" i="8"/>
  <c r="Q215" i="8"/>
  <c r="Q227" i="8"/>
  <c r="Q239" i="8"/>
  <c r="Q251" i="8"/>
  <c r="S13" i="8"/>
  <c r="S25" i="8"/>
  <c r="S37" i="8"/>
  <c r="S49" i="8"/>
  <c r="S61" i="8"/>
  <c r="S73" i="8"/>
  <c r="S85" i="8"/>
  <c r="S97" i="8"/>
  <c r="S109" i="8"/>
  <c r="S121" i="8"/>
  <c r="S133" i="8"/>
  <c r="S145" i="8"/>
  <c r="S157" i="8"/>
  <c r="S169" i="8"/>
  <c r="S181" i="8"/>
  <c r="S193" i="8"/>
  <c r="S205" i="8"/>
  <c r="S217" i="8"/>
  <c r="S229" i="8"/>
  <c r="S241" i="8"/>
  <c r="U15" i="8"/>
  <c r="U27" i="8"/>
  <c r="U39" i="8"/>
  <c r="U51" i="8"/>
  <c r="U63" i="8"/>
  <c r="U75" i="8"/>
  <c r="U87" i="8"/>
  <c r="U99" i="8"/>
  <c r="U111" i="8"/>
  <c r="U123" i="8"/>
  <c r="U135" i="8"/>
  <c r="U147" i="8"/>
  <c r="U159" i="8"/>
  <c r="U171" i="8"/>
  <c r="U183" i="8"/>
  <c r="U195" i="8"/>
  <c r="U207" i="8"/>
  <c r="U219" i="8"/>
  <c r="U231" i="8"/>
  <c r="U243" i="8"/>
  <c r="W5" i="8"/>
  <c r="W17" i="8"/>
  <c r="W29" i="8"/>
  <c r="W41" i="8"/>
  <c r="W53" i="8"/>
  <c r="W65" i="8"/>
  <c r="W77" i="8"/>
  <c r="W89" i="8"/>
  <c r="W101" i="8"/>
  <c r="W113" i="8"/>
  <c r="W125" i="8"/>
  <c r="W137" i="8"/>
  <c r="W149" i="8"/>
  <c r="W161" i="8"/>
  <c r="W173" i="8"/>
  <c r="W185" i="8"/>
  <c r="W197" i="8"/>
  <c r="W209" i="8"/>
  <c r="W221" i="8"/>
  <c r="W233" i="8"/>
  <c r="W245" i="8"/>
  <c r="Y7" i="8"/>
  <c r="Y19" i="8"/>
  <c r="Y31" i="8"/>
  <c r="Y43" i="8"/>
  <c r="Y55" i="8"/>
  <c r="Y67" i="8"/>
  <c r="Y79" i="8"/>
  <c r="Y91" i="8"/>
  <c r="Y103" i="8"/>
  <c r="Y115" i="8"/>
  <c r="Y127" i="8"/>
  <c r="Y139" i="8"/>
  <c r="Y151" i="8"/>
  <c r="Y163" i="8"/>
  <c r="Y175" i="8"/>
  <c r="Y187" i="8"/>
  <c r="Y199" i="8"/>
  <c r="Y211" i="8"/>
  <c r="Y223" i="8"/>
  <c r="Y235" i="8"/>
  <c r="Y247" i="8"/>
  <c r="AA9" i="8"/>
  <c r="AA21" i="8"/>
  <c r="AA33" i="8"/>
  <c r="AA45" i="8"/>
  <c r="AA57" i="8"/>
  <c r="AA69" i="8"/>
  <c r="AA81" i="8"/>
  <c r="AA93" i="8"/>
  <c r="AA105" i="8"/>
  <c r="AA117" i="8"/>
  <c r="AM250" i="8"/>
  <c r="AO12" i="8"/>
  <c r="AO24" i="8"/>
  <c r="AO36" i="8"/>
  <c r="AO48" i="8"/>
  <c r="AO60" i="8"/>
  <c r="AO72" i="8"/>
  <c r="AO84" i="8"/>
  <c r="AO96" i="8"/>
  <c r="AO108" i="8"/>
  <c r="AO120" i="8"/>
  <c r="AO132" i="8"/>
  <c r="AO144" i="8"/>
  <c r="AO156" i="8"/>
  <c r="AO168" i="8"/>
  <c r="AO180" i="8"/>
  <c r="AO192" i="8"/>
  <c r="AO204" i="8"/>
  <c r="AO216" i="8"/>
  <c r="AO228" i="8"/>
  <c r="AO240" i="8"/>
  <c r="AQ14" i="8"/>
  <c r="AQ26" i="8"/>
  <c r="AQ38" i="8"/>
  <c r="AQ50" i="8"/>
  <c r="AQ62" i="8"/>
  <c r="AQ74" i="8"/>
  <c r="AQ86" i="8"/>
  <c r="AQ98" i="8"/>
  <c r="AQ110" i="8"/>
  <c r="AQ122" i="8"/>
  <c r="AQ134" i="8"/>
  <c r="AQ146" i="8"/>
  <c r="AQ158" i="8"/>
  <c r="AQ170" i="8"/>
  <c r="AQ182" i="8"/>
  <c r="AQ194" i="8"/>
  <c r="AQ206" i="8"/>
  <c r="AQ218" i="8"/>
  <c r="AQ230" i="8"/>
  <c r="AQ242" i="8"/>
  <c r="AS4" i="8"/>
  <c r="AS16" i="8"/>
  <c r="AS28" i="8"/>
  <c r="AS40" i="8"/>
  <c r="AS52" i="8"/>
  <c r="AS64" i="8"/>
  <c r="AS76" i="8"/>
  <c r="AS88" i="8"/>
  <c r="AS100" i="8"/>
  <c r="AS112" i="8"/>
  <c r="AS124" i="8"/>
  <c r="AS136" i="8"/>
  <c r="AS148" i="8"/>
  <c r="AS160" i="8"/>
  <c r="AS172" i="8"/>
  <c r="AS184" i="8"/>
  <c r="AS196" i="8"/>
  <c r="AS208" i="8"/>
  <c r="AS220" i="8"/>
  <c r="AS232" i="8"/>
  <c r="AS244" i="8"/>
  <c r="AU6" i="8"/>
  <c r="AU18" i="8"/>
  <c r="AU30" i="8"/>
  <c r="AU42" i="8"/>
  <c r="AU54" i="8"/>
  <c r="AU66" i="8"/>
  <c r="AU78" i="8"/>
  <c r="AU90" i="8"/>
  <c r="AU102" i="8"/>
  <c r="AU114" i="8"/>
  <c r="AU126" i="8"/>
  <c r="AU138" i="8"/>
  <c r="AU150" i="8"/>
  <c r="AU162" i="8"/>
  <c r="AU174" i="8"/>
  <c r="AU186" i="8"/>
  <c r="AU198" i="8"/>
  <c r="AU210" i="8"/>
  <c r="AU222" i="8"/>
  <c r="AU234" i="8"/>
  <c r="AU246" i="8"/>
  <c r="AW8" i="8"/>
  <c r="AW20" i="8"/>
  <c r="AW32" i="8"/>
  <c r="AW44" i="8"/>
  <c r="AW56" i="8"/>
  <c r="AW68" i="8"/>
  <c r="AW80" i="8"/>
  <c r="AW92" i="8"/>
  <c r="AW104" i="8"/>
  <c r="AW116" i="8"/>
  <c r="AW128" i="8"/>
  <c r="AW140" i="8"/>
  <c r="AW152" i="8"/>
  <c r="AW164" i="8"/>
  <c r="AW176" i="8"/>
  <c r="AW188" i="8"/>
  <c r="AW200" i="8"/>
  <c r="AW212" i="8"/>
  <c r="AW224" i="8"/>
  <c r="AW236" i="8"/>
  <c r="AW248" i="8"/>
  <c r="AY10" i="8"/>
  <c r="AY22" i="8"/>
  <c r="AY34" i="8"/>
  <c r="AY46" i="8"/>
  <c r="AY58" i="8"/>
  <c r="AY70" i="8"/>
  <c r="AY82" i="8"/>
  <c r="AY94" i="8"/>
  <c r="AY106" i="8"/>
  <c r="AY118" i="8"/>
  <c r="AY130" i="8"/>
  <c r="AY142" i="8"/>
  <c r="AY154" i="8"/>
  <c r="AY166" i="8"/>
  <c r="AY178" i="8"/>
  <c r="AY190" i="8"/>
  <c r="AY202" i="8"/>
  <c r="AY214" i="8"/>
  <c r="AY226" i="8"/>
  <c r="AY238" i="8"/>
  <c r="AY250" i="8"/>
  <c r="BA12" i="8"/>
  <c r="BA24" i="8"/>
  <c r="BA36" i="8"/>
  <c r="BA48" i="8"/>
  <c r="BA60" i="8"/>
  <c r="BA72" i="8"/>
  <c r="BA84" i="8"/>
  <c r="BA96" i="8"/>
  <c r="BA108" i="8"/>
  <c r="BA120" i="8"/>
  <c r="BA132" i="8"/>
  <c r="BA144" i="8"/>
  <c r="BA156" i="8"/>
  <c r="BA168" i="8"/>
  <c r="BA180" i="8"/>
  <c r="BA192" i="8"/>
  <c r="BA204" i="8"/>
  <c r="BA216" i="8"/>
  <c r="BA228" i="8"/>
  <c r="BA240" i="8"/>
  <c r="BC14" i="8"/>
  <c r="BC26" i="8"/>
  <c r="BC38" i="8"/>
  <c r="BC50" i="8"/>
  <c r="BC62" i="8"/>
  <c r="BC74" i="8"/>
  <c r="BC86" i="8"/>
  <c r="BC98" i="8"/>
  <c r="BC110" i="8"/>
  <c r="BC122" i="8"/>
  <c r="BC134" i="8"/>
  <c r="BC146" i="8"/>
  <c r="BC158" i="8"/>
  <c r="BC170" i="8"/>
  <c r="BC182" i="8"/>
  <c r="BC194" i="8"/>
  <c r="BC206" i="8"/>
  <c r="BC218" i="8"/>
  <c r="BC230" i="8"/>
  <c r="BC242" i="8"/>
  <c r="BE4" i="8"/>
  <c r="BE16" i="8"/>
  <c r="BE28" i="8"/>
  <c r="BE40" i="8"/>
  <c r="BE52" i="8"/>
  <c r="BE64" i="8"/>
  <c r="BE76" i="8"/>
  <c r="BE88" i="8"/>
  <c r="BE100" i="8"/>
  <c r="BE112" i="8"/>
  <c r="BE124" i="8"/>
  <c r="BE136" i="8"/>
  <c r="BE148" i="8"/>
  <c r="BE160" i="8"/>
  <c r="BE172" i="8"/>
  <c r="BE184" i="8"/>
  <c r="BE196" i="8"/>
  <c r="BE208" i="8"/>
  <c r="BE220" i="8"/>
  <c r="BE232" i="8"/>
  <c r="BE244" i="8"/>
  <c r="BI8" i="8"/>
  <c r="BI20" i="8"/>
  <c r="BI32" i="8"/>
  <c r="BI44" i="8"/>
  <c r="BI56" i="8"/>
  <c r="BI68" i="8"/>
  <c r="BI80" i="8"/>
  <c r="BI92" i="8"/>
  <c r="BI104" i="8"/>
  <c r="BI116" i="8"/>
  <c r="BI128" i="8"/>
  <c r="BI140" i="8"/>
  <c r="BI152" i="8"/>
  <c r="BI164" i="8"/>
  <c r="BI176" i="8"/>
  <c r="BI188" i="8"/>
  <c r="BI200" i="8"/>
  <c r="BI212" i="8"/>
  <c r="BI224" i="8"/>
  <c r="BI236" i="8"/>
  <c r="BI248" i="8"/>
  <c r="BK10" i="8"/>
  <c r="BK22" i="8"/>
  <c r="BK34" i="8"/>
  <c r="BK46" i="8"/>
  <c r="BK58" i="8"/>
  <c r="BK70" i="8"/>
  <c r="BK82" i="8"/>
  <c r="BK94" i="8"/>
  <c r="BK106" i="8"/>
  <c r="BK118" i="8"/>
  <c r="BK130" i="8"/>
  <c r="BK142" i="8"/>
  <c r="BK154" i="8"/>
  <c r="BK166" i="8"/>
  <c r="BK178" i="8"/>
  <c r="BK190" i="8"/>
  <c r="BK202" i="8"/>
  <c r="BK214" i="8"/>
  <c r="BK226" i="8"/>
  <c r="BK238" i="8"/>
  <c r="BQ40" i="8"/>
  <c r="AA129" i="8"/>
  <c r="AA141" i="8"/>
  <c r="AA153" i="8"/>
  <c r="AA165" i="8"/>
  <c r="AA177" i="8"/>
  <c r="AA189" i="8"/>
  <c r="AA201" i="8"/>
  <c r="AA213" i="8"/>
  <c r="AA225" i="8"/>
  <c r="AA237" i="8"/>
  <c r="AA249" i="8"/>
  <c r="AC11" i="8"/>
  <c r="AC23" i="8"/>
  <c r="AC35" i="8"/>
  <c r="AC47" i="8"/>
  <c r="AC59" i="8"/>
  <c r="AC71" i="8"/>
  <c r="AC83" i="8"/>
  <c r="AC95" i="8"/>
  <c r="AC107" i="8"/>
  <c r="AC119" i="8"/>
  <c r="AC131" i="8"/>
  <c r="AC143" i="8"/>
  <c r="AC155" i="8"/>
  <c r="AC167" i="8"/>
  <c r="AC179" i="8"/>
  <c r="AC191" i="8"/>
  <c r="AC203" i="8"/>
  <c r="AC215" i="8"/>
  <c r="AC227" i="8"/>
  <c r="AC239" i="8"/>
  <c r="AC251" i="8"/>
  <c r="AE13" i="8"/>
  <c r="AE25" i="8"/>
  <c r="AE37" i="8"/>
  <c r="AE49" i="8"/>
  <c r="AE61" i="8"/>
  <c r="AE73" i="8"/>
  <c r="AE85" i="8"/>
  <c r="AE97" i="8"/>
  <c r="AE109" i="8"/>
  <c r="AE121" i="8"/>
  <c r="AE133" i="8"/>
  <c r="AE145" i="8"/>
  <c r="AE157" i="8"/>
  <c r="AE169" i="8"/>
  <c r="AE181" i="8"/>
  <c r="AE193" i="8"/>
  <c r="AE205" i="8"/>
  <c r="AE217" i="8"/>
  <c r="AE229" i="8"/>
  <c r="AE241" i="8"/>
  <c r="AG14" i="8"/>
  <c r="AG26" i="8"/>
  <c r="AG38" i="8"/>
  <c r="AG50" i="8"/>
  <c r="AG62" i="8"/>
  <c r="AG74" i="8"/>
  <c r="AG86" i="8"/>
  <c r="AG98" i="8"/>
  <c r="AG110" i="8"/>
  <c r="AG122" i="8"/>
  <c r="AG134" i="8"/>
  <c r="AG146" i="8"/>
  <c r="AG158" i="8"/>
  <c r="AG170" i="8"/>
  <c r="AG182" i="8"/>
  <c r="AG194" i="8"/>
  <c r="AG206" i="8"/>
  <c r="AG218" i="8"/>
  <c r="AG230" i="8"/>
  <c r="AG242" i="8"/>
  <c r="AI4" i="8"/>
  <c r="AI16" i="8"/>
  <c r="AI28" i="8"/>
  <c r="AI40" i="8"/>
  <c r="AI52" i="8"/>
  <c r="AI64" i="8"/>
  <c r="AI76" i="8"/>
  <c r="AI88" i="8"/>
  <c r="AI100" i="8"/>
  <c r="AI112" i="8"/>
  <c r="AI124" i="8"/>
  <c r="AI136" i="8"/>
  <c r="AI148" i="8"/>
  <c r="AI160" i="8"/>
  <c r="AI172" i="8"/>
  <c r="AI184" i="8"/>
  <c r="AI196" i="8"/>
  <c r="AI208" i="8"/>
  <c r="AI220" i="8"/>
  <c r="AI232" i="8"/>
  <c r="AI244" i="8"/>
  <c r="AK6" i="8"/>
  <c r="AK18" i="8"/>
  <c r="AK30" i="8"/>
  <c r="AK42" i="8"/>
  <c r="AK54" i="8"/>
  <c r="AK66" i="8"/>
  <c r="AK78" i="8"/>
  <c r="AK90" i="8"/>
  <c r="AK102" i="8"/>
  <c r="AK114" i="8"/>
  <c r="AK126" i="8"/>
  <c r="AK138" i="8"/>
  <c r="AK150" i="8"/>
  <c r="AK162" i="8"/>
  <c r="AK174" i="8"/>
  <c r="AK186" i="8"/>
  <c r="AK198" i="8"/>
  <c r="AK210" i="8"/>
  <c r="AK222" i="8"/>
  <c r="AK234" i="8"/>
  <c r="AK246" i="8"/>
  <c r="AM8" i="8"/>
  <c r="AM20" i="8"/>
  <c r="AM32" i="8"/>
  <c r="AM44" i="8"/>
  <c r="AM56" i="8"/>
  <c r="AM68" i="8"/>
  <c r="AM80" i="8"/>
  <c r="AM92" i="8"/>
  <c r="AM104" i="8"/>
  <c r="AM116" i="8"/>
  <c r="AM128" i="8"/>
  <c r="AM140" i="8"/>
  <c r="AM152" i="8"/>
  <c r="AM164" i="8"/>
  <c r="AM176" i="8"/>
  <c r="AM188" i="8"/>
  <c r="AM200" i="8"/>
  <c r="AM212" i="8"/>
  <c r="AM224" i="8"/>
  <c r="AM236" i="8"/>
  <c r="AM248" i="8"/>
  <c r="AO10" i="8"/>
  <c r="AO22" i="8"/>
  <c r="AO34" i="8"/>
  <c r="AO46" i="8"/>
  <c r="AO58" i="8"/>
  <c r="AO70" i="8"/>
  <c r="AO82" i="8"/>
  <c r="AO94" i="8"/>
  <c r="AO106" i="8"/>
  <c r="AO118" i="8"/>
  <c r="AO130" i="8"/>
  <c r="AO142" i="8"/>
  <c r="AO154" i="8"/>
  <c r="AO166" i="8"/>
  <c r="AO178" i="8"/>
  <c r="AO190" i="8"/>
  <c r="AO202" i="8"/>
  <c r="AO214" i="8"/>
  <c r="AO226" i="8"/>
  <c r="AO238" i="8"/>
  <c r="AQ72" i="8"/>
  <c r="AU16" i="8"/>
  <c r="CA22" i="8"/>
  <c r="AG8" i="8"/>
  <c r="AG20" i="8"/>
  <c r="AG32" i="8"/>
  <c r="AG44" i="8"/>
  <c r="AG56" i="8"/>
  <c r="AG68" i="8"/>
  <c r="AG80" i="8"/>
  <c r="AG92" i="8"/>
  <c r="AG104" i="8"/>
  <c r="AG116" i="8"/>
  <c r="AG128" i="8"/>
  <c r="AG140" i="8"/>
  <c r="AG152" i="8"/>
  <c r="AG164" i="8"/>
  <c r="AG176" i="8"/>
  <c r="AG188" i="8"/>
  <c r="AG200" i="8"/>
  <c r="AG212" i="8"/>
  <c r="AG224" i="8"/>
  <c r="AG236" i="8"/>
  <c r="AG248" i="8"/>
  <c r="AI10" i="8"/>
  <c r="AI22" i="8"/>
  <c r="AI34" i="8"/>
  <c r="AI46" i="8"/>
  <c r="AI58" i="8"/>
  <c r="AI70" i="8"/>
  <c r="AI82" i="8"/>
  <c r="AI94" i="8"/>
  <c r="AI106" i="8"/>
  <c r="AI118" i="8"/>
  <c r="AI130" i="8"/>
  <c r="AI142" i="8"/>
  <c r="AI154" i="8"/>
  <c r="AI166" i="8"/>
  <c r="AI178" i="8"/>
  <c r="AI190" i="8"/>
  <c r="AI202" i="8"/>
  <c r="AI214" i="8"/>
  <c r="AI226" i="8"/>
  <c r="AI238" i="8"/>
  <c r="AI250" i="8"/>
  <c r="AK12" i="8"/>
  <c r="AK24" i="8"/>
  <c r="AK36" i="8"/>
  <c r="AK48" i="8"/>
  <c r="AK60" i="8"/>
  <c r="AK72" i="8"/>
  <c r="AK84" i="8"/>
  <c r="AK96" i="8"/>
  <c r="AK108" i="8"/>
  <c r="AK120" i="8"/>
  <c r="AK132" i="8"/>
  <c r="AK144" i="8"/>
  <c r="AK156" i="8"/>
  <c r="AK168" i="8"/>
  <c r="AK180" i="8"/>
  <c r="AK192" i="8"/>
  <c r="AK204" i="8"/>
  <c r="AK216" i="8"/>
  <c r="AK228" i="8"/>
  <c r="AK240" i="8"/>
  <c r="AM14" i="8"/>
  <c r="AM26" i="8"/>
  <c r="AM38" i="8"/>
  <c r="AM50" i="8"/>
  <c r="AM62" i="8"/>
  <c r="AM74" i="8"/>
  <c r="AM86" i="8"/>
  <c r="AM98" i="8"/>
  <c r="AM110" i="8"/>
  <c r="AM122" i="8"/>
  <c r="AM134" i="8"/>
  <c r="AM146" i="8"/>
  <c r="AM158" i="8"/>
  <c r="AM170" i="8"/>
  <c r="AM182" i="8"/>
  <c r="AM194" i="8"/>
  <c r="AM206" i="8"/>
  <c r="AM218" i="8"/>
  <c r="AM230" i="8"/>
  <c r="AM242" i="8"/>
  <c r="AO4" i="8"/>
  <c r="AO16" i="8"/>
  <c r="AO28" i="8"/>
  <c r="AO40" i="8"/>
  <c r="AO52" i="8"/>
  <c r="AO64" i="8"/>
  <c r="AO76" i="8"/>
  <c r="AO88" i="8"/>
  <c r="AO100" i="8"/>
  <c r="AO112" i="8"/>
  <c r="AO124" i="8"/>
  <c r="AO136" i="8"/>
  <c r="AO148" i="8"/>
  <c r="AO160" i="8"/>
  <c r="AO172" i="8"/>
  <c r="AO184" i="8"/>
  <c r="AO196" i="8"/>
  <c r="AO208" i="8"/>
  <c r="AO220" i="8"/>
  <c r="AO232" i="8"/>
  <c r="AO244" i="8"/>
  <c r="AQ6" i="8"/>
  <c r="AQ18" i="8"/>
  <c r="AQ30" i="8"/>
  <c r="AQ42" i="8"/>
  <c r="AQ54" i="8"/>
  <c r="AQ66" i="8"/>
  <c r="AQ78" i="8"/>
  <c r="AQ90" i="8"/>
  <c r="AQ102" i="8"/>
  <c r="AQ114" i="8"/>
  <c r="AQ126" i="8"/>
  <c r="AQ138" i="8"/>
  <c r="AQ150" i="8"/>
  <c r="AQ162" i="8"/>
  <c r="AQ174" i="8"/>
  <c r="AQ186" i="8"/>
  <c r="AQ198" i="8"/>
  <c r="AQ210" i="8"/>
  <c r="AQ222" i="8"/>
  <c r="AQ234" i="8"/>
  <c r="AQ246" i="8"/>
  <c r="AS8" i="8"/>
  <c r="AS20" i="8"/>
  <c r="AS32" i="8"/>
  <c r="AS44" i="8"/>
  <c r="AS56" i="8"/>
  <c r="AS68" i="8"/>
  <c r="AS80" i="8"/>
  <c r="AS92" i="8"/>
  <c r="AS104" i="8"/>
  <c r="AS116" i="8"/>
  <c r="AS128" i="8"/>
  <c r="AS140" i="8"/>
  <c r="AS152" i="8"/>
  <c r="AS164" i="8"/>
  <c r="AS176" i="8"/>
  <c r="AS188" i="8"/>
  <c r="AS200" i="8"/>
  <c r="AS212" i="8"/>
  <c r="AS224" i="8"/>
  <c r="AS236" i="8"/>
  <c r="AS248" i="8"/>
  <c r="AU10" i="8"/>
  <c r="AU22" i="8"/>
  <c r="AU34" i="8"/>
  <c r="AU46" i="8"/>
  <c r="AU58" i="8"/>
  <c r="AU70" i="8"/>
  <c r="AU82" i="8"/>
  <c r="AU94" i="8"/>
  <c r="AU106" i="8"/>
  <c r="AU118" i="8"/>
  <c r="AU130" i="8"/>
  <c r="AU142" i="8"/>
  <c r="AU154" i="8"/>
  <c r="AU166" i="8"/>
  <c r="AU178" i="8"/>
  <c r="AU190" i="8"/>
  <c r="AU202" i="8"/>
  <c r="AU214" i="8"/>
  <c r="AU226" i="8"/>
  <c r="AU238" i="8"/>
  <c r="AU250" i="8"/>
  <c r="AW12" i="8"/>
  <c r="AW24" i="8"/>
  <c r="AW36" i="8"/>
  <c r="AW48" i="8"/>
  <c r="AW60" i="8"/>
  <c r="AW72" i="8"/>
  <c r="AW84" i="8"/>
  <c r="AW96" i="8"/>
  <c r="AW108" i="8"/>
  <c r="AW120" i="8"/>
  <c r="AW132" i="8"/>
  <c r="AW144" i="8"/>
  <c r="AW156" i="8"/>
  <c r="AW168" i="8"/>
  <c r="AW180" i="8"/>
  <c r="AW192" i="8"/>
  <c r="AW204" i="8"/>
  <c r="AW216" i="8"/>
  <c r="AW228" i="8"/>
  <c r="AW240" i="8"/>
  <c r="AY14" i="8"/>
  <c r="AY26" i="8"/>
  <c r="AY38" i="8"/>
  <c r="AY50" i="8"/>
  <c r="AY62" i="8"/>
  <c r="AY74" i="8"/>
  <c r="AY86" i="8"/>
  <c r="AY98" i="8"/>
  <c r="AY110" i="8"/>
  <c r="AY122" i="8"/>
  <c r="AY134" i="8"/>
  <c r="AY146" i="8"/>
  <c r="AY158" i="8"/>
  <c r="AY170" i="8"/>
  <c r="AY182" i="8"/>
  <c r="AY194" i="8"/>
  <c r="AY206" i="8"/>
  <c r="AY218" i="8"/>
  <c r="AY230" i="8"/>
  <c r="AY242" i="8"/>
  <c r="BA4" i="8"/>
  <c r="BA16" i="8"/>
  <c r="BA28" i="8"/>
  <c r="BA40" i="8"/>
  <c r="BA52" i="8"/>
  <c r="BA64" i="8"/>
  <c r="BA76" i="8"/>
  <c r="BA88" i="8"/>
  <c r="BA100" i="8"/>
  <c r="BA112" i="8"/>
  <c r="BA124" i="8"/>
  <c r="BA136" i="8"/>
  <c r="BA148" i="8"/>
  <c r="BA160" i="8"/>
  <c r="BA172" i="8"/>
  <c r="BA184" i="8"/>
  <c r="BA196" i="8"/>
  <c r="BA208" i="8"/>
  <c r="BA220" i="8"/>
  <c r="BA232" i="8"/>
  <c r="BA244" i="8"/>
  <c r="BC6" i="8"/>
  <c r="BC18" i="8"/>
  <c r="BC30" i="8"/>
  <c r="BC42" i="8"/>
  <c r="BC54" i="8"/>
  <c r="BC66" i="8"/>
  <c r="BC78" i="8"/>
  <c r="BC90" i="8"/>
  <c r="BC102" i="8"/>
  <c r="BC114" i="8"/>
  <c r="BC126" i="8"/>
  <c r="BC138" i="8"/>
  <c r="BC150" i="8"/>
  <c r="BC162" i="8"/>
  <c r="BC174" i="8"/>
  <c r="BC186" i="8"/>
  <c r="BC198" i="8"/>
  <c r="BC210" i="8"/>
  <c r="BC222" i="8"/>
  <c r="BC234" i="8"/>
  <c r="BC246" i="8"/>
  <c r="BE8" i="8"/>
  <c r="BK86" i="8"/>
  <c r="BK98" i="8"/>
  <c r="BU60" i="8"/>
  <c r="BU72" i="8"/>
  <c r="BU84" i="8"/>
  <c r="BU96" i="8"/>
  <c r="BU216" i="8"/>
  <c r="AK134" i="8"/>
  <c r="AK146" i="8"/>
  <c r="AK158" i="8"/>
  <c r="AK170" i="8"/>
  <c r="AK182" i="8"/>
  <c r="AK194" i="8"/>
  <c r="AK206" i="8"/>
  <c r="AK218" i="8"/>
  <c r="AK230" i="8"/>
  <c r="AK242" i="8"/>
  <c r="AM4" i="8"/>
  <c r="AM16" i="8"/>
  <c r="AM28" i="8"/>
  <c r="AM40" i="8"/>
  <c r="AM52" i="8"/>
  <c r="AM76" i="8"/>
  <c r="AM88" i="8"/>
  <c r="AM100" i="8"/>
  <c r="AM112" i="8"/>
  <c r="AM124" i="8"/>
  <c r="AM136" i="8"/>
  <c r="AM148" i="8"/>
  <c r="AM160" i="8"/>
  <c r="AM172" i="8"/>
  <c r="AM184" i="8"/>
  <c r="AM196" i="8"/>
  <c r="AM208" i="8"/>
  <c r="AM220" i="8"/>
  <c r="AM232" i="8"/>
  <c r="AM244" i="8"/>
  <c r="AO6" i="8"/>
  <c r="AO18" i="8"/>
  <c r="AO30" i="8"/>
  <c r="AO42" i="8"/>
  <c r="AO54" i="8"/>
  <c r="AO66" i="8"/>
  <c r="AO78" i="8"/>
  <c r="AO90" i="8"/>
  <c r="AO102" i="8"/>
  <c r="AO114" i="8"/>
  <c r="AO126" i="8"/>
  <c r="AO138" i="8"/>
  <c r="AO150" i="8"/>
  <c r="AO162" i="8"/>
  <c r="AO174" i="8"/>
  <c r="AO186" i="8"/>
  <c r="AO198" i="8"/>
  <c r="AO210" i="8"/>
  <c r="AO222" i="8"/>
  <c r="AO234" i="8"/>
  <c r="AO246" i="8"/>
  <c r="AQ8" i="8"/>
  <c r="AQ20" i="8"/>
  <c r="AQ32" i="8"/>
  <c r="AQ44" i="8"/>
  <c r="AQ56" i="8"/>
  <c r="AQ68" i="8"/>
  <c r="AQ80" i="8"/>
  <c r="AQ92" i="8"/>
  <c r="AQ104" i="8"/>
  <c r="AQ116" i="8"/>
  <c r="AQ128" i="8"/>
  <c r="AQ140" i="8"/>
  <c r="AQ152" i="8"/>
  <c r="AQ164" i="8"/>
  <c r="AQ176" i="8"/>
  <c r="AQ188" i="8"/>
  <c r="AQ200" i="8"/>
  <c r="AQ212" i="8"/>
  <c r="AQ224" i="8"/>
  <c r="AQ236" i="8"/>
  <c r="AQ248" i="8"/>
  <c r="AS10" i="8"/>
  <c r="AS22" i="8"/>
  <c r="AS34" i="8"/>
  <c r="AS46" i="8"/>
  <c r="AS58" i="8"/>
  <c r="AS70" i="8"/>
  <c r="AS82" i="8"/>
  <c r="AS94" i="8"/>
  <c r="AS106" i="8"/>
  <c r="AS118" i="8"/>
  <c r="AS130" i="8"/>
  <c r="AS142" i="8"/>
  <c r="AS154" i="8"/>
  <c r="AS166" i="8"/>
  <c r="AS178" i="8"/>
  <c r="AS190" i="8"/>
  <c r="AS202" i="8"/>
  <c r="AS214" i="8"/>
  <c r="AS226" i="8"/>
  <c r="AS238" i="8"/>
  <c r="AS250" i="8"/>
  <c r="AU12" i="8"/>
  <c r="AU24" i="8"/>
  <c r="AU36" i="8"/>
  <c r="AU48" i="8"/>
  <c r="AU60" i="8"/>
  <c r="AU72" i="8"/>
  <c r="AU84" i="8"/>
  <c r="AU96" i="8"/>
  <c r="AU108" i="8"/>
  <c r="AU120" i="8"/>
  <c r="AU132" i="8"/>
  <c r="AU144" i="8"/>
  <c r="AU156" i="8"/>
  <c r="AU168" i="8"/>
  <c r="AU180" i="8"/>
  <c r="AU192" i="8"/>
  <c r="AU204" i="8"/>
  <c r="AU216" i="8"/>
  <c r="AU228" i="8"/>
  <c r="AU240" i="8"/>
  <c r="AW14" i="8"/>
  <c r="AW26" i="8"/>
  <c r="AW38" i="8"/>
  <c r="AW50" i="8"/>
  <c r="AW62" i="8"/>
  <c r="AW74" i="8"/>
  <c r="AW86" i="8"/>
  <c r="AW98" i="8"/>
  <c r="AW110" i="8"/>
  <c r="AW122" i="8"/>
  <c r="AW134" i="8"/>
  <c r="AW146" i="8"/>
  <c r="AW158" i="8"/>
  <c r="AW170" i="8"/>
  <c r="AW182" i="8"/>
  <c r="AW194" i="8"/>
  <c r="AW206" i="8"/>
  <c r="AW218" i="8"/>
  <c r="AW230" i="8"/>
  <c r="AW242" i="8"/>
  <c r="AY4" i="8"/>
  <c r="AY16" i="8"/>
  <c r="AY28" i="8"/>
  <c r="AY40" i="8"/>
  <c r="AY52" i="8"/>
  <c r="AY64" i="8"/>
  <c r="AY76" i="8"/>
  <c r="AY88" i="8"/>
  <c r="AY100" i="8"/>
  <c r="AY124" i="8"/>
  <c r="AY136" i="8"/>
  <c r="AY148" i="8"/>
  <c r="AY160" i="8"/>
  <c r="AY172" i="8"/>
  <c r="AY184" i="8"/>
  <c r="AY196" i="8"/>
  <c r="AY208" i="8"/>
  <c r="AY220" i="8"/>
  <c r="AY232" i="8"/>
  <c r="AY244" i="8"/>
  <c r="BA6" i="8"/>
  <c r="BA18" i="8"/>
  <c r="BA30" i="8"/>
  <c r="BA42" i="8"/>
  <c r="BA54" i="8"/>
  <c r="BA66" i="8"/>
  <c r="BA78" i="8"/>
  <c r="BA90" i="8"/>
  <c r="BA102" i="8"/>
  <c r="BA114" i="8"/>
  <c r="BA126" i="8"/>
  <c r="BA138" i="8"/>
  <c r="BA150" i="8"/>
  <c r="BA162" i="8"/>
  <c r="BA174" i="8"/>
  <c r="BA186" i="8"/>
  <c r="BA198" i="8"/>
  <c r="BA210" i="8"/>
  <c r="BA222" i="8"/>
  <c r="BA234" i="8"/>
  <c r="BA246" i="8"/>
  <c r="BE10" i="8"/>
  <c r="BE22" i="8"/>
  <c r="BE34" i="8"/>
  <c r="BE46" i="8"/>
  <c r="BE58" i="8"/>
  <c r="BE70" i="8"/>
  <c r="BE82" i="8"/>
  <c r="BE94" i="8"/>
  <c r="BE106" i="8"/>
  <c r="BE118" i="8"/>
  <c r="BE130" i="8"/>
  <c r="BE142" i="8"/>
  <c r="BE154" i="8"/>
  <c r="BE166" i="8"/>
  <c r="BE178" i="8"/>
  <c r="BE190" i="8"/>
  <c r="BE202" i="8"/>
  <c r="BE214" i="8"/>
  <c r="BE226" i="8"/>
  <c r="BE238" i="8"/>
  <c r="BE250" i="8"/>
  <c r="BG12" i="8"/>
  <c r="BG36" i="8"/>
  <c r="BG48" i="8"/>
  <c r="BG60" i="8"/>
  <c r="BG72" i="8"/>
  <c r="BG84" i="8"/>
  <c r="BG96" i="8"/>
  <c r="BG132" i="8"/>
  <c r="BG144" i="8"/>
  <c r="BG156" i="8"/>
  <c r="BG168" i="8"/>
  <c r="BG180" i="8"/>
  <c r="BG192" i="8"/>
  <c r="BG204" i="8"/>
  <c r="BG216" i="8"/>
  <c r="BG228" i="8"/>
  <c r="BG240" i="8"/>
  <c r="BI14" i="8"/>
  <c r="BI26" i="8"/>
  <c r="BI38" i="8"/>
  <c r="BI50" i="8"/>
  <c r="BI62" i="8"/>
  <c r="BI74" i="8"/>
  <c r="BI86" i="8"/>
  <c r="BI98" i="8"/>
  <c r="BI110" i="8"/>
  <c r="BI122" i="8"/>
  <c r="BI134" i="8"/>
  <c r="BI146" i="8"/>
  <c r="BI158" i="8"/>
  <c r="BI170" i="8"/>
  <c r="BI182" i="8"/>
  <c r="BI194" i="8"/>
  <c r="BI206" i="8"/>
  <c r="BI218" i="8"/>
  <c r="BI230" i="8"/>
  <c r="BI242" i="8"/>
  <c r="BK4" i="8"/>
  <c r="BK16" i="8"/>
  <c r="BK28" i="8"/>
  <c r="BK40" i="8"/>
  <c r="BK52" i="8"/>
  <c r="BK64" i="8"/>
  <c r="BK76" i="8"/>
  <c r="BK88" i="8"/>
  <c r="BM6" i="8"/>
  <c r="BM18" i="8"/>
  <c r="BM30" i="8"/>
  <c r="BM42" i="8"/>
  <c r="BM54" i="8"/>
  <c r="BM66" i="8"/>
  <c r="BM78" i="8"/>
  <c r="BM90" i="8"/>
  <c r="BM102" i="8"/>
  <c r="BM114" i="8"/>
  <c r="BM126" i="8"/>
  <c r="BM138" i="8"/>
  <c r="BM150" i="8"/>
  <c r="BM162" i="8"/>
  <c r="BM174" i="8"/>
  <c r="BM186" i="8"/>
  <c r="BM198" i="8"/>
  <c r="BM210" i="8"/>
  <c r="BM222" i="8"/>
  <c r="BM234" i="8"/>
  <c r="BM246" i="8"/>
  <c r="BO8" i="8"/>
  <c r="BO20" i="8"/>
  <c r="BO32" i="8"/>
  <c r="BO44" i="8"/>
  <c r="BO56" i="8"/>
  <c r="BO68" i="8"/>
  <c r="BO80" i="8"/>
  <c r="BO92" i="8"/>
  <c r="BO104" i="8"/>
  <c r="BO116" i="8"/>
  <c r="BO128" i="8"/>
  <c r="BO140" i="8"/>
  <c r="BO152" i="8"/>
  <c r="BO164" i="8"/>
  <c r="BO176" i="8"/>
  <c r="BO188" i="8"/>
  <c r="BO200" i="8"/>
  <c r="BO212" i="8"/>
  <c r="BO224" i="8"/>
  <c r="BO236" i="8"/>
  <c r="BO248" i="8"/>
  <c r="BQ10" i="8"/>
  <c r="BQ22" i="8"/>
  <c r="BQ34" i="8"/>
  <c r="BQ46" i="8"/>
  <c r="BQ58" i="8"/>
  <c r="BQ70" i="8"/>
  <c r="BQ82" i="8"/>
  <c r="BQ94" i="8"/>
  <c r="BQ106" i="8"/>
  <c r="BQ118" i="8"/>
  <c r="BQ130" i="8"/>
  <c r="BQ142" i="8"/>
  <c r="BQ154" i="8"/>
  <c r="BQ166" i="8"/>
  <c r="BQ178" i="8"/>
  <c r="BQ190" i="8"/>
  <c r="BQ202" i="8"/>
  <c r="BQ214" i="8"/>
  <c r="BQ226" i="8"/>
  <c r="BQ238" i="8"/>
  <c r="BQ250" i="8"/>
  <c r="BU14" i="8"/>
  <c r="BU26" i="8"/>
  <c r="BU38" i="8"/>
  <c r="BU50" i="8"/>
  <c r="BU62" i="8"/>
  <c r="BU74" i="8"/>
  <c r="BU86" i="8"/>
  <c r="BU98" i="8"/>
  <c r="BU182" i="8"/>
  <c r="BU206" i="8"/>
  <c r="BU218" i="8"/>
  <c r="BU230" i="8"/>
  <c r="BY30" i="8"/>
  <c r="BY138" i="8"/>
  <c r="BY150" i="8"/>
  <c r="BY162" i="8"/>
  <c r="BY174" i="8"/>
  <c r="BY186" i="8"/>
  <c r="CA176" i="8"/>
  <c r="CA200" i="8"/>
  <c r="CA212" i="8"/>
  <c r="CA224" i="8"/>
  <c r="CC70" i="8"/>
  <c r="CC82" i="8"/>
  <c r="CC238" i="8"/>
  <c r="CE12" i="8"/>
  <c r="CE108" i="8"/>
  <c r="CE120" i="8"/>
  <c r="CE132" i="8"/>
  <c r="CE144" i="8"/>
  <c r="CI138" i="8"/>
  <c r="CA33" i="8"/>
  <c r="CA34" i="8"/>
  <c r="CC239" i="8"/>
  <c r="CC240" i="8"/>
  <c r="CE157" i="8"/>
  <c r="CE158" i="8"/>
  <c r="CE169" i="8"/>
  <c r="CE170" i="8"/>
  <c r="CE181" i="8"/>
  <c r="CE182" i="8"/>
  <c r="AI74" i="8"/>
  <c r="AI86" i="8"/>
  <c r="AI98" i="8"/>
  <c r="AI110" i="8"/>
  <c r="AI122" i="8"/>
  <c r="AI134" i="8"/>
  <c r="AI146" i="8"/>
  <c r="AI158" i="8"/>
  <c r="AI170" i="8"/>
  <c r="AI182" i="8"/>
  <c r="AI194" i="8"/>
  <c r="AI206" i="8"/>
  <c r="AI218" i="8"/>
  <c r="AI230" i="8"/>
  <c r="AI242" i="8"/>
  <c r="AK4" i="8"/>
  <c r="AK16" i="8"/>
  <c r="AK28" i="8"/>
  <c r="AK40" i="8"/>
  <c r="AK76" i="8"/>
  <c r="AK88" i="8"/>
  <c r="AK100" i="8"/>
  <c r="AK112" i="8"/>
  <c r="AK124" i="8"/>
  <c r="AK136" i="8"/>
  <c r="AK148" i="8"/>
  <c r="AK160" i="8"/>
  <c r="AK172" i="8"/>
  <c r="AK184" i="8"/>
  <c r="AK196" i="8"/>
  <c r="AK208" i="8"/>
  <c r="AK220" i="8"/>
  <c r="AK232" i="8"/>
  <c r="AK244" i="8"/>
  <c r="AM6" i="8"/>
  <c r="AM18" i="8"/>
  <c r="AM30" i="8"/>
  <c r="AM42" i="8"/>
  <c r="AM54" i="8"/>
  <c r="AM66" i="8"/>
  <c r="AM78" i="8"/>
  <c r="AM90" i="8"/>
  <c r="AM102" i="8"/>
  <c r="AM114" i="8"/>
  <c r="AM126" i="8"/>
  <c r="AM138" i="8"/>
  <c r="AM150" i="8"/>
  <c r="AM174" i="8"/>
  <c r="AM186" i="8"/>
  <c r="AM198" i="8"/>
  <c r="AM210" i="8"/>
  <c r="AM222" i="8"/>
  <c r="AM234" i="8"/>
  <c r="AM246" i="8"/>
  <c r="AO8" i="8"/>
  <c r="AO20" i="8"/>
  <c r="AO32" i="8"/>
  <c r="AO44" i="8"/>
  <c r="AO56" i="8"/>
  <c r="AO68" i="8"/>
  <c r="AO80" i="8"/>
  <c r="AO92" i="8"/>
  <c r="AO104" i="8"/>
  <c r="AO116" i="8"/>
  <c r="AO128" i="8"/>
  <c r="AO140" i="8"/>
  <c r="AO152" i="8"/>
  <c r="AO164" i="8"/>
  <c r="AO176" i="8"/>
  <c r="AO188" i="8"/>
  <c r="AO200" i="8"/>
  <c r="AO212" i="8"/>
  <c r="AO224" i="8"/>
  <c r="AO236" i="8"/>
  <c r="AO248" i="8"/>
  <c r="AQ10" i="8"/>
  <c r="AQ22" i="8"/>
  <c r="AQ34" i="8"/>
  <c r="AQ46" i="8"/>
  <c r="AQ58" i="8"/>
  <c r="AQ70" i="8"/>
  <c r="AQ82" i="8"/>
  <c r="AQ94" i="8"/>
  <c r="AQ106" i="8"/>
  <c r="AQ118" i="8"/>
  <c r="AQ130" i="8"/>
  <c r="AQ142" i="8"/>
  <c r="AQ154" i="8"/>
  <c r="AQ166" i="8"/>
  <c r="AQ178" i="8"/>
  <c r="AQ190" i="8"/>
  <c r="AQ202" i="8"/>
  <c r="AQ214" i="8"/>
  <c r="AQ226" i="8"/>
  <c r="AQ238" i="8"/>
  <c r="AQ250" i="8"/>
  <c r="AS12" i="8"/>
  <c r="AS24" i="8"/>
  <c r="AS36" i="8"/>
  <c r="AS48" i="8"/>
  <c r="AS60" i="8"/>
  <c r="AS72" i="8"/>
  <c r="AS84" i="8"/>
  <c r="AS96" i="8"/>
  <c r="AS108" i="8"/>
  <c r="AS120" i="8"/>
  <c r="AS132" i="8"/>
  <c r="AS144" i="8"/>
  <c r="AS156" i="8"/>
  <c r="AS168" i="8"/>
  <c r="AS180" i="8"/>
  <c r="AS192" i="8"/>
  <c r="AS204" i="8"/>
  <c r="AS216" i="8"/>
  <c r="AS228" i="8"/>
  <c r="AS240" i="8"/>
  <c r="AU14" i="8"/>
  <c r="AU26" i="8"/>
  <c r="AU38" i="8"/>
  <c r="AU50" i="8"/>
  <c r="AU62" i="8"/>
  <c r="AU74" i="8"/>
  <c r="AU86" i="8"/>
  <c r="AU98" i="8"/>
  <c r="AU110" i="8"/>
  <c r="AU122" i="8"/>
  <c r="AU134" i="8"/>
  <c r="AU146" i="8"/>
  <c r="AU158" i="8"/>
  <c r="AU170" i="8"/>
  <c r="AU182" i="8"/>
  <c r="AU194" i="8"/>
  <c r="AU206" i="8"/>
  <c r="AU218" i="8"/>
  <c r="AU230" i="8"/>
  <c r="AU242" i="8"/>
  <c r="AW4" i="8"/>
  <c r="AW16" i="8"/>
  <c r="AW28" i="8"/>
  <c r="AW40" i="8"/>
  <c r="AW52" i="8"/>
  <c r="AW64" i="8"/>
  <c r="AW76" i="8"/>
  <c r="AW88" i="8"/>
  <c r="AW100" i="8"/>
  <c r="AW112" i="8"/>
  <c r="AW124" i="8"/>
  <c r="AW136" i="8"/>
  <c r="AW148" i="8"/>
  <c r="AW160" i="8"/>
  <c r="AW172" i="8"/>
  <c r="AW184" i="8"/>
  <c r="AW196" i="8"/>
  <c r="AW208" i="8"/>
  <c r="AW220" i="8"/>
  <c r="AW232" i="8"/>
  <c r="AW244" i="8"/>
  <c r="AY6" i="8"/>
  <c r="AY18" i="8"/>
  <c r="AY30" i="8"/>
  <c r="AY42" i="8"/>
  <c r="AY54" i="8"/>
  <c r="AY66" i="8"/>
  <c r="AY78" i="8"/>
  <c r="AY90" i="8"/>
  <c r="AY102" i="8"/>
  <c r="AY114" i="8"/>
  <c r="AY126" i="8"/>
  <c r="AY138" i="8"/>
  <c r="AY150" i="8"/>
  <c r="AY162" i="8"/>
  <c r="AY174" i="8"/>
  <c r="AY186" i="8"/>
  <c r="AY210" i="8"/>
  <c r="AY222" i="8"/>
  <c r="AY234" i="8"/>
  <c r="AY246" i="8"/>
  <c r="BA8" i="8"/>
  <c r="BA20" i="8"/>
  <c r="BA32" i="8"/>
  <c r="BA44" i="8"/>
  <c r="BA56" i="8"/>
  <c r="BA68" i="8"/>
  <c r="BA80" i="8"/>
  <c r="BA92" i="8"/>
  <c r="BA104" i="8"/>
  <c r="BA116" i="8"/>
  <c r="BA128" i="8"/>
  <c r="BA140" i="8"/>
  <c r="BA152" i="8"/>
  <c r="BA164" i="8"/>
  <c r="BA176" i="8"/>
  <c r="BA188" i="8"/>
  <c r="BA200" i="8"/>
  <c r="BA212" i="8"/>
  <c r="BA224" i="8"/>
  <c r="BA236" i="8"/>
  <c r="BA248" i="8"/>
  <c r="BC10" i="8"/>
  <c r="BC22" i="8"/>
  <c r="BC34" i="8"/>
  <c r="BC46" i="8"/>
  <c r="BC58" i="8"/>
  <c r="BC70" i="8"/>
  <c r="BC82" i="8"/>
  <c r="BC94" i="8"/>
  <c r="BC106" i="8"/>
  <c r="BC118" i="8"/>
  <c r="BC130" i="8"/>
  <c r="BC142" i="8"/>
  <c r="BC154" i="8"/>
  <c r="BC166" i="8"/>
  <c r="BC178" i="8"/>
  <c r="BC190" i="8"/>
  <c r="BC202" i="8"/>
  <c r="BC214" i="8"/>
  <c r="BC226" i="8"/>
  <c r="BC238" i="8"/>
  <c r="BC250" i="8"/>
  <c r="BE12" i="8"/>
  <c r="BE24" i="8"/>
  <c r="BE36" i="8"/>
  <c r="BE48" i="8"/>
  <c r="BE60" i="8"/>
  <c r="BE72" i="8"/>
  <c r="BE84" i="8"/>
  <c r="BE96" i="8"/>
  <c r="BE108" i="8"/>
  <c r="BE156" i="8"/>
  <c r="BE168" i="8"/>
  <c r="BE180" i="8"/>
  <c r="BE192" i="8"/>
  <c r="BE204" i="8"/>
  <c r="BE216" i="8"/>
  <c r="BE228" i="8"/>
  <c r="BE240" i="8"/>
  <c r="BI4" i="8"/>
  <c r="BI16" i="8"/>
  <c r="BI28" i="8"/>
  <c r="BI40" i="8"/>
  <c r="BI52" i="8"/>
  <c r="BI64" i="8"/>
  <c r="BI76" i="8"/>
  <c r="BI88" i="8"/>
  <c r="BI100" i="8"/>
  <c r="BI112" i="8"/>
  <c r="BI124" i="8"/>
  <c r="BI136" i="8"/>
  <c r="BI148" i="8"/>
  <c r="BI160" i="8"/>
  <c r="BI172" i="8"/>
  <c r="BI184" i="8"/>
  <c r="BI208" i="8"/>
  <c r="BI220" i="8"/>
  <c r="BI232" i="8"/>
  <c r="BI244" i="8"/>
  <c r="BK6" i="8"/>
  <c r="BK18" i="8"/>
  <c r="BK30" i="8"/>
  <c r="BK42" i="8"/>
  <c r="BK54" i="8"/>
  <c r="BK66" i="8"/>
  <c r="BK78" i="8"/>
  <c r="BK90" i="8"/>
  <c r="BK102" i="8"/>
  <c r="BK114" i="8"/>
  <c r="BK126" i="8"/>
  <c r="BK138" i="8"/>
  <c r="BK150" i="8"/>
  <c r="BK162" i="8"/>
  <c r="BK174" i="8"/>
  <c r="BK186" i="8"/>
  <c r="BK198" i="8"/>
  <c r="BK210" i="8"/>
  <c r="BK222" i="8"/>
  <c r="BK234" i="8"/>
  <c r="BK246" i="8"/>
  <c r="BM8" i="8"/>
  <c r="BM20" i="8"/>
  <c r="BM32" i="8"/>
  <c r="BM44" i="8"/>
  <c r="BM56" i="8"/>
  <c r="BM68" i="8"/>
  <c r="BM80" i="8"/>
  <c r="BM92" i="8"/>
  <c r="BM104" i="8"/>
  <c r="BM116" i="8"/>
  <c r="BM128" i="8"/>
  <c r="BM140" i="8"/>
  <c r="BM152" i="8"/>
  <c r="BM164" i="8"/>
  <c r="BM176" i="8"/>
  <c r="BM188" i="8"/>
  <c r="BM200" i="8"/>
  <c r="BM212" i="8"/>
  <c r="BM224" i="8"/>
  <c r="BM236" i="8"/>
  <c r="BM248" i="8"/>
  <c r="BQ12" i="8"/>
  <c r="BQ24" i="8"/>
  <c r="BQ36" i="8"/>
  <c r="BQ48" i="8"/>
  <c r="BQ60" i="8"/>
  <c r="BQ72" i="8"/>
  <c r="BQ84" i="8"/>
  <c r="BQ96" i="8"/>
  <c r="BQ108" i="8"/>
  <c r="BQ120" i="8"/>
  <c r="BQ132" i="8"/>
  <c r="BQ144" i="8"/>
  <c r="BQ156" i="8"/>
  <c r="BQ168" i="8"/>
  <c r="BQ180" i="8"/>
  <c r="BQ192" i="8"/>
  <c r="BQ204" i="8"/>
  <c r="BQ216" i="8"/>
  <c r="BQ228" i="8"/>
  <c r="BQ240" i="8"/>
  <c r="BS14" i="8"/>
  <c r="BS26" i="8"/>
  <c r="BS38" i="8"/>
  <c r="BS50" i="8"/>
  <c r="BS62" i="8"/>
  <c r="BS74" i="8"/>
  <c r="BS98" i="8"/>
  <c r="BS110" i="8"/>
  <c r="CA46" i="8"/>
  <c r="CA250" i="8"/>
  <c r="CC96" i="8"/>
  <c r="CC108" i="8"/>
  <c r="CC120" i="8"/>
  <c r="CC132" i="8"/>
  <c r="BE20" i="8"/>
  <c r="BE32" i="8"/>
  <c r="BE44" i="8"/>
  <c r="BE56" i="8"/>
  <c r="BE68" i="8"/>
  <c r="BE80" i="8"/>
  <c r="BE92" i="8"/>
  <c r="BE104" i="8"/>
  <c r="BE116" i="8"/>
  <c r="BE128" i="8"/>
  <c r="BE140" i="8"/>
  <c r="BE152" i="8"/>
  <c r="BE164" i="8"/>
  <c r="BE176" i="8"/>
  <c r="BE188" i="8"/>
  <c r="BE200" i="8"/>
  <c r="BE212" i="8"/>
  <c r="BE224" i="8"/>
  <c r="BE236" i="8"/>
  <c r="BE248" i="8"/>
  <c r="BG10" i="8"/>
  <c r="BG22" i="8"/>
  <c r="BG34" i="8"/>
  <c r="BG46" i="8"/>
  <c r="BG58" i="8"/>
  <c r="BG70" i="8"/>
  <c r="BG82" i="8"/>
  <c r="BG94" i="8"/>
  <c r="BG106" i="8"/>
  <c r="BG118" i="8"/>
  <c r="BG130" i="8"/>
  <c r="BG142" i="8"/>
  <c r="BG154" i="8"/>
  <c r="BG166" i="8"/>
  <c r="BG178" i="8"/>
  <c r="BG190" i="8"/>
  <c r="BG202" i="8"/>
  <c r="BG214" i="8"/>
  <c r="BG226" i="8"/>
  <c r="BG238" i="8"/>
  <c r="BG250" i="8"/>
  <c r="BI12" i="8"/>
  <c r="BI24" i="8"/>
  <c r="BI36" i="8"/>
  <c r="BI48" i="8"/>
  <c r="BI60" i="8"/>
  <c r="BI72" i="8"/>
  <c r="BI84" i="8"/>
  <c r="BI96" i="8"/>
  <c r="BI108" i="8"/>
  <c r="BI120" i="8"/>
  <c r="BI132" i="8"/>
  <c r="BI144" i="8"/>
  <c r="BI156" i="8"/>
  <c r="BI168" i="8"/>
  <c r="BI180" i="8"/>
  <c r="BI192" i="8"/>
  <c r="BI204" i="8"/>
  <c r="BI216" i="8"/>
  <c r="BI228" i="8"/>
  <c r="BI240" i="8"/>
  <c r="BK14" i="8"/>
  <c r="BK26" i="8"/>
  <c r="BK38" i="8"/>
  <c r="BK50" i="8"/>
  <c r="BK62" i="8"/>
  <c r="BK74" i="8"/>
  <c r="BK110" i="8"/>
  <c r="BK122" i="8"/>
  <c r="BK134" i="8"/>
  <c r="BK146" i="8"/>
  <c r="BK158" i="8"/>
  <c r="BK170" i="8"/>
  <c r="BK182" i="8"/>
  <c r="BK194" i="8"/>
  <c r="BK206" i="8"/>
  <c r="BK218" i="8"/>
  <c r="BK230" i="8"/>
  <c r="BK242" i="8"/>
  <c r="BM4" i="8"/>
  <c r="BM16" i="8"/>
  <c r="BM28" i="8"/>
  <c r="BM40" i="8"/>
  <c r="BM52" i="8"/>
  <c r="BM64" i="8"/>
  <c r="BM76" i="8"/>
  <c r="BM88" i="8"/>
  <c r="BM100" i="8"/>
  <c r="BM112" i="8"/>
  <c r="BM124" i="8"/>
  <c r="BM136" i="8"/>
  <c r="BM148" i="8"/>
  <c r="BM160" i="8"/>
  <c r="BM172" i="8"/>
  <c r="BM184" i="8"/>
  <c r="BM196" i="8"/>
  <c r="BM208" i="8"/>
  <c r="BM220" i="8"/>
  <c r="BM232" i="8"/>
  <c r="BM244" i="8"/>
  <c r="BQ8" i="8"/>
  <c r="BQ20" i="8"/>
  <c r="BQ32" i="8"/>
  <c r="BQ44" i="8"/>
  <c r="BQ56" i="8"/>
  <c r="BQ68" i="8"/>
  <c r="BQ80" i="8"/>
  <c r="BQ92" i="8"/>
  <c r="BQ104" i="8"/>
  <c r="BQ116" i="8"/>
  <c r="BQ128" i="8"/>
  <c r="BQ140" i="8"/>
  <c r="BQ152" i="8"/>
  <c r="BQ164" i="8"/>
  <c r="BQ176" i="8"/>
  <c r="BQ188" i="8"/>
  <c r="BQ200" i="8"/>
  <c r="BQ212" i="8"/>
  <c r="BQ224" i="8"/>
  <c r="BQ236" i="8"/>
  <c r="BQ248" i="8"/>
  <c r="BS10" i="8"/>
  <c r="BS22" i="8"/>
  <c r="BS34" i="8"/>
  <c r="BS46" i="8"/>
  <c r="BS58" i="8"/>
  <c r="BS70" i="8"/>
  <c r="BS82" i="8"/>
  <c r="BS94" i="8"/>
  <c r="BS106" i="8"/>
  <c r="BS118" i="8"/>
  <c r="BS130" i="8"/>
  <c r="BS142" i="8"/>
  <c r="BS154" i="8"/>
  <c r="BS166" i="8"/>
  <c r="BS178" i="8"/>
  <c r="BS190" i="8"/>
  <c r="BS202" i="8"/>
  <c r="BS214" i="8"/>
  <c r="BS226" i="8"/>
  <c r="BS238" i="8"/>
  <c r="BS250" i="8"/>
  <c r="BU12" i="8"/>
  <c r="BU24" i="8"/>
  <c r="BU36" i="8"/>
  <c r="BU48" i="8"/>
  <c r="BU108" i="8"/>
  <c r="BU120" i="8"/>
  <c r="BU132" i="8"/>
  <c r="BU144" i="8"/>
  <c r="BU156" i="8"/>
  <c r="BU168" i="8"/>
  <c r="BU180" i="8"/>
  <c r="BU192" i="8"/>
  <c r="BU204" i="8"/>
  <c r="BU228" i="8"/>
  <c r="BU240" i="8"/>
  <c r="BY4" i="8"/>
  <c r="BY16" i="8"/>
  <c r="BY40" i="8"/>
  <c r="BY52" i="8"/>
  <c r="BY64" i="8"/>
  <c r="BY76" i="8"/>
  <c r="BY88" i="8"/>
  <c r="BY100" i="8"/>
  <c r="BY112" i="8"/>
  <c r="BY124" i="8"/>
  <c r="BY136" i="8"/>
  <c r="BY148" i="8"/>
  <c r="BY160" i="8"/>
  <c r="BY172" i="8"/>
  <c r="BY184" i="8"/>
  <c r="BY196" i="8"/>
  <c r="BY208" i="8"/>
  <c r="BY220" i="8"/>
  <c r="BY232" i="8"/>
  <c r="BY244" i="8"/>
  <c r="CA6" i="8"/>
  <c r="CA78" i="8"/>
  <c r="CA102" i="8"/>
  <c r="CA198" i="8"/>
  <c r="CA210" i="8"/>
  <c r="CA222" i="8"/>
  <c r="CA234" i="8"/>
  <c r="CC140" i="8"/>
  <c r="CC248" i="8"/>
  <c r="CE10" i="8"/>
  <c r="CE22" i="8"/>
  <c r="CE34" i="8"/>
  <c r="CE130" i="8"/>
  <c r="CG60" i="8"/>
  <c r="CG216" i="8"/>
  <c r="CG240" i="8"/>
  <c r="CI14" i="8"/>
  <c r="CI110" i="8"/>
  <c r="CG80" i="8"/>
  <c r="AO250" i="8"/>
  <c r="AQ12" i="8"/>
  <c r="AQ24" i="8"/>
  <c r="AQ36" i="8"/>
  <c r="AQ48" i="8"/>
  <c r="AQ60" i="8"/>
  <c r="AQ84" i="8"/>
  <c r="AQ96" i="8"/>
  <c r="AQ108" i="8"/>
  <c r="AQ120" i="8"/>
  <c r="AQ132" i="8"/>
  <c r="AQ144" i="8"/>
  <c r="AQ156" i="8"/>
  <c r="AQ168" i="8"/>
  <c r="AQ180" i="8"/>
  <c r="AQ192" i="8"/>
  <c r="AQ204" i="8"/>
  <c r="AQ216" i="8"/>
  <c r="AQ228" i="8"/>
  <c r="AQ240" i="8"/>
  <c r="AS14" i="8"/>
  <c r="AS26" i="8"/>
  <c r="AS38" i="8"/>
  <c r="AS50" i="8"/>
  <c r="AS62" i="8"/>
  <c r="AS74" i="8"/>
  <c r="AS86" i="8"/>
  <c r="AS98" i="8"/>
  <c r="AS110" i="8"/>
  <c r="AS122" i="8"/>
  <c r="AS134" i="8"/>
  <c r="AS146" i="8"/>
  <c r="AS158" i="8"/>
  <c r="AS170" i="8"/>
  <c r="AS182" i="8"/>
  <c r="AS194" i="8"/>
  <c r="AS206" i="8"/>
  <c r="AS218" i="8"/>
  <c r="AS230" i="8"/>
  <c r="AS242" i="8"/>
  <c r="AU4" i="8"/>
  <c r="AU28" i="8"/>
  <c r="AU40" i="8"/>
  <c r="AU52" i="8"/>
  <c r="AU64" i="8"/>
  <c r="AU76" i="8"/>
  <c r="AU88" i="8"/>
  <c r="AU100" i="8"/>
  <c r="AU112" i="8"/>
  <c r="AU124" i="8"/>
  <c r="AU136" i="8"/>
  <c r="AU148" i="8"/>
  <c r="AU160" i="8"/>
  <c r="AU172" i="8"/>
  <c r="AU184" i="8"/>
  <c r="AU196" i="8"/>
  <c r="AU208" i="8"/>
  <c r="AU220" i="8"/>
  <c r="AU232" i="8"/>
  <c r="AU244" i="8"/>
  <c r="AW6" i="8"/>
  <c r="AW18" i="8"/>
  <c r="AW30" i="8"/>
  <c r="AW42" i="8"/>
  <c r="AW54" i="8"/>
  <c r="AW66" i="8"/>
  <c r="AW78" i="8"/>
  <c r="AW90" i="8"/>
  <c r="AW102" i="8"/>
  <c r="AW114" i="8"/>
  <c r="AW126" i="8"/>
  <c r="AW138" i="8"/>
  <c r="AW150" i="8"/>
  <c r="AW162" i="8"/>
  <c r="AW174" i="8"/>
  <c r="AW186" i="8"/>
  <c r="AW198" i="8"/>
  <c r="AW210" i="8"/>
  <c r="AW222" i="8"/>
  <c r="AW234" i="8"/>
  <c r="AW246" i="8"/>
  <c r="AY8" i="8"/>
  <c r="AY20" i="8"/>
  <c r="AY32" i="8"/>
  <c r="AY44" i="8"/>
  <c r="AY56" i="8"/>
  <c r="AY68" i="8"/>
  <c r="AY80" i="8"/>
  <c r="AY92" i="8"/>
  <c r="AY104" i="8"/>
  <c r="AY116" i="8"/>
  <c r="AY128" i="8"/>
  <c r="AY140" i="8"/>
  <c r="AY152" i="8"/>
  <c r="AY164" i="8"/>
  <c r="AY176" i="8"/>
  <c r="AY188" i="8"/>
  <c r="AY200" i="8"/>
  <c r="AY212" i="8"/>
  <c r="AY224" i="8"/>
  <c r="AY236" i="8"/>
  <c r="AY248" i="8"/>
  <c r="BA10" i="8"/>
  <c r="BA22" i="8"/>
  <c r="BA34" i="8"/>
  <c r="BA46" i="8"/>
  <c r="BA58" i="8"/>
  <c r="BA70" i="8"/>
  <c r="BA82" i="8"/>
  <c r="BA94" i="8"/>
  <c r="BA106" i="8"/>
  <c r="BA118" i="8"/>
  <c r="BA130" i="8"/>
  <c r="BA142" i="8"/>
  <c r="BA154" i="8"/>
  <c r="BA166" i="8"/>
  <c r="BA178" i="8"/>
  <c r="BA190" i="8"/>
  <c r="BA202" i="8"/>
  <c r="BA214" i="8"/>
  <c r="BA226" i="8"/>
  <c r="BA238" i="8"/>
  <c r="BA250" i="8"/>
  <c r="BE14" i="8"/>
  <c r="BE26" i="8"/>
  <c r="BE38" i="8"/>
  <c r="BE50" i="8"/>
  <c r="BE62" i="8"/>
  <c r="BE74" i="8"/>
  <c r="BE86" i="8"/>
  <c r="BE98" i="8"/>
  <c r="BE110" i="8"/>
  <c r="BE122" i="8"/>
  <c r="BE134" i="8"/>
  <c r="BE146" i="8"/>
  <c r="BE158" i="8"/>
  <c r="BE170" i="8"/>
  <c r="BE194" i="8"/>
  <c r="BE206" i="8"/>
  <c r="BE218" i="8"/>
  <c r="BE230" i="8"/>
  <c r="BE242" i="8"/>
  <c r="BG4" i="8"/>
  <c r="BG16" i="8"/>
  <c r="BG28" i="8"/>
  <c r="BG40" i="8"/>
  <c r="BG52" i="8"/>
  <c r="BG64" i="8"/>
  <c r="BG76" i="8"/>
  <c r="BG88" i="8"/>
  <c r="BG100" i="8"/>
  <c r="BG112" i="8"/>
  <c r="BG124" i="8"/>
  <c r="BG136" i="8"/>
  <c r="BG148" i="8"/>
  <c r="BG160" i="8"/>
  <c r="BO168" i="8"/>
  <c r="BO192" i="8"/>
  <c r="BK250" i="8"/>
  <c r="BM12" i="8"/>
  <c r="BM24" i="8"/>
  <c r="BM36" i="8"/>
  <c r="BM48" i="8"/>
  <c r="BM60" i="8"/>
  <c r="BM72" i="8"/>
  <c r="BM84" i="8"/>
  <c r="BM96" i="8"/>
  <c r="BM108" i="8"/>
  <c r="BM120" i="8"/>
  <c r="BM132" i="8"/>
  <c r="BM144" i="8"/>
  <c r="BM156" i="8"/>
  <c r="BM168" i="8"/>
  <c r="BM192" i="8"/>
  <c r="BM204" i="8"/>
  <c r="BM216" i="8"/>
  <c r="BM228" i="8"/>
  <c r="BM240" i="8"/>
  <c r="BQ4" i="8"/>
  <c r="BQ16" i="8"/>
  <c r="BQ28" i="8"/>
  <c r="BQ52" i="8"/>
  <c r="BQ64" i="8"/>
  <c r="BQ76" i="8"/>
  <c r="BQ88" i="8"/>
  <c r="BQ100" i="8"/>
  <c r="BQ112" i="8"/>
  <c r="BQ124" i="8"/>
  <c r="BQ136" i="8"/>
  <c r="BQ148" i="8"/>
  <c r="BQ160" i="8"/>
  <c r="BQ172" i="8"/>
  <c r="BQ184" i="8"/>
  <c r="BQ196" i="8"/>
  <c r="BQ208" i="8"/>
  <c r="BQ220" i="8"/>
  <c r="BQ232" i="8"/>
  <c r="BQ244" i="8"/>
  <c r="BS6" i="8"/>
  <c r="BS18" i="8"/>
  <c r="BS30" i="8"/>
  <c r="BS42" i="8"/>
  <c r="BS54" i="8"/>
  <c r="BS66" i="8"/>
  <c r="BS78" i="8"/>
  <c r="BS90" i="8"/>
  <c r="BS102" i="8"/>
  <c r="BS114" i="8"/>
  <c r="BS126" i="8"/>
  <c r="BS138" i="8"/>
  <c r="BS150" i="8"/>
  <c r="BS162" i="8"/>
  <c r="BS174" i="8"/>
  <c r="BS186" i="8"/>
  <c r="BS198" i="8"/>
  <c r="BS210" i="8"/>
  <c r="BS222" i="8"/>
  <c r="BS234" i="8"/>
  <c r="BS246" i="8"/>
  <c r="BU8" i="8"/>
  <c r="BU20" i="8"/>
  <c r="BU32" i="8"/>
  <c r="BU44" i="8"/>
  <c r="BU56" i="8"/>
  <c r="BU68" i="8"/>
  <c r="BU80" i="8"/>
  <c r="BU92" i="8"/>
  <c r="BU104" i="8"/>
  <c r="BU116" i="8"/>
  <c r="BU128" i="8"/>
  <c r="BU140" i="8"/>
  <c r="BU152" i="8"/>
  <c r="BU164" i="8"/>
  <c r="BU176" i="8"/>
  <c r="BU188" i="8"/>
  <c r="BU200" i="8"/>
  <c r="BU212" i="8"/>
  <c r="BU224" i="8"/>
  <c r="BU236" i="8"/>
  <c r="BU248" i="8"/>
  <c r="BY12" i="8"/>
  <c r="BY24" i="8"/>
  <c r="BY36" i="8"/>
  <c r="BY48" i="8"/>
  <c r="BY60" i="8"/>
  <c r="BY72" i="8"/>
  <c r="BY84" i="8"/>
  <c r="BY96" i="8"/>
  <c r="BY108" i="8"/>
  <c r="BY120" i="8"/>
  <c r="BY132" i="8"/>
  <c r="BY144" i="8"/>
  <c r="BY156" i="8"/>
  <c r="BY168" i="8"/>
  <c r="BY180" i="8"/>
  <c r="BY192" i="8"/>
  <c r="BY204" i="8"/>
  <c r="BY216" i="8"/>
  <c r="BY228" i="8"/>
  <c r="BY240" i="8"/>
  <c r="CA14" i="8"/>
  <c r="CA26" i="8"/>
  <c r="CA38" i="8"/>
  <c r="CA50" i="8"/>
  <c r="CA62" i="8"/>
  <c r="CA74" i="8"/>
  <c r="CA86" i="8"/>
  <c r="CA98" i="8"/>
  <c r="CA110" i="8"/>
  <c r="CA122" i="8"/>
  <c r="CA134" i="8"/>
  <c r="CA146" i="8"/>
  <c r="CA158" i="8"/>
  <c r="CA170" i="8"/>
  <c r="CA182" i="8"/>
  <c r="CA194" i="8"/>
  <c r="CA206" i="8"/>
  <c r="CA218" i="8"/>
  <c r="CA230" i="8"/>
  <c r="CA242" i="8"/>
  <c r="CC4" i="8"/>
  <c r="CC16" i="8"/>
  <c r="CC28" i="8"/>
  <c r="CC40" i="8"/>
  <c r="CC52" i="8"/>
  <c r="CC64" i="8"/>
  <c r="CC76" i="8"/>
  <c r="CC88" i="8"/>
  <c r="CC100" i="8"/>
  <c r="CC112" i="8"/>
  <c r="CC124" i="8"/>
  <c r="CC136" i="8"/>
  <c r="CC148" i="8"/>
  <c r="CC160" i="8"/>
  <c r="CC172" i="8"/>
  <c r="CC184" i="8"/>
  <c r="CC196" i="8"/>
  <c r="CC208" i="8"/>
  <c r="CC220" i="8"/>
  <c r="CC232" i="8"/>
  <c r="CC244" i="8"/>
  <c r="CE6" i="8"/>
  <c r="CE18" i="8"/>
  <c r="CE30" i="8"/>
  <c r="CE42" i="8"/>
  <c r="CE54" i="8"/>
  <c r="CE66" i="8"/>
  <c r="CE78" i="8"/>
  <c r="CE90" i="8"/>
  <c r="CE102" i="8"/>
  <c r="CE114" i="8"/>
  <c r="CE126" i="8"/>
  <c r="CG104" i="8"/>
  <c r="BG20" i="8"/>
  <c r="BG32" i="8"/>
  <c r="BG44" i="8"/>
  <c r="BG56" i="8"/>
  <c r="BG68" i="8"/>
  <c r="BG80" i="8"/>
  <c r="BG92" i="8"/>
  <c r="BG104" i="8"/>
  <c r="BG116" i="8"/>
  <c r="BG128" i="8"/>
  <c r="BG140" i="8"/>
  <c r="BG152" i="8"/>
  <c r="BG176" i="8"/>
  <c r="BG188" i="8"/>
  <c r="BG200" i="8"/>
  <c r="BG212" i="8"/>
  <c r="BG224" i="8"/>
  <c r="BG236" i="8"/>
  <c r="BG248" i="8"/>
  <c r="BI10" i="8"/>
  <c r="BI22" i="8"/>
  <c r="BI34" i="8"/>
  <c r="BI46" i="8"/>
  <c r="BI58" i="8"/>
  <c r="BI70" i="8"/>
  <c r="BI82" i="8"/>
  <c r="BI94" i="8"/>
  <c r="BI106" i="8"/>
  <c r="BI118" i="8"/>
  <c r="BI130" i="8"/>
  <c r="BI142" i="8"/>
  <c r="BI154" i="8"/>
  <c r="BI166" i="8"/>
  <c r="BI178" i="8"/>
  <c r="BI190" i="8"/>
  <c r="BI202" i="8"/>
  <c r="BI214" i="8"/>
  <c r="BI226" i="8"/>
  <c r="BI238" i="8"/>
  <c r="BI250" i="8"/>
  <c r="BM14" i="8"/>
  <c r="BM26" i="8"/>
  <c r="BM38" i="8"/>
  <c r="BM50" i="8"/>
  <c r="BM62" i="8"/>
  <c r="BM74" i="8"/>
  <c r="BM86" i="8"/>
  <c r="BM98" i="8"/>
  <c r="BM110" i="8"/>
  <c r="BM122" i="8"/>
  <c r="BM134" i="8"/>
  <c r="BM146" i="8"/>
  <c r="BM158" i="8"/>
  <c r="BM182" i="8"/>
  <c r="BM194" i="8"/>
  <c r="BM206" i="8"/>
  <c r="BM218" i="8"/>
  <c r="BM230" i="8"/>
  <c r="BM242" i="8"/>
  <c r="BO4" i="8"/>
  <c r="BO16" i="8"/>
  <c r="BO28" i="8"/>
  <c r="BO40" i="8"/>
  <c r="BO52" i="8"/>
  <c r="BO64" i="8"/>
  <c r="BO76" i="8"/>
  <c r="BO88" i="8"/>
  <c r="BO100" i="8"/>
  <c r="BO112" i="8"/>
  <c r="BO124" i="8"/>
  <c r="BO136" i="8"/>
  <c r="BO148" i="8"/>
  <c r="BO160" i="8"/>
  <c r="BO172" i="8"/>
  <c r="BO184" i="8"/>
  <c r="BO196" i="8"/>
  <c r="BO208" i="8"/>
  <c r="BO220" i="8"/>
  <c r="BO232" i="8"/>
  <c r="BO244" i="8"/>
  <c r="BQ162" i="8"/>
  <c r="BU82" i="8"/>
  <c r="BU94" i="8"/>
  <c r="BU106" i="8"/>
  <c r="BW24" i="8"/>
  <c r="CG212" i="8"/>
  <c r="BQ18" i="8"/>
  <c r="BQ30" i="8"/>
  <c r="BQ42" i="8"/>
  <c r="BQ54" i="8"/>
  <c r="BQ66" i="8"/>
  <c r="BQ78" i="8"/>
  <c r="BQ90" i="8"/>
  <c r="BQ102" i="8"/>
  <c r="BQ114" i="8"/>
  <c r="BQ126" i="8"/>
  <c r="BQ138" i="8"/>
  <c r="BQ150" i="8"/>
  <c r="BQ174" i="8"/>
  <c r="BQ186" i="8"/>
  <c r="BQ198" i="8"/>
  <c r="BQ210" i="8"/>
  <c r="BQ222" i="8"/>
  <c r="BQ234" i="8"/>
  <c r="BQ246" i="8"/>
  <c r="BU10" i="8"/>
  <c r="BU22" i="8"/>
  <c r="BU34" i="8"/>
  <c r="BU46" i="8"/>
  <c r="BU58" i="8"/>
  <c r="BU70" i="8"/>
  <c r="BU118" i="8"/>
  <c r="BU142" i="8"/>
  <c r="BU154" i="8"/>
  <c r="BU166" i="8"/>
  <c r="BU178" i="8"/>
  <c r="BU190" i="8"/>
  <c r="BU202" i="8"/>
  <c r="BU214" i="8"/>
  <c r="BU226" i="8"/>
  <c r="BU238" i="8"/>
  <c r="BU250" i="8"/>
  <c r="BW36" i="8"/>
  <c r="BW48" i="8"/>
  <c r="BW60" i="8"/>
  <c r="BW72" i="8"/>
  <c r="BW84" i="8"/>
  <c r="BW96" i="8"/>
  <c r="BW108" i="8"/>
  <c r="BW120" i="8"/>
  <c r="BW132" i="8"/>
  <c r="BW144" i="8"/>
  <c r="BW156" i="8"/>
  <c r="BW168" i="8"/>
  <c r="BW180" i="8"/>
  <c r="BW192" i="8"/>
  <c r="BW204" i="8"/>
  <c r="BW216" i="8"/>
  <c r="BW228" i="8"/>
  <c r="BW240" i="8"/>
  <c r="BY14" i="8"/>
  <c r="BY26" i="8"/>
  <c r="BY38" i="8"/>
  <c r="BY50" i="8"/>
  <c r="BY62" i="8"/>
  <c r="BY74" i="8"/>
  <c r="BY86" i="8"/>
  <c r="BY98" i="8"/>
  <c r="BY110" i="8"/>
  <c r="BY122" i="8"/>
  <c r="BY134" i="8"/>
  <c r="BY146" i="8"/>
  <c r="BY158" i="8"/>
  <c r="BY170" i="8"/>
  <c r="BY182" i="8"/>
  <c r="BY194" i="8"/>
  <c r="BY206" i="8"/>
  <c r="BY218" i="8"/>
  <c r="BY230" i="8"/>
  <c r="BY242" i="8"/>
  <c r="CA4" i="8"/>
  <c r="CA16" i="8"/>
  <c r="CA28" i="8"/>
  <c r="CA40" i="8"/>
  <c r="CA52" i="8"/>
  <c r="CA64" i="8"/>
  <c r="CA76" i="8"/>
  <c r="CA88" i="8"/>
  <c r="CA100" i="8"/>
  <c r="CA112" i="8"/>
  <c r="CA124" i="8"/>
  <c r="CA136" i="8"/>
  <c r="CA148" i="8"/>
  <c r="CA160" i="8"/>
  <c r="CA172" i="8"/>
  <c r="CA184" i="8"/>
  <c r="CA196" i="8"/>
  <c r="CA208" i="8"/>
  <c r="CA220" i="8"/>
  <c r="CA232" i="8"/>
  <c r="CA244" i="8"/>
  <c r="CC6" i="8"/>
  <c r="CC18" i="8"/>
  <c r="CC30" i="8"/>
  <c r="CC42" i="8"/>
  <c r="CC54" i="8"/>
  <c r="CC66" i="8"/>
  <c r="CC78" i="8"/>
  <c r="CC90" i="8"/>
  <c r="CC102" i="8"/>
  <c r="CC114" i="8"/>
  <c r="CC126" i="8"/>
  <c r="CC138" i="8"/>
  <c r="CC150" i="8"/>
  <c r="CC162" i="8"/>
  <c r="CC174" i="8"/>
  <c r="CC186" i="8"/>
  <c r="CC198" i="8"/>
  <c r="CC210" i="8"/>
  <c r="CC222" i="8"/>
  <c r="CC234" i="8"/>
  <c r="CC246" i="8"/>
  <c r="CE8" i="8"/>
  <c r="CE20" i="8"/>
  <c r="CE32" i="8"/>
  <c r="CE44" i="8"/>
  <c r="CE56" i="8"/>
  <c r="CE68" i="8"/>
  <c r="CE80" i="8"/>
  <c r="CE92" i="8"/>
  <c r="CE104" i="8"/>
  <c r="CE116" i="8"/>
  <c r="CE128" i="8"/>
  <c r="CE140" i="8"/>
  <c r="CE152" i="8"/>
  <c r="CE164" i="8"/>
  <c r="CE176" i="8"/>
  <c r="CE188" i="8"/>
  <c r="CE200" i="8"/>
  <c r="CE212" i="8"/>
  <c r="CE224" i="8"/>
  <c r="CE236" i="8"/>
  <c r="CE248" i="8"/>
  <c r="BS86" i="8"/>
  <c r="BS122" i="8"/>
  <c r="BS134" i="8"/>
  <c r="BS146" i="8"/>
  <c r="BS158" i="8"/>
  <c r="BS170" i="8"/>
  <c r="BS182" i="8"/>
  <c r="BS194" i="8"/>
  <c r="BS206" i="8"/>
  <c r="BS218" i="8"/>
  <c r="BS230" i="8"/>
  <c r="BS242" i="8"/>
  <c r="BU4" i="8"/>
  <c r="BU16" i="8"/>
  <c r="BU28" i="8"/>
  <c r="BU40" i="8"/>
  <c r="BU52" i="8"/>
  <c r="BU64" i="8"/>
  <c r="BU76" i="8"/>
  <c r="BU88" i="8"/>
  <c r="BU100" i="8"/>
  <c r="BU112" i="8"/>
  <c r="BU124" i="8"/>
  <c r="BU136" i="8"/>
  <c r="BU148" i="8"/>
  <c r="BU160" i="8"/>
  <c r="BU172" i="8"/>
  <c r="BU184" i="8"/>
  <c r="BU196" i="8"/>
  <c r="BU208" i="8"/>
  <c r="BU220" i="8"/>
  <c r="BU232" i="8"/>
  <c r="BU244" i="8"/>
  <c r="BY20" i="8"/>
  <c r="BY32" i="8"/>
  <c r="BY44" i="8"/>
  <c r="BY56" i="8"/>
  <c r="BY68" i="8"/>
  <c r="BY80" i="8"/>
  <c r="BY92" i="8"/>
  <c r="BY104" i="8"/>
  <c r="BY116" i="8"/>
  <c r="BY128" i="8"/>
  <c r="BY140" i="8"/>
  <c r="BY152" i="8"/>
  <c r="BY176" i="8"/>
  <c r="BY188" i="8"/>
  <c r="BY200" i="8"/>
  <c r="BY212" i="8"/>
  <c r="BY224" i="8"/>
  <c r="BY236" i="8"/>
  <c r="BY248" i="8"/>
  <c r="CA58" i="8"/>
  <c r="CA70" i="8"/>
  <c r="CA82" i="8"/>
  <c r="CA94" i="8"/>
  <c r="CA106" i="8"/>
  <c r="CA118" i="8"/>
  <c r="CA130" i="8"/>
  <c r="CA142" i="8"/>
  <c r="CA154" i="8"/>
  <c r="CA166" i="8"/>
  <c r="CA178" i="8"/>
  <c r="CA190" i="8"/>
  <c r="CA202" i="8"/>
  <c r="CA214" i="8"/>
  <c r="CA226" i="8"/>
  <c r="CA238" i="8"/>
  <c r="CC12" i="8"/>
  <c r="CC24" i="8"/>
  <c r="CC36" i="8"/>
  <c r="CC48" i="8"/>
  <c r="CC60" i="8"/>
  <c r="CC72" i="8"/>
  <c r="CC84" i="8"/>
  <c r="CC144" i="8"/>
  <c r="CC156" i="8"/>
  <c r="CE14" i="8"/>
  <c r="CE26" i="8"/>
  <c r="CE38" i="8"/>
  <c r="CE50" i="8"/>
  <c r="CE146" i="8"/>
  <c r="CI102" i="8"/>
  <c r="CI114" i="8"/>
  <c r="CI126" i="8"/>
  <c r="BG172" i="8"/>
  <c r="BG184" i="8"/>
  <c r="BG196" i="8"/>
  <c r="BG208" i="8"/>
  <c r="BG220" i="8"/>
  <c r="BG232" i="8"/>
  <c r="BG244" i="8"/>
  <c r="BI6" i="8"/>
  <c r="BI18" i="8"/>
  <c r="BI30" i="8"/>
  <c r="BI54" i="8"/>
  <c r="BI66" i="8"/>
  <c r="BI78" i="8"/>
  <c r="BI90" i="8"/>
  <c r="BI102" i="8"/>
  <c r="BI114" i="8"/>
  <c r="BI126" i="8"/>
  <c r="BI138" i="8"/>
  <c r="BI150" i="8"/>
  <c r="BI162" i="8"/>
  <c r="BI174" i="8"/>
  <c r="BI186" i="8"/>
  <c r="BI234" i="8"/>
  <c r="BI246" i="8"/>
  <c r="BM10" i="8"/>
  <c r="BM22" i="8"/>
  <c r="BM34" i="8"/>
  <c r="BM46" i="8"/>
  <c r="BM58" i="8"/>
  <c r="BM82" i="8"/>
  <c r="BM94" i="8"/>
  <c r="BM106" i="8"/>
  <c r="BM118" i="8"/>
  <c r="BM130" i="8"/>
  <c r="BM142" i="8"/>
  <c r="BM154" i="8"/>
  <c r="BM166" i="8"/>
  <c r="BM178" i="8"/>
  <c r="BM190" i="8"/>
  <c r="BM202" i="8"/>
  <c r="BM214" i="8"/>
  <c r="BM226" i="8"/>
  <c r="BM238" i="8"/>
  <c r="BM250" i="8"/>
  <c r="BO12" i="8"/>
  <c r="BO24" i="8"/>
  <c r="BO36" i="8"/>
  <c r="BO48" i="8"/>
  <c r="BO60" i="8"/>
  <c r="BO72" i="8"/>
  <c r="BO84" i="8"/>
  <c r="BO96" i="8"/>
  <c r="BO108" i="8"/>
  <c r="BO120" i="8"/>
  <c r="BO132" i="8"/>
  <c r="BO144" i="8"/>
  <c r="BO156" i="8"/>
  <c r="BO180" i="8"/>
  <c r="BO204" i="8"/>
  <c r="BO216" i="8"/>
  <c r="BO228" i="8"/>
  <c r="BO240" i="8"/>
  <c r="BQ14" i="8"/>
  <c r="BQ26" i="8"/>
  <c r="BQ38" i="8"/>
  <c r="BQ50" i="8"/>
  <c r="BQ62" i="8"/>
  <c r="BQ74" i="8"/>
  <c r="BQ86" i="8"/>
  <c r="BQ98" i="8"/>
  <c r="BQ110" i="8"/>
  <c r="BQ122" i="8"/>
  <c r="BQ134" i="8"/>
  <c r="BQ146" i="8"/>
  <c r="BQ158" i="8"/>
  <c r="BQ170" i="8"/>
  <c r="BQ182" i="8"/>
  <c r="BQ194" i="8"/>
  <c r="BQ206" i="8"/>
  <c r="BQ218" i="8"/>
  <c r="BQ230" i="8"/>
  <c r="BQ242" i="8"/>
  <c r="BU6" i="8"/>
  <c r="BU18" i="8"/>
  <c r="BU30" i="8"/>
  <c r="BU42" i="8"/>
  <c r="BU54" i="8"/>
  <c r="BU66" i="8"/>
  <c r="BU78" i="8"/>
  <c r="BU90" i="8"/>
  <c r="BU102" i="8"/>
  <c r="BU114" i="8"/>
  <c r="BU126" i="8"/>
  <c r="BU138" i="8"/>
  <c r="BU150" i="8"/>
  <c r="BU162" i="8"/>
  <c r="BU174" i="8"/>
  <c r="BU186" i="8"/>
  <c r="BU198" i="8"/>
  <c r="BU210" i="8"/>
  <c r="BU222" i="8"/>
  <c r="BU234" i="8"/>
  <c r="BU246" i="8"/>
  <c r="BW8" i="8"/>
  <c r="BW20" i="8"/>
  <c r="BW32" i="8"/>
  <c r="BW44" i="8"/>
  <c r="BW56" i="8"/>
  <c r="BW68" i="8"/>
  <c r="BW80" i="8"/>
  <c r="BW92" i="8"/>
  <c r="BW104" i="8"/>
  <c r="BW116" i="8"/>
  <c r="BW128" i="8"/>
  <c r="BW140" i="8"/>
  <c r="BW152" i="8"/>
  <c r="BW164" i="8"/>
  <c r="BW176" i="8"/>
  <c r="BW188" i="8"/>
  <c r="BW200" i="8"/>
  <c r="BW224" i="8"/>
  <c r="BW248" i="8"/>
  <c r="BY10" i="8"/>
  <c r="BY22" i="8"/>
  <c r="BY34" i="8"/>
  <c r="BY46" i="8"/>
  <c r="CE138" i="8"/>
  <c r="CE150" i="8"/>
  <c r="CE162" i="8"/>
  <c r="CE174" i="8"/>
  <c r="CE186" i="8"/>
  <c r="CE198" i="8"/>
  <c r="CE210" i="8"/>
  <c r="CE222" i="8"/>
  <c r="CE234" i="8"/>
  <c r="CE246" i="8"/>
  <c r="CG8" i="8"/>
  <c r="CG20" i="8"/>
  <c r="CG32" i="8"/>
  <c r="CG44" i="8"/>
  <c r="CG116" i="8"/>
  <c r="CG128" i="8"/>
  <c r="CG140" i="8"/>
  <c r="CG152" i="8"/>
  <c r="CG164" i="8"/>
  <c r="CG176" i="8"/>
  <c r="CG188" i="8"/>
  <c r="CG200" i="8"/>
  <c r="CG224" i="8"/>
  <c r="CG236" i="8"/>
  <c r="CG248" i="8"/>
  <c r="CI10" i="8"/>
  <c r="CI22" i="8"/>
  <c r="CI34" i="8"/>
  <c r="CI46" i="8"/>
  <c r="CI58" i="8"/>
  <c r="CI70" i="8"/>
  <c r="CI82" i="8"/>
  <c r="CI94" i="8"/>
  <c r="CI106" i="8"/>
  <c r="CI154" i="8"/>
  <c r="CI166" i="8"/>
  <c r="CI178" i="8"/>
  <c r="CI190" i="8"/>
  <c r="CI202" i="8"/>
  <c r="CI214" i="8"/>
  <c r="CI226" i="8"/>
  <c r="CK12" i="8"/>
  <c r="CK36" i="8"/>
  <c r="CK48" i="8"/>
  <c r="CK60" i="8"/>
  <c r="CK72" i="8"/>
  <c r="CK84" i="8"/>
  <c r="CK96" i="8"/>
  <c r="CK108" i="8"/>
  <c r="CK120" i="8"/>
  <c r="CK132" i="8"/>
  <c r="CK144" i="8"/>
  <c r="CK156" i="8"/>
  <c r="CK168" i="8"/>
  <c r="CK192" i="8"/>
  <c r="CK204" i="8"/>
  <c r="CK216" i="8"/>
  <c r="CK228" i="8"/>
  <c r="CK240" i="8"/>
  <c r="CM14" i="8"/>
  <c r="CM26" i="8"/>
  <c r="BY58" i="8"/>
  <c r="BY70" i="8"/>
  <c r="BY82" i="8"/>
  <c r="BY94" i="8"/>
  <c r="BY106" i="8"/>
  <c r="BY118" i="8"/>
  <c r="BY130" i="8"/>
  <c r="BY142" i="8"/>
  <c r="BY154" i="8"/>
  <c r="BY166" i="8"/>
  <c r="BY178" i="8"/>
  <c r="BY190" i="8"/>
  <c r="BY202" i="8"/>
  <c r="BY214" i="8"/>
  <c r="BY226" i="8"/>
  <c r="BY238" i="8"/>
  <c r="BY250" i="8"/>
  <c r="CA12" i="8"/>
  <c r="CA24" i="8"/>
  <c r="CA36" i="8"/>
  <c r="CA48" i="8"/>
  <c r="CA60" i="8"/>
  <c r="CA72" i="8"/>
  <c r="CA84" i="8"/>
  <c r="CA96" i="8"/>
  <c r="CA108" i="8"/>
  <c r="CA120" i="8"/>
  <c r="CA132" i="8"/>
  <c r="CA144" i="8"/>
  <c r="CA156" i="8"/>
  <c r="CA168" i="8"/>
  <c r="CA180" i="8"/>
  <c r="CA192" i="8"/>
  <c r="CA204" i="8"/>
  <c r="CA216" i="8"/>
  <c r="CA228" i="8"/>
  <c r="CA240" i="8"/>
  <c r="CC14" i="8"/>
  <c r="CC26" i="8"/>
  <c r="CC38" i="8"/>
  <c r="CC50" i="8"/>
  <c r="CC62" i="8"/>
  <c r="CC74" i="8"/>
  <c r="CC86" i="8"/>
  <c r="CC98" i="8"/>
  <c r="CC110" i="8"/>
  <c r="CC122" i="8"/>
  <c r="CC134" i="8"/>
  <c r="CC146" i="8"/>
  <c r="CC158" i="8"/>
  <c r="CC170" i="8"/>
  <c r="CC182" i="8"/>
  <c r="CC194" i="8"/>
  <c r="CC206" i="8"/>
  <c r="CC218" i="8"/>
  <c r="CC230" i="8"/>
  <c r="CC242" i="8"/>
  <c r="CE4" i="8"/>
  <c r="CE16" i="8"/>
  <c r="CE28" i="8"/>
  <c r="CE40" i="8"/>
  <c r="CE52" i="8"/>
  <c r="CE64" i="8"/>
  <c r="CE76" i="8"/>
  <c r="CE88" i="8"/>
  <c r="CE100" i="8"/>
  <c r="CE112" i="8"/>
  <c r="CE124" i="8"/>
  <c r="CE136" i="8"/>
  <c r="CE148" i="8"/>
  <c r="CE160" i="8"/>
  <c r="CE172" i="8"/>
  <c r="CE184" i="8"/>
  <c r="CE196" i="8"/>
  <c r="CE208" i="8"/>
  <c r="CE220" i="8"/>
  <c r="CE232" i="8"/>
  <c r="CE244" i="8"/>
  <c r="CA18" i="8"/>
  <c r="CA30" i="8"/>
  <c r="CA42" i="8"/>
  <c r="CA114" i="8"/>
  <c r="CA126" i="8"/>
  <c r="CA138" i="8"/>
  <c r="CA150" i="8"/>
  <c r="CA162" i="8"/>
  <c r="CA174" i="8"/>
  <c r="CA186" i="8"/>
  <c r="CC8" i="8"/>
  <c r="CC20" i="8"/>
  <c r="CC32" i="8"/>
  <c r="CC44" i="8"/>
  <c r="CC56" i="8"/>
  <c r="CC68" i="8"/>
  <c r="CC80" i="8"/>
  <c r="CC152" i="8"/>
  <c r="CC164" i="8"/>
  <c r="CC176" i="8"/>
  <c r="CC188" i="8"/>
  <c r="CC200" i="8"/>
  <c r="CC212" i="8"/>
  <c r="CC224" i="8"/>
  <c r="CE46" i="8"/>
  <c r="CE58" i="8"/>
  <c r="CE70" i="8"/>
  <c r="CE82" i="8"/>
  <c r="CE94" i="8"/>
  <c r="CE106" i="8"/>
  <c r="CE118" i="8"/>
  <c r="CE190" i="8"/>
  <c r="CE202" i="8"/>
  <c r="CE214" i="8"/>
  <c r="CE226" i="8"/>
  <c r="CE238" i="8"/>
  <c r="CE250" i="8"/>
  <c r="CG12" i="8"/>
  <c r="CG24" i="8"/>
  <c r="CG36" i="8"/>
  <c r="CG48" i="8"/>
  <c r="CG120" i="8"/>
  <c r="CG132" i="8"/>
  <c r="CG144" i="8"/>
  <c r="CG156" i="8"/>
  <c r="CG168" i="8"/>
  <c r="CG180" i="8"/>
  <c r="CG192" i="8"/>
  <c r="CI26" i="8"/>
  <c r="CI38" i="8"/>
  <c r="CI50" i="8"/>
  <c r="CI62" i="8"/>
  <c r="CI74" i="8"/>
  <c r="CI86" i="8"/>
  <c r="CI98" i="8"/>
  <c r="CO80" i="8"/>
  <c r="CO92" i="8"/>
  <c r="CO104" i="8"/>
  <c r="CO116" i="8"/>
  <c r="CO128" i="8"/>
  <c r="CO140" i="8"/>
  <c r="CO152" i="8"/>
  <c r="CO164" i="8"/>
  <c r="CO176" i="8"/>
  <c r="CO188" i="8"/>
  <c r="CO200" i="8"/>
  <c r="CO212" i="8"/>
  <c r="CO224" i="8"/>
  <c r="CO236" i="8"/>
  <c r="CO248" i="8"/>
  <c r="CQ10" i="8"/>
  <c r="CQ22" i="8"/>
  <c r="CQ34" i="8"/>
  <c r="CQ46" i="8"/>
  <c r="CQ58" i="8"/>
  <c r="CQ70" i="8"/>
  <c r="CQ82" i="8"/>
  <c r="CQ94" i="8"/>
  <c r="CQ106" i="8"/>
  <c r="CQ118" i="8"/>
  <c r="CQ130" i="8"/>
  <c r="CQ142" i="8"/>
  <c r="CQ154" i="8"/>
  <c r="CQ166" i="8"/>
  <c r="CQ178" i="8"/>
  <c r="CQ190" i="8"/>
  <c r="CQ202" i="8"/>
  <c r="CQ214" i="8"/>
  <c r="CQ226" i="8"/>
  <c r="CQ238" i="8"/>
  <c r="CQ250" i="8"/>
  <c r="BU110" i="8"/>
  <c r="BU122" i="8"/>
  <c r="BU134" i="8"/>
  <c r="BU146" i="8"/>
  <c r="BU158" i="8"/>
  <c r="BU170" i="8"/>
  <c r="BU242" i="8"/>
  <c r="BW4" i="8"/>
  <c r="BW16" i="8"/>
  <c r="BW28" i="8"/>
  <c r="BW40" i="8"/>
  <c r="BW52" i="8"/>
  <c r="BW64" i="8"/>
  <c r="BW76" i="8"/>
  <c r="BW88" i="8"/>
  <c r="BW100" i="8"/>
  <c r="BW112" i="8"/>
  <c r="BW124" i="8"/>
  <c r="BW136" i="8"/>
  <c r="BW148" i="8"/>
  <c r="BW160" i="8"/>
  <c r="BW172" i="8"/>
  <c r="BW184" i="8"/>
  <c r="BW196" i="8"/>
  <c r="BW208" i="8"/>
  <c r="BW220" i="8"/>
  <c r="BW232" i="8"/>
  <c r="BW244" i="8"/>
  <c r="BY54" i="8"/>
  <c r="BY66" i="8"/>
  <c r="BY78" i="8"/>
  <c r="BY90" i="8"/>
  <c r="BY102" i="8"/>
  <c r="BY114" i="8"/>
  <c r="BY126" i="8"/>
  <c r="BY198" i="8"/>
  <c r="BY210" i="8"/>
  <c r="BY222" i="8"/>
  <c r="BY234" i="8"/>
  <c r="BY246" i="8"/>
  <c r="CA8" i="8"/>
  <c r="CA20" i="8"/>
  <c r="CA92" i="8"/>
  <c r="CA104" i="8"/>
  <c r="CA116" i="8"/>
  <c r="CA128" i="8"/>
  <c r="CA140" i="8"/>
  <c r="CA152" i="8"/>
  <c r="CA164" i="8"/>
  <c r="CA236" i="8"/>
  <c r="CA248" i="8"/>
  <c r="CC10" i="8"/>
  <c r="CC22" i="8"/>
  <c r="CC34" i="8"/>
  <c r="CC46" i="8"/>
  <c r="CC58" i="8"/>
  <c r="CC130" i="8"/>
  <c r="CC142" i="8"/>
  <c r="CC154" i="8"/>
  <c r="CC166" i="8"/>
  <c r="CC178" i="8"/>
  <c r="CC190" i="8"/>
  <c r="CC202" i="8"/>
  <c r="CE24" i="8"/>
  <c r="CE36" i="8"/>
  <c r="CE48" i="8"/>
  <c r="CE60" i="8"/>
  <c r="CE72" i="8"/>
  <c r="CE84" i="8"/>
  <c r="CE96" i="8"/>
  <c r="CE168" i="8"/>
  <c r="CE180" i="8"/>
  <c r="CE192" i="8"/>
  <c r="CE204" i="8"/>
  <c r="CE216" i="8"/>
  <c r="CE228" i="8"/>
  <c r="CE240" i="8"/>
  <c r="CC168" i="8"/>
  <c r="CC180" i="8"/>
  <c r="CC192" i="8"/>
  <c r="CC204" i="8"/>
  <c r="CC216" i="8"/>
  <c r="CC228" i="8"/>
  <c r="CE62" i="8"/>
  <c r="CE74" i="8"/>
  <c r="CE86" i="8"/>
  <c r="CE98" i="8"/>
  <c r="CE110" i="8"/>
  <c r="CE122" i="8"/>
  <c r="CE134" i="8"/>
  <c r="CE194" i="8"/>
  <c r="CE206" i="8"/>
  <c r="CE218" i="8"/>
  <c r="CE230" i="8"/>
  <c r="CE242" i="8"/>
  <c r="CG4" i="8"/>
  <c r="CG16" i="8"/>
  <c r="CG28" i="8"/>
  <c r="CG40" i="8"/>
  <c r="CG52" i="8"/>
  <c r="CG64" i="8"/>
  <c r="CG76" i="8"/>
  <c r="CG88" i="8"/>
  <c r="CG100" i="8"/>
  <c r="CG112" i="8"/>
  <c r="CG124" i="8"/>
  <c r="CG136" i="8"/>
  <c r="CG148" i="8"/>
  <c r="CG160" i="8"/>
  <c r="CG172" i="8"/>
  <c r="CG184" i="8"/>
  <c r="CG196" i="8"/>
  <c r="CG208" i="8"/>
  <c r="CG220" i="8"/>
  <c r="CG232" i="8"/>
  <c r="CG244" i="8"/>
  <c r="CI6" i="8"/>
  <c r="CI18" i="8"/>
  <c r="CI30" i="8"/>
  <c r="CI42" i="8"/>
  <c r="CI54" i="8"/>
  <c r="CI66" i="8"/>
  <c r="CI78" i="8"/>
  <c r="CI90" i="8"/>
  <c r="CI162" i="8"/>
  <c r="CI174" i="8"/>
  <c r="CI186" i="8"/>
  <c r="CI198" i="8"/>
  <c r="CI210" i="8"/>
  <c r="CI222" i="8"/>
  <c r="CI234" i="8"/>
  <c r="CK68" i="8"/>
  <c r="CK92" i="8"/>
  <c r="CK104" i="8"/>
  <c r="CK128" i="8"/>
  <c r="CK212" i="8"/>
  <c r="CK236" i="8"/>
  <c r="CK248" i="8"/>
  <c r="CM22" i="8"/>
  <c r="CM10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50">
    <bk>
      <extLst>
        <ext xmlns:xlrd="http://schemas.microsoft.com/office/spreadsheetml/2017/richdata" uri="{3e2802c4-a4d2-4d8b-9148-e3be6c30e623}">
          <xlrd:rvb i="2"/>
        </ext>
      </extLst>
    </bk>
    <bk>
      <extLst>
        <ext xmlns:xlrd="http://schemas.microsoft.com/office/spreadsheetml/2017/richdata" uri="{3e2802c4-a4d2-4d8b-9148-e3be6c30e623}">
          <xlrd:rvb i="5"/>
        </ext>
      </extLst>
    </bk>
    <bk>
      <extLst>
        <ext xmlns:xlrd="http://schemas.microsoft.com/office/spreadsheetml/2017/richdata" uri="{3e2802c4-a4d2-4d8b-9148-e3be6c30e623}">
          <xlrd:rvb i="12"/>
        </ext>
      </extLst>
    </bk>
    <bk>
      <extLst>
        <ext xmlns:xlrd="http://schemas.microsoft.com/office/spreadsheetml/2017/richdata" uri="{3e2802c4-a4d2-4d8b-9148-e3be6c30e623}">
          <xlrd:rvb i="15"/>
        </ext>
      </extLst>
    </bk>
    <bk>
      <extLst>
        <ext xmlns:xlrd="http://schemas.microsoft.com/office/spreadsheetml/2017/richdata" uri="{3e2802c4-a4d2-4d8b-9148-e3be6c30e623}">
          <xlrd:rvb i="18"/>
        </ext>
      </extLst>
    </bk>
    <bk>
      <extLst>
        <ext xmlns:xlrd="http://schemas.microsoft.com/office/spreadsheetml/2017/richdata" uri="{3e2802c4-a4d2-4d8b-9148-e3be6c30e623}">
          <xlrd:rvb i="21"/>
        </ext>
      </extLst>
    </bk>
    <bk>
      <extLst>
        <ext xmlns:xlrd="http://schemas.microsoft.com/office/spreadsheetml/2017/richdata" uri="{3e2802c4-a4d2-4d8b-9148-e3be6c30e623}">
          <xlrd:rvb i="24"/>
        </ext>
      </extLst>
    </bk>
    <bk>
      <extLst>
        <ext xmlns:xlrd="http://schemas.microsoft.com/office/spreadsheetml/2017/richdata" uri="{3e2802c4-a4d2-4d8b-9148-e3be6c30e623}">
          <xlrd:rvb i="27"/>
        </ext>
      </extLst>
    </bk>
    <bk>
      <extLst>
        <ext xmlns:xlrd="http://schemas.microsoft.com/office/spreadsheetml/2017/richdata" uri="{3e2802c4-a4d2-4d8b-9148-e3be6c30e623}">
          <xlrd:rvb i="30"/>
        </ext>
      </extLst>
    </bk>
    <bk>
      <extLst>
        <ext xmlns:xlrd="http://schemas.microsoft.com/office/spreadsheetml/2017/richdata" uri="{3e2802c4-a4d2-4d8b-9148-e3be6c30e623}">
          <xlrd:rvb i="33"/>
        </ext>
      </extLst>
    </bk>
    <bk>
      <extLst>
        <ext xmlns:xlrd="http://schemas.microsoft.com/office/spreadsheetml/2017/richdata" uri="{3e2802c4-a4d2-4d8b-9148-e3be6c30e623}">
          <xlrd:rvb i="36"/>
        </ext>
      </extLst>
    </bk>
    <bk>
      <extLst>
        <ext xmlns:xlrd="http://schemas.microsoft.com/office/spreadsheetml/2017/richdata" uri="{3e2802c4-a4d2-4d8b-9148-e3be6c30e623}">
          <xlrd:rvb i="38"/>
        </ext>
      </extLst>
    </bk>
    <bk>
      <extLst>
        <ext xmlns:xlrd="http://schemas.microsoft.com/office/spreadsheetml/2017/richdata" uri="{3e2802c4-a4d2-4d8b-9148-e3be6c30e623}">
          <xlrd:rvb i="39"/>
        </ext>
      </extLst>
    </bk>
    <bk>
      <extLst>
        <ext xmlns:xlrd="http://schemas.microsoft.com/office/spreadsheetml/2017/richdata" uri="{3e2802c4-a4d2-4d8b-9148-e3be6c30e623}">
          <xlrd:rvb i="40"/>
        </ext>
      </extLst>
    </bk>
    <bk>
      <extLst>
        <ext xmlns:xlrd="http://schemas.microsoft.com/office/spreadsheetml/2017/richdata" uri="{3e2802c4-a4d2-4d8b-9148-e3be6c30e623}">
          <xlrd:rvb i="43"/>
        </ext>
      </extLst>
    </bk>
    <bk>
      <extLst>
        <ext xmlns:xlrd="http://schemas.microsoft.com/office/spreadsheetml/2017/richdata" uri="{3e2802c4-a4d2-4d8b-9148-e3be6c30e623}">
          <xlrd:rvb i="46"/>
        </ext>
      </extLst>
    </bk>
    <bk>
      <extLst>
        <ext xmlns:xlrd="http://schemas.microsoft.com/office/spreadsheetml/2017/richdata" uri="{3e2802c4-a4d2-4d8b-9148-e3be6c30e623}">
          <xlrd:rvb i="49"/>
        </ext>
      </extLst>
    </bk>
    <bk>
      <extLst>
        <ext xmlns:xlrd="http://schemas.microsoft.com/office/spreadsheetml/2017/richdata" uri="{3e2802c4-a4d2-4d8b-9148-e3be6c30e623}">
          <xlrd:rvb i="52"/>
        </ext>
      </extLst>
    </bk>
    <bk>
      <extLst>
        <ext xmlns:xlrd="http://schemas.microsoft.com/office/spreadsheetml/2017/richdata" uri="{3e2802c4-a4d2-4d8b-9148-e3be6c30e623}">
          <xlrd:rvb i="55"/>
        </ext>
      </extLst>
    </bk>
    <bk>
      <extLst>
        <ext xmlns:xlrd="http://schemas.microsoft.com/office/spreadsheetml/2017/richdata" uri="{3e2802c4-a4d2-4d8b-9148-e3be6c30e623}">
          <xlrd:rvb i="58"/>
        </ext>
      </extLst>
    </bk>
    <bk>
      <extLst>
        <ext xmlns:xlrd="http://schemas.microsoft.com/office/spreadsheetml/2017/richdata" uri="{3e2802c4-a4d2-4d8b-9148-e3be6c30e623}">
          <xlrd:rvb i="61"/>
        </ext>
      </extLst>
    </bk>
    <bk>
      <extLst>
        <ext xmlns:xlrd="http://schemas.microsoft.com/office/spreadsheetml/2017/richdata" uri="{3e2802c4-a4d2-4d8b-9148-e3be6c30e623}">
          <xlrd:rvb i="64"/>
        </ext>
      </extLst>
    </bk>
    <bk>
      <extLst>
        <ext xmlns:xlrd="http://schemas.microsoft.com/office/spreadsheetml/2017/richdata" uri="{3e2802c4-a4d2-4d8b-9148-e3be6c30e623}">
          <xlrd:rvb i="67"/>
        </ext>
      </extLst>
    </bk>
    <bk>
      <extLst>
        <ext xmlns:xlrd="http://schemas.microsoft.com/office/spreadsheetml/2017/richdata" uri="{3e2802c4-a4d2-4d8b-9148-e3be6c30e623}">
          <xlrd:rvb i="70"/>
        </ext>
      </extLst>
    </bk>
    <bk>
      <extLst>
        <ext xmlns:xlrd="http://schemas.microsoft.com/office/spreadsheetml/2017/richdata" uri="{3e2802c4-a4d2-4d8b-9148-e3be6c30e623}">
          <xlrd:rvb i="73"/>
        </ext>
      </extLst>
    </bk>
    <bk>
      <extLst>
        <ext xmlns:xlrd="http://schemas.microsoft.com/office/spreadsheetml/2017/richdata" uri="{3e2802c4-a4d2-4d8b-9148-e3be6c30e623}">
          <xlrd:rvb i="76"/>
        </ext>
      </extLst>
    </bk>
    <bk>
      <extLst>
        <ext xmlns:xlrd="http://schemas.microsoft.com/office/spreadsheetml/2017/richdata" uri="{3e2802c4-a4d2-4d8b-9148-e3be6c30e623}">
          <xlrd:rvb i="79"/>
        </ext>
      </extLst>
    </bk>
    <bk>
      <extLst>
        <ext xmlns:xlrd="http://schemas.microsoft.com/office/spreadsheetml/2017/richdata" uri="{3e2802c4-a4d2-4d8b-9148-e3be6c30e623}">
          <xlrd:rvb i="82"/>
        </ext>
      </extLst>
    </bk>
    <bk>
      <extLst>
        <ext xmlns:xlrd="http://schemas.microsoft.com/office/spreadsheetml/2017/richdata" uri="{3e2802c4-a4d2-4d8b-9148-e3be6c30e623}">
          <xlrd:rvb i="85"/>
        </ext>
      </extLst>
    </bk>
    <bk>
      <extLst>
        <ext xmlns:xlrd="http://schemas.microsoft.com/office/spreadsheetml/2017/richdata" uri="{3e2802c4-a4d2-4d8b-9148-e3be6c30e623}">
          <xlrd:rvb i="88"/>
        </ext>
      </extLst>
    </bk>
    <bk>
      <extLst>
        <ext xmlns:xlrd="http://schemas.microsoft.com/office/spreadsheetml/2017/richdata" uri="{3e2802c4-a4d2-4d8b-9148-e3be6c30e623}">
          <xlrd:rvb i="91"/>
        </ext>
      </extLst>
    </bk>
    <bk>
      <extLst>
        <ext xmlns:xlrd="http://schemas.microsoft.com/office/spreadsheetml/2017/richdata" uri="{3e2802c4-a4d2-4d8b-9148-e3be6c30e623}">
          <xlrd:rvb i="94"/>
        </ext>
      </extLst>
    </bk>
    <bk>
      <extLst>
        <ext xmlns:xlrd="http://schemas.microsoft.com/office/spreadsheetml/2017/richdata" uri="{3e2802c4-a4d2-4d8b-9148-e3be6c30e623}">
          <xlrd:rvb i="97"/>
        </ext>
      </extLst>
    </bk>
    <bk>
      <extLst>
        <ext xmlns:xlrd="http://schemas.microsoft.com/office/spreadsheetml/2017/richdata" uri="{3e2802c4-a4d2-4d8b-9148-e3be6c30e623}">
          <xlrd:rvb i="100"/>
        </ext>
      </extLst>
    </bk>
    <bk>
      <extLst>
        <ext xmlns:xlrd="http://schemas.microsoft.com/office/spreadsheetml/2017/richdata" uri="{3e2802c4-a4d2-4d8b-9148-e3be6c30e623}">
          <xlrd:rvb i="103"/>
        </ext>
      </extLst>
    </bk>
    <bk>
      <extLst>
        <ext xmlns:xlrd="http://schemas.microsoft.com/office/spreadsheetml/2017/richdata" uri="{3e2802c4-a4d2-4d8b-9148-e3be6c30e623}">
          <xlrd:rvb i="109"/>
        </ext>
      </extLst>
    </bk>
    <bk>
      <extLst>
        <ext xmlns:xlrd="http://schemas.microsoft.com/office/spreadsheetml/2017/richdata" uri="{3e2802c4-a4d2-4d8b-9148-e3be6c30e623}">
          <xlrd:rvb i="115"/>
        </ext>
      </extLst>
    </bk>
    <bk>
      <extLst>
        <ext xmlns:xlrd="http://schemas.microsoft.com/office/spreadsheetml/2017/richdata" uri="{3e2802c4-a4d2-4d8b-9148-e3be6c30e623}">
          <xlrd:rvb i="118"/>
        </ext>
      </extLst>
    </bk>
    <bk>
      <extLst>
        <ext xmlns:xlrd="http://schemas.microsoft.com/office/spreadsheetml/2017/richdata" uri="{3e2802c4-a4d2-4d8b-9148-e3be6c30e623}">
          <xlrd:rvb i="121"/>
        </ext>
      </extLst>
    </bk>
    <bk>
      <extLst>
        <ext xmlns:xlrd="http://schemas.microsoft.com/office/spreadsheetml/2017/richdata" uri="{3e2802c4-a4d2-4d8b-9148-e3be6c30e623}">
          <xlrd:rvb i="124"/>
        </ext>
      </extLst>
    </bk>
    <bk>
      <extLst>
        <ext xmlns:xlrd="http://schemas.microsoft.com/office/spreadsheetml/2017/richdata" uri="{3e2802c4-a4d2-4d8b-9148-e3be6c30e623}">
          <xlrd:rvb i="127"/>
        </ext>
      </extLst>
    </bk>
    <bk>
      <extLst>
        <ext xmlns:xlrd="http://schemas.microsoft.com/office/spreadsheetml/2017/richdata" uri="{3e2802c4-a4d2-4d8b-9148-e3be6c30e623}">
          <xlrd:rvb i="130"/>
        </ext>
      </extLst>
    </bk>
    <bk>
      <extLst>
        <ext xmlns:xlrd="http://schemas.microsoft.com/office/spreadsheetml/2017/richdata" uri="{3e2802c4-a4d2-4d8b-9148-e3be6c30e623}">
          <xlrd:rvb i="133"/>
        </ext>
      </extLst>
    </bk>
    <bk>
      <extLst>
        <ext xmlns:xlrd="http://schemas.microsoft.com/office/spreadsheetml/2017/richdata" uri="{3e2802c4-a4d2-4d8b-9148-e3be6c30e623}">
          <xlrd:rvb i="139"/>
        </ext>
      </extLst>
    </bk>
    <bk>
      <extLst>
        <ext xmlns:xlrd="http://schemas.microsoft.com/office/spreadsheetml/2017/richdata" uri="{3e2802c4-a4d2-4d8b-9148-e3be6c30e623}">
          <xlrd:rvb i="142"/>
        </ext>
      </extLst>
    </bk>
    <bk>
      <extLst>
        <ext xmlns:xlrd="http://schemas.microsoft.com/office/spreadsheetml/2017/richdata" uri="{3e2802c4-a4d2-4d8b-9148-e3be6c30e623}">
          <xlrd:rvb i="145"/>
        </ext>
      </extLst>
    </bk>
    <bk>
      <extLst>
        <ext xmlns:xlrd="http://schemas.microsoft.com/office/spreadsheetml/2017/richdata" uri="{3e2802c4-a4d2-4d8b-9148-e3be6c30e623}">
          <xlrd:rvb i="148"/>
        </ext>
      </extLst>
    </bk>
    <bk>
      <extLst>
        <ext xmlns:xlrd="http://schemas.microsoft.com/office/spreadsheetml/2017/richdata" uri="{3e2802c4-a4d2-4d8b-9148-e3be6c30e623}">
          <xlrd:rvb i="151"/>
        </ext>
      </extLst>
    </bk>
    <bk>
      <extLst>
        <ext xmlns:xlrd="http://schemas.microsoft.com/office/spreadsheetml/2017/richdata" uri="{3e2802c4-a4d2-4d8b-9148-e3be6c30e623}">
          <xlrd:rvb i="154"/>
        </ext>
      </extLst>
    </bk>
    <bk>
      <extLst>
        <ext xmlns:xlrd="http://schemas.microsoft.com/office/spreadsheetml/2017/richdata" uri="{3e2802c4-a4d2-4d8b-9148-e3be6c30e623}">
          <xlrd:rvb i="156"/>
        </ext>
      </extLst>
    </bk>
  </futureMetadata>
  <futureMetadata name="XLDAPR" count="1">
    <bk>
      <extLst>
        <ext xmlns:xda="http://schemas.microsoft.com/office/spreadsheetml/2017/dynamicarray" uri="{bdbb8cdc-fa1e-496e-a857-3c3f30c029c3}">
          <xda:dynamicArrayProperties fDynamic="1" fCollapsed="0"/>
        </ext>
      </extLst>
    </bk>
  </futureMetadata>
  <cellMetadata count="1">
    <bk>
      <rc t="2" v="0"/>
    </bk>
  </cellMetadata>
  <valueMetadata count="50">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valueMetadata>
</metadata>
</file>

<file path=xl/sharedStrings.xml><?xml version="1.0" encoding="utf-8"?>
<sst xmlns="http://schemas.openxmlformats.org/spreadsheetml/2006/main" count="811" uniqueCount="95">
  <si>
    <t>Asset Name</t>
  </si>
  <si>
    <t>Asset Type</t>
  </si>
  <si>
    <t>Beta</t>
  </si>
  <si>
    <t>Equity</t>
  </si>
  <si>
    <t>Bond</t>
  </si>
  <si>
    <t>Oil</t>
  </si>
  <si>
    <t>Commodities</t>
  </si>
  <si>
    <t>Rates</t>
  </si>
  <si>
    <t>Asset</t>
  </si>
  <si>
    <t>Shock Applied</t>
  </si>
  <si>
    <t>PnL Impact (%)</t>
  </si>
  <si>
    <t>Ticker</t>
  </si>
  <si>
    <t>Price</t>
  </si>
  <si>
    <t>Market Cap</t>
  </si>
  <si>
    <t>MICROSOFT CORPORATION (XNAS:MSFT)</t>
  </si>
  <si>
    <t>No data</t>
  </si>
  <si>
    <t>Previous close</t>
  </si>
  <si>
    <t>Returns</t>
  </si>
  <si>
    <t>Date</t>
  </si>
  <si>
    <t>Return</t>
  </si>
  <si>
    <t>APPLE INC. (XNAS:AAPL)</t>
  </si>
  <si>
    <t>NVIDIA CORPORATION (XNAS:NVDA)</t>
  </si>
  <si>
    <t>Meta Platforms, Inc. (XNAS:META)</t>
  </si>
  <si>
    <t>VaR (95%) Û</t>
  </si>
  <si>
    <t>Expected Shortfall (95%) Û</t>
  </si>
  <si>
    <t>Asset Class</t>
  </si>
  <si>
    <t>Shock (%)</t>
  </si>
  <si>
    <t>Scenario Name</t>
  </si>
  <si>
    <t>LE SINGE</t>
  </si>
  <si>
    <t>SPDR Gold (ARCX:GLD)</t>
  </si>
  <si>
    <t>iShares:20+ Trs Bd ETF (XNAS:TLT)</t>
  </si>
  <si>
    <t>United States Oil Fund (ARCX:USO)</t>
  </si>
  <si>
    <t>Time Added</t>
  </si>
  <si>
    <t>Exposure ($)</t>
  </si>
  <si>
    <t>Crash 2026</t>
  </si>
  <si>
    <t>test1</t>
  </si>
  <si>
    <t>marwwan</t>
  </si>
  <si>
    <t>Scenario: LE SINGE</t>
  </si>
  <si>
    <t>Total - LE SINGE</t>
  </si>
  <si>
    <t>Scenario: Crash 2026</t>
  </si>
  <si>
    <t>Total - Crash 2026</t>
  </si>
  <si>
    <t>Scenario: test1</t>
  </si>
  <si>
    <t>Total - test1</t>
  </si>
  <si>
    <t>Scenario: marwwan</t>
  </si>
  <si>
    <t>Total - marwwan</t>
  </si>
  <si>
    <t>RunAllScenarios_ToOutput</t>
  </si>
  <si>
    <t>START</t>
  </si>
  <si>
    <t>Scenarios found=5</t>
  </si>
  <si>
    <t>RunOneScenario_ToOutput</t>
  </si>
  <si>
    <t>START | LE SINGE</t>
  </si>
  <si>
    <t>OK | LE SINGE | assets_applied=6 | total_pnl=-5910</t>
  </si>
  <si>
    <t>Scenario done: LE SINGE | rows_added=7</t>
  </si>
  <si>
    <t>START | BLAbla</t>
  </si>
  <si>
    <t>OK | BLAbla | assets_applied=5 | total_pnl=4650</t>
  </si>
  <si>
    <t>Scenario done: BLAbla | rows_added=6</t>
  </si>
  <si>
    <t>START | Crash 2026</t>
  </si>
  <si>
    <t>OK | Crash 2026 | assets_applied=5 | total_pnl=4485</t>
  </si>
  <si>
    <t>Scenario done: Crash 2026 | rows_added=6</t>
  </si>
  <si>
    <t>START | test1</t>
  </si>
  <si>
    <t>OK | test1 | assets_applied=5 | total_pnl=-8460</t>
  </si>
  <si>
    <t>Scenario done: test1 | rows_added=6</t>
  </si>
  <si>
    <t>START | marwwan</t>
  </si>
  <si>
    <t>OK | marwwan | assets_applied=1 | total_pnl=9000</t>
  </si>
  <si>
    <t>Scenario done: marwwan | rows_added=2</t>
  </si>
  <si>
    <t>COMPLETED | lastRow=43</t>
  </si>
  <si>
    <t>Timestamp</t>
  </si>
  <si>
    <t>Source</t>
  </si>
  <si>
    <t>Details</t>
  </si>
  <si>
    <t>Invesco QQQ Trust 1 (XNAS:QQQ)</t>
  </si>
  <si>
    <t>OK | LE SINGE | assets_applied=8 | total_pnl=-5957,97</t>
  </si>
  <si>
    <t>Scenario done: LE SINGE | rows_added=9</t>
  </si>
  <si>
    <t>OK | BLAbla | assets_applied=6 | total_pnl=4698</t>
  </si>
  <si>
    <t>Scenario done: BLAbla | rows_added=7</t>
  </si>
  <si>
    <t>OK | Crash 2026 | assets_applied=7 | total_pnl=4545,52</t>
  </si>
  <si>
    <t>Scenario done: Crash 2026 | rows_added=8</t>
  </si>
  <si>
    <t>OK | test1 | assets_applied=6 | total_pnl=-8508</t>
  </si>
  <si>
    <t>Scenario done: test1 | rows_added=7</t>
  </si>
  <si>
    <t>OK | marwwan | assets_applied=2 | total_pnl=9000,1</t>
  </si>
  <si>
    <t>Scenario done: marwwan | rows_added=3</t>
  </si>
  <si>
    <t>COMPLETED | lastRow=50</t>
  </si>
  <si>
    <t>SPDR Gold MiniShares Tr (ARCX:GLDM)</t>
  </si>
  <si>
    <t>Schwab Str:US TIPS (ARCX:SCHP)</t>
  </si>
  <si>
    <t>SPDR Bbg 1-3 Mo T-Bill (ARCX:BIL)</t>
  </si>
  <si>
    <t>OK | LE SINGE | assets_applied=9 | total_pnl=-5940</t>
  </si>
  <si>
    <t>Scenario done: LE SINGE | rows_added=10</t>
  </si>
  <si>
    <t>OK | Crash 2026 | assets_applied=7 | total_pnl=4649</t>
  </si>
  <si>
    <t>OK | test1 | assets_applied=7 | total_pnl=-8551</t>
  </si>
  <si>
    <t>Scenario done: test1 | rows_added=8</t>
  </si>
  <si>
    <t>OK | marwwan | assets_applied=2 | total_pnl=9020</t>
  </si>
  <si>
    <t>COMPLETED | lastRow=52</t>
  </si>
  <si>
    <t>PnL Impact (Û)</t>
  </si>
  <si>
    <t>OK | BLAbla | assets_applied=5 | total_pnl=3348</t>
  </si>
  <si>
    <t>COMPLETED | lastRow=51</t>
  </si>
  <si>
    <t>Scenarios found=4</t>
  </si>
  <si>
    <t>COMPLETED | lastRow=42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</si>
</sst>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 numFmtId="170" formatCode="#,##0.00\ [$Û-407]"/>
  </numFmts>
  <fonts count="9">
    <font>
      <sz val="12"/>
      <color theme="1"/>
      <name val="Aptos Narrow"/>
      <family val="2"/>
      <scheme val="minor"/>
    </font>
    <font>
      <sz val="12"/>
      <color theme="0"/>
      <name val="Aptos Narrow"/>
      <scheme val="minor"/>
    </font>
    <font>
      <b/>
      <sz val="12"/>
      <color theme="5"/>
      <name val="Aptos Narrow"/>
      <scheme val="minor"/>
    </font>
    <font>
      <sz val="12"/>
      <color theme="5"/>
      <name val="Aptos Narrow"/>
      <scheme val="minor"/>
    </font>
    <font>
      <sz val="12"/>
      <color theme="0"/>
      <name val="Aptos Narrow"/>
      <family val="2"/>
      <scheme val="minor"/>
    </font>
    <font>
      <sz val="12"/>
      <color theme="5"/>
      <name val="Aptos Narrow"/>
      <family val="2"/>
      <scheme val="minor"/>
    </font>
    <font>
      <b/>
      <sz val="12"/>
      <color theme="5"/>
      <name val="Aptos Narrow"/>
      <family val="2"/>
      <scheme val="minor"/>
    </font>
    <font>
      <b/>
      <sz val="12"/>
      <color theme="1"/>
      <name val="Aptos Narrow"/>
      <scheme val="minor"/>
    </font>
    <font>
      <sz val="12"/>
      <color rgb="FFE97132"/>
      <name val="Aptos Narrow"/>
      <scheme val="minor"/>
    </font>
  </fonts>
  <fills count="4">
    <fill>
      <patternFill patternType="none"/>
    </fill>
    <fill>
      <patternFill patternType="gray125"/>
    </fill>
    <fill>
      <patternFill patternType="solid">
        <fgColor theme="1"/>
        <bgColor indexed="64"/>
      </patternFill>
    </fill>
    <fill>
      <patternFill patternType="solid">
        <fgColor rgb="FF000000"/>
        <bgColor rgb="FF000000"/>
      </patternFill>
    </fill>
  </fills>
  <borders count="1">
    <border>
      <left/>
      <right/>
      <top/>
      <bottom/>
      <diagonal/>
    </border>
  </borders>
  <cellStyleXfs count="1">
    <xf numFmtId="0" fontId="0" fillId="0" borderId="0"/>
  </cellStyleXfs>
  <cellXfs count="39">
    <xf numFmtId="0" fontId="0" fillId="0" borderId="0" xfId="0"/>
    <xf numFmtId="0" fontId="1" fillId="2" borderId="0" xfId="0" applyFont="1" applyFill="1" applyAlignment="1">
      <alignment horizontal="center" vertical="center"/>
    </xf>
    <xf numFmtId="0" fontId="1" fillId="2" borderId="0" xfId="0" applyFont="1" applyFill="1"/>
    <xf numFmtId="0" fontId="2" fillId="2" borderId="0" xfId="0" applyFont="1" applyFill="1" applyAlignment="1">
      <alignment horizontal="center" vertical="center" wrapText="1"/>
    </xf>
    <xf numFmtId="0" fontId="2" fillId="2" borderId="0" xfId="0" applyFont="1" applyFill="1" applyAlignment="1">
      <alignment vertical="center" wrapText="1"/>
    </xf>
    <xf numFmtId="166" fontId="2" fillId="2" borderId="0" xfId="0" applyNumberFormat="1" applyFont="1" applyFill="1" applyAlignment="1">
      <alignment horizontal="center" vertical="center" wrapText="1"/>
    </xf>
    <xf numFmtId="14" fontId="3" fillId="2" borderId="0" xfId="0" applyNumberFormat="1" applyFont="1" applyFill="1" applyAlignment="1">
      <alignment horizontal="center" vertical="center"/>
    </xf>
    <xf numFmtId="0" fontId="3" fillId="2" borderId="0" xfId="0" applyFont="1" applyFill="1"/>
    <xf numFmtId="0" fontId="0" fillId="2" borderId="0" xfId="0" applyFill="1"/>
    <xf numFmtId="0" fontId="2" fillId="2" borderId="0" xfId="0" applyFont="1" applyFill="1" applyAlignment="1">
      <alignment horizontal="center" vertical="center"/>
    </xf>
    <xf numFmtId="4" fontId="2" fillId="2" borderId="0" xfId="0" applyNumberFormat="1" applyFont="1" applyFill="1" applyAlignment="1">
      <alignment horizontal="center" vertical="center"/>
    </xf>
    <xf numFmtId="0" fontId="4" fillId="2" borderId="0" xfId="0" applyFont="1" applyFill="1"/>
    <xf numFmtId="166" fontId="1" fillId="2" borderId="0" xfId="0" applyNumberFormat="1" applyFont="1" applyFill="1"/>
    <xf numFmtId="4" fontId="1" fillId="2" borderId="0" xfId="0" applyNumberFormat="1" applyFont="1" applyFill="1"/>
    <xf numFmtId="167" fontId="1" fillId="2" borderId="0" xfId="0" applyNumberFormat="1" applyFont="1" applyFill="1"/>
    <xf numFmtId="169" fontId="1" fillId="2" borderId="0" xfId="0" applyNumberFormat="1" applyFont="1" applyFill="1"/>
    <xf numFmtId="168" fontId="1" fillId="2" borderId="0" xfId="0" applyNumberFormat="1" applyFont="1" applyFill="1"/>
    <xf numFmtId="166" fontId="1" fillId="2" borderId="0" xfId="0" applyNumberFormat="1" applyFont="1" applyFill="1" applyAlignment="1">
      <alignment vertical="center"/>
    </xf>
    <xf numFmtId="0" fontId="1" fillId="2" borderId="0" xfId="0" applyFont="1" applyFill="1" applyAlignment="1">
      <alignment vertical="center"/>
    </xf>
    <xf numFmtId="169" fontId="1" fillId="2" borderId="0" xfId="0" applyNumberFormat="1" applyFont="1" applyFill="1" applyAlignment="1">
      <alignment vertical="center"/>
    </xf>
    <xf numFmtId="0" fontId="4" fillId="2" borderId="0" xfId="0" applyFont="1" applyFill="1" applyAlignment="1">
      <alignment horizontal="center"/>
    </xf>
    <xf numFmtId="22" fontId="4" fillId="2" borderId="0" xfId="0" applyNumberFormat="1" applyFont="1" applyFill="1" applyAlignment="1">
      <alignment horizontal="center"/>
    </xf>
    <xf numFmtId="0" fontId="6" fillId="2" borderId="0" xfId="0" applyFont="1" applyFill="1" applyAlignment="1">
      <alignment horizontal="center" vertical="center" wrapText="1"/>
    </xf>
    <xf numFmtId="0" fontId="6" fillId="2" borderId="0" xfId="0" applyFont="1" applyFill="1" applyAlignment="1">
      <alignment horizontal="center" vertical="center"/>
    </xf>
    <xf numFmtId="0" fontId="5" fillId="2" borderId="0" xfId="0" applyFont="1" applyFill="1" applyAlignment="1">
      <alignment horizontal="center"/>
    </xf>
    <xf numFmtId="165" fontId="4" fillId="2" borderId="0" xfId="0" applyNumberFormat="1" applyFont="1" applyFill="1"/>
    <xf numFmtId="0" fontId="6" fillId="2" borderId="0" xfId="0" applyFont="1" applyFill="1"/>
    <xf numFmtId="0" fontId="5" fillId="2" borderId="0" xfId="0" applyFont="1" applyFill="1"/>
    <xf numFmtId="22" fontId="3" fillId="2" borderId="0" xfId="0" applyNumberFormat="1" applyFont="1" applyFill="1" applyAlignment="1">
      <alignment horizontal="center"/>
    </xf>
    <xf numFmtId="0" fontId="3" fillId="2" borderId="0" xfId="0" applyFont="1" applyFill="1" applyAlignment="1">
      <alignment horizontal="center"/>
    </xf>
    <xf numFmtId="0" fontId="7" fillId="0" borderId="0" xfId="0" applyFont="1"/>
    <xf numFmtId="9" fontId="0" fillId="0" borderId="0" xfId="0" applyNumberFormat="1"/>
    <xf numFmtId="164" fontId="0" fillId="0" borderId="0" xfId="0" applyNumberFormat="1"/>
    <xf numFmtId="164" fontId="7" fillId="0" borderId="0" xfId="0" applyNumberFormat="1" applyFont="1"/>
    <xf numFmtId="0" fontId="8" fillId="3" borderId="0" xfId="0" applyFont="1" applyFill="1"/>
    <xf numFmtId="3" fontId="1" fillId="2" borderId="0" xfId="0" applyNumberFormat="1" applyFont="1" applyFill="1"/>
    <xf numFmtId="2" fontId="1" fillId="2" borderId="0" xfId="0" applyNumberFormat="1" applyFont="1" applyFill="1"/>
    <xf numFmtId="170" fontId="0" fillId="0" borderId="0" xfId="0" applyNumberFormat="1"/>
    <xf numFmtId="170" fontId="7" fillId="0" borderId="0" xfId="0" applyNumberFormat="1" applyFont="1"/>
  </cellXfs>
  <cellStyles count="1">
    <cellStyle name="Normal" xfId="0" builtinId="0"/>
  </cellStyles>
  <dxfs count="149">
    <dxf>
      <font>
        <color rgb="FF00FF00"/>
      </font>
    </dxf>
    <dxf>
      <font>
        <color rgb="FFFF0000"/>
      </font>
    </dxf>
    <dxf>
      <font>
        <color rgb="FF00FF00"/>
      </font>
    </dxf>
    <dxf>
      <font>
        <color rgb="FFFF0000"/>
      </font>
    </dxf>
    <dxf>
      <font>
        <color rgb="FF00FF00"/>
      </font>
    </dxf>
    <dxf>
      <font>
        <color rgb="FFFF0000"/>
      </font>
    </dxf>
    <dxf>
      <font>
        <color rgb="FF00FF00"/>
      </font>
    </dxf>
    <dxf>
      <font>
        <color rgb="FFFF0000"/>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 Id="rId22" Type="http://schemas.microsoft.com/office/2017/06/relationships/rdRichValue" Target="richData/rdrichvalue.xml"/></Relationships>
</file>

<file path=xl/drawings/drawing1.xml><?xml version="1.0" encoding="utf-8"?>
<xdr:wsDr xmlns:xdr="http://schemas.openxmlformats.org/drawingml/2006/spreadsheetDrawing" xmlns:a="http://schemas.openxmlformats.org/drawingml/2006/main">
  <xdr:twoCellAnchor>
    <xdr:from>
      <xdr:col>7</xdr:col>
      <xdr:colOff>146242</xdr:colOff>
      <xdr:row>12</xdr:row>
      <xdr:rowOff>153863</xdr:rowOff>
    </xdr:from>
    <xdr:to>
      <xdr:col>8</xdr:col>
      <xdr:colOff>838970</xdr:colOff>
      <xdr:row>14</xdr:row>
      <xdr:rowOff>76971</xdr:rowOff>
    </xdr:to>
    <xdr:sp macro="[0]!RunAllScenarios_ToOutpu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9628909" y="2709257"/>
          <a:ext cx="1600970" cy="307956"/>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Stress Test</a:t>
          </a:r>
        </a:p>
      </xdr:txBody>
    </xdr:sp>
    <xdr:clientData/>
  </xdr:twoCellAnchor>
  <xdr:twoCellAnchor>
    <xdr:from>
      <xdr:col>7</xdr:col>
      <xdr:colOff>130848</xdr:colOff>
      <xdr:row>6</xdr:row>
      <xdr:rowOff>157942</xdr:rowOff>
    </xdr:from>
    <xdr:to>
      <xdr:col>8</xdr:col>
      <xdr:colOff>831273</xdr:colOff>
      <xdr:row>8</xdr:row>
      <xdr:rowOff>146242</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9613515" y="1558790"/>
          <a:ext cx="1608667" cy="373149"/>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Add</a:t>
          </a:r>
          <a:r>
            <a:rPr lang="fr-FR" sz="1400" b="1" baseline="0">
              <a:solidFill>
                <a:sysClr val="windowText" lastClr="000000"/>
              </a:solidFill>
            </a:rPr>
            <a:t> Portfolio</a:t>
          </a:r>
        </a:p>
      </xdr:txBody>
    </xdr:sp>
    <xdr:clientData/>
  </xdr:twoCellAnchor>
  <xdr:twoCellAnchor>
    <xdr:from>
      <xdr:col>7</xdr:col>
      <xdr:colOff>130848</xdr:colOff>
      <xdr:row>9</xdr:row>
      <xdr:rowOff>100061</xdr:rowOff>
    </xdr:from>
    <xdr:to>
      <xdr:col>8</xdr:col>
      <xdr:colOff>831273</xdr:colOff>
      <xdr:row>11</xdr:row>
      <xdr:rowOff>61576</xdr:rowOff>
    </xdr:to>
    <xdr:sp macro="[0]!mod_Main.OpenRemovePortfolioForm" textlink="">
      <xdr:nvSpPr>
        <xdr:cNvPr id="2" name="Rectangle: Rounded Corners 1">
          <a:extLst>
            <a:ext uri="{FF2B5EF4-FFF2-40B4-BE49-F238E27FC236}">
              <a16:creationId xmlns:a16="http://schemas.microsoft.com/office/drawing/2014/main" id="{8CC2DF55-06A6-4DEE-92EF-7B81E8EB7259}"/>
            </a:ext>
          </a:extLst>
        </xdr:cNvPr>
        <xdr:cNvSpPr/>
      </xdr:nvSpPr>
      <xdr:spPr>
        <a:xfrm>
          <a:off x="9613515" y="2078182"/>
          <a:ext cx="1608667" cy="34636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a:solidFill>
                <a:sysClr val="windowText" lastClr="000000"/>
              </a:solidFill>
            </a:rPr>
            <a:t>Remove</a:t>
          </a:r>
          <a:r>
            <a:rPr lang="fr-FR" sz="1400" b="1" baseline="0">
              <a:solidFill>
                <a:sysClr val="windowText" lastClr="000000"/>
              </a:solidFill>
            </a:rPr>
            <a:t> Portfolio</a:t>
          </a:r>
        </a:p>
        <a:p>
          <a:pPr algn="l"/>
          <a:endParaRPr lang="fr-FR" sz="1100"/>
        </a:p>
      </xdr:txBody>
    </xdr:sp>
    <xdr:clientData/>
  </xdr:twoCellAnchor>
  <xdr:twoCellAnchor>
    <xdr:from>
      <xdr:col>7</xdr:col>
      <xdr:colOff>146241</xdr:colOff>
      <xdr:row>3</xdr:row>
      <xdr:rowOff>76969</xdr:rowOff>
    </xdr:from>
    <xdr:to>
      <xdr:col>8</xdr:col>
      <xdr:colOff>846666</xdr:colOff>
      <xdr:row>5</xdr:row>
      <xdr:rowOff>53879</xdr:rowOff>
    </xdr:to>
    <xdr:sp macro="[0]!OpenRemoveScenarioForm" textlink="">
      <xdr:nvSpPr>
        <xdr:cNvPr id="6" name="Rectangle: Rounded Corners 5">
          <a:extLst>
            <a:ext uri="{FF2B5EF4-FFF2-40B4-BE49-F238E27FC236}">
              <a16:creationId xmlns:a16="http://schemas.microsoft.com/office/drawing/2014/main" id="{C9BBB649-9861-4B17-A734-1E5A4723CD0E}"/>
            </a:ext>
          </a:extLst>
        </xdr:cNvPr>
        <xdr:cNvSpPr/>
      </xdr:nvSpPr>
      <xdr:spPr>
        <a:xfrm>
          <a:off x="9628908" y="900545"/>
          <a:ext cx="1608667" cy="361758"/>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a:solidFill>
                <a:sysClr val="windowText" lastClr="000000"/>
              </a:solidFill>
            </a:rPr>
            <a:t>Delete</a:t>
          </a:r>
          <a:r>
            <a:rPr lang="fr-FR" sz="1400" b="1" baseline="0">
              <a:solidFill>
                <a:sysClr val="windowText" lastClr="000000"/>
              </a:solidFill>
            </a:rPr>
            <a:t> Scenario</a:t>
          </a:r>
          <a:endParaRPr lang="fr-FR" sz="1100" b="1">
            <a:solidFill>
              <a:sysClr val="windowText" lastClr="000000"/>
            </a:solidFill>
          </a:endParaRPr>
        </a:p>
      </xdr:txBody>
    </xdr:sp>
    <xdr:clientData/>
  </xdr:twoCellAnchor>
  <xdr:twoCellAnchor>
    <xdr:from>
      <xdr:col>7</xdr:col>
      <xdr:colOff>129308</xdr:colOff>
      <xdr:row>0</xdr:row>
      <xdr:rowOff>421793</xdr:rowOff>
    </xdr:from>
    <xdr:to>
      <xdr:col>8</xdr:col>
      <xdr:colOff>829733</xdr:colOff>
      <xdr:row>2</xdr:row>
      <xdr:rowOff>152399</xdr:rowOff>
    </xdr:to>
    <xdr:sp macro="[0]!ShowAddScenarioForm" textlink="">
      <xdr:nvSpPr>
        <xdr:cNvPr id="8" name="Rectangle: Rounded Corners 7">
          <a:extLst>
            <a:ext uri="{FF2B5EF4-FFF2-40B4-BE49-F238E27FC236}">
              <a16:creationId xmlns:a16="http://schemas.microsoft.com/office/drawing/2014/main" id="{DA6929DB-7B04-44BE-B5D2-CECCA4CEDDF1}"/>
            </a:ext>
          </a:extLst>
        </xdr:cNvPr>
        <xdr:cNvSpPr/>
      </xdr:nvSpPr>
      <xdr:spPr>
        <a:xfrm>
          <a:off x="9611975" y="421793"/>
          <a:ext cx="1608667" cy="361758"/>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baseline="0">
              <a:solidFill>
                <a:sysClr val="windowText" lastClr="000000"/>
              </a:solidFill>
            </a:rPr>
            <a:t>Add Scenario</a:t>
          </a:r>
          <a:endParaRPr lang="fr-FR" sz="1400" b="1">
            <a:solidFill>
              <a:sysClr val="windowText" lastClr="000000"/>
            </a:solidFill>
          </a:endParaRP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50">
  <a r="1" c="250">
    <v t="i">0</v>
    <v t="i">1</v>
    <v t="i">2</v>
    <v t="i">5</v>
    <v t="i">6</v>
    <v t="i">7</v>
    <v t="i">8</v>
    <v t="i">9</v>
    <v t="i">12</v>
    <v t="i">13</v>
    <v t="i">14</v>
    <v t="i">15</v>
    <v t="i">16</v>
    <v t="i">19</v>
    <v t="i">20</v>
    <v t="i">21</v>
    <v t="i">22</v>
    <v t="i">23</v>
    <v t="i">26</v>
    <v t="i">27</v>
    <v t="i">28</v>
    <v t="i">29</v>
    <v t="i">30</v>
    <v t="i">33</v>
    <v t="i">34</v>
    <v t="i">35</v>
    <v t="i">36</v>
    <v t="i">37</v>
    <v t="i">40</v>
    <v t="i">41</v>
    <v t="i">42</v>
    <v t="i">43</v>
    <v t="i">44</v>
    <v t="i">47</v>
    <v t="i">48</v>
    <v t="i">49</v>
    <v t="i">51</v>
    <v t="i">54</v>
    <v t="i">55</v>
    <v t="i">56</v>
    <v t="i">57</v>
    <v t="i">58</v>
    <v t="i">61</v>
    <v t="i">62</v>
    <v t="i">63</v>
    <v t="i">64</v>
    <v t="i">65</v>
    <v t="i">68</v>
    <v t="i">69</v>
    <v t="i">70</v>
    <v t="i">71</v>
    <v t="i">72</v>
    <v t="i">75</v>
    <v t="i">76</v>
    <v t="i">78</v>
    <v t="i">79</v>
    <v t="i">82</v>
    <v t="i">83</v>
    <v t="i">85</v>
    <v t="i">86</v>
    <v t="i">89</v>
    <v t="i">90</v>
    <v t="i">91</v>
    <v t="i">93</v>
    <v t="i">96</v>
    <v t="i">97</v>
    <v t="i">98</v>
    <v t="i">99</v>
    <v t="i">100</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222</v>
    <v t="i">223</v>
    <v t="i">224</v>
    <v t="i">225</v>
    <v t="i">226</v>
    <v t="i">230</v>
    <v t="i">231</v>
    <v t="i">232</v>
    <v t="i">233</v>
    <v t="i">236</v>
    <v t="i">237</v>
    <v t="i">238</v>
    <v t="i">239</v>
    <v t="i">240</v>
    <v t="i">243</v>
    <v t="i">244</v>
    <v t="i">245</v>
    <v t="i">246</v>
    <v t="i">247</v>
    <v t="i">250</v>
    <v t="i">251</v>
    <v t="i">252</v>
    <v t="i">254</v>
    <v t="i">257</v>
    <v t="i">258</v>
    <v t="i">259</v>
    <v t="i">260</v>
    <v t="i">261</v>
    <v t="i">264</v>
    <v t="i">265</v>
    <v t="i">266</v>
    <v t="i">267</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v t="i">356</v>
    <v t="i">357</v>
    <v t="i">358</v>
    <v t="i">359</v>
    <v t="i">362</v>
    <v t="i">363</v>
    <v t="i">364</v>
  </a>
  <a r="1" c="250">
    <v>94.45</v>
    <v>94.08</v>
    <v>93.7</v>
    <v>93.765000000000001</v>
    <v>94.91</v>
    <v>95.31</v>
    <v>93.8</v>
    <v>93.87</v>
    <v>92.23</v>
    <v>92.32</v>
    <v>92.07</v>
    <v>92.66</v>
    <v>92.14</v>
    <v>91.89</v>
    <v>92.03</v>
    <v>92.3</v>
    <v>92.45</v>
    <v>90.84</v>
    <v>92.25</v>
    <v>92.74</v>
    <v>90.2</v>
    <v>91.33</v>
    <v>92.49</v>
    <v>92.04</v>
    <v>90.66</v>
    <v>89.8</v>
    <v>90.32</v>
    <v>90.08</v>
    <v>90.24</v>
    <v>90.7</v>
    <v>90.41</v>
    <v>90.34</v>
    <v>90.39</v>
    <v>92.73</v>
    <v>92.37</v>
    <v>93.01</v>
    <v>93.97</v>
    <v>93.87</v>
    <v>93.06</v>
    <v>94.06</v>
    <v>94.25</v>
    <v>94.39</v>
    <v>93.52</v>
    <v>93.08</v>
    <v>92.2</v>
    <v>91.08</v>
    <v>90.15</v>
    <v>90.42</v>
    <v>90.64</v>
    <v>89.16</v>
    <v>87.81</v>
    <v>88.31</v>
    <v>87.5</v>
    <v>87.87</v>
    <v>87.82</v>
    <v>87.1</v>
    <v>87.8</v>
    <v>87.33</v>
    <v>87.57</v>
    <v>87.29</v>
    <v>86.9</v>
    <v>85.92</v>
    <v>86.03</v>
    <v>85.46</v>
    <v>85.43</v>
    <v>85.29</v>
    <v>86.76</v>
    <v>87.04</v>
    <v>87.19</v>
    <v>87.97</v>
    <v>87.51</v>
    <v>86.83</v>
    <v>87.22</v>
    <v>88.25</v>
    <v>88.19</v>
    <v>88.01</v>
    <v>88.34</v>
    <v>87.76</v>
    <v>88.16</v>
    <v>88.43</v>
    <v>89.89</v>
    <v>89.85</v>
    <v>89.27</v>
    <v>89</v>
    <v>88.43</v>
    <v>87.23</v>
    <v>88.68</v>
    <v>89.15</v>
    <v>88.1</v>
    <v>88.21</v>
    <v>88.54</v>
    <v>89.61</v>
    <v>89.87</v>
    <v>91.42</v>
    <v>91.96</v>
    <v>91.31</v>
    <v>92.43</v>
    <v>92.57</v>
    <v>91.43</v>
    <v>90.7</v>
    <v>90.4</v>
    <v>90.11</v>
    <v>91.05</v>
    <v>90.4</v>
    <v>89.86</v>
    <v>90.65</v>
    <v>90.17</v>
    <v>90.62</v>
    <v>90.71</v>
    <v>91.18</v>
    <v>91.24</v>
    <v>90.7</v>
    <v>89.77</v>
    <v>89.76</v>
    <v>89.17</v>
    <v>88.91</v>
    <v>90.14</v>
    <v>91.03</v>
    <v>91.49</v>
    <v>91.43</v>
    <v>91.85</v>
    <v>92.85</v>
    <v>90.05</v>
    <v>88.35</v>
    <v>88.87</v>
    <v>86.42</v>
    <v>86.89</v>
    <v>87.51</v>
    <v>87.82</v>
    <v>88.31</v>
    <v>87.53</v>
    <v>86</v>
    <v>86.48</v>
    <v>87.32</v>
    <v>88.24</v>
    <v>88.89</v>
    <v>89.45</v>
    <v>90.2</v>
    <v>89.47</v>
    <v>88.69</v>
    <v>87.73</v>
    <v>87.24</v>
    <v>87.53</v>
    <v>87.9</v>
    <v>86.92</v>
    <v>87.05</v>
    <v>86.24</v>
    <v>85.89</v>
    <v>85.32</v>
    <v>86.07</v>
    <v>86.3</v>
    <v>86.05</v>
    <v>85.43</v>
    <v>83.97</v>
    <v>84.41</v>
    <v>84.55</v>
    <v>85.73</v>
    <v>85.36</v>
    <v>86.15</v>
    <v>86.28</v>
    <v>85.16</v>
    <v>85.01</v>
    <v>86.39</v>
    <v>86.45</v>
    <v>85.35</v>
    <v>85.44</v>
    <v>85.88</v>
    <v>86.14</v>
    <v>87.17</v>
    <v>86.33</v>
    <v>85.46</v>
    <v>86.5</v>
    <v>86.65</v>
    <v>86.49</v>
    <v>86.77</v>
    <v>87.4</v>
    <v>87.51</v>
    <v>87.95</v>
    <v>87.39</v>
    <v>88.25</v>
    <v>88.14</v>
    <v>87.58</v>
    <v>86.97</v>
    <v>86.14</v>
    <v>86.03</v>
    <v>86.93</v>
    <v>86.99</v>
    <v>85.79</v>
    <v>85.61</v>
    <v>85.01</v>
    <v>85.13</v>
    <v>85.11</v>
    <v>85.24</v>
    <v>86</v>
    <v>86.52</v>
    <v>86.04</v>
    <v>85.89</v>
    <v>86.43</v>
    <v>85.87</v>
    <v>87.32</v>
    <v>86.87</v>
    <v>86.92</v>
    <v>87.82</v>
    <v>88.06</v>
    <v>88.33</v>
    <v>87.82</v>
    <v>87.67</v>
    <v>87.29</v>
    <v>87.39</v>
    <v>86.95</v>
    <v>87.67</v>
    <v>87.02</v>
    <v>86.4</v>
    <v>86.15</v>
    <v>86.65</v>
    <v>86.84</v>
    <v>86.41</v>
    <v>87.05</v>
    <v>86.8</v>
    <v>86.75</v>
    <v>86.65</v>
    <v>87.22</v>
    <v>86.6</v>
    <v>85.63</v>
    <v>86.57</v>
    <v>87.23</v>
    <v>88.56</v>
    <v>89.74</v>
    <v>89.23</v>
    <v>89.74</v>
    <v>90.34</v>
    <v>89.95</v>
    <v>90.16</v>
    <v>90.35</v>
    <v>90.12</v>
    <v>89.19</v>
    <v>89.02</v>
    <v>88.7</v>
    <v>89.32</v>
    <v>88.98</v>
    <v>88.98</v>
    <v>88.9</v>
    <v>89.63</v>
    <v>89.37</v>
    <v>89.29</v>
    <v>89.55</v>
    <v>89.38</v>
    <v>88.67</v>
    <v>89.18</v>
    <v>89.25</v>
  </a>
  <a r="1" c="250">
    <v>59.37</v>
    <v>59.16</v>
    <v>59</v>
    <v>58.97</v>
    <v>59.66</v>
    <v>59.84</v>
    <v>59.02</v>
    <v>59.08</v>
    <v>58.14</v>
    <v>58.17</v>
    <v>58</v>
    <v>58.31</v>
    <v>58.04</v>
    <v>57.86</v>
    <v>57.92</v>
    <v>58.04</v>
    <v>58.13</v>
    <v>57.16</v>
    <v>57.95</v>
    <v>58.2</v>
    <v>56.85</v>
    <v>57.48</v>
    <v>58.12</v>
    <v>57.9</v>
    <v>57.08</v>
    <v>56.68</v>
    <v>56.96</v>
    <v>56.82</v>
    <v>56.93</v>
    <v>57.18</v>
    <v>57.03</v>
    <v>56.93</v>
    <v>56.97</v>
    <v>58.31</v>
    <v>58.12</v>
    <v>58.5</v>
    <v>59.02</v>
    <v>58.92</v>
    <v>58.48</v>
    <v>59.03</v>
    <v>59.13</v>
    <v>59.23</v>
    <v>58.79</v>
    <v>58.52</v>
    <v>58</v>
    <v>57.42</v>
    <v>56.92</v>
    <v>57.01</v>
    <v>57.1</v>
    <v>56.43</v>
    <v>55.75</v>
    <v>55.97</v>
    <v>55.54</v>
    <v>55.51</v>
    <v>55.49</v>
    <v>55.1</v>
    <v>55.55</v>
    <v>55.35</v>
    <v>55.41</v>
    <v>55.25</v>
    <v>55.05</v>
    <v>54.48</v>
    <v>54.56</v>
    <v>54.17</v>
    <v>54.07</v>
    <v>53.99</v>
    <v>54.88</v>
    <v>55.09</v>
    <v>55.16</v>
    <v>55.6</v>
    <v>55.36</v>
    <v>54.99</v>
    <v>55.2</v>
    <v>55.87</v>
    <v>55.78</v>
    <v>55.7</v>
    <v>55.92</v>
    <v>55.67</v>
    <v>55.77</v>
    <v>55.94</v>
    <v>56.76</v>
    <v>56.77</v>
    <v>56.44</v>
    <v>56.31</v>
    <v>55.98</v>
    <v>55.26</v>
    <v>56.08</v>
    <v>56.42</v>
    <v>55.82</v>
    <v>55.87</v>
    <v>56.05</v>
    <v>56.68</v>
    <v>56.83</v>
    <v>57.7</v>
    <v>58.02</v>
    <v>57.68</v>
    <v>58.32</v>
    <v>58.43</v>
    <v>57.82</v>
    <v>57.34</v>
    <v>57.19</v>
    <v>57.02</v>
    <v>57.6</v>
    <v>57.22</v>
    <v>56.89</v>
    <v>57.35</v>
    <v>57.06</v>
    <v>57.28</v>
    <v>57.38</v>
    <v>57.61</v>
    <v>57.73</v>
    <v>57.43</v>
    <v>56.85</v>
    <v>56.91</v>
    <v>56.57</v>
    <v>56.4</v>
    <v>57.17</v>
    <v>57.61</v>
    <v>57.84</v>
    <v>57.79</v>
    <v>58.19</v>
    <v>58.71</v>
    <v>57.06</v>
    <v>56.08</v>
    <v>56.26</v>
    <v>55</v>
    <v>55.13</v>
    <v>55.57</v>
    <v>55.75</v>
    <v>56.07</v>
    <v>55.62</v>
    <v>54.71</v>
    <v>55.01</v>
    <v>55.51</v>
    <v>56.04</v>
    <v>56.41</v>
    <v>56.72</v>
    <v>57.16</v>
    <v>56.84</v>
    <v>56.3</v>
    <v>55.74</v>
    <v>55.48</v>
    <v>55.62</v>
    <v>55.86</v>
    <v>55.27</v>
    <v>55.36</v>
    <v>54.87</v>
    <v>54.64</v>
    <v>54.33</v>
    <v>54.8</v>
    <v>54.9</v>
    <v>54.74</v>
    <v>54.38</v>
    <v>53.54</v>
    <v>53.81</v>
    <v>53.94</v>
    <v>54.61</v>
    <v>54.36</v>
    <v>54.82</v>
    <v>54.97</v>
    <v>54.26</v>
    <v>54.19</v>
    <v>55.02</v>
    <v>55.02</v>
    <v>54.35</v>
    <v>54.42</v>
    <v>54.65</v>
    <v>54.85</v>
    <v>55.46</v>
    <v>54.94</v>
    <v>54.49</v>
    <v>55.09</v>
    <v>55.15</v>
    <v>55.08</v>
    <v>55.29</v>
    <v>55.65</v>
    <v>55.68</v>
    <v>55.92</v>
    <v>55.61</v>
    <v>56.12</v>
    <v>55.98</v>
    <v>55.66</v>
    <v>55.36</v>
    <v>54.86</v>
    <v>54.78</v>
    <v>55.31</v>
    <v>55.36</v>
    <v>54.66</v>
    <v>54.58</v>
    <v>54.21</v>
    <v>54.31</v>
    <v>54.29</v>
    <v>54.41</v>
    <v>54.84</v>
    <v>55.14</v>
    <v>54.86</v>
    <v>54.79</v>
    <v>55.08</v>
    <v>54.79</v>
    <v>55.62</v>
    <v>55.32</v>
    <v>55.41</v>
    <v>55.93</v>
    <v>56.07</v>
    <v>56.22</v>
    <v>55.92</v>
    <v>55.85</v>
    <v>55.64</v>
    <v>55.7</v>
    <v>55.44</v>
    <v>55.87</v>
    <v>55.48</v>
    <v>55.14</v>
    <v>55.01</v>
    <v>55.3</v>
    <v>55.39</v>
    <v>55.13</v>
    <v>55.53</v>
    <v>55.41</v>
    <v>55.4</v>
    <v>55.36</v>
    <v>55.68</v>
    <v>55.39</v>
    <v>54.81</v>
    <v>55.33</v>
    <v>55.69</v>
    <v>56.45</v>
    <v>57.08</v>
    <v>56.82</v>
    <v>57.11</v>
    <v>57.41</v>
    <v>57.18</v>
    <v>57.33</v>
    <v>57.41</v>
    <v>57.28</v>
    <v>56.77</v>
    <v>56.68</v>
    <v>56.5</v>
    <v>56.87</v>
    <v>56.67</v>
    <v>56.63</v>
    <v>56.56</v>
    <v>56.98</v>
    <v>56.86</v>
    <v>56.79</v>
    <v>56.95</v>
    <v>56.82</v>
    <v>56.44</v>
    <v>56.74</v>
    <v>56.78</v>
  </a>
  <a r="1" c="250">
    <v>40.19</v>
    <v>39.97</v>
    <v>41.95</v>
    <v>41.91</v>
    <v>42.14</v>
    <v>42.8</v>
    <v>42.6</v>
    <v>42.32</v>
    <v>41.76</v>
    <v>42.3</v>
    <v>42.34</v>
    <v>42.65</v>
    <v>41.89</v>
    <v>42.62</v>
    <v>42.53</v>
    <v>42.31</v>
    <v>41.82</v>
    <v>41.76</v>
    <v>41.33</v>
    <v>41.88</v>
    <v>45.41</v>
    <v>44.77</v>
    <v>45.13</v>
    <v>46.08</v>
    <v>45.86</v>
    <v>45.87</v>
    <v>45.9</v>
    <v>46.75</v>
    <v>46.72</v>
    <v>46.41</v>
    <v>46.06</v>
    <v>46.46</v>
    <v>47</v>
    <v>47.5</v>
    <v>47.75</v>
    <v>47.77</v>
    <v>47.51</v>
    <v>47.04</v>
    <v>46.82</v>
    <v>46.37</v>
    <v>47</v>
    <v>46.75</v>
    <v>45.91</v>
    <v>45.75</v>
    <v>46.08</v>
    <v>46.08</v>
    <v>45.67</v>
    <v>45.47</v>
    <v>45.05</v>
    <v>43.5</v>
    <v>43.38</v>
    <v>44.17</v>
    <v>43.89</v>
    <v>44.38</v>
    <v>44.55</v>
    <v>44.34</v>
    <v>43.91</v>
    <v>43.95</v>
    <v>44.29</v>
    <v>44.81</v>
    <v>45.4</v>
    <v>46.08</v>
    <v>46.21</v>
    <v>45.11</v>
    <v>45.06</v>
    <v>45.78</v>
    <v>47.1</v>
    <v>46.64</v>
    <v>46.53</v>
    <v>46.66</v>
    <v>45.79</v>
    <v>46.39</v>
    <v>46.52</v>
    <v>47.09</v>
    <v>46.84</v>
    <v>46.75</v>
    <v>46.72</v>
    <v>46.3</v>
    <v>46.21</v>
    <v>46.71</v>
    <v>47.11</v>
    <v>47.74</v>
    <v>47.4</v>
    <v>46.67</v>
    <v>46.79</v>
    <v>46.21</v>
    <v>46.33</v>
    <v>46.96</v>
    <v>46.53</v>
    <v>46.01</v>
    <v>45.3</v>
    <v>44.81</v>
    <v>44.46</v>
    <v>43.94</v>
    <v>43.94</v>
    <v>44.12</v>
    <v>46.1</v>
    <v>45.56</v>
    <v>42.67</v>
    <v>42.29</v>
    <v>41.46</v>
    <v>41.4</v>
    <v>39.83</v>
    <v>39.61</v>
    <v>39.909999999999997</v>
    <v>39.67</v>
    <v>40.89</v>
    <v>41.44</v>
    <v>41.65</v>
    <v>42.21</v>
    <v>42.48</v>
    <v>42.47</v>
    <v>43.07</v>
    <v>43.28</v>
    <v>42.82</v>
    <v>42.56</v>
    <v>41.25</v>
    <v>41.73</v>
    <v>41.49</v>
    <v>41.85</v>
    <v>37.22</v>
    <v>34.39</v>
    <v>35.58</v>
    <v>35.03</v>
    <v>37.15</v>
    <v>35.85</v>
    <v>35.950000000000003</v>
    <v>36.67</v>
    <v>37.99</v>
    <v>37.33</v>
    <v>37.409999999999997</v>
    <v>36.92</v>
    <v>38.32</v>
    <v>38.75</v>
    <v>39.58</v>
    <v>39.69</v>
    <v>39.78</v>
    <v>39.99</v>
    <v>39.880000000000003</v>
    <v>40.17</v>
    <v>41.07</v>
    <v>41.12</v>
    <v>40.840000000000003</v>
    <v>40.93</v>
    <v>41.6</v>
    <v>41.79</v>
    <v>43.36</v>
    <v>44.28</v>
    <v>44.74</v>
    <v>44.38</v>
    <v>44.69</v>
    <v>44.77</v>
    <v>44.69</v>
    <v>43.25</v>
    <v>43.31</v>
    <v>43.2</v>
    <v>44.22</v>
    <v>44.06</v>
    <v>44.24</v>
    <v>44.13</v>
    <v>44.08</v>
    <v>44.65</v>
    <v>44.36</v>
    <v>44.38</v>
    <v>44.97</v>
    <v>44.87</v>
    <v>45.09</v>
    <v>44.73</v>
    <v>44.62</v>
    <v>44.09</v>
    <v>44.41</v>
    <v>44.23</v>
    <v>45.06</v>
    <v>45.5</v>
    <v>46.3</v>
    <v>46.66</v>
    <v>46.85</v>
    <v>47.46</v>
    <v>47.12</v>
    <v>47.32</v>
    <v>48.15</v>
    <v>48.71</v>
    <v>48.93</v>
    <v>48.66</v>
    <v>47.15</v>
    <v>46.84</v>
    <v>46.97</v>
    <v>46.73</v>
    <v>47.07</v>
    <v>46.15</v>
    <v>46.03</v>
    <v>47.02</v>
    <v>47.32</v>
    <v>47.48</v>
    <v>47.77</v>
    <v>48.14</v>
    <v>48.39</v>
    <v>48.45</v>
    <v>48.23</v>
    <v>47.95</v>
    <v>47.96</v>
    <v>47.27</v>
    <v>45.66</v>
    <v>45.85</v>
    <v>45.56</v>
    <v>45.42</v>
    <v>44.92</v>
    <v>46.01</v>
    <v>46.16</v>
    <v>47.5</v>
    <v>47.24</v>
    <v>47.71</v>
    <v>46.94</v>
    <v>47.92</v>
    <v>48.08</v>
    <v>48.35</v>
    <v>48.26</v>
    <v>49.48</v>
    <v>49.48</v>
    <v>50.25</v>
    <v>50.38</v>
    <v>50.49</v>
    <v>50.74</v>
    <v>50.42</v>
    <v>50.06</v>
    <v>50.62</v>
    <v>49.77</v>
    <v>49.46</v>
    <v>50.29</v>
    <v>50.13</v>
    <v>50.75</v>
    <v>50.58</v>
    <v>50.59</v>
    <v>50.66</v>
    <v>51.4</v>
    <v>52.13</v>
    <v>52.25</v>
    <v>51.92</v>
    <v>51.7</v>
    <v>51.7</v>
    <v>51.85</v>
    <v>52.21</v>
    <v>52.42</v>
    <v>51.59</v>
    <v>50.68</v>
    <v>50.48</v>
    <v>50.64</v>
    <v>50.39</v>
    <v>50.29</v>
    <v>49.84</v>
  </a>
  <a r="1" c="250">
    <v>91.54</v>
    <v>91.55</v>
    <v>91.6</v>
    <v>91.59</v>
    <v>91.62</v>
    <v>91.62</v>
    <v>91.64</v>
    <v>91.67</v>
    <v>91.69</v>
    <v>91.7</v>
    <v>91.7</v>
    <v>91.71</v>
    <v>91.75</v>
    <v>91.75</v>
    <v>91.77</v>
    <v>91.78</v>
    <v>91.8</v>
    <v>91.48</v>
    <v>91.5</v>
    <v>91.5</v>
    <v>91.52</v>
    <v>91.53</v>
    <v>91.58</v>
    <v>91.57</v>
    <v>91.58</v>
    <v>91.6</v>
    <v>91.6</v>
    <v>91.63</v>
    <v>91.64</v>
    <v>91.67</v>
    <v>91.68</v>
    <v>91.69</v>
    <v>91.72</v>
    <v>91.73</v>
    <v>91.73</v>
    <v>91.76</v>
    <v>91.78</v>
    <v>91.47</v>
    <v>91.49</v>
    <v>91.5</v>
    <v>91.51</v>
    <v>91.55</v>
    <v>91.56</v>
    <v>91.58</v>
    <v>91.59</v>
    <v>91.61</v>
    <v>91.64</v>
    <v>91.65</v>
    <v>91.66</v>
    <v>91.66</v>
    <v>91.29</v>
    <v>91.33</v>
    <v>91.33</v>
    <v>91.35</v>
    <v>91.37</v>
    <v>91.41</v>
    <v>91.41</v>
    <v>91.43</v>
    <v>91.45</v>
    <v>91.46</v>
    <v>91.47</v>
    <v>91.49</v>
    <v>91.51</v>
    <v>91.54</v>
    <v>91.55</v>
    <v>91.57</v>
    <v>91.58</v>
    <v>91.58</v>
    <v>91.63</v>
    <v>91.63</v>
    <v>91.65</v>
    <v>91.65</v>
    <v>91.69</v>
    <v>91.7</v>
    <v>91.7</v>
    <v>91.71</v>
    <v>91.72</v>
    <v>91.75</v>
    <v>91.45</v>
    <v>91.45</v>
    <v>91.46</v>
    <v>91.48</v>
    <v>91.5</v>
    <v>91.51</v>
    <v>91.52</v>
    <v>91.53</v>
    <v>91.55</v>
    <v>91.58</v>
    <v>91.6</v>
    <v>91.61</v>
    <v>91.63</v>
    <v>91.66</v>
    <v>91.67</v>
    <v>91.67</v>
    <v>91.69</v>
    <v>91.7</v>
    <v>91.72</v>
    <v>91.45</v>
    <v>91.45</v>
    <v>91.46</v>
    <v>91.47</v>
    <v>91.51</v>
    <v>91.52</v>
    <v>91.53</v>
    <v>91.54</v>
    <v>91.56</v>
    <v>91.58</v>
    <v>91.6</v>
    <v>91.6</v>
    <v>91.61</v>
    <v>91.63</v>
    <v>91.66</v>
    <v>91.66</v>
    <v>91.67</v>
    <v>91.68</v>
    <v>91.7</v>
    <v>91.73</v>
    <v>91.73</v>
    <v>91.43</v>
    <v>91.44</v>
    <v>91.45</v>
    <v>91.48</v>
    <v>91.49</v>
    <v>91.51</v>
    <v>91.51</v>
    <v>91.52</v>
    <v>91.56</v>
    <v>91.56</v>
    <v>91.58</v>
    <v>91.59</v>
    <v>91.63</v>
    <v>91.64</v>
    <v>91.64</v>
    <v>91.66</v>
    <v>91.66</v>
    <v>91.7</v>
    <v>91.71</v>
    <v>91.71</v>
    <v>91.72</v>
    <v>91.43</v>
    <v>91.46</v>
    <v>91.46</v>
    <v>91.48</v>
    <v>91.48</v>
    <v>91.5</v>
    <v>91.53</v>
    <v>91.53</v>
    <v>91.55</v>
    <v>91.55</v>
    <v>91.56</v>
    <v>91.6</v>
    <v>91.6</v>
    <v>91.62</v>
    <v>91.63</v>
    <v>91.65</v>
    <v>91.69</v>
    <v>91.69</v>
    <v>91.7</v>
    <v>91.71</v>
    <v>91.74</v>
    <v>91.44</v>
    <v>91.46</v>
    <v>91.46</v>
    <v>91.47</v>
    <v>91.5</v>
    <v>91.52</v>
    <v>91.53</v>
    <v>91.53</v>
    <v>91.54</v>
    <v>91.58</v>
    <v>91.58</v>
    <v>91.6</v>
    <v>91.62</v>
    <v>91.64</v>
    <v>91.66</v>
    <v>91.66</v>
    <v>91.67</v>
    <v>91.68</v>
    <v>91.72</v>
    <v>91.73</v>
    <v>91.44</v>
    <v>91.45</v>
    <v>91.5</v>
    <v>91.51</v>
    <v>91.51</v>
    <v>91.52</v>
    <v>91.54</v>
    <v>91.56</v>
    <v>91.57</v>
    <v>91.58</v>
    <v>91.6</v>
    <v>91.6</v>
    <v>91.64</v>
    <v>91.66</v>
    <v>91.67</v>
    <v>91.68</v>
    <v>91.68</v>
    <v>91.71</v>
    <v>91.72</v>
    <v>91.73</v>
    <v>91.74</v>
    <v>91.75</v>
    <v>91.47</v>
    <v>91.48</v>
    <v>91.48</v>
    <v>91.51</v>
    <v>91.51</v>
    <v>91.54</v>
    <v>91.55</v>
    <v>91.56</v>
    <v>91.57</v>
    <v>91.58</v>
    <v>91.62</v>
    <v>91.62</v>
    <v>91.64</v>
    <v>91.66</v>
    <v>91.66</v>
    <v>91.69</v>
    <v>91.7</v>
    <v>91.71</v>
    <v>91.72</v>
    <v>91.73</v>
    <v>91.77</v>
    <v>91.47</v>
    <v>91.48</v>
    <v>91.5</v>
    <v>91.53</v>
    <v>91.54</v>
    <v>91.55</v>
    <v>91.56</v>
    <v>91.57</v>
    <v>91.6</v>
    <v>91.61</v>
    <v>91.62</v>
    <v>91.63</v>
    <v>91.64</v>
    <v>91.68</v>
    <v>91.69</v>
    <v>91.69</v>
    <v>91.71</v>
    <v>91.71</v>
    <v>91.74</v>
    <v>91.75</v>
    <v>91.75</v>
    <v>91.46</v>
    <v>91.47</v>
    <v>91.49</v>
    <v>91.51</v>
    <v>91.51</v>
    <v>91.53</v>
  </a>
  <a r="1" c="250">
    <v>14.93</v>
    <v>15.42</v>
    <v>15.35</v>
    <v>15.08</v>
    <v>14.47</v>
    <v>14.41</v>
    <v>14.43</v>
    <v>14.19</v>
    <v>14.37</v>
    <v>14.7</v>
    <v>14.6</v>
    <v>14.54</v>
    <v>14.77</v>
    <v>13.98</v>
    <v>13.85</v>
    <v>14.19</v>
    <v>14.52</v>
    <v>14.29</v>
    <v>14.76</v>
    <v>14.86</v>
    <v>14.79</v>
    <v>14.83</v>
    <v>14.54</v>
    <v>14.12</v>
    <v>14.09</v>
    <v>14.09</v>
    <v>14.2</v>
    <v>13.89</v>
    <v>14.36</v>
    <v>14.41</v>
    <v>14.34</v>
    <v>14.57</v>
    <v>14.77</v>
    <v>14.34</v>
    <v>14.25</v>
    <v>14.29</v>
    <v>14.28</v>
    <v>14.15</v>
    <v>14.56</v>
    <v>14.3</v>
    <v>14.25</v>
    <v>13.99</v>
    <v>14.19</v>
    <v>14.23</v>
    <v>14.59</v>
    <v>14.55</v>
    <v>14.73</v>
    <v>14.62</v>
    <v>14.55</v>
    <v>14.48</v>
    <v>14.41</v>
    <v>14.52</v>
    <v>13.84</v>
    <v>13.95</v>
    <v>13.86</v>
    <v>13.98</v>
    <v>14.15</v>
    <v>14.31</v>
    <v>14.52</v>
    <v>14.69</v>
    <v>14.59</v>
    <v>14.75</v>
    <v>14.58</v>
    <v>15.2</v>
    <v>15.46</v>
    <v>15.37</v>
    <v>15.88</v>
    <v>15.61</v>
    <v>15.54</v>
    <v>15.26</v>
    <v>15.14</v>
    <v>14.91</v>
    <v>14.98</v>
    <v>14.67</v>
    <v>14.85</v>
    <v>14.66</v>
    <v>14.64</v>
    <v>14.72</v>
    <v>14.66</v>
    <v>14.59</v>
    <v>14.34</v>
    <v>14.22</v>
    <v>14.3</v>
    <v>14.58</v>
    <v>14.744999999999999</v>
    <v>14.37</v>
    <v>14.41</v>
    <v>14.3</v>
    <v>14.52</v>
    <v>14.61</v>
    <v>14.64</v>
    <v>14.2</v>
    <v>14.33</v>
    <v>13.99</v>
    <v>13.93</v>
    <v>14.21</v>
    <v>14.19</v>
    <v>13.83</v>
    <v>13.83</v>
    <v>13.49</v>
    <v>13.44</v>
    <v>13.61</v>
    <v>13.36</v>
    <v>13.46</v>
    <v>13.7</v>
    <v>13.49</v>
    <v>13.61</v>
    <v>13.72</v>
    <v>13.66</v>
    <v>13.69</v>
    <v>13.89</v>
    <v>13.87</v>
    <v>14.14</v>
    <v>14.03</v>
    <v>14.11</v>
    <v>14.13</v>
    <v>13.97</v>
    <v>14.33</v>
    <v>14.33</v>
    <v>14.42</v>
    <v>13.48</v>
    <v>12.81</v>
    <v>12.6</v>
    <v>12.09</v>
    <v>13.32</v>
    <v>12.38</v>
    <v>12.49</v>
    <v>12.56</v>
    <v>12.51</v>
    <v>12.69</v>
    <v>12.97</v>
    <v>12.77</v>
    <v>12.89</v>
    <v>12.23</v>
    <v>12.82</v>
    <v>12.93</v>
    <v>12.73</v>
    <v>12.45</v>
    <v>12.01</v>
    <v>12.18</v>
    <v>12.16</v>
    <v>11.91</v>
    <v>12.29</v>
    <v>12.08</v>
    <v>12.41</v>
    <v>12.55</v>
    <v>12.76</v>
    <v>13.06</v>
    <v>12.9</v>
    <v>12.7</v>
    <v>12.76</v>
    <v>12.78</v>
    <v>12.84</v>
    <v>12.7</v>
    <v>12.59</v>
    <v>12.71</v>
    <v>12.62</v>
    <v>12.7</v>
    <v>12.51</v>
    <v>12.4</v>
    <v>12.81</v>
    <v>12.95</v>
    <v>12.81</v>
    <v>12.92</v>
    <v>13.1</v>
    <v>13.11</v>
    <v>13.11</v>
    <v>13.69</v>
    <v>13.6</v>
    <v>14.32</v>
    <v>14.19</v>
    <v>14.69</v>
    <v>14.71</v>
    <v>14.79</v>
    <v>13.92</v>
    <v>13.25</v>
    <v>13.2</v>
    <v>13.28</v>
    <v>13.2</v>
    <v>13.22</v>
    <v>13.32</v>
    <v>13.57</v>
    <v>13.51</v>
    <v>13.73</v>
    <v>13.81</v>
    <v>13.79</v>
    <v>13.58</v>
    <v>13.89</v>
    <v>13.68</v>
    <v>13.63</v>
    <v>13.59</v>
    <v>13.79</v>
    <v>13.75</v>
    <v>13.71</v>
    <v>13.67</v>
    <v>13.7</v>
    <v>13.83</v>
    <v>13.61</v>
    <v>14.02</v>
    <v>14.46</v>
    <v>14.57</v>
    <v>14.35</v>
    <v>13.91</v>
    <v>13.77</v>
    <v>13.59</v>
    <v>13.4</v>
    <v>13.39</v>
    <v>13.32</v>
    <v>13.4</v>
    <v>13.27</v>
    <v>13.2</v>
    <v>13.41</v>
    <v>13.24</v>
    <v>13.32</v>
    <v>13.18</v>
    <v>13.39</v>
    <v>13.5</v>
    <v>13.59</v>
    <v>13.8</v>
    <v>13.46</v>
    <v>13.58</v>
    <v>13.68</v>
    <v>13.62</v>
    <v>13.95</v>
    <v>13.62</v>
    <v>13.47</v>
    <v>13.24</v>
    <v>13.33</v>
    <v>13.39</v>
    <v>13.63</v>
    <v>13.29</v>
    <v>13.4</v>
    <v>13.55</v>
    <v>13.79</v>
    <v>13.65</v>
    <v>13.63</v>
    <v>13.4</v>
    <v>13.39</v>
    <v>13.71</v>
    <v>13.92</v>
    <v>14.02</v>
    <v>14.02</v>
    <v>13.58</v>
    <v>13.45</v>
    <v>13.35</v>
    <v>13.07</v>
    <v>13.1</v>
    <v>13.31</v>
    <v>13.36</v>
    <v>13.41</v>
  </a>
  <a r="1" c="250">
    <v>29.56</v>
    <v>29.53</v>
    <v>29.54</v>
    <v>29.53</v>
    <v>29.64</v>
    <v>29.73</v>
    <v>29.56</v>
    <v>29.54</v>
    <v>29.3</v>
    <v>29.3</v>
    <v>29.22</v>
    <v>29.29</v>
    <v>29.22</v>
    <v>29.2</v>
    <v>29.24</v>
    <v>29.21</v>
    <v>29.15</v>
    <v>28.91</v>
    <v>29.06</v>
    <v>29.19</v>
    <v>28.95</v>
    <v>29.22</v>
    <v>29.3</v>
    <v>29.26</v>
    <v>29.04</v>
    <v>28.97</v>
    <v>28.95</v>
    <v>28.97</v>
    <v>29.01</v>
    <v>29.07</v>
    <v>29</v>
    <v>28.99</v>
    <v>29</v>
    <v>29.3</v>
    <v>29.24</v>
    <v>29.33</v>
    <v>29.48</v>
    <v>29.38</v>
    <v>29.31</v>
    <v>29.42</v>
    <v>29.43</v>
    <v>29.5</v>
    <v>29.42</v>
    <v>29.39</v>
    <v>29.33</v>
    <v>29.2</v>
    <v>29.05</v>
    <v>29.09</v>
    <v>29.09</v>
    <v>28.79</v>
    <v>28.56</v>
    <v>28.66</v>
    <v>28.59</v>
    <v>28.66</v>
    <v>28.68</v>
    <v>28.59</v>
    <v>28.69</v>
    <v>28.64</v>
    <v>28.63</v>
    <v>28.59</v>
    <v>28.54</v>
    <v>28.44</v>
    <v>28.47</v>
    <v>28.33</v>
    <v>28.27</v>
    <v>28.29</v>
    <v>28.56</v>
    <v>28.6</v>
    <v>28.63</v>
    <v>28.77</v>
    <v>28.69</v>
    <v>28.66</v>
    <v>28.72</v>
    <v>28.88</v>
    <v>28.84</v>
    <v>28.81</v>
    <v>28.86</v>
    <v>28.79</v>
    <v>28.7</v>
    <v>28.75</v>
    <v>28.92</v>
    <v>28.88</v>
    <v>28.78</v>
    <v>28.78</v>
    <v>28.72</v>
    <v>28.6</v>
    <v>28.79</v>
    <v>28.89</v>
    <v>28.79</v>
    <v>28.81</v>
    <v>28.86</v>
    <v>28.95</v>
    <v>29.02</v>
    <v>29.19</v>
    <v>29.25</v>
    <v>29.16</v>
    <v>29.28</v>
    <v>29.21</v>
    <v>29.14</v>
    <v>29.06</v>
    <v>28.99</v>
    <v>28.95</v>
    <v>29.04</v>
    <v>28.88</v>
    <v>28.78</v>
    <v>28.87</v>
    <v>28.85</v>
    <v>28.89</v>
    <v>28.96</v>
    <v>29.08</v>
    <v>29.07</v>
    <v>29.03</v>
    <v>28.92</v>
    <v>28.95</v>
    <v>28.86</v>
    <v>28.83</v>
    <v>28.98</v>
    <v>29.03</v>
    <v>28.98</v>
    <v>29.03</v>
    <v>29.04</v>
    <v>29.01</v>
    <v>28.49</v>
    <v>28.23</v>
    <v>28.62</v>
    <v>28.18</v>
    <v>28.21</v>
    <v>28.36</v>
    <v>28.49</v>
    <v>28.58</v>
    <v>28.56</v>
    <v>28.33</v>
    <v>28.39</v>
    <v>28.47</v>
    <v>28.71</v>
    <v>28.83</v>
    <v>28.9</v>
    <v>28.94</v>
    <v>28.84</v>
    <v>28.64</v>
    <v>28.58</v>
    <v>28.54</v>
    <v>28.59</v>
    <v>28.65</v>
    <v>28.54</v>
    <v>28.51</v>
    <v>28.52</v>
    <v>28.54</v>
    <v>28.41</v>
    <v>28.58</v>
    <v>28.63</v>
    <v>28.64</v>
    <v>28.58</v>
    <v>28.34</v>
    <v>28.45</v>
    <v>28.46</v>
    <v>28.68</v>
    <v>28.61</v>
    <v>28.72</v>
    <v>28.79</v>
    <v>28.6</v>
    <v>28.63</v>
    <v>28.8</v>
    <v>28.73</v>
    <v>28.6</v>
    <v>28.66</v>
    <v>28.7</v>
    <v>28.79</v>
    <v>28.91</v>
    <v>28.78</v>
    <v>28.75</v>
    <v>28.83</v>
    <v>28.86</v>
    <v>28.87</v>
    <v>28.95</v>
    <v>29.08</v>
    <v>29.04</v>
    <v>29.13</v>
    <v>29.09</v>
    <v>29.22</v>
    <v>29.12</v>
    <v>29.11</v>
    <v>29.05</v>
    <v>28.93</v>
    <v>28.86</v>
    <v>29</v>
    <v>29</v>
    <v>28.87</v>
    <v>28.87</v>
    <v>28.77</v>
    <v>28.81</v>
    <v>28.86</v>
    <v>28.91</v>
    <v>29</v>
    <v>29.07</v>
    <v>29.03</v>
    <v>29.01</v>
    <v>29.08</v>
    <v>29.02</v>
    <v>29.17</v>
    <v>29.11</v>
    <v>29.11</v>
    <v>29.21</v>
    <v>29.25</v>
    <v>29.26</v>
    <v>29.26</v>
    <v>29.24</v>
    <v>29.17</v>
    <v>29.2</v>
    <v>29.23</v>
    <v>29.35</v>
    <v>29.27</v>
    <v>29.23</v>
    <v>29.18</v>
    <v>29.23</v>
    <v>29.25</v>
    <v>29.15</v>
    <v>29.34</v>
    <v>29.29</v>
    <v>29.31</v>
    <v>29.32</v>
    <v>29.35</v>
    <v>29.27</v>
    <v>29.08</v>
    <v>29.23</v>
    <v>29.38</v>
    <v>29.53</v>
    <v>29.62</v>
    <v>29.58</v>
    <v>29.65</v>
    <v>29.77</v>
    <v>29.72</v>
    <v>29.79</v>
    <v>29.78</v>
    <v>29.73</v>
    <v>29.68</v>
    <v>29.68</v>
    <v>29.62</v>
    <v>29.66</v>
    <v>29.58</v>
    <v>29.54</v>
    <v>29.57</v>
    <v>29.63</v>
    <v>29.63</v>
    <v>29.6</v>
    <v>29.63</v>
    <v>29.61</v>
    <v>29.53</v>
    <v>29.58</v>
    <v>29.56</v>
  </a>
  <a r="1" c="250">
    <v t="i">0</v>
    <v t="i">1</v>
    <v t="i">2</v>
    <v t="i">5</v>
    <v t="i">6</v>
    <v t="i">7</v>
    <v t="i">8</v>
    <v t="i">9</v>
    <v t="i">12</v>
    <v t="i">13</v>
    <v t="i">14</v>
    <v t="i">15</v>
    <v t="i">16</v>
    <v t="i">19</v>
    <v t="i">20</v>
    <v t="i">21</v>
    <v t="i">22</v>
    <v t="i">23</v>
    <v t="i">26</v>
    <v t="i">27</v>
    <v t="i">28</v>
    <v t="i">29</v>
    <v t="i">30</v>
    <v t="i">33</v>
    <v t="i">34</v>
    <v t="i">35</v>
    <v t="i">36</v>
    <v t="i">37</v>
    <v t="i">41</v>
    <v t="i">42</v>
    <v t="i">43</v>
    <v t="i">44</v>
    <v t="i">47</v>
    <v t="i">48</v>
    <v t="i">49</v>
    <v t="i">50</v>
    <v t="i">51</v>
    <v t="i">54</v>
    <v t="i">55</v>
    <v t="i">56</v>
    <v t="i">57</v>
    <v t="i">58</v>
    <v t="i">61</v>
    <v t="i">62</v>
    <v t="i">63</v>
    <v t="i">65</v>
    <v t="i">68</v>
    <v t="i">69</v>
    <v t="i">70</v>
    <v t="i">71</v>
    <v t="i">72</v>
    <v t="i">75</v>
    <v t="i">76</v>
    <v t="i">78</v>
    <v t="i">79</v>
    <v t="i">82</v>
    <v t="i">83</v>
    <v t="i">85</v>
    <v t="i">86</v>
    <v t="i">89</v>
    <v t="i">90</v>
    <v t="i">91</v>
    <v t="i">92</v>
    <v t="i">93</v>
    <v t="i">96</v>
    <v t="i">97</v>
    <v t="i">98</v>
    <v t="i">99</v>
    <v t="i">100</v>
    <v t="i">103</v>
    <v t="i">104</v>
    <v t="i">105</v>
    <v t="i">106</v>
    <v t="i">107</v>
    <v t="i">110</v>
    <v t="i">111</v>
    <v t="i">112</v>
    <v t="i">113</v>
    <v t="i">114</v>
    <v t="i">118</v>
    <v t="i">119</v>
    <v t="i">120</v>
    <v t="i">121</v>
    <v t="i">124</v>
    <v t="i">125</v>
    <v t="i">126</v>
    <v t="i">127</v>
    <v t="i">128</v>
    <v t="i">131</v>
    <v t="i">132</v>
    <v t="i">133</v>
    <v t="i">134</v>
    <v t="i">135</v>
    <v t="i">138</v>
    <v t="i">139</v>
    <v t="i">140</v>
    <v t="i">141</v>
    <v t="i">142</v>
    <v t="i">145</v>
    <v t="i">146</v>
    <v t="i">147</v>
    <v t="i">148</v>
    <v t="i">149</v>
    <v t="i">152</v>
    <v t="i">153</v>
    <v t="i">154</v>
    <v t="i">155</v>
    <v t="i">156</v>
    <v t="i">160</v>
    <v t="i">161</v>
    <v t="i">162</v>
    <v t="i">163</v>
    <v t="i">166</v>
    <v t="i">167</v>
    <v t="i">168</v>
    <v t="i">169</v>
    <v t="i">170</v>
    <v t="i">173</v>
    <v t="i">174</v>
    <v t="i">175</v>
    <v t="i">176</v>
    <v t="i">177</v>
    <v t="i">180</v>
    <v t="i">181</v>
    <v t="i">182</v>
    <v t="i">183</v>
    <v t="i">184</v>
    <v t="i">187</v>
    <v t="i">188</v>
    <v t="i">189</v>
    <v t="i">194</v>
    <v t="i">195</v>
    <v t="i">196</v>
    <v t="i">197</v>
    <v t="i">198</v>
    <v t="i">201</v>
    <v t="i">202</v>
    <v t="i">203</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330</v>
    <v t="i">331</v>
    <v t="i">334</v>
    <v t="i">335</v>
    <v t="i">336</v>
    <v t="i">337</v>
    <v t="i">338</v>
    <v t="i">341</v>
    <v t="i">343</v>
    <v t="i">344</v>
    <v t="i">345</v>
    <v t="i">348</v>
    <v t="i">349</v>
    <v t="i">350</v>
    <v t="i">351</v>
    <v t="i">352</v>
    <v t="i">355</v>
    <v t="i">356</v>
    <v t="i">357</v>
    <v t="i">358</v>
    <v t="i">359</v>
    <v t="i">362</v>
    <v t="i">363</v>
    <v t="i">364</v>
  </a>
  <a r="1" c="250">
    <v>-99999901</v>
    <v>-99999901</v>
    <v>-99999901</v>
    <v>-99999901</v>
    <v>-99999901</v>
    <v>-99999901</v>
    <v>532.57000000000005</v>
    <v>-99999901</v>
    <v>532.5</v>
    <v>-99999901</v>
    <v>-99999901</v>
    <v>-99999901</v>
    <v>-99999901</v>
    <v>522.5</v>
    <v>-99999901</v>
    <v>-99999901</v>
    <v>551.5</v>
    <v>-99999901</v>
    <v>-99999901</v>
    <v>-99999901</v>
    <v>-99999901</v>
    <v>564</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a>
  <a r="1" c="250">
    <v>31.05</v>
    <v>31.39</v>
    <v>31.69</v>
    <v>31.22</v>
    <v>29.99</v>
    <v>30.29</v>
    <v>30.55</v>
    <v>30.37</v>
    <v>30.11</v>
    <v>30.2163</v>
    <v>29.83</v>
    <v>29.99</v>
    <v>30.03</v>
    <v>29.64</v>
    <v>28.85</v>
    <v>29.04</v>
    <v>28.72</v>
    <v>28.3523</v>
    <v>28.87</v>
    <v>29.155899999999999</v>
    <v>30.73</v>
    <v>30.4956</v>
    <v>30.9</v>
    <v>31.31</v>
    <v>31.0108</v>
    <v>31.268999999999998</v>
    <v>31.51</v>
    <v>31.2</v>
    <v>31.880199999999999</v>
    <v>31.589600000000001</v>
    <v>32.031599999999997</v>
    <v>32.44</v>
    <v>32.700099999999999</v>
    <v>32.270699999999998</v>
    <v>32.054000000000002</v>
    <v>32.031599999999997</v>
    <v>32.174799999999998</v>
    <v>31.978400000000001</v>
    <v>31.87</v>
    <v>30.95</v>
    <v>30.89</v>
    <v>30.218499999999999</v>
    <v>30.61</v>
    <v>30.300899999999999</v>
    <v>30.847100000000001</v>
    <v>30.54</v>
    <v>30.32</v>
    <v>29.51</v>
    <v>29.275300000000001</v>
    <v>28.37</v>
    <v>28.09</v>
    <v>28.3</v>
    <v>28.36</v>
    <v>28.72</v>
    <v>28.67</v>
    <v>28.695699999999999</v>
    <v>29.18</v>
    <v>29.6</v>
    <v>30.0852</v>
    <v>30.25</v>
    <v>30.1</v>
    <v>30.4</v>
    <v>30.62</v>
    <v>31</v>
    <v>31.67</v>
    <v>31.96</v>
    <v>32.44</v>
    <v>32.520000000000003</v>
    <v>32.4285</v>
    <v>32.01</v>
    <v>31.69</v>
    <v>31.86</v>
    <v>31.41</v>
    <v>30.98</v>
    <v>30.784400000000002</v>
    <v>30.8643</v>
    <v>30.700099999999999</v>
    <v>29.91</v>
    <v>29.83</v>
    <v>30.62</v>
    <v>30.48</v>
    <v>29.77</v>
    <v>29.7</v>
    <v>30.73</v>
    <v>31.079899999999999</v>
    <v>30.01</v>
    <v>30.17</v>
    <v>30.51</v>
    <v>30.84</v>
    <v>31.32</v>
    <v>31.3</v>
    <v>30.367699999999999</v>
    <v>30.3</v>
    <v>29.6</v>
    <v>29.275300000000001</v>
    <v>29.04</v>
    <v>29.18</v>
    <v>27.72</v>
    <v>27.5</v>
    <v>27.07</v>
    <v>26.71</v>
    <v>27.18</v>
    <v>27.16</v>
    <v>27.31</v>
    <v>27.64</v>
    <v>27.26</v>
    <v>28.19</v>
    <v>28.76</v>
    <v>28.94</v>
    <v>29.61</v>
    <v>29.59</v>
    <v>29.23</v>
    <v>29.44</v>
    <v>29.45</v>
    <v>29.55</v>
    <v>29.3</v>
    <v>29.03</v>
    <v>29.28</v>
    <v>29.42</v>
    <v>29.724499999999999</v>
    <v>26.57</v>
    <v>23.67</v>
    <v>23.55</v>
    <v>22.69</v>
    <v>25.25</v>
    <v>23.24</v>
    <v>23.99</v>
    <v>23.98</v>
    <v>23.89</v>
    <v>24.29</v>
    <v>24.91</v>
    <v>24.15</v>
    <v>24.71</v>
    <v>24.79</v>
    <v>25.01</v>
    <v>25.14</v>
    <v>25.39</v>
    <v>25.2</v>
    <v>24.44</v>
    <v>24.93</v>
    <v>25.51</v>
    <v>25.07</v>
    <v>25.09</v>
    <v>25.14</v>
    <v>25.95</v>
    <v>26.45</v>
    <v>27.43</v>
    <v>28.33</v>
    <v>28.16</v>
    <v>27.88</v>
    <v>27.88</v>
    <v>27.7</v>
    <v>27.6</v>
    <v>26.97</v>
    <v>26.97</v>
    <v>27.04</v>
    <v>27.5</v>
    <v>27.04</v>
    <v>27.13</v>
    <v>26.92</v>
    <v>27.35</v>
    <v>27.76</v>
    <v>27.13</v>
    <v>27.01</v>
    <v>27.72</v>
    <v>28.0304</v>
    <v>28.45</v>
    <v>28.97</v>
    <v>29.19</v>
    <v>29.96</v>
    <v>29.84</v>
    <v>30.2</v>
    <v>30.03</v>
    <v>30.18</v>
    <v>28.81</v>
    <v>28.56</v>
    <v>28.12</v>
    <v>28.51</v>
    <v>28.35</v>
    <v>27.99</v>
    <v>28.38</v>
    <v>28.87</v>
    <v>28.880700000000001</v>
    <v>28.48</v>
    <v>29.56</v>
    <v>29.23</v>
    <v>29.569199999999999</v>
    <v>29.68</v>
    <v>29.310099999999998</v>
    <v>28.62</v>
    <v>28.1</v>
    <v>28.6</v>
    <v>28.689399999999999</v>
    <v>27.94</v>
    <v>28.38</v>
    <v>28.67</v>
    <v>28.8</v>
    <v>28.61</v>
    <v>29.32</v>
    <v>29.47</v>
    <v>28.95</v>
    <v>28.65</v>
    <v>27.61</v>
    <v>27.61</v>
    <v>27.96</v>
    <v>27.680099999999999</v>
    <v>27.482800000000001</v>
    <v>27.68</v>
    <v>27.41</v>
    <v>27.7</v>
    <v>28.0441</v>
    <v>28.08</v>
    <v>27.963999999999999</v>
    <v>27.6858</v>
    <v>27.5</v>
    <v>27.751799999999999</v>
    <v>27.92</v>
    <v>28.88</v>
    <v>29.15</v>
    <v>29.02</v>
    <v>29.41</v>
    <v>29.776700000000002</v>
    <v>29.78</v>
    <v>30.16</v>
    <v>29.303000000000001</v>
    <v>29.636800000000001</v>
    <v>29.12</v>
    <v>28.85</v>
    <v>28.89</v>
    <v>29.48</v>
    <v>29.355</v>
    <v>29.14</v>
    <v>28.96</v>
    <v>29.763000000000002</v>
    <v>29.672000000000001</v>
    <v>29.52</v>
    <v>28.795300000000001</v>
    <v>28.8035</v>
    <v>29.41</v>
    <v>29.99</v>
    <v>30.19</v>
    <v>30.450299999999999</v>
    <v>29.71</v>
    <v>29.39</v>
    <v>29.828399999999998</v>
    <v>29.08</v>
    <v>29.36</v>
    <v>29.64</v>
    <v>29.62</v>
    <v>29.635000000000002</v>
  </a>
  <a r="1" c="250">
    <v>169.27</v>
    <v>168.95</v>
    <v>171.09</v>
    <v>172.51</v>
    <v>173.57</v>
    <v>172.38</v>
    <v>172.28</v>
    <v>171.28</v>
    <v>169.54</v>
    <v>169.7</v>
    <v>169.58</v>
    <v>169.62</v>
    <v>168.22</v>
    <v>169.3</v>
    <v>167.17</v>
    <v>166.16</v>
    <v>165.18</v>
    <v>165.1</v>
    <v>165.08</v>
    <v>165.76</v>
    <v>161.05000000000001</v>
    <v>163.41</v>
    <v>167.71</v>
    <v>166.03</v>
    <v>165.84</v>
    <v>166.58</v>
    <v>167.08</v>
    <v>169.54</v>
    <v>170.75</v>
    <v>170.76</v>
    <v>170.89</v>
    <v>172.75</v>
    <v>176.28</v>
    <v>177.39</v>
    <v>179.31</v>
    <v>179.36</v>
    <v>179.26</v>
    <v>179.7</v>
    <v>175.42</v>
    <v>175.11</v>
    <v>176.03</v>
    <v>173.82</v>
    <v>170.79</v>
    <v>172.28</v>
    <v>170.63</v>
    <v>170.85</v>
    <v>171.06</v>
    <v>171.14</v>
    <v>170.33</v>
    <v>169.08</v>
    <v>169.19</v>
    <v>168.06</v>
    <v>168.11</v>
    <v>168.94</v>
    <v>170.16</v>
    <v>169.53</v>
    <v>167.09</v>
    <v>167.65</v>
    <v>165.98</v>
    <v>165.13</v>
    <v>160.6</v>
    <v>161.30000000000001</v>
    <v>162.1</v>
    <v>158.56</v>
    <v>158.84</v>
    <v>159.74</v>
    <v>159.65</v>
    <v>160.5</v>
    <v>161.13</v>
    <v>161.72</v>
    <v>164.74</v>
    <v>166.15</v>
    <v>164.12</v>
    <v>169.66</v>
    <v>166.19</v>
    <v>166.23</v>
    <v>167.41</v>
    <v>165.99</v>
    <v>168.76</v>
    <v>168.13</v>
    <v>169.01</v>
    <v>168.88</v>
    <v>167.97</v>
    <v>167.53</v>
    <v>169.43</v>
    <v>169.58</v>
    <v>171.02</v>
    <v>162.88999999999999</v>
    <v>165.43</v>
    <v>166.49</v>
    <v>167.21</v>
    <v>170.23</v>
    <v>170.54</v>
    <v>172.65</v>
    <v>171.3</v>
    <v>171.97</v>
    <v>173.84</v>
    <v>175.59</v>
    <v>173.18</v>
    <v>174.61</v>
    <v>174.66</v>
    <v>175.95</v>
    <v>176.26</v>
    <v>173.12</v>
    <v>168.37</v>
    <v>168.59</v>
    <v>167.97</v>
    <v>169.76</v>
    <v>167.71</v>
    <v>168.57</v>
    <v>167.55</v>
    <v>166.69</v>
    <v>165.65</v>
    <v>162.85</v>
    <v>166.58</v>
    <v>168.71</v>
    <v>168.03</v>
    <v>170.42</v>
    <v>170.56</v>
    <v>169.5</v>
    <v>172.39</v>
    <v>163.75</v>
    <v>160.22999999999999</v>
    <v>158.38999999999999</v>
    <v>162.32</v>
    <v>163.56</v>
    <v>166.91</v>
    <v>169.13</v>
    <v>168.47</v>
    <v>166.39</v>
    <v>170.63</v>
    <v>165.75</v>
    <v>167.88</v>
    <v>165.73</v>
    <v>159.53</v>
    <v>161.02000000000001</v>
    <v>161.85</v>
    <v>162.26</v>
    <v>162.57</v>
    <v>159.97999999999999</v>
    <v>160.52000000000001</v>
    <v>158.83000000000001</v>
    <v>159.25</v>
    <v>159.29</v>
    <v>158.65</v>
    <v>157.66</v>
    <v>160.9</v>
    <v>158.72999999999999</v>
    <v>158.02000000000001</v>
    <v>162.41</v>
    <v>163.28</v>
    <v>164.77</v>
    <v>165.64</v>
    <v>165.43</v>
    <v>165.03</v>
    <v>165.86</v>
    <v>167.76</v>
    <v>167.36</v>
    <v>168.56</v>
    <v>169.89</v>
    <v>167.78</v>
    <v>166.85</v>
    <v>165.95</v>
    <v>162.80000000000001</v>
    <v>164.02</v>
    <v>162.56</v>
    <v>162.84</v>
    <v>162.11000000000001</v>
    <v>163.18</v>
    <v>160.28</v>
    <v>160.88</v>
    <v>158.52000000000001</v>
    <v>158.02000000000001</v>
    <v>159.08000000000001</v>
    <v>161.03</v>
    <v>160.36000000000001</v>
    <v>158.97</v>
    <v>158.63</v>
    <v>159.86000000000001</v>
    <v>159.32</v>
    <v>161.22</v>
    <v>161.19999999999999</v>
    <v>160.83000000000001</v>
    <v>160.5</v>
    <v>157.88999999999999</v>
    <v>157.52000000000001</v>
    <v>158.49</v>
    <v>157.05000000000001</v>
    <v>153.76</v>
    <v>152.68</v>
    <v>153.72999999999999</v>
    <v>155.62</v>
    <v>155.1</v>
    <v>155.03</v>
    <v>158.32</v>
    <v>158.28</v>
    <v>158.81</v>
    <v>158.30000000000001</v>
    <v>157.11000000000001</v>
    <v>156.61000000000001</v>
    <v>152.88</v>
    <v>150.47</v>
    <v>150.65</v>
    <v>150.76</v>
    <v>150.51</v>
    <v>152.86000000000001</v>
    <v>153.49</v>
    <v>153.51</v>
    <v>154.97999999999999</v>
    <v>155.09</v>
    <v>155.41</v>
    <v>153.74</v>
    <v>154.36000000000001</v>
    <v>155.72</v>
    <v>158.4</v>
    <v>159.51</v>
    <v>158.72999999999999</v>
    <v>158.66999999999999</v>
    <v>156.15</v>
    <v>155.97</v>
    <v>156.96</v>
    <v>155.65</v>
    <v>157.04</v>
    <v>157.99</v>
    <v>158.16999999999999</v>
    <v>159.19</v>
    <v>160.02000000000001</v>
    <v>159.01</v>
    <v>159.46</v>
    <v>157.35</v>
    <v>158.63</v>
    <v>157.9</v>
    <v>156.83000000000001</v>
    <v>158.05000000000001</v>
    <v>160.33000000000001</v>
    <v>157.32</v>
    <v>156.04</v>
    <v>153.07</v>
    <v>152.5</v>
    <v>152.41999999999999</v>
    <v>152.15</v>
    <v>152.5</v>
    <v>153.53</v>
    <v>153.65</v>
    <v>153.18</v>
    <v>152.05000000000001</v>
    <v>152.27000000000001</v>
    <v>150.41</v>
    <v>152.54</v>
    <v>150.69</v>
  </a>
  <a r="1" c="250">
    <v>292.57</v>
    <v>295</v>
    <v>297.61</v>
    <v>295.12</v>
    <v>283.95</v>
    <v>287.29000000000002</v>
    <v>287.32</v>
    <v>279.52999999999997</v>
    <v>280.2</v>
    <v>278.12</v>
    <v>276.10000000000002</v>
    <v>274.92</v>
    <v>278.77</v>
    <v>275.92</v>
    <v>272.02999999999997</v>
    <v>272.56</v>
    <v>274.57</v>
    <v>271.79000000000002</v>
    <v>276.01</v>
    <v>279.31</v>
    <v>304.32</v>
    <v>301.39999999999998</v>
    <v>298.17</v>
    <v>304.86</v>
    <v>302.07</v>
    <v>297.69</v>
    <v>296.86</v>
    <v>292.10000000000002</v>
    <v>295.48</v>
    <v>293.81</v>
    <v>297.64999999999998</v>
    <v>303.86</v>
    <v>307.26</v>
    <v>303.77999999999997</v>
    <v>300.33</v>
    <v>301.24</v>
    <v>303.3</v>
    <v>302.39999999999998</v>
    <v>303.14999999999998</v>
    <v>297.23</v>
    <v>295.29000000000002</v>
    <v>284.08</v>
    <v>286.10000000000002</v>
    <v>286.25</v>
    <v>291.62</v>
    <v>287.06</v>
    <v>283.89</v>
    <v>280.35000000000002</v>
    <v>276.45</v>
    <v>266.48</v>
    <v>263.91000000000003</v>
    <v>264.85000000000002</v>
    <v>260.95999999999998</v>
    <v>263.64</v>
    <v>265.02999999999997</v>
    <v>264.94</v>
    <v>267.56</v>
    <v>271.23</v>
    <v>276.18</v>
    <v>279.31</v>
    <v>279.74</v>
    <v>283.85000000000002</v>
    <v>279.8</v>
    <v>278.95</v>
    <v>284.70999999999998</v>
    <v>287.23</v>
    <v>293.64999999999998</v>
    <v>294</v>
    <v>299.51</v>
    <v>299.62</v>
    <v>290.99</v>
    <v>290.99</v>
    <v>290.18</v>
    <v>284.95999999999998</v>
    <v>279.98</v>
    <v>278.27</v>
    <v>279.36</v>
    <v>276.95999999999998</v>
    <v>275.94</v>
    <v>283.08</v>
    <v>285.29000000000002</v>
    <v>276.95999999999998</v>
    <v>275.44</v>
    <v>283.39999999999998</v>
    <v>285.13</v>
    <v>279.76</v>
    <v>282.05</v>
    <v>280.02</v>
    <v>284.68</v>
    <v>280.37</v>
    <v>281.10000000000002</v>
    <v>272.83</v>
    <v>271.51</v>
    <v>267.01</v>
    <v>263.83999999999997</v>
    <v>264.19</v>
    <v>266.38</v>
    <v>252.35</v>
    <v>247.98</v>
    <v>247.88</v>
    <v>247.62</v>
    <v>255.91</v>
    <v>249.42</v>
    <v>248.61</v>
    <v>249.48</v>
    <v>246.39</v>
    <v>254.12</v>
    <v>257.75</v>
    <v>257.93</v>
    <v>260.88</v>
    <v>261.74</v>
    <v>259</v>
    <v>263.7</v>
    <v>265.86</v>
    <v>266.8</v>
    <v>264.81</v>
    <v>261.36</v>
    <v>262.12</v>
    <v>266.11</v>
    <v>266.32</v>
    <v>236.83</v>
    <v>207.77</v>
    <v>206.09</v>
    <v>196.72</v>
    <v>222.17</v>
    <v>202.68</v>
    <v>210.29</v>
    <v>210.6</v>
    <v>210.28</v>
    <v>211.31</v>
    <v>218.84</v>
    <v>212.98</v>
    <v>213.62</v>
    <v>209.72</v>
    <v>215.95</v>
    <v>216.28</v>
    <v>214.76</v>
    <v>215.43</v>
    <v>209.06</v>
    <v>214.78</v>
    <v>220.36</v>
    <v>215.06</v>
    <v>215.04</v>
    <v>213.19</v>
    <v>219.35</v>
    <v>221.87</v>
    <v>230.61</v>
    <v>231.5</v>
    <v>231.86</v>
    <v>229.05</v>
    <v>228.26</v>
    <v>224.9</v>
    <v>222.69</v>
    <v>216.23</v>
    <v>216.08</v>
    <v>216.26</v>
    <v>219.99</v>
    <v>218.77</v>
    <v>221.26</v>
    <v>216.64</v>
    <v>220.31</v>
    <v>227.36</v>
    <v>224.38</v>
    <v>224.36</v>
    <v>229.88</v>
    <v>233.5</v>
    <v>241.42</v>
    <v>244.47</v>
    <v>243.7</v>
    <v>247.39</v>
    <v>245.73</v>
    <v>247.54</v>
    <v>244.69</v>
    <v>242.87</v>
    <v>231.97</v>
    <v>230.81</v>
    <v>227.65</v>
    <v>231.62</v>
    <v>231.17</v>
    <v>230.29</v>
    <v>236.94</v>
    <v>242.97</v>
    <v>241.58</v>
    <v>238.39</v>
    <v>249.83</v>
    <v>247.93</v>
    <v>249.99</v>
    <v>252.23</v>
    <v>244.61</v>
    <v>236.82</v>
    <v>233</v>
    <v>236.03</v>
    <v>233.38</v>
    <v>232.86</v>
    <v>238.1</v>
    <v>250.92</v>
    <v>253.04</v>
    <v>252.18</v>
    <v>256.64</v>
    <v>255.61</v>
    <v>248.34</v>
    <v>243.72</v>
    <v>235.02</v>
    <v>235.81</v>
    <v>241.99</v>
    <v>238.95</v>
    <v>235.79</v>
    <v>237.51</v>
    <v>233.61</v>
    <v>237.22</v>
    <v>240.36</v>
    <v>239.63</v>
    <v>236.66</v>
    <v>239.02</v>
    <v>237.65</v>
    <v>236.51</v>
    <v>240.14</v>
    <v>252.19</v>
    <v>251.9</v>
    <v>249.13</v>
    <v>253.51</v>
    <v>256.11</v>
    <v>256.85000000000002</v>
    <v>254.73</v>
    <v>249.83</v>
    <v>257.83999999999997</v>
    <v>255.13</v>
    <v>255.28</v>
    <v>254.01</v>
    <v>260.07</v>
    <v>260.17</v>
    <v>257.62</v>
    <v>255.03</v>
    <v>260.20999999999998</v>
    <v>256.41000000000003</v>
    <v>258.37</v>
    <v>254.52</v>
    <v>254.82</v>
    <v>261.77999999999997</v>
    <v>263.61</v>
    <v>263.25</v>
    <v>268.01</v>
    <v>264.60000000000002</v>
    <v>259.91000000000003</v>
    <v>264.77999999999997</v>
    <v>260.2</v>
    <v>262.73</v>
    <v>265.31</v>
    <v>264</v>
    <v>262.89999999999998</v>
  </a>
  <a r="1" c="250">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v>189.11</v>
  </a>
  <a r="1" c="250">
    <v>727.43</v>
    <v>730.29</v>
    <v>722.79</v>
    <v>713</v>
    <v>705.98</v>
    <v>702</v>
    <v>687.65</v>
    <v>763.89</v>
    <v>772.07</v>
    <v>764.24</v>
    <v>749.29</v>
    <v>754.55</v>
    <v>754.68</v>
    <v>749.12</v>
    <v>759.44</v>
    <v>753.74</v>
    <v>756.03</v>
    <v>756.1</v>
    <v>755.51</v>
    <v>763.91</v>
    <v>780.21</v>
    <v>796.54</v>
    <v>795.04</v>
    <v>805.44</v>
    <v>819.5</v>
    <v>830.47</v>
    <v>837.26</v>
    <v>823.96</v>
    <v>847.05</v>
    <v>871.32</v>
    <v>883.85</v>
    <v>897.48</v>
    <v>897.79</v>
    <v>865.59</v>
    <v>872.6</v>
    <v>877.34</v>
    <v>886.81</v>
    <v>897.74</v>
    <v>902.17</v>
    <v>911.06</v>
    <v>917.87</v>
    <v>934.74</v>
    <v>913.69</v>
    <v>913.35</v>
    <v>936.56</v>
    <v>925.55</v>
    <v>918.87</v>
    <v>921.08</v>
    <v>919.13</v>
    <v>889.55</v>
    <v>902.04</v>
    <v>909.05</v>
    <v>911.45</v>
    <v>932.12</v>
    <v>924.14</v>
    <v>907.55</v>
    <v>900.43</v>
    <v>891.32</v>
    <v>886.73</v>
    <v>881.05</v>
    <v>881.79</v>
    <v>879.19</v>
    <v>875</v>
    <v>837.69</v>
    <v>840.29</v>
    <v>828.4</v>
    <v>848.26</v>
    <v>842.37</v>
    <v>858.1</v>
    <v>869.68</v>
    <v>953.99</v>
    <v>984.86</v>
    <v>977.59</v>
    <v>971.89</v>
    <v>971.83</v>
    <v>978.15</v>
    <v>973.24</v>
    <v>976.76</v>
    <v>978.94</v>
    <v>994.87</v>
    <v>1011.11</v>
    <v>1015.68</v>
    <v>1013.93</v>
    <v>1027.5999999999999</v>
    <v>1008.08</v>
    <v>1027.31</v>
    <v>1043.69</v>
    <v>1058.5999999999999</v>
    <v>1035.8499999999999</v>
    <v>1043.33</v>
    <v>1024.54</v>
    <v>1003.15</v>
    <v>988.47</v>
    <v>977.24</v>
    <v>990.06</v>
    <v>963.07</v>
    <v>980.56</v>
    <v>973.7</v>
    <v>972.58</v>
    <v>990.92</v>
    <v>906.36</v>
    <v>891.11</v>
    <v>866.68</v>
    <v>895.1</v>
    <v>919.68</v>
    <v>890.17</v>
    <v>918</v>
    <v>950.02</v>
    <v>929.98</v>
    <v>959.49</v>
    <v>950.84</v>
    <v>960.29</v>
    <v>971.99</v>
    <v>997.28</v>
    <v>970.65</v>
    <v>976.72</v>
    <v>933.85</v>
    <v>932.53</v>
    <v>928.38</v>
    <v>935.52</v>
    <v>917.05</v>
    <v>855.86</v>
    <v>867.83</v>
    <v>870.4</v>
    <v>945.47</v>
    <v>921.17</v>
    <v>918.29</v>
    <v>931.28</v>
    <v>976.28</v>
    <v>961.63</v>
    <v>973.03</v>
    <v>987.91</v>
    <v>1040.3399999999999</v>
    <v>1049.5899999999999</v>
    <v>1096.8699999999999</v>
    <v>1101.53</v>
    <v>1110.3800000000001</v>
    <v>1125.6400000000001</v>
    <v>1131.72</v>
    <v>1133.47</v>
    <v>1156.49</v>
    <v>1134.06</v>
    <v>1137.69</v>
    <v>1155.4100000000001</v>
    <v>1144.43</v>
    <v>1140.22</v>
    <v>1110</v>
    <v>1138.44</v>
    <v>1150.99</v>
    <v>1177.98</v>
    <v>1191.53</v>
    <v>1191.6400000000001</v>
    <v>1192.02</v>
    <v>1194.6300000000001</v>
    <v>1187.97</v>
    <v>1185.3900000000001</v>
    <v>1211.57</v>
    <v>1208.55</v>
    <v>1184.8599999999999</v>
    <v>1207.23</v>
    <v>1218.98</v>
    <v>1217.94</v>
    <v>1239.6600000000001</v>
    <v>1250.52</v>
    <v>1241.4749999999999</v>
    <v>1224.46</v>
    <v>1203.6199999999999</v>
    <v>1219.8800000000001</v>
    <v>1215.03</v>
    <v>1212.1500000000001</v>
    <v>1225.3499999999999</v>
    <v>1220.67</v>
    <v>1222.29</v>
    <v>1231.4100000000001</v>
    <v>1253.54</v>
    <v>1279.1099999999999</v>
    <v>1275.25</v>
    <v>1306.67</v>
    <v>1323.12</v>
    <v>1339.13</v>
    <v>1293.5999999999999</v>
    <v>1284.8599999999999</v>
    <v>1297.18</v>
    <v>1289.6199999999999</v>
    <v>1275.31</v>
    <v>1288.28</v>
    <v>1250.5899999999999</v>
    <v>1245.1099999999999</v>
    <v>1261.95</v>
    <v>1260.27</v>
    <v>1250.31</v>
    <v>1274.17</v>
    <v>1209.24</v>
    <v>1233.27</v>
    <v>1190.08</v>
    <v>1176.78</v>
    <v>1180.76</v>
    <v>1180.49</v>
    <v>1174.5999999999999</v>
    <v>1168.74</v>
    <v>1184.2</v>
    <v>1159.4000000000001</v>
    <v>1158.5999999999999</v>
    <v>1170.99</v>
    <v>1147.8699999999999</v>
    <v>1178.48</v>
    <v>1180.3699999999999</v>
    <v>1211.6400000000001</v>
    <v>1218.31</v>
    <v>1225.28</v>
    <v>1204.44</v>
    <v>1230.56</v>
    <v>1238.95</v>
    <v>1245.0899999999999</v>
    <v>1214.1500000000001</v>
    <v>1213.8599999999999</v>
    <v>1206.21</v>
    <v>1204.6500000000001</v>
    <v>1218.07</v>
    <v>1226.0899999999999</v>
    <v>1223.5</v>
    <v>1231.45</v>
    <v>1208.25</v>
    <v>1214.1099999999999</v>
    <v>1226.18</v>
    <v>1257.48</v>
    <v>1243.82</v>
    <v>1244.76</v>
    <v>1263.25</v>
    <v>1247.71</v>
    <v>1203.5</v>
    <v>1188.44</v>
    <v>1202.26</v>
    <v>1200.51</v>
    <v>1228.5</v>
    <v>1207.78</v>
    <v>1226.97</v>
    <v>1227.3699999999999</v>
    <v>1218.47</v>
    <v>1203.95</v>
    <v>1208.24</v>
    <v>1210.6099999999999</v>
    <v>1206.4100000000001</v>
    <v>1198.92</v>
    <v>1170.9000000000001</v>
    <v>1162.53</v>
    <v>1153.32</v>
    <v>1163.31</v>
    <v>1191.06</v>
    <v>1214.25</v>
  </a>
  <a r="1" c="250">
    <v>59.34</v>
    <v>59.37</v>
    <v>59.4</v>
    <v>59.31</v>
    <v>59.51</v>
    <v>59.57</v>
    <v>59.38</v>
    <v>59.45</v>
    <v>59.17</v>
    <v>59.12</v>
    <v>59.01</v>
    <v>59.08</v>
    <v>59</v>
    <v>58.89</v>
    <v>58.93</v>
    <v>58.83</v>
    <v>58.8</v>
    <v>58.42</v>
    <v>58.61</v>
    <v>58.6</v>
    <v>58.25</v>
    <v>58.58</v>
    <v>58.59</v>
    <v>58.46</v>
    <v>58.23</v>
    <v>58.27</v>
    <v>58.21</v>
    <v>58.29</v>
    <v>58.37</v>
    <v>58.44</v>
    <v>58.38</v>
    <v>58.34</v>
    <v>58.35</v>
    <v>58.75</v>
    <v>58.69</v>
    <v>58.85</v>
    <v>59.03</v>
    <v>58.83</v>
    <v>58.75</v>
    <v>58.91</v>
    <v>58.9</v>
    <v>59.04</v>
    <v>58.92</v>
    <v>58.83</v>
    <v>58.74</v>
    <v>58.61</v>
    <v>58.43</v>
    <v>58.45</v>
    <v>58.44</v>
    <v>58.08</v>
    <v>58</v>
    <v>58.15</v>
    <v>57.97</v>
    <v>57.81</v>
    <v>57.85</v>
    <v>57.78</v>
    <v>58.02</v>
    <v>58</v>
    <v>58.01</v>
    <v>57.95</v>
    <v>57.93</v>
    <v>57.76</v>
    <v>57.84</v>
    <v>57.51</v>
    <v>57.44</v>
    <v>57.47</v>
    <v>57.89</v>
    <v>58.03</v>
    <v>58.01</v>
    <v>58.13</v>
    <v>58.02</v>
    <v>57.94</v>
    <v>58.06</v>
    <v>58.31</v>
    <v>58.32</v>
    <v>58.26</v>
    <v>58.35</v>
    <v>58.33</v>
    <v>58.13</v>
    <v>58.21</v>
    <v>58.42</v>
    <v>58.37</v>
    <v>58.22</v>
    <v>58.22</v>
    <v>58.15</v>
    <v>57.86</v>
    <v>58.11</v>
    <v>58.29</v>
    <v>58.12</v>
    <v>58.21</v>
    <v>58.29</v>
    <v>58.53</v>
    <v>58.62</v>
    <v>58.93</v>
    <v>59.04</v>
    <v>59.03</v>
    <v>59.25</v>
    <v>59.22</v>
    <v>59.14</v>
    <v>58.91</v>
    <v>58.92</v>
    <v>58.88</v>
    <v>59.18</v>
    <v>59.04</v>
    <v>58.92</v>
    <v>59.09</v>
    <v>58.92</v>
    <v>58.92</v>
    <v>58.98</v>
    <v>59.13</v>
    <v>59.19</v>
    <v>59.19</v>
    <v>58.94</v>
    <v>59.04</v>
    <v>58.97</v>
    <v>58.96</v>
    <v>59.3</v>
    <v>59.4</v>
    <v>59.33</v>
    <v>59.27</v>
    <v>59.81</v>
    <v>59.9</v>
    <v>59.47</v>
    <v>59.33</v>
    <v>59.07</v>
    <v>58.95</v>
    <v>58.66</v>
    <v>59.04</v>
    <v>59.14</v>
    <v>59.36</v>
    <v>59.29</v>
    <v>59.15</v>
    <v>59.13</v>
    <v>59.12</v>
    <v>59.35</v>
    <v>59.5</v>
    <v>59.69</v>
    <v>59.83</v>
    <v>59.97</v>
    <v>59.54</v>
    <v>59.25</v>
    <v>59.19</v>
    <v>59.32</v>
    <v>59.4</v>
    <v>59.06</v>
    <v>59.09</v>
    <v>58.78</v>
    <v>58.77</v>
    <v>58.63</v>
    <v>58.89</v>
    <v>58.91</v>
    <v>58.93</v>
    <v>58.9</v>
    <v>58.68</v>
    <v>58.81</v>
    <v>58.93</v>
    <v>59.07</v>
    <v>58.96</v>
    <v>59.13</v>
    <v>59.29</v>
    <v>58.96</v>
    <v>58.91</v>
    <v>59.19</v>
    <v>59.05</v>
    <v>58.71</v>
    <v>58.79</v>
    <v>58.85</v>
    <v>59.04</v>
    <v>59.21</v>
    <v>59.07</v>
    <v>58.99</v>
    <v>59.15</v>
    <v>59.18</v>
    <v>59.25</v>
    <v>59.41</v>
    <v>59.56</v>
    <v>59.6</v>
    <v>59.75</v>
    <v>59.65</v>
    <v>59.81</v>
    <v>59.49</v>
    <v>59.41</v>
    <v>59.25</v>
    <v>59.17</v>
    <v>59.11</v>
    <v>59.32</v>
    <v>59.29</v>
    <v>59.15</v>
    <v>59.15</v>
    <v>58.97</v>
    <v>59.13</v>
    <v>59.1</v>
    <v>59.23</v>
    <v>59.354999999999997</v>
    <v>59.47</v>
    <v>59.32</v>
    <v>59.25</v>
    <v>59.34</v>
    <v>59.27</v>
    <v>59.5</v>
    <v>59.34</v>
    <v>59.36</v>
    <v>59.75</v>
    <v>59.78</v>
    <v>59.73</v>
    <v>59.73</v>
    <v>59.7</v>
    <v>59.59</v>
    <v>59.6</v>
    <v>59.61</v>
    <v>59.77</v>
    <v>59.64</v>
    <v>59.58</v>
    <v>59.55</v>
    <v>59.65</v>
    <v>59.71</v>
    <v>59.57</v>
    <v>59.84</v>
    <v>59.76</v>
    <v>59.9</v>
    <v>60</v>
    <v>60.06</v>
    <v>60.08</v>
    <v>59.77</v>
    <v>59.89</v>
    <v>60.05</v>
    <v>60.24</v>
    <v>60.33</v>
    <v>60.24</v>
    <v>60.3</v>
    <v>60.34</v>
    <v>60.24</v>
    <v>60.31</v>
    <v>60.36</v>
    <v>60.24</v>
    <v>60.13</v>
    <v>60.13</v>
    <v>60.06</v>
    <v>60.17</v>
    <v>60.04</v>
    <v>59.94</v>
    <v>59.94</v>
    <v>60.03</v>
    <v>60.03</v>
    <v>60.02</v>
    <v>60.06</v>
    <v>59.96</v>
    <v>59.86</v>
    <v>59.98</v>
    <v>59.94</v>
  </a>
  <a r="1" c="250">
    <v>26.54</v>
    <v>26.594999999999999</v>
    <v>26.6</v>
    <v>26.55</v>
    <v>26.59</v>
    <v>26.6</v>
    <v>26.52</v>
    <v>26.55</v>
    <v>26.37</v>
    <v>26.41</v>
    <v>26.34</v>
    <v>26.37</v>
    <v>26.29</v>
    <v>26.26</v>
    <v>26.29</v>
    <v>26.34</v>
    <v>26.31</v>
    <v>26.16</v>
    <v>26.21</v>
    <v>26.23</v>
    <v>26.21</v>
    <v>26.3</v>
    <v>26.35</v>
    <v>26.28</v>
    <v>26.14</v>
    <v>26.11</v>
    <v>26.1</v>
    <v>26.1</v>
    <v>26.15</v>
    <v>26.21</v>
    <v>26.19</v>
    <v>26.16</v>
    <v>26.17</v>
    <v>26.32</v>
    <v>26.26</v>
    <v>26.34</v>
    <v>26.41</v>
    <v>26.34</v>
    <v>26.34</v>
    <v>26.43</v>
    <v>26.39</v>
    <v>26.4</v>
    <v>26.37</v>
    <v>26.36</v>
    <v>26.33</v>
    <v>26.23</v>
    <v>26.16</v>
    <v>26.14</v>
    <v>26.12</v>
    <v>25.96</v>
    <v>25.83</v>
    <v>25.79</v>
    <v>25.75</v>
    <v>25.8</v>
    <v>25.8</v>
    <v>25.74</v>
    <v>25.83</v>
    <v>25.83</v>
    <v>25.81</v>
    <v>25.77</v>
    <v>25.78</v>
    <v>25.74</v>
    <v>25.79</v>
    <v>25.69</v>
    <v>25.72</v>
    <v>25.73</v>
    <v>25.9</v>
    <v>25.93</v>
    <v>25.95</v>
    <v>25.97</v>
    <v>25.94</v>
    <v>25.96</v>
    <v>26</v>
    <v>26.12</v>
    <v>26.13</v>
    <v>26.11</v>
    <v>26.13</v>
    <v>26.15</v>
    <v>26.2</v>
    <v>26.24</v>
    <v>26.36</v>
    <v>26.32</v>
    <v>26.25</v>
    <v>26.26</v>
    <v>26.25</v>
    <v>26.11</v>
    <v>26.25</v>
    <v>26.3</v>
    <v>26.22</v>
    <v>26.26</v>
    <v>26.32</v>
    <v>26.39</v>
    <v>26.42</v>
    <v>26.54</v>
    <v>26.56</v>
    <v>26.54</v>
    <v>26.71</v>
    <v>26.77</v>
    <v>26.69</v>
    <v>26.54</v>
    <v>26.53</v>
    <v>26.49</v>
    <v>26.6</v>
    <v>26.52</v>
    <v>26.51</v>
    <v>26.54</v>
    <v>26.46</v>
    <v>26.49</v>
    <v>26.52</v>
    <v>26.65</v>
    <v>26.68</v>
    <v>26.66</v>
    <v>26.56</v>
    <v>26.62</v>
    <v>26.58</v>
    <v>26.63</v>
    <v>26.78</v>
    <v>26.89</v>
    <v>26.8</v>
    <v>26.77</v>
    <v>26.93</v>
    <v>26.85</v>
    <v>26.55</v>
    <v>26.47</v>
    <v>26.48</v>
    <v>26.2</v>
    <v>26.18</v>
    <v>26.32</v>
    <v>26.31</v>
    <v>26.4</v>
    <v>26.43</v>
    <v>26.31</v>
    <v>26.41</v>
    <v>26.5</v>
    <v>26.62</v>
    <v>26.64</v>
    <v>26.72</v>
    <v>26.77</v>
    <v>26.83</v>
    <v>26.61</v>
    <v>26.45</v>
    <v>26.47</v>
    <v>26.53</v>
    <v>26.54</v>
    <v>26.45</v>
    <v>26.48</v>
    <v>26.27</v>
    <v>26.33</v>
    <v>26.29</v>
    <v>26.39</v>
    <v>26.43</v>
    <v>26.44</v>
    <v>26.38</v>
    <v>26.22</v>
    <v>26.3</v>
    <v>26.35</v>
    <v>26.46</v>
    <v>26.34</v>
    <v>26.43</v>
    <v>26.51</v>
    <v>26.34</v>
    <v>26.3</v>
    <v>26.39</v>
    <v>26.35</v>
    <v>26.23</v>
    <v>26.24</v>
    <v>26.25</v>
    <v>26.29</v>
    <v>26.37</v>
    <v>26.34</v>
    <v>26.29</v>
    <v>26.43</v>
    <v>26.44</v>
    <v>26.5</v>
    <v>26.52</v>
    <v>26.56</v>
    <v>26.56</v>
    <v>26.63</v>
    <v>26.59</v>
    <v>26.68</v>
    <v>26.57</v>
    <v>26.55</v>
    <v>26.51</v>
    <v>26.48</v>
    <v>26.47</v>
    <v>26.54</v>
    <v>26.54</v>
    <v>26.5</v>
    <v>26.52</v>
    <v>26.44</v>
    <v>26.53</v>
    <v>26.55</v>
    <v>26.58</v>
    <v>26.66</v>
    <v>26.68</v>
    <v>26.56</v>
    <v>26.6</v>
    <v>26.63</v>
    <v>26.58</v>
    <v>26.73</v>
    <v>26.63</v>
    <v>26.6</v>
    <v>26.67</v>
    <v>26.74</v>
    <v>26.74</v>
    <v>26.69</v>
    <v>26.73</v>
    <v>26.71</v>
    <v>26.73</v>
    <v>26.67</v>
    <v>26.77</v>
    <v>26.71</v>
    <v>26.64</v>
    <v>26.63</v>
    <v>26.64</v>
    <v>26.68</v>
    <v>26.68</v>
    <v>26.85</v>
    <v>26.82</v>
    <v>26.88</v>
    <v>26.93</v>
    <v>26.95</v>
    <v>26.93</v>
    <v>26.76</v>
    <v>26.84</v>
    <v>26.88</v>
    <v>26.98</v>
    <v>27.06</v>
    <v>27.01</v>
    <v>27.03</v>
    <v>27.09</v>
    <v>27.05</v>
    <v>27.07</v>
    <v>27.1</v>
    <v>27.07</v>
    <v>27.02</v>
    <v>26.98</v>
    <v>26.93</v>
    <v>27</v>
    <v>26.96</v>
    <v>26.9</v>
    <v>26.91</v>
    <v>26.94</v>
    <v>26.95</v>
    <v>26.91</v>
    <v>26.9</v>
    <v>26.87</v>
    <v>26.83</v>
    <v>26.89</v>
    <v>26.93</v>
  </a>
  <a r="1" c="250">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v>717.84</v>
  </a>
  <a r="1" c="250">
    <v>23.25</v>
    <v>23.346399999999999</v>
    <v>23.334199999999999</v>
    <v>23.549900000000001</v>
    <v>23.895399999999999</v>
    <v>24.066299999999998</v>
    <v>23.901199999999999</v>
    <v>24.13</v>
    <v>23.7256</v>
    <v>23.760300000000001</v>
    <v>23.942299999999999</v>
    <v>23.9117</v>
    <v>23.768599999999999</v>
    <v>23.882899999999999</v>
    <v>23.5748</v>
    <v>23.6633</v>
    <v>23.323899999999998</v>
    <v>23.016300000000001</v>
    <v>23.246600000000001</v>
    <v>23.512899999999998</v>
    <v>23.0181</v>
    <v>23.207799999999999</v>
    <v>23.496300000000002</v>
    <v>23.409700000000001</v>
    <v>23.097200000000001</v>
    <v>23.139900000000001</v>
    <v>22.910799999999998</v>
    <v>23.014199999999999</v>
    <v>23.1599</v>
    <v>23.223299999999998</v>
    <v>23.28</v>
    <v>23.487500000000001</v>
    <v>23.627199999999998</v>
    <v>23.921199999999999</v>
    <v>24.046900000000001</v>
    <v>24.183399999999999</v>
    <v>24.187200000000001</v>
    <v>23.7911</v>
    <v>23.679099999999998</v>
    <v>23.672899999999998</v>
    <v>23.647300000000001</v>
    <v>23.693000000000001</v>
    <v>23.7576</v>
    <v>23.351800000000001</v>
    <v>23.268699999999999</v>
    <v>23.258500000000002</v>
    <v>23.1645</v>
    <v>23.092600000000001</v>
    <v>22.981400000000001</v>
    <v>21.4711</v>
    <v>21.165099999999999</v>
    <v>21.500599999999999</v>
    <v>21.524100000000001</v>
    <v>21.706299999999999</v>
    <v>21.7471</v>
    <v>21.4862</v>
    <v>21.431100000000001</v>
    <v>21.627500000000001</v>
    <v>21.4297</v>
    <v>21.73</v>
    <v>21.3658</v>
    <v>21.138000000000002</v>
    <v>21.215</v>
    <v>20.689399999999999</v>
    <v>20.9664</v>
    <v>21.07</v>
    <v>21.186399999999999</v>
    <v>21.6479</v>
    <v>21.710599999999999</v>
    <v>21.94</v>
    <v>21.475300000000001</v>
    <v>21.597899999999999</v>
    <v>21.584099999999999</v>
    <v>21.702200000000001</v>
    <v>21.515599999999999</v>
    <v>21.222100000000001</v>
    <v>21.499099999999999</v>
    <v>21.472300000000001</v>
    <v>21.387899999999998</v>
    <v>21.623100000000001</v>
    <v>21.67</v>
    <v>21.774100000000001</v>
    <v>21.73</v>
    <v>21.658200000000001</v>
    <v>21.699100000000001</v>
    <v>21.530100000000001</v>
    <v>21.662099999999999</v>
    <v>21.603999999999999</v>
    <v>21.692799999999998</v>
    <v>21.6739</v>
    <v>21.835000000000001</v>
    <v>21.630099999999999</v>
    <v>21.6495</v>
    <v>21.895099999999999</v>
    <v>21.784199999999998</v>
    <v>21.939599999999999</v>
    <v>22.1065</v>
    <v>22.251200000000001</v>
    <v>22.0092</v>
    <v>22.1785</v>
    <v>21.667899999999999</v>
    <v>21.886199999999999</v>
    <v>21.698699999999999</v>
    <v>21.4223</v>
    <v>21.3521</v>
    <v>20.995899999999999</v>
    <v>21.476500000000001</v>
    <v>21.8429</v>
    <v>21.769300000000001</v>
    <v>21.792200000000001</v>
    <v>21.802199999999999</v>
    <v>21.628900000000002</v>
    <v>21.863800000000001</v>
    <v>21.439599999999999</v>
    <v>21.52</v>
    <v>21.485399999999998</v>
    <v>21.401499999999999</v>
    <v>21.64</v>
    <v>21.668700000000001</v>
    <v>21.785299999999999</v>
    <v>21.1812</v>
    <v>20.422799999999999</v>
    <v>19.789200000000001</v>
    <v>19.311499999999999</v>
    <v>20.3916</v>
    <v>19.937000000000001</v>
    <v>20.2743</v>
    <v>20.670100000000001</v>
    <v>20.730399999999999</v>
    <v>20.706499999999998</v>
    <v>21.0412</v>
    <v>20.645600000000002</v>
    <v>21.058499999999999</v>
    <v>21.013999999999999</v>
    <v>21.040500000000002</v>
    <v>21.0242</v>
    <v>21.121700000000001</v>
    <v>21.290800000000001</v>
    <v>21.5181</v>
    <v>21.552099999999999</v>
    <v>21.768999999999998</v>
    <v>21.7348</v>
    <v>21.637499999999999</v>
    <v>21.596499999999999</v>
    <v>21.5014</v>
    <v>21.6525</v>
    <v>21.590599999999998</v>
    <v>21.3367</v>
    <v>21.188300000000002</v>
    <v>21.554300000000001</v>
    <v>21.822600000000001</v>
    <v>21.85</v>
    <v>21.73</v>
    <v>21.26</v>
    <v>21.125</v>
    <v>21.148</v>
    <v>21.42</v>
    <v>21.4467</v>
    <v>21.722999999999999</v>
    <v>21.681100000000001</v>
    <v>21.67</v>
    <v>21.628</v>
    <v>21.69</v>
    <v>21.637</v>
    <v>21.719899999999999</v>
    <v>21.7685</v>
    <v>21.845600000000001</v>
    <v>21.758500000000002</v>
    <v>21.83</v>
    <v>21.631499999999999</v>
    <v>21.696000000000002</v>
    <v>21.686399999999999</v>
    <v>21.759399999999999</v>
    <v>21.768799999999999</v>
    <v>22.0398</v>
    <v>21.96</v>
    <v>21.395800000000001</v>
    <v>21.286799999999999</v>
    <v>21.374400000000001</v>
    <v>21.39</v>
    <v>21.6891</v>
    <v>21.765999999999998</v>
    <v>21.771100000000001</v>
    <v>21.552299999999999</v>
    <v>21.55</v>
    <v>21.591699999999999</v>
    <v>21.676600000000001</v>
    <v>21.6022</v>
    <v>21.682300000000001</v>
    <v>21.439599999999999</v>
    <v>21.605399999999999</v>
    <v>21.657</v>
    <v>21.6873</v>
    <v>21.754999999999999</v>
    <v>22.1477</v>
    <v>22.129799999999999</v>
    <v>22.0884</v>
    <v>21.997499999999999</v>
    <v>21.743500000000001</v>
    <v>21.9</v>
    <v>21.500399999999999</v>
    <v>21.2193</v>
    <v>21.1783</v>
    <v>21.302499999999998</v>
    <v>21.363900000000001</v>
    <v>21.192499999999999</v>
    <v>21.240500000000001</v>
    <v>21.043500000000002</v>
    <v>21.004999999999999</v>
    <v>21.141400000000001</v>
    <v>21.341899999999999</v>
    <v>21.150400000000001</v>
    <v>21.254999999999999</v>
    <v>21.07</v>
    <v>21.375699999999998</v>
    <v>21.506</v>
    <v>21.4544</v>
    <v>21.816700000000001</v>
    <v>21.6632</v>
    <v>21.565300000000001</v>
    <v>21.726700000000001</v>
    <v>21.633900000000001</v>
    <v>21.747</v>
    <v>21.47</v>
    <v>21.3978</v>
    <v>21.465199999999999</v>
    <v>21.659800000000001</v>
    <v>21.485800000000001</v>
    <v>21.500299999999999</v>
    <v>21.54</v>
    <v>21.846299999999999</v>
    <v>21.766300000000001</v>
    <v>21.724299999999999</v>
    <v>21.614599999999999</v>
    <v>21.613399999999999</v>
    <v>21.5517</v>
    <v>21.552199999999999</v>
    <v>21.530799999999999</v>
    <v>21.6752</v>
    <v>21.312899999999999</v>
    <v>21.196899999999999</v>
    <v>21.416699999999999</v>
    <v>21.3916</v>
    <v>21.51</v>
    <v>21.522500000000001</v>
    <v>21.4</v>
    <v>21.510400000000001</v>
    <v>21.279800000000002</v>
    <v>21.224799999999998</v>
    <v>21.184999999999999</v>
  </a>
  <a r="1" c="250">
    <v>138.02000000000001</v>
    <v>137.91999999999999</v>
    <v>140.21</v>
    <v>141.37</v>
    <v>141.55000000000001</v>
    <v>142.85</v>
    <v>145.19</v>
    <v>145.01</v>
    <v>144.76</v>
    <v>143.94</v>
    <v>143.54</v>
    <v>146.29</v>
    <v>143.09</v>
    <v>144.84</v>
    <v>146.02000000000001</v>
    <v>145.86000000000001</v>
    <v>143.26</v>
    <v>141</v>
    <v>139.43</v>
    <v>149.27000000000001</v>
    <v>163.66999999999999</v>
    <v>159.82</v>
    <v>162</v>
    <v>166.75</v>
    <v>163.75</v>
    <v>164.34</v>
    <v>164.31</v>
    <v>163.63</v>
    <v>164.31</v>
    <v>168.25</v>
    <v>162.88999999999999</v>
    <v>165.02</v>
    <v>167.56</v>
    <v>174.7</v>
    <v>175.64</v>
    <v>173.85</v>
    <v>175.03</v>
    <v>172.34</v>
    <v>173</v>
    <v>174.73</v>
    <v>175.73</v>
    <v>177.85</v>
    <v>172.47</v>
    <v>174.71</v>
    <v>178.61</v>
    <v>176.41</v>
    <v>176.43</v>
    <v>178.15</v>
    <v>176.32</v>
    <v>167.44</v>
    <v>169.63</v>
    <v>171.03</v>
    <v>171.63</v>
    <v>174.85</v>
    <v>174.37</v>
    <v>170.28</v>
    <v>166.51</v>
    <v>165.16</v>
    <v>165.86</v>
    <v>169.06</v>
    <v>169.1</v>
    <v>162.44999999999999</v>
    <v>161.97999999999999</v>
    <v>155.38999999999999</v>
    <v>154.80000000000001</v>
    <v>159.33000000000001</v>
    <v>164.85</v>
    <v>165.92</v>
    <v>166.99</v>
    <v>169.24</v>
    <v>168.9</v>
    <v>169.75</v>
    <v>172.06</v>
    <v>167.26</v>
    <v>169.31</v>
    <v>171.1</v>
    <v>171.76</v>
    <v>170.98</v>
    <v>167.12</v>
    <v>162.59</v>
    <v>165.75</v>
    <v>164.88</v>
    <v>163.44999999999999</v>
    <v>162.16999999999999</v>
    <v>158.08000000000001</v>
    <v>157.44</v>
    <v>157.91999999999999</v>
    <v>162.81</v>
    <v>162.06</v>
    <v>160.27000000000001</v>
    <v>156.79</v>
    <v>150.55000000000001</v>
    <v>147.87</v>
    <v>145.30000000000001</v>
    <v>147.65</v>
    <v>147.44</v>
    <v>149.27000000000001</v>
    <v>144.58000000000001</v>
    <v>137.91999999999999</v>
    <v>140.53</v>
    <v>134.78</v>
    <v>132.4</v>
    <v>126.01</v>
    <v>130.41999999999999</v>
    <v>134.91999999999999</v>
    <v>130.24</v>
    <v>134.32</v>
    <v>138.69999999999999</v>
    <v>137.44</v>
    <v>143.4</v>
    <v>144.77000000000001</v>
    <v>143.41</v>
    <v>148.4</v>
    <v>147.9</v>
    <v>144.63999999999999</v>
    <v>142.03</v>
    <v>136.96</v>
    <v>136.94</v>
    <v>138.37</v>
    <v>141.52000000000001</v>
    <v>123.45</v>
    <v>108.68</v>
    <v>112.36</v>
    <v>110.41</v>
    <v>128.44999999999999</v>
    <v>123.93</v>
    <v>125.92</v>
    <v>125.52</v>
    <v>127.84</v>
    <v>125.21</v>
    <v>126.78</v>
    <v>119.63</v>
    <v>123.71</v>
    <v>126.55</v>
    <v>133.32</v>
    <v>133.4</v>
    <v>136.36000000000001</v>
    <v>137.55000000000001</v>
    <v>136.47999999999999</v>
    <v>137.88999999999999</v>
    <v>135.37</v>
    <v>133.97999999999999</v>
    <v>129.31</v>
    <v>129.34</v>
    <v>133.19</v>
    <v>132.46</v>
    <v>143.44999999999999</v>
    <v>145.07</v>
    <v>144.24</v>
    <v>143.99</v>
    <v>143.84</v>
    <v>142.61000000000001</v>
    <v>139.29</v>
    <v>130.68</v>
    <v>130.81</v>
    <v>130.87</v>
    <v>133.16999999999999</v>
    <v>131.51</v>
    <v>131.69999999999999</v>
    <v>130.69</v>
    <v>130.52000000000001</v>
    <v>131.1</v>
    <v>130.30000000000001</v>
    <v>130.28</v>
    <v>133.44999999999999</v>
    <v>133.51</v>
    <v>135.62</v>
    <v>138.03</v>
    <v>138.11000000000001</v>
    <v>132.11000000000001</v>
    <v>134.1</v>
    <v>132.36000000000001</v>
    <v>133.09</v>
    <v>134.52000000000001</v>
    <v>134.03</v>
    <v>139.91</v>
    <v>137.72999999999999</v>
    <v>139.35</v>
    <v>142.91999999999999</v>
    <v>141.87</v>
    <v>141.63</v>
    <v>142.78</v>
    <v>144.47</v>
    <v>141.53</v>
    <v>145.01</v>
    <v>146.65</v>
    <v>148.21</v>
    <v>147.18</v>
    <v>148.53</v>
    <v>145.72</v>
    <v>152.71</v>
    <v>156.05000000000001</v>
    <v>152</v>
    <v>148.69</v>
    <v>149.65</v>
    <v>151.85</v>
    <v>151.63999999999999</v>
    <v>151.13</v>
    <v>148.69999999999999</v>
    <v>147.82</v>
    <v>145.46</v>
    <v>145.32</v>
    <v>138.29</v>
    <v>142.02000000000001</v>
    <v>145.54</v>
    <v>145.87</v>
    <v>141.11000000000001</v>
    <v>141.97</v>
    <v>142.12</v>
    <v>144.6</v>
    <v>140.94999999999999</v>
    <v>140.68</v>
    <v>139.38999999999999</v>
    <v>139.38999999999999</v>
    <v>137.08000000000001</v>
    <v>135.34</v>
    <v>134.01</v>
    <v>134.19999999999999</v>
    <v>133.88999999999999</v>
    <v>134.4</v>
    <v>135.72</v>
    <v>136.38999999999999</v>
    <v>136.22999999999999</v>
    <v>135.84</v>
    <v>132.63</v>
    <v>134.76</v>
    <v>131.55000000000001</v>
    <v>134.44</v>
    <v>134.41999999999999</v>
    <v>133.63999999999999</v>
    <v>136.4</v>
    <v>138.03</v>
    <v>138.47999999999999</v>
    <v>140.05000000000001</v>
    <v>138.82</v>
    <v>143.49</v>
    <v>144.75</v>
    <v>143.96</v>
    <v>144.88999999999999</v>
    <v>137.16</v>
    <v>136.13</v>
    <v>137.63</v>
    <v>138.44</v>
    <v>133.27000000000001</v>
    <v>129.94999999999999</v>
    <v>127.23</v>
    <v>125.89</v>
    <v>126.7</v>
    <v>126.05</v>
    <v>124.8</v>
  </a>
  <a r="1" c="250">
    <v>160.65</v>
    <v>160.51</v>
    <v>161.46</v>
    <v>161.6</v>
    <v>164.1</v>
    <v>164.28</v>
    <v>164.47</v>
    <v>165.12</v>
    <v>162.83000000000001</v>
    <v>163.44999999999999</v>
    <v>165.86</v>
    <v>163.66999999999999</v>
    <v>160.88</v>
    <v>161.6</v>
    <v>160.09</v>
    <v>160.61000000000001</v>
    <v>159.86000000000001</v>
    <v>160.13</v>
    <v>158.24</v>
    <v>158.35</v>
    <v>157.88</v>
    <v>156.72999999999999</v>
    <v>155.47</v>
    <v>155.04</v>
    <v>152.63999999999999</v>
    <v>153.24</v>
    <v>151.87</v>
    <v>154</v>
    <v>154.77000000000001</v>
    <v>153</v>
    <v>153.11000000000001</v>
    <v>155.5</v>
    <v>155.16999999999999</v>
    <v>155.78</v>
    <v>154.52000000000001</v>
    <v>155.4</v>
    <v>155.01</v>
    <v>154.80000000000001</v>
    <v>152.36000000000001</v>
    <v>150.47</v>
    <v>149.52000000000001</v>
    <v>149.31</v>
    <v>149.6</v>
    <v>149.22999999999999</v>
    <v>146.63999999999999</v>
    <v>146.24</v>
    <v>146.62</v>
    <v>143.85</v>
    <v>146.41</v>
    <v>144.75</v>
    <v>143.58000000000001</v>
    <v>144.47</v>
    <v>145.27000000000001</v>
    <v>145.85</v>
    <v>145.58000000000001</v>
    <v>145.05000000000001</v>
    <v>143.34</v>
    <v>144.62</v>
    <v>144.02000000000001</v>
    <v>144.19</v>
    <v>143.66</v>
    <v>146.22999999999999</v>
    <v>142.27000000000001</v>
    <v>142.06</v>
    <v>144.47</v>
    <v>144.75</v>
    <v>144.97</v>
    <v>147.77000000000001</v>
    <v>147.03</v>
    <v>148.15</v>
    <v>145.27000000000001</v>
    <v>146.63999999999999</v>
    <v>146.82</v>
    <v>152.88999999999999</v>
    <v>150.38</v>
    <v>151.15</v>
    <v>152.87</v>
    <v>152.15</v>
    <v>151.87</v>
    <v>153.49</v>
    <v>154.69</v>
    <v>153.51</v>
    <v>153.12</v>
    <v>154.24</v>
    <v>156.13</v>
    <v>155.26</v>
    <v>157.25</v>
    <v>156.15</v>
    <v>154.99</v>
    <v>157.88999999999999</v>
    <v>159.68</v>
    <v>162.30000000000001</v>
    <v>163.74</v>
    <v>166.09</v>
    <v>163.08000000000001</v>
    <v>163.72999999999999</v>
    <v>165.02</v>
    <v>167.28</v>
    <v>165.42</v>
    <v>165.12</v>
    <v>165.83</v>
    <v>166.69</v>
    <v>167.7</v>
    <v>165.86</v>
    <v>162.85</v>
    <v>162.99</v>
    <v>162.81</v>
    <v>162.84</v>
    <v>164.25</v>
    <v>162.99</v>
    <v>163.02000000000001</v>
    <v>163.63</v>
    <v>163.29</v>
    <v>161.02000000000001</v>
    <v>161.72</v>
    <v>163.13</v>
    <v>163.71</v>
    <v>165.84</v>
    <v>153.25</v>
    <v>155.36000000000001</v>
    <v>159.82</v>
    <v>153.24</v>
    <v>150.62</v>
    <v>150</v>
    <v>150.97</v>
    <v>148.69</v>
    <v>151.72999999999999</v>
    <v>154.36000000000001</v>
    <v>153.62</v>
    <v>153.91</v>
    <v>157.47</v>
    <v>156.91999999999999</v>
    <v>157.75</v>
    <v>155.38</v>
    <v>154.93</v>
    <v>154.58000000000001</v>
    <v>155.35</v>
    <v>155.91</v>
    <v>156.31</v>
    <v>154.46</v>
    <v>156.12</v>
    <v>155</v>
    <v>154.47</v>
    <v>157.30000000000001</v>
    <v>155.66</v>
    <v>154.22</v>
    <v>154.13999999999999</v>
    <v>148.44</v>
    <v>146.36000000000001</v>
    <v>149.61000000000001</v>
    <v>151.33000000000001</v>
    <v>152.49</v>
    <v>153.66</v>
    <v>153.18</v>
    <v>152.61000000000001</v>
    <v>152.94</v>
    <v>153.25</v>
    <v>152.43</v>
    <v>153.58000000000001</v>
    <v>155.21</v>
    <v>155.4</v>
    <v>154.41999999999999</v>
    <v>153.22</v>
    <v>153.66</v>
    <v>155.03</v>
    <v>155.22999999999999</v>
    <v>156.44999999999999</v>
    <v>155.26</v>
    <v>156.66</v>
    <v>157.1</v>
    <v>155.22</v>
    <v>152.38</v>
    <v>150.72999999999999</v>
    <v>149.79</v>
    <v>151.32</v>
    <v>152.19</v>
    <v>152.28</v>
    <v>152.01</v>
    <v>152.41</v>
    <v>152.75</v>
    <v>155.91999999999999</v>
    <v>155.56</v>
    <v>156.01</v>
    <v>155.27000000000001</v>
    <v>155.79</v>
    <v>156.28</v>
    <v>157.69</v>
    <v>156.9</v>
    <v>156.82</v>
    <v>155.16999999999999</v>
    <v>164.78</v>
    <v>162.97999999999999</v>
    <v>163.69999999999999</v>
    <v>164.36</v>
    <v>167.93</v>
    <v>169.1</v>
    <v>169.56</v>
    <v>168.3</v>
    <v>166.22</v>
    <v>168.11</v>
    <v>167.26</v>
    <v>164.74</v>
    <v>167.33</v>
    <v>171.04</v>
    <v>170.74</v>
    <v>170.59</v>
    <v>171.53</v>
    <v>173.33</v>
    <v>173.82</v>
    <v>172.78</v>
    <v>174.42</v>
    <v>174.72</v>
    <v>176.64</v>
    <v>176.25</v>
    <v>177.8</v>
    <v>178.84</v>
    <v>178.93</v>
    <v>179.29</v>
    <v>178.41</v>
    <v>176.49</v>
    <v>176.79</v>
    <v>175.45</v>
    <v>177.17</v>
    <v>178.06</v>
    <v>178</v>
    <v>178.76</v>
    <v>178.43</v>
    <v>178.13</v>
    <v>176.96</v>
    <v>175.79</v>
    <v>178.5</v>
    <v>178.06</v>
    <v>177.4</v>
    <v>176.46</v>
    <v>177.2</v>
    <v>174.16</v>
    <v>176.19</v>
    <v>174.21</v>
    <v>176.58</v>
    <v>176.69</v>
    <v>177.73</v>
    <v>179.71</v>
    <v>181.62</v>
    <v>185.42</v>
    <v>186.05</v>
    <v>185.98</v>
    <v>188.64</v>
    <v>188.16</v>
    <v>188.89</v>
    <v>189.69</v>
  </a>
  <a r="1" c="250">
    <v>28.05</v>
    <v>27.95</v>
    <v>27.87</v>
    <v>27.86</v>
    <v>28.2</v>
    <v>28.28</v>
    <v>27.89</v>
    <v>27.92</v>
    <v>27.47</v>
    <v>27.48</v>
    <v>27.41</v>
    <v>27.56</v>
    <v>27.42</v>
    <v>27.33</v>
    <v>27.35</v>
    <v>27.42</v>
    <v>27.47</v>
    <v>27.01</v>
    <v>27.39</v>
    <v>27.51</v>
    <v>26.87</v>
    <v>27.17</v>
    <v>27.47</v>
    <v>27.35</v>
    <v>26.97</v>
    <v>26.79</v>
    <v>26.92</v>
    <v>26.84</v>
    <v>26.9</v>
    <v>27.02</v>
    <v>26.95</v>
    <v>26.91</v>
    <v>26.94</v>
    <v>27.56</v>
    <v>27.46</v>
    <v>27.64</v>
    <v>27.87</v>
    <v>27.85</v>
    <v>27.66</v>
    <v>27.91</v>
    <v>27.97</v>
    <v>28</v>
    <v>27.8</v>
    <v>27.66</v>
    <v>27.44</v>
    <v>27.14</v>
    <v>26.92</v>
    <v>26.96</v>
    <v>27.01</v>
    <v>26.68</v>
    <v>26.28</v>
    <v>26.4</v>
    <v>26.18</v>
    <v>26.26</v>
    <v>26.26</v>
    <v>26.05</v>
    <v>26.28</v>
    <v>26.19</v>
    <v>26.2</v>
    <v>26.12</v>
    <v>26.05</v>
    <v>25.77</v>
    <v>25.81</v>
    <v>25.63</v>
    <v>25.58</v>
    <v>25.54</v>
    <v>25.97</v>
    <v>26.06</v>
    <v>26.1</v>
    <v>26.31</v>
    <v>26.2</v>
    <v>26.02</v>
    <v>26.12</v>
    <v>26.44</v>
    <v>26.38</v>
    <v>26.35</v>
    <v>26.44</v>
    <v>26.33</v>
    <v>26.38</v>
    <v>26.45</v>
    <v>26.86</v>
    <v>26.86</v>
    <v>26.7</v>
    <v>26.63</v>
    <v>26.48</v>
    <v>26.13</v>
    <v>26.53</v>
    <v>26.69</v>
    <v>26.4</v>
    <v>26.44</v>
    <v>26.52</v>
    <v>26.82</v>
    <v>26.9</v>
    <v>27.29</v>
    <v>27.44</v>
    <v>27.29</v>
    <v>27.59</v>
    <v>27.64</v>
    <v>27.35</v>
    <v>27.15</v>
    <v>27.08</v>
    <v>26.98</v>
    <v>27.25</v>
    <v>27.05</v>
    <v>26.91</v>
    <v>27.13</v>
    <v>27</v>
    <v>27.12</v>
    <v>27.16</v>
    <v>27.27</v>
    <v>27.31</v>
    <v>27.18</v>
    <v>26.91</v>
    <v>26.93</v>
    <v>26.77</v>
    <v>26.7</v>
    <v>27.04</v>
    <v>27.26</v>
    <v>27.36</v>
    <v>27.35</v>
    <v>27.52</v>
    <v>27.78</v>
    <v>27.02</v>
    <v>26.55</v>
    <v>26.62</v>
    <v>26.04</v>
    <v>26.1</v>
    <v>26.3</v>
    <v>26.39</v>
    <v>26.55</v>
    <v>26.33</v>
    <v>25.91</v>
    <v>26.05</v>
    <v>26.27</v>
    <v>26.53</v>
    <v>26.69</v>
    <v>26.84</v>
    <v>27.05</v>
    <v>26.9</v>
    <v>26.64</v>
    <v>26.4</v>
    <v>26.25</v>
    <v>26.34</v>
    <v>26.45</v>
    <v>26.17</v>
    <v>26.21</v>
    <v>25.98</v>
    <v>25.87</v>
    <v>25.72</v>
    <v>25.95</v>
    <v>26.01</v>
    <v>25.93</v>
    <v>25.76</v>
    <v>25.35</v>
    <v>25.48</v>
    <v>25.55</v>
    <v>25.86</v>
    <v>25.73</v>
    <v>25.96</v>
    <v>26.01</v>
    <v>25.7</v>
    <v>25.67</v>
    <v>26.05</v>
    <v>26.05</v>
    <v>25.73</v>
    <v>25.76</v>
    <v>25.87</v>
    <v>25.97</v>
    <v>26.26</v>
    <v>26.02</v>
    <v>25.81</v>
    <v>26.09</v>
    <v>26.11</v>
    <v>26.07</v>
    <v>26.19</v>
    <v>26.34</v>
    <v>26.35</v>
    <v>26.48</v>
    <v>26.31</v>
    <v>26.58</v>
    <v>26.51</v>
    <v>26.35</v>
    <v>26.22</v>
    <v>25.98</v>
    <v>25.94</v>
    <v>26.2</v>
    <v>26.22</v>
    <v>25.88</v>
    <v>25.85</v>
    <v>25.67</v>
    <v>25.72</v>
    <v>25.7</v>
    <v>25.77</v>
    <v>25.98</v>
    <v>26.11</v>
    <v>25.99</v>
    <v>25.94</v>
    <v>26.09</v>
    <v>25.95</v>
    <v>26.33</v>
    <v>26.19</v>
    <v>26.25</v>
    <v>26.5</v>
    <v>26.57</v>
    <v>26.63</v>
    <v>26.49</v>
    <v>26.46</v>
    <v>26.36</v>
    <v>26.39</v>
    <v>26.26</v>
    <v>26.48</v>
    <v>26.27</v>
    <v>26.11</v>
    <v>26.06</v>
    <v>26.19</v>
    <v>26.25</v>
    <v>26.13</v>
    <v>26.31</v>
    <v>26.26</v>
    <v>26.24</v>
    <v>26.23</v>
    <v>26.38</v>
    <v>26.22</v>
    <v>25.96</v>
    <v>26.21</v>
    <v>26.4</v>
    <v>26.76</v>
    <v>27.05</v>
    <v>26.92</v>
    <v>27.07</v>
    <v>27.2</v>
    <v>27.1</v>
    <v>27.17</v>
    <v>27.21</v>
    <v>27.15</v>
    <v>26.91</v>
    <v>26.87</v>
    <v>26.78</v>
    <v>26.94</v>
    <v>26.85</v>
    <v>26.83</v>
    <v>26.81</v>
    <v>27</v>
    <v>26.95</v>
    <v>26.92</v>
    <v>27</v>
    <v>26.92</v>
    <v>26.76</v>
    <v>26.9</v>
    <v>26.91</v>
  </a>
  <a r="1" c="250">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v>673.11</v>
  </a>
  <a r="1" c="250">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v>244.62</v>
  </a>
  <a r="1" c="250">
    <v>51.7</v>
    <v>52.09</v>
    <v>52.63</v>
    <v>52.57</v>
    <v>52.76</v>
    <v>53.01</v>
    <v>53.34</v>
    <v>53.9</v>
    <v>53.9</v>
    <v>54.47</v>
    <v>53.82</v>
    <v>54.21</v>
    <v>54.35</v>
    <v>54.35</v>
    <v>54.94</v>
    <v>55.23</v>
    <v>54.39</v>
    <v>54.17</v>
    <v>54.24</v>
    <v>54.36</v>
    <v>52.71</v>
    <v>53.57</v>
    <v>53.21</v>
    <v>51.96</v>
    <v>51.52</v>
    <v>51</v>
    <v>50.85</v>
    <v>50.76</v>
    <v>51.72</v>
    <v>52.18</v>
    <v>52.49</v>
    <v>52.93</v>
    <v>53.62</v>
    <v>52.04</v>
    <v>52.14</v>
    <v>52.24</v>
    <v>52.7</v>
    <v>52.25</v>
    <v>52.34</v>
    <v>52.5</v>
    <v>52.13</v>
    <v>52.15</v>
    <v>52.66</v>
    <v>53.34</v>
    <v>53.85</v>
    <v>53.1</v>
    <v>52.46</v>
    <v>52.56</v>
    <v>52.37</v>
    <v>51.37</v>
    <v>51.44</v>
    <v>51.98</v>
    <v>51.73</v>
    <v>51.84</v>
    <v>52.19</v>
    <v>51.81</v>
    <v>51.65</v>
    <v>51.99</v>
    <v>52.69</v>
    <v>52.28</v>
    <v>52.19</v>
    <v>52.5</v>
    <v>52.78</v>
    <v>53.7</v>
    <v>52.73</v>
    <v>53.03</v>
    <v>53.43</v>
    <v>53.79</v>
    <v>53.53</v>
    <v>54.34</v>
    <v>54.62</v>
    <v>54.55</v>
    <v>54.91</v>
    <v>54.32</v>
    <v>54.77</v>
    <v>54.58</v>
    <v>55.39</v>
    <v>55.48</v>
    <v>55.81</v>
    <v>56.36</v>
    <v>56.73</v>
    <v>56.57</v>
    <v>56.69</v>
    <v>57.61</v>
    <v>57.41</v>
    <v>57.48</v>
    <v>58.03</v>
    <v>57.17</v>
    <v>58.12</v>
    <v>58.16</v>
    <v>58.19</v>
    <v>58.14</v>
    <v>58.46</v>
    <v>57.69</v>
    <v>57.78</v>
    <v>56.91</v>
    <v>56.54</v>
    <v>57.27</v>
    <v>57.79</v>
    <v>57.9</v>
    <v>57.62</v>
    <v>57.65</v>
    <v>57.17</v>
    <v>57.82</v>
    <v>58.07</v>
    <v>59.08</v>
    <v>59.12</v>
    <v>59.44</v>
    <v>60.17</v>
    <v>60.4</v>
    <v>60.31</v>
    <v>59.83</v>
    <v>59.55</v>
    <v>59.83</v>
    <v>59.78</v>
    <v>60.56</v>
    <v>61.03</v>
    <v>61.89</v>
    <v>61.79</v>
    <v>61.87</v>
    <v>61.54</v>
    <v>60.15</v>
    <v>58.96</v>
    <v>59.11</v>
    <v>61.26</v>
    <v>62.8</v>
    <v>64.010000000000005</v>
    <v>63.63</v>
    <v>64</v>
    <v>66.08</v>
    <v>65.78</v>
    <v>67.819999999999993</v>
    <v>66.849999999999994</v>
    <v>65.260000000000005</v>
    <v>66.19</v>
    <v>65.44</v>
    <v>66.38</v>
    <v>65.77</v>
    <v>65.260000000000005</v>
    <v>63.92</v>
    <v>64.05</v>
    <v>65.92</v>
    <v>67.81</v>
    <v>66.8</v>
    <v>65.48</v>
    <v>65.930000000000007</v>
    <v>64.069999999999993</v>
    <v>64.34</v>
    <v>63</v>
    <v>64</v>
    <v>63.24</v>
    <v>64.02</v>
    <v>65.239999999999995</v>
    <v>65.72</v>
    <v>65.150000000000006</v>
    <v>66.569999999999993</v>
    <v>65.45</v>
    <v>65.31</v>
    <v>65.67</v>
    <v>65.239999999999995</v>
    <v>66.98</v>
    <v>66.400000000000006</v>
    <v>66.819999999999993</v>
    <v>66.48</v>
    <v>65.59</v>
    <v>65.900000000000006</v>
    <v>65.930000000000007</v>
    <v>66.27</v>
    <v>67.099999999999994</v>
    <v>67.97</v>
    <v>67.02</v>
    <v>67.05</v>
    <v>66.69</v>
    <v>66.66</v>
    <v>66.86</v>
    <v>65.819999999999993</v>
    <v>66.03</v>
    <v>65.959999999999994</v>
    <v>64.77</v>
    <v>65.52</v>
    <v>66.09</v>
    <v>66.47</v>
    <v>66.040000000000006</v>
    <v>66.09</v>
    <v>65.400000000000006</v>
    <v>65.650000000000006</v>
    <v>65.83</v>
    <v>66.48</v>
    <v>66.23</v>
    <v>65.95</v>
    <v>66.28</v>
    <v>66.11</v>
    <v>66.31</v>
    <v>67.31</v>
    <v>67.959999999999994</v>
    <v>67.13</v>
    <v>66.72</v>
    <v>66.09</v>
    <v>65.69</v>
    <v>65.849999999999994</v>
    <v>64.73</v>
    <v>65.150000000000006</v>
    <v>66.459999999999994</v>
    <v>66.849999999999994</v>
    <v>66.91</v>
    <v>66.77</v>
    <v>67.3</v>
    <v>67.3</v>
    <v>66.37</v>
    <v>66.27</v>
    <v>66.489999999999995</v>
    <v>66.08</v>
    <v>66.13</v>
    <v>66.010000000000005</v>
    <v>65.650000000000006</v>
    <v>66.319999999999993</v>
    <v>66.099999999999994</v>
    <v>66.790000000000006</v>
    <v>66.64</v>
    <v>67.12</v>
    <v>67.25</v>
    <v>67.739999999999995</v>
    <v>68.400000000000006</v>
    <v>70.05</v>
    <v>70.58</v>
    <v>70.27</v>
    <v>71.180000000000007</v>
    <v>72.010000000000005</v>
    <v>71.87</v>
    <v>72.12</v>
    <v>72</v>
    <v>72.16</v>
    <v>72.89</v>
    <v>73.069999999999993</v>
    <v>72.489999999999995</v>
    <v>72.2</v>
    <v>72.95</v>
    <v>74.209999999999994</v>
    <v>74.540000000000006</v>
    <v>73.849999999999994</v>
    <v>74.17</v>
    <v>74.59</v>
    <v>75.819999999999993</v>
    <v>76.45</v>
    <v>76.56</v>
    <v>76.319999999999993</v>
    <v>76.92</v>
    <v>78.39</v>
    <v>78.819999999999993</v>
    <v>80.09</v>
  </a>
  <a r="1" c="250">
    <v>172.54</v>
    <v>172.99</v>
    <v>174.81</v>
    <v>176.1</v>
    <v>175.9</v>
    <v>174.48</v>
    <v>174.67</v>
    <v>175.06</v>
    <v>175.01</v>
    <v>174.37</v>
    <v>172.95</v>
    <v>172.16</v>
    <v>171.79</v>
    <v>169.84</v>
    <v>167.5</v>
    <v>166.21</v>
    <v>166.08</v>
    <v>165.59</v>
    <v>166.34</v>
    <v>167.85</v>
    <v>164.71</v>
    <v>164</v>
    <v>165.11</v>
    <v>164.26</v>
    <v>164.34</v>
    <v>164.74</v>
    <v>165.15</v>
    <v>158.62</v>
    <v>158.33000000000001</v>
    <v>156.72</v>
    <v>158.74</v>
    <v>160.34</v>
    <v>162</v>
    <v>163.05000000000001</v>
    <v>162.16</v>
    <v>162.72</v>
    <v>163.44999999999999</v>
    <v>163.05000000000001</v>
    <v>161.69999999999999</v>
    <v>160.18</v>
    <v>160.49</v>
    <v>157.79</v>
    <v>159.47</v>
    <v>159.84</v>
    <v>156.77000000000001</v>
    <v>158.9</v>
    <v>157.97</v>
    <v>156.02000000000001</v>
    <v>156.13999999999999</v>
    <v>154.43</v>
    <v>151.47</v>
    <v>152.79</v>
    <v>151.29</v>
    <v>152.81</v>
    <v>152.44</v>
    <v>152.88999999999999</v>
    <v>151.72</v>
    <v>152.06</v>
    <v>150.21</v>
    <v>149.65</v>
    <v>146.27000000000001</v>
    <v>145.4</v>
    <v>146.54</v>
    <v>142.63999999999999</v>
    <v>144.5</v>
    <v>144.94999999999999</v>
    <v>144.78</v>
    <v>146.54</v>
    <v>148.25</v>
    <v>148.55000000000001</v>
    <v>148.09</v>
    <v>148.62</v>
    <v>149.12</v>
    <v>154.61000000000001</v>
    <v>150.25</v>
    <v>150.37</v>
    <v>151.9</v>
    <v>150.69</v>
    <v>150.27000000000001</v>
    <v>143.49</v>
    <v>145.66</v>
    <v>145.35</v>
    <v>144.58000000000001</v>
    <v>144.35</v>
    <v>145.63999999999999</v>
    <v>143.99</v>
    <v>144.58000000000001</v>
    <v>143.38999999999999</v>
    <v>144.1</v>
    <v>145.81</v>
    <v>149.1</v>
    <v>153.5</v>
    <v>153.85</v>
    <v>156.41999999999999</v>
    <v>151.51</v>
    <v>152.02000000000001</v>
    <v>153.47</v>
    <v>155.99</v>
    <v>154.19</v>
    <v>153.88</v>
    <v>154.61000000000001</v>
    <v>154.44</v>
    <v>156.25</v>
    <v>152.33000000000001</v>
    <v>148.16999999999999</v>
    <v>148.34</v>
    <v>148.59</v>
    <v>151.34</v>
    <v>148.99</v>
    <v>148.11000000000001</v>
    <v>147.15</v>
    <v>145.44999999999999</v>
    <v>146.44999999999999</v>
    <v>145.54</v>
    <v>148.63999999999999</v>
    <v>149.66999999999999</v>
    <v>149.27000000000001</v>
    <v>149.94</v>
    <v>149.66999999999999</v>
    <v>149.12</v>
    <v>151.37</v>
    <v>146.61000000000001</v>
    <v>143.19</v>
    <v>140.30000000000001</v>
    <v>145.59</v>
    <v>144.13999999999999</v>
    <v>144.43</v>
    <v>146.75</v>
    <v>142.84</v>
    <v>140.09</v>
    <v>142.84</v>
    <v>141.72999999999999</v>
    <v>143.46</v>
    <v>142.26</v>
    <v>135.31</v>
    <v>133.38</v>
    <v>133.76</v>
    <v>134.31</v>
    <v>135.58000000000001</v>
    <v>133.55000000000001</v>
    <v>133.75</v>
    <v>131.99</v>
    <v>130.74</v>
    <v>131.91499999999999</v>
    <v>131.43</v>
    <v>130.44</v>
    <v>131.68</v>
    <v>130.31</v>
    <v>128.44999999999999</v>
    <v>131.5</v>
    <v>131.97999999999999</v>
    <v>131.79</v>
    <v>131.80000000000001</v>
    <v>130.15</v>
    <v>130.12</v>
    <v>129.34</v>
    <v>131.37</v>
    <v>130.66999999999999</v>
    <v>131.91999999999999</v>
    <v>131.44999999999999</v>
    <v>130.91</v>
    <v>131.85</v>
    <v>131.74</v>
    <v>131.11000000000001</v>
    <v>130.03</v>
    <v>129.96</v>
    <v>131.83000000000001</v>
    <v>129.9</v>
    <v>132.30000000000001</v>
    <v>130.85</v>
    <v>131.41</v>
    <v>129.29</v>
    <v>129.07</v>
    <v>129.07</v>
    <v>129.09</v>
    <v>131.05000000000001</v>
    <v>128.02000000000001</v>
    <v>128.22</v>
    <v>131.04</v>
    <v>132.04</v>
    <v>135.26</v>
    <v>136.47999999999999</v>
    <v>135.38</v>
    <v>134.44999999999999</v>
    <v>135.04</v>
    <v>134.47999999999999</v>
    <v>136.08000000000001</v>
    <v>135.26</v>
    <v>135.57</v>
    <v>133.81</v>
    <v>135.35</v>
    <v>145.44</v>
    <v>143.24</v>
    <v>141.69999999999999</v>
    <v>146.04</v>
    <v>145.66</v>
    <v>144.51</v>
    <v>143.44999999999999</v>
    <v>141.57</v>
    <v>143.88999999999999</v>
    <v>142.86000000000001</v>
    <v>137.91999999999999</v>
    <v>139.28</v>
    <v>139.56</v>
    <v>139.44999999999999</v>
    <v>140.80000000000001</v>
    <v>143.91999999999999</v>
    <v>145.21</v>
    <v>144.87</v>
    <v>146.87</v>
    <v>149.35</v>
    <v>148.62</v>
    <v>150.4</v>
    <v>149.55000000000001</v>
    <v>152.16</v>
    <v>150.72999999999999</v>
    <v>148.97999999999999</v>
    <v>149.63999999999999</v>
    <v>148.19999999999999</v>
    <v>147</v>
    <v>147.63999999999999</v>
    <v>146.97999999999999</v>
    <v>148.65</v>
    <v>150.28</v>
    <v>148.63999999999999</v>
    <v>146.88999999999999</v>
    <v>146.38999999999999</v>
    <v>141.71</v>
    <v>143.1</v>
    <v>142.66</v>
    <v>144.22999999999999</v>
    <v>143.53</v>
    <v>140.63999999999999</v>
    <v>140.03</v>
    <v>141.22999999999999</v>
    <v>140.72999999999999</v>
    <v>141.76</v>
    <v>141.03</v>
    <v>141.9</v>
    <v>142.16999999999999</v>
    <v>139.91999999999999</v>
    <v>140.44</v>
    <v>140.16999999999999</v>
    <v>140.44</v>
    <v>143.13999999999999</v>
    <v>142.31</v>
    <v>141.97999999999999</v>
    <v>139.69999999999999</v>
    <v>140.79</v>
    <v>138.84</v>
  </a>
  <a r="1" c="250">
    <v>303.83</v>
    <v>304.04000000000002</v>
    <v>305.04000000000002</v>
    <v>309.83999999999997</v>
    <v>313.33999999999997</v>
    <v>312.92</v>
    <v>314.7</v>
    <v>316.56</v>
    <v>314.89</v>
    <v>314.69</v>
    <v>298.57</v>
    <v>301.58</v>
    <v>292.61</v>
    <v>296.79000000000002</v>
    <v>295</v>
    <v>291.52</v>
    <v>292.11</v>
    <v>295.20999999999998</v>
    <v>292.85000000000002</v>
    <v>297.32</v>
    <v>294</v>
    <v>294.66000000000003</v>
    <v>298.97000000000003</v>
    <v>301.52999999999997</v>
    <v>298.64999999999998</v>
    <v>297.35000000000002</v>
    <v>298.56</v>
    <v>292.63</v>
    <v>291.10000000000002</v>
    <v>290.73</v>
    <v>290.91000000000003</v>
    <v>288.47000000000003</v>
    <v>290.27999999999997</v>
    <v>296.19</v>
    <v>296.33</v>
    <v>295.08</v>
    <v>296.01</v>
    <v>292.44</v>
    <v>294.5</v>
    <v>295.08999999999997</v>
    <v>299.47000000000003</v>
    <v>298.98</v>
    <v>301.37</v>
    <v>300.70999999999998</v>
    <v>296.10000000000002</v>
    <v>296.63</v>
    <v>296.60000000000002</v>
    <v>297.70999999999998</v>
    <v>296.08</v>
    <v>290.88</v>
    <v>290.23</v>
    <v>292.68</v>
    <v>291.29000000000002</v>
    <v>293.99</v>
    <v>294.8</v>
    <v>293.62</v>
    <v>289.60000000000002</v>
    <v>289.89</v>
    <v>292.51</v>
    <v>294.77999999999997</v>
    <v>292.18</v>
    <v>289.33999999999997</v>
    <v>286.89999999999998</v>
    <v>282.31</v>
    <v>283.63</v>
    <v>281.58</v>
    <v>282.3</v>
    <v>279.74</v>
    <v>280.95</v>
    <v>282.61</v>
    <v>281.35000000000002</v>
    <v>284.43</v>
    <v>285.45999999999998</v>
    <v>293.08999999999997</v>
    <v>291.14999999999998</v>
    <v>290.11</v>
    <v>290.32</v>
    <v>288.7</v>
    <v>290.05</v>
    <v>289.77</v>
    <v>288.83</v>
    <v>294.36</v>
    <v>294.3</v>
    <v>308.42</v>
    <v>310.20999999999998</v>
    <v>307.60000000000002</v>
    <v>310.02</v>
    <v>308.55</v>
    <v>304.83</v>
    <v>301.94</v>
    <v>303.05</v>
    <v>304.81</v>
    <v>307.57</v>
    <v>310.72000000000003</v>
    <v>304.27</v>
    <v>309.95</v>
    <v>308.33</v>
    <v>304.29000000000002</v>
    <v>305.77</v>
    <v>307.45</v>
    <v>310.37</v>
    <v>321.29000000000002</v>
    <v>317.25</v>
    <v>306.76</v>
    <v>299.39999999999998</v>
    <v>297.5</v>
    <v>299.83</v>
    <v>303.97000000000003</v>
    <v>303.60000000000002</v>
    <v>306.92</v>
    <v>307</v>
    <v>305.44</v>
    <v>305.67</v>
    <v>306.92</v>
    <v>313.58</v>
    <v>312.69</v>
    <v>307.08999999999997</v>
    <v>312.37</v>
    <v>313.63</v>
    <v>311.58</v>
    <v>318.27</v>
    <v>300.11</v>
    <v>299.89</v>
    <v>299.83</v>
    <v>303.95999999999998</v>
    <v>306.77999999999997</v>
    <v>309.89999999999998</v>
    <v>316.07</v>
    <v>312.48</v>
    <v>309.10000000000002</v>
    <v>311.3</v>
    <v>308.72000000000003</v>
    <v>319.08</v>
    <v>318.48</v>
    <v>316.22000000000003</v>
    <v>316.74</v>
    <v>316.81</v>
    <v>314.5</v>
    <v>319.64999999999998</v>
    <v>313.64</v>
    <v>311.95999999999998</v>
    <v>315.72000000000003</v>
    <v>316.79000000000002</v>
    <v>318.13</v>
    <v>313.49</v>
    <v>313.68</v>
    <v>311.92</v>
    <v>308.69</v>
    <v>307.5</v>
    <v>314.48</v>
    <v>318.61</v>
    <v>321.23</v>
    <v>319.8</v>
    <v>316.44</v>
    <v>314.31</v>
    <v>314.57</v>
    <v>314.95</v>
    <v>312.83999999999997</v>
    <v>311.86</v>
    <v>313.85000000000002</v>
    <v>312.68</v>
    <v>312.39</v>
    <v>311.57</v>
    <v>308.98</v>
    <v>307.36</v>
    <v>304.77999999999997</v>
    <v>300.43</v>
    <v>301.72000000000003</v>
    <v>303.16000000000003</v>
    <v>301.91000000000003</v>
    <v>296.29000000000002</v>
    <v>292.31</v>
    <v>289.63</v>
    <v>287.45999999999998</v>
    <v>289.52</v>
    <v>291.47000000000003</v>
    <v>285.55</v>
    <v>285.63</v>
    <v>291.55</v>
    <v>292.17</v>
    <v>297.49</v>
    <v>294.63</v>
    <v>294.08</v>
    <v>293.52999999999997</v>
    <v>291.67</v>
    <v>293.02</v>
    <v>298.39</v>
    <v>299.91000000000003</v>
    <v>301.88</v>
    <v>299.62</v>
    <v>298.89999999999998</v>
    <v>300.37</v>
    <v>297.07</v>
    <v>295.74</v>
    <v>299.17</v>
    <v>298.12</v>
    <v>294.48</v>
    <v>298.47000000000003</v>
    <v>299.22000000000003</v>
    <v>302.67</v>
    <v>303.61</v>
    <v>300.07</v>
    <v>302.89</v>
    <v>304.23</v>
    <v>298.77</v>
    <v>307.66000000000003</v>
    <v>307.91000000000003</v>
    <v>305.45</v>
    <v>304.36</v>
    <v>301.64</v>
    <v>305.07</v>
    <v>308.95</v>
    <v>308.93</v>
    <v>308.7</v>
    <v>310.93</v>
    <v>313.08</v>
    <v>313.22000000000003</v>
    <v>314.07</v>
    <v>313.44</v>
    <v>312.94</v>
    <v>311.43</v>
    <v>312.22000000000003</v>
    <v>313.54000000000002</v>
    <v>315.76</v>
    <v>316.39</v>
    <v>316.99</v>
    <v>314.38</v>
    <v>312.8</v>
    <v>312.52</v>
    <v>305.94</v>
    <v>308.43</v>
    <v>305.39999999999998</v>
    <v>302.07</v>
    <v>303.29000000000002</v>
    <v>304.97000000000003</v>
    <v>301.14</v>
    <v>302.38</v>
    <v>302.99</v>
    <v>303.19</v>
    <v>304.33</v>
    <v>302.3</v>
    <v>305.24</v>
    <v>302.99</v>
    <v>303.89</v>
    <v>300.52</v>
    <v>299.88</v>
    <v>300.98</v>
    <v>296.04000000000002</v>
    <v>296.32</v>
    <v>294.39999999999998</v>
  </a>
  <a r="1" c="250">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v>524.85</v>
  </a>
  <a r="1" c="250">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v>258.06</v>
  </a>
  <a r="1" c="250">
    <v>95.71</v>
    <v>96.73</v>
    <v>97.1</v>
    <v>96.03</v>
    <v>92.63</v>
    <v>92.98</v>
    <v>93.82</v>
    <v>93.38</v>
    <v>92.77</v>
    <v>92.84</v>
    <v>92</v>
    <v>92.28</v>
    <v>92.28</v>
    <v>91.25</v>
    <v>89.87</v>
    <v>90.61</v>
    <v>91.38</v>
    <v>90.24</v>
    <v>91.79</v>
    <v>92.4</v>
    <v>96.86</v>
    <v>95.97</v>
    <v>97.01</v>
    <v>98.1</v>
    <v>97.35</v>
    <v>98.13</v>
    <v>98.64</v>
    <v>97.96</v>
    <v>99.73</v>
    <v>99.08</v>
    <v>100.36</v>
    <v>100.87260000000001</v>
    <v>101.83</v>
    <v>99.17</v>
    <v>98.93</v>
    <v>99.03</v>
    <v>99.44</v>
    <v>98.15</v>
    <v>98.2</v>
    <v>95.4</v>
    <v>95.36</v>
    <v>93.66</v>
    <v>94.21</v>
    <v>93.29</v>
    <v>93.98</v>
    <v>92.96</v>
    <v>92.54</v>
    <v>90.23</v>
    <v>88.94</v>
    <v>86.12</v>
    <v>85.22</v>
    <v>85.62</v>
    <v>86.48</v>
    <v>87.47</v>
    <v>87.31</v>
    <v>87.39</v>
    <v>88.35</v>
    <v>89.63</v>
    <v>91.15</v>
    <v>91.93</v>
    <v>91.57</v>
    <v>92.76</v>
    <v>93.39</v>
    <v>94.2</v>
    <v>96.2</v>
    <v>97.06</v>
    <v>98.66</v>
    <v>99.13</v>
    <v>99.12</v>
    <v>98.15</v>
    <v>97.16</v>
    <v>97.79</v>
    <v>96.46</v>
    <v>95.12</v>
    <v>94.37</v>
    <v>94.91</v>
    <v>94.62</v>
    <v>92.37</v>
    <v>92.66</v>
    <v>94.93</v>
    <v>94.83</v>
    <v>93.03</v>
    <v>92.39</v>
    <v>95.16</v>
    <v>96.39</v>
    <v>93.32</v>
    <v>93.62</v>
    <v>94.3</v>
    <v>95.48</v>
    <v>96.9</v>
    <v>97.51</v>
    <v>94.44</v>
    <v>94.31</v>
    <v>92.56</v>
    <v>91.86</v>
    <v>91.78</v>
    <v>92.91</v>
    <v>88.69</v>
    <v>88.02</v>
    <v>86.68</v>
    <v>86.02</v>
    <v>87.64</v>
    <v>88.11</v>
    <v>88.63</v>
    <v>89.63</v>
    <v>88.3</v>
    <v>91.04</v>
    <v>92.52</v>
    <v>92.52</v>
    <v>94.23</v>
    <v>94.43</v>
    <v>93.29</v>
    <v>94.51</v>
    <v>94.59</v>
    <v>95.06</v>
    <v>93.97</v>
    <v>93.24</v>
    <v>94.58</v>
    <v>95.18</v>
    <v>95.92</v>
    <v>86.15</v>
    <v>77.599999999999994</v>
    <v>77.53</v>
    <v>74.87</v>
    <v>82.58</v>
    <v>76.28</v>
    <v>78.53</v>
    <v>78.56</v>
    <v>78.13</v>
    <v>79.19</v>
    <v>81.23</v>
    <v>79.040000000000006</v>
    <v>81.2</v>
    <v>81.680000000000007</v>
    <v>82.77</v>
    <v>83.02</v>
    <v>84.01</v>
    <v>83.42</v>
    <v>81.19</v>
    <v>82.32</v>
    <v>83.78</v>
    <v>82.45</v>
    <v>82.17</v>
    <v>82.19</v>
    <v>84.01</v>
    <v>85.1</v>
    <v>88.1</v>
    <v>90.65</v>
    <v>90.06</v>
    <v>89.93</v>
    <v>89.75</v>
    <v>88.71</v>
    <v>88.22</v>
    <v>86.11</v>
    <v>85.72</v>
    <v>85.64</v>
    <v>86.51</v>
    <v>85.27</v>
    <v>85.77</v>
    <v>84.77</v>
    <v>85.97</v>
    <v>87.44</v>
    <v>85.41</v>
    <v>85.18</v>
    <v>87.04</v>
    <v>87.46</v>
    <v>88.98</v>
    <v>90.49</v>
    <v>91.17</v>
    <v>93.36</v>
    <v>92.51</v>
    <v>93.48</v>
    <v>92.69</v>
    <v>93.39</v>
    <v>90.51</v>
    <v>89.72</v>
    <v>88.72</v>
    <v>89.79</v>
    <v>89.31</v>
    <v>88.6</v>
    <v>89.58</v>
    <v>91.23</v>
    <v>91.14</v>
    <v>90.1</v>
    <v>92.67</v>
    <v>91.92</v>
    <v>92.85</v>
    <v>93.01</v>
    <v>92.14</v>
    <v>90.49</v>
    <v>89.27</v>
    <v>90.48</v>
    <v>90.52</v>
    <v>88.68</v>
    <v>89.54</v>
    <v>90.24</v>
    <v>90.17</v>
    <v>89.71</v>
    <v>91.6</v>
    <v>92.43</v>
    <v>91.11</v>
    <v>90.29</v>
    <v>87.51</v>
    <v>87.9</v>
    <v>88.43</v>
    <v>87.47</v>
    <v>86.63</v>
    <v>86.99</v>
    <v>86.38</v>
    <v>87.16</v>
    <v>88.31</v>
    <v>88.5</v>
    <v>88.28</v>
    <v>87.42</v>
    <v>87.34</v>
    <v>88.2</v>
    <v>88.35</v>
    <v>90.89</v>
    <v>91.63</v>
    <v>91.47</v>
    <v>92.55</v>
    <v>93.5</v>
    <v>93.75</v>
    <v>94.5</v>
    <v>91.71</v>
    <v>92.58</v>
    <v>90.97</v>
    <v>90.26</v>
    <v>90.66</v>
    <v>92.2</v>
    <v>92.02</v>
    <v>91.03</v>
    <v>90.49</v>
    <v>92.07</v>
    <v>92.01</v>
    <v>91.56</v>
    <v>90.05</v>
    <v>90.41</v>
    <v>92.19</v>
    <v>93.86</v>
    <v>94.72</v>
    <v>95.74</v>
    <v>93.49</v>
    <v>92.6</v>
    <v>93.5</v>
    <v>92.1</v>
    <v>92.54</v>
    <v>93.26</v>
    <v>93.12</v>
    <v>92.69</v>
  </a>
  <a r="1" c="250">
    <v>213.42</v>
    <v>212.84</v>
    <v>222.29</v>
    <v>221.48</v>
    <v>222.39</v>
    <v>223.64</v>
    <v>224.42</v>
    <v>225.37</v>
    <v>223</v>
    <v>224.12</v>
    <v>223.41</v>
    <v>224.98</v>
    <v>222.31</v>
    <v>225.5</v>
    <v>222.9</v>
    <v>224.41</v>
    <v>221.92</v>
    <v>222.94</v>
    <v>219.78</v>
    <v>221.49</v>
    <v>247.06</v>
    <v>236.38</v>
    <v>236.98</v>
    <v>239.29</v>
    <v>239.56</v>
    <v>241.16</v>
    <v>241.87</v>
    <v>245.31</v>
    <v>245.03</v>
    <v>243.09</v>
    <v>240.78</v>
    <v>244.76</v>
    <v>248.55</v>
    <v>250.29</v>
    <v>249.97</v>
    <v>249.79</v>
    <v>249.72</v>
    <v>246.25</v>
    <v>244.82</v>
    <v>243.4</v>
    <v>245.48</v>
    <v>247.36</v>
    <v>243.81</v>
    <v>242.86</v>
    <v>243.53</v>
    <v>241.53</v>
    <v>239.94</v>
    <v>239.58</v>
    <v>238.36</v>
    <v>230.37</v>
    <v>232.96</v>
    <v>237.6</v>
    <v>238.39</v>
    <v>242.31</v>
    <v>243.14</v>
    <v>241.17</v>
    <v>239.32</v>
    <v>239.71</v>
    <v>240</v>
    <v>243.28</v>
    <v>240.85</v>
    <v>243.17</v>
    <v>243.13</v>
    <v>239.87</v>
    <v>244.21</v>
    <v>247.47</v>
    <v>252.35</v>
    <v>254.27</v>
    <v>259.16000000000003</v>
    <v>263.02999999999997</v>
    <v>262.83999999999997</v>
    <v>265.95</v>
    <v>264.83999999999997</v>
    <v>265.85000000000002</v>
    <v>267.14</v>
    <v>266.58</v>
    <v>268.23</v>
    <v>267.3</v>
    <v>266.81</v>
    <v>267.94</v>
    <v>270.43</v>
    <v>276.89999999999998</v>
    <v>275.8</v>
    <v>271.04000000000002</v>
    <v>274.99</v>
    <v>275.45</v>
    <v>276.32</v>
    <v>276.58999999999997</v>
    <v>279.95</v>
    <v>279.25</v>
    <v>266.8</v>
    <v>264.24</v>
    <v>261.33999999999997</v>
    <v>257.39999999999998</v>
    <v>258.79000000000002</v>
    <v>259.05</v>
    <v>264.64999999999998</v>
    <v>260.62</v>
    <v>250.25</v>
    <v>251.53</v>
    <v>246.54</v>
    <v>242.28</v>
    <v>232.22</v>
    <v>229.14</v>
    <v>227.9</v>
    <v>225.19</v>
    <v>232.44</v>
    <v>233.93</v>
    <v>234.97</v>
    <v>239.11</v>
    <v>239.01</v>
    <v>241.63</v>
    <v>248.06</v>
    <v>251.13</v>
    <v>251.03</v>
    <v>248.12</v>
    <v>242.85</v>
    <v>245.3</v>
    <v>243.66</v>
    <v>245.82</v>
    <v>228.69</v>
    <v>210.28</v>
    <v>214.44</v>
    <v>216.87</v>
    <v>234.34</v>
    <v>227.11</v>
    <v>236.2</v>
    <v>234.72</v>
    <v>233.13</v>
    <v>229.61</v>
    <v>231.96</v>
    <v>228.99</v>
    <v>235.59</v>
    <v>240.88</v>
    <v>244.64</v>
    <v>243.55</v>
    <v>243.22</v>
    <v>244.62</v>
    <v>244.62</v>
    <v>246.89</v>
    <v>252.51</v>
    <v>252.56</v>
    <v>249.25</v>
    <v>249.39</v>
    <v>253.47</v>
    <v>253.08</v>
    <v>260.05</v>
    <v>263.01</v>
    <v>265.64</v>
    <v>267.49</v>
    <v>267.56</v>
    <v>264.88</v>
    <v>265.68</v>
    <v>261.04000000000002</v>
    <v>260.67</v>
    <v>260.70999999999998</v>
    <v>265.29000000000002</v>
    <v>263.49</v>
    <v>264.37</v>
    <v>264</v>
    <v>264.66000000000003</v>
    <v>266.27</v>
    <v>264.22000000000003</v>
    <v>261.95</v>
    <v>265.73</v>
    <v>266.74</v>
    <v>268.60000000000002</v>
    <v>268.14999999999998</v>
    <v>268.24</v>
    <v>264.95</v>
    <v>270.36</v>
    <v>269.52</v>
    <v>273.95999999999998</v>
    <v>275</v>
    <v>278.27</v>
    <v>281.26</v>
    <v>284.06</v>
    <v>288.75</v>
    <v>287.11</v>
    <v>289.91000000000003</v>
    <v>290.41000000000003</v>
    <v>292</v>
    <v>296</v>
    <v>291.97000000000003</v>
    <v>282.77999999999997</v>
    <v>283.16000000000003</v>
    <v>288.19</v>
    <v>286.86</v>
    <v>288.7</v>
    <v>286.55</v>
    <v>285.82</v>
    <v>289.89999999999998</v>
    <v>291.27</v>
    <v>290.97000000000003</v>
    <v>291.43</v>
    <v>296.76</v>
    <v>296.55</v>
    <v>298.62</v>
    <v>298.27999999999997</v>
    <v>297.04000000000002</v>
    <v>299.63</v>
    <v>296.24</v>
    <v>289.37</v>
    <v>294.26</v>
    <v>291.37</v>
    <v>291.35000000000002</v>
    <v>286.94</v>
    <v>288.76</v>
    <v>289.56</v>
    <v>292.85000000000002</v>
    <v>290.52999999999997</v>
    <v>294.16000000000003</v>
    <v>290.49</v>
    <v>291.52999999999997</v>
    <v>290.66000000000003</v>
    <v>292.24</v>
    <v>291.47000000000003</v>
    <v>296.24</v>
    <v>294.89999999999998</v>
    <v>298.57</v>
    <v>299.27999999999997</v>
    <v>301.07</v>
    <v>301.42</v>
    <v>299.7</v>
    <v>299.51</v>
    <v>303.82</v>
    <v>294.38</v>
    <v>292.91000000000003</v>
    <v>297.85000000000002</v>
    <v>300.54000000000002</v>
    <v>305.56</v>
    <v>306.91000000000003</v>
    <v>308.89999999999998</v>
    <v>309.19</v>
    <v>311.75</v>
    <v>313.23</v>
    <v>314.77999999999997</v>
    <v>312.44</v>
    <v>312.74</v>
    <v>313.42</v>
    <v>313.45</v>
    <v>316.06</v>
    <v>315.69</v>
    <v>315.43</v>
    <v>310.70999999999998</v>
    <v>307.55</v>
    <v>310.02999999999997</v>
    <v>309.18</v>
    <v>307.69</v>
    <v>304.02999999999997</v>
  </a>
  <a r="1" c="250">
    <v>58.49</v>
    <v>58.55</v>
    <v>58.6</v>
    <v>58.55</v>
    <v>58.58</v>
    <v>58.62</v>
    <v>58.58</v>
    <v>58.63</v>
    <v>58.55</v>
    <v>58.53</v>
    <v>58.5</v>
    <v>58.51</v>
    <v>58.51</v>
    <v>58.49</v>
    <v>58.51</v>
    <v>58.45</v>
    <v>58.48</v>
    <v>58.23</v>
    <v>58.28</v>
    <v>58.25</v>
    <v>58.17</v>
    <v>58.27</v>
    <v>58.24</v>
    <v>58.2</v>
    <v>58.14</v>
    <v>58.23</v>
    <v>58.15</v>
    <v>58.22</v>
    <v>58.25</v>
    <v>58.26</v>
    <v>58.24</v>
    <v>58.21</v>
    <v>58.21</v>
    <v>58.31</v>
    <v>58.31</v>
    <v>58.37</v>
    <v>58.44</v>
    <v>58.24</v>
    <v>58.24</v>
    <v>58.3</v>
    <v>58.28</v>
    <v>58.36</v>
    <v>58.34</v>
    <v>58.33</v>
    <v>58.33</v>
    <v>58.3</v>
    <v>58.26</v>
    <v>58.28</v>
    <v>58.28</v>
    <v>58.18</v>
    <v>58.21</v>
    <v>58.24</v>
    <v>58.21</v>
    <v>58.02</v>
    <v>58.045000000000002</v>
    <v>58.07</v>
    <v>58.15</v>
    <v>58.18</v>
    <v>58.17</v>
    <v>58.16</v>
    <v>58.18</v>
    <v>58.14</v>
    <v>58.18</v>
    <v>58.09</v>
    <v>58.07</v>
    <v>58.1</v>
    <v>58.23</v>
    <v>58.27</v>
    <v>58.26</v>
    <v>58.27</v>
    <v>58.26</v>
    <v>58.27</v>
    <v>58.31</v>
    <v>58.39</v>
    <v>58.39</v>
    <v>58.36</v>
    <v>58.4</v>
    <v>58.41</v>
    <v>58.17</v>
    <v>58.22</v>
    <v>58.26</v>
    <v>58.23</v>
    <v>58.18</v>
    <v>58.18</v>
    <v>58.19</v>
    <v>58.11</v>
    <v>58.18</v>
    <v>58.26</v>
    <v>58.23</v>
    <v>58.25</v>
    <v>58.27</v>
    <v>58.37</v>
    <v>58.39</v>
    <v>58.48</v>
    <v>58.52</v>
    <v>58.53</v>
    <v>58.63</v>
    <v>58.48</v>
    <v>58.49</v>
    <v>58.43</v>
    <v>58.47</v>
    <v>58.46</v>
    <v>58.57</v>
    <v>58.52</v>
    <v>58.48</v>
    <v>58.53</v>
    <v>58.48</v>
    <v>58.46</v>
    <v>58.48</v>
    <v>58.54</v>
    <v>58.57</v>
    <v>58.61</v>
    <v>58.51</v>
    <v>58.55</v>
    <v>58.54</v>
    <v>58.56</v>
    <v>58.68</v>
    <v>58.69</v>
    <v>58.51</v>
    <v>58.48</v>
    <v>58.71</v>
    <v>58.75</v>
    <v>58.7</v>
    <v>58.71</v>
    <v>58.56</v>
    <v>58.6</v>
    <v>58.49</v>
    <v>58.6</v>
    <v>58.62</v>
    <v>58.7</v>
    <v>58.71</v>
    <v>58.74</v>
    <v>58.7</v>
    <v>58.655000000000001</v>
    <v>58.73</v>
    <v>58.78</v>
    <v>58.86</v>
    <v>58.89</v>
    <v>58.98</v>
    <v>58.66</v>
    <v>58.54</v>
    <v>58.55</v>
    <v>58.6</v>
    <v>58.62</v>
    <v>58.51</v>
    <v>58.52</v>
    <v>58.41</v>
    <v>58.41</v>
    <v>58.35</v>
    <v>58.47</v>
    <v>58.45</v>
    <v>58.49</v>
    <v>58.5</v>
    <v>58.47</v>
    <v>58.48</v>
    <v>58.53</v>
    <v>58.54</v>
    <v>58.51</v>
    <v>58.56</v>
    <v>58.64</v>
    <v>58.39</v>
    <v>58.38</v>
    <v>58.48</v>
    <v>58.42</v>
    <v>58.32</v>
    <v>58.36</v>
    <v>58.37</v>
    <v>58.44</v>
    <v>58.5</v>
    <v>58.47</v>
    <v>58.45</v>
    <v>58.49</v>
    <v>58.5</v>
    <v>58.56</v>
    <v>58.62</v>
    <v>58.68</v>
    <v>58.7</v>
    <v>58.75</v>
    <v>58.75</v>
    <v>58.78</v>
    <v>58.53</v>
    <v>58.53</v>
    <v>58.45</v>
    <v>58.44</v>
    <v>58.44</v>
    <v>58.49</v>
    <v>58.49</v>
    <v>58.49</v>
    <v>58.484999999999999</v>
    <v>58.43</v>
    <v>58.52</v>
    <v>58.49</v>
    <v>58.55</v>
    <v>58.58</v>
    <v>58.61</v>
    <v>58.57</v>
    <v>58.54</v>
    <v>58.56</v>
    <v>58.55</v>
    <v>58.61</v>
    <v>58.55</v>
    <v>58.55</v>
    <v>58.64</v>
    <v>58.64</v>
    <v>58.62</v>
    <v>58.64</v>
    <v>58.63</v>
    <v>58.6</v>
    <v>58.6</v>
    <v>58.64</v>
    <v>58.71</v>
    <v>58.65</v>
    <v>58.65</v>
    <v>58.65</v>
    <v>58.68</v>
    <v>58.68</v>
    <v>58.65</v>
    <v>58.77</v>
    <v>58.72</v>
    <v>58.79</v>
    <v>58.83</v>
    <v>58.81</v>
    <v>58.87</v>
    <v>58.64</v>
    <v>58.68</v>
    <v>58.72</v>
    <v>58.8</v>
    <v>58.85</v>
    <v>58.78</v>
    <v>58.8</v>
    <v>58.82</v>
    <v>58.82</v>
    <v>58.84</v>
    <v>58.88</v>
    <v>58.85</v>
    <v>58.82</v>
    <v>58.84</v>
    <v>58.81</v>
    <v>58.83</v>
    <v>58.81</v>
    <v>58.76</v>
    <v>58.79</v>
    <v>58.82</v>
    <v>58.85</v>
    <v>58.72</v>
    <v>58.72</v>
    <v>58.72</v>
    <v>58.71</v>
    <v>58.74</v>
    <v>58.72</v>
  </a>
  <a r="1" c="250">
    <v>69.569999999999993</v>
    <v>69.25</v>
    <v>69.569999999999993</v>
    <v>70.34</v>
    <v>70.34</v>
    <v>70.569999999999993</v>
    <v>69.900000000000006</v>
    <v>70.44</v>
    <v>69.45</v>
    <v>69.45</v>
    <v>68.010000000000005</v>
    <v>67.3</v>
    <v>66.92</v>
    <v>66.67</v>
    <v>65.56</v>
    <v>65.92</v>
    <v>65.31</v>
    <v>65.010000000000005</v>
    <v>65.11</v>
    <v>65.37</v>
    <v>63.7</v>
    <v>63.66</v>
    <v>63.92</v>
    <v>63.36</v>
    <v>63.2</v>
    <v>63</v>
    <v>62.55</v>
    <v>61.74</v>
    <v>61.86</v>
    <v>62.59</v>
    <v>62.99</v>
    <v>63.76</v>
    <v>63.92</v>
    <v>64.38</v>
    <v>64.55</v>
    <v>64.430000000000007</v>
    <v>64.08</v>
    <v>63.65</v>
    <v>63.52</v>
    <v>62.21</v>
    <v>62.92</v>
    <v>62.53</v>
    <v>62.6</v>
    <v>62.91</v>
    <v>62.64</v>
    <v>63.84</v>
    <v>63.12</v>
    <v>62.55</v>
    <v>63.4</v>
    <v>62.85</v>
    <v>62.45</v>
    <v>62.55</v>
    <v>62.38</v>
    <v>62.84</v>
    <v>62.57</v>
    <v>62.45</v>
    <v>62.03</v>
    <v>62.26</v>
    <v>61.84</v>
    <v>61.75</v>
    <v>60.81</v>
    <v>60.84</v>
    <v>61.71</v>
    <v>61.07</v>
    <v>61.65</v>
    <v>62.04</v>
    <v>61.77</v>
    <v>62.25</v>
    <v>62.71</v>
    <v>62.42</v>
    <v>61.78</v>
    <v>61.53</v>
    <v>61.92</v>
    <v>63.87</v>
    <v>62.36</v>
    <v>62.83</v>
    <v>64.05</v>
    <v>63.48</v>
    <v>63.35</v>
    <v>62.67</v>
    <v>63.12</v>
    <v>63.36</v>
    <v>63.84</v>
    <v>64.55</v>
    <v>67.599999999999994</v>
    <v>68.709999999999994</v>
    <v>69.5</v>
    <v>68.87</v>
    <v>69.05</v>
    <v>70.069999999999993</v>
    <v>70.040000000000006</v>
    <v>71.349999999999994</v>
    <v>70.59</v>
    <v>71.489999999999995</v>
    <v>70.8</v>
    <v>70.87</v>
    <v>71.209999999999994</v>
    <v>72.319999999999993</v>
    <v>70.19</v>
    <v>70.08</v>
    <v>70.459999999999994</v>
    <v>71.430000000000007</v>
    <v>71.45</v>
    <v>71.040000000000006</v>
    <v>69.94</v>
    <v>69.62</v>
    <v>69.16</v>
    <v>70.12</v>
    <v>69.38</v>
    <v>69.28</v>
    <v>69.709999999999994</v>
    <v>68.67</v>
    <v>68.95</v>
    <v>68.81</v>
    <v>70.02</v>
    <v>70.739999999999995</v>
    <v>70.37</v>
    <v>71.62</v>
    <v>71.87</v>
    <v>71.33</v>
    <v>73.180000000000007</v>
    <v>69.930000000000007</v>
    <v>68.37</v>
    <v>68.42</v>
    <v>69.95</v>
    <v>70.760000000000005</v>
    <v>71.430000000000007</v>
    <v>72.45</v>
    <v>71.86</v>
    <v>71.680000000000007</v>
    <v>73</v>
    <v>72.77</v>
    <v>73.900000000000006</v>
    <v>73.3</v>
    <v>72.52</v>
    <v>71.91</v>
    <v>71.790000000000006</v>
    <v>72.349999999999994</v>
    <v>72.55</v>
    <v>71.290000000000006</v>
    <v>71.650000000000006</v>
    <v>71.7</v>
    <v>71.72</v>
    <v>72.400000000000006</v>
    <v>71.17</v>
    <v>70.52</v>
    <v>69.53</v>
    <v>68.959999999999994</v>
    <v>69.16</v>
    <v>71.61</v>
    <v>72</v>
    <v>71.930000000000007</v>
    <v>71.69</v>
    <v>71.849999999999994</v>
    <v>71.14</v>
    <v>71.77</v>
    <v>71.78</v>
    <v>71.150000000000006</v>
    <v>71.489999999999995</v>
    <v>72.099999999999994</v>
    <v>72</v>
    <v>71.16</v>
    <v>71.37</v>
    <v>70.91</v>
    <v>71.349999999999994</v>
    <v>71.77</v>
    <v>72.349999999999994</v>
    <v>72.069999999999993</v>
    <v>72.239999999999995</v>
    <v>71.02</v>
    <v>70.52</v>
    <v>69.62</v>
    <v>69.209999999999994</v>
    <v>68.84</v>
    <v>69.739999999999995</v>
    <v>70.209999999999994</v>
    <v>69.63</v>
    <v>69.47</v>
    <v>70.33</v>
    <v>70.75</v>
    <v>71.67</v>
    <v>70.91</v>
    <v>71.349999999999994</v>
    <v>71.010000000000005</v>
    <v>70.239999999999995</v>
    <v>69.48</v>
    <v>69.77</v>
    <v>69.87</v>
    <v>69.47</v>
    <v>69.36</v>
    <v>69.27</v>
    <v>70.59</v>
    <v>69.849999999999994</v>
    <v>70.069999999999993</v>
    <v>69.66</v>
    <v>69.16</v>
    <v>69.099999999999994</v>
    <v>69.17</v>
    <v>68.09</v>
    <v>69.38</v>
    <v>68.75</v>
    <v>67.89</v>
    <v>68.86</v>
    <v>68.959999999999994</v>
    <v>69.05</v>
    <v>69.510000000000005</v>
    <v>70.430000000000007</v>
    <v>70.34</v>
    <v>70.75</v>
    <v>70.709999999999994</v>
    <v>70.459999999999994</v>
    <v>69.55</v>
    <v>69.92</v>
    <v>69.13</v>
    <v>70.13</v>
    <v>70.7</v>
    <v>70.66</v>
    <v>70.13</v>
    <v>68.930000000000007</v>
    <v>68.73</v>
    <v>68.83</v>
    <v>68.36</v>
    <v>68.989999999999995</v>
    <v>69.06</v>
    <v>68.989999999999995</v>
    <v>68.25</v>
    <v>67.959999999999994</v>
    <v>67.430000000000007</v>
    <v>67.86</v>
    <v>67.819999999999993</v>
    <v>67.62</v>
    <v>67.010000000000005</v>
    <v>66.209999999999994</v>
    <v>66.239999999999995</v>
    <v>67.040000000000006</v>
    <v>66.459999999999994</v>
    <v>66.430000000000007</v>
    <v>66.209999999999994</v>
    <v>66.709999999999994</v>
    <v>66.45</v>
    <v>65.98</v>
    <v>65.67</v>
    <v>66.040000000000006</v>
    <v>66.319999999999993</v>
    <v>66.78</v>
    <v>66.099999999999994</v>
    <v>66.650000000000006</v>
    <v>66.099999999999994</v>
    <v>66.790000000000006</v>
    <v>66.12</v>
  </a>
  <a r="1" c="250">
    <v>27.86</v>
    <v>28.38</v>
    <v>28.8</v>
    <v>28.54</v>
    <v>28.71</v>
    <v>28.91</v>
    <v>28.89</v>
    <v>30.64</v>
    <v>30.85</v>
    <v>31.74</v>
    <v>30.71</v>
    <v>30.69</v>
    <v>30.63</v>
    <v>30.73</v>
    <v>31.39</v>
    <v>30.81</v>
    <v>29.81</v>
    <v>29.54</v>
    <v>29.63</v>
    <v>29.75</v>
    <v>28.43</v>
    <v>29.11</v>
    <v>28.48</v>
    <v>27.97</v>
    <v>28.07</v>
    <v>27.61</v>
    <v>27.81</v>
    <v>27.57</v>
    <v>28.38</v>
    <v>28.5</v>
    <v>28.1</v>
    <v>28.04</v>
    <v>28.47</v>
    <v>27.63</v>
    <v>27.8</v>
    <v>27.45</v>
    <v>27.92</v>
    <v>27.79</v>
    <v>28.28</v>
    <v>28.53</v>
    <v>28.56</v>
    <v>28.25</v>
    <v>28.98</v>
    <v>28.99</v>
    <v>29.04</v>
    <v>28.2</v>
    <v>27.75</v>
    <v>27.8</v>
    <v>27.81</v>
    <v>26.85</v>
    <v>26.52</v>
    <v>26.92</v>
    <v>26.99</v>
    <v>27.02</v>
    <v>27.14</v>
    <v>26.76</v>
    <v>26.43</v>
    <v>26.33</v>
    <v>26.93</v>
    <v>26.98</v>
    <v>27.24</v>
    <v>27.33</v>
    <v>27.4</v>
    <v>27.61</v>
    <v>26.96</v>
    <v>27.2</v>
    <v>27.96</v>
    <v>28.04</v>
    <v>27.61</v>
    <v>28.04</v>
    <v>28.05</v>
    <v>27.77</v>
    <v>27.91</v>
    <v>27.46</v>
    <v>27.63</v>
    <v>28</v>
    <v>28.72</v>
    <v>28.51</v>
    <v>28.67</v>
    <v>29.22</v>
    <v>29.35</v>
    <v>29.38</v>
    <v>29.03</v>
    <v>29.2</v>
    <v>29</v>
    <v>29.34</v>
    <v>29.46</v>
    <v>29.31</v>
    <v>29.91</v>
    <v>29.81</v>
    <v>29.95</v>
    <v>29.59</v>
    <v>29.44</v>
    <v>28.83</v>
    <v>28.94</v>
    <v>28.4</v>
    <v>28.31</v>
    <v>28.75</v>
    <v>29</v>
    <v>29.77</v>
    <v>29.69</v>
    <v>29.59</v>
    <v>29.11</v>
    <v>29.96</v>
    <v>30.22</v>
    <v>30.74</v>
    <v>30.71</v>
    <v>30.81</v>
    <v>30.85</v>
    <v>30.75</v>
    <v>30.5</v>
    <v>30.02</v>
    <v>29.96</v>
    <v>30.58</v>
    <v>30.53</v>
    <v>31.32</v>
    <v>31</v>
    <v>30.99</v>
    <v>30.63</v>
    <v>30.76</v>
    <v>28.89</v>
    <v>27.08</v>
    <v>27.14</v>
    <v>27.14</v>
    <v>28.06</v>
    <v>28.28</v>
    <v>29.19</v>
    <v>29.38</v>
    <v>29.41</v>
    <v>29.76</v>
    <v>29.55</v>
    <v>29.79</v>
    <v>29.5</v>
    <v>30.56</v>
    <v>30.56</v>
    <v>30.05</v>
    <v>30.19</v>
    <v>29.83</v>
    <v>29.6</v>
    <v>29.39</v>
    <v>29.12</v>
    <v>29.48</v>
    <v>30.22</v>
    <v>29.49</v>
    <v>29.46</v>
    <v>29.8</v>
    <v>29.63</v>
    <v>29.93</v>
    <v>29.25</v>
    <v>29.61</v>
    <v>29.3</v>
    <v>29.42</v>
    <v>30.13</v>
    <v>30.51</v>
    <v>30.03</v>
    <v>30.45</v>
    <v>30.23</v>
    <v>29.98</v>
    <v>30.3</v>
    <v>30</v>
    <v>31.59</v>
    <v>31.44</v>
    <v>31.34</v>
    <v>32.450000000000003</v>
    <v>32.69</v>
    <v>33.39</v>
    <v>33.229999999999997</v>
    <v>32.950000000000003</v>
    <v>33.06</v>
    <v>32.97</v>
    <v>33.03</v>
    <v>33.74</v>
    <v>33.270000000000003</v>
    <v>32.72</v>
    <v>32.96</v>
    <v>32.61</v>
    <v>33.01</v>
    <v>33.340000000000003</v>
    <v>32.619999999999997</v>
    <v>32.81</v>
    <v>32.729999999999997</v>
    <v>33.24</v>
    <v>33.51</v>
    <v>33.43</v>
    <v>33.29</v>
    <v>33</v>
    <v>33.75</v>
    <v>35.03</v>
    <v>34.630000000000003</v>
    <v>34.26</v>
    <v>34.409999999999997</v>
    <v>34.65</v>
    <v>34.61</v>
    <v>35.35</v>
    <v>35.72</v>
    <v>35.69</v>
    <v>35.49</v>
    <v>34.659999999999997</v>
    <v>34.64</v>
    <v>34.659999999999997</v>
    <v>33.51</v>
    <v>33.32</v>
    <v>33.590000000000003</v>
    <v>33.979999999999997</v>
    <v>34.35</v>
    <v>34.35</v>
    <v>34.76</v>
    <v>34.880000000000003</v>
    <v>34.18</v>
    <v>34.409999999999997</v>
    <v>35</v>
    <v>34.5</v>
    <v>34.5</v>
    <v>34.549999999999997</v>
    <v>33.869999999999997</v>
    <v>34.43</v>
    <v>34.61</v>
    <v>35.340000000000003</v>
    <v>35.020000000000003</v>
    <v>35.020000000000003</v>
    <v>34.99</v>
    <v>35.520000000000003</v>
    <v>36.19</v>
    <v>37.15</v>
    <v>37.340000000000003</v>
    <v>36.93</v>
    <v>37.21</v>
    <v>37.51</v>
    <v>37.18</v>
    <v>37.409999999999997</v>
    <v>37.79</v>
    <v>38.340000000000003</v>
    <v>38.76</v>
    <v>38.6</v>
    <v>37.79</v>
    <v>37.99</v>
    <v>39.04</v>
    <v>40.04</v>
    <v>39.96</v>
    <v>39.82</v>
    <v>41.03</v>
    <v>41.86</v>
    <v>42.5</v>
    <v>42.37</v>
    <v>42.91</v>
    <v>42.53</v>
    <v>43.52</v>
    <v>44.06</v>
    <v>43.39</v>
    <v>44.56</v>
  </a>
  <a r="1" c="250">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v>372.3</v>
  </a>
  <a r="1" c="251">
    <v t="i">0</v>
    <v t="i">1</v>
    <v t="i">2</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79</v>
    <v t="i">82</v>
    <v t="i">83</v>
    <v t="i">85</v>
    <v t="i">86</v>
    <v t="i">89</v>
    <v t="i">90</v>
    <v t="i">91</v>
    <v t="i">92</v>
    <v t="i">93</v>
    <v t="i">96</v>
    <v t="i">97</v>
    <v t="i">98</v>
    <v t="i">99</v>
    <v t="i">100</v>
    <v t="i">103</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223</v>
    <v t="i">224</v>
    <v t="i">225</v>
    <v t="i">226</v>
    <v t="i">229</v>
    <v t="i">230</v>
    <v t="i">231</v>
    <v t="i">232</v>
    <v t="i">233</v>
    <v t="i">236</v>
    <v t="i">237</v>
    <v t="i">238</v>
    <v t="i">239</v>
    <v t="i">240</v>
    <v t="i">243</v>
    <v t="i">244</v>
    <v t="i">245</v>
    <v t="i">246</v>
    <v t="i">247</v>
    <v t="i">250</v>
    <v t="i">251</v>
    <v t="i">252</v>
    <v t="i">253</v>
    <v t="i">254</v>
    <v t="i">257</v>
    <v t="i">258</v>
    <v t="i">259</v>
    <v t="i">260</v>
    <v t="i">261</v>
    <v t="i">264</v>
    <v t="i">266</v>
    <v t="i">267</v>
    <v t="i">268</v>
    <v t="i">271</v>
    <v t="i">272</v>
    <v t="i">273</v>
    <v t="i">274</v>
    <v t="i">275</v>
    <v t="i">278</v>
    <v t="i">279</v>
    <v t="i">280</v>
    <v t="i">281</v>
    <v t="i">282</v>
    <v t="i">285</v>
    <v t="i">286</v>
    <v t="i">287</v>
    <v t="i">288</v>
    <v t="i">289</v>
    <v t="i">292</v>
    <v t="i">293</v>
    <v t="i">294</v>
    <v t="i">295</v>
    <v t="i">296</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v t="i">356</v>
    <v t="i">357</v>
    <v t="i">358</v>
    <v t="i">359</v>
    <v t="i">362</v>
    <v t="i">363</v>
    <v t="i">364</v>
  </a>
  <a r="1" c="251">
    <v>3.11</v>
    <v>2.8</v>
    <v>-99999901</v>
    <v>2.9</v>
    <v>-99999901</v>
    <v>2.9</v>
    <v>2.7</v>
    <v>2.7</v>
    <v>-99999901</v>
    <v>-99999901</v>
    <v>2.7</v>
    <v>-99999901</v>
    <v>2.4</v>
    <v>-99999901</v>
    <v>-99999901</v>
    <v>-99999901</v>
    <v>2.2999999999999998</v>
    <v>2.4</v>
    <v>2.4</v>
    <v>2.35</v>
    <v>2.35</v>
    <v>2.1</v>
    <v>-99999901</v>
    <v>2.1</v>
    <v>-99999901</v>
    <v>2.35</v>
    <v>2.9</v>
    <v>4.3</v>
    <v>4.4000000000000004</v>
    <v>4.8</v>
    <v>5.15</v>
    <v>5.5</v>
    <v>5</v>
    <v>4.4000000000000004</v>
    <v>-99999901</v>
    <v>3.4</v>
    <v>3.3</v>
    <v>3.6</v>
    <v>3.7</v>
    <v>3.79</v>
    <v>-99999901</v>
    <v>3.2</v>
    <v>3.2</v>
    <v>3.2</v>
    <v>3.3</v>
    <v>3.8</v>
    <v>-99999901</v>
    <v>3.8</v>
    <v>3.21</v>
    <v>3.3</v>
    <v>3.3</v>
    <v>-99999901</v>
    <v>3.3</v>
    <v>-99999901</v>
    <v>-99999901</v>
    <v>2.9</v>
    <v>4</v>
    <v>4.4000000000000004</v>
    <v>4.4000000000000004</v>
    <v>4.3</v>
    <v>4.0999999999999996</v>
    <v>4.0999999999999996</v>
    <v>-99999901</v>
    <v>4.2</v>
    <v>4.3499999999999996</v>
    <v>4.3</v>
    <v>-99999901</v>
    <v>4.3</v>
    <v>5</v>
    <v>4.8</v>
    <v>4.8</v>
    <v>4.5</v>
    <v>4.5999999999999996</v>
    <v>4.5999999999999996</v>
    <v>4.0999999999999996</v>
    <v>5</v>
    <v>5</v>
    <v>-99999901</v>
    <v>4.8</v>
    <v>4.4000000000000004</v>
    <v>4.4000000000000004</v>
    <v>4.4000000000000004</v>
    <v>-99999901</v>
    <v>4.3</v>
    <v>4.4000000000000004</v>
    <v>4.1500000000000004</v>
    <v>4.0999999999999996</v>
    <v>4.3</v>
    <v>4.09</v>
    <v>4.21</v>
    <v>4.0999999999999996</v>
    <v>-99999901</v>
    <v>4</v>
    <v>4.0999999999999996</v>
    <v>4.0999999999999996</v>
    <v>4</v>
    <v>3.9</v>
    <v>-99999901</v>
    <v>3.8</v>
    <v>3.99</v>
    <v>3.69</v>
    <v>3.6</v>
    <v>2.9</v>
    <v>3.38</v>
    <v>-99999901</v>
    <v>3.3</v>
    <v>3.1</v>
    <v>-99999901</v>
    <v>3.2</v>
    <v>-99999901</v>
    <v>-99999901</v>
    <v>3.4</v>
    <v>3.4</v>
    <v>3.5</v>
    <v>-99999901</v>
    <v>-99999901</v>
    <v>-99999901</v>
    <v>3.97</v>
    <v>-99999901</v>
    <v>-99999901</v>
    <v>3.99</v>
    <v>4</v>
    <v>3.9</v>
    <v>3.5</v>
    <v>3.46</v>
    <v>3.5</v>
    <v>3.79</v>
    <v>3.8</v>
    <v>3.4</v>
    <v>3.36</v>
    <v>3.35</v>
    <v>3.2</v>
    <v>3.23</v>
    <v>3.4</v>
    <v>-99999901</v>
    <v>3.64</v>
    <v>-99999901</v>
    <v>3.63</v>
    <v>3.5</v>
    <v>3.2</v>
    <v>3.5</v>
    <v>3.4</v>
    <v>3.5</v>
    <v>3.5</v>
    <v>3.5</v>
    <v>-99999901</v>
    <v>-99999901</v>
    <v>3.44</v>
    <v>3.3</v>
    <v>-99999901</v>
    <v>3.24</v>
    <v>3.2</v>
    <v>3.1</v>
    <v>3.2</v>
    <v>3.1</v>
    <v>-99999901</v>
    <v>3.3</v>
    <v>3.3</v>
    <v>3.1</v>
    <v>3</v>
    <v>-99999901</v>
    <v>3.2</v>
    <v>-99999901</v>
    <v>-99999901</v>
    <v>3.2</v>
    <v>-99999901</v>
    <v>3.1</v>
    <v>3.19</v>
    <v>3.19</v>
    <v>3.2</v>
    <v>3.7</v>
    <v>4.38</v>
    <v>5.51</v>
    <v>7.2</v>
    <v>7.8</v>
    <v>8.82</v>
    <v>12</v>
    <v>6.75</v>
    <v>6.24</v>
    <v>6.35</v>
    <v>5.3</v>
    <v>5.07</v>
    <v>4.9000000000000004</v>
    <v>4.99</v>
    <v>5.0999999999999996</v>
    <v>5</v>
    <v>4.83</v>
    <v>4.78</v>
    <v>4.5</v>
    <v>4.3499999999999996</v>
    <v>4.41</v>
    <v>4.4000000000000004</v>
    <v>4.3499999999999996</v>
    <v>4.7</v>
    <v>5.0999999999999996</v>
    <v>5.5</v>
    <v>5.49</v>
    <v>5.46</v>
    <v>5.4</v>
    <v>4.8</v>
    <v>4.8</v>
    <v>4.7</v>
    <v>4.8</v>
    <v>4.8</v>
    <v>4.5</v>
    <v>4.5</v>
    <v>4.5999999999999996</v>
    <v>4.5999999999999996</v>
    <v>4.58</v>
    <v>5</v>
    <v>5.0999999999999996</v>
    <v>5.5</v>
    <v>5.4</v>
    <v>5.3</v>
    <v>5.2</v>
    <v>5.0999999999999996</v>
    <v>5.0999999999999996</v>
    <v>5.0999999999999996</v>
    <v>4.79</v>
    <v>4.7</v>
    <v>4.7</v>
    <v>4.5999999999999996</v>
    <v>4.5999999999999996</v>
    <v>-99999901</v>
    <v>5</v>
    <v>4.8499999999999996</v>
    <v>4.5</v>
    <v>4.7</v>
    <v>5</v>
    <v>4.79</v>
    <v>4.8</v>
    <v>-99999901</v>
    <v>-99999901</v>
    <v>4.8</v>
    <v>4.8</v>
    <v>5.2</v>
    <v>4.9000000000000004</v>
    <v>4.9000000000000004</v>
    <v>4.9000000000000004</v>
    <v>4.8</v>
    <v>4.9000000000000004</v>
    <v>4.8899999999999997</v>
    <v>-99999901</v>
    <v>5</v>
    <v>4.8</v>
    <v>4.8</v>
    <v>4.9000000000000004</v>
    <v>-99999901</v>
    <v>4.8</v>
    <v>4.79</v>
    <v>4.8</v>
  </a>
  <a r="1" c="250">
    <v>5.4</v>
    <v>5.43</v>
    <v>5.38</v>
    <v>5.27</v>
    <v>5.2</v>
    <v>5.22</v>
    <v>5.26</v>
    <v>5.14</v>
    <v>5.14</v>
    <v>5.16</v>
    <v>5.18</v>
    <v>5.21</v>
    <v>5.1100000000000003</v>
    <v>5.04</v>
    <v>5.13</v>
    <v>5.15</v>
    <v>5.14</v>
    <v>5.1100000000000003</v>
    <v>5.12</v>
    <v>5.15</v>
    <v>5.14</v>
    <v>5.1100000000000003</v>
    <v>5.1100000000000003</v>
    <v>5.04</v>
    <v>4.9400000000000004</v>
    <v>4.8600000000000003</v>
    <v>4.8</v>
    <v>4.84</v>
    <v>4.93</v>
    <v>4.95</v>
    <v>4.99</v>
    <v>4.97</v>
    <v>4.93</v>
    <v>4.8600000000000003</v>
    <v>4.87</v>
    <v>4.79</v>
    <v>4.79</v>
    <v>4.7699999999999996</v>
    <v>4.78</v>
    <v>4.76</v>
    <v>4.8499999999999996</v>
    <v>4.84</v>
    <v>4.87</v>
    <v>4.9000000000000004</v>
    <v>4.91</v>
    <v>4.8600000000000003</v>
    <v>4.82</v>
    <v>4.8</v>
    <v>4.75</v>
    <v>4.74</v>
    <v>4.67</v>
    <v>4.66</v>
    <v>4.7300000000000004</v>
    <v>4.7</v>
    <v>4.74</v>
    <v>4.79</v>
    <v>4.8099999999999996</v>
    <v>4.82</v>
    <v>4.78</v>
    <v>4.67</v>
    <v>4.7699999999999996</v>
    <v>4.79</v>
    <v>4.72</v>
    <v>4.71</v>
    <v>4.82</v>
    <v>4.83</v>
    <v>4.82</v>
    <v>4.75</v>
    <v>4.75</v>
    <v>4.93</v>
    <v>4.9000000000000004</v>
    <v>4.9000000000000004</v>
    <v>4.84</v>
    <v>4.7699999999999996</v>
    <v>4.84</v>
    <v>4.9800000000000004</v>
    <v>4.99</v>
    <v>4.95</v>
    <v>5</v>
    <v>5.09</v>
    <v>5.05</v>
    <v>5.17</v>
    <v>5.12</v>
    <v>5.0999999999999996</v>
    <v>5.0999999999999996</v>
    <v>5.07</v>
    <v>5.0999999999999996</v>
    <v>5.3</v>
    <v>5.33</v>
    <v>5.24</v>
    <v>5.2</v>
    <v>5.23</v>
    <v>5.15</v>
    <v>5.0999999999999996</v>
    <v>5.03</v>
    <v>4.9000000000000004</v>
    <v>4.83</v>
    <v>4.76</v>
    <v>4.7</v>
    <v>4.79</v>
    <v>4.83</v>
    <v>4.8099999999999996</v>
    <v>4.9000000000000004</v>
    <v>4.8499999999999996</v>
    <v>4.8499999999999996</v>
    <v>4.9000000000000004</v>
    <v>4.8899999999999997</v>
    <v>4.97</v>
    <v>4.95</v>
    <v>4.9400000000000004</v>
    <v>4.8600000000000003</v>
    <v>4.8899999999999997</v>
    <v>4.8099999999999996</v>
    <v>4.78</v>
    <v>4.6900000000000004</v>
    <v>4.67</v>
    <v>4.62</v>
    <v>4.68</v>
    <v>4.72</v>
    <v>4.7</v>
    <v>4.6900000000000004</v>
    <v>4.62</v>
    <v>4.66</v>
    <v>4.67</v>
    <v>4.7300000000000004</v>
    <v>4.6900000000000004</v>
    <v>4.83</v>
    <v>4.78</v>
    <v>4.7300000000000004</v>
    <v>4.75</v>
    <v>4.76</v>
    <v>4.6900000000000004</v>
    <v>4.67</v>
    <v>4.63</v>
    <v>4.62</v>
    <v>4.6399999999999997</v>
    <v>4.53</v>
    <v>4.4800000000000004</v>
    <v>4.5199999999999996</v>
    <v>4.53</v>
    <v>4.6100000000000003</v>
    <v>4.5199999999999996</v>
    <v>4.54</v>
    <v>4.55</v>
    <v>4.51</v>
    <v>4.4400000000000004</v>
    <v>4.3899999999999997</v>
    <v>4.41</v>
    <v>4.45</v>
    <v>4.51</v>
    <v>4.47</v>
    <v>4.5</v>
    <v>4.6100000000000003</v>
    <v>4.63</v>
    <v>4.6399999999999997</v>
    <v>4.62</v>
    <v>4.51</v>
    <v>4.51</v>
    <v>4.5599999999999996</v>
    <v>4.53</v>
    <v>4.57</v>
    <v>4.55</v>
    <v>4.6100000000000003</v>
    <v>4.62</v>
    <v>4.68</v>
    <v>4.6100000000000003</v>
    <v>4.54</v>
    <v>4.54</v>
    <v>4.49</v>
    <v>4.62</v>
    <v>4.5599999999999996</v>
    <v>4.66</v>
    <v>4.84</v>
    <v>4.8</v>
    <v>4.71</v>
    <v>4.5599999999999996</v>
    <v>4.51</v>
    <v>4.45</v>
    <v>4.4800000000000004</v>
    <v>4.4400000000000004</v>
    <v>4.53</v>
    <v>4.6399999999999997</v>
    <v>4.63</v>
    <v>4.54</v>
    <v>4.53</v>
    <v>4.5199999999999996</v>
    <v>4.58</v>
    <v>4.5</v>
    <v>4.49</v>
    <v>4.46</v>
    <v>4.47</v>
    <v>4.42</v>
    <v>4.5199999999999996</v>
    <v>4.49</v>
    <v>4.5199999999999996</v>
    <v>4.47</v>
    <v>4.4800000000000004</v>
    <v>4.46</v>
    <v>4.45</v>
    <v>4.3899999999999997</v>
    <v>4.3600000000000003</v>
    <v>4.3499999999999996</v>
    <v>4.3</v>
    <v>4.3099999999999996</v>
    <v>4.25</v>
    <v>4.25</v>
    <v>4.33</v>
    <v>4.3</v>
    <v>4.29</v>
    <v>4.22</v>
    <v>4.24</v>
    <v>4.2</v>
    <v>4.22</v>
    <v>4.21</v>
    <v>4.1900000000000004</v>
    <v>4.2300000000000004</v>
    <v>4.2300000000000004</v>
    <v>4.22</v>
    <v>4.24</v>
    <v>4.25</v>
    <v>4.22</v>
    <v>4.24</v>
    <v>4.28</v>
    <v>4.22</v>
    <v>4.17</v>
    <v>4.17</v>
    <v>4.17</v>
    <v>4.2</v>
    <v>4.16</v>
    <v>4.1399999999999997</v>
    <v>4.18</v>
    <v>4.2</v>
    <v>4.22</v>
    <v>4.29</v>
    <v>4.25</v>
    <v>4.22</v>
    <v>4.21</v>
    <v>4.12</v>
    <v>4.2</v>
    <v>4.18</v>
    <v>4.2300000000000004</v>
    <v>4.1900000000000004</v>
    <v>4.1900000000000004</v>
    <v>4.1100000000000003</v>
    <v>4.13</v>
    <v>4.16</v>
    <v>4.1500000000000004</v>
    <v>4.1399999999999997</v>
    <v>4.0999999999999996</v>
    <v>4.0999999999999996</v>
  </a>
  <a r="1" c="250">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v>96.38</v>
  </a>
  <a r="1" c="250">
    <v>23.02</v>
    <v>23.01</v>
    <v>23.02</v>
    <v>23</v>
    <v>23.094999999999999</v>
    <v>23.12</v>
    <v>23.015000000000001</v>
    <v>23.035</v>
    <v>22.91</v>
    <v>22.9</v>
    <v>22.86</v>
    <v>22.895</v>
    <v>22.86</v>
    <v>22.83</v>
    <v>22.835000000000001</v>
    <v>22.815000000000001</v>
    <v>22.82</v>
    <v>22.664999999999999</v>
    <v>22.77</v>
    <v>22.785</v>
    <v>22.6</v>
    <v>22.72</v>
    <v>22.77</v>
    <v>22.725000000000001</v>
    <v>22.61</v>
    <v>22.6</v>
    <v>22.61</v>
    <v>22.614999999999998</v>
    <v>22.64</v>
    <v>22.68</v>
    <v>22.645</v>
    <v>22.63</v>
    <v>22.64</v>
    <v>22.84</v>
    <v>22.805</v>
    <v>22.87</v>
    <v>22.945</v>
    <v>22.9</v>
    <v>22.85</v>
    <v>22.925000000000001</v>
    <v>22.93</v>
    <v>22.975000000000001</v>
    <v>22.92</v>
    <v>22.87</v>
    <v>22.82</v>
    <v>22.734999999999999</v>
    <v>22.67</v>
    <v>22.675000000000001</v>
    <v>22.684999999999999</v>
    <v>22.484999999999999</v>
    <v>22.43</v>
    <v>22.465</v>
    <v>22.405000000000001</v>
    <v>22.42</v>
    <v>22.434999999999999</v>
    <v>22.39</v>
    <v>22.475000000000001</v>
    <v>22.98</v>
    <v>22.465</v>
    <v>22.44</v>
    <v>22.43</v>
    <v>22.35</v>
    <v>22.375</v>
    <v>22.27</v>
    <v>22.254999999999999</v>
    <v>22.25</v>
    <v>22.41</v>
    <v>22.454999999999998</v>
    <v>22.454999999999998</v>
    <v>22.515000000000001</v>
    <v>22.48</v>
    <v>22.43</v>
    <v>22.48</v>
    <v>22.59</v>
    <v>22.585000000000001</v>
    <v>22.56</v>
    <v>22.6</v>
    <v>22.58</v>
    <v>22.53</v>
    <v>22.565000000000001</v>
    <v>22.67</v>
    <v>22.66</v>
    <v>22.59</v>
    <v>22.585000000000001</v>
    <v>22.55</v>
    <v>22.43</v>
    <v>22.555</v>
    <v>22.625</v>
    <v>22.535</v>
    <v>22.565000000000001</v>
    <v>22.594999999999999</v>
    <v>22.695</v>
    <v>22.734999999999999</v>
    <v>22.864999999999998</v>
    <v>22.92</v>
    <v>22.895</v>
    <v>23</v>
    <v>22.984999999999999</v>
    <v>22.93</v>
    <v>22.84</v>
    <v>22.835000000000001</v>
    <v>22.805</v>
    <v>22.925000000000001</v>
    <v>22.864999999999998</v>
    <v>22.805</v>
    <v>22.88</v>
    <v>22.82</v>
    <v>22.835000000000001</v>
    <v>22.864999999999998</v>
    <v>22.914999999999999</v>
    <v>22.934999999999999</v>
    <v>22.92</v>
    <v>22.82</v>
    <v>22.84</v>
    <v>22.795000000000002</v>
    <v>22.79</v>
    <v>22.93</v>
    <v>22.984999999999999</v>
    <v>22.97</v>
    <v>22.95</v>
    <v>23.12</v>
    <v>23.17</v>
    <v>22.95</v>
    <v>22.85</v>
    <v>22.82</v>
    <v>22.69</v>
    <v>22.64</v>
    <v>22.75</v>
    <v>22.79</v>
    <v>22.86</v>
    <v>22.81</v>
    <v>22.715</v>
    <v>22.74</v>
    <v>22.77</v>
    <v>22.86</v>
    <v>22.92</v>
    <v>22.99</v>
    <v>23.06</v>
    <v>23.08</v>
    <v>22.91</v>
    <v>22.81</v>
    <v>22.77</v>
    <v>22.81</v>
    <v>22.844999999999999</v>
    <v>22.72</v>
    <v>22.74</v>
    <v>22.63</v>
    <v>22.605</v>
    <v>22.54</v>
    <v>22.655000000000001</v>
    <v>22.664999999999999</v>
    <v>22.655000000000001</v>
    <v>22.625</v>
    <v>22.51</v>
    <v>22.56</v>
    <v>22.6</v>
    <v>22.68</v>
    <v>22.64</v>
    <v>22.715</v>
    <v>22.76</v>
    <v>22.62</v>
    <v>22.6</v>
    <v>22.74</v>
    <v>22.7</v>
    <v>22.58</v>
    <v>22.605</v>
    <v>22.63</v>
    <v>22.69</v>
    <v>22.77</v>
    <v>22.7</v>
    <v>22.65</v>
    <v>22.73</v>
    <v>22.75</v>
    <v>22.754999999999999</v>
    <v>22.81</v>
    <v>22.87</v>
    <v>22.89</v>
    <v>22.945</v>
    <v>22.9</v>
    <v>22.98</v>
    <v>22.885000000000002</v>
    <v>22.84</v>
    <v>22.78</v>
    <v>22.72</v>
    <v>22.704999999999998</v>
    <v>22.8</v>
    <v>22.785</v>
    <v>22.71</v>
    <v>22.704999999999998</v>
    <v>22.635000000000002</v>
    <v>22.675000000000001</v>
    <v>22.66</v>
    <v>22.71</v>
    <v>22.77</v>
    <v>22.815000000000001</v>
    <v>22.765000000000001</v>
    <v>22.74</v>
    <v>22.785</v>
    <v>22.745000000000001</v>
    <v>22.86</v>
    <v>22.81</v>
    <v>22.82</v>
    <v>22.945</v>
    <v>22.965</v>
    <v>22.965</v>
    <v>22.945</v>
    <v>22.93</v>
    <v>22.89</v>
    <v>22.9</v>
    <v>22.88</v>
    <v>22.954999999999998</v>
    <v>22.895</v>
    <v>22.855</v>
    <v>22.835000000000001</v>
    <v>22.885000000000002</v>
    <v>22.905000000000001</v>
    <v>22.855</v>
    <v>22.95</v>
    <v>22.914999999999999</v>
    <v>22.95</v>
    <v>22.965</v>
    <v>23.004999999999999</v>
    <v>22.984999999999999</v>
    <v>22.864999999999998</v>
    <v>22.934999999999999</v>
    <v>22.99</v>
    <v>23.105</v>
    <v>23.184999999999999</v>
    <v>23.135000000000002</v>
    <v>23.175000000000001</v>
    <v>23.204999999999998</v>
    <v>23.175000000000001</v>
    <v>23.195</v>
    <v>23.22</v>
    <v>23.18</v>
    <v>23.11</v>
    <v>23.114999999999998</v>
    <v>23.08</v>
    <v>23.135000000000002</v>
    <v>23.094999999999999</v>
    <v>23.06</v>
    <v>23.065000000000001</v>
    <v>23.12</v>
    <v>23.12</v>
    <v>23.1</v>
    <v>23.12</v>
    <v>23.09</v>
    <v>23.04</v>
    <v>23.085000000000001</v>
    <v>23.09</v>
  </a>
  <a r="1" c="250">
    <v>122.09</v>
    <v>123.14</v>
    <v>123.61</v>
    <v>124.08</v>
    <v>120.35</v>
    <v>120.66</v>
    <v>120.35</v>
    <v>120.01</v>
    <v>120.08</v>
    <v>120.7</v>
    <v>120.27</v>
    <v>119.59</v>
    <v>119.49</v>
    <v>118.9</v>
    <v>117.28</v>
    <v>116.69</v>
    <v>116.78</v>
    <v>114.95</v>
    <v>118.61</v>
    <v>118.96</v>
    <v>121</v>
    <v>121.15</v>
    <v>121.11</v>
    <v>120.47</v>
    <v>120.35</v>
    <v>121.47</v>
    <v>120.56</v>
    <v>119.31</v>
    <v>120.31</v>
    <v>118.63</v>
    <v>120.32</v>
    <v>121.93</v>
    <v>121.79</v>
    <v>119.97</v>
    <v>117.97</v>
    <v>117.66</v>
    <v>117.96</v>
    <v>117.85</v>
    <v>117.67</v>
    <v>114.28</v>
    <v>114.78</v>
    <v>113.57</v>
    <v>112.9</v>
    <v>112.67</v>
    <v>111.92</v>
    <v>111.82</v>
    <v>110.84</v>
    <v>108.47</v>
    <v>108.01</v>
    <v>106.42</v>
    <v>105.51</v>
    <v>105.87</v>
    <v>106.3</v>
    <v>106.4</v>
    <v>106.49</v>
    <v>106.48</v>
    <v>105.76</v>
    <v>107.57</v>
    <v>107.31</v>
    <v>107.86</v>
    <v>107.74</v>
    <v>108.75</v>
    <v>106.93</v>
    <v>106.54</v>
    <v>109.29</v>
    <v>109.72</v>
    <v>111.51</v>
    <v>111.32</v>
    <v>112.32</v>
    <v>111.47</v>
    <v>109.53</v>
    <v>110.15</v>
    <v>108.66</v>
    <v>110.17</v>
    <v>108.04</v>
    <v>108.67</v>
    <v>109.57</v>
    <v>106.83</v>
    <v>107.09</v>
    <v>109.96</v>
    <v>109.88</v>
    <v>108.43</v>
    <v>108.89</v>
    <v>110.97</v>
    <v>111.67</v>
    <v>107.35</v>
    <v>108.13</v>
    <v>108.24</v>
    <v>110.14</v>
    <v>110.3</v>
    <v>112</v>
    <v>110.69</v>
    <v>111.27</v>
    <v>109.73</v>
    <v>109.46</v>
    <v>110.15</v>
    <v>111.33</v>
    <v>107.76</v>
    <v>107.54</v>
    <v>105.44</v>
    <v>107.62</v>
    <v>109.02</v>
    <v>111.8</v>
    <v>109.16</v>
    <v>109.13</v>
    <v>108.67</v>
    <v>111.9</v>
    <v>113.76</v>
    <v>113.64</v>
    <v>115.41</v>
    <v>115.9</v>
    <v>115.5</v>
    <v>115.8</v>
    <v>116.59</v>
    <v>118.27</v>
    <v>117.89</v>
    <v>117.73</v>
    <v>118.93</v>
    <v>119.04</v>
    <v>118.67</v>
    <v>112.43</v>
    <v>104.34</v>
    <v>102.94</v>
    <v>100.77</v>
    <v>105.8</v>
    <v>99.93</v>
    <v>103.14</v>
    <v>103.39</v>
    <v>103.1</v>
    <v>104.19</v>
    <v>106.92</v>
    <v>105.35</v>
    <v>108.3</v>
    <v>107.37</v>
    <v>108.63</v>
    <v>108.57</v>
    <v>108.63</v>
    <v>108.36</v>
    <v>105.63</v>
    <v>105.78</v>
    <v>106.21</v>
    <v>103.27</v>
    <v>104.71</v>
    <v>104.61</v>
    <v>106.07</v>
    <v>107.31</v>
    <v>109.16</v>
    <v>109.46</v>
    <v>108.48</v>
    <v>108.58</v>
    <v>108.19</v>
    <v>106.47</v>
    <v>104.95</v>
    <v>103.66</v>
    <v>102.97</v>
    <v>103.03</v>
    <v>103.52</v>
    <v>102.11</v>
    <v>102.69</v>
    <v>102.3</v>
    <v>103.05</v>
    <v>103.8</v>
    <v>102.3</v>
    <v>101.83</v>
    <v>104.27</v>
    <v>104.97</v>
    <v>107.22</v>
    <v>109.31</v>
    <v>109.73</v>
    <v>112.12</v>
    <v>112.48</v>
    <v>114</v>
    <v>113.19</v>
    <v>114.7</v>
    <v>111.74</v>
    <v>108.34</v>
    <v>108.37</v>
    <v>109.99</v>
    <v>109.38</v>
    <v>107.8</v>
    <v>109.24</v>
    <v>111.05</v>
    <v>112.2</v>
    <v>111.11</v>
    <v>114.19</v>
    <v>113.8</v>
    <v>114.93</v>
    <v>115.43</v>
    <v>113.92</v>
    <v>112.91</v>
    <v>112.23</v>
    <v>111.66</v>
    <v>107.77</v>
    <v>108.05</v>
    <v>108.54</v>
    <v>109.93</v>
    <v>110.79</v>
    <v>110.4</v>
    <v>111.44</v>
    <v>112.88</v>
    <v>111.9</v>
    <v>111.64</v>
    <v>109.64</v>
    <v>107.37</v>
    <v>107.24</v>
    <v>106.51</v>
    <v>105.95</v>
    <v>106.8</v>
    <v>105.83</v>
    <v>106.13</v>
    <v>107.6</v>
    <v>107.38</v>
    <v>106.49</v>
    <v>106.72</v>
    <v>107.42</v>
    <v>108.53</v>
    <v>109.23</v>
    <v>111.28</v>
    <v>111.74</v>
    <v>111.49</v>
    <v>112.75</v>
    <v>113.35</v>
    <v>114.29</v>
    <v>114.69</v>
    <v>111.91</v>
    <v>112.4</v>
    <v>109.23</v>
    <v>109.85</v>
    <v>110.65</v>
    <v>112.5</v>
    <v>112.14</v>
    <v>112.16</v>
    <v>112.35</v>
    <v>114.68</v>
    <v>115.29</v>
    <v>113.93</v>
    <v>112.82</v>
    <v>112.02</v>
    <v>113.95</v>
    <v>114.56</v>
    <v>115.59</v>
    <v>117.22</v>
    <v>114.22</v>
    <v>112.75</v>
    <v>111.99</v>
    <v>111.29</v>
    <v>113.26</v>
    <v>114.2</v>
    <v>114.26</v>
    <v>114.02</v>
  </a>
  <a r="1" c="250">
    <v>48.045000000000002</v>
    <v>48.05</v>
    <v>48.08</v>
    <v>48.02</v>
    <v>48.215000000000003</v>
    <v>48.255000000000003</v>
    <v>48.034999999999997</v>
    <v>48.075000000000003</v>
    <v>47.75</v>
    <v>47.76</v>
    <v>47.400599999999997</v>
    <v>47.51</v>
    <v>47.4</v>
    <v>47.35</v>
    <v>47.403500000000001</v>
    <v>47.330100000000002</v>
    <v>47.225000000000001</v>
    <v>47.083300000000001</v>
    <v>47.33</v>
    <v>47.41</v>
    <v>47.14</v>
    <v>47.459499999999998</v>
    <v>47.53</v>
    <v>47.468899999999998</v>
    <v>47.19</v>
    <v>47.19</v>
    <v>47.18</v>
    <v>47.17</v>
    <v>47.215000000000003</v>
    <v>47.28</v>
    <v>47</v>
    <v>46.999000000000002</v>
    <v>47.0655</v>
    <v>47.44</v>
    <v>47.369300000000003</v>
    <v>47.4754</v>
    <v>47.686599999999999</v>
    <v>47.704999999999998</v>
    <v>47.62</v>
    <v>47.755000000000003</v>
    <v>47.784999999999997</v>
    <v>47.895000000000003</v>
    <v>47.784999999999997</v>
    <v>47.72</v>
    <v>47.609900000000003</v>
    <v>47.41</v>
    <v>47.241</v>
    <v>47.265000000000001</v>
    <v>47.262700000000002</v>
    <v>46.863900000000001</v>
    <v>46.722999999999999</v>
    <v>46.904899999999998</v>
    <v>46.7592</v>
    <v>46.586199999999998</v>
    <v>46.626300000000001</v>
    <v>46.545000000000002</v>
    <v>46.7149</v>
    <v>46.655000000000001</v>
    <v>46.6539</v>
    <v>46.614199999999997</v>
    <v>46.555</v>
    <v>46.396900000000002</v>
    <v>46.455800000000004</v>
    <v>46.172899999999998</v>
    <v>46.111699999999999</v>
    <v>46.1404</v>
    <v>46.573900000000002</v>
    <v>46.672899999999998</v>
    <v>46.692399999999999</v>
    <v>46.835000000000001</v>
    <v>46.5139</v>
    <v>46.434699999999999</v>
    <v>46.515900000000002</v>
    <v>46.73</v>
    <v>46.741799999999998</v>
    <v>46.729700000000001</v>
    <v>46.798200000000001</v>
    <v>46.669699999999999</v>
    <v>46.72</v>
    <v>46.83</v>
    <v>47.094999999999999</v>
    <v>47.055</v>
    <v>46.908999999999999</v>
    <v>46.884999999999998</v>
    <v>46.814999999999998</v>
    <v>46.578600000000002</v>
    <v>46.87</v>
    <v>47.015000000000001</v>
    <v>46.8444</v>
    <v>46.933799999999998</v>
    <v>46.979900000000001</v>
    <v>47.144300000000001</v>
    <v>47.21</v>
    <v>47.465000000000003</v>
    <v>47.35</v>
    <v>47.22</v>
    <v>47.356099999999998</v>
    <v>47.4696</v>
    <v>47.377499999999998</v>
    <v>47.25</v>
    <v>47.085900000000002</v>
    <v>47.060400000000001</v>
    <v>47.171999999999997</v>
    <v>46.969700000000003</v>
    <v>46.874600000000001</v>
    <v>46.951900000000002</v>
    <v>46.957599999999999</v>
    <v>47.034999999999997</v>
    <v>47.087899999999998</v>
    <v>47.26</v>
    <v>47.27</v>
    <v>47.233600000000003</v>
    <v>47.052999999999997</v>
    <v>47.138399999999997</v>
    <v>46.789200000000001</v>
    <v>46.755200000000002</v>
    <v>46.884799999999998</v>
    <v>47.104999999999997</v>
    <v>47.205199999999998</v>
    <v>47.201599999999999</v>
    <v>47.255200000000002</v>
    <v>46.7</v>
    <v>46.147100000000002</v>
    <v>45.660600000000002</v>
    <v>46.060400000000001</v>
    <v>45.923400000000001</v>
    <v>45.939100000000003</v>
    <v>46.2669</v>
    <v>46.3536</v>
    <v>46.458100000000002</v>
    <v>46.395000000000003</v>
    <v>45.982300000000002</v>
    <v>46.25</v>
    <v>46.195</v>
    <v>46.4651</v>
    <v>46.660600000000002</v>
    <v>46.9</v>
    <v>46.945</v>
    <v>46.975000000000001</v>
    <v>46.8307</v>
    <v>46.671100000000003</v>
    <v>46.574199999999998</v>
    <v>46.655000000000001</v>
    <v>46.7575</v>
    <v>46.571199999999997</v>
    <v>46.59</v>
    <v>46.48</v>
    <v>46.448999999999998</v>
    <v>46.311100000000003</v>
    <v>46.554099999999998</v>
    <v>46.620100000000001</v>
    <v>46.575299999999999</v>
    <v>46.5379</v>
    <v>46</v>
    <v>46.115000000000002</v>
    <v>46.179000000000002</v>
    <v>46.445300000000003</v>
    <v>46.36</v>
    <v>46.52</v>
    <v>46.600200000000001</v>
    <v>46.515700000000002</v>
    <v>46.55</v>
    <v>46.78</v>
    <v>46.704999999999998</v>
    <v>46.52</v>
    <v>46.550699999999999</v>
    <v>46.62</v>
    <v>46.754600000000003</v>
    <v>46.965000000000003</v>
    <v>46.73</v>
    <v>46.694899999999997</v>
    <v>46.82</v>
    <v>46.907499999999999</v>
    <v>46.898299999999999</v>
    <v>47.03</v>
    <v>47.212299999999999</v>
    <v>46.985900000000001</v>
    <v>47.113</v>
    <v>47.009099999999997</v>
    <v>47.331699999999998</v>
    <v>47.167900000000003</v>
    <v>47.165199999999999</v>
    <v>47.024999999999999</v>
    <v>46.854999999999997</v>
    <v>46.833500000000001</v>
    <v>47.03</v>
    <v>47.024999999999999</v>
    <v>46.792000000000002</v>
    <v>46.87</v>
    <v>46.695</v>
    <v>46.775100000000002</v>
    <v>46.784999999999997</v>
    <v>46.887900000000002</v>
    <v>47.049100000000003</v>
    <v>47.099699999999999</v>
    <v>46.78</v>
    <v>46.7254</v>
    <v>46.835000000000001</v>
    <v>46.77</v>
    <v>46.994999999999997</v>
    <v>46.854999999999997</v>
    <v>46.887999999999998</v>
    <v>47.215000000000003</v>
    <v>47.314999999999998</v>
    <v>47.334299999999999</v>
    <v>47.325000000000003</v>
    <v>47.344999999999999</v>
    <v>47.215000000000003</v>
    <v>47.269199999999998</v>
    <v>47.266800000000003</v>
    <v>47.4328</v>
    <v>47.31</v>
    <v>47.265000000000001</v>
    <v>47.21</v>
    <v>47.288200000000003</v>
    <v>47.102699999999999</v>
    <v>46.984999999999999</v>
    <v>47.244999999999997</v>
    <v>47.195</v>
    <v>47.36</v>
    <v>47.284999999999997</v>
    <v>47.336199999999998</v>
    <v>47.293700000000001</v>
    <v>47.15</v>
    <v>47.335000000000001</v>
    <v>47.535499999999999</v>
    <v>47.87</v>
    <v>47.905000000000001</v>
    <v>47.820300000000003</v>
    <v>47.9</v>
    <v>48.024999999999999</v>
    <v>47.935000000000002</v>
    <v>48.024999999999999</v>
    <v>48.07</v>
    <v>47.979399999999998</v>
    <v>47.854999999999997</v>
    <v>47.877000000000002</v>
    <v>47.804699999999997</v>
    <v>47.875599999999999</v>
    <v>47.5884</v>
    <v>47.515000000000001</v>
    <v>47.517600000000002</v>
    <v>47.615000000000002</v>
    <v>47.61</v>
    <v>47.734999999999999</v>
    <v>47.789700000000003</v>
    <v>47.734999999999999</v>
    <v>47.664999999999999</v>
    <v>47.725000000000001</v>
    <v>47.7348</v>
  </a>
  <a r="1" c="250">
    <v>29.14</v>
    <v>29.17</v>
    <v>29.2</v>
    <v>29.17</v>
    <v>29.19</v>
    <v>29.2</v>
    <v>29.19</v>
    <v>29.2</v>
    <v>29.17</v>
    <v>29.17</v>
    <v>29.14</v>
    <v>29.17</v>
    <v>29.15</v>
    <v>29.14</v>
    <v>29.15</v>
    <v>29.13</v>
    <v>29.12</v>
    <v>29.01</v>
    <v>29.04</v>
    <v>29.02</v>
    <v>28.99</v>
    <v>29.03</v>
    <v>29.02</v>
    <v>29.01</v>
    <v>28.97</v>
    <v>29.01</v>
    <v>28.99</v>
    <v>29.02</v>
    <v>29.02</v>
    <v>29.03</v>
    <v>29.02</v>
    <v>29</v>
    <v>29</v>
    <v>29.05</v>
    <v>29.05</v>
    <v>29.09</v>
    <v>29.12</v>
    <v>29.01</v>
    <v>29.02</v>
    <v>29.05</v>
    <v>29.05</v>
    <v>29.08</v>
    <v>29.08</v>
    <v>29.07</v>
    <v>29.06</v>
    <v>29.05</v>
    <v>29.03</v>
    <v>29.04</v>
    <v>29.04</v>
    <v>28.98</v>
    <v>28.88</v>
    <v>28.9</v>
    <v>28.89</v>
    <v>28.89</v>
    <v>28.91</v>
    <v>28.92</v>
    <v>28.96</v>
    <v>29.01</v>
    <v>28.97</v>
    <v>28.96</v>
    <v>28.97</v>
    <v>28.97</v>
    <v>28.98</v>
    <v>28.94</v>
    <v>28.92</v>
    <v>28.94</v>
    <v>28.99</v>
    <v>29.02</v>
    <v>29.02</v>
    <v>29.03</v>
    <v>29.01</v>
    <v>29.02</v>
    <v>29.03</v>
    <v>29.08</v>
    <v>29.08</v>
    <v>29.07</v>
    <v>29.08</v>
    <v>29.1</v>
    <v>28.97</v>
    <v>29</v>
    <v>29.01</v>
    <v>29</v>
    <v>28.99</v>
    <v>28.99</v>
    <v>28.99</v>
    <v>28.94</v>
    <v>28.98</v>
    <v>29.02</v>
    <v>29</v>
    <v>29.01</v>
    <v>29.02</v>
    <v>29.08</v>
    <v>29.08</v>
    <v>29.12</v>
    <v>29.15</v>
    <v>29.16</v>
    <v>29.2</v>
    <v>29.13</v>
    <v>29.15</v>
    <v>29.1</v>
    <v>29.13</v>
    <v>29.11</v>
    <v>29.17</v>
    <v>29.15</v>
    <v>29.14</v>
    <v>29.17</v>
    <v>29.14</v>
    <v>29.12</v>
    <v>29.14</v>
    <v>29.17</v>
    <v>29.18</v>
    <v>29.19</v>
    <v>29.15</v>
    <v>29.17</v>
    <v>29.17</v>
    <v>29.17</v>
    <v>29.22</v>
    <v>29.24</v>
    <v>29.15</v>
    <v>29.14</v>
    <v>29.24</v>
    <v>29.28</v>
    <v>29.22</v>
    <v>29.26</v>
    <v>29.17</v>
    <v>29.2</v>
    <v>29.16</v>
    <v>29.21</v>
    <v>29.23</v>
    <v>29.26</v>
    <v>29.25</v>
    <v>29.28</v>
    <v>29.24</v>
    <v>29.23</v>
    <v>29.25</v>
    <v>29.28</v>
    <v>29.32</v>
    <v>29.34</v>
    <v>29.38</v>
    <v>29.24</v>
    <v>29.16</v>
    <v>29.16</v>
    <v>29.19</v>
    <v>29.21</v>
    <v>29.16</v>
    <v>29.16</v>
    <v>29.1</v>
    <v>29.1</v>
    <v>29.08</v>
    <v>29.12</v>
    <v>29.12</v>
    <v>29.13</v>
    <v>29.15</v>
    <v>29.12</v>
    <v>29.14</v>
    <v>29.16</v>
    <v>29.16</v>
    <v>29.16</v>
    <v>29.19</v>
    <v>29.21</v>
    <v>29.09</v>
    <v>29.09</v>
    <v>29.15</v>
    <v>29.11</v>
    <v>29.07</v>
    <v>29.08</v>
    <v>29.08</v>
    <v>29.12</v>
    <v>29.15</v>
    <v>29.13</v>
    <v>29.12</v>
    <v>29.14</v>
    <v>29.15</v>
    <v>29.18</v>
    <v>29.21</v>
    <v>29.24</v>
    <v>29.25</v>
    <v>29.29</v>
    <v>29.27</v>
    <v>29.29</v>
    <v>29.17</v>
    <v>29.16</v>
    <v>29.14</v>
    <v>29.12</v>
    <v>29.12</v>
    <v>29.16</v>
    <v>29.15</v>
    <v>29.14</v>
    <v>29.14</v>
    <v>29.12</v>
    <v>29.17</v>
    <v>29.15</v>
    <v>29.18</v>
    <v>29.2</v>
    <v>29.21</v>
    <v>29.18</v>
    <v>29.18</v>
    <v>29.19</v>
    <v>29.17</v>
    <v>29.2</v>
    <v>29.18</v>
    <v>29.17</v>
    <v>29.22</v>
    <v>29.23</v>
    <v>29.22</v>
    <v>29.22</v>
    <v>29.21</v>
    <v>29.21</v>
    <v>29.2</v>
    <v>29.22</v>
    <v>29.26</v>
    <v>29.22</v>
    <v>29.22</v>
    <v>29.22</v>
    <v>29.24</v>
    <v>29.24</v>
    <v>29.23</v>
    <v>29.28</v>
    <v>29.27</v>
    <v>29.3</v>
    <v>29.31</v>
    <v>29.32</v>
    <v>29.34</v>
    <v>29.22</v>
    <v>29.24</v>
    <v>29.25</v>
    <v>29.3</v>
    <v>29.32</v>
    <v>29.3</v>
    <v>29.3</v>
    <v>29.31</v>
    <v>29.3</v>
    <v>29.33</v>
    <v>29.34</v>
    <v>29.33</v>
    <v>29.31</v>
    <v>29.32</v>
    <v>29.32</v>
    <v>29.33</v>
    <v>29.32</v>
    <v>29.28</v>
    <v>29.29</v>
    <v>29.31</v>
    <v>29.32</v>
    <v>29.26</v>
    <v>29.26</v>
    <v>29.27</v>
    <v>29.26</v>
    <v>29.28</v>
    <v>29.27</v>
  </a>
  <a r="1" c="250">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v>73.53</v>
  </a>
  <a r="1" c="250">
    <v>93.6</v>
    <v>92.99</v>
    <v>94.13</v>
    <v>94.97</v>
    <v>94.22</v>
    <v>96.75</v>
    <v>96.54</v>
    <v>97.28</v>
    <v>96.62</v>
    <v>96.74</v>
    <v>96.24</v>
    <v>95.4</v>
    <v>95.03</v>
    <v>96.2</v>
    <v>96.13</v>
    <v>95.08</v>
    <v>96.2</v>
    <v>95.81</v>
    <v>95.79</v>
    <v>96.63</v>
    <v>98.89</v>
    <v>98.93</v>
    <v>99.02</v>
    <v>100.86</v>
    <v>100.99</v>
    <v>102.72</v>
    <v>109.12</v>
    <v>115.08</v>
    <v>113.54</v>
    <v>112.42</v>
    <v>114.26</v>
    <v>114.72</v>
    <v>115.65</v>
    <v>116</v>
    <v>115.45</v>
    <v>117.6</v>
    <v>117.47</v>
    <v>117.16</v>
    <v>116.45</v>
    <v>116.99</v>
    <v>116.5</v>
    <v>116.73</v>
    <v>114.61</v>
    <v>114.73</v>
    <v>114.61</v>
    <v>114.9</v>
    <v>113.34</v>
    <v>112.11</v>
    <v>113.02</v>
    <v>111.35</v>
    <v>111.37</v>
    <v>112.03</v>
    <v>111.4</v>
    <v>112.56</v>
    <v>112.55</v>
    <v>111.55</v>
    <v>110.8</v>
    <v>111.35</v>
    <v>110.82</v>
    <v>111.16</v>
    <v>111.05</v>
    <v>111.39</v>
    <v>109.76</v>
    <v>108.65</v>
    <v>108.08</v>
    <v>108.12</v>
    <v>108.18</v>
    <v>106.46</v>
    <v>107.02</v>
    <v>108.7</v>
    <v>108.81</v>
    <v>111.04</v>
    <v>112.16</v>
    <v>113.34</v>
    <v>112.14</v>
    <v>113.19</v>
    <v>113.43</v>
    <v>113.06</v>
    <v>114</v>
    <v>113.3</v>
    <v>110.54</v>
    <v>112.09</v>
    <v>110.86</v>
    <v>109.28</v>
    <v>109.02</v>
    <v>109.23</v>
    <v>109.59</v>
    <v>110.38</v>
    <v>109.56</v>
    <v>111.35</v>
    <v>110.55</v>
    <v>108.66</v>
    <v>111.2</v>
    <v>110.53</v>
    <v>111.83</v>
    <v>111.31</v>
    <v>113.8</v>
    <v>112.79</v>
    <v>109.01</v>
    <v>109.31</v>
    <v>105.43</v>
    <v>105.51</v>
    <v>103.08</v>
    <v>97.9</v>
    <v>98.76</v>
    <v>96.87</v>
    <v>98.64</v>
    <v>99.36</v>
    <v>99.35</v>
    <v>100.29</v>
    <v>98.86</v>
    <v>99.46</v>
    <v>100.18</v>
    <v>101.61</v>
    <v>100.78</v>
    <v>100.45</v>
    <v>98.07</v>
    <v>98.7</v>
    <v>97.68</v>
    <v>97.88</v>
    <v>88.84</v>
    <v>83.53</v>
    <v>83.3</v>
    <v>81.72</v>
    <v>91.44</v>
    <v>85.23</v>
    <v>84.89</v>
    <v>84.66</v>
    <v>85.01</v>
    <v>82.77</v>
    <v>84.81</v>
    <v>84</v>
    <v>86.09</v>
    <v>87.29</v>
    <v>90.01</v>
    <v>90.28</v>
    <v>90.16</v>
    <v>91.17</v>
    <v>90.95</v>
    <v>90.81</v>
    <v>92.49</v>
    <v>92.11</v>
    <v>92.17</v>
    <v>102.09</v>
    <v>105.12</v>
    <v>105.94</v>
    <v>110.49</v>
    <v>111.38</v>
    <v>112.94</v>
    <v>112.22</v>
    <v>113.42</v>
    <v>112.66</v>
    <v>112.36</v>
    <v>110.46</v>
    <v>111.13</v>
    <v>109.72</v>
    <v>112.36</v>
    <v>111.52</v>
    <v>112.02</v>
    <v>113.04</v>
    <v>112.95</v>
    <v>113.6</v>
    <v>113.49</v>
    <v>112.53</v>
    <v>113.9</v>
    <v>115.66</v>
    <v>118.73</v>
    <v>119.52</v>
    <v>118.61</v>
    <v>117.94</v>
    <v>119.48</v>
    <v>118.13</v>
    <v>117.86</v>
    <v>117.63</v>
    <v>117.75</v>
    <v>118.65</v>
    <v>119.42</v>
    <v>121.46</v>
    <v>122.34</v>
    <v>124.01</v>
    <v>123.49</v>
    <v>122.98</v>
    <v>124</v>
    <v>123.16</v>
    <v>121.82</v>
    <v>120.61</v>
    <v>121.56</v>
    <v>119.87</v>
    <v>119.97</v>
    <v>118.98</v>
    <v>119.82</v>
    <v>122.21</v>
    <v>121.42</v>
    <v>120.84</v>
    <v>121.06</v>
    <v>122.94</v>
    <v>121.95</v>
    <v>121.47</v>
    <v>120.37</v>
    <v>119.91</v>
    <v>119.54</v>
    <v>119.11</v>
    <v>116.59</v>
    <v>119.35</v>
    <v>118.32</v>
    <v>115.17</v>
    <v>112.88</v>
    <v>112.43</v>
    <v>112.55</v>
    <v>113.72</v>
    <v>116.64</v>
    <v>116.31</v>
    <v>115.39</v>
    <v>116.55</v>
    <v>116.27</v>
    <v>117.04</v>
    <v>116.21</v>
    <v>118.86</v>
    <v>117.71</v>
    <v>117.65</v>
    <v>118.09</v>
    <v>117.64</v>
    <v>118.38</v>
    <v>118.27</v>
    <v>117.38</v>
    <v>118.81</v>
    <v>117.91</v>
    <v>118.84</v>
    <v>117.37</v>
    <v>115.79</v>
    <v>117.08</v>
    <v>115.96</v>
    <v>115.62</v>
    <v>115.23</v>
    <v>116.1</v>
    <v>114.86</v>
    <v>113.76</v>
    <v>112.56</v>
    <v>112.25</v>
    <v>113.43</v>
    <v>112.99</v>
    <v>113.47</v>
    <v>114.78</v>
    <v>114.5</v>
    <v>112.95</v>
    <v>112.14</v>
    <v>112.47</v>
    <v>112.75</v>
    <v>112.53</v>
    <v>111.89</v>
  </a>
  <a r="1" c="250">
    <v>50.9</v>
    <v>50.89</v>
    <v>50.91</v>
    <v>50.9</v>
    <v>50.91</v>
    <v>50.8</v>
    <v>50.94</v>
    <v>50.95</v>
    <v>50.96</v>
    <v>50.98</v>
    <v>50.99</v>
    <v>51.01</v>
    <v>51.06</v>
    <v>51.08</v>
    <v>51.07</v>
    <v>51.03</v>
    <v>51.03</v>
    <v>50.85</v>
    <v>50.88</v>
    <v>50.89</v>
    <v>50.91</v>
    <v>50.9</v>
    <v>50.94</v>
    <v>50.93</v>
    <v>50.94</v>
    <v>50.96</v>
    <v>50.95</v>
    <v>50.96</v>
    <v>50.98</v>
    <v>50.99</v>
    <v>51.02</v>
    <v>51.02</v>
    <v>51.04</v>
    <v>51.03</v>
    <v>51.04</v>
    <v>51.05</v>
    <v>51.07</v>
    <v>50.86</v>
    <v>50.86</v>
    <v>50.88</v>
    <v>50.89</v>
    <v>50.92</v>
    <v>50.92</v>
    <v>50.93</v>
    <v>50.93</v>
    <v>50.95</v>
    <v>50.97</v>
    <v>50.98</v>
    <v>50.98</v>
    <v>50.73</v>
    <v>50.75</v>
    <v>50.8</v>
    <v>50.82</v>
    <v>50.84</v>
    <v>50.85</v>
    <v>50.87</v>
    <v>50.87</v>
    <v>50.88</v>
    <v>50.9</v>
    <v>50.91</v>
    <v>50.91</v>
    <v>50.93</v>
    <v>50.94</v>
    <v>50.95</v>
    <v>50.97</v>
    <v>50.98</v>
    <v>51</v>
    <v>51</v>
    <v>51</v>
    <v>51.01</v>
    <v>51.01</v>
    <v>51.03</v>
    <v>51.03</v>
    <v>51.04</v>
    <v>51.06</v>
    <v>51.04</v>
    <v>51.09</v>
    <v>51.08</v>
    <v>50.9</v>
    <v>50.92</v>
    <v>50.92</v>
    <v>50.94</v>
    <v>50.95</v>
    <v>50.94</v>
    <v>50.96</v>
    <v>50.96</v>
    <v>50.99</v>
    <v>51.01</v>
    <v>51.02</v>
    <v>51.04</v>
    <v>51.04</v>
    <v>51.05</v>
    <v>51.05</v>
    <v>51.07</v>
    <v>51.06</v>
    <v>51.06</v>
    <v>51.09</v>
    <v>50.91</v>
    <v>50.87</v>
    <v>50.91</v>
    <v>50.91</v>
    <v>50.96</v>
    <v>50.94</v>
    <v>50.94</v>
    <v>50.94</v>
    <v>50.92</v>
    <v>50.97</v>
    <v>50.97</v>
    <v>50.98</v>
    <v>50.99</v>
    <v>50.98</v>
    <v>51.01</v>
    <v>51.03</v>
    <v>51.02</v>
    <v>51.03</v>
    <v>51.04</v>
    <v>51.05</v>
    <v>51.05</v>
    <v>50.88</v>
    <v>50.9</v>
    <v>50.83</v>
    <v>50.1</v>
    <v>50.31</v>
    <v>50.17</v>
    <v>50.64</v>
    <v>50.31</v>
    <v>50.35</v>
    <v>50.54</v>
    <v>50.69</v>
    <v>50.73</v>
    <v>50.76</v>
    <v>50.68</v>
    <v>50.8</v>
    <v>50.83</v>
    <v>50.87</v>
    <v>50.88</v>
    <v>50.89</v>
    <v>50.92</v>
    <v>50.92</v>
    <v>50.7</v>
    <v>50.74</v>
    <v>50.73</v>
    <v>50.74</v>
    <v>50.75</v>
    <v>50.76</v>
    <v>50.76</v>
    <v>50.8</v>
    <v>50.86</v>
    <v>50.83</v>
    <v>50.86</v>
    <v>50.9</v>
    <v>50.9</v>
    <v>50.89</v>
    <v>50.89</v>
    <v>50.9</v>
    <v>50.92</v>
    <v>50.97</v>
    <v>50.96</v>
    <v>50.96</v>
    <v>50.97</v>
    <v>50.79</v>
    <v>50.81</v>
    <v>50.82</v>
    <v>50.81</v>
    <v>50.83</v>
    <v>50.84</v>
    <v>50.85</v>
    <v>50.86</v>
    <v>50.88</v>
    <v>50.88</v>
    <v>50.9</v>
    <v>50.905000000000001</v>
    <v>50.9</v>
    <v>50.94</v>
    <v>50.95</v>
    <v>50.96</v>
    <v>50.97</v>
    <v>50.99</v>
    <v>51.01</v>
    <v>51.02</v>
    <v>50.82</v>
    <v>50.83</v>
    <v>50.88</v>
    <v>50.87</v>
    <v>50.88</v>
    <v>50.92</v>
    <v>50.93</v>
    <v>50.945</v>
    <v>50.945</v>
    <v>50.954999999999998</v>
    <v>50.965000000000003</v>
    <v>50.99</v>
    <v>51</v>
    <v>51</v>
    <v>51.02</v>
    <v>51.04</v>
    <v>51.05</v>
    <v>51.064999999999998</v>
    <v>51.075000000000003</v>
    <v>51.06</v>
    <v>51.075000000000003</v>
    <v>51.04</v>
    <v>50.86</v>
    <v>50.87</v>
    <v>50.86</v>
    <v>50.9</v>
    <v>50.91</v>
    <v>50.95</v>
    <v>50.96</v>
    <v>50.95</v>
    <v>50.97</v>
    <v>50.98</v>
    <v>51</v>
    <v>51.01</v>
    <v>51.01</v>
    <v>51.04</v>
    <v>51.03</v>
    <v>51.05</v>
    <v>51.07</v>
    <v>51.03</v>
    <v>51.05</v>
    <v>51.04</v>
    <v>51.05</v>
    <v>50.85</v>
    <v>50.88</v>
    <v>50.88</v>
    <v>50.88</v>
    <v>50.89</v>
    <v>50.89</v>
    <v>50.914999999999999</v>
    <v>50.92</v>
    <v>50.97</v>
    <v>50.98</v>
    <v>50.97</v>
    <v>50.97</v>
    <v>50.99</v>
    <v>51</v>
    <v>51.01</v>
    <v>51.02</v>
    <v>51.03</v>
    <v>51.02</v>
    <v>51.08</v>
    <v>51.08</v>
    <v>51.085000000000001</v>
    <v>50.9</v>
    <v>50.9</v>
    <v>50.92</v>
    <v>50.94</v>
    <v>50.93</v>
    <v>50.96</v>
  </a>
  <a r="1" c="250">
    <v>87.32</v>
    <v>89.07</v>
    <v>90.25</v>
    <v>91.35</v>
    <v>90.47</v>
    <v>91.28</v>
    <v>91.16</v>
    <v>92.98</v>
    <v>92.27</v>
    <v>94.51</v>
    <v>93.53</v>
    <v>94.25</v>
    <v>93.51</v>
    <v>94.79</v>
    <v>95.98</v>
    <v>92.75</v>
    <v>90.96</v>
    <v>90.61</v>
    <v>90.06</v>
    <v>91.48</v>
    <v>90.74</v>
    <v>91.27</v>
    <v>88.75</v>
    <v>88.23</v>
    <v>86.78</v>
    <v>85.71</v>
    <v>86.04</v>
    <v>86.08</v>
    <v>88.64</v>
    <v>89.16</v>
    <v>87.84</v>
    <v>88.33</v>
    <v>88.24</v>
    <v>86.01</v>
    <v>84.95</v>
    <v>85.14</v>
    <v>87.06</v>
    <v>86.72</v>
    <v>87.24</v>
    <v>86.21</v>
    <v>85.84</v>
    <v>85.04</v>
    <v>85.91</v>
    <v>86.2</v>
    <v>85.91</v>
    <v>85.35</v>
    <v>84.3</v>
    <v>85.69</v>
    <v>85.91</v>
    <v>84.27</v>
    <v>84.63</v>
    <v>84.92</v>
    <v>85.83</v>
    <v>86.32</v>
    <v>85.85</v>
    <v>84.22</v>
    <v>82.66</v>
    <v>83.05</v>
    <v>84.59</v>
    <v>85.7</v>
    <v>85.55</v>
    <v>87.15</v>
    <v>87.62</v>
    <v>87.78</v>
    <v>87.07</v>
    <v>86.1</v>
    <v>86.03</v>
    <v>85.54</v>
    <v>86.12</v>
    <v>86.5</v>
    <v>86.79</v>
    <v>86.83</v>
    <v>86.88</v>
    <v>86.75</v>
    <v>86.19</v>
    <v>87.04</v>
    <v>88.76</v>
    <v>89.79</v>
    <v>88.31</v>
    <v>88.5</v>
    <v>89.84</v>
    <v>90.73</v>
    <v>88.97</v>
    <v>90.53</v>
    <v>90.21</v>
    <v>90.85</v>
    <v>91.5</v>
    <v>89.61</v>
    <v>90.02</v>
    <v>89.4</v>
    <v>89.62</v>
    <v>88.69</v>
    <v>88.2</v>
    <v>88.43</v>
    <v>88.45</v>
    <v>86.78</v>
    <v>86.39</v>
    <v>87.18</v>
    <v>87.75</v>
    <v>88.47</v>
    <v>88.47</v>
    <v>88.1</v>
    <v>87.55</v>
    <v>89.93</v>
    <v>90.64</v>
    <v>91</v>
    <v>90.92</v>
    <v>91.78</v>
    <v>91.65</v>
    <v>91.27</v>
    <v>90.09</v>
    <v>89.93</v>
    <v>88.88</v>
    <v>89.47</v>
    <v>89.34</v>
    <v>90.2</v>
    <v>89.96</v>
    <v>91.37</v>
    <v>90.08</v>
    <v>88.78</v>
    <v>86.54</v>
    <v>83.9</v>
    <v>83.41</v>
    <v>83.89</v>
    <v>85.07</v>
    <v>85.26</v>
    <v>86.4</v>
    <v>87.1</v>
    <v>87.96</v>
    <v>88.6</v>
    <v>88.48</v>
    <v>88.35</v>
    <v>87.61</v>
    <v>88.44</v>
    <v>89.02</v>
    <v>88.97</v>
    <v>90.56</v>
    <v>89.57</v>
    <v>88.49</v>
    <v>88.28</v>
    <v>88.21</v>
    <v>87.97</v>
    <v>90.31</v>
    <v>89.33</v>
    <v>89.63</v>
    <v>91.17</v>
    <v>89.59</v>
    <v>90.6</v>
    <v>89.56</v>
    <v>90.64</v>
    <v>90.31</v>
    <v>91.55</v>
    <v>96.46</v>
    <v>98.86</v>
    <v>98.6</v>
    <v>100.15</v>
    <v>99.05</v>
    <v>98.92</v>
    <v>98.76</v>
    <v>96.75</v>
    <v>97.51</v>
    <v>98.45</v>
    <v>100.51</v>
    <v>104.38</v>
    <v>107</v>
    <v>111.1</v>
    <v>111.21</v>
    <v>114.71</v>
    <v>117.86</v>
    <v>112.01</v>
    <v>113.75</v>
    <v>115.4</v>
    <v>120.54</v>
    <v>115.37</v>
    <v>117.7</v>
    <v>119.87</v>
    <v>124.05</v>
    <v>128.86000000000001</v>
    <v>122.01</v>
    <v>122.87</v>
    <v>123.52</v>
    <v>130.16</v>
    <v>125.14</v>
    <v>125.16</v>
    <v>124.74</v>
    <v>122.86</v>
    <v>124.08</v>
    <v>128.19999999999999</v>
    <v>124.28</v>
    <v>124.23</v>
    <v>129</v>
    <v>132.94</v>
    <v>129.88999999999999</v>
    <v>131.04</v>
    <v>131.08000000000001</v>
    <v>128.81</v>
    <v>128.28</v>
    <v>127.62</v>
    <v>125.78</v>
    <v>127.4</v>
    <v>118.76</v>
    <v>117.81</v>
    <v>120.05</v>
    <v>121.07</v>
    <v>119.93</v>
    <v>121.9</v>
    <v>121.89</v>
    <v>121.13</v>
    <v>120.98</v>
    <v>121.98</v>
    <v>122.16</v>
    <v>123.78</v>
    <v>122.34</v>
    <v>121.48</v>
    <v>119.46</v>
    <v>122.2</v>
    <v>123.7</v>
    <v>123.98</v>
    <v>122.25</v>
    <v>123.22</v>
    <v>122.98</v>
    <v>124.05</v>
    <v>125.22</v>
    <v>128.08000000000001</v>
    <v>129.63</v>
    <v>125.33</v>
    <v>125.78</v>
    <v>126.16</v>
    <v>125</v>
    <v>126.57</v>
    <v>126.29</v>
    <v>127.53</v>
    <v>128.15</v>
    <v>126.86</v>
    <v>123.85</v>
    <v>126.15</v>
    <v>128.46</v>
    <v>129.77000000000001</v>
    <v>134.75</v>
    <v>134.43</v>
    <v>139.88999999999999</v>
    <v>143.83000000000001</v>
    <v>145.77000000000001</v>
    <v>142.88</v>
    <v>142.07</v>
    <v>142.84</v>
    <v>146.38999999999999</v>
    <v>148.16999999999999</v>
    <v>147.79</v>
    <v>152.19999999999999</v>
  </a>
  <a r="1" c="250">
    <v>91.62</v>
    <v>92.24</v>
    <v>92.81</v>
    <v>92.77</v>
    <v>89.78</v>
    <v>90.21</v>
    <v>90.64</v>
    <v>90.34</v>
    <v>90.07</v>
    <v>90.28</v>
    <v>89.81</v>
    <v>89.8</v>
    <v>89.77</v>
    <v>89.2</v>
    <v>87.84</v>
    <v>88.04</v>
    <v>88.59</v>
    <v>88.03</v>
    <v>89.57</v>
    <v>90.17</v>
    <v>93.56</v>
    <v>93.13</v>
    <v>93.75</v>
    <v>94.28</v>
    <v>93.78</v>
    <v>94.51</v>
    <v>94.87</v>
    <v>94.73</v>
    <v>95.99</v>
    <v>95.38</v>
    <v>96.34</v>
    <v>97.12</v>
    <v>97.27</v>
    <v>95.35</v>
    <v>95.22</v>
    <v>95.12</v>
    <v>95.53</v>
    <v>94.52</v>
    <v>94.51</v>
    <v>92.23</v>
    <v>92.59</v>
    <v>91.02</v>
    <v>90.87</v>
    <v>90.25</v>
    <v>90.4</v>
    <v>89.67</v>
    <v>89.22</v>
    <v>87.26</v>
    <v>86.61</v>
    <v>84.05</v>
    <v>83.32</v>
    <v>84.14</v>
    <v>83.93</v>
    <v>84.64</v>
    <v>84.57</v>
    <v>84.56</v>
    <v>84.55</v>
    <v>85.66</v>
    <v>86.66</v>
    <v>87.47</v>
    <v>87.07</v>
    <v>87.94</v>
    <v>88.03</v>
    <v>88.39</v>
    <v>90.25</v>
    <v>91.22</v>
    <v>92.57</v>
    <v>93.24</v>
    <v>93.96</v>
    <v>93.48</v>
    <v>91.78</v>
    <v>92.2</v>
    <v>91.31</v>
    <v>90.36</v>
    <v>89.5</v>
    <v>89.7</v>
    <v>90.16</v>
    <v>87.64</v>
    <v>88.19</v>
    <v>90.04</v>
    <v>90.23</v>
    <v>88.57</v>
    <v>88.56</v>
    <v>90.51</v>
    <v>91.24</v>
    <v>89.04</v>
    <v>89.71</v>
    <v>90.07</v>
    <v>91.3</v>
    <v>92.02</v>
    <v>92.86</v>
    <v>90.93</v>
    <v>90.95</v>
    <v>89.64</v>
    <v>89.13</v>
    <v>89.61</v>
    <v>91</v>
    <v>87.82</v>
    <v>86.97</v>
    <v>85.7</v>
    <v>85.96</v>
    <v>87.43</v>
    <v>88.08</v>
    <v>87.38</v>
    <v>87.78</v>
    <v>87.18</v>
    <v>89.76</v>
    <v>91.19</v>
    <v>91.34</v>
    <v>92.83</v>
    <v>93.17</v>
    <v>92.52</v>
    <v>92.85</v>
    <v>93.23</v>
    <v>93.78</v>
    <v>92.87</v>
    <v>92.43</v>
    <v>93.45</v>
    <v>94</v>
    <v>94.13</v>
    <v>86.74</v>
    <v>78.760000000000005</v>
    <v>78.25</v>
    <v>76.44</v>
    <v>82.36</v>
    <v>76.98</v>
    <v>78.89</v>
    <v>79.17</v>
    <v>79.05</v>
    <v>79.7</v>
    <v>81.5</v>
    <v>79.37</v>
    <v>81.39</v>
    <v>81.239999999999995</v>
    <v>82.54</v>
    <v>82.39</v>
    <v>82.97</v>
    <v>82.73</v>
    <v>80.5</v>
    <v>80.8</v>
    <v>81.98</v>
    <v>80.5</v>
    <v>80.52</v>
    <v>80.55</v>
    <v>81.61</v>
    <v>82.43</v>
    <v>84.58</v>
    <v>85.77</v>
    <v>85.25</v>
    <v>85.61</v>
    <v>85.48</v>
    <v>84.37</v>
    <v>83.59</v>
    <v>82.05</v>
    <v>81.73</v>
    <v>81.99</v>
    <v>82.7</v>
    <v>81.650000000000006</v>
    <v>82.26</v>
    <v>81.53</v>
    <v>82.6</v>
    <v>83.58</v>
    <v>81.95</v>
    <v>81.87</v>
    <v>83.41</v>
    <v>83.57</v>
    <v>85.06</v>
    <v>86.29</v>
    <v>86.59</v>
    <v>88.1</v>
    <v>87.84</v>
    <v>88.66</v>
    <v>88.08</v>
    <v>88.98</v>
    <v>86.03</v>
    <v>84.91</v>
    <v>84.54</v>
    <v>85.75</v>
    <v>85.3</v>
    <v>84.81</v>
    <v>85.46</v>
    <v>86.93</v>
    <v>87.03</v>
    <v>86.19</v>
    <v>88.51</v>
    <v>88.06</v>
    <v>88.73</v>
    <v>89.13</v>
    <v>88.15</v>
    <v>86.88</v>
    <v>86.13</v>
    <v>86.66</v>
    <v>85.96</v>
    <v>85.07</v>
    <v>85.47</v>
    <v>86.81</v>
    <v>87.43</v>
    <v>87.1</v>
    <v>88.09</v>
    <v>88.95</v>
    <v>87.68</v>
    <v>87.21</v>
    <v>85.59</v>
    <v>85.4</v>
    <v>85.51</v>
    <v>84.72</v>
    <v>84.39</v>
    <v>84.93</v>
    <v>84.25</v>
    <v>84.66</v>
    <v>85.64</v>
    <v>85.56</v>
    <v>85.56</v>
    <v>85.05</v>
    <v>85.08</v>
    <v>85.79</v>
    <v>86.38</v>
    <v>88.14</v>
    <v>88.37</v>
    <v>88.23</v>
    <v>89.22</v>
    <v>89.9</v>
    <v>90.39</v>
    <v>90.52</v>
    <v>88.49</v>
    <v>89.08</v>
    <v>87.36</v>
    <v>87.16</v>
    <v>87.58</v>
    <v>89.11</v>
    <v>89.13</v>
    <v>88.6</v>
    <v>88.3</v>
    <v>89.78</v>
    <v>89.99</v>
    <v>89.71</v>
    <v>88.52</v>
    <v>87.67</v>
    <v>89.18</v>
    <v>90.34</v>
    <v>91.15</v>
    <v>91.99</v>
    <v>90.3</v>
    <v>89.34</v>
    <v>89.34</v>
    <v>88.44</v>
    <v>88.91</v>
    <v>89.35</v>
    <v>89.49</v>
    <v>88.97</v>
  </a>
  <a r="1" c="250">
    <v>25.57</v>
    <v>25.76</v>
    <v>25.96</v>
    <v>25.81</v>
    <v>25.99</v>
    <v>25.73</v>
    <v>25.67</v>
    <v>25.4</v>
    <v>25.36</v>
    <v>25.26</v>
    <v>25.2</v>
    <v>24.81</v>
    <v>24.84</v>
    <v>25.04</v>
    <v>25.33</v>
    <v>25.53</v>
    <v>25.5</v>
    <v>25.32</v>
    <v>25.34</v>
    <v>25.34</v>
    <v>25.15</v>
    <v>25.71</v>
    <v>25.47</v>
    <v>25.38</v>
    <v>25.59</v>
    <v>25.67</v>
    <v>25.89</v>
    <v>26</v>
    <v>26.08</v>
    <v>26.22</v>
    <v>26.36</v>
    <v>26.31</v>
    <v>26.51</v>
    <v>26.53</v>
    <v>26.77</v>
    <v>26.89</v>
    <v>26.76</v>
    <v>26.56</v>
    <v>26.44</v>
    <v>26.55</v>
    <v>27</v>
    <v>27.25</v>
    <v>27.36</v>
    <v>27.58</v>
    <v>27.49</v>
    <v>27.46</v>
    <v>27.64</v>
    <v>27.76</v>
    <v>27.71</v>
    <v>27.83</v>
    <v>27.33</v>
    <v>27.6</v>
    <v>26.39</v>
    <v>26.53</v>
    <v>26.25</v>
    <v>25.85</v>
    <v>26.27</v>
    <v>26.59</v>
    <v>26.62</v>
    <v>26.49</v>
    <v>26.43</v>
    <v>26.5</v>
    <v>26.36</v>
    <v>26.45</v>
    <v>26.75</v>
    <v>26.66</v>
    <v>26.73</v>
    <v>26.34</v>
    <v>26.6</v>
    <v>26.92</v>
    <v>27.22</v>
    <v>27.26</v>
    <v>27.36</v>
    <v>27.32</v>
    <v>27.56</v>
    <v>27.92</v>
    <v>27.72</v>
    <v>27.6</v>
    <v>27.64</v>
    <v>27.73</v>
    <v>27.87</v>
    <v>27.68</v>
    <v>27.57</v>
    <v>27.89</v>
    <v>27.89</v>
    <v>27.97</v>
    <v>28.19</v>
    <v>28.17</v>
    <v>28.38</v>
    <v>28.22</v>
    <v>27.92</v>
    <v>27.55</v>
    <v>27.03</v>
    <v>27.06</v>
    <v>27.12</v>
    <v>26.81</v>
    <v>26.49</v>
    <v>26.05</v>
    <v>26.19</v>
    <v>26.39</v>
    <v>26.29</v>
    <v>26.5</v>
    <v>26.63</v>
    <v>26.64</v>
    <v>26.58</v>
    <v>26.62</v>
    <v>26.46</v>
    <v>26.86</v>
    <v>26.86</v>
    <v>26.85</v>
    <v>26.9</v>
    <v>26.74</v>
    <v>26.68</v>
    <v>26.77</v>
    <v>26.57</v>
    <v>26.43</v>
    <v>26.47</v>
    <v>26.34</v>
    <v>26.93</v>
    <v>27.18</v>
    <v>26.98</v>
    <v>26.14</v>
    <v>25.47</v>
    <v>25.27</v>
    <v>26.02</v>
    <v>25.76</v>
    <v>26.31</v>
    <v>26.28</v>
    <v>26.14</v>
    <v>26.52</v>
    <v>26.65</v>
    <v>26.63</v>
    <v>26.98</v>
    <v>26.97</v>
    <v>27.25</v>
    <v>27.48</v>
    <v>27.29</v>
    <v>26.98</v>
    <v>26.81</v>
    <v>26.62</v>
    <v>26.86</v>
    <v>26.71</v>
    <v>26.88</v>
    <v>26.87</v>
    <v>26.91</v>
    <v>27.02</v>
    <v>26.99</v>
    <v>27.38</v>
    <v>27.23</v>
    <v>27.4</v>
    <v>27.34</v>
    <v>27.58</v>
    <v>27.65</v>
    <v>27.68</v>
    <v>27.4</v>
    <v>27.14</v>
    <v>27.01</v>
    <v>26.72</v>
    <v>26.57</v>
    <v>26.7</v>
    <v>26.63</v>
    <v>26.7</v>
    <v>26.9</v>
    <v>27.26</v>
    <v>27.48</v>
    <v>27.39</v>
    <v>27.07</v>
    <v>27.05</v>
    <v>27.01</v>
    <v>26.96</v>
    <v>27.17</v>
    <v>26.89</v>
    <v>26.78</v>
    <v>26.41</v>
    <v>26.48</v>
    <v>26.29</v>
    <v>26.08</v>
    <v>26.14</v>
    <v>26.33</v>
    <v>26.15</v>
    <v>25.65</v>
    <v>25.87</v>
    <v>25.89</v>
    <v>25.71</v>
    <v>25.74</v>
    <v>25.93</v>
    <v>25.77</v>
    <v>25.77</v>
    <v>25.88</v>
    <v>25.62</v>
    <v>25.88</v>
    <v>25.78</v>
    <v>26.03</v>
    <v>25.9</v>
    <v>25.97</v>
    <v>26.2</v>
    <v>26.2</v>
    <v>26.08</v>
    <v>26.23</v>
    <v>26.01</v>
    <v>25.96</v>
    <v>25.9</v>
    <v>25.67</v>
    <v>25.73</v>
    <v>25.92</v>
    <v>25.99</v>
    <v>26.25</v>
    <v>26.21</v>
    <v>26.63</v>
    <v>26.81</v>
    <v>26.9</v>
    <v>26.6</v>
    <v>27.06</v>
    <v>27.02</v>
    <v>27.13</v>
    <v>27.2</v>
    <v>27.28</v>
    <v>27.59</v>
    <v>27.58</v>
    <v>27.42</v>
    <v>27.68</v>
    <v>27.52</v>
    <v>27.77</v>
    <v>27.45</v>
    <v>27.32</v>
    <v>27.24</v>
    <v>27.16</v>
    <v>27.28</v>
    <v>27.1</v>
    <v>27.21</v>
    <v>27.41</v>
    <v>27.5</v>
    <v>27.91</v>
    <v>27.76</v>
    <v>27.18</v>
    <v>27.08</v>
    <v>26.97</v>
    <v>26.85</v>
    <v>26.81</v>
    <v>26.9</v>
    <v>26.84</v>
    <v>26.98</v>
    <v>26.91</v>
    <v>26.76</v>
    <v>26.81</v>
    <v>26.68</v>
    <v>26.67</v>
    <v>26.74</v>
    <v>26.6</v>
    <v>26.64</v>
  </a>
  <a r="1" c="250">
    <v>455.9</v>
    <v>454.93</v>
    <v>460.21</v>
    <v>459.98</v>
    <v>462.68</v>
    <v>465.69</v>
    <v>465.85</v>
    <v>464.8</v>
    <v>464.16</v>
    <v>461.45</v>
    <v>460.61</v>
    <v>457.77</v>
    <v>454.01</v>
    <v>458.49</v>
    <v>454.62</v>
    <v>454.96</v>
    <v>450.92</v>
    <v>452.14</v>
    <v>442.29</v>
    <v>445.06</v>
    <v>468.9</v>
    <v>460.13</v>
    <v>463.41</v>
    <v>467.36</v>
    <v>466.29</v>
    <v>468.1</v>
    <v>467.7</v>
    <v>470.28</v>
    <v>472.2</v>
    <v>468.86</v>
    <v>468.83</v>
    <v>472.06</v>
    <v>476.57</v>
    <v>477.43</v>
    <v>478.56</v>
    <v>483.08</v>
    <v>483.02</v>
    <v>477.33</v>
    <v>470.19</v>
    <v>468.32</v>
    <v>470.57</v>
    <v>470.5</v>
    <v>463.87</v>
    <v>462.49</v>
    <v>461.39</v>
    <v>458.63</v>
    <v>457.9</v>
    <v>455.2</v>
    <v>455.66</v>
    <v>446.59</v>
    <v>449.34</v>
    <v>453.2</v>
    <v>454.35</v>
    <v>458.66</v>
    <v>459.08</v>
    <v>456.51</v>
    <v>452.16</v>
    <v>453.28</v>
    <v>451.1</v>
    <v>453.56</v>
    <v>451.41</v>
    <v>452.92</v>
    <v>451.84</v>
    <v>442.66</v>
    <v>443.91</v>
    <v>450.03</v>
    <v>458.51</v>
    <v>462.81</v>
    <v>467.95</v>
    <v>468.57</v>
    <v>460.51</v>
    <v>459.83</v>
    <v>463.19</v>
    <v>474.7</v>
    <v>469.97</v>
    <v>469.26</v>
    <v>472.35</v>
    <v>468.67</v>
    <v>464.61</v>
    <v>467.49</v>
    <v>473.73</v>
    <v>477.22</v>
    <v>472.74</v>
    <v>470.17</v>
    <v>472.61</v>
    <v>471.73</v>
    <v>480.49</v>
    <v>479.59</v>
    <v>482.82</v>
    <v>483.77</v>
    <v>481.8</v>
    <v>478.74</v>
    <v>498.42</v>
    <v>499.82</v>
    <v>494.1</v>
    <v>502.41</v>
    <v>513.83000000000004</v>
    <v>510.08</v>
    <v>495.86</v>
    <v>498.5</v>
    <v>497.84</v>
    <v>495.62</v>
    <v>497.1</v>
    <v>496.25</v>
    <v>495.94</v>
    <v>504.25</v>
    <v>514.6</v>
    <v>523.01</v>
    <v>523.14</v>
    <v>525.27</v>
    <v>528.73</v>
    <v>521.91</v>
    <v>525.85</v>
    <v>528.87</v>
    <v>533.21</v>
    <v>534.52</v>
    <v>526.30999999999995</v>
    <v>532.58000000000004</v>
    <v>532.99</v>
    <v>537.72</v>
    <v>530.16</v>
    <v>493.54</v>
    <v>490.38</v>
    <v>492.64</v>
    <v>521.41</v>
    <v>515.80999999999995</v>
    <v>524.11</v>
    <v>529.52</v>
    <v>528.16999999999996</v>
    <v>516.45000000000005</v>
    <v>518.21</v>
    <v>506.92</v>
    <v>520.79</v>
    <v>526.80999999999995</v>
    <v>531.64</v>
    <v>530.96</v>
    <v>530.94000000000005</v>
    <v>534.57000000000005</v>
    <v>533.25</v>
    <v>530.23</v>
    <v>539.79999999999995</v>
    <v>512.15</v>
    <v>512.33000000000004</v>
    <v>518.22</v>
    <v>513.25</v>
    <v>513.74</v>
    <v>514.29999999999995</v>
    <v>511.88</v>
    <v>503.4</v>
    <v>507.33</v>
    <v>514.30999999999995</v>
    <v>512.39</v>
    <v>508.74</v>
    <v>507.03</v>
    <v>503.57</v>
    <v>503.46</v>
    <v>509.16</v>
    <v>503.11</v>
    <v>506.18</v>
    <v>503.96</v>
    <v>502.81</v>
    <v>497.83</v>
    <v>491</v>
    <v>488.74</v>
    <v>493.53</v>
    <v>493.33</v>
    <v>491.13</v>
    <v>488.14</v>
    <v>490.34</v>
    <v>487.54</v>
    <v>490.23</v>
    <v>483.48</v>
    <v>485.14</v>
    <v>484.85</v>
    <v>487.77</v>
    <v>493.48</v>
    <v>486.21</v>
    <v>485.05</v>
    <v>485.68</v>
    <v>485.77</v>
    <v>489.61</v>
    <v>480.48</v>
    <v>485</v>
    <v>478.03</v>
    <v>477.47</v>
    <v>478.91</v>
    <v>478.27</v>
    <v>475.86</v>
    <v>476.31</v>
    <v>470.13</v>
    <v>471.31</v>
    <v>473.4</v>
    <v>473.8</v>
    <v>474.41</v>
    <v>478.13</v>
    <v>482.63</v>
    <v>480.6</v>
    <v>484.07</v>
    <v>481.7</v>
    <v>476.56</v>
    <v>476</v>
    <v>471.88</v>
    <v>472.84</v>
    <v>459.11</v>
    <v>464.19</v>
    <v>468.91</v>
    <v>461.47</v>
    <v>465.4</v>
    <v>464.73</v>
    <v>470.39</v>
    <v>477.31</v>
    <v>479.22</v>
    <v>477.2</v>
    <v>478.52</v>
    <v>485.31</v>
    <v>488.68</v>
    <v>488.59</v>
    <v>489</v>
    <v>486.18</v>
    <v>492.21</v>
    <v>495.72</v>
    <v>499.86</v>
    <v>502.98</v>
    <v>501.14</v>
    <v>501.49</v>
    <v>506.91</v>
    <v>499.77</v>
    <v>493.78</v>
    <v>492.72</v>
    <v>490.08</v>
    <v>496.91</v>
    <v>493.74</v>
    <v>491.54</v>
    <v>490.99</v>
    <v>492.33</v>
    <v>490.5</v>
    <v>492.85</v>
    <v>493.71</v>
    <v>494.1</v>
    <v>497.09</v>
    <v>494.96</v>
    <v>500.03</v>
    <v>499.25</v>
    <v>502.74</v>
    <v>498.2</v>
    <v>495.92</v>
    <v>498.75</v>
    <v>500.02</v>
    <v>502.3</v>
    <v>499.84</v>
  </a>
  <a r="1" c="250">
    <v>149.65</v>
    <v>150.62</v>
    <v>151.41999999999999</v>
    <v>151.78</v>
    <v>147.72999999999999</v>
    <v>148.72999999999999</v>
    <v>151.19999999999999</v>
    <v>150.75</v>
    <v>150.88</v>
    <v>150.91999999999999</v>
    <v>150.47999999999999</v>
    <v>150.44999999999999</v>
    <v>150.81</v>
    <v>150.54</v>
    <v>148.52000000000001</v>
    <v>148.05000000000001</v>
    <v>148.82</v>
    <v>153.07</v>
    <v>153.97</v>
    <v>153.41</v>
    <v>157.72</v>
    <v>156.77000000000001</v>
    <v>156.93</v>
    <v>156.5</v>
    <v>155.29</v>
    <v>158.72</v>
    <v>161.80000000000001</v>
    <v>161.41999999999999</v>
    <v>160.76</v>
    <v>159.6</v>
    <v>161.33000000000001</v>
    <v>161.63</v>
    <v>162.36000000000001</v>
    <v>160.36000000000001</v>
    <v>162.53</v>
    <v>162.11000000000001</v>
    <v>161.93</v>
    <v>162.21</v>
    <v>161.91999999999999</v>
    <v>158.32</v>
    <v>159.33000000000001</v>
    <v>155.24</v>
    <v>157.08000000000001</v>
    <v>157</v>
    <v>156.21</v>
    <v>154.71</v>
    <v>153.87</v>
    <v>149.36000000000001</v>
    <v>148.11000000000001</v>
    <v>144.08000000000001</v>
    <v>141.15</v>
    <v>142.85</v>
    <v>142.97</v>
    <v>143.84</v>
    <v>143.97999999999999</v>
    <v>144</v>
    <v>143.07</v>
    <v>144.84</v>
    <v>146.71</v>
    <v>147.85</v>
    <v>147.26</v>
    <v>149.59</v>
    <v>150.30000000000001</v>
    <v>153.13999999999999</v>
    <v>155.35</v>
    <v>156.9</v>
    <v>158.33000000000001</v>
    <v>159.38</v>
    <v>161.47</v>
    <v>158.24</v>
    <v>156.41</v>
    <v>156.01</v>
    <v>155.65</v>
    <v>157.22999999999999</v>
    <v>156.21</v>
    <v>155.69</v>
    <v>156.32</v>
    <v>149.19</v>
    <v>149.34</v>
    <v>153.22</v>
    <v>152.99</v>
    <v>151.9</v>
    <v>152.62</v>
    <v>155.77000000000001</v>
    <v>157.44</v>
    <v>154.9</v>
    <v>155.88</v>
    <v>155.34</v>
    <v>156.16</v>
    <v>157.22999999999999</v>
    <v>158.79</v>
    <v>156.91999999999999</v>
    <v>157.88999999999999</v>
    <v>156.41999999999999</v>
    <v>155.13999999999999</v>
    <v>156.66999999999999</v>
    <v>158.62</v>
    <v>153.09</v>
    <v>152</v>
    <v>150.81</v>
    <v>152.94999999999999</v>
    <v>156.34</v>
    <v>157.57</v>
    <v>154.08000000000001</v>
    <v>152.66999999999999</v>
    <v>153.61000000000001</v>
    <v>157.02000000000001</v>
    <v>158.72</v>
    <v>160.81</v>
    <v>164.05</v>
    <v>164.77</v>
    <v>164.75</v>
    <v>165.02</v>
    <v>165.94</v>
    <v>167.97</v>
    <v>166.65</v>
    <v>166.09</v>
    <v>167.29</v>
    <v>168.51</v>
    <v>166.47</v>
    <v>156.12</v>
    <v>143.28</v>
    <v>140.15</v>
    <v>136.93</v>
    <v>146.03</v>
    <v>134.97999999999999</v>
    <v>135.63</v>
    <v>135.32</v>
    <v>134.54</v>
    <v>135.36000000000001</v>
    <v>137.87</v>
    <v>133.72999999999999</v>
    <v>137.30000000000001</v>
    <v>136.68</v>
    <v>139.07</v>
    <v>138.72999999999999</v>
    <v>140.1</v>
    <v>139.30000000000001</v>
    <v>136.06</v>
    <v>136.26</v>
    <v>138.5</v>
    <v>135.5</v>
    <v>135.6</v>
    <v>135.79</v>
    <v>137.04</v>
    <v>138.49</v>
    <v>141.62</v>
    <v>142.35</v>
    <v>141.66999999999999</v>
    <v>142.26</v>
    <v>142.1</v>
    <v>138.49</v>
    <v>137.27000000000001</v>
    <v>135.56</v>
    <v>135.29</v>
    <v>136.54</v>
    <v>137.83000000000001</v>
    <v>136.02000000000001</v>
    <v>137.91</v>
    <v>136.69999999999999</v>
    <v>137.84</v>
    <v>139.55000000000001</v>
    <v>137.37</v>
    <v>136.9</v>
    <v>140.21</v>
    <v>140.76</v>
    <v>143.35</v>
    <v>144.78</v>
    <v>144.97</v>
    <v>145.91</v>
    <v>146.03</v>
    <v>148.85</v>
    <v>148.19</v>
    <v>149.55000000000001</v>
    <v>146.86000000000001</v>
    <v>143.55000000000001</v>
    <v>143.22999999999999</v>
    <v>144.44</v>
    <v>143.79</v>
    <v>143.19</v>
    <v>145.57</v>
    <v>147.97999999999999</v>
    <v>148.37</v>
    <v>147.4</v>
    <v>153.24</v>
    <v>153.02000000000001</v>
    <v>154.16999999999999</v>
    <v>155.31</v>
    <v>151.65</v>
    <v>150.69</v>
    <v>149.91999999999999</v>
    <v>151.38</v>
    <v>150.04</v>
    <v>149.68</v>
    <v>150.04</v>
    <v>153.12</v>
    <v>155.83000000000001</v>
    <v>154.84</v>
    <v>156.28</v>
    <v>157.03</v>
    <v>153.56</v>
    <v>151.63999999999999</v>
    <v>151.4</v>
    <v>151.04</v>
    <v>153.04</v>
    <v>152.78</v>
    <v>153.16</v>
    <v>155.01</v>
    <v>153.44999999999999</v>
    <v>154.44</v>
    <v>155.87</v>
    <v>155.16</v>
    <v>156.55000000000001</v>
    <v>155.32</v>
    <v>152</v>
    <v>153.22</v>
    <v>155.55000000000001</v>
    <v>158.18</v>
    <v>158.19999999999999</v>
    <v>157.36000000000001</v>
    <v>159.24</v>
    <v>159.32</v>
    <v>160.6</v>
    <v>161.83000000000001</v>
    <v>158.06</v>
    <v>157.69</v>
    <v>153.66</v>
    <v>154</v>
    <v>154.85</v>
    <v>157.79</v>
    <v>158.25</v>
    <v>157.11000000000001</v>
    <v>157.31</v>
    <v>159.54</v>
    <v>160.09</v>
    <v>158.84</v>
    <v>156.21</v>
    <v>156.05000000000001</v>
    <v>157.41999999999999</v>
    <v>159.18</v>
    <v>160.72</v>
    <v>160.16</v>
    <v>156.1</v>
    <v>155.29</v>
    <v>154.58000000000001</v>
    <v>153.37</v>
    <v>153.55000000000001</v>
    <v>154.02000000000001</v>
    <v>154.91</v>
    <v>153.74</v>
  </a>
</arrayData>
</file>

<file path=xl/richData/rdrichvalue.xml><?xml version="1.0" encoding="utf-8"?>
<rvData xmlns="http://schemas.microsoft.com/office/spreadsheetml/2017/richdata" count="8522">
  <rv s="0">
    <v>https://www.bing.com/financeapi/forcetrigger?t=a1mou2&amp;q=XNAS%3aAAPL&amp;form=skydnc</v>
    <v>Learn more on Bing</v>
  </rv>
  <rv s="1">
    <v>0</v>
    <v>APPLE INC. (XNAS:AAPL)</v>
    <v>2</v>
    <v>3</v>
    <v>Finance</v>
    <v>4</v>
    <v>en-GB</v>
    <v>a1mou2</v>
    <v>268435456</v>
    <v>1</v>
    <v>Powered by Refinitiv</v>
    <v>260.10000000000002</v>
    <v>169.21010000000001</v>
    <v>1.0837000000000001</v>
    <v>-4.3099999999999996</v>
    <v>-1.6701999999999998E-2</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v>
    <v>Computers, Phones &amp; Household Electronics</v>
    <v>Stock</v>
    <v>45939.714269536722</v>
    <v>0</v>
    <v>253.52500000000001</v>
    <v>3765748962500</v>
    <v>APPLE INC.</v>
    <v>APPLE INC.</v>
    <v>257.89999999999998</v>
    <v>34.998600000000003</v>
    <v>258.06</v>
    <v>253.75</v>
    <v>14840390000</v>
    <v>AAPL</v>
    <v>APPLE INC. (XNAS:AAPL)</v>
    <v>18986312</v>
    <v>56345982</v>
    <v>1977</v>
  </rv>
  <rv s="2">
    <v>1</v>
  </rv>
  <rv s="0">
    <v>https://www.bing.com/financeapi/forcetrigger?t=a1yv52&amp;q=XNAS%3aNVDA&amp;form=skydnc</v>
    <v>Learn more on Bing</v>
  </rv>
  <rv s="1">
    <v>0</v>
    <v>NVIDIA CORPORATION (XNAS:NVDA)</v>
    <v>2</v>
    <v>3</v>
    <v>Finance</v>
    <v>4</v>
    <v>en-GB</v>
    <v>a1yv52</v>
    <v>268435456</v>
    <v>1</v>
    <v>Powered by Refinitiv</v>
    <v>195.3</v>
    <v>86.62</v>
    <v>2.1093999999999999</v>
    <v>4.0571000000000002</v>
    <v>2.1454000000000001E-2</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195.3</v>
    <v>Semiconductors &amp; Semiconductor Equipment</v>
    <v>Stock</v>
    <v>45939.714336782032</v>
    <v>3</v>
    <v>191.06</v>
    <v>4693960530000</v>
    <v>NVIDIA CORPORATION</v>
    <v>NVIDIA CORPORATION</v>
    <v>192.22</v>
    <v>54.978499999999997</v>
    <v>189.11</v>
    <v>193.1671</v>
    <v>24300000000</v>
    <v>NVDA</v>
    <v>NVIDIA CORPORATION (XNAS:NVDA)</v>
    <v>124190460</v>
    <v>174843530</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1.0193000000000001</v>
    <v>-6.21</v>
    <v>-1.1832000000000001E-2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524.32500000000005</v>
    <v>9</v>
    <v>Software &amp; IT Services</v>
    <v>Stock</v>
    <v>45939.7143192125</v>
    <v>10</v>
    <v>517.66</v>
    <v>3855137732880</v>
    <v>MICROSOFT CORPORATION</v>
    <v>MICROSOFT CORPORATION</v>
    <v>522.19000000000005</v>
    <v>38.020400000000002</v>
    <v>524.85</v>
    <v>518.64</v>
    <v>7433167000</v>
    <v>MSFT</v>
    <v>MICROSOFT CORPORATION (XNAS:MSFT)</v>
    <v>8563873</v>
    <v>19915491</v>
    <v>1993</v>
  </rv>
  <rv s="2">
    <v>11</v>
  </rv>
  <rv s="0">
    <v>https://www.bing.com/financeapi/forcetrigger?t=a1slm7&amp;q=XNAS%3aMETA&amp;form=skydnc</v>
    <v>Learn more on Bing</v>
  </rv>
  <rv s="1">
    <v>0</v>
    <v>Meta Platforms, Inc. (XNAS:META)</v>
    <v>2</v>
    <v>3</v>
    <v>Finance</v>
    <v>4</v>
    <v>en-GB</v>
    <v>a1slm7</v>
    <v>268435456</v>
    <v>1</v>
    <v>Powered by Refinitiv</v>
    <v>796.25</v>
    <v>479.8</v>
    <v>1.2139</v>
    <v>8.7660999999999998</v>
    <v>1.2212000000000001E-2</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729.24919999999997</v>
    <v>Software &amp; IT Services</v>
    <v>Stock</v>
    <v>45939.714354212498</v>
    <v>13</v>
    <v>712.49</v>
    <v>1803316000000</v>
    <v>Meta Platforms, Inc.</v>
    <v>Meta Platforms, Inc.</v>
    <v>718.41</v>
    <v>26.087</v>
    <v>717.84</v>
    <v>726.60609999999997</v>
    <v>2512141000</v>
    <v>META</v>
    <v>Meta Platforms, Inc. (XNAS:META)</v>
    <v>6997292</v>
    <v>12394981</v>
    <v>2004</v>
  </rv>
  <rv s="2">
    <v>14</v>
  </rv>
  <rv s="0">
    <v>https://www.bing.com/financeapi/forcetrigger?t=a1u3rw&amp;q=XNAS%3aGOOGL&amp;form=skydnc</v>
    <v>Learn more on Bing</v>
  </rv>
  <rv s="1">
    <v>0</v>
    <v>ALPHABET INC. (XNAS:GOOGL)</v>
    <v>2</v>
    <v>3</v>
    <v>Finance</v>
    <v>4</v>
    <v>en-GB</v>
    <v>a1u3rw</v>
    <v>268435456</v>
    <v>1</v>
    <v>Powered by Refinitiv</v>
    <v>256</v>
    <v>140.53</v>
    <v>1.0407</v>
    <v>-3.43</v>
    <v>-1.4022E-2</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244.715</v>
    <v>Software &amp; IT Services</v>
    <v>Stock</v>
    <v>45939.71432548594</v>
    <v>16</v>
    <v>239.15</v>
    <v>2962996000000</v>
    <v>ALPHABET INC.</v>
    <v>ALPHABET INC.</v>
    <v>244.46</v>
    <v>25.683399999999999</v>
    <v>244.62</v>
    <v>241.19</v>
    <v>12094000000</v>
    <v>GOOGL</v>
    <v>ALPHABET INC. (XNAS:GOOGL)</v>
    <v>15766048</v>
    <v>33575224</v>
    <v>2015</v>
  </rv>
  <rv s="2">
    <v>17</v>
  </rv>
  <rv s="0">
    <v>https://www.bing.com/financeapi/forcetrigger?t=a23hqh&amp;q=ARCX%3aSPY&amp;form=skydnc</v>
    <v>Learn more on Bing</v>
  </rv>
  <rv s="6">
    <v>10</v>
    <v>SPDR S&amp;P 500 (ARCX:SPY)</v>
    <v>11</v>
    <v>12</v>
    <v>Finance</v>
    <v>13</v>
    <v>en-GB</v>
    <v>a23hqh</v>
    <v>268435456</v>
    <v>1</v>
    <v>Powered by Refinitiv</v>
    <v>673.94</v>
    <v>481.8</v>
    <v>0.99829999999999997</v>
    <v>-3.18</v>
    <v>-4.7239999999999999E-3</v>
    <v>USD</v>
    <v>NYSE Arca</v>
    <v>ARCX</v>
    <v>9.4499999999999998E-4</v>
    <v>673.94</v>
    <v>ETF</v>
    <v>45939.714356342185</v>
    <v>19</v>
    <v>669.46</v>
    <v>672726673351.18994</v>
    <v>SPDR S&amp;P 500</v>
    <v>673.53</v>
    <v>673.11</v>
    <v>669.93</v>
    <v>SPY</v>
    <v>SPDR S&amp;P 500 (ARCX:SPY)</v>
    <v>34833501</v>
    <v>73633021</v>
  </rv>
  <rv s="2">
    <v>20</v>
  </rv>
  <rv s="0">
    <v>https://www.bing.com/financeapi/forcetrigger?t=a24b5r&amp;q=XNAS%3aTLT&amp;form=skydnc</v>
    <v>Learn more on Bing</v>
  </rv>
  <rv s="6">
    <v>10</v>
    <v>iShares:20+ Trs Bd ETF (XNAS:TLT)</v>
    <v>11</v>
    <v>12</v>
    <v>Finance</v>
    <v>13</v>
    <v>en-GB</v>
    <v>a24b5r</v>
    <v>268435456</v>
    <v>1</v>
    <v>Powered by Refinitiv</v>
    <v>95.62</v>
    <v>83.295000000000002</v>
    <v>1.0788</v>
    <v>-0.15</v>
    <v>-1.681E-3</v>
    <v>USD</v>
    <v>Nasdaq Stock Market</v>
    <v>XNAS</v>
    <v>1.5E-3</v>
    <v>89.29</v>
    <v>ETF</v>
    <v>45939.714329443748</v>
    <v>22</v>
    <v>89.004999999999995</v>
    <v>48818461640.32</v>
    <v>iShares:20+ Trs Bd ETF</v>
    <v>89.17</v>
    <v>89.25</v>
    <v>89.1</v>
    <v>TLT</v>
    <v>iShares:20+ Trs Bd ETF (XNAS:TLT)</v>
    <v>11577557</v>
    <v>35636385</v>
  </rv>
  <rv s="2">
    <v>23</v>
  </rv>
  <rv s="0">
    <v>https://www.bing.com/financeapi/forcetrigger?t=a1twnm&amp;q=ARCX%3aGLD&amp;form=skydnc</v>
    <v>Learn more on Bing</v>
  </rv>
  <rv s="6">
    <v>10</v>
    <v>SPDR Gold (ARCX:GLD)</v>
    <v>11</v>
    <v>12</v>
    <v>Finance</v>
    <v>13</v>
    <v>en-GB</v>
    <v>a1twnm</v>
    <v>268435456</v>
    <v>1</v>
    <v>Powered by Refinitiv</v>
    <v>373.57</v>
    <v>236.1326</v>
    <v>0.81589999999999996</v>
    <v>-7.83</v>
    <v>-2.1031000000000001E-2</v>
    <v>USD</v>
    <v>NYSE Arca</v>
    <v>ARCX</v>
    <v>4.0000000000000001E-3</v>
    <v>373.22</v>
    <v>ETF</v>
    <v>45939.714336017969</v>
    <v>25</v>
    <v>364.24</v>
    <v>82394162386.910004</v>
    <v>SPDR Gold</v>
    <v>373.21</v>
    <v>372.3</v>
    <v>364.47</v>
    <v>GLD</v>
    <v>SPDR Gold (ARCX:GLD)</v>
    <v>20794380</v>
    <v>14914787</v>
  </rv>
  <rv s="2">
    <v>26</v>
  </rv>
  <rv s="0">
    <v>https://www.bing.com/financeapi/forcetrigger?t=a253hw&amp;q=ARCX%3aUSO&amp;form=skydnc</v>
    <v>Learn more on Bing</v>
  </rv>
  <rv s="6">
    <v>10</v>
    <v>United States Oil Fund (ARCX:USO)</v>
    <v>11</v>
    <v>12</v>
    <v>Finance</v>
    <v>13</v>
    <v>en-GB</v>
    <v>a253hw</v>
    <v>268435456</v>
    <v>1</v>
    <v>Powered by Refinitiv</v>
    <v>84.58</v>
    <v>60.67</v>
    <v>1.0219</v>
    <v>-1.05</v>
    <v>-1.4279999999999999E-2</v>
    <v>USD</v>
    <v>NYSE Arca</v>
    <v>ARCX</v>
    <v>8.199999999999999E-3</v>
    <v>73.905000000000001</v>
    <v>ETF</v>
    <v>45939.714248228905</v>
    <v>28</v>
    <v>72.400000000000006</v>
    <v>899405944.95000005</v>
    <v>United States Oil Fund</v>
    <v>73.819999999999993</v>
    <v>73.53</v>
    <v>72.48</v>
    <v>USO</v>
    <v>United States Oil Fund (ARCX:USO)</v>
    <v>2698877</v>
    <v>5114431</v>
  </rv>
  <rv s="2">
    <v>29</v>
  </rv>
  <rv s="0">
    <v>https://www.bing.com/financeapi/forcetrigger?t=a21mim&amp;q=XNAS%3aQQQ&amp;form=skydnc</v>
    <v>Learn more on Bing</v>
  </rv>
  <rv s="6">
    <v>10</v>
    <v>Invesco QQQ Trust 1 (XNAS:QQQ)</v>
    <v>11</v>
    <v>12</v>
    <v>Finance</v>
    <v>13</v>
    <v>en-GB</v>
    <v>a21mim</v>
    <v>268435456</v>
    <v>1</v>
    <v>Powered by Refinitiv</v>
    <v>611.75</v>
    <v>402.39</v>
    <v>1.0232000000000001</v>
    <v>-2.65</v>
    <v>-4.3340000000000002E-3</v>
    <v>USD</v>
    <v>Nasdaq Stock Market</v>
    <v>XNAS</v>
    <v>2E-3</v>
    <v>611.61</v>
    <v>ETF</v>
    <v>45939.71429300859</v>
    <v>31</v>
    <v>608.23</v>
    <v>385755187983.09998</v>
    <v>Invesco QQQ Trust 1</v>
    <v>611.45000000000005</v>
    <v>611.44000000000005</v>
    <v>608.79</v>
    <v>QQQ</v>
    <v>Invesco QQQ Trust 1 (XNAS:QQQ)</v>
    <v>25701874</v>
    <v>52028537</v>
  </rv>
  <rv s="2">
    <v>32</v>
  </rv>
  <rv s="0">
    <v>https://www.bing.com/financeapi/forcetrigger?t=a1vbbh&amp;q=XNAS%3aIEF&amp;form=skydnc</v>
    <v>Learn more on Bing</v>
  </rv>
  <rv s="6">
    <v>10</v>
    <v>iShares:7-10 Trs Bd (XNAS:IEF)</v>
    <v>11</v>
    <v>12</v>
    <v>Finance</v>
    <v>13</v>
    <v>en-GB</v>
    <v>a1vbbh</v>
    <v>268435456</v>
    <v>1</v>
    <v>Powered by Refinitiv</v>
    <v>97.515000000000001</v>
    <v>91.08</v>
    <v>1.2008000000000001</v>
    <v>-0.105</v>
    <v>-1.0889999999999999E-3</v>
    <v>USD</v>
    <v>Nasdaq Stock Market</v>
    <v>XNAS</v>
    <v>1.5E-3</v>
    <v>96.355000000000004</v>
    <v>ETF</v>
    <v>45939.714231006248</v>
    <v>34</v>
    <v>96.225999999999999</v>
    <v>38510844547.139999</v>
    <v>iShares:7-10 Trs Bd</v>
    <v>96.29</v>
    <v>96.38</v>
    <v>96.275000000000006</v>
    <v>IEF</v>
    <v>iShares:7-10 Trs Bd (XNAS:IEF)</v>
    <v>2794489</v>
    <v>8283123</v>
  </rv>
  <rv s="2">
    <v>35</v>
  </rv>
  <rv s="7">
    <v>14</v>
    <v>Bonds Powered Income USD</v>
    <v>15</v>
    <v>16</v>
    <v>Finance</v>
    <v>17</v>
    <v>en-GB</v>
    <v>caxasm</v>
    <v>268435456</v>
    <v>1</v>
    <v>Powered by Refinitiv</v>
    <v>0.18</v>
    <v>2.6650000000000003E-3</v>
    <v>KY</v>
    <v>USD</v>
    <v>Mutual Fund</v>
    <v>45938</v>
    <v>45939.495244056248</v>
    <v>Bonds Powered Income USD</v>
    <v>10533500</v>
    <v>67.540000000000006</v>
    <v>67.72</v>
    <v>0</v>
    <v>2.2200000000000002E-3</v>
    <v>6.0910000000000001E-3</v>
    <v>0.10278900000000001</v>
    <v>7.3432999999999998E-2</v>
    <v>0.11736000000000001</v>
    <v>0</v>
    <v>0.17589500000000002</v>
    <v>Bonds Powered Income USD</v>
  </rv>
  <rv s="2">
    <v>37</v>
  </rv>
  <rv s="8">
    <v>12</v>
    <v>Beta</v>
    <v>0</v>
  </rv>
  <rv s="8">
    <v>12</v>
    <v>Market cap</v>
    <v>0</v>
  </rv>
  <rv s="0">
    <v>https://www.bing.com/financeapi/forcetrigger?t=c3xotc&amp;q=Lyxor%2fWNT+Diversified+I+USD&amp;form=skydnc</v>
    <v>Learn more on Bing</v>
  </rv>
  <rv s="9">
    <v>18</v>
    <v>Amundi / WNT Diversified Fund - Class I USD</v>
    <v>19</v>
    <v>20</v>
    <v>Finance</v>
    <v>17</v>
    <v>en-GB</v>
    <v>c3xotc</v>
    <v>268435456</v>
    <v>1</v>
    <v>Powered by Refinitiv</v>
    <v>7.3999999999999996E-2</v>
    <v>7.222000000000001E-4</v>
    <v>IE</v>
    <v>USD</v>
    <v>1.0700000000000001E-2</v>
    <v>Mutual Fund</v>
    <v>45937</v>
    <v>45939.486015740622</v>
    <v>41</v>
    <v>Amundi / WNT Diversified Fund - Class I USD</v>
    <v>478228300</v>
    <v>102.4687</v>
    <v>102.5427</v>
    <v>0</v>
    <v>3.2510999999999998E-2</v>
    <v>1.0645E-2</v>
    <v>3.4811000000000002E-2</v>
    <v>4.5041999999999999E-2</v>
    <v>1.1931000000000001E-2</v>
    <v>4.6959999999999995E-2</v>
    <v>-9.8289999999999992E-3</v>
    <v>Amundi / WNT Diversified Fund - Class I USD</v>
  </rv>
  <rv s="2">
    <v>42</v>
  </rv>
  <rv s="0">
    <v>https://www.bing.com/financeapi/forcetrigger?t=a267oc&amp;q=ARCX%3aXLE&amp;form=skydnc</v>
    <v>Learn more on Bing</v>
  </rv>
  <rv s="6">
    <v>10</v>
    <v>Sel Sector:Energy SPDR (ARCX:XLE)</v>
    <v>11</v>
    <v>12</v>
    <v>Finance</v>
    <v>13</v>
    <v>en-GB</v>
    <v>a267oc</v>
    <v>268435456</v>
    <v>1</v>
    <v>Powered by Refinitiv</v>
    <v>97.92</v>
    <v>74.489999999999995</v>
    <v>1.1548</v>
    <v>-0.98499999999999999</v>
    <v>-1.1070999999999999E-2</v>
    <v>USD</v>
    <v>NYSE Arca</v>
    <v>ARCX</v>
    <v>8.0000000000000004E-4</v>
    <v>89.92</v>
    <v>ETF</v>
    <v>45939.714306284375</v>
    <v>44</v>
    <v>87.915000000000006</v>
    <v>26926057790.77</v>
    <v>Sel Sector:Energy SPDR</v>
    <v>89.22</v>
    <v>88.97</v>
    <v>87.984999999999999</v>
    <v>XLE</v>
    <v>Sel Sector:Energy SPDR (ARCX:XLE)</v>
    <v>6046459</v>
    <v>15739228</v>
  </rv>
  <rv s="2">
    <v>45</v>
  </rv>
  <rv s="0">
    <v>https://www.bing.com/financeapi/forcetrigger?t=a1qsim&amp;q=ARCX%3aDBO&amp;form=skydnc</v>
    <v>Learn more on Bing</v>
  </rv>
  <rv s="6">
    <v>10</v>
    <v>Invesco DB MS Oil (ARCX:DBO)</v>
    <v>11</v>
    <v>12</v>
    <v>Finance</v>
    <v>13</v>
    <v>en-GB</v>
    <v>a1qsim</v>
    <v>268435456</v>
    <v>1</v>
    <v>Powered by Refinitiv</v>
    <v>15.925000000000001</v>
    <v>11.59</v>
    <v>0.94179999999999997</v>
    <v>-0.185</v>
    <v>-1.3795999999999999E-2</v>
    <v>USD</v>
    <v>NYSE Arca</v>
    <v>ARCX</v>
    <v>7.4999999999999997E-3</v>
    <v>13.47</v>
    <v>ETF</v>
    <v>45939.713734617966</v>
    <v>47</v>
    <v>13.215</v>
    <v>219370903.75999999</v>
    <v>Invesco DB MS Oil</v>
    <v>13.47</v>
    <v>13.41</v>
    <v>13.225</v>
    <v>DBO</v>
    <v>Invesco DB MS Oil (ARCX:DBO)</v>
    <v>195059</v>
    <v>433012</v>
  </rv>
  <rv s="2">
    <v>48</v>
  </rv>
  <rv s="0">
    <v>https://www.bing.com/financeapi/forcetrigger?t=b115z2&amp;q=XCNQ%3aOIL&amp;form=skydnc</v>
    <v>Learn more on Bing</v>
  </rv>
  <rv s="10">
    <v>21</v>
    <v>PERMEX PETROLEUM CORPORATION (XCNQ:OIL)</v>
    <v>2</v>
    <v>22</v>
    <v>Finance</v>
    <v>23</v>
    <v>en-GB</v>
    <v>b115z2</v>
    <v>268435456</v>
    <v>1</v>
    <v>Powered by Refinitiv</v>
    <v>16.489999999999998</v>
    <v>2.1</v>
    <v>3.5777000000000001</v>
    <v>0.01</v>
    <v>2.088E-3</v>
    <v>CAD</v>
    <v>Permex Petroleum Corporation is a junior oil and gas company. The Company is engaged in the acquisition, exploration, development and production of oil and gas properties in the United States. It has assets and operations in the Permian Basin, which includes the Midland Basin and Delaware Basin. The Breedlove B Clearfork Leases are situated in Martin County, Texas. The Pittcock Leases are situated in Stonewall County in Northwest Texas, located in the central part of the North Central Plains and consists of the Pittcock North property, the Pittcock South property and the Windy Jones Property. The Mary Bullard Property is located in Stonewall County. The West Henshaw Property is located in Eddy County, New Mexico, 12 miles northeast of Loco Hills in the Delaware basin. The Oxy Yates Property is located in Eddy County. It holds royalty interests in 73 producing oil and gas wells and five permitted wells across 3,800 acres the Permian Basin.</v>
    <v>Canadian National Stock Exchange</v>
    <v>XCNQ</v>
    <v>XCNQ</v>
    <v>2911 Turtle Creek Blvd, Suite 925, DALLAS, TX, 75219 US</v>
    <v>4.8</v>
    <v>Oil &amp; Gas</v>
    <v>Stock</v>
    <v>45938.645880740623</v>
    <v>50</v>
    <v>4.8</v>
    <v>2643030</v>
    <v>PERMEX PETROLEUM CORPORATION</v>
    <v>PERMEX PETROLEUM CORPORATION</v>
    <v>4.8</v>
    <v>4.79</v>
    <v>4.8</v>
    <v>551500</v>
    <v>OIL</v>
    <v>PERMEX PETROLEUM CORPORATION (XCNQ:OIL)</v>
    <v>6</v>
    <v>860</v>
    <v>2017</v>
  </rv>
  <rv s="2">
    <v>51</v>
  </rv>
  <rv s="0">
    <v>https://www.bing.com/financeapi/forcetrigger?t=a233ur&amp;q=ARCX%3aSLV&amp;form=skydnc</v>
    <v>Learn more on Bing</v>
  </rv>
  <rv s="6">
    <v>10</v>
    <v>IShares:Silver Trust (ARCX:SLV)</v>
    <v>11</v>
    <v>12</v>
    <v>Finance</v>
    <v>13</v>
    <v>en-GB</v>
    <v>a233ur</v>
    <v>268435456</v>
    <v>1</v>
    <v>Powered by Refinitiv</v>
    <v>46.35</v>
    <v>26.19</v>
    <v>1.4173</v>
    <v>-1.2848999999999999</v>
    <v>-2.8835000000000003E-2</v>
    <v>USD</v>
    <v>NYSE Arca</v>
    <v>ARCX</v>
    <v>5.0000000000000001E-3</v>
    <v>46.35</v>
    <v>ETF</v>
    <v>45939.714281411718</v>
    <v>53</v>
    <v>43.24</v>
    <v>23276965580.080002</v>
    <v>IShares:Silver Trust</v>
    <v>46.3</v>
    <v>44.56</v>
    <v>43.275100000000002</v>
    <v>SLV</v>
    <v>IShares:Silver Trust (ARCX:SLV)</v>
    <v>68435179</v>
    <v>33629787</v>
  </rv>
  <rv s="2">
    <v>54</v>
  </rv>
  <rv s="0">
    <v>https://www.bing.com/financeapi/forcetrigger?t=a1qr27&amp;q=ARCX%3aDBA&amp;form=skydnc</v>
    <v>Learn more on Bing</v>
  </rv>
  <rv s="6">
    <v>10</v>
    <v>Invesco DB MS Agri (ARCX:DBA)</v>
    <v>11</v>
    <v>12</v>
    <v>Finance</v>
    <v>13</v>
    <v>en-GB</v>
    <v>a1qr27</v>
    <v>268435456</v>
    <v>1</v>
    <v>Powered by Refinitiv</v>
    <v>28.484999999999999</v>
    <v>24.78</v>
    <v>0.68869999999999998</v>
    <v>-0.17</v>
    <v>-6.3810000000000004E-3</v>
    <v>USD</v>
    <v>NYSE Arca</v>
    <v>ARCX</v>
    <v>8.8000000000000005E-3</v>
    <v>26.6</v>
    <v>ETF</v>
    <v>45939.71283188594</v>
    <v>56</v>
    <v>26.465</v>
    <v>791801255.05999994</v>
    <v>Invesco DB MS Agri</v>
    <v>26.545000000000002</v>
    <v>26.64</v>
    <v>26.47</v>
    <v>DBA</v>
    <v>Invesco DB MS Agri (ARCX:DBA)</v>
    <v>75157</v>
    <v>206404</v>
  </rv>
  <rv s="2">
    <v>57</v>
  </rv>
  <rv s="0">
    <v>https://www.bing.com/financeapi/forcetrigger?t=a25sbh&amp;q=ARCX%3aWEAT&amp;form=skydnc</v>
    <v>Learn more on Bing</v>
  </rv>
  <rv s="6">
    <v>10</v>
    <v>Teucrium:Wheat (ARCX:WEAT)</v>
    <v>11</v>
    <v>12</v>
    <v>Finance</v>
    <v>13</v>
    <v>en-GB</v>
    <v>a25sbh</v>
    <v>268435456</v>
    <v>1</v>
    <v>Powered by Refinitiv</v>
    <v>5.4725000000000001</v>
    <v>4.07</v>
    <v>0.99870000000000003</v>
    <v>5.0000000000000001E-3</v>
    <v>1.2199999999999999E-3</v>
    <v>USD</v>
    <v>NYSE Arca</v>
    <v>ARCX</v>
    <v>3.2000000000000001E-2</v>
    <v>4.13</v>
    <v>ETF</v>
    <v>45939.714027974216</v>
    <v>59</v>
    <v>4.0999999999999996</v>
    <v>117346706.78</v>
    <v>Teucrium:Wheat</v>
    <v>4.1100000000000003</v>
    <v>4.0999999999999996</v>
    <v>4.1050000000000004</v>
    <v>WEAT</v>
    <v>Teucrium:Wheat (ARCX:WEAT)</v>
    <v>388675</v>
    <v>763098</v>
  </rv>
  <rv s="2">
    <v>60</v>
  </rv>
  <rv s="0">
    <v>https://www.bing.com/financeapi/forcetrigger?t=b1o8hw&amp;q=ARCX%3aGLDM&amp;form=skydnc</v>
    <v>Learn more on Bing</v>
  </rv>
  <rv s="6">
    <v>10</v>
    <v>SPDR Gold MiniShares Tr (ARCX:GLDM)</v>
    <v>11</v>
    <v>12</v>
    <v>Finance</v>
    <v>13</v>
    <v>en-GB</v>
    <v>b1o8hw</v>
    <v>268435456</v>
    <v>1</v>
    <v>Powered by Refinitiv</v>
    <v>80.360699999999994</v>
    <v>50.67</v>
    <v>0.85919999999999996</v>
    <v>-1.68</v>
    <v>-2.0975999999999998E-2</v>
    <v>USD</v>
    <v>NYSE Arca</v>
    <v>ARCX</v>
    <v>1E-3</v>
    <v>80.290000000000006</v>
    <v>ETF</v>
    <v>45939.714311053125</v>
    <v>62</v>
    <v>78.37</v>
    <v>20854265334.529999</v>
    <v>SPDR Gold MiniShares Tr</v>
    <v>80.284999999999997</v>
    <v>80.09</v>
    <v>78.41</v>
    <v>GLDM</v>
    <v>SPDR Gold MiniShares Tr (ARCX:GLDM)</v>
    <v>10625825</v>
    <v>5515490</v>
  </rv>
  <rv s="2">
    <v>63</v>
  </rv>
  <rv s="0">
    <v>https://www.bing.com/financeapi/forcetrigger?t=a214yc&amp;q=ARCX%3aPPLT&amp;form=skydnc</v>
    <v>Learn more on Bing</v>
  </rv>
  <rv s="6">
    <v>10</v>
    <v>abrdn:Physical Platinum (ARCX:PPLT)</v>
    <v>11</v>
    <v>12</v>
    <v>Finance</v>
    <v>13</v>
    <v>en-GB</v>
    <v>a214yc</v>
    <v>268435456</v>
    <v>1</v>
    <v>Powered by Refinitiv</v>
    <v>153.54</v>
    <v>82.35</v>
    <v>0.83260000000000001</v>
    <v>-4.4249999999999998</v>
    <v>-2.9073999999999999E-2</v>
    <v>USD</v>
    <v>NYSE Arca</v>
    <v>ARCX</v>
    <v>6.0000000000000001E-3</v>
    <v>153.54</v>
    <v>ETF</v>
    <v>45939.714287522656</v>
    <v>65</v>
    <v>147.72999999999999</v>
    <v>1957887831.98</v>
    <v>abrdn:Physical Platinum</v>
    <v>153.16499999999999</v>
    <v>152.19999999999999</v>
    <v>147.77500000000001</v>
    <v>PPLT</v>
    <v>abrdn:Physical Platinum (ARCX:PPLT)</v>
    <v>491746</v>
    <v>462533</v>
  </rv>
  <rv s="2">
    <v>66</v>
  </rv>
  <rv s="0">
    <v>https://www.bing.com/financeapi/forcetrigger?t=a22mur&amp;q=ARCX%3aSCHP&amp;form=skydnc</v>
    <v>Learn more on Bing</v>
  </rv>
  <rv s="6">
    <v>10</v>
    <v>Schwab Str:US TIPS (ARCX:SCHP)</v>
    <v>11</v>
    <v>12</v>
    <v>Finance</v>
    <v>13</v>
    <v>en-GB</v>
    <v>a22mur</v>
    <v>268435456</v>
    <v>1</v>
    <v>Powered by Refinitiv</v>
    <v>27.19</v>
    <v>25.68</v>
    <v>0.99750000000000005</v>
    <v>-4.4999999999999998E-2</v>
    <v>-1.671E-3</v>
    <v>USD</v>
    <v>NYSE Arca</v>
    <v>ARCX</v>
    <v>2.9999999999999997E-4</v>
    <v>26.92</v>
    <v>ETF</v>
    <v>45939.714263460155</v>
    <v>68</v>
    <v>26.880099999999999</v>
    <v>14430226377.48</v>
    <v>Schwab Str:US TIPS</v>
    <v>26.91</v>
    <v>26.93</v>
    <v>26.885000000000002</v>
    <v>SCHP</v>
    <v>Schwab Str:US TIPS (ARCX:SCHP)</v>
    <v>1053939</v>
    <v>3099793</v>
  </rv>
  <rv s="2">
    <v>69</v>
  </rv>
  <rv s="0">
    <v>https://www.bing.com/financeapi/forcetrigger?t=a1t252&amp;q=BATS%3aFLOT&amp;form=skydnc</v>
    <v>Learn more on Bing</v>
  </rv>
  <rv s="11">
    <v>24</v>
    <v>iShares:Floating Rt Bond (BATS:FLOT)</v>
    <v>11</v>
    <v>25</v>
    <v>Finance</v>
    <v>13</v>
    <v>en-GB</v>
    <v>a1t252</v>
    <v>268435456</v>
    <v>1</v>
    <v>Powered by Refinitiv</v>
    <v>51.34</v>
    <v>49.75</v>
    <v>-2.8999999999999998E-3</v>
    <v>-5.6909999999999996E-5</v>
    <v>USD</v>
    <v>CBOE BZX Exchange</v>
    <v>BATS</v>
    <v>1.5E-3</v>
    <v>50.96</v>
    <v>ETF</v>
    <v>45939.714181666408</v>
    <v>71</v>
    <v>50.95</v>
    <v>8918495068.1599998</v>
    <v>iShares:Floating Rt Bond</v>
    <v>50.96</v>
    <v>50.96</v>
    <v>50.957099999999997</v>
    <v>FLOT</v>
    <v>iShares:Floating Rt Bond (BATS:FLOT)</v>
    <v>687128</v>
    <v>1669778</v>
  </rv>
  <rv s="2">
    <v>72</v>
  </rv>
  <rv s="0">
    <v>https://www.bing.com/financeapi/forcetrigger?t=a23gcw&amp;q=ARCX%3aSPTS&amp;form=skydnc</v>
    <v>Learn more on Bing</v>
  </rv>
  <rv s="6">
    <v>10</v>
    <v>SPDR Ptf ST Treasury (ARCX:SPTS)</v>
    <v>11</v>
    <v>12</v>
    <v>Finance</v>
    <v>13</v>
    <v>en-GB</v>
    <v>a23gcw</v>
    <v>268435456</v>
    <v>1</v>
    <v>Powered by Refinitiv</v>
    <v>29.389900000000001</v>
    <v>28.88</v>
    <v>1.0428999999999999</v>
    <v>-1.8E-3</v>
    <v>-6.1500000000000004E-5</v>
    <v>USD</v>
    <v>NYSE Arca</v>
    <v>ARCX</v>
    <v>2.9999999999999997E-4</v>
    <v>29.27</v>
    <v>ETF</v>
    <v>45939.713793125004</v>
    <v>74</v>
    <v>29.26</v>
    <v>5752414088.4399996</v>
    <v>SPDR Ptf ST Treasury</v>
    <v>29.265000000000001</v>
    <v>29.27</v>
    <v>29.2682</v>
    <v>SPTS</v>
    <v>SPDR Ptf ST Treasury (ARCX:SPTS)</v>
    <v>185385</v>
    <v>1354653</v>
  </rv>
  <rv s="2">
    <v>75</v>
  </rv>
  <rv s="0">
    <v>https://www.bing.com/financeapi/forcetrigger?t=a23g4c&amp;q=ARCX%3aSPTL&amp;form=skydnc</v>
    <v>Learn more on Bing</v>
  </rv>
  <rv s="6">
    <v>10</v>
    <v>SPDR Ptf LT Treasury (ARCX:SPTL)</v>
    <v>11</v>
    <v>12</v>
    <v>Finance</v>
    <v>13</v>
    <v>en-GB</v>
    <v>a23g4c</v>
    <v>268435456</v>
    <v>1</v>
    <v>Powered by Refinitiv</v>
    <v>28.369</v>
    <v>25.170100000000001</v>
    <v>1.0028999999999999</v>
    <v>-3.5000000000000003E-2</v>
    <v>-1.3009999999999999E-3</v>
    <v>USD</v>
    <v>NYSE Arca</v>
    <v>ARCX</v>
    <v>2.9999999999999997E-4</v>
    <v>26.93</v>
    <v>ETF</v>
    <v>45939.714234883591</v>
    <v>77</v>
    <v>26.850100000000001</v>
    <v>11888783730.73</v>
    <v>SPDR Ptf LT Treasury</v>
    <v>26.89</v>
    <v>26.91</v>
    <v>26.875</v>
    <v>SPTL</v>
    <v>SPDR Ptf LT Treasury (ARCX:SPTL)</v>
    <v>8639325</v>
    <v>5833196</v>
  </rv>
  <rv s="2">
    <v>78</v>
  </rv>
  <rv s="0">
    <v>https://www.bing.com/financeapi/forcetrigger?t=a1ohxm&amp;q=ARCX%3aBIL&amp;form=skydnc</v>
    <v>Learn more on Bing</v>
  </rv>
  <rv s="6">
    <v>10</v>
    <v>SPDR Bbg 1-3 Mo T-Bill (ARCX:BIL)</v>
    <v>11</v>
    <v>12</v>
    <v>Finance</v>
    <v>13</v>
    <v>en-GB</v>
    <v>a1ohxm</v>
    <v>268435456</v>
    <v>1</v>
    <v>Powered by Refinitiv</v>
    <v>91.8</v>
    <v>91.29</v>
    <v>0.75639999999999996</v>
    <v>0</v>
    <v>0</v>
    <v>USD</v>
    <v>NYSE Arca</v>
    <v>ARCX</v>
    <v>1.4000000000000002E-3</v>
    <v>91.54</v>
    <v>ETF</v>
    <v>45939.714152800778</v>
    <v>80</v>
    <v>91.53</v>
    <v>42140690455.389999</v>
    <v>SPDR Bbg 1-3 Mo T-Bill</v>
    <v>91.54</v>
    <v>91.53</v>
    <v>91.53</v>
    <v>BIL</v>
    <v>SPDR Bbg 1-3 Mo T-Bill (ARCX:BIL)</v>
    <v>6254997</v>
    <v>8351429</v>
  </rv>
  <rv s="2">
    <v>81</v>
  </rv>
  <rv s="0">
    <v>https://www.bing.com/financeapi/forcetrigger?t=a1otrw&amp;q=XNYS%3aBRK.B&amp;form=skydnc</v>
    <v>Learn more on Bing</v>
  </rv>
  <rv s="1">
    <v>0</v>
    <v>BERKSHIRE HATHAWAY INC. (XNYS:BRK.B)</v>
    <v>2</v>
    <v>3</v>
    <v>Finance</v>
    <v>4</v>
    <v>en-GB</v>
    <v>a1otrw</v>
    <v>268435456</v>
    <v>1</v>
    <v>Powered by Refinitiv</v>
    <v>542.07000000000005</v>
    <v>437.9</v>
    <v>0.75760000000000005</v>
    <v>-4.5250000000000004</v>
    <v>-9.0530000000000003E-3</v>
    <v>USD</v>
    <v>Berkshire Hathaway Inc. and its subsidiaries are engaged in diverse business activities, including insurance and reinsurance, utilities and energy, freight rail transportation, manufacturing, services and retailing. Its segments include Insurance, Burlington Northern Santa Fe (BNSF), Berkshire Hathaway Energy (BHE), Pilot Travel Centers (Pilot), Manufacturing, McLane Company (McLane), and Service and retailing. The Insurance segment includes GEICO, Berkshire Hathaway Primary Group, and Berkshire Hathaway Reinsurance Group. The BNSF segment includes the operation of railroad systems in North America. BHE segment offers regulated electric and gas utilities and real estate brokerage activities. Manufacturing segment manufacturers various products, such as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501.221</v>
    <v>Consumer Goods Conglomerates</v>
    <v>Stock</v>
    <v>45939.714245613279</v>
    <v>83</v>
    <v>495.3</v>
    <v>1078343000000</v>
    <v>BERKSHIRE HATHAWAY INC.</v>
    <v>BERKSHIRE HATHAWAY INC.</v>
    <v>499.83</v>
    <v>16.9803</v>
    <v>499.84</v>
    <v>495.315</v>
    <v>1438220</v>
    <v>BRK.B</v>
    <v>BERKSHIRE HATHAWAY INC. (XNYS:BRK.B)</v>
    <v>1384213</v>
    <v>4068883</v>
    <v>1998</v>
  </rv>
  <rv s="2">
    <v>84</v>
  </rv>
  <rv s="0">
    <v>https://www.bing.com/financeapi/forcetrigger?t=a1waa2&amp;q=XNYS%3aJPM&amp;form=skydnc</v>
    <v>Learn more on Bing</v>
  </rv>
  <rv s="1">
    <v>0</v>
    <v>JPMORGAN CHASE &amp; CO. (XNYS:JPM)</v>
    <v>2</v>
    <v>3</v>
    <v>Finance</v>
    <v>4</v>
    <v>en-GB</v>
    <v>a1waa2</v>
    <v>268435456</v>
    <v>1</v>
    <v>Powered by Refinitiv</v>
    <v>318.01</v>
    <v>202.16</v>
    <v>1.143</v>
    <v>0.3</v>
    <v>9.8669999999999986E-4</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317160</v>
    <v>New York Stock Exchange</v>
    <v>XNYS</v>
    <v>XNYS</v>
    <v>383 Madison Avenue, NEW YORK, NY, 10179-0001 US</v>
    <v>308.03500000000003</v>
    <v>Banking Services</v>
    <v>Stock</v>
    <v>45939.714279305466</v>
    <v>86</v>
    <v>303.3947</v>
    <v>836832634820</v>
    <v>JPMORGAN CHASE &amp; CO.</v>
    <v>JPMORGAN CHASE &amp; CO.</v>
    <v>305.04000000000002</v>
    <v>15.6144</v>
    <v>304.02999999999997</v>
    <v>304.33</v>
    <v>2749754000</v>
    <v>JPM</v>
    <v>JPMORGAN CHASE &amp; CO. (XNYS:JPM)</v>
    <v>3060366</v>
    <v>8561885</v>
    <v>1968</v>
  </rv>
  <rv s="2">
    <v>87</v>
  </rv>
  <rv s="0">
    <v>https://www.bing.com/financeapi/forcetrigger?t=a1o4sm&amp;q=XNYS%3aBAC&amp;form=skydnc</v>
    <v>Learn more on Bing</v>
  </rv>
  <rv s="1">
    <v>0</v>
    <v>BANK OF AMERICA CORPORATION (XNYS:BAC)</v>
    <v>2</v>
    <v>3</v>
    <v>Finance</v>
    <v>4</v>
    <v>en-GB</v>
    <v>a1o4sm</v>
    <v>268435456</v>
    <v>1</v>
    <v>Powered by Refinitiv</v>
    <v>52.88</v>
    <v>33.064999999999998</v>
    <v>1.3429</v>
    <v>-0.125</v>
    <v>-2.5080000000000002E-3</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50.27</v>
    <v>Banking Services</v>
    <v>Stock</v>
    <v>45939.714349166403</v>
    <v>89</v>
    <v>49.664999999999999</v>
    <v>368236370105</v>
    <v>BANK OF AMERICA CORPORATION</v>
    <v>BANK OF AMERICA CORPORATION</v>
    <v>50</v>
    <v>14.842499999999999</v>
    <v>49.84</v>
    <v>49.715000000000003</v>
    <v>7406947000</v>
    <v>BAC</v>
    <v>BANK OF AMERICA CORPORATION (XNYS:BAC)</v>
    <v>9909614</v>
    <v>32468624</v>
    <v>1998</v>
  </rv>
  <rv s="2">
    <v>90</v>
  </rv>
  <rv s="0">
    <v>https://www.bing.com/financeapi/forcetrigger?t=a269ec&amp;q=XNYS%3aXOM&amp;form=skydnc</v>
    <v>Learn more on Bing</v>
  </rv>
  <rv s="1">
    <v>0</v>
    <v>EXXON MOBIL CORPORATION (XNYS:XOM)</v>
    <v>2</v>
    <v>3</v>
    <v>Finance</v>
    <v>4</v>
    <v>en-GB</v>
    <v>a269ec</v>
    <v>268435456</v>
    <v>1</v>
    <v>Powered by Refinitiv</v>
    <v>124.26</v>
    <v>97.8</v>
    <v>0.46629999999999999</v>
    <v>-0.62</v>
    <v>-5.4379999999999993E-3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115.5</v>
    <v>Oil &amp; Gas</v>
    <v>Stock</v>
    <v>45939.714275173435</v>
    <v>92</v>
    <v>113.25</v>
    <v>483452209800</v>
    <v>EXXON MOBIL CORPORATION</v>
    <v>EXXON MOBIL CORPORATION</v>
    <v>114.56</v>
    <v>16.090800000000002</v>
    <v>114.02</v>
    <v>113.4</v>
    <v>4263247000</v>
    <v>XOM</v>
    <v>EXXON MOBIL CORPORATION (XNYS:XOM)</v>
    <v>4565899</v>
    <v>16030713</v>
    <v>1882</v>
  </rv>
  <rv s="2">
    <v>93</v>
  </rv>
  <rv s="0">
    <v>https://www.bing.com/financeapi/forcetrigger?t=a1qlz2&amp;q=XNYS%3aCVX&amp;form=skydnc</v>
    <v>Learn more on Bing</v>
  </rv>
  <rv s="1">
    <v>0</v>
    <v>CHEVRON CORPORATION (XNYS:CVX)</v>
    <v>2</v>
    <v>3</v>
    <v>Finance</v>
    <v>4</v>
    <v>en-GB</v>
    <v>a1qlz2</v>
    <v>268435456</v>
    <v>1</v>
    <v>Powered by Refinitiv</v>
    <v>168.96</v>
    <v>132.04</v>
    <v>0.80779999999999996</v>
    <v>-1.3</v>
    <v>-8.456E-3</v>
    <v>USD</v>
    <v>Chevron Corporation is an integrated energy company. The Company produces crude oil and natural gas; manufactures transportation fuels, lubricants, petrochemicals and additives; and develops technologies that enhance its business and industry. The Company’s segments include Upstream and Downstream. Upstream operations consist primarily of exploring for, developing, producing and transporting crude oil and natural gas; liquefaction, transportation and regasification associated with LNG; transporting crude oil by major international oil export pipelines; processing, transporting, storage and marketing of natural gas; carbon capture and storage; and a gas-to-liquids plant. Downstream operations consist primarily of the refining of crude oil into petroleum products; marketing crude oil, refined products, and lubricants; manufacturing and marketing of renewable fuels, and transporting of crude oil and refined products by pipeline, marine vessel, motor equipment and rail car.</v>
    <v>45298</v>
    <v>New York Stock Exchange</v>
    <v>XNYS</v>
    <v>XNYS</v>
    <v>1400 SMITH STREET, HOUSTON, TX, 77002 US</v>
    <v>154.93</v>
    <v>Oil &amp; Gas</v>
    <v>Stock</v>
    <v>45939.714271053126</v>
    <v>95</v>
    <v>152.19999999999999</v>
    <v>312104741360</v>
    <v>CHEVRON CORPORATION</v>
    <v>CHEVRON CORPORATION</v>
    <v>153.97</v>
    <v>19.678799999999999</v>
    <v>153.74</v>
    <v>152.44</v>
    <v>2047394000</v>
    <v>CVX</v>
    <v>CHEVRON CORPORATION (XNYS:CVX)</v>
    <v>2530617</v>
    <v>7290844</v>
    <v>1926</v>
  </rv>
  <rv s="2">
    <v>96</v>
  </rv>
  <rv s="0">
    <v>https://www.bing.com/financeapi/forcetrigger?t=a1w8ec&amp;q=XNYS%3aJNJ&amp;form=skydnc</v>
    <v>Learn more on Bing</v>
  </rv>
  <rv s="1">
    <v>0</v>
    <v>JOHNSON &amp; JOHNSON (XNYS:JNJ)</v>
    <v>2</v>
    <v>3</v>
    <v>Finance</v>
    <v>4</v>
    <v>en-GB</v>
    <v>a1w8ec</v>
    <v>268435456</v>
    <v>1</v>
    <v>Powered by Refinitiv</v>
    <v>192.05</v>
    <v>140.68</v>
    <v>0.36870000000000003</v>
    <v>1.32</v>
    <v>6.9589999999999999E-3</v>
    <v>USD</v>
    <v>Johnson &amp; Johnson and its subsidiaries are engaged in the research and development, manufacture, and sale of a range of products in the healthcare field. The Company’s segments include Innovative Medicine and MedTech. The Innovative Medicine segment is focused on various therapeutic areas, including immunology, infectious diseases, neuroscience, oncology, pulmonary hypertension, cardiovascular and metabolism. Its products include REMICADE (infliximab), SIMPONI (golimumab), SIMPONI ARIA (golimumab), STELARA (ustekinumab), TREMFYA (guselkumab), EDURANT (rilpivirine), and INVEGA SUSTENNA/XEPLION (paliperidone palmitate). The MedTech segment includes a portfolio of products used in cardiovascular, orthopedics, surgery, and vision categories. The Cardiovascular portfolio includes electrophysiology products to treat heart rhythm disorders and circulatory restoration products (Shockwave) for the treatment of calcified coronary artery disease (CAD) and peripheral artery disease (PAD).</v>
    <v>138100</v>
    <v>New York Stock Exchange</v>
    <v>XNYS</v>
    <v>XNYS</v>
    <v>One Johnson &amp; Johnson Plaza, NEW BRUNSWICK, NJ, 08933 US</v>
    <v>192.05</v>
    <v>Pharmaceuticals</v>
    <v>Stock</v>
    <v>45939.714295763282</v>
    <v>98</v>
    <v>189.73</v>
    <v>460016832390</v>
    <v>JOHNSON &amp; JOHNSON</v>
    <v>JOHNSON &amp; JOHNSON</v>
    <v>190</v>
    <v>20.4313</v>
    <v>189.69</v>
    <v>191.01</v>
    <v>2408339000</v>
    <v>JNJ</v>
    <v>JOHNSON &amp; JOHNSON (XNYS:JNJ)</v>
    <v>2953689</v>
    <v>8577779</v>
    <v>1887</v>
  </rv>
  <rv s="2">
    <v>99</v>
  </rv>
  <rv s="0">
    <v>https://www.bing.com/financeapi/forcetrigger?t=a1wljc&amp;q=XNYS%3aKO&amp;form=skydnc</v>
    <v>Learn more on Bing</v>
  </rv>
  <rv s="1">
    <v>0</v>
    <v>THE COCA-COLA COMPANY (XNYS:KO)</v>
    <v>2</v>
    <v>3</v>
    <v>Finance</v>
    <v>4</v>
    <v>en-GB</v>
    <v>a1wljc</v>
    <v>268435456</v>
    <v>1</v>
    <v>Powered by Refinitiv</v>
    <v>74.38</v>
    <v>60.615000000000002</v>
    <v>0.4194</v>
    <v>0.125</v>
    <v>1.8909999999999999E-3</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66.8</v>
    <v>Beverages</v>
    <v>Stock</v>
    <v>45939.714348830472</v>
    <v>101</v>
    <v>66.125</v>
    <v>285096420415</v>
    <v>THE COCA-COLA COMPANY</v>
    <v>THE COCA-COLA COMPANY</v>
    <v>66.459999999999994</v>
    <v>26.523499999999999</v>
    <v>66.12</v>
    <v>66.245000000000005</v>
    <v>4303667000</v>
    <v>KO</v>
    <v>THE COCA-COLA COMPANY (XNYS:KO)</v>
    <v>6276437</v>
    <v>16517847</v>
    <v>1919</v>
  </rv>
  <rv s="2">
    <v>102</v>
  </rv>
  <rv s="0">
    <v>http://en.wikipedia.org/wiki/McDonald's</v>
    <v>Wikipedia</v>
  </rv>
  <rv s="3">
    <v>6</v>
    <v>104</v>
  </rv>
  <rv s="4">
    <v>9</v>
    <v>https://www.bing.com/th?id=AMMS_7d8255243964a8970376f8dd41121106&amp;qlt=95</v>
    <v>105</v>
    <v>0</v>
    <v>https://www.bing.com/images/search?form=xlimg&amp;q=mcdonald%27s</v>
    <v>Image of MCDONALD'S CORPORATION</v>
  </rv>
  <rv s="0">
    <v>https://www.bing.com/financeapi/forcetrigger?t=a1xdec&amp;q=XNYS%3aMCD&amp;form=skydnc</v>
    <v>Learn more on Bing</v>
  </rv>
  <rv s="5">
    <v>5</v>
    <v>MCDONALD'S CORPORATION (XNYS:MCD)</v>
    <v>7</v>
    <v>8</v>
    <v>Finance</v>
    <v>4</v>
    <v>en-GB</v>
    <v>a1xdec</v>
    <v>268435456</v>
    <v>1</v>
    <v>Powered by Refinitiv</v>
    <v>326.32</v>
    <v>276.52999999999997</v>
    <v>0.50019999999999998</v>
    <v>0.37</v>
    <v>1.2570000000000001E-3</v>
    <v>USD</v>
    <v>McDonald's Corporation is a global foodservice retailer. Its segment includes U.S., International Operated Markets, and International Developmental Licensed Markets &amp; Corporate. The U.S. segment is its largest market and is 95% franchised. The International Operated Markets segment is comprised of markets, or countries in which it operates and franchises restaurants, including Australia, Canada, France, Germany, Italy, Poland, Spain, and the United Kingdom. This segment is 89% franchised. The International Developmental Licensed Markets &amp; Corporate segment is comprised of developmental licensee and affiliate markets, including equity method investments in China and Japan. This segment is 99% franchised. Its menu features hamburgers and cheeseburgers, the Big Mac, the Quarter Pounder with Cheese, the Filet-O-Fish, and several chicken sandwiches, such as the McChicken and McCrispy as well as Chicken McNuggets, Fries, shakes, sundaes, cookies, soft drinks, coffee, and other beverages.</v>
    <v>150000</v>
    <v>New York Stock Exchange</v>
    <v>XNYS</v>
    <v>XNYS</v>
    <v>110 N Carpenter St, CHICAGO, IL, 60607-2104 US</v>
    <v>295.04500000000002</v>
    <v>106</v>
    <v>Hotels &amp; Entertainment Services</v>
    <v>Stock</v>
    <v>45939.714293089841</v>
    <v>107</v>
    <v>292.04000000000002</v>
    <v>210349168988</v>
    <v>MCDONALD'S CORPORATION</v>
    <v>MCDONALD'S CORPORATION</v>
    <v>294.58</v>
    <v>25.248999999999999</v>
    <v>294.39999999999998</v>
    <v>294.77</v>
    <v>713604400</v>
    <v>MCD</v>
    <v>MCDONALD'S CORPORATION (XNYS:MCD)</v>
    <v>1148266</v>
    <v>3034747</v>
    <v>1964</v>
  </rv>
  <rv s="2">
    <v>108</v>
  </rv>
  <rv s="0">
    <v>http://en.wikipedia.org/wiki/The_Walt_Disney_Company</v>
    <v>Wikipedia</v>
  </rv>
  <rv s="3">
    <v>6</v>
    <v>110</v>
  </rv>
  <rv s="4">
    <v>9</v>
    <v>https://www.bing.com/th?id=AMMS_0aa288ba528f6f45e3de87d97e250136&amp;qlt=95</v>
    <v>111</v>
    <v>0</v>
    <v>https://www.bing.com/images/search?form=xlimg&amp;q=the+walt+disney+company</v>
    <v>Image of THE WALT DISNEY COMPANY</v>
  </rv>
  <rv s="0">
    <v>https://www.bing.com/financeapi/forcetrigger?t=a1r2z2&amp;q=XNYS%3aDIS&amp;form=skydnc</v>
    <v>Learn more on Bing</v>
  </rv>
  <rv s="5">
    <v>5</v>
    <v>THE WALT DISNEY COMPANY (XNYS:DIS)</v>
    <v>7</v>
    <v>8</v>
    <v>Finance</v>
    <v>4</v>
    <v>en-GB</v>
    <v>a1r2z2</v>
    <v>268435456</v>
    <v>1</v>
    <v>Powered by Refinitiv</v>
    <v>124.69</v>
    <v>80.099999999999994</v>
    <v>1.5544</v>
    <v>-0.18</v>
    <v>-1.609E-3</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v>
    <v>112</v>
    <v>Media &amp; Publishing</v>
    <v>Stock</v>
    <v>45939.714271133591</v>
    <v>113</v>
    <v>111.2</v>
    <v>200847207140</v>
    <v>THE WALT DISNEY COMPANY</v>
    <v>THE WALT DISNEY COMPANY</v>
    <v>112.01</v>
    <v>17.5138</v>
    <v>111.89</v>
    <v>111.71</v>
    <v>1797934000</v>
    <v>DIS</v>
    <v>THE WALT DISNEY COMPANY (XNYS:DIS)</v>
    <v>2929209</v>
    <v>8637248</v>
    <v>2018</v>
  </rv>
  <rv s="2">
    <v>114</v>
  </rv>
  <rv s="0">
    <v>https://www.bing.com/financeapi/forcetrigger?t=a1ygoc&amp;q=XNAS%3aNFLX&amp;form=skydnc</v>
    <v>Learn more on Bing</v>
  </rv>
  <rv s="1">
    <v>0</v>
    <v>NETFLIX, INC. (XNAS:NFLX)</v>
    <v>2</v>
    <v>3</v>
    <v>Finance</v>
    <v>4</v>
    <v>en-GB</v>
    <v>a1ygoc</v>
    <v>268435456</v>
    <v>1</v>
    <v>Powered by Refinitiv</v>
    <v>1341.15</v>
    <v>677.88</v>
    <v>1.5908</v>
    <v>19.350000000000001</v>
    <v>1.5935999999999999E-2</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1235</v>
    <v>Software &amp; IT Services</v>
    <v>Stock</v>
    <v>45939.714291642966</v>
    <v>116</v>
    <v>1212.0001</v>
    <v>524189207039</v>
    <v>NETFLIX, INC.</v>
    <v>NETFLIX, INC.</v>
    <v>1214.25</v>
    <v>52.566800000000001</v>
    <v>1214.25</v>
    <v>1233.5999999999999</v>
    <v>424926400</v>
    <v>NFLX</v>
    <v>NETFLIX, INC. (XNAS:NFLX)</v>
    <v>1560303</v>
    <v>3131359</v>
    <v>1997</v>
  </rv>
  <rv s="2">
    <v>117</v>
  </rv>
  <rv s="0">
    <v>https://www.bing.com/financeapi/forcetrigger?t=a1zsjc&amp;q=XNYS%3aPG&amp;form=skydnc</v>
    <v>Learn more on Bing</v>
  </rv>
  <rv s="1">
    <v>0</v>
    <v>THE PROCTER &amp; GAMBLE COMPANY (XNYS:PG)</v>
    <v>2</v>
    <v>3</v>
    <v>Finance</v>
    <v>4</v>
    <v>en-GB</v>
    <v>a1zsjc</v>
    <v>268435456</v>
    <v>1</v>
    <v>Powered by Refinitiv</v>
    <v>180.43</v>
    <v>149.58000000000001</v>
    <v>0.3639</v>
    <v>-0.24199999999999999</v>
    <v>-1.606E-3</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109000</v>
    <v>New York Stock Exchange</v>
    <v>XNYS</v>
    <v>XNYS</v>
    <v>One Procter &amp; Gamble Plaza, CINCINNATI, OH, 45202 US</v>
    <v>150.84</v>
    <v>Personal &amp; Household Products &amp; Services</v>
    <v>Stock</v>
    <v>45939.714276133593</v>
    <v>119</v>
    <v>149.58000000000001</v>
    <v>352121287280</v>
    <v>THE PROCTER &amp; GAMBLE COMPANY</v>
    <v>THE PROCTER &amp; GAMBLE COMPANY</v>
    <v>150.71</v>
    <v>23.122699999999998</v>
    <v>150.69</v>
    <v>150.44800000000001</v>
    <v>2340485000</v>
    <v>PG</v>
    <v>THE PROCTER &amp; GAMBLE COMPANY (XNYS:PG)</v>
    <v>2291562</v>
    <v>7176128</v>
    <v>1905</v>
  </rv>
  <rv s="2">
    <v>120</v>
  </rv>
  <rv s="0">
    <v>https://www.bing.com/financeapi/forcetrigger?t=axyhnm&amp;q=XNAS%3aPEP&amp;form=skydnc</v>
    <v>Learn more on Bing</v>
  </rv>
  <rv s="1">
    <v>0</v>
    <v>PEPSICO, INC. (XNAS:PEP)</v>
    <v>2</v>
    <v>3</v>
    <v>Finance</v>
    <v>4</v>
    <v>en-GB</v>
    <v>axyhnm</v>
    <v>268435456</v>
    <v>1</v>
    <v>Powered by Refinitiv</v>
    <v>177.5</v>
    <v>127.6</v>
    <v>0.45219999999999999</v>
    <v>4.0999999999999996</v>
    <v>2.9529999999999997E-2</v>
    <v>USD</v>
    <v>PepsiCo, Inc. is a global beverage and convenient food company. It has a portfolio of brands, including Lay’s, Doritos, Cheetos, Gatorade, Pepsi-Cola, Mountain Dew, Quaker and SodaStream. Its segments include Frito-Lay North America (FLNA); Quaker Foods North America (QFNA); PepsiCo Beverages North America (PBNA); Latin America (LatAm); Europe; Africa, Middle East and South Asia (AMESA), and Asia Pacific, Australia and New Zealand and China Region (APAC). FLNA makes, markets, distributes and sells branded convenient foods, which include branded dips, Cheetos cheese-flavored snacks, Doritos tortilla chips, Fritos corn chips, Lay’s potato chips, and others. QFNA’s products include Cap’n Crunch cereal, Life cereal, Pearl Milling Company syrups and mixes, Quaker Chewy granola bars, Quaker grits, Quaker oatmeal, and others. PBNA makes, markets and sells beverage concentrates and fountain syrups under various beverage brands, including Aquafina, Bubly, Diet Pepsi, Gatorade, and others.</v>
    <v>319000</v>
    <v>Nasdaq Stock Market</v>
    <v>XNAS</v>
    <v>XNAS</v>
    <v>700 ANDERSON HILL RD, PURCHASE, NY, 10577 US</v>
    <v>143.315</v>
    <v>Beverages</v>
    <v>Stock</v>
    <v>45939.714318946091</v>
    <v>122</v>
    <v>138.59</v>
    <v>195695866380</v>
    <v>PEPSICO, INC.</v>
    <v>PEPSICO, INC.</v>
    <v>140.46</v>
    <v>26.0459</v>
    <v>138.84</v>
    <v>142.94</v>
    <v>1369077000</v>
    <v>PEP</v>
    <v>PEPSICO, INC. (XNAS:PEP)</v>
    <v>7732106</v>
    <v>7095562</v>
    <v>1986</v>
  </rv>
  <rv s="2">
    <v>123</v>
  </rv>
  <rv s="0">
    <v>https://www.bing.com/financeapi/forcetrigger?t=a1z5r7&amp;q=ARCX%3aOIH&amp;form=skydnc</v>
    <v>Learn more on Bing</v>
  </rv>
  <rv s="6">
    <v>10</v>
    <v>VanEck:Oil Services (ARCX:OIH)</v>
    <v>11</v>
    <v>12</v>
    <v>Finance</v>
    <v>13</v>
    <v>en-GB</v>
    <v>a1z5r7</v>
    <v>268435456</v>
    <v>1</v>
    <v>Powered by Refinitiv</v>
    <v>311.27999999999997</v>
    <v>191.21</v>
    <v>1.6278999999999999</v>
    <v>-6.43</v>
    <v>-2.4458000000000001E-2</v>
    <v>USD</v>
    <v>NYSE Arca</v>
    <v>ARCX</v>
    <v>3.4999999999999996E-3</v>
    <v>265.74</v>
    <v>ETF</v>
    <v>45939.714004710157</v>
    <v>125</v>
    <v>256.37</v>
    <v>948275137.29999995</v>
    <v>VanEck:Oil Services</v>
    <v>262.83</v>
    <v>262.89999999999998</v>
    <v>256.47000000000003</v>
    <v>OIH</v>
    <v>VanEck:Oil Services (ARCX:OIH)</v>
    <v>168524</v>
    <v>412149</v>
  </rv>
  <rv s="2">
    <v>126</v>
  </rv>
  <rv s="0">
    <v>https://www.bing.com/financeapi/forcetrigger?t=a1vbmw&amp;q=BATS%3aIEO&amp;form=skydnc</v>
    <v>Learn more on Bing</v>
  </rv>
  <rv s="6">
    <v>10</v>
    <v>iShares:US O&amp;G E&amp;P ETF (BATS:IEO)</v>
    <v>11</v>
    <v>12</v>
    <v>Finance</v>
    <v>13</v>
    <v>en-GB</v>
    <v>a1vbmw</v>
    <v>268435456</v>
    <v>1</v>
    <v>Powered by Refinitiv</v>
    <v>102.45</v>
    <v>73.17</v>
    <v>1.1122000000000001</v>
    <v>-1.4359</v>
    <v>-1.5491E-2</v>
    <v>USD</v>
    <v>CBOE BZX Exchange</v>
    <v>BATS</v>
    <v>3.8E-3</v>
    <v>93.55</v>
    <v>ETF</v>
    <v>45939.712853286721</v>
    <v>128</v>
    <v>91.254099999999994</v>
    <v>467763309.89999998</v>
    <v>iShares:US O&amp;G E&amp;P ETF</v>
    <v>92.88</v>
    <v>92.69</v>
    <v>91.254099999999994</v>
    <v>IEO</v>
    <v>iShares:US O&amp;G E&amp;P ETF (BATS:IEO)</v>
    <v>14597</v>
    <v>56716</v>
  </rv>
  <rv s="2">
    <v>129</v>
  </rv>
  <rv s="0">
    <v>https://www.bing.com/financeapi/forcetrigger?t=a21gvh&amp;q=ARCX%3aPXE&amp;form=skydnc</v>
    <v>Learn more on Bing</v>
  </rv>
  <rv s="6">
    <v>10</v>
    <v>Invesco En Explo &amp; Prod (ARCX:PXE)</v>
    <v>11</v>
    <v>12</v>
    <v>Finance</v>
    <v>13</v>
    <v>en-GB</v>
    <v>a21gvh</v>
    <v>268435456</v>
    <v>1</v>
    <v>Powered by Refinitiv</v>
    <v>32.838799999999999</v>
    <v>22.19</v>
    <v>1.1813</v>
    <v>-0.58499999999999996</v>
    <v>-1.9740000000000001E-2</v>
    <v>USD</v>
    <v>NYSE Arca</v>
    <v>ARCX</v>
    <v>6.0999999999999995E-3</v>
    <v>29.959099999999999</v>
    <v>ETF</v>
    <v>45939.708015821096</v>
    <v>131</v>
    <v>29.05</v>
    <v>72341276.459999993</v>
    <v>Invesco En Explo &amp; Prod</v>
    <v>29.18</v>
    <v>29.635000000000002</v>
    <v>29.05</v>
    <v>PXE</v>
    <v>Invesco En Explo &amp; Prod (ARCX:PXE)</v>
    <v>5475</v>
    <v>13763</v>
  </rv>
  <rv s="2">
    <v>132</v>
  </rv>
  <rv s="0">
    <v>http://en.wikipedia.org/wiki/Marathon_Oil</v>
    <v>Wikipedia</v>
  </rv>
  <rv s="3">
    <v>6</v>
    <v>134</v>
  </rv>
  <rv s="4">
    <v>9</v>
    <v>https://www.bing.com/th?id=AMMS_053e966468c0c2456f7c62d3a165a7fd&amp;qlt=95</v>
    <v>135</v>
    <v>0</v>
    <v>https://www.bing.com/images/search?form=xlimg&amp;q=marathon+oil</v>
    <v>Image of MARATHON OIL CORPORATION</v>
  </rv>
  <rv s="0">
    <v>https://www.bing.com/financeapi/forcetrigger?t=ald4w7&amp;q=XMEX%3aMRO*&amp;form=skydnc</v>
    <v>Learn more on Bing</v>
  </rv>
  <rv s="12">
    <v>26</v>
    <v>MARATHON OIL CORPORATION (XMEX:MRO*)</v>
    <v>7</v>
    <v>27</v>
    <v>Finance</v>
    <v>28</v>
    <v>en-GB</v>
    <v>ald4w7</v>
    <v>268435456</v>
    <v>1</v>
    <v>Powered by Refinitiv</v>
    <v>564</v>
    <v>382</v>
    <v>2.1572</v>
    <v>12.5</v>
    <v>2.2665000000000001E-2</v>
    <v>MXN</v>
    <v>Marathon Oil Corporation is an independent exploration and production company. The Company is focused on the United States resource plays, which include Eagle Ford in Texas, Bakken in North Dakota, Sooner Trend Anadarko Basin Canadian and Kingfisher Counties (STACK) and South-Central Oklahoma Oil Province (SCOOP) in Oklahoma and Permian in New Mexico and Texas. The Company operates through two segments: United States and International. The United States segment explores for, produces and markets crude oil and condensate, natural gas liquids (NGLs) and natural gas in the United States. The International segment explores for, produces and markets crude oil and condensate, NGLs and natural gas outside of the United States as well as produces and markets products manufactured from natural gas, such as LNG and methanol, in Equatorial Guinea (E.G.). Its subsidiaries include Alba Associates LLC, Alba Equatorial Guinea Partnership, L.P., Alba Plant LLC and AMPCO Marketing, L.L.C.</v>
    <v>1681</v>
    <v>Mexican Stock Exchange</v>
    <v>XMEX</v>
    <v>XMEX</v>
    <v>PO Box 3128, HOUSTON, TX, 77253-3128 US</v>
    <v>564</v>
    <v>136</v>
    <v>Oil &amp; Gas</v>
    <v>Stock</v>
    <v>45603.874976851854</v>
    <v>137</v>
    <v>564</v>
    <v>16110240000</v>
    <v>MARATHON OIL CORPORATION</v>
    <v>MARATHON OIL CORPORATION</v>
    <v>564</v>
    <v>551.5</v>
    <v>564</v>
    <v>559410300</v>
    <v>MRO*</v>
    <v>MARATHON OIL CORPORATION (XMEX:MRO*)</v>
    <v>2</v>
    <v>8164970</v>
    <v>2001</v>
  </rv>
  <rv s="2">
    <v>138</v>
  </rv>
  <rv s="0">
    <v>https://www.bing.com/financeapi/forcetrigger?t=a1u477&amp;q=BATS%3aGOVT&amp;form=skydnc</v>
    <v>Learn more on Bing</v>
  </rv>
  <rv s="6">
    <v>10</v>
    <v>iShares:US Treasury Bond (BATS:GOVT)</v>
    <v>11</v>
    <v>12</v>
    <v>Finance</v>
    <v>13</v>
    <v>en-GB</v>
    <v>a1u477</v>
    <v>268435456</v>
    <v>1</v>
    <v>Powered by Refinitiv</v>
    <v>23.34</v>
    <v>22.23</v>
    <v>0.91</v>
    <v>-1.9900000000000001E-2</v>
    <v>-8.6180000000000002E-4</v>
    <v>USD</v>
    <v>CBOE BZX Exchange</v>
    <v>BATS</v>
    <v>5.0000000000000001E-4</v>
    <v>23.09</v>
    <v>ETF</v>
    <v>45939.71403141172</v>
    <v>140</v>
    <v>23.060099999999998</v>
    <v>28781050380.049999</v>
    <v>iShares:US Treasury Bond</v>
    <v>23.07</v>
    <v>23.09</v>
    <v>23.0701</v>
    <v>GOVT</v>
    <v>iShares:US Treasury Bond (BATS:GOVT)</v>
    <v>2527706</v>
    <v>5772197</v>
  </rv>
  <rv s="2">
    <v>141</v>
  </rv>
  <rv s="0">
    <v>https://www.bing.com/financeapi/forcetrigger?t=a25bc7&amp;q=XNAS%3aVGSH&amp;form=skydnc</v>
    <v>Learn more on Bing</v>
  </rv>
  <rv s="6">
    <v>10</v>
    <v>Vanguard ST Trs;ETF (XNAS:VGSH)</v>
    <v>11</v>
    <v>12</v>
    <v>Finance</v>
    <v>13</v>
    <v>en-GB</v>
    <v>a25bc7</v>
    <v>268435456</v>
    <v>1</v>
    <v>Powered by Refinitiv</v>
    <v>58.98</v>
    <v>58</v>
    <v>1.0345</v>
    <v>-5.0000000000000001E-3</v>
    <v>-8.5149999999999996E-5</v>
    <v>USD</v>
    <v>Nasdaq Stock Market</v>
    <v>XNAS</v>
    <v>2.9999999999999997E-4</v>
    <v>58.73</v>
    <v>ETF</v>
    <v>45939.714164421093</v>
    <v>143</v>
    <v>58.71</v>
    <v>23059290073</v>
    <v>Vanguard ST Trs;ETF</v>
    <v>58.73</v>
    <v>58.72</v>
    <v>58.715000000000003</v>
    <v>VGSH</v>
    <v>Vanguard ST Trs;ETF (XNAS:VGSH)</v>
    <v>913160</v>
    <v>2441539</v>
  </rv>
  <rv s="2">
    <v>144</v>
  </rv>
  <rv s="0">
    <v>https://www.bing.com/financeapi/forcetrigger?t=a25aww&amp;q=XNAS%3aVGIT&amp;form=skydnc</v>
    <v>Learn more on Bing</v>
  </rv>
  <rv s="6">
    <v>10</v>
    <v>Vanguard Int Trs;ETF (XNAS:VGIT)</v>
    <v>11</v>
    <v>12</v>
    <v>Finance</v>
    <v>13</v>
    <v>en-GB</v>
    <v>a25aww</v>
    <v>268435456</v>
    <v>1</v>
    <v>Powered by Refinitiv</v>
    <v>60.49</v>
    <v>57.4</v>
    <v>1.3956999999999999</v>
    <v>-2.3800000000000002E-2</v>
    <v>-3.971E-4</v>
    <v>USD</v>
    <v>Nasdaq Stock Market</v>
    <v>XNAS</v>
    <v>2.9999999999999997E-4</v>
    <v>59.94</v>
    <v>ETF</v>
    <v>45939.714225821095</v>
    <v>146</v>
    <v>59.897799999999997</v>
    <v>33811697773</v>
    <v>Vanguard Int Trs;ETF</v>
    <v>59.93</v>
    <v>59.94</v>
    <v>59.916200000000003</v>
    <v>VGIT</v>
    <v>Vanguard Int Trs;ETF (XNAS:VGIT)</v>
    <v>1051420</v>
    <v>2930047</v>
  </rv>
  <rv s="2">
    <v>147</v>
  </rv>
  <rv s="0">
    <v>https://www.bing.com/financeapi/forcetrigger?t=a25b3m&amp;q=XNAS%3aVGLT&amp;form=skydnc</v>
    <v>Learn more on Bing</v>
  </rv>
  <rv s="6">
    <v>10</v>
    <v>Vanguard LT Trs;ETF (XNAS:VGLT)</v>
    <v>11</v>
    <v>12</v>
    <v>Finance</v>
    <v>13</v>
    <v>en-GB</v>
    <v>a25b3m</v>
    <v>268435456</v>
    <v>1</v>
    <v>Powered by Refinitiv</v>
    <v>60.05</v>
    <v>53.174999999999997</v>
    <v>1.0071000000000001</v>
    <v>-8.1799999999999998E-2</v>
    <v>-1.441E-3</v>
    <v>USD</v>
    <v>Nasdaq Stock Market</v>
    <v>XNAS</v>
    <v>2.9999999999999997E-4</v>
    <v>56.8</v>
    <v>ETF</v>
    <v>45939.714263495312</v>
    <v>149</v>
    <v>56.634999999999998</v>
    <v>10020142831</v>
    <v>Vanguard LT Trs;ETF</v>
    <v>56.73</v>
    <v>56.78</v>
    <v>56.6982</v>
    <v>VGLT</v>
    <v>Vanguard LT Trs;ETF (XNAS:VGLT)</v>
    <v>523818</v>
    <v>1953046</v>
  </rv>
  <rv s="2">
    <v>150</v>
  </rv>
  <rv s="0">
    <v>https://www.bing.com/financeapi/forcetrigger?t=a1pam7&amp;q=ARCX%3aSPBO&amp;form=skydnc</v>
    <v>Learn more on Bing</v>
  </rv>
  <rv s="6">
    <v>10</v>
    <v>SPDR Ptf Corp Bd (ARCX:SPBO)</v>
    <v>11</v>
    <v>12</v>
    <v>Finance</v>
    <v>13</v>
    <v>en-GB</v>
    <v>a1pam7</v>
    <v>268435456</v>
    <v>1</v>
    <v>Powered by Refinitiv</v>
    <v>29.855</v>
    <v>27.84</v>
    <v>1.0470999999999999</v>
    <v>-6.5500000000000003E-2</v>
    <v>-2.2160000000000001E-3</v>
    <v>USD</v>
    <v>NYSE Arca</v>
    <v>ARCX</v>
    <v>2.9999999999999997E-4</v>
    <v>29.55</v>
    <v>ETF</v>
    <v>45939.711139988278</v>
    <v>152</v>
    <v>29.494499999999999</v>
    <v>1794311479.9000001</v>
    <v>SPDR Ptf Corp Bd</v>
    <v>29.515000000000001</v>
    <v>29.56</v>
    <v>29.494499999999999</v>
    <v>SPBO</v>
    <v>SPDR Ptf Corp Bd (ARCX:SPBO)</v>
    <v>140872</v>
    <v>968496</v>
  </rv>
  <rv s="2">
    <v>153</v>
  </rv>
  <rv s="13">
    <v>29</v>
    <v>CI Alt InvGr Cr ETF (NEOE:CRED)</v>
    <v>30</v>
    <v>31</v>
    <v>Finance</v>
    <v>32</v>
    <v>en-GB</v>
    <v>cdxec7</v>
    <v>268435456</v>
    <v>1</v>
    <v>Powered by Refinitiv</v>
    <v>20.41</v>
    <v>19.73</v>
    <v>-4.7999999999999996E-3</v>
    <v>0.01</v>
    <v>4.9259999999999994E-4</v>
    <v>CAD</v>
    <v>NEO Exchange</v>
    <v>NEOE</v>
    <v>2.1700000000000001E-2</v>
    <v>20.309999999999999</v>
    <v>ETF</v>
    <v>45939.63403403906</v>
    <v>20.3</v>
    <v>356812297</v>
    <v>CI Alt InvGr Cr ETF</v>
    <v>20.3</v>
    <v>20.3</v>
    <v>20.309999999999999</v>
    <v>CRED</v>
    <v>CI Alt InvGr Cr ETF (NEOE:CRED)</v>
    <v>59700</v>
  </rv>
  <rv s="2">
    <v>155</v>
  </rv>
  <rv s="14">
    <fb>45574</fb>
    <v>33</v>
  </rv>
  <rv s="14">
    <fb>229.54</fb>
    <v>34</v>
  </rv>
  <rv s="14">
    <fb>132.65</fb>
    <v>34</v>
  </rv>
  <rv s="14">
    <fb>417.46</fb>
    <v>34</v>
  </rv>
  <rv s="14">
    <fb>590.51</fb>
    <v>34</v>
  </rv>
  <rv s="14">
    <fb>161.86000000000001</fb>
    <v>34</v>
  </rv>
  <rv s="14">
    <fb>577.14</fb>
    <v>34</v>
  </rv>
  <rv s="14">
    <fb>94.45</fb>
    <v>34</v>
  </rv>
  <rv s="14">
    <fb>241.05</fb>
    <v>34</v>
  </rv>
  <rv s="14">
    <fb>75.25</fb>
    <v>34</v>
  </rv>
  <rv s="14">
    <fb>95.84</fb>
    <v>34</v>
  </rv>
  <rv s="14">
    <fb>48.045000000000002</fb>
    <v>34</v>
  </rv>
  <rv s="14">
    <fb>138.02000000000001</fb>
    <v>34</v>
  </rv>
  <rv s="14">
    <fb>91.62</fb>
    <v>34</v>
  </rv>
  <rv s="14">
    <fb>14.93</fb>
    <v>34</v>
  </rv>
  <rv s="14">
    <fb>3.11</fb>
    <v>35</v>
  </rv>
  <rv s="14">
    <fb>27.86</fb>
    <v>34</v>
  </rv>
  <rv s="14">
    <fb>25.57</fb>
    <v>34</v>
  </rv>
  <rv s="14">
    <fb>5.4</fb>
    <v>34</v>
  </rv>
  <rv s="14">
    <fb>51.7</fb>
    <v>34</v>
  </rv>
  <rv s="14">
    <fb>87.32</fb>
    <v>34</v>
  </rv>
  <rv s="14">
    <fb>26.54</fb>
    <v>34</v>
  </rv>
  <rv s="14">
    <fb>50.9</fb>
    <v>34</v>
  </rv>
  <rv s="14">
    <fb>29.14</fb>
    <v>34</v>
  </rv>
  <rv s="14">
    <fb>28.05</fb>
    <v>34</v>
  </rv>
  <rv s="14">
    <fb>91.54</fb>
    <v>34</v>
  </rv>
  <rv s="14">
    <fb>455.9</fb>
    <v>34</v>
  </rv>
  <rv s="14">
    <fb>213.42</fb>
    <v>34</v>
  </rv>
  <rv s="14">
    <fb>40.19</fb>
    <v>34</v>
  </rv>
  <rv s="14">
    <fb>122.09</fb>
    <v>34</v>
  </rv>
  <rv s="14">
    <fb>149.65</fb>
    <v>34</v>
  </rv>
  <rv s="14">
    <fb>160.65</fb>
    <v>34</v>
  </rv>
  <rv s="14">
    <fb>69.569999999999993</fb>
    <v>34</v>
  </rv>
  <rv s="14">
    <fb>303.83</fb>
    <v>34</v>
  </rv>
  <rv s="14">
    <fb>93.6</fb>
    <v>34</v>
  </rv>
  <rv s="14">
    <fb>727.43</fb>
    <v>34</v>
  </rv>
  <rv s="14">
    <fb>169.27</fb>
    <v>34</v>
  </rv>
  <rv s="14">
    <fb>172.54</fb>
    <v>34</v>
  </rv>
  <rv s="14">
    <fb>292.57</fb>
    <v>34</v>
  </rv>
  <rv s="14">
    <fb>95.71</fb>
    <v>34</v>
  </rv>
  <rv s="14">
    <fb>31.05</fb>
    <v>34</v>
  </rv>
  <rv s="15">
    <fb t="e">#N/A</fb>
    <v>6</v>
    <v>4</v>
  </rv>
  <rv s="14">
    <fb>23.02</fb>
    <v>34</v>
  </rv>
  <rv s="14">
    <fb>58.49</fb>
    <v>34</v>
  </rv>
  <rv s="14">
    <fb>59.34</fb>
    <v>34</v>
  </rv>
  <rv s="14">
    <fb>59.37</fb>
    <v>34</v>
  </rv>
  <rv s="14">
    <fb>29.56</fb>
    <v>34</v>
  </rv>
  <rv s="14">
    <fb>23.25</fb>
    <v>34</v>
  </rv>
  <rv s="14">
    <fb>45575</fb>
    <v>33</v>
  </rv>
  <rv s="14">
    <fb>229.04</fb>
    <v>34</v>
  </rv>
  <rv s="14">
    <fb>134.81</fb>
    <v>34</v>
  </rv>
  <rv s="14">
    <fb>415.84</fb>
    <v>34</v>
  </rv>
  <rv s="14">
    <fb>583.83000000000004</fb>
    <v>34</v>
  </rv>
  <rv s="14">
    <fb>162.08000000000001</fb>
    <v>34</v>
  </rv>
  <rv s="14">
    <fb>576.13</fb>
    <v>34</v>
  </rv>
  <rv s="14">
    <fb>94.08</fb>
    <v>34</v>
  </rv>
  <rv s="14">
    <fb>242.82</fb>
    <v>34</v>
  </rv>
  <rv s="14">
    <fb>77.77</fb>
    <v>34</v>
  </rv>
  <rv s="14">
    <fb>95.83</fb>
    <v>34</v>
  </rv>
  <rv s="14">
    <fb>48.05</fb>
    <v>34</v>
  </rv>
  <rv s="14">
    <fb>137.91999999999999</fb>
    <v>34</v>
  </rv>
  <rv s="14">
    <fb>92.24</fb>
    <v>34</v>
  </rv>
  <rv s="14">
    <fb>15.42</fb>
    <v>34</v>
  </rv>
  <rv s="14">
    <fb>2.8</fb>
    <v>35</v>
  </rv>
  <rv s="14">
    <fb>28.38</fb>
    <v>34</v>
  </rv>
  <rv s="14">
    <fb>25.76</fb>
    <v>34</v>
  </rv>
  <rv s="14">
    <fb>5.43</fb>
    <v>34</v>
  </rv>
  <rv s="14">
    <fb>52.09</fb>
    <v>34</v>
  </rv>
  <rv s="14">
    <fb>89.07</fb>
    <v>34</v>
  </rv>
  <rv s="14">
    <fb>26.594999999999999</fb>
    <v>34</v>
  </rv>
  <rv s="14">
    <fb>50.89</fb>
    <v>34</v>
  </rv>
  <rv s="14">
    <fb>29.17</fb>
    <v>34</v>
  </rv>
  <rv s="14">
    <fb>27.95</fb>
    <v>34</v>
  </rv>
  <rv s="14">
    <fb>91.55</fb>
    <v>34</v>
  </rv>
  <rv s="14">
    <fb>454.93</fb>
    <v>34</v>
  </rv>
  <rv s="14">
    <fb>212.84</fb>
    <v>34</v>
  </rv>
  <rv s="14">
    <fb>39.97</fb>
    <v>34</v>
  </rv>
  <rv s="14">
    <fb>123.14</fb>
    <v>34</v>
  </rv>
  <rv s="14">
    <fb>150.62</fb>
    <v>34</v>
  </rv>
  <rv s="14">
    <fb>160.51</fb>
    <v>34</v>
  </rv>
  <rv s="14">
    <fb>69.25</fb>
    <v>34</v>
  </rv>
  <rv s="14">
    <fb>304.04000000000002</fb>
    <v>34</v>
  </rv>
  <rv s="14">
    <fb>92.99</fb>
    <v>34</v>
  </rv>
  <rv s="14">
    <fb>730.29</fb>
    <v>34</v>
  </rv>
  <rv s="14">
    <fb>168.95</fb>
    <v>34</v>
  </rv>
  <rv s="14">
    <fb>172.99</fb>
    <v>34</v>
  </rv>
  <rv s="14">
    <fb>295</fb>
    <v>34</v>
  </rv>
  <rv s="14">
    <fb>96.73</fb>
    <v>34</v>
  </rv>
  <rv s="14">
    <fb>31.39</fb>
    <v>34</v>
  </rv>
  <rv s="16">
    <fb t="e">#N/A</fb>
    <v>6</v>
    <v>1</v>
  </rv>
  <rv s="14">
    <fb>23.01</fb>
    <v>34</v>
  </rv>
  <rv s="14">
    <fb>58.55</fb>
    <v>34</v>
  </rv>
  <rv s="14">
    <fb>59.16</fb>
    <v>34</v>
  </rv>
  <rv s="14">
    <fb>29.53</fb>
    <v>34</v>
  </rv>
  <rv s="14">
    <fb>23.346399999999999</fb>
    <v>34</v>
  </rv>
  <rv s="14">
    <fb>45576</fb>
    <v>33</v>
  </rv>
  <rv s="14">
    <fb>227.55</fb>
    <v>34</v>
  </rv>
  <rv s="14">
    <fb>134.80000000000001</fb>
    <v>34</v>
  </rv>
  <rv s="14">
    <fb>416.32</fb>
    <v>34</v>
  </rv>
  <rv s="14">
    <fb>589.95000000000005</fb>
    <v>34</v>
  </rv>
  <rv s="14">
    <fb>163.24</fb>
    <v>34</v>
  </rv>
  <rv s="14">
    <fb>579.58000000000004</fb>
    <v>34</v>
  </rv>
  <rv s="14">
    <fb>93.7</fb>
    <v>34</v>
  </rv>
  <rv s="14">
    <fb>245.47</fb>
    <v>34</v>
  </rv>
  <rv s="14">
    <fb>77.489999999999995</fb>
    <v>34</v>
  </rv>
  <rv s="14">
    <fb>95.86</fb>
    <v>34</v>
  </rv>
  <rv s="14">
    <fb>48.08</fb>
    <v>34</v>
  </rv>
  <rv s="14">
    <fb>140.21</fb>
    <v>34</v>
  </rv>
  <rv s="14">
    <fb>92.81</fb>
    <v>34</v>
  </rv>
  <rv s="14">
    <fb>15.35</fb>
    <v>34</v>
  </rv>
  <rv s="14">
    <fb>28.8</fb>
    <v>34</v>
  </rv>
  <rv s="14">
    <fb>25.96</fb>
    <v>34</v>
  </rv>
  <rv s="14">
    <fb>5.38</fb>
    <v>34</v>
  </rv>
  <rv s="14">
    <fb>52.63</fb>
    <v>34</v>
  </rv>
  <rv s="14">
    <fb>90.25</fb>
    <v>34</v>
  </rv>
  <rv s="14">
    <fb>26.6</fb>
    <v>34</v>
  </rv>
  <rv s="14">
    <fb>50.91</fb>
    <v>34</v>
  </rv>
  <rv s="14">
    <fb>29.2</fb>
    <v>34</v>
  </rv>
  <rv s="14">
    <fb>27.87</fb>
    <v>34</v>
  </rv>
  <rv s="14">
    <fb>91.6</fb>
    <v>34</v>
  </rv>
  <rv s="14">
    <fb>460.21</fb>
    <v>34</v>
  </rv>
  <rv s="14">
    <fb>222.29</fb>
    <v>34</v>
  </rv>
  <rv s="14">
    <fb>41.95</fb>
    <v>34</v>
  </rv>
  <rv s="14">
    <fb>123.61</fb>
    <v>34</v>
  </rv>
  <rv s="14">
    <fb>151.41999999999999</fb>
    <v>34</v>
  </rv>
  <rv s="14">
    <fb>161.46</fb>
    <v>34</v>
  </rv>
  <rv s="14">
    <fb>305.04000000000002</fb>
    <v>34</v>
  </rv>
  <rv s="14">
    <fb>94.13</fb>
    <v>34</v>
  </rv>
  <rv s="14">
    <fb>722.79</fb>
    <v>34</v>
  </rv>
  <rv s="14">
    <fb>171.09</fb>
    <v>34</v>
  </rv>
  <rv s="14">
    <fb>174.81</fb>
    <v>34</v>
  </rv>
  <rv s="14">
    <fb>297.61</fb>
    <v>34</v>
  </rv>
  <rv s="14">
    <fb>97.1</fb>
    <v>34</v>
  </rv>
  <rv s="14">
    <fb>31.69</fb>
    <v>34</v>
  </rv>
  <rv s="14">
    <fb>58.6</fb>
    <v>34</v>
  </rv>
  <rv s="14">
    <fb>59.4</fb>
    <v>34</v>
  </rv>
  <rv s="14">
    <fb>59</fb>
    <v>34</v>
  </rv>
  <rv s="14">
    <fb>29.54</fb>
    <v>34</v>
  </rv>
  <rv s="14">
    <fb>23.334199999999999</fb>
    <v>34</v>
  </rv>
  <rv s="14">
    <fb>45579</fb>
    <v>33</v>
  </rv>
  <rv s="14">
    <fb>231.3</fb>
    <v>34</v>
  </rv>
  <rv s="14">
    <fb>138.07</fb>
    <v>34</v>
  </rv>
  <rv s="14">
    <fb>419.14</fb>
    <v>34</v>
  </rv>
  <rv s="14">
    <fb>590.41999999999996</fb>
    <v>34</v>
  </rv>
  <rv s="14">
    <fb>164.96</fb>
    <v>34</v>
  </rv>
  <rv s="14">
    <fb>584.32000000000005</fb>
    <v>34</v>
  </rv>
  <rv s="14">
    <fb>93.765000000000001</fb>
    <v>34</v>
  </rv>
  <rv s="14">
    <fb>245.07</fb>
    <v>34</v>
  </rv>
  <rv s="14">
    <fb>75.930000000000007</fb>
    <v>34</v>
  </rv>
  <rv s="14">
    <fb>95.69</fb>
    <v>34</v>
  </rv>
  <rv s="14">
    <fb>48.02</fb>
    <v>34</v>
  </rv>
  <rv s="14">
    <fb>141.37</fb>
    <v>34</v>
  </rv>
  <rv s="14">
    <fb>92.77</fb>
    <v>34</v>
  </rv>
  <rv s="14">
    <fb>15.08</fb>
    <v>34</v>
  </rv>
  <rv s="14">
    <fb>2.9</fb>
    <v>35</v>
  </rv>
  <rv s="14">
    <fb>28.54</fb>
    <v>34</v>
  </rv>
  <rv s="14">
    <fb>25.81</fb>
    <v>34</v>
  </rv>
  <rv s="14">
    <fb>5.27</fb>
    <v>34</v>
  </rv>
  <rv s="14">
    <fb>52.57</fb>
    <v>34</v>
  </rv>
  <rv s="14">
    <fb>91.35</fb>
    <v>34</v>
  </rv>
  <rv s="14">
    <fb>26.55</fb>
    <v>34</v>
  </rv>
  <rv s="14">
    <fb>91.59</fb>
    <v>34</v>
  </rv>
  <rv s="14">
    <fb>459.98</fb>
    <v>34</v>
  </rv>
  <rv s="14">
    <fb>221.48</fb>
    <v>34</v>
  </rv>
  <rv s="14">
    <fb>41.91</fb>
    <v>34</v>
  </rv>
  <rv s="14">
    <fb>124.08</fb>
    <v>34</v>
  </rv>
  <rv s="14">
    <fb>151.78</fb>
    <v>34</v>
  </rv>
  <rv s="14">
    <fb>161.6</fb>
    <v>34</v>
  </rv>
  <rv s="14">
    <fb>70.34</fb>
    <v>34</v>
  </rv>
  <rv s="14">
    <fb>309.83999999999997</fb>
    <v>34</v>
  </rv>
  <rv s="14">
    <fb>94.97</fb>
    <v>34</v>
  </rv>
  <rv s="14">
    <fb>713</fb>
    <v>34</v>
  </rv>
  <rv s="14">
    <fb>172.51</fb>
    <v>34</v>
  </rv>
  <rv s="14">
    <fb>176.1</fb>
    <v>34</v>
  </rv>
  <rv s="14">
    <fb>295.12</fb>
    <v>34</v>
  </rv>
  <rv s="14">
    <fb>96.03</fb>
    <v>34</v>
  </rv>
  <rv s="14">
    <fb>31.22</fb>
    <v>34</v>
  </rv>
  <rv s="14">
    <fb>23</fb>
    <v>34</v>
  </rv>
  <rv s="14">
    <fb>59.31</fb>
    <v>34</v>
  </rv>
  <rv s="14">
    <fb>58.97</fb>
    <v>34</v>
  </rv>
  <rv s="14">
    <fb>23.549900000000001</fb>
    <v>34</v>
  </rv>
  <rv s="14">
    <fb>45580</fb>
    <v>33</v>
  </rv>
  <rv s="14">
    <fb>233.85</fb>
    <v>34</v>
  </rv>
  <rv s="14">
    <fb>131.6</fb>
    <v>34</v>
  </rv>
  <rv s="14">
    <fb>418.74</fb>
    <v>34</v>
  </rv>
  <rv s="14">
    <fb>586.27</fb>
    <v>34</v>
  </rv>
  <rv s="14">
    <fb>165.46</fb>
    <v>34</v>
  </rv>
  <rv s="14">
    <fb>579.78</fb>
    <v>34</v>
  </rv>
  <rv s="14">
    <fb>94.91</fb>
    <v>34</v>
  </rv>
  <rv s="14">
    <fb>245.92</fb>
    <v>34</v>
  </rv>
  <rv s="14">
    <fb>72.760000000000005</fb>
    <v>34</v>
  </rv>
  <rv s="14">
    <fb>96.18</fb>
    <v>34</v>
  </rv>
  <rv s="14">
    <fb>48.215000000000003</fb>
    <v>34</v>
  </rv>
  <rv s="14">
    <fb>141.55000000000001</fb>
    <v>34</v>
  </rv>
  <rv s="14">
    <fb>89.78</fb>
    <v>34</v>
  </rv>
  <rv s="14">
    <fb>14.47</fb>
    <v>34</v>
  </rv>
  <rv s="14">
    <fb>28.71</fb>
    <v>34</v>
  </rv>
  <rv s="14">
    <fb>25.99</fb>
    <v>34</v>
  </rv>
  <rv s="14">
    <fb>5.2</fb>
    <v>34</v>
  </rv>
  <rv s="14">
    <fb>52.76</fb>
    <v>34</v>
  </rv>
  <rv s="14">
    <fb>90.47</fb>
    <v>34</v>
  </rv>
  <rv s="14">
    <fb>26.59</fb>
    <v>34</v>
  </rv>
  <rv s="14">
    <fb>29.19</fb>
    <v>34</v>
  </rv>
  <rv s="14">
    <fb>28.2</fb>
    <v>34</v>
  </rv>
  <rv s="14">
    <fb>462.68</fb>
    <v>34</v>
  </rv>
  <rv s="14">
    <fb>222.39</fb>
    <v>34</v>
  </rv>
  <rv s="14">
    <fb>42.14</fb>
    <v>34</v>
  </rv>
  <rv s="14">
    <fb>120.35</fb>
    <v>34</v>
  </rv>
  <rv s="14">
    <fb>147.72999999999999</fb>
    <v>34</v>
  </rv>
  <rv s="14">
    <fb>164.1</fb>
    <v>34</v>
  </rv>
  <rv s="14">
    <fb>313.33999999999997</fb>
    <v>34</v>
  </rv>
  <rv s="14">
    <fb>94.22</fb>
    <v>34</v>
  </rv>
  <rv s="14">
    <fb>705.98</fb>
    <v>34</v>
  </rv>
  <rv s="14">
    <fb>173.57</fb>
    <v>34</v>
  </rv>
  <rv s="14">
    <fb>175.9</fb>
    <v>34</v>
  </rv>
  <rv s="14">
    <fb>283.95</fb>
    <v>34</v>
  </rv>
  <rv s="14">
    <fb>92.63</fb>
    <v>34</v>
  </rv>
  <rv s="14">
    <fb>29.99</fb>
    <v>34</v>
  </rv>
  <rv s="14">
    <fb>23.094999999999999</fb>
    <v>34</v>
  </rv>
  <rv s="14">
    <fb>58.58</fb>
    <v>34</v>
  </rv>
  <rv s="14">
    <fb>59.51</fb>
    <v>34</v>
  </rv>
  <rv s="14">
    <fb>59.66</fb>
    <v>34</v>
  </rv>
  <rv s="14">
    <fb>29.64</fb>
    <v>34</v>
  </rv>
  <rv s="14">
    <fb>23.895399999999999</fb>
    <v>34</v>
  </rv>
  <rv s="14">
    <fb>45581</fb>
    <v>33</v>
  </rv>
  <rv s="14">
    <fb>231.78</fb>
    <v>34</v>
  </rv>
  <rv s="14">
    <fb>135.72</fb>
    <v>34</v>
  </rv>
  <rv s="14">
    <fb>416.12</fb>
    <v>34</v>
  </rv>
  <rv s="14">
    <fb>576.79</fb>
    <v>34</v>
  </rv>
  <rv s="14">
    <fb>165.16</fb>
    <v>34</v>
  </rv>
  <rv s="14">
    <fb>582.29999999999995</fb>
    <v>34</v>
  </rv>
  <rv s="14">
    <fb>95.31</fb>
    <v>34</v>
  </rv>
  <rv s="14">
    <fb>247.15</fb>
    <v>34</v>
  </rv>
  <rv s="14">
    <fb>72.400000000000006</fb>
    <v>34</v>
  </rv>
  <rv s="14">
    <fb>96.33</fb>
    <v>34</v>
  </rv>
  <rv s="14">
    <fb>48.255000000000003</fb>
    <v>34</v>
  </rv>
  <rv s="14">
    <fb>142.85</fb>
    <v>34</v>
  </rv>
  <rv s="14">
    <fb>90.21</fb>
    <v>34</v>
  </rv>
  <rv s="14">
    <fb>14.41</fb>
    <v>34</v>
  </rv>
  <rv s="14">
    <fb>28.91</fb>
    <v>34</v>
  </rv>
  <rv s="14">
    <fb>25.73</fb>
    <v>34</v>
  </rv>
  <rv s="14">
    <fb>5.22</fb>
    <v>34</v>
  </rv>
  <rv s="14">
    <fb>53.01</fb>
    <v>34</v>
  </rv>
  <rv s="14">
    <fb>91.28</fb>
    <v>34</v>
  </rv>
  <rv s="14">
    <fb>50.8</fb>
    <v>34</v>
  </rv>
  <rv s="14">
    <fb>28.28</fb>
    <v>34</v>
  </rv>
  <rv s="14">
    <fb>465.69</fb>
    <v>34</v>
  </rv>
  <rv s="14">
    <fb>223.64</fb>
    <v>34</v>
  </rv>
  <rv s="14">
    <fb>42.8</fb>
    <v>34</v>
  </rv>
  <rv s="14">
    <fb>120.66</fb>
    <v>34</v>
  </rv>
  <rv s="14">
    <fb>148.72999999999999</fb>
    <v>34</v>
  </rv>
  <rv s="14">
    <fb>164.28</fb>
    <v>34</v>
  </rv>
  <rv s="14">
    <fb>70.569999999999993</fb>
    <v>34</v>
  </rv>
  <rv s="14">
    <fb>312.92</fb>
    <v>34</v>
  </rv>
  <rv s="14">
    <fb>96.75</fb>
    <v>34</v>
  </rv>
  <rv s="14">
    <fb>702</fb>
    <v>34</v>
  </rv>
  <rv s="14">
    <fb>172.38</fb>
    <v>34</v>
  </rv>
  <rv s="14">
    <fb>174.48</fb>
    <v>34</v>
  </rv>
  <rv s="14">
    <fb>287.29000000000002</fb>
    <v>34</v>
  </rv>
  <rv s="14">
    <fb>92.98</fb>
    <v>34</v>
  </rv>
  <rv s="14">
    <fb>30.29</fb>
    <v>34</v>
  </rv>
  <rv s="14">
    <fb>23.12</fb>
    <v>34</v>
  </rv>
  <rv s="14">
    <fb>58.62</fb>
    <v>34</v>
  </rv>
  <rv s="14">
    <fb>59.57</fb>
    <v>34</v>
  </rv>
  <rv s="14">
    <fb>59.84</fb>
    <v>34</v>
  </rv>
  <rv s="14">
    <fb>29.73</fb>
    <v>34</v>
  </rv>
  <rv s="14">
    <fb>24.066299999999998</fb>
    <v>34</v>
  </rv>
  <rv s="14">
    <fb>45582</fb>
    <v>33</v>
  </rv>
  <rv s="14">
    <fb>232.15</fb>
    <v>34</v>
  </rv>
  <rv s="14">
    <fb>136.93</fb>
    <v>34</v>
  </rv>
  <rv s="14">
    <fb>416.72</fb>
    <v>34</v>
  </rv>
  <rv s="14">
    <fb>576.92999999999995</fb>
    <v>34</v>
  </rv>
  <rv s="14">
    <fb>162.93</fb>
    <v>34</v>
  </rv>
  <rv s="14">
    <fb>582.35</fb>
    <v>34</v>
  </rv>
  <rv s="14">
    <fb>93.8</fb>
    <v>34</v>
  </rv>
  <rv s="14">
    <fb>248.63</fb>
    <v>34</v>
  </rv>
  <rv s="14">
    <fb>72.62</fb>
    <v>34</v>
  </rv>
  <rv s="14">
    <fb>48.034999999999997</fb>
    <v>34</v>
  </rv>
  <rv s="14">
    <fb>145.19</fb>
    <v>34</v>
  </rv>
  <rv s="14">
    <fb>90.64</fb>
    <v>34</v>
  </rv>
  <rv s="14">
    <fb>14.43</fb>
    <v>34</v>
  </rv>
  <rv s="14">
    <fb>2.7</fb>
    <v>35</v>
  </rv>
  <rv s="14">
    <fb>28.89</fb>
    <v>34</v>
  </rv>
  <rv s="14">
    <fb>25.67</fb>
    <v>34</v>
  </rv>
  <rv s="14">
    <fb>5.26</fb>
    <v>34</v>
  </rv>
  <rv s="14">
    <fb>53.34</fb>
    <v>34</v>
  </rv>
  <rv s="14">
    <fb>91.16</fb>
    <v>34</v>
  </rv>
  <rv s="14">
    <fb>26.52</fb>
    <v>34</v>
  </rv>
  <rv s="14">
    <fb>50.94</fb>
    <v>34</v>
  </rv>
  <rv s="14">
    <fb>27.89</fb>
    <v>34</v>
  </rv>
  <rv s="14">
    <fb>91.64</fb>
    <v>34</v>
  </rv>
  <rv s="14">
    <fb>465.85</fb>
    <v>34</v>
  </rv>
  <rv s="14">
    <fb>224.42</fb>
    <v>34</v>
  </rv>
  <rv s="14">
    <fb>42.6</fb>
    <v>34</v>
  </rv>
  <rv s="14">
    <fb>151.19999999999999</fb>
    <v>34</v>
  </rv>
  <rv s="14">
    <fb>164.47</fb>
    <v>34</v>
  </rv>
  <rv s="14">
    <fb>69.900000000000006</fb>
    <v>34</v>
  </rv>
  <rv s="14">
    <fb>314.7</fb>
    <v>34</v>
  </rv>
  <rv s="14">
    <fb>96.54</fb>
    <v>34</v>
  </rv>
  <rv s="14">
    <fb>687.65</fb>
    <v>34</v>
  </rv>
  <rv s="14">
    <fb>172.28</fb>
    <v>34</v>
  </rv>
  <rv s="14">
    <fb>174.67</fb>
    <v>34</v>
  </rv>
  <rv s="14">
    <fb>287.32</fb>
    <v>34</v>
  </rv>
  <rv s="14">
    <fb>93.82</fb>
    <v>34</v>
  </rv>
  <rv s="14">
    <fb>30.55</fb>
    <v>34</v>
  </rv>
  <rv s="14">
    <fb>532.57000000000005</fb>
    <v>36</v>
  </rv>
  <rv s="14">
    <fb>23.015000000000001</fb>
    <v>34</v>
  </rv>
  <rv s="14">
    <fb>59.38</fb>
    <v>34</v>
  </rv>
  <rv s="14">
    <fb>59.02</fb>
    <v>34</v>
  </rv>
  <rv s="14">
    <fb>23.901199999999999</fb>
    <v>34</v>
  </rv>
  <rv s="14">
    <fb>45583</fb>
    <v>33</v>
  </rv>
  <rv s="14">
    <fb>235</fb>
    <v>34</v>
  </rv>
  <rv s="14">
    <fb>138</fb>
    <v>34</v>
  </rv>
  <rv s="14">
    <fb>418.16</fb>
    <v>34</v>
  </rv>
  <rv s="14">
    <fb>576.47</fb>
    <v>34</v>
  </rv>
  <rv s="14">
    <fb>163.41999999999999</fb>
    <v>34</v>
  </rv>
  <rv s="14">
    <fb>584.59</fb>
    <v>34</v>
  </rv>
  <rv s="14">
    <fb>93.87</fb>
    <v>34</v>
  </rv>
  <rv s="14">
    <fb>251.27</fb>
    <v>34</v>
  </rv>
  <rv s="14">
    <fb>71.38</fb>
    <v>34</v>
  </rv>
  <rv s="14">
    <fb>95.94</fb>
    <v>34</v>
  </rv>
  <rv s="14">
    <fb>48.075000000000003</fb>
    <v>34</v>
  </rv>
  <rv s="14">
    <fb>145.01</fb>
    <v>34</v>
  </rv>
  <rv s="14">
    <fb>90.34</fb>
    <v>34</v>
  </rv>
  <rv s="14">
    <fb>14.19</fb>
    <v>34</v>
  </rv>
  <rv s="14">
    <fb>30.64</fb>
    <v>34</v>
  </rv>
  <rv s="14">
    <fb>25.4</fb>
    <v>34</v>
  </rv>
  <rv s="14">
    <fb>5.14</fb>
    <v>34</v>
  </rv>
  <rv s="14">
    <fb>53.9</fb>
    <v>34</v>
  </rv>
  <rv s="14">
    <fb>50.95</fb>
    <v>34</v>
  </rv>
  <rv s="14">
    <fb>27.92</fb>
    <v>34</v>
  </rv>
  <rv s="14">
    <fb>91.67</fb>
    <v>34</v>
  </rv>
  <rv s="14">
    <fb>464.8</fb>
    <v>34</v>
  </rv>
  <rv s="14">
    <fb>225.37</fb>
    <v>34</v>
  </rv>
  <rv s="14">
    <fb>42.32</fb>
    <v>34</v>
  </rv>
  <rv s="14">
    <fb>120.01</fb>
    <v>34</v>
  </rv>
  <rv s="14">
    <fb>150.75</fb>
    <v>34</v>
  </rv>
  <rv s="14">
    <fb>165.12</fb>
    <v>34</v>
  </rv>
  <rv s="14">
    <fb>70.44</fb>
    <v>34</v>
  </rv>
  <rv s="14">
    <fb>316.56</fb>
    <v>34</v>
  </rv>
  <rv s="14">
    <fb>97.28</fb>
    <v>34</v>
  </rv>
  <rv s="14">
    <fb>763.89</fb>
    <v>34</v>
  </rv>
  <rv s="14">
    <fb>171.28</fb>
    <v>34</v>
  </rv>
  <rv s="14">
    <fb>175.06</fb>
    <v>34</v>
  </rv>
  <rv s="14">
    <fb>279.52999999999997</fb>
    <v>34</v>
  </rv>
  <rv s="14">
    <fb>93.38</fb>
    <v>34</v>
  </rv>
  <rv s="14">
    <fb>30.37</fb>
    <v>34</v>
  </rv>
  <rv s="14">
    <fb>23.035</fb>
    <v>34</v>
  </rv>
  <rv s="14">
    <fb>58.63</fb>
    <v>34</v>
  </rv>
  <rv s="14">
    <fb>59.45</fb>
    <v>34</v>
  </rv>
  <rv s="14">
    <fb>59.08</fb>
    <v>34</v>
  </rv>
  <rv s="14">
    <fb>24.13</fb>
    <v>34</v>
  </rv>
  <rv s="14">
    <fb>45586</fb>
    <v>33</v>
  </rv>
  <rv s="14">
    <fb>236.48</fb>
    <v>34</v>
  </rv>
  <rv s="14">
    <fb>143.71</fb>
    <v>34</v>
  </rv>
  <rv s="14">
    <fb>418.78</fb>
    <v>34</v>
  </rv>
  <rv s="14">
    <fb>575.16</fb>
    <v>34</v>
  </rv>
  <rv s="14">
    <fb>164.07</fb>
    <v>34</v>
  </rv>
  <rv s="14">
    <fb>583.63</fb>
    <v>34</v>
  </rv>
  <rv s="14">
    <fb>92.23</fb>
    <v>34</v>
  </rv>
  <rv s="14">
    <fb>251.22</fb>
    <v>34</v>
  </rv>
  <rv s="14">
    <fb>72.260000000000005</fb>
    <v>34</v>
  </rv>
  <rv s="14">
    <fb>95.2</fb>
    <v>34</v>
  </rv>
  <rv s="14">
    <fb>47.75</fb>
    <v>34</v>
  </rv>
  <rv s="14">
    <fb>144.76</fb>
    <v>34</v>
  </rv>
  <rv s="14">
    <fb>90.07</fb>
    <v>34</v>
  </rv>
  <rv s="14">
    <fb>14.37</fb>
    <v>34</v>
  </rv>
  <rv s="14">
    <fb>30.85</fb>
    <v>34</v>
  </rv>
  <rv s="14">
    <fb>25.36</fb>
    <v>34</v>
  </rv>
  <rv s="14">
    <fb>92.27</fb>
    <v>34</v>
  </rv>
  <rv s="14">
    <fb>26.37</fb>
    <v>34</v>
  </rv>
  <rv s="14">
    <fb>50.96</fb>
    <v>34</v>
  </rv>
  <rv s="14">
    <fb>27.47</fb>
    <v>34</v>
  </rv>
  <rv s="14">
    <fb>91.69</fb>
    <v>34</v>
  </rv>
  <rv s="14">
    <fb>464.16</fb>
    <v>34</v>
  </rv>
  <rv s="14">
    <fb>223</fb>
    <v>34</v>
  </rv>
  <rv s="14">
    <fb>41.76</fb>
    <v>34</v>
  </rv>
  <rv s="14">
    <fb>120.08</fb>
    <v>34</v>
  </rv>
  <rv s="14">
    <fb>150.88</fb>
    <v>34</v>
  </rv>
  <rv s="14">
    <fb>162.83000000000001</fb>
    <v>34</v>
  </rv>
  <rv s="14">
    <fb>69.45</fb>
    <v>34</v>
  </rv>
  <rv s="14">
    <fb>314.89</fb>
    <v>34</v>
  </rv>
  <rv s="14">
    <fb>96.62</fb>
    <v>34</v>
  </rv>
  <rv s="14">
    <fb>772.07</fb>
    <v>34</v>
  </rv>
  <rv s="14">
    <fb>169.54</fb>
    <v>34</v>
  </rv>
  <rv s="14">
    <fb>175.01</fb>
    <v>34</v>
  </rv>
  <rv s="14">
    <fb>280.2</fb>
    <v>34</v>
  </rv>
  <rv s="14">
    <fb>30.11</fb>
    <v>34</v>
  </rv>
  <rv s="14">
    <fb>532.5</fb>
    <v>36</v>
  </rv>
  <rv s="14">
    <fb>22.91</fb>
    <v>34</v>
  </rv>
  <rv s="14">
    <fb>59.17</fb>
    <v>34</v>
  </rv>
  <rv s="14">
    <fb>58.14</fb>
    <v>34</v>
  </rv>
  <rv s="14">
    <fb>29.3</fb>
    <v>34</v>
  </rv>
  <rv s="14">
    <fb>23.7256</fb>
    <v>34</v>
  </rv>
  <rv s="14">
    <fb>45587</fb>
    <v>33</v>
  </rv>
  <rv s="14">
    <fb>235.86</fb>
    <v>34</v>
  </rv>
  <rv s="14">
    <fb>143.59</fb>
    <v>34</v>
  </rv>
  <rv s="14">
    <fb>427.51</fb>
    <v>34</v>
  </rv>
  <rv s="14">
    <fb>582.01</fb>
    <v>34</v>
  </rv>
  <rv s="14">
    <fb>165.14</fb>
    <v>34</v>
  </rv>
  <rv s="14">
    <fb>583.32000000000005</fb>
    <v>34</v>
  </rv>
  <rv s="14">
    <fb>92.32</fb>
    <v>34</v>
  </rv>
  <rv s="14">
    <fb>253.93</fb>
    <v>34</v>
  </rv>
  <rv s="14">
    <fb>73.98</fb>
    <v>34</v>
  </rv>
  <rv s="14">
    <fb>95.11</fb>
    <v>34</v>
  </rv>
  <rv s="14">
    <fb>47.76</fb>
    <v>34</v>
  </rv>
  <rv s="14">
    <fb>143.94</fb>
    <v>34</v>
  </rv>
  <rv s="14">
    <fb>90.28</fb>
    <v>34</v>
  </rv>
  <rv s="14">
    <fb>14.7</fb>
    <v>34</v>
  </rv>
  <rv s="14">
    <fb>31.74</fb>
    <v>34</v>
  </rv>
  <rv s="14">
    <fb>25.26</fb>
    <v>34</v>
  </rv>
  <rv s="14">
    <fb>5.16</fb>
    <v>34</v>
  </rv>
  <rv s="14">
    <fb>54.47</fb>
    <v>34</v>
  </rv>
  <rv s="14">
    <fb>94.51</fb>
    <v>34</v>
  </rv>
  <rv s="14">
    <fb>26.41</fb>
    <v>34</v>
  </rv>
  <rv s="14">
    <fb>50.98</fb>
    <v>34</v>
  </rv>
  <rv s="14">
    <fb>27.48</fb>
    <v>34</v>
  </rv>
  <rv s="14">
    <fb>91.7</fb>
    <v>34</v>
  </rv>
  <rv s="14">
    <fb>461.45</fb>
    <v>34</v>
  </rv>
  <rv s="14">
    <fb>224.12</fb>
    <v>34</v>
  </rv>
  <rv s="14">
    <fb>42.3</fb>
    <v>34</v>
  </rv>
  <rv s="14">
    <fb>120.7</fb>
    <v>34</v>
  </rv>
  <rv s="14">
    <fb>150.91999999999999</fb>
    <v>34</v>
  </rv>
  <rv s="14">
    <fb>163.44999999999999</fb>
    <v>34</v>
  </rv>
  <rv s="14">
    <fb>314.69</fb>
    <v>34</v>
  </rv>
  <rv s="14">
    <fb>96.74</fb>
    <v>34</v>
  </rv>
  <rv s="14">
    <fb>764.24</fb>
    <v>34</v>
  </rv>
  <rv s="14">
    <fb>169.7</fb>
    <v>34</v>
  </rv>
  <rv s="14">
    <fb>174.37</fb>
    <v>34</v>
  </rv>
  <rv s="14">
    <fb>278.12</fb>
    <v>34</v>
  </rv>
  <rv s="14">
    <fb>92.84</fb>
    <v>34</v>
  </rv>
  <rv s="14">
    <fb>30.2163</fb>
    <v>34</v>
  </rv>
  <rv s="14">
    <fb>22.9</fb>
    <v>34</v>
  </rv>
  <rv s="14">
    <fb>58.53</fb>
    <v>34</v>
  </rv>
  <rv s="14">
    <fb>59.12</fb>
    <v>34</v>
  </rv>
  <rv s="14">
    <fb>58.17</fb>
    <v>34</v>
  </rv>
  <rv s="14">
    <fb>23.760300000000001</fb>
    <v>34</v>
  </rv>
  <rv s="14">
    <fb>45588</fb>
    <v>33</v>
  </rv>
  <rv s="14">
    <fb>230.76</fb>
    <v>34</v>
  </rv>
  <rv s="14">
    <fb>139.56</fb>
    <v>34</v>
  </rv>
  <rv s="14">
    <fb>424.6</fb>
    <v>34</v>
  </rv>
  <rv s="14">
    <fb>563.69000000000005</fb>
    <v>34</v>
  </rv>
  <rv s="14">
    <fb>162.78</fb>
    <v>34</v>
  </rv>
  <rv s="14">
    <fb>577.99</fb>
    <v>34</v>
  </rv>
  <rv s="14">
    <fb>92.07</fb>
    <v>34</v>
  </rv>
  <rv s="14">
    <fb>250.87</fb>
    <v>34</v>
  </rv>
  <rv s="14">
    <fb>73.55</fb>
    <v>34</v>
  </rv>
  <rv s="14">
    <fb>94.89</fb>
    <v>34</v>
  </rv>
  <rv s="14">
    <fb>47.400599999999997</fb>
    <v>34</v>
  </rv>
  <rv s="14">
    <fb>143.54</fb>
    <v>34</v>
  </rv>
  <rv s="14">
    <fb>89.81</fb>
    <v>34</v>
  </rv>
  <rv s="14">
    <fb>14.6</fb>
    <v>34</v>
  </rv>
  <rv s="14">
    <fb>30.71</fb>
    <v>34</v>
  </rv>
  <rv s="14">
    <fb>25.2</fb>
    <v>34</v>
  </rv>
  <rv s="14">
    <fb>5.18</fb>
    <v>34</v>
  </rv>
  <rv s="14">
    <fb>53.82</fb>
    <v>34</v>
  </rv>
  <rv s="14">
    <fb>93.53</fb>
    <v>34</v>
  </rv>
  <rv s="14">
    <fb>26.34</fb>
    <v>34</v>
  </rv>
  <rv s="14">
    <fb>50.99</fb>
    <v>34</v>
  </rv>
  <rv s="14">
    <fb>27.41</fb>
    <v>34</v>
  </rv>
  <rv s="14">
    <fb>460.61</fb>
    <v>34</v>
  </rv>
  <rv s="14">
    <fb>223.41</fb>
    <v>34</v>
  </rv>
  <rv s="14">
    <fb>42.34</fb>
    <v>34</v>
  </rv>
  <rv s="14">
    <fb>120.27</fb>
    <v>34</v>
  </rv>
  <rv s="14">
    <fb>150.47999999999999</fb>
    <v>34</v>
  </rv>
  <rv s="14">
    <fb>165.86</fb>
    <v>34</v>
  </rv>
  <rv s="14">
    <fb>68.010000000000005</fb>
    <v>34</v>
  </rv>
  <rv s="14">
    <fb>298.57</fb>
    <v>34</v>
  </rv>
  <rv s="14">
    <fb>96.24</fb>
    <v>34</v>
  </rv>
  <rv s="14">
    <fb>749.29</fb>
    <v>34</v>
  </rv>
  <rv s="14">
    <fb>169.58</fb>
    <v>34</v>
  </rv>
  <rv s="14">
    <fb>172.95</fb>
    <v>34</v>
  </rv>
  <rv s="14">
    <fb>276.10000000000002</fb>
    <v>34</v>
  </rv>
  <rv s="14">
    <fb>92</fb>
    <v>34</v>
  </rv>
  <rv s="14">
    <fb>29.83</fb>
    <v>34</v>
  </rv>
  <rv s="14">
    <fb>22.86</fb>
    <v>34</v>
  </rv>
  <rv s="14">
    <fb>58.5</fb>
    <v>34</v>
  </rv>
  <rv s="14">
    <fb>59.01</fb>
    <v>34</v>
  </rv>
  <rv s="14">
    <fb>58</fb>
    <v>34</v>
  </rv>
  <rv s="14">
    <fb>29.22</fb>
    <v>34</v>
  </rv>
  <rv s="14">
    <fb>23.942299999999999</fb>
    <v>34</v>
  </rv>
  <rv s="14">
    <fb>45589</fb>
    <v>33</v>
  </rv>
  <rv s="14">
    <fb>230.57</fb>
    <v>34</v>
  </rv>
  <rv s="14">
    <fb>140.41</fb>
    <v>34</v>
  </rv>
  <rv s="14">
    <fb>424.73</fb>
    <v>34</v>
  </rv>
  <rv s="14">
    <fb>567.78</fb>
    <v>34</v>
  </rv>
  <rv s="14">
    <fb>162.72</fb>
    <v>34</v>
  </rv>
  <rv s="14">
    <fb>579.24</fb>
    <v>34</v>
  </rv>
  <rv s="14">
    <fb>92.66</fb>
    <v>34</v>
  </rv>
  <rv s="14">
    <fb>252.8</fb>
    <v>34</v>
  </rv>
  <rv s="14">
    <fb>73.06</fb>
    <v>34</v>
  </rv>
  <rv s="14">
    <fb>95.1</fb>
    <v>34</v>
  </rv>
  <rv s="14">
    <fb>47.51</fb>
    <v>34</v>
  </rv>
  <rv s="14">
    <fb>146.29</fb>
    <v>34</v>
  </rv>
  <rv s="14">
    <fb>89.8</fb>
    <v>34</v>
  </rv>
  <rv s="14">
    <fb>14.54</fb>
    <v>34</v>
  </rv>
  <rv s="14">
    <fb>30.69</fb>
    <v>34</v>
  </rv>
  <rv s="14">
    <fb>24.81</fb>
    <v>34</v>
  </rv>
  <rv s="14">
    <fb>5.21</fb>
    <v>34</v>
  </rv>
  <rv s="14">
    <fb>54.21</fb>
    <v>34</v>
  </rv>
  <rv s="14">
    <fb>94.25</fb>
    <v>34</v>
  </rv>
  <rv s="14">
    <fb>51.01</fb>
    <v>34</v>
  </rv>
  <rv s="14">
    <fb>27.56</fb>
    <v>34</v>
  </rv>
  <rv s="14">
    <fb>91.71</fb>
    <v>34</v>
  </rv>
  <rv s="14">
    <fb>457.77</fb>
    <v>34</v>
  </rv>
  <rv s="14">
    <fb>224.98</fb>
    <v>34</v>
  </rv>
  <rv s="14">
    <fb>42.65</fb>
    <v>34</v>
  </rv>
  <rv s="14">
    <fb>119.59</fb>
    <v>34</v>
  </rv>
  <rv s="14">
    <fb>150.44999999999999</fb>
    <v>34</v>
  </rv>
  <rv s="14">
    <fb>163.66999999999999</fb>
    <v>34</v>
  </rv>
  <rv s="14">
    <fb>67.3</fb>
    <v>34</v>
  </rv>
  <rv s="14">
    <fb>301.58</fb>
    <v>34</v>
  </rv>
  <rv s="14">
    <fb>95.4</fb>
    <v>34</v>
  </rv>
  <rv s="14">
    <fb>754.55</fb>
    <v>34</v>
  </rv>
  <rv s="14">
    <fb>169.62</fb>
    <v>34</v>
  </rv>
  <rv s="14">
    <fb>172.16</fb>
    <v>34</v>
  </rv>
  <rv s="14">
    <fb>274.92</fb>
    <v>34</v>
  </rv>
  <rv s="14">
    <fb>92.28</fb>
    <v>34</v>
  </rv>
  <rv s="14">
    <fb>22.895</fb>
    <v>34</v>
  </rv>
  <rv s="14">
    <fb>58.51</fb>
    <v>34</v>
  </rv>
  <rv s="14">
    <fb>58.31</fb>
    <v>34</v>
  </rv>
  <rv s="14">
    <fb>29.29</fb>
    <v>34</v>
  </rv>
  <rv s="14">
    <fb>23.9117</fb>
    <v>34</v>
  </rv>
  <rv s="14">
    <fb>45590</fb>
    <v>33</v>
  </rv>
  <rv s="14">
    <fb>231.41</fb>
    <v>34</v>
  </rv>
  <rv s="14">
    <fb>141.54</fb>
    <v>34</v>
  </rv>
  <rv s="14">
    <fb>428.15</fb>
    <v>34</v>
  </rv>
  <rv s="14">
    <fb>573.25</fb>
    <v>34</v>
  </rv>
  <rv s="14">
    <fb>165.27</fb>
    <v>34</v>
  </rv>
  <rv s="14">
    <fb>579.04</fb>
    <v>34</v>
  </rv>
  <rv s="14">
    <fb>92.14</fb>
    <v>34</v>
  </rv>
  <rv s="14">
    <fb>253.32</fb>
    <v>34</v>
  </rv>
  <rv s="14">
    <fb>74.23</fb>
    <v>34</v>
  </rv>
  <rv s="14">
    <fb>47.4</fb>
    <v>34</v>
  </rv>
  <rv s="14">
    <fb>143.09</fb>
    <v>34</v>
  </rv>
  <rv s="14">
    <fb>89.77</fb>
    <v>34</v>
  </rv>
  <rv s="14">
    <fb>14.77</fb>
    <v>34</v>
  </rv>
  <rv s="14">
    <fb>2.4</fb>
    <v>35</v>
  </rv>
  <rv s="14">
    <fb>30.63</fb>
    <v>34</v>
  </rv>
  <rv s="14">
    <fb>24.84</fb>
    <v>34</v>
  </rv>
  <rv s="14">
    <fb>5.1100000000000003</fb>
    <v>34</v>
  </rv>
  <rv s="14">
    <fb>54.35</fb>
    <v>34</v>
  </rv>
  <rv s="14">
    <fb>93.51</fb>
    <v>34</v>
  </rv>
  <rv s="14">
    <fb>26.29</fb>
    <v>34</v>
  </rv>
  <rv s="14">
    <fb>51.06</fb>
    <v>34</v>
  </rv>
  <rv s="14">
    <fb>29.15</fb>
    <v>34</v>
  </rv>
  <rv s="14">
    <fb>27.42</fb>
    <v>34</v>
  </rv>
  <rv s="14">
    <fb>91.75</fb>
    <v>34</v>
  </rv>
  <rv s="14">
    <fb>454.01</fb>
    <v>34</v>
  </rv>
  <rv s="14">
    <fb>222.31</fb>
    <v>34</v>
  </rv>
  <rv s="14">
    <fb>41.89</fb>
    <v>34</v>
  </rv>
  <rv s="14">
    <fb>119.49</fb>
    <v>34</v>
  </rv>
  <rv s="14">
    <fb>150.81</fb>
    <v>34</v>
  </rv>
  <rv s="14">
    <fb>160.88</fb>
    <v>34</v>
  </rv>
  <rv s="14">
    <fb>66.92</fb>
    <v>34</v>
  </rv>
  <rv s="14">
    <fb>292.61</fb>
    <v>34</v>
  </rv>
  <rv s="14">
    <fb>95.03</fb>
    <v>34</v>
  </rv>
  <rv s="14">
    <fb>754.68</fb>
    <v>34</v>
  </rv>
  <rv s="14">
    <fb>168.22</fb>
    <v>34</v>
  </rv>
  <rv s="14">
    <fb>171.79</fb>
    <v>34</v>
  </rv>
  <rv s="14">
    <fb>278.77</fb>
    <v>34</v>
  </rv>
  <rv s="14">
    <fb>30.03</fb>
    <v>34</v>
  </rv>
  <rv s="14">
    <fb>58.04</fb>
    <v>34</v>
  </rv>
  <rv s="14">
    <fb>23.768599999999999</fb>
    <v>34</v>
  </rv>
  <rv s="14">
    <fb>45593</fb>
    <v>33</v>
  </rv>
  <rv s="14">
    <fb>233.4</fb>
    <v>34</v>
  </rv>
  <rv s="14">
    <fb>140.52000000000001</fb>
    <v>34</v>
  </rv>
  <rv s="14">
    <fb>426.59</fb>
    <v>34</v>
  </rv>
  <rv s="14">
    <fb>578.16</fb>
    <v>34</v>
  </rv>
  <rv s="14">
    <fb>166.72</fb>
    <v>34</v>
  </rv>
  <rv s="14">
    <fb>580.83000000000004</fb>
    <v>34</v>
  </rv>
  <rv s="14">
    <fb>91.89</fb>
    <v>34</v>
  </rv>
  <rv s="14">
    <fb>253.33</fb>
    <v>34</v>
  </rv>
  <rv s="14">
    <fb>70.430000000000007</fb>
    <v>34</v>
  </rv>
  <rv s="14">
    <fb>94.67</fb>
    <v>34</v>
  </rv>
  <rv s="14">
    <fb>47.35</fb>
    <v>34</v>
  </rv>
  <rv s="14">
    <fb>144.84</fb>
    <v>34</v>
  </rv>
  <rv s="14">
    <fb>89.2</fb>
    <v>34</v>
  </rv>
  <rv s="14">
    <fb>13.98</fb>
    <v>34</v>
  </rv>
  <rv s="14">
    <fb>30.73</fb>
    <v>34</v>
  </rv>
  <rv s="14">
    <fb>25.04</fb>
    <v>34</v>
  </rv>
  <rv s="14">
    <fb>5.04</fb>
    <v>34</v>
  </rv>
  <rv s="14">
    <fb>94.79</fb>
    <v>34</v>
  </rv>
  <rv s="14">
    <fb>26.26</fb>
    <v>34</v>
  </rv>
  <rv s="14">
    <fb>51.08</fb>
    <v>34</v>
  </rv>
  <rv s="14">
    <fb>27.33</fb>
    <v>34</v>
  </rv>
  <rv s="14">
    <fb>458.49</fb>
    <v>34</v>
  </rv>
  <rv s="14">
    <fb>225.5</fb>
    <v>34</v>
  </rv>
  <rv s="14">
    <fb>42.62</fb>
    <v>34</v>
  </rv>
  <rv s="14">
    <fb>118.9</fb>
    <v>34</v>
  </rv>
  <rv s="14">
    <fb>150.54</fb>
    <v>34</v>
  </rv>
  <rv s="14">
    <fb>66.67</fb>
    <v>34</v>
  </rv>
  <rv s="14">
    <fb>296.79000000000002</fb>
    <v>34</v>
  </rv>
  <rv s="14">
    <fb>96.2</fb>
    <v>34</v>
  </rv>
  <rv s="14">
    <fb>749.12</fb>
    <v>34</v>
  </rv>
  <rv s="14">
    <fb>169.3</fb>
    <v>34</v>
  </rv>
  <rv s="14">
    <fb>169.84</fb>
    <v>34</v>
  </rv>
  <rv s="14">
    <fb>275.92</fb>
    <v>34</v>
  </rv>
  <rv s="14">
    <fb>91.25</fb>
    <v>34</v>
  </rv>
  <rv s="14">
    <fb>522.5</fb>
    <v>36</v>
  </rv>
  <rv s="14">
    <fb>22.83</fb>
    <v>34</v>
  </rv>
  <rv s="14">
    <fb>58.89</fb>
    <v>34</v>
  </rv>
  <rv s="14">
    <fb>57.86</fb>
    <v>34</v>
  </rv>
  <rv s="14">
    <fb>23.882899999999999</fb>
    <v>34</v>
  </rv>
  <rv s="14">
    <fb>45594</fb>
    <v>33</v>
  </rv>
  <rv s="14">
    <fb>233.67</fb>
    <v>34</v>
  </rv>
  <rv s="14">
    <fb>141.25</fb>
    <v>34</v>
  </rv>
  <rv s="14">
    <fb>431.95</fb>
    <v>34</v>
  </rv>
  <rv s="14">
    <fb>593.28</fb>
    <v>34</v>
  </rv>
  <rv s="14">
    <fb>169.68</fb>
    <v>34</v>
  </rv>
  <rv s="14">
    <fb>581.77</fb>
    <v>34</v>
  </rv>
  <rv s="14">
    <fb>92.03</fb>
    <v>34</v>
  </rv>
  <rv s="14">
    <fb>256.08999999999997</fb>
    <v>34</v>
  </rv>
  <rv s="14">
    <fb>69.66</fb>
    <v>34</v>
  </rv>
  <rv s="14">
    <fb>94.71</fb>
    <v>34</v>
  </rv>
  <rv s="14">
    <fb>47.403500000000001</fb>
    <v>34</v>
  </rv>
  <rv s="14">
    <fb>146.02000000000001</fb>
    <v>34</v>
  </rv>
  <rv s="14">
    <fb>87.84</fb>
    <v>34</v>
  </rv>
  <rv s="14">
    <fb>13.85</fb>
    <v>34</v>
  </rv>
  <rv s="14">
    <fb>25.33</fb>
    <v>34</v>
  </rv>
  <rv s="14">
    <fb>5.13</fb>
    <v>34</v>
  </rv>
  <rv s="14">
    <fb>54.94</fb>
    <v>34</v>
  </rv>
  <rv s="14">
    <fb>95.98</fb>
    <v>34</v>
  </rv>
  <rv s="14">
    <fb>51.07</fb>
    <v>34</v>
  </rv>
  <rv s="14">
    <fb>27.35</fb>
    <v>34</v>
  </rv>
  <rv s="14">
    <fb>91.77</fb>
    <v>34</v>
  </rv>
  <rv s="14">
    <fb>454.62</fb>
    <v>34</v>
  </rv>
  <rv s="14">
    <fb>222.9</fb>
    <v>34</v>
  </rv>
  <rv s="14">
    <fb>42.53</fb>
    <v>34</v>
  </rv>
  <rv s="14">
    <fb>117.28</fb>
    <v>34</v>
  </rv>
  <rv s="14">
    <fb>148.52000000000001</fb>
    <v>34</v>
  </rv>
  <rv s="14">
    <fb>160.09</fb>
    <v>34</v>
  </rv>
  <rv s="14">
    <fb>65.56</fb>
    <v>34</v>
  </rv>
  <rv s="14">
    <fb>96.13</fb>
    <v>34</v>
  </rv>
  <rv s="14">
    <fb>759.44</fb>
    <v>34</v>
  </rv>
  <rv s="14">
    <fb>167.17</fb>
    <v>34</v>
  </rv>
  <rv s="14">
    <fb>167.5</fb>
    <v>34</v>
  </rv>
  <rv s="14">
    <fb>272.02999999999997</fb>
    <v>34</v>
  </rv>
  <rv s="14">
    <fb>89.87</fb>
    <v>34</v>
  </rv>
  <rv s="14">
    <fb>28.85</fb>
    <v>34</v>
  </rv>
  <rv s="14">
    <fb>22.835000000000001</fb>
    <v>34</v>
  </rv>
  <rv s="14">
    <fb>58.93</fb>
    <v>34</v>
  </rv>
  <rv s="14">
    <fb>57.92</fb>
    <v>34</v>
  </rv>
  <rv s="14">
    <fb>29.24</fb>
    <v>34</v>
  </rv>
  <rv s="14">
    <fb>23.5748</fb>
    <v>34</v>
  </rv>
  <rv s="14">
    <fb>45595</fb>
    <v>33</v>
  </rv>
  <rv s="14">
    <fb>230.1</fb>
    <v>34</v>
  </rv>
  <rv s="14">
    <fb>139.33500000000001</fb>
    <v>34</v>
  </rv>
  <rv s="14">
    <fb>432.53</fb>
    <v>34</v>
  </rv>
  <rv s="14">
    <fb>591.79999999999995</fb>
    <v>34</v>
  </rv>
  <rv s="14">
    <fb>174.46</fb>
    <v>34</v>
  </rv>
  <rv s="14">
    <fb>580.01</fb>
    <v>34</v>
  </rv>
  <rv s="14">
    <fb>92.3</fb>
    <v>34</v>
  </rv>
  <rv s="14">
    <fb>257.5</fb>
    <v>34</v>
  </rv>
  <rv s="14">
    <fb>71.36</fb>
    <v>34</v>
  </rv>
  <rv s="14">
    <fb>94.57</fb>
    <v>34</v>
  </rv>
  <rv s="14">
    <fb>47.330100000000002</fb>
    <v>34</v>
  </rv>
  <rv s="14">
    <fb>145.86000000000001</fb>
    <v>34</v>
  </rv>
  <rv s="14">
    <fb>88.04</fb>
    <v>34</v>
  </rv>
  <rv s="14">
    <fb>30.81</fb>
    <v>34</v>
  </rv>
  <rv s="14">
    <fb>25.53</fb>
    <v>34</v>
  </rv>
  <rv s="14">
    <fb>5.15</fb>
    <v>34</v>
  </rv>
  <rv s="14">
    <fb>55.23</fb>
    <v>34</v>
  </rv>
  <rv s="14">
    <fb>92.75</fb>
    <v>34</v>
  </rv>
  <rv s="14">
    <fb>51.03</fb>
    <v>34</v>
  </rv>
  <rv s="14">
    <fb>29.13</fb>
    <v>34</v>
  </rv>
  <rv s="14">
    <fb>91.78</fb>
    <v>34</v>
  </rv>
  <rv s="14">
    <fb>454.96</fb>
    <v>34</v>
  </rv>
  <rv s="14">
    <fb>224.41</fb>
    <v>34</v>
  </rv>
  <rv s="14">
    <fb>42.31</fb>
    <v>34</v>
  </rv>
  <rv s="14">
    <fb>116.69</fb>
    <v>34</v>
  </rv>
  <rv s="14">
    <fb>148.05000000000001</fb>
    <v>34</v>
  </rv>
  <rv s="14">
    <fb>160.61000000000001</fb>
    <v>34</v>
  </rv>
  <rv s="14">
    <fb>65.92</fb>
    <v>34</v>
  </rv>
  <rv s="14">
    <fb>291.52</fb>
    <v>34</v>
  </rv>
  <rv s="14">
    <fb>95.08</fb>
    <v>34</v>
  </rv>
  <rv s="14">
    <fb>753.74</fb>
    <v>34</v>
  </rv>
  <rv s="14">
    <fb>166.16</fb>
    <v>34</v>
  </rv>
  <rv s="14">
    <fb>166.21</fb>
    <v>34</v>
  </rv>
  <rv s="14">
    <fb>272.56</fb>
    <v>34</v>
  </rv>
  <rv s="14">
    <fb>90.61</fb>
    <v>34</v>
  </rv>
  <rv s="14">
    <fb>29.04</fb>
    <v>34</v>
  </rv>
  <rv s="14">
    <fb>22.815000000000001</fb>
    <v>34</v>
  </rv>
  <rv s="14">
    <fb>58.45</fb>
    <v>34</v>
  </rv>
  <rv s="14">
    <fb>58.83</fb>
    <v>34</v>
  </rv>
  <rv s="14">
    <fb>29.21</fb>
    <v>34</v>
  </rv>
  <rv s="14">
    <fb>23.6633</fb>
    <v>34</v>
  </rv>
  <rv s="14">
    <fb>45596</fb>
    <v>33</v>
  </rv>
  <rv s="14">
    <fb>225.91</fb>
    <v>34</v>
  </rv>
  <rv s="14">
    <fb>132.76</fb>
    <v>34</v>
  </rv>
  <rv s="14">
    <fb>406.35</fb>
    <v>34</v>
  </rv>
  <rv s="14">
    <fb>567.58000000000004</fb>
    <v>34</v>
  </rv>
  <rv s="14">
    <fb>171.11</fb>
    <v>34</v>
  </rv>
  <rv s="14">
    <fb>568.64</fb>
    <v>34</v>
  </rv>
  <rv s="14">
    <fb>92.45</fb>
    <v>34</v>
  </rv>
  <rv s="14">
    <fb>253.51</fb>
    <v>34</v>
  </rv>
  <rv s="14">
    <fb>73.08</fb>
    <v>34</v>
  </rv>
  <rv s="14">
    <fb>94.52</fb>
    <v>34</v>
  </rv>
  <rv s="14">
    <fb>47.225000000000001</fb>
    <v>34</v>
  </rv>
  <rv s="14">
    <fb>143.26</fb>
    <v>34</v>
  </rv>
  <rv s="14">
    <fb>88.59</fb>
    <v>34</v>
  </rv>
  <rv s="14">
    <fb>14.52</fb>
    <v>34</v>
  </rv>
  <rv s="14">
    <fb>2.2999999999999998</fb>
    <v>35</v>
  </rv>
  <rv s="14">
    <fb>29.81</fb>
    <v>34</v>
  </rv>
  <rv s="14">
    <fb>25.5</fb>
    <v>34</v>
  </rv>
  <rv s="14">
    <fb>54.39</fb>
    <v>34</v>
  </rv>
  <rv s="14">
    <fb>90.96</fb>
    <v>34</v>
  </rv>
  <rv s="14">
    <fb>26.31</fb>
    <v>34</v>
  </rv>
  <rv s="14">
    <fb>29.12</fb>
    <v>34</v>
  </rv>
  <rv s="14">
    <fb>91.8</fb>
    <v>34</v>
  </rv>
  <rv s="14">
    <fb>450.92</fb>
    <v>34</v>
  </rv>
  <rv s="14">
    <fb>221.92</fb>
    <v>34</v>
  </rv>
  <rv s="14">
    <fb>41.82</fb>
    <v>34</v>
  </rv>
  <rv s="14">
    <fb>116.78</fb>
    <v>34</v>
  </rv>
  <rv s="14">
    <fb>148.82</fb>
    <v>34</v>
  </rv>
  <rv s="14">
    <fb>159.86000000000001</fb>
    <v>34</v>
  </rv>
  <rv s="14">
    <fb>65.31</fb>
    <v>34</v>
  </rv>
  <rv s="14">
    <fb>292.11</fb>
    <v>34</v>
  </rv>
  <rv s="14">
    <fb>756.03</fb>
    <v>34</v>
  </rv>
  <rv s="14">
    <fb>165.18</fb>
    <v>34</v>
  </rv>
  <rv s="14">
    <fb>166.08</fb>
    <v>34</v>
  </rv>
  <rv s="14">
    <fb>274.57</fb>
    <v>34</v>
  </rv>
  <rv s="14">
    <fb>91.38</fb>
    <v>34</v>
  </rv>
  <rv s="14">
    <fb>28.72</fb>
    <v>34</v>
  </rv>
  <rv s="14">
    <fb>551.5</fb>
    <v>36</v>
  </rv>
  <rv s="14">
    <fb>22.82</fb>
    <v>34</v>
  </rv>
  <rv s="14">
    <fb>58.48</fb>
    <v>34</v>
  </rv>
  <rv s="14">
    <fb>58.8</fb>
    <v>34</v>
  </rv>
  <rv s="14">
    <fb>58.13</fb>
    <v>34</v>
  </rv>
  <rv s="14">
    <fb>23.323899999999998</fb>
    <v>34</v>
  </rv>
  <rv s="14">
    <fb>45597</fb>
    <v>33</v>
  </rv>
  <rv s="14">
    <fb>222.91</fb>
    <v>34</v>
  </rv>
  <rv s="14">
    <fb>135.4</fb>
    <v>34</v>
  </rv>
  <rv s="14">
    <fb>410.37</fb>
    <v>34</v>
  </rv>
  <rv s="14">
    <fb>567.16</fb>
    <v>34</v>
  </rv>
  <rv s="14">
    <fb>171.29</fb>
    <v>34</v>
  </rv>
  <rv s="14">
    <fb>571.04</fb>
    <v>34</v>
  </rv>
  <rv s="14">
    <fb>90.84</fb>
    <v>34</v>
  </rv>
  <rv s="14">
    <fb>252.47</fb>
    <v>34</v>
  </rv>
  <rv s="14">
    <fb>72.02</fb>
    <v>34</v>
  </rv>
  <rv s="14">
    <fb>93.67</fb>
    <v>34</v>
  </rv>
  <rv s="14">
    <fb>47.083300000000001</fb>
    <v>34</v>
  </rv>
  <rv s="14">
    <fb>141</fb>
    <v>34</v>
  </rv>
  <rv s="14">
    <fb>88.03</fb>
    <v>34</v>
  </rv>
  <rv s="14">
    <fb>14.29</fb>
    <v>34</v>
  </rv>
  <rv s="14">
    <fb>25.32</fb>
    <v>34</v>
  </rv>
  <rv s="14">
    <fb>54.17</fb>
    <v>34</v>
  </rv>
  <rv s="14">
    <fb>26.16</fb>
    <v>34</v>
  </rv>
  <rv s="14">
    <fb>50.85</fb>
    <v>34</v>
  </rv>
  <rv s="14">
    <fb>29.01</fb>
    <v>34</v>
  </rv>
  <rv s="14">
    <fb>27.01</fb>
    <v>34</v>
  </rv>
  <rv s="14">
    <fb>91.48</fb>
    <v>34</v>
  </rv>
  <rv s="14">
    <fb>452.14</fb>
    <v>34</v>
  </rv>
  <rv s="14">
    <fb>222.94</fb>
    <v>34</v>
  </rv>
  <rv s="14">
    <fb>114.95</fb>
    <v>34</v>
  </rv>
  <rv s="14">
    <fb>153.07</fb>
    <v>34</v>
  </rv>
  <rv s="14">
    <fb>160.13</fb>
    <v>34</v>
  </rv>
  <rv s="14">
    <fb>65.010000000000005</fb>
    <v>34</v>
  </rv>
  <rv s="14">
    <fb>295.20999999999998</fb>
    <v>34</v>
  </rv>
  <rv s="14">
    <fb>95.81</fb>
    <v>34</v>
  </rv>
  <rv s="14">
    <fb>756.1</fb>
    <v>34</v>
  </rv>
  <rv s="14">
    <fb>165.1</fb>
    <v>34</v>
  </rv>
  <rv s="14">
    <fb>165.59</fb>
    <v>34</v>
  </rv>
  <rv s="14">
    <fb>271.79000000000002</fb>
    <v>34</v>
  </rv>
  <rv s="14">
    <fb>90.24</fb>
    <v>34</v>
  </rv>
  <rv s="14">
    <fb>28.3523</fb>
    <v>34</v>
  </rv>
  <rv s="14">
    <fb>22.664999999999999</fb>
    <v>34</v>
  </rv>
  <rv s="14">
    <fb>58.23</fb>
    <v>34</v>
  </rv>
  <rv s="14">
    <fb>58.42</fb>
    <v>34</v>
  </rv>
  <rv s="14">
    <fb>57.16</fb>
    <v>34</v>
  </rv>
  <rv s="14">
    <fb>23.016300000000001</fb>
    <v>34</v>
  </rv>
  <rv s="14">
    <fb>45600</fb>
    <v>33</v>
  </rv>
  <rv s="14">
    <fb>222.01</fb>
    <v>34</v>
  </rv>
  <rv s="14">
    <fb>136.05000000000001</fb>
    <v>34</v>
  </rv>
  <rv s="14">
    <fb>408.46</fb>
    <v>34</v>
  </rv>
  <rv s="14">
    <fb>560.67999999999995</fb>
    <v>34</v>
  </rv>
  <rv s="14">
    <fb>169.24</fb>
    <v>34</v>
  </rv>
  <rv s="14">
    <fb>569.80999999999995</fb>
    <v>34</v>
  </rv>
  <rv s="14">
    <fb>92.25</fb>
    <v>34</v>
  </rv>
  <rv s="14">
    <fb>252.83</fb>
    <v>34</v>
  </rv>
  <rv s="14">
    <fb>74.290000000000006</fb>
    <v>34</v>
  </rv>
  <rv s="14">
    <fb>94.17</fb>
    <v>34</v>
  </rv>
  <rv s="14">
    <fb>47.33</fb>
    <v>34</v>
  </rv>
  <rv s="14">
    <fb>139.43</fb>
    <v>34</v>
  </rv>
  <rv s="14">
    <fb>89.57</fb>
    <v>34</v>
  </rv>
  <rv s="14">
    <fb>14.76</fb>
    <v>34</v>
  </rv>
  <rv s="14">
    <fb>29.63</fb>
    <v>34</v>
  </rv>
  <rv s="14">
    <fb>25.34</fb>
    <v>34</v>
  </rv>
  <rv s="14">
    <fb>5.12</fb>
    <v>34</v>
  </rv>
  <rv s="14">
    <fb>54.24</fb>
    <v>34</v>
  </rv>
  <rv s="14">
    <fb>90.06</fb>
    <v>34</v>
  </rv>
  <rv s="14">
    <fb>26.21</fb>
    <v>34</v>
  </rv>
  <rv s="14">
    <fb>50.88</fb>
    <v>34</v>
  </rv>
  <rv s="14">
    <fb>27.39</fb>
    <v>34</v>
  </rv>
  <rv s="14">
    <fb>91.5</fb>
    <v>34</v>
  </rv>
  <rv s="14">
    <fb>442.29</fb>
    <v>34</v>
  </rv>
  <rv s="14">
    <fb>219.78</fb>
    <v>34</v>
  </rv>
  <rv s="14">
    <fb>41.33</fb>
    <v>34</v>
  </rv>
  <rv s="14">
    <fb>118.61</fb>
    <v>34</v>
  </rv>
  <rv s="14">
    <fb>153.97</fb>
    <v>34</v>
  </rv>
  <rv s="14">
    <fb>158.24</fb>
    <v>34</v>
  </rv>
  <rv s="14">
    <fb>65.11</fb>
    <v>34</v>
  </rv>
  <rv s="14">
    <fb>292.85000000000002</fb>
    <v>34</v>
  </rv>
  <rv s="14">
    <fb>95.79</fb>
    <v>34</v>
  </rv>
  <rv s="14">
    <fb>755.51</fb>
    <v>34</v>
  </rv>
  <rv s="14">
    <fb>165.08</fb>
    <v>34</v>
  </rv>
  <rv s="14">
    <fb>166.34</fb>
    <v>34</v>
  </rv>
  <rv s="14">
    <fb>276.01</fb>
    <v>34</v>
  </rv>
  <rv s="14">
    <fb>91.79</fb>
    <v>34</v>
  </rv>
  <rv s="14">
    <fb>28.87</fb>
    <v>34</v>
  </rv>
  <rv s="14">
    <fb>22.77</fb>
    <v>34</v>
  </rv>
  <rv s="14">
    <fb>58.28</fb>
    <v>34</v>
  </rv>
  <rv s="14">
    <fb>58.61</fb>
    <v>34</v>
  </rv>
  <rv s="14">
    <fb>57.95</fb>
    <v>34</v>
  </rv>
  <rv s="14">
    <fb>29.06</fb>
    <v>34</v>
  </rv>
  <rv s="14">
    <fb>23.246600000000001</fb>
    <v>34</v>
  </rv>
  <rv s="14">
    <fb>45601</fb>
    <v>33</v>
  </rv>
  <rv s="14">
    <fb>223.45</fb>
    <v>34</v>
  </rv>
  <rv s="14">
    <fb>139.91</fb>
    <v>34</v>
  </rv>
  <rv s="14">
    <fb>411.46</fb>
    <v>34</v>
  </rv>
  <rv s="14">
    <fb>572.42999999999995</fb>
    <v>34</v>
  </rv>
  <rv s="14">
    <fb>169.74</fb>
    <v>34</v>
  </rv>
  <rv s="14">
    <fb>576.70000000000005</fb>
    <v>34</v>
  </rv>
  <rv s="14">
    <fb>92.74</fb>
    <v>34</v>
  </rv>
  <rv s="14">
    <fb>253.4</fb>
    <v>34</v>
  </rv>
  <rv s="14">
    <fb>74.73</fb>
    <v>34</v>
  </rv>
  <rv s="14">
    <fb>47.41</fb>
    <v>34</v>
  </rv>
  <rv s="14">
    <fb>149.27000000000001</fb>
    <v>34</v>
  </rv>
  <rv s="14">
    <fb>90.17</fb>
    <v>34</v>
  </rv>
  <rv s="14">
    <fb>14.86</fb>
    <v>34</v>
  </rv>
  <rv s="14">
    <fb>2.35</fb>
    <v>35</v>
  </rv>
  <rv s="14">
    <fb>29.75</fb>
    <v>34</v>
  </rv>
  <rv s="14">
    <fb>54.36</fb>
    <v>34</v>
  </rv>
  <rv s="14">
    <fb>26.23</fb>
    <v>34</v>
  </rv>
  <rv s="14">
    <fb>29.02</fb>
    <v>34</v>
  </rv>
  <rv s="14">
    <fb>27.51</fb>
    <v>34</v>
  </rv>
  <rv s="14">
    <fb>445.06</fb>
    <v>34</v>
  </rv>
  <rv s="14">
    <fb>221.49</fb>
    <v>34</v>
  </rv>
  <rv s="14">
    <fb>41.88</fb>
    <v>34</v>
  </rv>
  <rv s="14">
    <fb>118.96</fb>
    <v>34</v>
  </rv>
  <rv s="14">
    <fb>153.41</fb>
    <v>34</v>
  </rv>
  <rv s="14">
    <fb>158.35</fb>
    <v>34</v>
  </rv>
  <rv s="14">
    <fb>65.37</fb>
    <v>34</v>
  </rv>
  <rv s="14">
    <fb>297.32</fb>
    <v>34</v>
  </rv>
  <rv s="14">
    <fb>96.63</fb>
    <v>34</v>
  </rv>
  <rv s="14">
    <fb>763.91</fb>
    <v>34</v>
  </rv>
  <rv s="14">
    <fb>165.76</fb>
    <v>34</v>
  </rv>
  <rv s="14">
    <fb>167.85</fb>
    <v>34</v>
  </rv>
  <rv s="14">
    <fb>279.31</fb>
    <v>34</v>
  </rv>
  <rv s="14">
    <fb>92.4</fb>
    <v>34</v>
  </rv>
  <rv s="14">
    <fb>29.155899999999999</fb>
    <v>34</v>
  </rv>
  <rv s="14">
    <fb>22.785</fb>
    <v>34</v>
  </rv>
  <rv s="14">
    <fb>58.25</fb>
    <v>34</v>
  </rv>
  <rv s="14">
    <fb>58.2</fb>
    <v>34</v>
  </rv>
  <rv s="14">
    <fb>23.512899999999998</fb>
    <v>34</v>
  </rv>
  <rv s="14">
    <fb>45602</fb>
    <v>33</v>
  </rv>
  <rv s="14">
    <fb>222.72</fb>
    <v>34</v>
  </rv>
  <rv s="14">
    <fb>145.61000000000001</fb>
    <v>34</v>
  </rv>
  <rv s="14">
    <fb>420.18</fb>
    <v>34</v>
  </rv>
  <rv s="14">
    <fb>572.04999999999995</fb>
    <v>34</v>
  </rv>
  <rv s="14">
    <fb>176.51</fb>
    <v>34</v>
  </rv>
  <rv s="14">
    <fb>591.04</fb>
    <v>34</v>
  </rv>
  <rv s="14">
    <fb>90.2</fb>
    <v>34</v>
  </rv>
  <rv s="14">
    <fb>245.7</fb>
    <v>34</v>
  </rv>
  <rv s="14">
    <fb>74.540000000000006</fb>
    <v>34</v>
  </rv>
  <rv s="14">
    <fb>93.25</fb>
    <v>34</v>
  </rv>
  <rv s="14">
    <fb>47.14</fb>
    <v>34</v>
  </rv>
  <rv s="14">
    <fb>93.56</fb>
    <v>34</v>
  </rv>
  <rv s="14">
    <fb>14.79</fb>
    <v>34</v>
  </rv>
  <rv s="14">
    <fb>28.43</fb>
    <v>34</v>
  </rv>
  <rv s="14">
    <fb>25.15</fb>
    <v>34</v>
  </rv>
  <rv s="14">
    <fb>52.71</fb>
    <v>34</v>
  </rv>
  <rv s="14">
    <fb>90.74</fb>
    <v>34</v>
  </rv>
  <rv s="14">
    <fb>28.99</fb>
    <v>34</v>
  </rv>
  <rv s="14">
    <fb>26.87</fb>
    <v>34</v>
  </rv>
  <rv s="14">
    <fb>91.52</fb>
    <v>34</v>
  </rv>
  <rv s="14">
    <fb>468.9</fb>
    <v>34</v>
  </rv>
  <rv s="14">
    <fb>247.06</fb>
    <v>34</v>
  </rv>
  <rv s="14">
    <fb>45.41</fb>
    <v>34</v>
  </rv>
  <rv s="14">
    <fb>121</fb>
    <v>34</v>
  </rv>
  <rv s="14">
    <fb>157.72</fb>
    <v>34</v>
  </rv>
  <rv s="14">
    <fb>157.88</fb>
    <v>34</v>
  </rv>
  <rv s="14">
    <fb>63.7</fb>
    <v>34</v>
  </rv>
  <rv s="14">
    <fb>294</fb>
    <v>34</v>
  </rv>
  <rv s="14">
    <fb>98.89</fb>
    <v>34</v>
  </rv>
  <rv s="14">
    <fb>780.21</fb>
    <v>34</v>
  </rv>
  <rv s="14">
    <fb>161.05000000000001</fb>
    <v>34</v>
  </rv>
  <rv s="14">
    <fb>164.71</fb>
    <v>34</v>
  </rv>
  <rv s="14">
    <fb>304.32</fb>
    <v>34</v>
  </rv>
  <rv s="14">
    <fb>96.86</fb>
    <v>34</v>
  </rv>
  <rv s="14">
    <fb>22.6</fb>
    <v>34</v>
  </rv>
  <rv s="14">
    <fb>56.85</fb>
    <v>34</v>
  </rv>
  <rv s="14">
    <fb>28.95</fb>
    <v>34</v>
  </rv>
  <rv s="14">
    <fb>23.0181</fb>
    <v>34</v>
  </rv>
  <rv s="14">
    <fb>45603</fb>
    <v>33</v>
  </rv>
  <rv s="14">
    <fb>227.48</fb>
    <v>34</v>
  </rv>
  <rv s="14">
    <fb>148.88</fb>
    <v>34</v>
  </rv>
  <rv s="14">
    <fb>425.43</fb>
    <v>34</v>
  </rv>
  <rv s="14">
    <fb>591.70000000000005</fb>
    <v>34</v>
  </rv>
  <rv s="14">
    <fb>180.75</fb>
    <v>34</v>
  </rv>
  <rv s="14">
    <fb>595.61</fb>
    <v>34</v>
  </rv>
  <rv s="14">
    <fb>91.33</fb>
    <v>34</v>
  </rv>
  <rv s="14">
    <fb>249.65</fb>
    <v>34</v>
  </rv>
  <rv s="14">
    <fb>74.66</fb>
    <v>34</v>
  </rv>
  <rv s="14">
    <fb>94</fb>
    <v>34</v>
  </rv>
  <rv s="14">
    <fb>47.459499999999998</fb>
    <v>34</v>
  </rv>
  <rv s="14">
    <fb>159.82</fb>
    <v>34</v>
  </rv>
  <rv s="14">
    <fb>93.13</fb>
    <v>34</v>
  </rv>
  <rv s="14">
    <fb>14.83</fb>
    <v>34</v>
  </rv>
  <rv s="14">
    <fb>2.1</fb>
    <v>35</v>
  </rv>
  <rv s="14">
    <fb>29.11</fb>
    <v>34</v>
  </rv>
  <rv s="14">
    <fb>25.71</fb>
    <v>34</v>
  </rv>
  <rv s="14">
    <fb>53.57</fb>
    <v>34</v>
  </rv>
  <rv s="14">
    <fb>91.27</fb>
    <v>34</v>
  </rv>
  <rv s="14">
    <fb>26.3</fb>
    <v>34</v>
  </rv>
  <rv s="14">
    <fb>29.03</fb>
    <v>34</v>
  </rv>
  <rv s="14">
    <fb>27.17</fb>
    <v>34</v>
  </rv>
  <rv s="14">
    <fb>91.53</fb>
    <v>34</v>
  </rv>
  <rv s="14">
    <fb>460.13</fb>
    <v>34</v>
  </rv>
  <rv s="14">
    <fb>236.38</fb>
    <v>34</v>
  </rv>
  <rv s="14">
    <fb>44.77</fb>
    <v>34</v>
  </rv>
  <rv s="14">
    <fb>121.15</fb>
    <v>34</v>
  </rv>
  <rv s="14">
    <fb>156.77000000000001</fb>
    <v>34</v>
  </rv>
  <rv s="14">
    <fb>156.72999999999999</fb>
    <v>34</v>
  </rv>
  <rv s="14">
    <fb>63.66</fb>
    <v>34</v>
  </rv>
  <rv s="14">
    <fb>294.66000000000003</fb>
    <v>34</v>
  </rv>
  <rv s="14">
    <fb>98.93</fb>
    <v>34</v>
  </rv>
  <rv s="14">
    <fb>796.54</fb>
    <v>34</v>
  </rv>
  <rv s="14">
    <fb>163.41</fb>
    <v>34</v>
  </rv>
  <rv s="14">
    <fb>164</fb>
    <v>34</v>
  </rv>
  <rv s="14">
    <fb>301.39999999999998</fb>
    <v>34</v>
  </rv>
  <rv s="14">
    <fb>95.97</fb>
    <v>34</v>
  </rv>
  <rv s="14">
    <fb>30.4956</fb>
    <v>34</v>
  </rv>
  <rv s="14">
    <fb>564</fb>
    <v>36</v>
  </rv>
  <rv s="14">
    <fb>22.72</fb>
    <v>34</v>
  </rv>
  <rv s="14">
    <fb>58.27</fb>
    <v>34</v>
  </rv>
  <rv s="14">
    <fb>57.48</fb>
    <v>34</v>
  </rv>
  <rv s="14">
    <fb>23.207799999999999</fb>
    <v>34</v>
  </rv>
  <rv s="14">
    <fb>45604</fb>
    <v>33</v>
  </rv>
  <rv s="14">
    <fb>226.96</fb>
    <v>34</v>
  </rv>
  <rv s="14">
    <fb>147.63</fb>
    <v>34</v>
  </rv>
  <rv s="14">
    <fb>422.54</fb>
    <v>34</v>
  </rv>
  <rv s="14">
    <fb>589.34</fb>
    <v>34</v>
  </rv>
  <rv s="14">
    <fb>178.35</fb>
    <v>34</v>
  </rv>
  <rv s="14">
    <fb>598.19000000000005</fb>
    <v>34</v>
  </rv>
  <rv s="14">
    <fb>92.49</fb>
    <v>34</v>
  </rv>
  <rv s="14">
    <fb>247.96</fb>
    <v>34</v>
  </rv>
  <rv s="14">
    <fb>73.13</fb>
    <v>34</v>
  </rv>
  <rv s="14">
    <fb>94.2</fb>
    <v>34</v>
  </rv>
  <rv s="14">
    <fb>47.53</fb>
    <v>34</v>
  </rv>
  <rv s="14">
    <fb>162</fb>
    <v>34</v>
  </rv>
  <rv s="14">
    <fb>93.75</fb>
    <v>34</v>
  </rv>
  <rv s="14">
    <fb>28.48</fb>
    <v>34</v>
  </rv>
  <rv s="14">
    <fb>25.47</fb>
    <v>34</v>
  </rv>
  <rv s="14">
    <fb>53.21</fb>
    <v>34</v>
  </rv>
  <rv s="14">
    <fb>88.75</fb>
    <v>34</v>
  </rv>
  <rv s="14">
    <fb>26.35</fb>
    <v>34</v>
  </rv>
  <rv s="14">
    <fb>91.58</fb>
    <v>34</v>
  </rv>
  <rv s="14">
    <fb>463.41</fb>
    <v>34</v>
  </rv>
  <rv s="14">
    <fb>236.98</fb>
    <v>34</v>
  </rv>
  <rv s="14">
    <fb>45.13</fb>
    <v>34</v>
  </rv>
  <rv s="14">
    <fb>121.11</fb>
    <v>34</v>
  </rv>
  <rv s="14">
    <fb>156.93</fb>
    <v>34</v>
  </rv>
  <rv s="14">
    <fb>155.47</fb>
    <v>34</v>
  </rv>
  <rv s="14">
    <fb>63.92</fb>
    <v>34</v>
  </rv>
  <rv s="14">
    <fb>298.97000000000003</fb>
    <v>34</v>
  </rv>
  <rv s="14">
    <fb>99.02</fb>
    <v>34</v>
  </rv>
  <rv s="14">
    <fb>795.04</fb>
    <v>34</v>
  </rv>
  <rv s="14">
    <fb>167.71</fb>
    <v>34</v>
  </rv>
  <rv s="14">
    <fb>165.11</fb>
    <v>34</v>
  </rv>
  <rv s="14">
    <fb>298.17</fb>
    <v>34</v>
  </rv>
  <rv s="14">
    <fb>97.01</fb>
    <v>34</v>
  </rv>
  <rv s="14">
    <fb>30.9</fb>
    <v>34</v>
  </rv>
  <rv s="14">
    <fb>58.24</fb>
    <v>34</v>
  </rv>
  <rv s="14">
    <fb>58.59</fb>
    <v>34</v>
  </rv>
  <rv s="14">
    <fb>58.12</fb>
    <v>34</v>
  </rv>
  <rv s="14">
    <fb>23.496300000000002</fb>
    <v>34</v>
  </rv>
  <rv s="14">
    <fb>45607</fb>
    <v>33</v>
  </rv>
  <rv s="14">
    <fb>224.23</fb>
    <v>34</v>
  </rv>
  <rv s="14">
    <fb>145.26</fb>
    <v>34</v>
  </rv>
  <rv s="14">
    <fb>418.01</fb>
    <v>34</v>
  </rv>
  <rv s="14">
    <fb>583.16999999999996</fb>
    <v>34</v>
  </rv>
  <rv s="14">
    <fb>180.35</fb>
    <v>34</v>
  </rv>
  <rv s="14">
    <fb>598.76</fb>
    <v>34</v>
  </rv>
  <rv s="14">
    <fb>92.04</fb>
    <v>34</v>
  </rv>
  <rv s="14">
    <fb>242.14</fb>
    <v>34</v>
  </rv>
  <rv s="14">
    <fb>70.94</fb>
    <v>34</v>
  </rv>
  <rv s="14">
    <fb>93.94</fb>
    <v>34</v>
  </rv>
  <rv s="14">
    <fb>47.468899999999998</fb>
    <v>34</v>
  </rv>
  <rv s="14">
    <fb>166.75</fb>
    <v>34</v>
  </rv>
  <rv s="14">
    <fb>94.28</fb>
    <v>34</v>
  </rv>
  <rv s="14">
    <fb>14.12</fb>
    <v>34</v>
  </rv>
  <rv s="14">
    <fb>27.97</fb>
    <v>34</v>
  </rv>
  <rv s="14">
    <fb>25.38</fb>
    <v>34</v>
  </rv>
  <rv s="14">
    <fb>51.96</fb>
    <v>34</v>
  </rv>
  <rv s="14">
    <fb>88.23</fb>
    <v>34</v>
  </rv>
  <rv s="14">
    <fb>26.28</fb>
    <v>34</v>
  </rv>
  <rv s="14">
    <fb>50.93</fb>
    <v>34</v>
  </rv>
  <rv s="14">
    <fb>91.57</fb>
    <v>34</v>
  </rv>
  <rv s="14">
    <fb>467.36</fb>
    <v>34</v>
  </rv>
  <rv s="14">
    <fb>239.29</fb>
    <v>34</v>
  </rv>
  <rv s="14">
    <fb>46.08</fb>
    <v>34</v>
  </rv>
  <rv s="14">
    <fb>120.47</fb>
    <v>34</v>
  </rv>
  <rv s="14">
    <fb>156.5</fb>
    <v>34</v>
  </rv>
  <rv s="14">
    <fb>155.04</fb>
    <v>34</v>
  </rv>
  <rv s="14">
    <fb>63.36</fb>
    <v>34</v>
  </rv>
  <rv s="14">
    <fb>301.52999999999997</fb>
    <v>34</v>
  </rv>
  <rv s="14">
    <fb>100.86</fb>
    <v>34</v>
  </rv>
  <rv s="14">
    <fb>805.44</fb>
    <v>34</v>
  </rv>
  <rv s="14">
    <fb>166.03</fb>
    <v>34</v>
  </rv>
  <rv s="14">
    <fb>164.26</fb>
    <v>34</v>
  </rv>
  <rv s="14">
    <fb>304.86</fb>
    <v>34</v>
  </rv>
  <rv s="14">
    <fb>98.1</fb>
    <v>34</v>
  </rv>
  <rv s="14">
    <fb>31.31</fb>
    <v>34</v>
  </rv>
  <rv s="14">
    <fb>22.725000000000001</fb>
    <v>34</v>
  </rv>
  <rv s="14">
    <fb>58.46</fb>
    <v>34</v>
  </rv>
  <rv s="14">
    <fb>57.9</fb>
    <v>34</v>
  </rv>
  <rv s="14">
    <fb>29.26</fb>
    <v>34</v>
  </rv>
  <rv s="14">
    <fb>23.409700000000001</fb>
    <v>34</v>
  </rv>
  <rv s="14">
    <fb>45608</fb>
    <v>33</v>
  </rv>
  <rv s="14">
    <fb>148.29</fb>
    <v>34</v>
  </rv>
  <rv s="14">
    <fb>423.03</fb>
    <v>34</v>
  </rv>
  <rv s="14">
    <fb>584.82000000000005</fb>
    <v>34</v>
  </rv>
  <rv s="14">
    <fb>181.62</fb>
    <v>34</v>
  </rv>
  <rv s="14">
    <fb>596.9</fb>
    <v>34</v>
  </rv>
  <rv s="14">
    <fb>90.66</fb>
    <v>34</v>
  </rv>
  <rv s="14">
    <fb>240.05</fb>
    <v>34</v>
  </rv>
  <rv s="14">
    <fb>70.69</fb>
    <v>34</v>
  </rv>
  <rv s="14">
    <fb>93.35</fb>
    <v>34</v>
  </rv>
  <rv s="14">
    <fb>47.19</fb>
    <v>34</v>
  </rv>
  <rv s="14">
    <fb>163.75</fb>
    <v>34</v>
  </rv>
  <rv s="14">
    <fb>93.78</fb>
    <v>34</v>
  </rv>
  <rv s="14">
    <fb>14.09</fb>
    <v>34</v>
  </rv>
  <rv s="14">
    <fb>28.07</fb>
    <v>34</v>
  </rv>
  <rv s="14">
    <fb>25.59</fb>
    <v>34</v>
  </rv>
  <rv s="14">
    <fb>4.9400000000000004</fb>
    <v>34</v>
  </rv>
  <rv s="14">
    <fb>51.52</fb>
    <v>34</v>
  </rv>
  <rv s="14">
    <fb>86.78</fb>
    <v>34</v>
  </rv>
  <rv s="14">
    <fb>26.14</fb>
    <v>34</v>
  </rv>
  <rv s="14">
    <fb>28.97</fb>
    <v>34</v>
  </rv>
  <rv s="14">
    <fb>26.97</fb>
    <v>34</v>
  </rv>
  <rv s="14">
    <fb>466.29</fb>
    <v>34</v>
  </rv>
  <rv s="14">
    <fb>239.56</fb>
    <v>34</v>
  </rv>
  <rv s="14">
    <fb>45.86</fb>
    <v>34</v>
  </rv>
  <rv s="14">
    <fb>155.29</fb>
    <v>34</v>
  </rv>
  <rv s="14">
    <fb>152.63999999999999</fb>
    <v>34</v>
  </rv>
  <rv s="14">
    <fb>63.2</fb>
    <v>34</v>
  </rv>
  <rv s="14">
    <fb>298.64999999999998</fb>
    <v>34</v>
  </rv>
  <rv s="14">
    <fb>100.99</fb>
    <v>34</v>
  </rv>
  <rv s="14">
    <fb>819.5</fb>
    <v>34</v>
  </rv>
  <rv s="14">
    <fb>165.84</fb>
    <v>34</v>
  </rv>
  <rv s="14">
    <fb>164.34</fb>
    <v>34</v>
  </rv>
  <rv s="14">
    <fb>302.07</fb>
    <v>34</v>
  </rv>
  <rv s="14">
    <fb>97.35</fb>
    <v>34</v>
  </rv>
  <rv s="14">
    <fb>31.0108</fb>
    <v>34</v>
  </rv>
  <rv s="14">
    <fb>22.61</fb>
    <v>34</v>
  </rv>
  <rv s="14">
    <fb>57.08</fb>
    <v>34</v>
  </rv>
  <rv s="14">
    <fb>23.097200000000001</fb>
    <v>34</v>
  </rv>
  <rv s="14">
    <fb>45609</fb>
    <v>33</v>
  </rv>
  <rv s="14">
    <fb>225.12</fb>
    <v>34</v>
  </rv>
  <rv s="14">
    <fb>146.27000000000001</fb>
    <v>34</v>
  </rv>
  <rv s="14">
    <fb>425.2</fb>
    <v>34</v>
  </rv>
  <rv s="14">
    <fb>580</fb>
    <v>34</v>
  </rv>
  <rv s="14">
    <fb>178.88</fb>
    <v>34</v>
  </rv>
  <rv s="14">
    <fb>597.19000000000005</fb>
    <v>34</v>
  </rv>
  <rv s="14">
    <fb>237.63</fb>
    <v>34</v>
  </rv>
  <rv s="14">
    <fb>70.73</fb>
    <v>34</v>
  </rv>
  <rv s="14">
    <fb>93.29</fb>
    <v>34</v>
  </rv>
  <rv s="14">
    <fb>27.61</fb>
    <v>34</v>
  </rv>
  <rv s="14">
    <fb>4.8600000000000003</fb>
    <v>34</v>
  </rv>
  <rv s="14">
    <fb>51</fb>
    <v>34</v>
  </rv>
  <rv s="14">
    <fb>85.71</fb>
    <v>34</v>
  </rv>
  <rv s="14">
    <fb>26.11</fb>
    <v>34</v>
  </rv>
  <rv s="14">
    <fb>26.79</fb>
    <v>34</v>
  </rv>
  <rv s="14">
    <fb>468.1</fb>
    <v>34</v>
  </rv>
  <rv s="14">
    <fb>241.16</fb>
    <v>34</v>
  </rv>
  <rv s="14">
    <fb>45.87</fb>
    <v>34</v>
  </rv>
  <rv s="14">
    <fb>121.47</fb>
    <v>34</v>
  </rv>
  <rv s="14">
    <fb>158.72</fb>
    <v>34</v>
  </rv>
  <rv s="14">
    <fb>153.24</fb>
    <v>34</v>
  </rv>
  <rv s="14">
    <fb>63</fb>
    <v>34</v>
  </rv>
  <rv s="14">
    <fb>297.35000000000002</fb>
    <v>34</v>
  </rv>
  <rv s="14">
    <fb>102.72</fb>
    <v>34</v>
  </rv>
  <rv s="14">
    <fb>830.47</fb>
    <v>34</v>
  </rv>
  <rv s="14">
    <fb>166.58</fb>
    <v>34</v>
  </rv>
  <rv s="14">
    <fb>164.74</fb>
    <v>34</v>
  </rv>
  <rv s="14">
    <fb>297.69</fb>
    <v>34</v>
  </rv>
  <rv s="14">
    <fb>98.13</fb>
    <v>34</v>
  </rv>
  <rv s="14">
    <fb>31.268999999999998</fb>
    <v>34</v>
  </rv>
  <rv s="14">
    <fb>56.68</fb>
    <v>34</v>
  </rv>
  <rv s="14">
    <fb>23.139900000000001</fb>
    <v>34</v>
  </rv>
  <rv s="14">
    <fb>45610</fb>
    <v>33</v>
  </rv>
  <rv s="14">
    <fb>228.22</fb>
    <v>34</v>
  </rv>
  <rv s="14">
    <fb>146.76</fb>
    <v>34</v>
  </rv>
  <rv s="14">
    <fb>426.89</fb>
    <v>34</v>
  </rv>
  <rv s="14">
    <fb>577.16</fb>
    <v>34</v>
  </rv>
  <rv s="14">
    <fb>175.58</fb>
    <v>34</v>
  </rv>
  <rv s="14">
    <fb>593.35</fb>
    <v>34</v>
  </rv>
  <rv s="14">
    <fb>90.32</fb>
    <v>34</v>
  </rv>
  <rv s="14">
    <fb>237.01</fb>
    <v>34</v>
  </rv>
  <rv s="14">
    <fb>71.290000000000006</fb>
    <v>34</v>
  </rv>
  <rv s="14">
    <fb>93.28</fb>
    <v>34</v>
  </rv>
  <rv s="14">
    <fb>47.18</fb>
    <v>34</v>
  </rv>
  <rv s="14">
    <fb>164.31</fb>
    <v>34</v>
  </rv>
  <rv s="14">
    <fb>94.87</fb>
    <v>34</v>
  </rv>
  <rv s="14">
    <fb>14.2</fb>
    <v>34</v>
  </rv>
  <rv s="14">
    <fb>27.81</fb>
    <v>34</v>
  </rv>
  <rv s="14">
    <fb>25.89</fb>
    <v>34</v>
  </rv>
  <rv s="14">
    <fb>4.8</fb>
    <v>34</v>
  </rv>
  <rv s="14">
    <fb>86.04</fb>
    <v>34</v>
  </rv>
  <rv s="14">
    <fb>26.1</fb>
    <v>34</v>
  </rv>
  <rv s="14">
    <fb>26.92</fb>
    <v>34</v>
  </rv>
  <rv s="14">
    <fb>467.7</fb>
    <v>34</v>
  </rv>
  <rv s="14">
    <fb>241.87</fb>
    <v>34</v>
  </rv>
  <rv s="14">
    <fb>45.9</fb>
    <v>34</v>
  </rv>
  <rv s="14">
    <fb>120.56</fb>
    <v>34</v>
  </rv>
  <rv s="14">
    <fb>161.80000000000001</fb>
    <v>34</v>
  </rv>
  <rv s="14">
    <fb>151.87</fb>
    <v>34</v>
  </rv>
  <rv s="14">
    <fb>62.55</fb>
    <v>34</v>
  </rv>
  <rv s="14">
    <fb>298.56</fb>
    <v>34</v>
  </rv>
  <rv s="14">
    <fb>109.12</fb>
    <v>34</v>
  </rv>
  <rv s="14">
    <fb>837.26</fb>
    <v>34</v>
  </rv>
  <rv s="14">
    <fb>167.08</fb>
    <v>34</v>
  </rv>
  <rv s="14">
    <fb>165.15</fb>
    <v>34</v>
  </rv>
  <rv s="14">
    <fb>296.86</fb>
    <v>34</v>
  </rv>
  <rv s="14">
    <fb>98.64</fb>
    <v>34</v>
  </rv>
  <rv s="14">
    <fb>31.51</fb>
    <v>34</v>
  </rv>
  <rv s="14">
    <fb>58.15</fb>
    <v>34</v>
  </rv>
  <rv s="14">
    <fb>58.21</fb>
    <v>34</v>
  </rv>
  <rv s="14">
    <fb>56.96</fb>
    <v>34</v>
  </rv>
  <rv s="14">
    <fb>22.910799999999998</fb>
    <v>34</v>
  </rv>
  <rv s="14">
    <fb>45611</fb>
    <v>33</v>
  </rv>
  <rv s="14">
    <fb>225</fb>
    <v>34</v>
  </rv>
  <rv s="14">
    <fb>141.97999999999999</fb>
    <v>34</v>
  </rv>
  <rv s="14">
    <fb>415</fb>
    <v>34</v>
  </rv>
  <rv s="14">
    <fb>554.08000000000004</fb>
    <v>34</v>
  </rv>
  <rv s="14">
    <fb>172.49</fb>
    <v>34</v>
  </rv>
  <rv s="14">
    <fb>585.75</fb>
    <v>34</v>
  </rv>
  <rv s="14">
    <fb>90.08</fb>
    <v>34</v>
  </rv>
  <rv s="14">
    <fb>236.59</fb>
    <v>34</v>
  </rv>
  <rv s="14">
    <fb>69.75</fb>
    <v>34</v>
  </rv>
  <rv s="14">
    <fb>93.32</fb>
    <v>34</v>
  </rv>
  <rv s="14">
    <fb>47.17</fb>
    <v>34</v>
  </rv>
  <rv s="14">
    <fb>163.63</fb>
    <v>34</v>
  </rv>
  <rv s="14">
    <fb>94.73</fb>
    <v>34</v>
  </rv>
  <rv s="14">
    <fb>13.89</fb>
    <v>34</v>
  </rv>
  <rv s="14">
    <fb>4.3</fb>
    <v>35</v>
  </rv>
  <rv s="14">
    <fb>27.57</fb>
    <v>34</v>
  </rv>
  <rv s="14">
    <fb>26</fb>
    <v>34</v>
  </rv>
  <rv s="14">
    <fb>4.84</fb>
    <v>34</v>
  </rv>
  <rv s="14">
    <fb>50.76</fb>
    <v>34</v>
  </rv>
  <rv s="14">
    <fb>86.08</fb>
    <v>34</v>
  </rv>
  <rv s="14">
    <fb>26.84</fb>
    <v>34</v>
  </rv>
  <rv s="14">
    <fb>91.63</fb>
    <v>34</v>
  </rv>
  <rv s="14">
    <fb>470.28</fb>
    <v>34</v>
  </rv>
  <rv s="14">
    <fb>245.31</fb>
    <v>34</v>
  </rv>
  <rv s="14">
    <fb>46.75</fb>
    <v>34</v>
  </rv>
  <rv s="14">
    <fb>119.31</fb>
    <v>34</v>
  </rv>
  <rv s="14">
    <fb>161.41999999999999</fb>
    <v>34</v>
  </rv>
  <rv s="14">
    <fb>154</fb>
    <v>34</v>
  </rv>
  <rv s="14">
    <fb>61.74</fb>
    <v>34</v>
  </rv>
  <rv s="14">
    <fb>292.63</fb>
    <v>34</v>
  </rv>
  <rv s="14">
    <fb>115.08</fb>
    <v>34</v>
  </rv>
  <rv s="14">
    <fb>823.96</fb>
    <v>34</v>
  </rv>
  <rv s="14">
    <fb>158.62</fb>
    <v>34</v>
  </rv>
  <rv s="14">
    <fb>292.10000000000002</fb>
    <v>34</v>
  </rv>
  <rv s="14">
    <fb>97.96</fb>
    <v>34</v>
  </rv>
  <rv s="14">
    <fb>31.2</fb>
    <v>34</v>
  </rv>
  <rv s="14">
    <fb>22.614999999999998</fb>
    <v>34</v>
  </rv>
  <rv s="14">
    <fb>58.22</fb>
    <v>34</v>
  </rv>
  <rv s="14">
    <fb>58.29</fb>
    <v>34</v>
  </rv>
  <rv s="14">
    <fb>56.82</fb>
    <v>34</v>
  </rv>
  <rv s="14">
    <fb>23.014199999999999</fb>
    <v>34</v>
  </rv>
  <rv s="14">
    <fb>45614</fb>
    <v>33</v>
  </rv>
  <rv s="14">
    <fb>228.02</fb>
    <v>34</v>
  </rv>
  <rv s="14">
    <fb>140.15</fb>
    <v>34</v>
  </rv>
  <rv s="14">
    <fb>415.76</fb>
    <v>34</v>
  </rv>
  <rv s="14">
    <fb>554.4</fb>
    <v>34</v>
  </rv>
  <rv s="14">
    <fb>175.3</fb>
    <v>34</v>
  </rv>
  <rv s="14">
    <fb>588.15</fb>
    <v>34</v>
  </rv>
  <rv s="14">
    <fb>241.09</fb>
    <v>34</v>
  </rv>
  <rv s="14">
    <fb>72.069999999999993</fb>
    <v>34</v>
  </rv>
  <rv s="14">
    <fb>47.215000000000003</fb>
    <v>34</v>
  </rv>
  <rv s="14">
    <fb>95.99</fb>
    <v>34</v>
  </rv>
  <rv s="14">
    <fb>14.36</fb>
    <v>34</v>
  </rv>
  <rv s="14">
    <fb>4.4000000000000004</fb>
    <v>35</v>
  </rv>
  <rv s="14">
    <fb>26.08</fb>
    <v>34</v>
  </rv>
  <rv s="14">
    <fb>4.93</fb>
    <v>34</v>
  </rv>
  <rv s="14">
    <fb>51.72</fb>
    <v>34</v>
  </rv>
  <rv s="14">
    <fb>88.64</fb>
    <v>34</v>
  </rv>
  <rv s="14">
    <fb>26.15</fb>
    <v>34</v>
  </rv>
  <rv s="14">
    <fb>26.9</fb>
    <v>34</v>
  </rv>
  <rv s="14">
    <fb>472.2</fb>
    <v>34</v>
  </rv>
  <rv s="14">
    <fb>245.03</fb>
    <v>34</v>
  </rv>
  <rv s="14">
    <fb>46.72</fb>
    <v>34</v>
  </rv>
  <rv s="14">
    <fb>120.31</fb>
    <v>34</v>
  </rv>
  <rv s="14">
    <fb>160.76</fb>
    <v>34</v>
  </rv>
  <rv s="14">
    <fb>154.77000000000001</fb>
    <v>34</v>
  </rv>
  <rv s="14">
    <fb>61.86</fb>
    <v>34</v>
  </rv>
  <rv s="14">
    <fb>291.10000000000002</fb>
    <v>34</v>
  </rv>
  <rv s="14">
    <fb>113.54</fb>
    <v>34</v>
  </rv>
  <rv s="14">
    <fb>847.05</fb>
    <v>34</v>
  </rv>
  <rv s="14">
    <fb>170.75</fb>
    <v>34</v>
  </rv>
  <rv s="14">
    <fb>158.33000000000001</fb>
    <v>34</v>
  </rv>
  <rv s="14">
    <fb>295.48</fb>
    <v>34</v>
  </rv>
  <rv s="14">
    <fb>99.73</fb>
    <v>34</v>
  </rv>
  <rv s="14">
    <fb>31.880199999999999</fb>
    <v>34</v>
  </rv>
  <rv s="14">
    <fb>22.64</fb>
    <v>34</v>
  </rv>
  <rv s="14">
    <fb>58.37</fb>
    <v>34</v>
  </rv>
  <rv s="14">
    <fb>56.93</fb>
    <v>34</v>
  </rv>
  <rv s="14">
    <fb>23.1599</fb>
    <v>34</v>
  </rv>
  <rv s="14">
    <fb>45615</fb>
    <v>33</v>
  </rv>
  <rv s="14">
    <fb>228.28</fb>
    <v>34</v>
  </rv>
  <rv s="14">
    <fb>147.01</fb>
    <v>34</v>
  </rv>
  <rv s="14">
    <fb>417.79</fb>
    <v>34</v>
  </rv>
  <rv s="14">
    <fb>561.09</fb>
    <v>34</v>
  </rv>
  <rv s="14">
    <fb>178.12</fb>
    <v>34</v>
  </rv>
  <rv s="14">
    <fb>590.29999999999995</fb>
    <v>34</v>
  </rv>
  <rv s="14">
    <fb>90.7</fb>
    <v>34</v>
  </rv>
  <rv s="14">
    <fb>243.25</fb>
    <v>34</v>
  </rv>
  <rv s="14">
    <fb>72.31</fb>
    <v>34</v>
  </rv>
  <rv s="14">
    <fb>93.73</fb>
    <v>34</v>
  </rv>
  <rv s="14">
    <fb>47.28</fb>
    <v>34</v>
  </rv>
  <rv s="14">
    <fb>168.25</fb>
    <v>34</v>
  </rv>
  <rv s="14">
    <fb>95.38</fb>
    <v>34</v>
  </rv>
  <rv s="14">
    <fb>4.8</fb>
    <v>35</v>
  </rv>
  <rv s="14">
    <fb>28.5</fb>
    <v>34</v>
  </rv>
  <rv s="14">
    <fb>26.22</fb>
    <v>34</v>
  </rv>
  <rv s="14">
    <fb>4.95</fb>
    <v>34</v>
  </rv>
  <rv s="14">
    <fb>52.18</fb>
    <v>34</v>
  </rv>
  <rv s="14">
    <fb>89.16</fb>
    <v>34</v>
  </rv>
  <rv s="14">
    <fb>27.02</fb>
    <v>34</v>
  </rv>
  <rv s="14">
    <fb>468.86</fb>
    <v>34</v>
  </rv>
  <rv s="14">
    <fb>243.09</fb>
    <v>34</v>
  </rv>
  <rv s="14">
    <fb>46.41</fb>
    <v>34</v>
  </rv>
  <rv s="14">
    <fb>118.63</fb>
    <v>34</v>
  </rv>
  <rv s="14">
    <fb>159.6</fb>
    <v>34</v>
  </rv>
  <rv s="14">
    <fb>153</fb>
    <v>34</v>
  </rv>
  <rv s="14">
    <fb>62.59</fb>
    <v>34</v>
  </rv>
  <rv s="14">
    <fb>290.73</fb>
    <v>34</v>
  </rv>
  <rv s="14">
    <fb>112.42</fb>
    <v>34</v>
  </rv>
  <rv s="14">
    <fb>871.32</fb>
    <v>34</v>
  </rv>
  <rv s="14">
    <fb>170.76</fb>
    <v>34</v>
  </rv>
  <rv s="14">
    <fb>156.72</fb>
    <v>34</v>
  </rv>
  <rv s="14">
    <fb>293.81</fb>
    <v>34</v>
  </rv>
  <rv s="14">
    <fb>99.08</fb>
    <v>34</v>
  </rv>
  <rv s="14">
    <fb>31.589600000000001</fb>
    <v>34</v>
  </rv>
  <rv s="14">
    <fb>22.68</fb>
    <v>34</v>
  </rv>
  <rv s="14">
    <fb>58.26</fb>
    <v>34</v>
  </rv>
  <rv s="14">
    <fb>58.44</fb>
    <v>34</v>
  </rv>
  <rv s="14">
    <fb>57.18</fb>
    <v>34</v>
  </rv>
  <rv s="14">
    <fb>29.07</fb>
    <v>34</v>
  </rv>
  <rv s="14">
    <fb>23.223299999999998</fb>
    <v>34</v>
  </rv>
  <rv s="14">
    <fb>45616</fb>
    <v>33</v>
  </rv>
  <rv s="14">
    <fb>229</fb>
    <v>34</v>
  </rv>
  <rv s="14">
    <fb>145.88999999999999</fb>
    <v>34</v>
  </rv>
  <rv s="14">
    <fb>415.49</fb>
    <v>34</v>
  </rv>
  <rv s="14">
    <fb>565.52</fb>
    <v>34</v>
  </rv>
  <rv s="14">
    <fb>175.98</fb>
    <v>34</v>
  </rv>
  <rv s="14">
    <fb>590.5</fb>
    <v>34</v>
  </rv>
  <rv s="14">
    <fb>90.41</fb>
    <v>34</v>
  </rv>
  <rv s="14">
    <fb>244.62</fb>
    <v>34</v>
  </rv>
  <rv s="14">
    <fb>93.59</fb>
    <v>34</v>
  </rv>
  <rv s="14">
    <fb>47</fb>
    <v>34</v>
  </rv>
  <rv s="14">
    <fb>162.88999999999999</fb>
    <v>34</v>
  </rv>
  <rv s="14">
    <fb>96.34</fb>
    <v>34</v>
  </rv>
  <rv s="14">
    <fb>14.34</fb>
    <v>34</v>
  </rv>
  <rv s="14">
    <fb>5.15</fb>
    <v>35</v>
  </rv>
  <rv s="14">
    <fb>28.1</fb>
    <v>34</v>
  </rv>
  <rv s="14">
    <fb>26.36</fb>
    <v>34</v>
  </rv>
  <rv s="14">
    <fb>4.99</fb>
    <v>34</v>
  </rv>
  <rv s="14">
    <fb>52.49</fb>
    <v>34</v>
  </rv>
  <rv s="14">
    <fb>26.19</fb>
    <v>34</v>
  </rv>
  <rv s="14">
    <fb>51.02</fb>
    <v>34</v>
  </rv>
  <rv s="14">
    <fb>26.95</fb>
    <v>34</v>
  </rv>
  <rv s="14">
    <fb>91.68</fb>
    <v>34</v>
  </rv>
  <rv s="14">
    <fb>468.83</fb>
    <v>34</v>
  </rv>
  <rv s="14">
    <fb>240.78</fb>
    <v>34</v>
  </rv>
  <rv s="14">
    <fb>46.06</fb>
    <v>34</v>
  </rv>
  <rv s="14">
    <fb>120.32</fb>
    <v>34</v>
  </rv>
  <rv s="14">
    <fb>161.33000000000001</fb>
    <v>34</v>
  </rv>
  <rv s="14">
    <fb>153.11000000000001</fb>
    <v>34</v>
  </rv>
  <rv s="14">
    <fb>62.99</fb>
    <v>34</v>
  </rv>
  <rv s="14">
    <fb>290.91000000000003</fb>
    <v>34</v>
  </rv>
  <rv s="14">
    <fb>114.26</fb>
    <v>34</v>
  </rv>
  <rv s="14">
    <fb>883.85</fb>
    <v>34</v>
  </rv>
  <rv s="14">
    <fb>170.89</fb>
    <v>34</v>
  </rv>
  <rv s="14">
    <fb>158.74</fb>
    <v>34</v>
  </rv>
  <rv s="14">
    <fb>297.64999999999998</fb>
    <v>34</v>
  </rv>
  <rv s="14">
    <fb>100.36</fb>
    <v>34</v>
  </rv>
  <rv s="14">
    <fb>32.031599999999997</fb>
    <v>34</v>
  </rv>
  <rv s="14">
    <fb>22.645</fb>
    <v>34</v>
  </rv>
  <rv s="14">
    <fb>58.38</fb>
    <v>34</v>
  </rv>
  <rv s="14">
    <fb>57.03</fb>
    <v>34</v>
  </rv>
  <rv s="14">
    <fb>29</fb>
    <v>34</v>
  </rv>
  <rv s="14">
    <fb>23.28</fb>
    <v>34</v>
  </rv>
  <rv s="14">
    <fb>45617</fb>
    <v>33</v>
  </rv>
  <rv s="14">
    <fb>228.52</fb>
    <v>34</v>
  </rv>
  <rv s="14">
    <fb>146.66999999999999</fb>
    <v>34</v>
  </rv>
  <rv s="14">
    <fb>412.87</fb>
    <v>34</v>
  </rv>
  <rv s="14">
    <fb>563.09</fb>
    <v>34</v>
  </rv>
  <rv s="14">
    <fb>167.63</fb>
    <v>34</v>
  </rv>
  <rv s="14">
    <fb>593.66999999999996</fb>
    <v>34</v>
  </rv>
  <rv s="14">
    <fb>246.66</fb>
    <v>34</v>
  </rv>
  <rv s="14">
    <fb>73.2</fb>
    <v>34</v>
  </rv>
  <rv s="14">
    <fb>93.54</fb>
    <v>34</v>
  </rv>
  <rv s="14">
    <fb>46.999000000000002</fb>
    <v>34</v>
  </rv>
  <rv s="14">
    <fb>165.02</fb>
    <v>34</v>
  </rv>
  <rv s="14">
    <fb>97.12</fb>
    <v>34</v>
  </rv>
  <rv s="14">
    <fb>14.57</fb>
    <v>34</v>
  </rv>
  <rv s="14">
    <fb>5.5</fb>
    <v>35</v>
  </rv>
  <rv s="14">
    <fb>28.04</fb>
    <v>34</v>
  </rv>
  <rv s="14">
    <fb>4.97</fb>
    <v>34</v>
  </rv>
  <rv s="14">
    <fb>52.93</fb>
    <v>34</v>
  </rv>
  <rv s="14">
    <fb>88.33</fb>
    <v>34</v>
  </rv>
  <rv s="14">
    <fb>26.91</fb>
    <v>34</v>
  </rv>
  <rv s="14">
    <fb>472.06</fb>
    <v>34</v>
  </rv>
  <rv s="14">
    <fb>244.76</fb>
    <v>34</v>
  </rv>
  <rv s="14">
    <fb>46.46</fb>
    <v>34</v>
  </rv>
  <rv s="14">
    <fb>121.93</fb>
    <v>34</v>
  </rv>
  <rv s="14">
    <fb>161.63</fb>
    <v>34</v>
  </rv>
  <rv s="14">
    <fb>155.5</fb>
    <v>34</v>
  </rv>
  <rv s="14">
    <fb>63.76</fb>
    <v>34</v>
  </rv>
  <rv s="14">
    <fb>288.47000000000003</fb>
    <v>34</v>
  </rv>
  <rv s="14">
    <fb>114.72</fb>
    <v>34</v>
  </rv>
  <rv s="14">
    <fb>897.48</fb>
    <v>34</v>
  </rv>
  <rv s="14">
    <fb>172.75</fb>
    <v>34</v>
  </rv>
  <rv s="14">
    <fb>160.34</fb>
    <v>34</v>
  </rv>
  <rv s="14">
    <fb>303.86</fb>
    <v>34</v>
  </rv>
  <rv s="14">
    <fb>100.87260000000001</fb>
    <v>34</v>
  </rv>
  <rv s="14">
    <fb>32.44</fb>
    <v>34</v>
  </rv>
  <rv s="14">
    <fb>22.63</fb>
    <v>34</v>
  </rv>
  <rv s="14">
    <fb>58.34</fb>
    <v>34</v>
  </rv>
  <rv s="14">
    <fb>23.487500000000001</fb>
    <v>34</v>
  </rv>
  <rv s="14">
    <fb>45618</fb>
    <v>33</v>
  </rv>
  <rv s="14">
    <fb>229.87</fb>
    <v>34</v>
  </rv>
  <rv s="14">
    <fb>141.94999999999999</fb>
    <v>34</v>
  </rv>
  <rv s="14">
    <fb>417</fb>
    <v>34</v>
  </rv>
  <rv s="14">
    <fb>559.14</fb>
    <v>34</v>
  </rv>
  <rv s="14">
    <fb>164.76</fb>
    <v>34</v>
  </rv>
  <rv s="14">
    <fb>595.51</fb>
    <v>34</v>
  </rv>
  <rv s="14">
    <fb>90.39</fb>
    <v>34</v>
  </rv>
  <rv s="14">
    <fb>249.84</fb>
    <v>34</v>
  </rv>
  <rv s="14">
    <fb>74.25</fb>
    <v>34</v>
  </rv>
  <rv s="14">
    <fb>47.0655</fb>
    <v>34</v>
  </rv>
  <rv s="14">
    <fb>167.56</fb>
    <v>34</v>
  </rv>
  <rv s="14">
    <fb>97.27</fb>
    <v>34</v>
  </rv>
  <rv s="14">
    <fb>5</fb>
    <v>35</v>
  </rv>
  <rv s="14">
    <fb>28.47</fb>
    <v>34</v>
  </rv>
  <rv s="14">
    <fb>26.51</fb>
    <v>34</v>
  </rv>
  <rv s="14">
    <fb>53.62</fb>
    <v>34</v>
  </rv>
  <rv s="14">
    <fb>88.24</fb>
    <v>34</v>
  </rv>
  <rv s="14">
    <fb>26.17</fb>
    <v>34</v>
  </rv>
  <rv s="14">
    <fb>51.04</fb>
    <v>34</v>
  </rv>
  <rv s="14">
    <fb>26.94</fb>
    <v>34</v>
  </rv>
  <rv s="14">
    <fb>91.72</fb>
    <v>34</v>
  </rv>
  <rv s="14">
    <fb>476.57</fb>
    <v>34</v>
  </rv>
  <rv s="14">
    <fb>248.55</fb>
    <v>34</v>
  </rv>
  <rv s="14">
    <fb>121.79</fb>
    <v>34</v>
  </rv>
  <rv s="14">
    <fb>162.36000000000001</fb>
    <v>34</v>
  </rv>
  <rv s="14">
    <fb>155.16999999999999</fb>
    <v>34</v>
  </rv>
  <rv s="14">
    <fb>290.27999999999997</fb>
    <v>34</v>
  </rv>
  <rv s="14">
    <fb>115.65</fb>
    <v>34</v>
  </rv>
  <rv s="14">
    <fb>897.79</fb>
    <v>34</v>
  </rv>
  <rv s="14">
    <fb>176.28</fb>
    <v>34</v>
  </rv>
  <rv s="14">
    <fb>307.26</fb>
    <v>34</v>
  </rv>
  <rv s="14">
    <fb>101.83</fb>
    <v>34</v>
  </rv>
  <rv s="14">
    <fb>32.700099999999999</fb>
    <v>34</v>
  </rv>
  <rv s="14">
    <fb>58.35</fb>
    <v>34</v>
  </rv>
  <rv s="14">
    <fb>56.97</fb>
    <v>34</v>
  </rv>
  <rv s="14">
    <fb>23.627199999999998</fb>
    <v>34</v>
  </rv>
  <rv s="14">
    <fb>45621</fb>
    <v>33</v>
  </rv>
  <rv s="14">
    <fb>232.87</fb>
    <v>34</v>
  </rv>
  <rv s="14">
    <fb>136.02000000000001</fb>
    <v>34</v>
  </rv>
  <rv s="14">
    <fb>418.79</fb>
    <v>34</v>
  </rv>
  <rv s="14">
    <fb>565.11</fb>
    <v>34</v>
  </rv>
  <rv s="14">
    <fb>167.65</fb>
    <v>34</v>
  </rv>
  <rv s="14">
    <fb>597.53</fb>
    <v>34</v>
  </rv>
  <rv s="14">
    <fb>92.73</fb>
    <v>34</v>
  </rv>
  <rv s="14">
    <fb>242.48</fb>
    <v>34</v>
  </rv>
  <rv s="14">
    <fb>72.099999999999994</fb>
    <v>34</v>
  </rv>
  <rv s="14">
    <fb>94.61</fb>
    <v>34</v>
  </rv>
  <rv s="14">
    <fb>47.44</fb>
    <v>34</v>
  </rv>
  <rv s="14">
    <fb>174.7</fb>
    <v>34</v>
  </rv>
  <rv s="14">
    <fb>95.35</fb>
    <v>34</v>
  </rv>
  <rv s="14">
    <fb>27.63</fb>
    <v>34</v>
  </rv>
  <rv s="14">
    <fb>26.53</fb>
    <v>34</v>
  </rv>
  <rv s="14">
    <fb>52.04</fb>
    <v>34</v>
  </rv>
  <rv s="14">
    <fb>86.01</fb>
    <v>34</v>
  </rv>
  <rv s="14">
    <fb>26.32</fb>
    <v>34</v>
  </rv>
  <rv s="14">
    <fb>29.05</fb>
    <v>34</v>
  </rv>
  <rv s="14">
    <fb>91.73</fb>
    <v>34</v>
  </rv>
  <rv s="14">
    <fb>477.43</fb>
    <v>34</v>
  </rv>
  <rv s="14">
    <fb>250.29</fb>
    <v>34</v>
  </rv>
  <rv s="14">
    <fb>47.5</fb>
    <v>34</v>
  </rv>
  <rv s="14">
    <fb>119.97</fb>
    <v>34</v>
  </rv>
  <rv s="14">
    <fb>160.36000000000001</fb>
    <v>34</v>
  </rv>
  <rv s="14">
    <fb>155.78</fb>
    <v>34</v>
  </rv>
  <rv s="14">
    <fb>64.38</fb>
    <v>34</v>
  </rv>
  <rv s="14">
    <fb>296.19</fb>
    <v>34</v>
  </rv>
  <rv s="14">
    <fb>116</fb>
    <v>34</v>
  </rv>
  <rv s="14">
    <fb>865.59</fb>
    <v>34</v>
  </rv>
  <rv s="14">
    <fb>177.39</fb>
    <v>34</v>
  </rv>
  <rv s="14">
    <fb>163.05000000000001</fb>
    <v>34</v>
  </rv>
  <rv s="14">
    <fb>303.77999999999997</fb>
    <v>34</v>
  </rv>
  <rv s="14">
    <fb>99.17</fb>
    <v>34</v>
  </rv>
  <rv s="14">
    <fb>32.270699999999998</fb>
    <v>34</v>
  </rv>
  <rv s="14">
    <fb>22.84</fb>
    <v>34</v>
  </rv>
  <rv s="14">
    <fb>58.75</fb>
    <v>34</v>
  </rv>
  <rv s="14">
    <fb>23.921199999999999</fb>
    <v>34</v>
  </rv>
  <rv s="14">
    <fb>45622</fb>
    <v>33</v>
  </rv>
  <rv s="14">
    <fb>235.06</fb>
    <v>34</v>
  </rv>
  <rv s="14">
    <fb>136.91999999999999</fb>
    <v>34</v>
  </rv>
  <rv s="14">
    <fb>427.99</fb>
    <v>34</v>
  </rv>
  <rv s="14">
    <fb>573.54</fb>
    <v>34</v>
  </rv>
  <rv s="14">
    <fb>169.12</fb>
    <v>34</v>
  </rv>
  <rv s="14">
    <fb>600.65</fb>
    <v>34</v>
  </rv>
  <rv s="14">
    <fb>92.37</fb>
    <v>34</v>
  </rv>
  <rv s="14">
    <fb>242.95</fb>
    <v>34</v>
  </rv>
  <rv s="14">
    <fb>71.61</fb>
    <v>34</v>
  </rv>
  <rv s="14">
    <fb>94.41</fb>
    <v>34</v>
  </rv>
  <rv s="14">
    <fb>47.369300000000003</fb>
    <v>34</v>
  </rv>
  <rv s="14">
    <fb>175.64</fb>
    <v>34</v>
  </rv>
  <rv s="14">
    <fb>95.22</fb>
    <v>34</v>
  </rv>
  <rv s="14">
    <fb>14.25</fb>
    <v>34</v>
  </rv>
  <rv s="14">
    <fb>27.8</fb>
    <v>34</v>
  </rv>
  <rv s="14">
    <fb>26.77</fb>
    <v>34</v>
  </rv>
  <rv s="14">
    <fb>4.87</fb>
    <v>34</v>
  </rv>
  <rv s="14">
    <fb>52.14</fb>
    <v>34</v>
  </rv>
  <rv s="14">
    <fb>84.95</fb>
    <v>34</v>
  </rv>
  <rv s="14">
    <fb>27.46</fb>
    <v>34</v>
  </rv>
  <rv s="14">
    <fb>478.56</fb>
    <v>34</v>
  </rv>
  <rv s="14">
    <fb>249.97</fb>
    <v>34</v>
  </rv>
  <rv s="14">
    <fb>117.97</fb>
    <v>34</v>
  </rv>
  <rv s="14">
    <fb>162.53</fb>
    <v>34</v>
  </rv>
  <rv s="14">
    <fb>154.52000000000001</fb>
    <v>34</v>
  </rv>
  <rv s="14">
    <fb>64.55</fb>
    <v>34</v>
  </rv>
  <rv s="14">
    <fb>296.33</fb>
    <v>34</v>
  </rv>
  <rv s="14">
    <fb>115.45</fb>
    <v>34</v>
  </rv>
  <rv s="14">
    <fb>872.6</fb>
    <v>34</v>
  </rv>
  <rv s="14">
    <fb>179.31</fb>
    <v>34</v>
  </rv>
  <rv s="14">
    <fb>162.16</fb>
    <v>34</v>
  </rv>
  <rv s="14">
    <fb>300.33</fb>
    <v>34</v>
  </rv>
  <rv s="14">
    <fb>32.054000000000002</fb>
    <v>34</v>
  </rv>
  <rv s="14">
    <fb>22.805</fb>
    <v>34</v>
  </rv>
  <rv s="14">
    <fb>58.69</fb>
    <v>34</v>
  </rv>
  <rv s="14">
    <fb>24.046900000000001</fb>
    <v>34</v>
  </rv>
  <rv s="14">
    <fb>45623</fb>
    <v>33</v>
  </rv>
  <rv s="14">
    <fb>234.93</fb>
    <v>34</v>
  </rv>
  <rv s="14">
    <fb>135.34</fb>
    <v>34</v>
  </rv>
  <rv s="14">
    <fb>422.99</fb>
    <v>34</v>
  </rv>
  <rv s="14">
    <fb>569.20000000000005</fb>
    <v>34</v>
  </rv>
  <rv s="14">
    <fb>169.23</fb>
    <v>34</v>
  </rv>
  <rv s="14">
    <fb>598.83000000000004</fb>
    <v>34</v>
  </rv>
  <rv s="14">
    <fb>93.01</fb>
    <v>34</v>
  </rv>
  <rv s="14">
    <fb>243.49</fb>
    <v>34</v>
  </rv>
  <rv s="14">
    <fb>71.72</fb>
    <v>34</v>
  </rv>
  <rv s="14">
    <fb>47.4754</fb>
    <v>34</v>
  </rv>
  <rv s="14">
    <fb>173.85</fb>
    <v>34</v>
  </rv>
  <rv s="14">
    <fb>95.12</fb>
    <v>34</v>
  </rv>
  <rv s="14">
    <fb>3.4</fb>
    <v>35</v>
  </rv>
  <rv s="14">
    <fb>27.45</fb>
    <v>34</v>
  </rv>
  <rv s="14">
    <fb>26.89</fb>
    <v>34</v>
  </rv>
  <rv s="14">
    <fb>4.79</fb>
    <v>34</v>
  </rv>
  <rv s="14">
    <fb>52.24</fb>
    <v>34</v>
  </rv>
  <rv s="14">
    <fb>85.14</fb>
    <v>34</v>
  </rv>
  <rv s="14">
    <fb>51.05</fb>
    <v>34</v>
  </rv>
  <rv s="14">
    <fb>29.09</fb>
    <v>34</v>
  </rv>
  <rv s="14">
    <fb>27.64</fb>
    <v>34</v>
  </rv>
  <rv s="14">
    <fb>91.76</fb>
    <v>34</v>
  </rv>
  <rv s="14">
    <fb>483.08</fb>
    <v>34</v>
  </rv>
  <rv s="14">
    <fb>249.79</fb>
    <v>34</v>
  </rv>
  <rv s="14">
    <fb>47.77</fb>
    <v>34</v>
  </rv>
  <rv s="14">
    <fb>117.66</fb>
    <v>34</v>
  </rv>
  <rv s="14">
    <fb>162.11000000000001</fb>
    <v>34</v>
  </rv>
  <rv s="14">
    <fb>155.4</fb>
    <v>34</v>
  </rv>
  <rv s="14">
    <fb>64.430000000000007</fb>
    <v>34</v>
  </rv>
  <rv s="14">
    <fb>295.08</fb>
    <v>34</v>
  </rv>
  <rv s="14">
    <fb>117.6</fb>
    <v>34</v>
  </rv>
  <rv s="14">
    <fb>877.34</fb>
    <v>34</v>
  </rv>
  <rv s="14">
    <fb>179.36</fb>
    <v>34</v>
  </rv>
  <rv s="14">
    <fb>301.24</fb>
    <v>34</v>
  </rv>
  <rv s="14">
    <fb>99.03</fb>
    <v>34</v>
  </rv>
  <rv s="14">
    <fb>22.87</fb>
    <v>34</v>
  </rv>
  <rv s="14">
    <fb>58.85</fb>
    <v>34</v>
  </rv>
  <rv s="14">
    <fb>29.33</fb>
    <v>34</v>
  </rv>
  <rv s="14">
    <fb>24.183399999999999</fb>
    <v>34</v>
  </rv>
  <rv s="14">
    <fb>45625</fb>
    <v>33</v>
  </rv>
  <rv s="14">
    <fb>237.33</fb>
    <v>34</v>
  </rv>
  <rv s="14">
    <fb>138.25</fb>
    <v>34</v>
  </rv>
  <rv s="14">
    <fb>423.46</fb>
    <v>34</v>
  </rv>
  <rv s="14">
    <fb>574.32000000000005</fb>
    <v>34</v>
  </rv>
  <rv s="14">
    <fb>602.54999999999995</fb>
    <v>34</v>
  </rv>
  <rv s="14">
    <fb>93.97</fb>
    <v>34</v>
  </rv>
  <rv s="14">
    <fb>245.59</fb>
    <v>34</v>
  </rv>
  <rv s="14">
    <fb>95.19</fb>
    <v>34</v>
  </rv>
  <rv s="14">
    <fb>47.686599999999999</fb>
    <v>34</v>
  </rv>
  <rv s="14">
    <fb>175.03</fb>
    <v>34</v>
  </rv>
  <rv s="14">
    <fb>95.53</fb>
    <v>34</v>
  </rv>
  <rv s="14">
    <fb>14.28</fb>
    <v>34</v>
  </rv>
  <rv s="14">
    <fb>3.3</fb>
    <v>35</v>
  </rv>
  <rv s="14">
    <fb>26.76</fb>
    <v>34</v>
  </rv>
  <rv s="14">
    <fb>52.7</fb>
    <v>34</v>
  </rv>
  <rv s="14">
    <fb>87.06</fb>
    <v>34</v>
  </rv>
  <rv s="14">
    <fb>483.02</fb>
    <v>34</v>
  </rv>
  <rv s="14">
    <fb>249.72</fb>
    <v>34</v>
  </rv>
  <rv s="14">
    <fb>117.96</fb>
    <v>34</v>
  </rv>
  <rv s="14">
    <fb>161.93</fb>
    <v>34</v>
  </rv>
  <rv s="14">
    <fb>155.01</fb>
    <v>34</v>
  </rv>
  <rv s="14">
    <fb>64.08</fb>
    <v>34</v>
  </rv>
  <rv s="14">
    <fb>296.01</fb>
    <v>34</v>
  </rv>
  <rv s="14">
    <fb>117.47</fb>
    <v>34</v>
  </rv>
  <rv s="14">
    <fb>886.81</fb>
    <v>34</v>
  </rv>
  <rv s="14">
    <fb>179.26</fb>
    <v>34</v>
  </rv>
  <rv s="14">
    <fb>303.3</fb>
    <v>34</v>
  </rv>
  <rv s="14">
    <fb>99.44</fb>
    <v>34</v>
  </rv>
  <rv s="14">
    <fb>32.174799999999998</fb>
    <v>34</v>
  </rv>
  <rv s="14">
    <fb>22.945</fb>
    <v>34</v>
  </rv>
  <rv s="14">
    <fb>59.03</fb>
    <v>34</v>
  </rv>
  <rv s="14">
    <fb>29.48</fb>
    <v>34</v>
  </rv>
  <rv s="14">
    <fb>24.187200000000001</fb>
    <v>34</v>
  </rv>
  <rv s="14">
    <fb>45628</fb>
    <v>33</v>
  </rv>
  <rv s="14">
    <fb>239.59</fb>
    <v>34</v>
  </rv>
  <rv s="14">
    <fb>138.63</fb>
    <v>34</v>
  </rv>
  <rv s="14">
    <fb>430.98</fb>
    <v>34</v>
  </rv>
  <rv s="14">
    <fb>592.83000000000004</fb>
    <v>34</v>
  </rv>
  <rv s="14">
    <fb>171.49</fb>
    <v>34</v>
  </rv>
  <rv s="14">
    <fb>603.63</fb>
    <v>34</v>
  </rv>
  <rv s="14">
    <fb>243.44</fb>
    <v>34</v>
  </rv>
  <rv s="14">
    <fb>71.040000000000006</fb>
    <v>34</v>
  </rv>
  <rv s="14">
    <fb>47.704999999999998</fb>
    <v>34</v>
  </rv>
  <rv s="14">
    <fb>172.34</fb>
    <v>34</v>
  </rv>
  <rv s="14">
    <fb>14.15</fb>
    <v>34</v>
  </rv>
  <rv s="14">
    <fb>3.6</fb>
    <v>35</v>
  </rv>
  <rv s="14">
    <fb>27.79</fb>
    <v>34</v>
  </rv>
  <rv s="14">
    <fb>26.56</fb>
    <v>34</v>
  </rv>
  <rv s="14">
    <fb>4.7699999999999996</fb>
    <v>34</v>
  </rv>
  <rv s="14">
    <fb>52.25</fb>
    <v>34</v>
  </rv>
  <rv s="14">
    <fb>86.72</fb>
    <v>34</v>
  </rv>
  <rv s="14">
    <fb>50.86</fb>
    <v>34</v>
  </rv>
  <rv s="14">
    <fb>27.85</fb>
    <v>34</v>
  </rv>
  <rv s="14">
    <fb>91.47</fb>
    <v>34</v>
  </rv>
  <rv s="14">
    <fb>477.33</fb>
    <v>34</v>
  </rv>
  <rv s="14">
    <fb>246.25</fb>
    <v>34</v>
  </rv>
  <rv s="14">
    <fb>47.04</fb>
    <v>34</v>
  </rv>
  <rv s="14">
    <fb>117.85</fb>
    <v>34</v>
  </rv>
  <rv s="14">
    <fb>162.21</fb>
    <v>34</v>
  </rv>
  <rv s="14">
    <fb>154.80000000000001</fb>
    <v>34</v>
  </rv>
  <rv s="14">
    <fb>63.65</fb>
    <v>34</v>
  </rv>
  <rv s="14">
    <fb>292.44</fb>
    <v>34</v>
  </rv>
  <rv s="14">
    <fb>117.16</fb>
    <v>34</v>
  </rv>
  <rv s="14">
    <fb>897.74</fb>
    <v>34</v>
  </rv>
  <rv s="14">
    <fb>179.7</fb>
    <v>34</v>
  </rv>
  <rv s="14">
    <fb>302.39999999999998</fb>
    <v>34</v>
  </rv>
  <rv s="14">
    <fb>98.15</fb>
    <v>34</v>
  </rv>
  <rv s="14">
    <fb>31.978400000000001</fb>
    <v>34</v>
  </rv>
  <rv s="14">
    <fb>58.92</fb>
    <v>34</v>
  </rv>
  <rv s="14">
    <fb>29.38</fb>
    <v>34</v>
  </rv>
  <rv s="14">
    <fb>23.7911</fb>
    <v>34</v>
  </rv>
  <rv s="14">
    <fb>45629</fb>
    <v>33</v>
  </rv>
  <rv s="14">
    <fb>242.65</fb>
    <v>34</v>
  </rv>
  <rv s="14">
    <fb>140.26</fb>
    <v>34</v>
  </rv>
  <rv s="14">
    <fb>431.2</fb>
    <v>34</v>
  </rv>
  <rv s="14">
    <fb>613.65</fb>
    <v>34</v>
  </rv>
  <rv s="14">
    <fb>171.34</fb>
    <v>34</v>
  </rv>
  <rv s="14">
    <fb>603.91</fb>
    <v>34</v>
  </rv>
  <rv s="14">
    <fb>93.06</fb>
    <v>34</v>
  </rv>
  <rv s="14">
    <fb>243.93</fb>
    <v>34</v>
  </rv>
  <rv s="14">
    <fb>73.040000000000006</fb>
    <v>34</v>
  </rv>
  <rv s="14">
    <fb>94.62</fb>
    <v>34</v>
  </rv>
  <rv s="14">
    <fb>47.62</fb>
    <v>34</v>
  </rv>
  <rv s="14">
    <fb>173</fb>
    <v>34</v>
  </rv>
  <rv s="14">
    <fb>14.56</fb>
    <v>34</v>
  </rv>
  <rv s="14">
    <fb>3.7</fb>
    <v>35</v>
  </rv>
  <rv s="14">
    <fb>26.44</fb>
    <v>34</v>
  </rv>
  <rv s="14">
    <fb>4.78</fb>
    <v>34</v>
  </rv>
  <rv s="14">
    <fb>52.34</fb>
    <v>34</v>
  </rv>
  <rv s="14">
    <fb>87.24</fb>
    <v>34</v>
  </rv>
  <rv s="14">
    <fb>27.66</fb>
    <v>34</v>
  </rv>
  <rv s="14">
    <fb>91.49</fb>
    <v>34</v>
  </rv>
  <rv s="14">
    <fb>470.19</fb>
    <v>34</v>
  </rv>
  <rv s="14">
    <fb>244.82</fb>
    <v>34</v>
  </rv>
  <rv s="14">
    <fb>46.82</fb>
    <v>34</v>
  </rv>
  <rv s="14">
    <fb>117.67</fb>
    <v>34</v>
  </rv>
  <rv s="14">
    <fb>161.91999999999999</fb>
    <v>34</v>
  </rv>
  <rv s="14">
    <fb>152.36000000000001</fb>
    <v>34</v>
  </rv>
  <rv s="14">
    <fb>63.52</fb>
    <v>34</v>
  </rv>
  <rv s="14">
    <fb>294.5</fb>
    <v>34</v>
  </rv>
  <rv s="14">
    <fb>116.45</fb>
    <v>34</v>
  </rv>
  <rv s="14">
    <fb>902.17</fb>
    <v>34</v>
  </rv>
  <rv s="14">
    <fb>175.42</fb>
    <v>34</v>
  </rv>
  <rv s="14">
    <fb>161.69999999999999</fb>
    <v>34</v>
  </rv>
  <rv s="14">
    <fb>303.14999999999998</fb>
    <v>34</v>
  </rv>
  <rv s="14">
    <fb>98.2</fb>
    <v>34</v>
  </rv>
  <rv s="14">
    <fb>31.87</fb>
    <v>34</v>
  </rv>
  <rv s="14">
    <fb>22.85</fb>
    <v>34</v>
  </rv>
  <rv s="14">
    <fb>29.31</fb>
    <v>34</v>
  </rv>
  <rv s="14">
    <fb>23.679099999999998</fb>
    <v>34</v>
  </rv>
  <rv s="14">
    <fb>45630</fb>
    <v>33</v>
  </rv>
  <rv s="14">
    <fb>243.01</fb>
    <v>34</v>
  </rv>
  <rv s="14">
    <fb>145.13999999999999</fb>
    <v>34</v>
  </rv>
  <rv s="14">
    <fb>437.42</fb>
    <v>34</v>
  </rv>
  <rv s="14">
    <fb>613.78</fb>
    <v>34</v>
  </rv>
  <rv s="14">
    <fb>607.66</fb>
    <v>34</v>
  </rv>
  <rv s="14">
    <fb>94.06</fb>
    <v>34</v>
  </rv>
  <rv s="14">
    <fb>244.67</fb>
    <v>34</v>
  </rv>
  <rv s="14">
    <fb>71.88</fb>
    <v>34</v>
  </rv>
  <rv s="14">
    <fb>94.98</fb>
    <v>34</v>
  </rv>
  <rv s="14">
    <fb>47.755000000000003</fb>
    <v>34</v>
  </rv>
  <rv s="14">
    <fb>174.73</fb>
    <v>34</v>
  </rv>
  <rv s="14">
    <fb>14.3</fb>
    <v>34</v>
  </rv>
  <rv s="14">
    <fb>3.79</fb>
    <v>35</v>
  </rv>
  <rv s="14">
    <fb>28.53</fb>
    <v>34</v>
  </rv>
  <rv s="14">
    <fb>4.76</fb>
    <v>34</v>
  </rv>
  <rv s="14">
    <fb>52.5</fb>
    <v>34</v>
  </rv>
  <rv s="14">
    <fb>86.21</fb>
    <v>34</v>
  </rv>
  <rv s="14">
    <fb>26.43</fb>
    <v>34</v>
  </rv>
  <rv s="14">
    <fb>27.91</fb>
    <v>34</v>
  </rv>
  <rv s="14">
    <fb>468.32</fb>
    <v>34</v>
  </rv>
  <rv s="14">
    <fb>243.4</fb>
    <v>34</v>
  </rv>
  <rv s="14">
    <fb>46.37</fb>
    <v>34</v>
  </rv>
  <rv s="14">
    <fb>114.28</fb>
    <v>34</v>
  </rv>
  <rv s="14">
    <fb>158.32</fb>
    <v>34</v>
  </rv>
  <rv s="14">
    <fb>150.47</fb>
    <v>34</v>
  </rv>
  <rv s="14">
    <fb>62.21</fb>
    <v>34</v>
  </rv>
  <rv s="14">
    <fb>295.08999999999997</fb>
    <v>34</v>
  </rv>
  <rv s="14">
    <fb>116.99</fb>
    <v>34</v>
  </rv>
  <rv s="14">
    <fb>911.06</fb>
    <v>34</v>
  </rv>
  <rv s="14">
    <fb>175.11</fb>
    <v>34</v>
  </rv>
  <rv s="14">
    <fb>160.18</fb>
    <v>34</v>
  </rv>
  <rv s="14">
    <fb>297.23</fb>
    <v>34</v>
  </rv>
  <rv s="14">
    <fb>30.95</fb>
    <v>34</v>
  </rv>
  <rv s="14">
    <fb>22.925000000000001</fb>
    <v>34</v>
  </rv>
  <rv s="14">
    <fb>58.3</fb>
    <v>34</v>
  </rv>
  <rv s="14">
    <fb>58.91</fb>
    <v>34</v>
  </rv>
  <rv s="14">
    <fb>29.42</fb>
    <v>34</v>
  </rv>
  <rv s="14">
    <fb>23.672899999999998</fb>
    <v>34</v>
  </rv>
  <rv s="14">
    <fb>45631</fb>
    <v>33</v>
  </rv>
  <rv s="14">
    <fb>243.04</fb>
    <v>34</v>
  </rv>
  <rv s="14">
    <fb>145.06</fb>
    <v>34</v>
  </rv>
  <rv s="14">
    <fb>442.62</fb>
    <v>34</v>
  </rv>
  <rv s="14">
    <fb>608.92999999999995</fb>
    <v>34</v>
  </rv>
  <rv s="14">
    <fb>172.64</fb>
    <v>34</v>
  </rv>
  <rv s="14">
    <fb>606.66</fb>
    <v>34</v>
  </rv>
  <rv s="14">
    <fb>242.86</fb>
    <v>34</v>
  </rv>
  <rv s="14">
    <fb>71.47</fb>
    <v>34</v>
  </rv>
  <rv s="14">
    <fb>47.784999999999997</fb>
    <v>34</v>
  </rv>
  <rv s="14">
    <fb>175.73</fb>
    <v>34</v>
  </rv>
  <rv s="14">
    <fb>92.59</fb>
    <v>34</v>
  </rv>
  <rv s="14">
    <fb>28.56</fb>
    <v>34</v>
  </rv>
  <rv s="14">
    <fb>27</fb>
    <v>34</v>
  </rv>
  <rv s="14">
    <fb>4.8499999999999996</fb>
    <v>34</v>
  </rv>
  <rv s="14">
    <fb>52.13</fb>
    <v>34</v>
  </rv>
  <rv s="14">
    <fb>85.84</fb>
    <v>34</v>
  </rv>
  <rv s="14">
    <fb>26.39</fb>
    <v>34</v>
  </rv>
  <rv s="14">
    <fb>91.51</fb>
    <v>34</v>
  </rv>
  <rv s="14">
    <fb>470.57</fb>
    <v>34</v>
  </rv>
  <rv s="14">
    <fb>245.48</fb>
    <v>34</v>
  </rv>
  <rv s="14">
    <fb>114.78</fb>
    <v>34</v>
  </rv>
  <rv s="14">
    <fb>159.33000000000001</fb>
    <v>34</v>
  </rv>
  <rv s="14">
    <fb>149.52000000000001</fb>
    <v>34</v>
  </rv>
  <rv s="14">
    <fb>62.92</fb>
    <v>34</v>
  </rv>
  <rv s="14">
    <fb>299.47000000000003</fb>
    <v>34</v>
  </rv>
  <rv s="14">
    <fb>116.5</fb>
    <v>34</v>
  </rv>
  <rv s="14">
    <fb>917.87</fb>
    <v>34</v>
  </rv>
  <rv s="14">
    <fb>176.03</fb>
    <v>34</v>
  </rv>
  <rv s="14">
    <fb>160.49</fb>
    <v>34</v>
  </rv>
  <rv s="14">
    <fb>295.29000000000002</fb>
    <v>34</v>
  </rv>
  <rv s="14">
    <fb>95.36</fb>
    <v>34</v>
  </rv>
  <rv s="14">
    <fb>30.89</fb>
    <v>34</v>
  </rv>
  <rv s="14">
    <fb>22.93</fb>
    <v>34</v>
  </rv>
  <rv s="14">
    <fb>58.9</fb>
    <v>34</v>
  </rv>
  <rv s="14">
    <fb>59.13</fb>
    <v>34</v>
  </rv>
  <rv s="14">
    <fb>29.43</fb>
    <v>34</v>
  </rv>
  <rv s="14">
    <fb>23.647300000000001</fb>
    <v>34</v>
  </rv>
  <rv s="14">
    <fb>45632</fb>
    <v>33</v>
  </rv>
  <rv s="14">
    <fb>242.84</fb>
    <v>34</v>
  </rv>
  <rv s="14">
    <fb>142.44</fb>
    <v>34</v>
  </rv>
  <rv s="14">
    <fb>443.57</fb>
    <v>34</v>
  </rv>
  <rv s="14">
    <fb>623.77</fb>
    <v>34</v>
  </rv>
  <rv s="14">
    <fb>174.71</fb>
    <v>34</v>
  </rv>
  <rv s="14">
    <fb>607.80999999999995</fb>
    <v>34</v>
  </rv>
  <rv s="14">
    <fb>94.39</fb>
    <v>34</v>
  </rv>
  <rv s="14">
    <fb>70.239999999999995</fb>
    <v>34</v>
  </rv>
  <rv s="14">
    <fb>95.27</fb>
    <v>34</v>
  </rv>
  <rv s="14">
    <fb>47.895000000000003</fb>
    <v>34</v>
  </rv>
  <rv s="14">
    <fb>177.85</fb>
    <v>34</v>
  </rv>
  <rv s="14">
    <fb>91.02</fb>
    <v>34</v>
  </rv>
  <rv s="14">
    <fb>13.99</fb>
    <v>34</v>
  </rv>
  <rv s="14">
    <fb>3.2</fb>
    <v>35</v>
  </rv>
  <rv s="14">
    <fb>28.25</fb>
    <v>34</v>
  </rv>
  <rv s="14">
    <fb>27.25</fb>
    <v>34</v>
  </rv>
  <rv s="14">
    <fb>52.15</fb>
    <v>34</v>
  </rv>
  <rv s="14">
    <fb>85.04</fb>
    <v>34</v>
  </rv>
  <rv s="14">
    <fb>26.4</fb>
    <v>34</v>
  </rv>
  <rv s="14">
    <fb>50.92</fb>
    <v>34</v>
  </rv>
  <rv s="14">
    <fb>29.08</fb>
    <v>34</v>
  </rv>
  <rv s="14">
    <fb>28</fb>
    <v>34</v>
  </rv>
  <rv s="14">
    <fb>470.5</fb>
    <v>34</v>
  </rv>
  <rv s="14">
    <fb>247.36</fb>
    <v>34</v>
  </rv>
  <rv s="14">
    <fb>113.57</fb>
    <v>34</v>
  </rv>
  <rv s="14">
    <fb>155.24</fb>
    <v>34</v>
  </rv>
  <rv s="14">
    <fb>149.31</fb>
    <v>34</v>
  </rv>
  <rv s="14">
    <fb>62.53</fb>
    <v>34</v>
  </rv>
  <rv s="14">
    <fb>298.98</fb>
    <v>34</v>
  </rv>
  <rv s="14">
    <fb>116.73</fb>
    <v>34</v>
  </rv>
  <rv s="14">
    <fb>934.74</fb>
    <v>34</v>
  </rv>
  <rv s="14">
    <fb>173.82</fb>
    <v>34</v>
  </rv>
  <rv s="14">
    <fb>157.79</fb>
    <v>34</v>
  </rv>
  <rv s="14">
    <fb>284.08</fb>
    <v>34</v>
  </rv>
  <rv s="14">
    <fb>93.66</fb>
    <v>34</v>
  </rv>
  <rv s="14">
    <fb>30.218499999999999</fb>
    <v>34</v>
  </rv>
  <rv s="14">
    <fb>22.975000000000001</fb>
    <v>34</v>
  </rv>
  <rv s="14">
    <fb>58.36</fb>
    <v>34</v>
  </rv>
  <rv s="14">
    <fb>59.04</fb>
    <v>34</v>
  </rv>
  <rv s="14">
    <fb>59.23</fb>
    <v>34</v>
  </rv>
  <rv s="14">
    <fb>29.5</fb>
    <v>34</v>
  </rv>
  <rv s="14">
    <fb>23.693000000000001</fb>
    <v>34</v>
  </rv>
  <rv s="14">
    <fb>45635</fb>
    <v>33</v>
  </rv>
  <rv s="14">
    <fb>246.75</fb>
    <v>34</v>
  </rv>
  <rv s="14">
    <fb>138.81</fb>
    <v>34</v>
  </rv>
  <rv s="14">
    <fb>446.02</fb>
    <v>34</v>
  </rv>
  <rv s="14">
    <fb>613.57000000000005</fb>
    <v>34</v>
  </rv>
  <rv s="14">
    <fb>175.37</fb>
    <v>34</v>
  </rv>
  <rv s="14">
    <fb>604.67999999999995</fb>
    <v>34</v>
  </rv>
  <rv s="14">
    <fb>93.52</fb>
    <v>34</v>
  </rv>
  <rv s="14">
    <fb>245.36</fb>
    <v>34</v>
  </rv>
  <rv s="14">
    <fb>71.17</fb>
    <v>34</v>
  </rv>
  <rv s="14">
    <fb>94.94</fb>
    <v>34</v>
  </rv>
  <rv s="14">
    <fb>172.47</fb>
    <v>34</v>
  </rv>
  <rv s="14">
    <fb>90.87</fb>
    <v>34</v>
  </rv>
  <rv s="14">
    <fb>28.98</fb>
    <v>34</v>
  </rv>
  <rv s="14">
    <fb>27.36</fb>
    <v>34</v>
  </rv>
  <rv s="14">
    <fb>52.66</fb>
    <v>34</v>
  </rv>
  <rv s="14">
    <fb>85.91</fb>
    <v>34</v>
  </rv>
  <rv s="14">
    <fb>91.56</fb>
    <v>34</v>
  </rv>
  <rv s="14">
    <fb>463.87</fb>
    <v>34</v>
  </rv>
  <rv s="14">
    <fb>243.81</fb>
    <v>34</v>
  </rv>
  <rv s="14">
    <fb>45.91</fb>
    <v>34</v>
  </rv>
  <rv s="14">
    <fb>112.9</fb>
    <v>34</v>
  </rv>
  <rv s="14">
    <fb>157.08000000000001</fb>
    <v>34</v>
  </rv>
  <rv s="14">
    <fb>149.6</fb>
    <v>34</v>
  </rv>
  <rv s="14">
    <fb>62.6</fb>
    <v>34</v>
  </rv>
  <rv s="14">
    <fb>301.37</fb>
    <v>34</v>
  </rv>
  <rv s="14">
    <fb>114.61</fb>
    <v>34</v>
  </rv>
  <rv s="14">
    <fb>913.69</fb>
    <v>34</v>
  </rv>
  <rv s="14">
    <fb>170.79</fb>
    <v>34</v>
  </rv>
  <rv s="14">
    <fb>159.47</fb>
    <v>34</v>
  </rv>
  <rv s="14">
    <fb>286.10000000000002</fb>
    <v>34</v>
  </rv>
  <rv s="14">
    <fb>94.21</fb>
    <v>34</v>
  </rv>
  <rv s="14">
    <fb>30.61</fb>
    <v>34</v>
  </rv>
  <rv s="14">
    <fb>22.92</fb>
    <v>34</v>
  </rv>
  <rv s="14">
    <fb>58.79</fb>
    <v>34</v>
  </rv>
  <rv s="14">
    <fb>23.7576</fb>
    <v>34</v>
  </rv>
  <rv s="14">
    <fb>45636</fb>
    <v>33</v>
  </rv>
  <rv s="14">
    <fb>247.77</fb>
    <v>34</v>
  </rv>
  <rv s="14">
    <fb>135.07</fb>
    <v>34</v>
  </rv>
  <rv s="14">
    <fb>443.33</fb>
    <v>34</v>
  </rv>
  <rv s="14">
    <fb>619.32000000000005</fb>
    <v>34</v>
  </rv>
  <rv s="14">
    <fb>185.17</fb>
    <v>34</v>
  </rv>
  <rv s="14">
    <fb>602.79999999999995</fb>
    <v>34</v>
  </rv>
  <rv s="14">
    <fb>93.08</fb>
    <v>34</v>
  </rv>
  <rv s="14">
    <fb>248.59</fb>
    <v>34</v>
  </rv>
  <rv s="14">
    <fb>71.400000000000006</fb>
    <v>34</v>
  </rv>
  <rv s="14">
    <fb>94.77</fb>
    <v>34</v>
  </rv>
  <rv s="14">
    <fb>47.72</fb>
    <v>34</v>
  </rv>
  <rv s="14">
    <fb>14.23</fb>
    <v>34</v>
  </rv>
  <rv s="14">
    <fb>27.58</fb>
    <v>34</v>
  </rv>
  <rv s="14">
    <fb>4.9000000000000004</fb>
    <v>34</v>
  </rv>
  <rv s="14">
    <fb>86.2</fb>
    <v>34</v>
  </rv>
  <rv s="14">
    <fb>462.49</fb>
    <v>34</v>
  </rv>
  <rv s="14">
    <fb>45.75</fb>
    <v>34</v>
  </rv>
  <rv s="14">
    <fb>112.67</fb>
    <v>34</v>
  </rv>
  <rv s="14">
    <fb>157</fb>
    <v>34</v>
  </rv>
  <rv s="14">
    <fb>149.22999999999999</fb>
    <v>34</v>
  </rv>
  <rv s="14">
    <fb>62.91</fb>
    <v>34</v>
  </rv>
  <rv s="14">
    <fb>300.70999999999998</fb>
    <v>34</v>
  </rv>
  <rv s="14">
    <fb>114.73</fb>
    <v>34</v>
  </rv>
  <rv s="14">
    <fb>913.35</fb>
    <v>34</v>
  </rv>
  <rv s="14">
    <fb>159.84</fb>
    <v>34</v>
  </rv>
  <rv s="14">
    <fb>286.25</fb>
    <v>34</v>
  </rv>
  <rv s="14">
    <fb>30.300899999999999</fb>
    <v>34</v>
  </rv>
  <rv s="14">
    <fb>58.33</fb>
    <v>34</v>
  </rv>
  <rv s="14">
    <fb>58.52</fb>
    <v>34</v>
  </rv>
  <rv s="14">
    <fb>29.39</fb>
    <v>34</v>
  </rv>
  <rv s="14">
    <fb>23.351800000000001</fb>
    <v>34</v>
  </rv>
  <rv s="14">
    <fb>45637</fb>
    <v>33</v>
  </rv>
  <rv s="14">
    <fb>246.49</fb>
    <v>34</v>
  </rv>
  <rv s="14">
    <fb>139.31</fb>
    <v>34</v>
  </rv>
  <rv s="14">
    <fb>448.99</fb>
    <v>34</v>
  </rv>
  <rv s="14">
    <fb>632.67999999999995</fb>
    <v>34</v>
  </rv>
  <rv s="14">
    <fb>195.4</fb>
    <v>34</v>
  </rv>
  <rv s="14">
    <fb>607.46</fb>
    <v>34</v>
  </rv>
  <rv s="14">
    <fb>92.2</fb>
    <v>34</v>
  </rv>
  <rv s="14">
    <fb>250.96</fb>
    <v>34</v>
  </rv>
  <rv s="14">
    <fb>73.33</fb>
    <v>34</v>
  </rv>
  <rv s="14">
    <fb>94.49</fb>
    <v>34</v>
  </rv>
  <rv s="14">
    <fb>47.609900000000003</fb>
    <v>34</v>
  </rv>
  <rv s="14">
    <fb>178.61</fb>
    <v>34</v>
  </rv>
  <rv s="14">
    <fb>90.4</fb>
    <v>34</v>
  </rv>
  <rv s="14">
    <fb>14.59</fb>
    <v>34</v>
  </rv>
  <rv s="14">
    <fb>27.49</fb>
    <v>34</v>
  </rv>
  <rv s="14">
    <fb>4.91</fb>
    <v>34</v>
  </rv>
  <rv s="14">
    <fb>53.85</fb>
    <v>34</v>
  </rv>
  <rv s="14">
    <fb>26.33</fb>
    <v>34</v>
  </rv>
  <rv s="14">
    <fb>27.44</fb>
    <v>34</v>
  </rv>
  <rv s="14">
    <fb>461.39</fb>
    <v>34</v>
  </rv>
  <rv s="14">
    <fb>243.53</fb>
    <v>34</v>
  </rv>
  <rv s="14">
    <fb>111.92</fb>
    <v>34</v>
  </rv>
  <rv s="14">
    <fb>156.21</fb>
    <v>34</v>
  </rv>
  <rv s="14">
    <fb>146.63999999999999</fb>
    <v>34</v>
  </rv>
  <rv s="14">
    <fb>62.64</fb>
    <v>34</v>
  </rv>
  <rv s="14">
    <fb>296.10000000000002</fb>
    <v>34</v>
  </rv>
  <rv s="14">
    <fb>936.56</fb>
    <v>34</v>
  </rv>
  <rv s="14">
    <fb>170.63</fb>
    <v>34</v>
  </rv>
  <rv s="14">
    <fb>291.62</fb>
    <v>34</v>
  </rv>
  <rv s="14">
    <fb>93.98</fb>
    <v>34</v>
  </rv>
  <rv s="14">
    <fb>30.847100000000001</fb>
    <v>34</v>
  </rv>
  <rv s="14">
    <fb>58.74</fb>
    <v>34</v>
  </rv>
  <rv s="14">
    <fb>23.268699999999999</fb>
    <v>34</v>
  </rv>
  <rv s="14">
    <fb>45638</fb>
    <v>33</v>
  </rv>
  <rv s="14">
    <fb>137.34</fb>
    <v>34</v>
  </rv>
  <rv s="14">
    <fb>449.56</fb>
    <v>34</v>
  </rv>
  <rv s="14">
    <fb>630.79</fb>
    <v>34</v>
  </rv>
  <rv s="14">
    <fb>191.96</fb>
    <v>34</v>
  </rv>
  <rv s="14">
    <fb>604.33000000000004</fb>
    <v>34</v>
  </rv>
  <rv s="14">
    <fb>91.08</fb>
    <v>34</v>
  </rv>
  <rv s="14">
    <fb>247.28</fb>
    <v>34</v>
  </rv>
  <rv s="14">
    <fb>73.209999999999994</fb>
    <v>34</v>
  </rv>
  <rv s="14">
    <fb>176.41</fb>
    <v>34</v>
  </rv>
  <rv s="14">
    <fb>89.67</fb>
    <v>34</v>
  </rv>
  <rv s="14">
    <fb>14.55</fb>
    <v>34</v>
  </rv>
  <rv s="14">
    <fb>3.8</fb>
    <v>35</v>
  </rv>
  <rv s="14">
    <fb>53.1</fb>
    <v>34</v>
  </rv>
  <rv s="14">
    <fb>85.35</fb>
    <v>34</v>
  </rv>
  <rv s="14">
    <fb>27.14</fb>
    <v>34</v>
  </rv>
  <rv s="14">
    <fb>91.61</fb>
    <v>34</v>
  </rv>
  <rv s="14">
    <fb>458.63</fb>
    <v>34</v>
  </rv>
  <rv s="14">
    <fb>241.53</fb>
    <v>34</v>
  </rv>
  <rv s="14">
    <fb>111.82</fb>
    <v>34</v>
  </rv>
  <rv s="14">
    <fb>154.71</fb>
    <v>34</v>
  </rv>
  <rv s="14">
    <fb>146.24</fb>
    <v>34</v>
  </rv>
  <rv s="14">
    <fb>63.84</fb>
    <v>34</v>
  </rv>
  <rv s="14">
    <fb>296.63</fb>
    <v>34</v>
  </rv>
  <rv s="14">
    <fb>114.9</fb>
    <v>34</v>
  </rv>
  <rv s="14">
    <fb>925.55</fb>
    <v>34</v>
  </rv>
  <rv s="14">
    <fb>170.85</fb>
    <v>34</v>
  </rv>
  <rv s="14">
    <fb>158.9</fb>
    <v>34</v>
  </rv>
  <rv s="14">
    <fb>287.06</fb>
    <v>34</v>
  </rv>
  <rv s="14">
    <fb>92.96</fb>
    <v>34</v>
  </rv>
  <rv s="14">
    <fb>30.54</fb>
    <v>34</v>
  </rv>
  <rv s="14">
    <fb>22.734999999999999</fb>
    <v>34</v>
  </rv>
  <rv s="14">
    <fb>57.42</fb>
    <v>34</v>
  </rv>
  <rv s="14">
    <fb>23.258500000000002</fb>
    <v>34</v>
  </rv>
  <rv s="14">
    <fb>45639</fb>
    <v>33</v>
  </rv>
  <rv s="14">
    <fb>248.13</fb>
    <v>34</v>
  </rv>
  <rv s="14">
    <fb>134.25</fb>
    <v>34</v>
  </rv>
  <rv s="14">
    <fb>447.27</fb>
    <v>34</v>
  </rv>
  <rv s="14">
    <fb>620.35</fb>
    <v>34</v>
  </rv>
  <rv s="14">
    <fb>189.82</fb>
    <v>34</v>
  </rv>
  <rv s="14">
    <fb>604.21</fb>
    <v>34</v>
  </rv>
  <rv s="14">
    <fb>90.15</fb>
    <v>34</v>
  </rv>
  <rv s="14">
    <fb>244.29</fb>
    <v>34</v>
  </rv>
  <rv s="14">
    <fb>74.209999999999994</fb>
    <v>34</v>
  </rv>
  <rv s="14">
    <fb>93.69</fb>
    <v>34</v>
  </rv>
  <rv s="14">
    <fb>47.241</fb>
    <v>34</v>
  </rv>
  <rv s="14">
    <fb>176.43</fb>
    <v>34</v>
  </rv>
  <rv s="14">
    <fb>89.22</fb>
    <v>34</v>
  </rv>
  <rv s="14">
    <fb>14.73</fb>
    <v>34</v>
  </rv>
  <rv s="14">
    <fb>27.75</fb>
    <v>34</v>
  </rv>
  <rv s="14">
    <fb>4.82</fb>
    <v>34</v>
  </rv>
  <rv s="14">
    <fb>52.46</fb>
    <v>34</v>
  </rv>
  <rv s="14">
    <fb>84.3</fb>
    <v>34</v>
  </rv>
  <rv s="14">
    <fb>50.97</fb>
    <v>34</v>
  </rv>
  <rv s="14">
    <fb>457.9</fb>
    <v>34</v>
  </rv>
  <rv s="14">
    <fb>239.94</fb>
    <v>34</v>
  </rv>
  <rv s="14">
    <fb>45.67</fb>
    <v>34</v>
  </rv>
  <rv s="14">
    <fb>110.84</fb>
    <v>34</v>
  </rv>
  <rv s="14">
    <fb>153.87</fb>
    <v>34</v>
  </rv>
  <rv s="14">
    <fb>146.62</fb>
    <v>34</v>
  </rv>
  <rv s="14">
    <fb>63.12</fb>
    <v>34</v>
  </rv>
  <rv s="14">
    <fb>296.60000000000002</fb>
    <v>34</v>
  </rv>
  <rv s="14">
    <fb>113.34</fb>
    <v>34</v>
  </rv>
  <rv s="14">
    <fb>918.87</fb>
    <v>34</v>
  </rv>
  <rv s="14">
    <fb>171.06</fb>
    <v>34</v>
  </rv>
  <rv s="14">
    <fb>157.97</fb>
    <v>34</v>
  </rv>
  <rv s="14">
    <fb>283.89</fb>
    <v>34</v>
  </rv>
  <rv s="14">
    <fb>92.54</fb>
    <v>34</v>
  </rv>
  <rv s="14">
    <fb>30.32</fb>
    <v>34</v>
  </rv>
  <rv s="14">
    <fb>22.67</fb>
    <v>34</v>
  </rv>
  <rv s="14">
    <fb>58.43</fb>
    <v>34</v>
  </rv>
  <rv s="14">
    <fb>56.92</fb>
    <v>34</v>
  </rv>
  <rv s="14">
    <fb>23.1645</fb>
    <v>34</v>
  </rv>
  <rv s="14">
    <fb>45642</fb>
    <v>33</v>
  </rv>
  <rv s="14">
    <fb>251.04</fb>
    <v>34</v>
  </rv>
  <rv s="14">
    <fb>132</fb>
    <v>34</v>
  </rv>
  <rv s="14">
    <fb>451.59</fb>
    <v>34</v>
  </rv>
  <rv s="14">
    <fb>624.24</fb>
    <v>34</v>
  </rv>
  <rv s="14">
    <fb>196.66</fb>
    <v>34</v>
  </rv>
  <rv s="14">
    <fb>606.79</fb>
    <v>34</v>
  </rv>
  <rv s="14">
    <fb>90.42</fb>
    <v>34</v>
  </rv>
  <rv s="14">
    <fb>244.88</fb>
    <v>34</v>
  </rv>
  <rv s="14">
    <fb>73.7</fb>
    <v>34</v>
  </rv>
  <rv s="14">
    <fb>93.72</fb>
    <v>34</v>
  </rv>
  <rv s="14">
    <fb>47.265000000000001</fb>
    <v>34</v>
  </rv>
  <rv s="14">
    <fb>178.15</fb>
    <v>34</v>
  </rv>
  <rv s="14">
    <fb>87.26</fb>
    <v>34</v>
  </rv>
  <rv s="14">
    <fb>14.62</fb>
    <v>34</v>
  </rv>
  <rv s="14">
    <fb>27.76</fb>
    <v>34</v>
  </rv>
  <rv s="14">
    <fb>52.56</fb>
    <v>34</v>
  </rv>
  <rv s="14">
    <fb>85.69</fb>
    <v>34</v>
  </rv>
  <rv s="14">
    <fb>26.96</fb>
    <v>34</v>
  </rv>
  <rv s="14">
    <fb>91.65</fb>
    <v>34</v>
  </rv>
  <rv s="14">
    <fb>455.2</fb>
    <v>34</v>
  </rv>
  <rv s="14">
    <fb>239.58</fb>
    <v>34</v>
  </rv>
  <rv s="14">
    <fb>45.47</fb>
    <v>34</v>
  </rv>
  <rv s="14">
    <fb>108.47</fb>
    <v>34</v>
  </rv>
  <rv s="14">
    <fb>149.36000000000001</fb>
    <v>34</v>
  </rv>
  <rv s="14">
    <fb>143.85</fb>
    <v>34</v>
  </rv>
  <rv s="14">
    <fb>297.70999999999998</fb>
    <v>34</v>
  </rv>
  <rv s="14">
    <fb>112.11</fb>
    <v>34</v>
  </rv>
  <rv s="14">
    <fb>921.08</fb>
    <v>34</v>
  </rv>
  <rv s="14">
    <fb>171.14</fb>
    <v>34</v>
  </rv>
  <rv s="14">
    <fb>156.02000000000001</fb>
    <v>34</v>
  </rv>
  <rv s="14">
    <fb>280.35000000000002</fb>
    <v>34</v>
  </rv>
  <rv s="14">
    <fb>90.23</fb>
    <v>34</v>
  </rv>
  <rv s="14">
    <fb>29.51</fb>
    <v>34</v>
  </rv>
  <rv s="14">
    <fb>22.675000000000001</fb>
    <v>34</v>
  </rv>
  <rv s="14">
    <fb>57.01</fb>
    <v>34</v>
  </rv>
  <rv s="14">
    <fb>23.092600000000001</fb>
    <v>34</v>
  </rv>
  <rv s="14">
    <fb>45643</fb>
    <v>33</v>
  </rv>
  <rv s="14">
    <fb>253.48</fb>
    <v>34</v>
  </rv>
  <rv s="14">
    <fb>130.38999999999999</fb>
    <v>34</v>
  </rv>
  <rv s="14">
    <fb>454.46</fb>
    <v>34</v>
  </rv>
  <rv s="14">
    <fb>619.44000000000005</fb>
    <v>34</v>
  </rv>
  <rv s="14">
    <fb>195.42</fb>
    <v>34</v>
  </rv>
  <rv s="14">
    <fb>604.29</fb>
    <v>34</v>
  </rv>
  <rv s="14">
    <fb>243.94</fb>
    <v>34</v>
  </rv>
  <rv s="14">
    <fb>73.3</fb>
    <v>34</v>
  </rv>
  <rv s="14">
    <fb>47.262700000000002</fb>
    <v>34</v>
  </rv>
  <rv s="14">
    <fb>176.32</fb>
    <v>34</v>
  </rv>
  <rv s="14">
    <fb>86.61</fb>
    <v>34</v>
  </rv>
  <rv s="14">
    <fb>3.21</fb>
    <v>35</v>
  </rv>
  <rv s="14">
    <fb>27.71</fb>
    <v>34</v>
  </rv>
  <rv s="14">
    <fb>4.75</fb>
    <v>34</v>
  </rv>
  <rv s="14">
    <fb>52.37</fb>
    <v>34</v>
  </rv>
  <rv s="14">
    <fb>26.12</fb>
    <v>34</v>
  </rv>
  <rv s="14">
    <fb>91.66</fb>
    <v>34</v>
  </rv>
  <rv s="14">
    <fb>455.66</fb>
    <v>34</v>
  </rv>
  <rv s="14">
    <fb>238.36</fb>
    <v>34</v>
  </rv>
  <rv s="14">
    <fb>45.05</fb>
    <v>34</v>
  </rv>
  <rv s="14">
    <fb>108.01</fb>
    <v>34</v>
  </rv>
  <rv s="14">
    <fb>148.11000000000001</fb>
    <v>34</v>
  </rv>
  <rv s="14">
    <fb>146.41</fb>
    <v>34</v>
  </rv>
  <rv s="14">
    <fb>63.4</fb>
    <v>34</v>
  </rv>
  <rv s="14">
    <fb>296.08</fb>
    <v>34</v>
  </rv>
  <rv s="14">
    <fb>113.02</fb>
    <v>34</v>
  </rv>
  <rv s="14">
    <fb>919.13</fb>
    <v>34</v>
  </rv>
  <rv s="14">
    <fb>170.33</fb>
    <v>34</v>
  </rv>
  <rv s="14">
    <fb>156.13999999999999</fb>
    <v>34</v>
  </rv>
  <rv s="14">
    <fb>276.45</fb>
    <v>34</v>
  </rv>
  <rv s="14">
    <fb>88.94</fb>
    <v>34</v>
  </rv>
  <rv s="14">
    <fb>29.275300000000001</fb>
    <v>34</v>
  </rv>
  <rv s="14">
    <fb>22.684999999999999</fb>
    <v>34</v>
  </rv>
  <rv s="14">
    <fb>57.1</fb>
    <v>34</v>
  </rv>
  <rv s="14">
    <fb>22.981400000000001</fb>
    <v>34</v>
  </rv>
  <rv s="14">
    <fb>45644</fb>
    <v>33</v>
  </rv>
  <rv s="14">
    <fb>248.05</fb>
    <v>34</v>
  </rv>
  <rv s="14">
    <fb>128.91</fb>
    <v>34</v>
  </rv>
  <rv s="14">
    <fb>437.39</fb>
    <v>34</v>
  </rv>
  <rv s="14">
    <fb>188.4</fb>
    <v>34</v>
  </rv>
  <rv s="14">
    <fb>586.28</fb>
    <v>34</v>
  </rv>
  <rv s="14">
    <fb>239.26</fb>
    <v>34</v>
  </rv>
  <rv s="14">
    <fb>72.94</fb>
    <v>34</v>
  </rv>
  <rv s="14">
    <fb>92.69</fb>
    <v>34</v>
  </rv>
  <rv s="14">
    <fb>46.863900000000001</fb>
    <v>34</v>
  </rv>
  <rv s="14">
    <fb>167.44</fb>
    <v>34</v>
  </rv>
  <rv s="14">
    <fb>84.05</fb>
    <v>34</v>
  </rv>
  <rv s="14">
    <fb>14.48</fb>
    <v>34</v>
  </rv>
  <rv s="14">
    <fb>26.85</fb>
    <v>34</v>
  </rv>
  <rv s="14">
    <fb>27.83</fb>
    <v>34</v>
  </rv>
  <rv s="14">
    <fb>4.74</fb>
    <v>34</v>
  </rv>
  <rv s="14">
    <fb>51.37</fb>
    <v>34</v>
  </rv>
  <rv s="14">
    <fb>84.27</fb>
    <v>34</v>
  </rv>
  <rv s="14">
    <fb>50.73</fb>
    <v>34</v>
  </rv>
  <rv s="14">
    <fb>26.68</fb>
    <v>34</v>
  </rv>
  <rv s="14">
    <fb>446.59</fb>
    <v>34</v>
  </rv>
  <rv s="14">
    <fb>230.37</fb>
    <v>34</v>
  </rv>
  <rv s="14">
    <fb>43.5</fb>
    <v>34</v>
  </rv>
  <rv s="14">
    <fb>106.42</fb>
    <v>34</v>
  </rv>
  <rv s="14">
    <fb>144.08000000000001</fb>
    <v>34</v>
  </rv>
  <rv s="14">
    <fb>144.75</fb>
    <v>34</v>
  </rv>
  <rv s="14">
    <fb>62.85</fb>
    <v>34</v>
  </rv>
  <rv s="14">
    <fb>290.88</fb>
    <v>34</v>
  </rv>
  <rv s="14">
    <fb>111.35</fb>
    <v>34</v>
  </rv>
  <rv s="14">
    <fb>889.55</fb>
    <v>34</v>
  </rv>
  <rv s="14">
    <fb>169.08</fb>
    <v>34</v>
  </rv>
  <rv s="14">
    <fb>154.43</fb>
    <v>34</v>
  </rv>
  <rv s="14">
    <fb>266.48</fb>
    <v>34</v>
  </rv>
  <rv s="14">
    <fb>86.12</fb>
    <v>34</v>
  </rv>
  <rv s="14">
    <fb>28.37</fb>
    <v>34</v>
  </rv>
  <rv s="14">
    <fb>22.484999999999999</fb>
    <v>34</v>
  </rv>
  <rv s="14">
    <fb>58.18</fb>
    <v>34</v>
  </rv>
  <rv s="14">
    <fb>58.08</fb>
    <v>34</v>
  </rv>
  <rv s="14">
    <fb>56.43</fb>
    <v>34</v>
  </rv>
  <rv s="14">
    <fb>28.79</fb>
    <v>34</v>
  </rv>
  <rv s="14">
    <fb>21.4711</fb>
    <v>34</v>
  </rv>
  <rv s="14">
    <fb>45645</fb>
    <v>33</v>
  </rv>
  <rv s="14">
    <fb>130.68</fb>
    <v>34</v>
  </rv>
  <rv s="14">
    <fb>437.03</fb>
    <v>34</v>
  </rv>
  <rv s="14">
    <fb>595.57000000000005</fb>
    <v>34</v>
  </rv>
  <rv s="14">
    <fb>188.51</fb>
    <v>34</v>
  </rv>
  <rv s="14">
    <fb>586.1</fb>
    <v>34</v>
  </rv>
  <rv s="14">
    <fb>87.81</fb>
    <v>34</v>
  </rv>
  <rv s="14">
    <fb>239.6</fb>
    <v>34</v>
  </rv>
  <rv s="14">
    <fb>72.61</fb>
    <v>34</v>
  </rv>
  <rv s="14">
    <fb>46.722999999999999</fb>
    <v>34</v>
  </rv>
  <rv s="14">
    <fb>169.63</fb>
    <v>34</v>
  </rv>
  <rv s="14">
    <fb>83.32</fb>
    <v>34</v>
  </rv>
  <rv s="14">
    <fb>4.67</fb>
    <v>34</v>
  </rv>
  <rv s="14">
    <fb>51.44</fb>
    <v>34</v>
  </rv>
  <rv s="14">
    <fb>84.63</fb>
    <v>34</v>
  </rv>
  <rv s="14">
    <fb>25.83</fb>
    <v>34</v>
  </rv>
  <rv s="14">
    <fb>50.75</fb>
    <v>34</v>
  </rv>
  <rv s="14">
    <fb>28.88</fb>
    <v>34</v>
  </rv>
  <rv s="14">
    <fb>91.29</fb>
    <v>34</v>
  </rv>
  <rv s="14">
    <fb>449.34</fb>
    <v>34</v>
  </rv>
  <rv s="14">
    <fb>232.96</fb>
    <v>34</v>
  </rv>
  <rv s="14">
    <fb>43.38</fb>
    <v>34</v>
  </rv>
  <rv s="14">
    <fb>105.51</fb>
    <v>34</v>
  </rv>
  <rv s="14">
    <fb>141.15</fb>
    <v>34</v>
  </rv>
  <rv s="14">
    <fb>143.58000000000001</fb>
    <v>34</v>
  </rv>
  <rv s="14">
    <fb>62.45</fb>
    <v>34</v>
  </rv>
  <rv s="14">
    <fb>290.23</fb>
    <v>34</v>
  </rv>
  <rv s="14">
    <fb>111.37</fb>
    <v>34</v>
  </rv>
  <rv s="14">
    <fb>902.04</fb>
    <v>34</v>
  </rv>
  <rv s="14">
    <fb>169.19</fb>
    <v>34</v>
  </rv>
  <rv s="14">
    <fb>151.47</fb>
    <v>34</v>
  </rv>
  <rv s="14">
    <fb>263.91000000000003</fb>
    <v>34</v>
  </rv>
  <rv s="14">
    <fb>85.22</fb>
    <v>34</v>
  </rv>
  <rv s="14">
    <fb>28.09</fb>
    <v>34</v>
  </rv>
  <rv s="14">
    <fb>22.43</fb>
    <v>34</v>
  </rv>
  <rv s="14">
    <fb>55.75</fb>
    <v>34</v>
  </rv>
  <rv s="14">
    <fb>21.165099999999999</fb>
    <v>34</v>
  </rv>
  <rv s="14">
    <fb>45646</fb>
    <v>33</v>
  </rv>
  <rv s="14">
    <fb>254.49</fb>
    <v>34</v>
  </rv>
  <rv s="14">
    <fb>134.69999999999999</fb>
    <v>34</v>
  </rv>
  <rv s="14">
    <fb>436.6</fb>
    <v>34</v>
  </rv>
  <rv s="14">
    <fb>585.25</fb>
    <v>34</v>
  </rv>
  <rv s="14">
    <fb>191.41</fb>
    <v>34</v>
  </rv>
  <rv s="14">
    <fb>591.15</fb>
    <v>34</v>
  </rv>
  <rv s="14">
    <fb>88.31</fb>
    <v>34</v>
  </rv>
  <rv s="14">
    <fb>242.1</fb>
    <v>34</v>
  </rv>
  <rv s="14">
    <fb>73.099999999999994</fb>
    <v>34</v>
  </rv>
  <rv s="14">
    <fb>92.61</fb>
    <v>34</v>
  </rv>
  <rv s="14">
    <fb>46.904899999999998</fb>
    <v>34</v>
  </rv>
  <rv s="14">
    <fb>171.03</fb>
    <v>34</v>
  </rv>
  <rv s="14">
    <fb>84.14</fb>
    <v>34</v>
  </rv>
  <rv s="14">
    <fb>27.6</fb>
    <v>34</v>
  </rv>
  <rv s="14">
    <fb>4.66</fb>
    <v>34</v>
  </rv>
  <rv s="14">
    <fb>51.98</fb>
    <v>34</v>
  </rv>
  <rv s="14">
    <fb>84.92</fb>
    <v>34</v>
  </rv>
  <rv s="14">
    <fb>25.79</fb>
    <v>34</v>
  </rv>
  <rv s="14">
    <fb>28.9</fb>
    <v>34</v>
  </rv>
  <rv s="14">
    <fb>453.2</fb>
    <v>34</v>
  </rv>
  <rv s="14">
    <fb>237.6</fb>
    <v>34</v>
  </rv>
  <rv s="14">
    <fb>44.17</fb>
    <v>34</v>
  </rv>
  <rv s="14">
    <fb>105.87</fb>
    <v>34</v>
  </rv>
  <rv s="14">
    <fb>144.47</fb>
    <v>34</v>
  </rv>
  <rv s="14">
    <fb>292.68</fb>
    <v>34</v>
  </rv>
  <rv s="14">
    <fb>112.03</fb>
    <v>34</v>
  </rv>
  <rv s="14">
    <fb>909.05</fb>
    <v>34</v>
  </rv>
  <rv s="14">
    <fb>168.06</fb>
    <v>34</v>
  </rv>
  <rv s="14">
    <fb>152.79</fb>
    <v>34</v>
  </rv>
  <rv s="14">
    <fb>264.85000000000002</fb>
    <v>34</v>
  </rv>
  <rv s="14">
    <fb>85.62</fb>
    <v>34</v>
  </rv>
  <rv s="14">
    <fb>28.3</fb>
    <v>34</v>
  </rv>
  <rv s="14">
    <fb>22.465</fb>
    <v>34</v>
  </rv>
  <rv s="14">
    <fb>55.97</fb>
    <v>34</v>
  </rv>
  <rv s="14">
    <fb>28.66</fb>
    <v>34</v>
  </rv>
  <rv s="14">
    <fb>21.500599999999999</fb>
    <v>34</v>
  </rv>
  <rv s="14">
    <fb>45649</fb>
    <v>33</v>
  </rv>
  <rv s="14">
    <fb>255.27</fb>
    <v>34</v>
  </rv>
  <rv s="14">
    <fb>139.66999999999999</fb>
    <v>34</v>
  </rv>
  <rv s="14">
    <fb>435.25</fb>
    <v>34</v>
  </rv>
  <rv s="14">
    <fb>599.85</fb>
    <v>34</v>
  </rv>
  <rv s="14">
    <fb>194.63</fb>
    <v>34</v>
  </rv>
  <rv s="14">
    <fb>594.69000000000005</fb>
    <v>34</v>
  </rv>
  <rv s="14">
    <fb>87.5</fb>
    <v>34</v>
  </rv>
  <rv s="14">
    <fb>240.96</fb>
    <v>34</v>
  </rv>
  <rv s="14">
    <fb>46.7592</fb>
    <v>34</v>
  </rv>
  <rv s="14">
    <fb>171.63</fb>
    <v>34</v>
  </rv>
  <rv s="14">
    <fb>83.93</fb>
    <v>34</v>
  </rv>
  <rv s="14">
    <fb>13.84</fb>
    <v>34</v>
  </rv>
  <rv s="14">
    <fb>26.99</fb>
    <v>34</v>
  </rv>
  <rv s="14">
    <fb>4.7300000000000004</fb>
    <v>34</v>
  </rv>
  <rv s="14">
    <fb>51.73</fb>
    <v>34</v>
  </rv>
  <rv s="14">
    <fb>85.83</fb>
    <v>34</v>
  </rv>
  <rv s="14">
    <fb>25.75</fb>
    <v>34</v>
  </rv>
  <rv s="14">
    <fb>50.82</fb>
    <v>34</v>
  </rv>
  <rv s="14">
    <fb>26.18</fb>
    <v>34</v>
  </rv>
  <rv s="14">
    <fb>454.35</fb>
    <v>34</v>
  </rv>
  <rv s="14">
    <fb>238.39</fb>
    <v>34</v>
  </rv>
  <rv s="14">
    <fb>43.89</fb>
    <v>34</v>
  </rv>
  <rv s="14">
    <fb>106.3</fb>
    <v>34</v>
  </rv>
  <rv s="14">
    <fb>142.97</fb>
    <v>34</v>
  </rv>
  <rv s="14">
    <fb>145.27000000000001</fb>
    <v>34</v>
  </rv>
  <rv s="14">
    <fb>62.38</fb>
    <v>34</v>
  </rv>
  <rv s="14">
    <fb>291.29000000000002</fb>
    <v>34</v>
  </rv>
  <rv s="14">
    <fb>111.4</fb>
    <v>34</v>
  </rv>
  <rv s="14">
    <fb>911.45</fb>
    <v>34</v>
  </rv>
  <rv s="14">
    <fb>168.11</fb>
    <v>34</v>
  </rv>
  <rv s="14">
    <fb>151.29</fb>
    <v>34</v>
  </rv>
  <rv s="14">
    <fb>260.95999999999998</fb>
    <v>34</v>
  </rv>
  <rv s="14">
    <fb>86.48</fb>
    <v>34</v>
  </rv>
  <rv s="14">
    <fb>28.36</fb>
    <v>34</v>
  </rv>
  <rv s="14">
    <fb>22.405000000000001</fb>
    <v>34</v>
  </rv>
  <rv s="14">
    <fb>57.97</fb>
    <v>34</v>
  </rv>
  <rv s="14">
    <fb>55.54</fb>
    <v>34</v>
  </rv>
  <rv s="14">
    <fb>28.59</fb>
    <v>34</v>
  </rv>
  <rv s="14">
    <fb>21.524100000000001</fb>
    <v>34</v>
  </rv>
  <rv s="14">
    <fb>45650</fb>
    <v>33</v>
  </rv>
  <rv s="14">
    <fb>258.2</fb>
    <v>34</v>
  </rv>
  <rv s="14">
    <fb>140.22</fb>
    <v>34</v>
  </rv>
  <rv s="14">
    <fb>439.33</fb>
    <v>34</v>
  </rv>
  <rv s="14">
    <fb>607.75</fb>
    <v>34</v>
  </rv>
  <rv s="14">
    <fb>196.11</fb>
    <v>34</v>
  </rv>
  <rv s="14">
    <fb>601.29999999999995</fb>
    <v>34</v>
  </rv>
  <rv s="14">
    <fb>87.87</fb>
    <v>34</v>
  </rv>
  <rv s="14">
    <fb>241.44</fb>
    <v>34</v>
  </rv>
  <rv s="14">
    <fb>73.650000000000006</fb>
    <v>34</v>
  </rv>
  <rv s="14">
    <fb>46.586199999999998</fb>
    <v>34</v>
  </rv>
  <rv s="14">
    <fb>174.85</fb>
    <v>34</v>
  </rv>
  <rv s="14">
    <fb>84.64</fb>
    <v>34</v>
  </rv>
  <rv s="14">
    <fb>13.95</fb>
    <v>34</v>
  </rv>
  <rv s="14">
    <fb>4.7</fb>
    <v>34</v>
  </rv>
  <rv s="14">
    <fb>51.84</fb>
    <v>34</v>
  </rv>
  <rv s="14">
    <fb>86.32</fb>
    <v>34</v>
  </rv>
  <rv s="14">
    <fb>25.8</fb>
    <v>34</v>
  </rv>
  <rv s="14">
    <fb>50.84</fb>
    <v>34</v>
  </rv>
  <rv s="14">
    <fb>458.66</fb>
    <v>34</v>
  </rv>
  <rv s="14">
    <fb>242.31</fb>
    <v>34</v>
  </rv>
  <rv s="14">
    <fb>44.38</fb>
    <v>34</v>
  </rv>
  <rv s="14">
    <fb>106.4</fb>
    <v>34</v>
  </rv>
  <rv s="14">
    <fb>143.84</fb>
    <v>34</v>
  </rv>
  <rv s="14">
    <fb>145.85</fb>
    <v>34</v>
  </rv>
  <rv s="14">
    <fb>62.84</fb>
    <v>34</v>
  </rv>
  <rv s="14">
    <fb>293.99</fb>
    <v>34</v>
  </rv>
  <rv s="14">
    <fb>112.56</fb>
    <v>34</v>
  </rv>
  <rv s="14">
    <fb>932.12</fb>
    <v>34</v>
  </rv>
  <rv s="14">
    <fb>168.94</fb>
    <v>34</v>
  </rv>
  <rv s="14">
    <fb>152.81</fb>
    <v>34</v>
  </rv>
  <rv s="14">
    <fb>263.64</fb>
    <v>34</v>
  </rv>
  <rv s="14">
    <fb>87.47</fb>
    <v>34</v>
  </rv>
  <rv s="14">
    <fb>22.42</fb>
    <v>34</v>
  </rv>
  <rv s="14">
    <fb>58.02</fb>
    <v>34</v>
  </rv>
  <rv s="14">
    <fb>57.81</fb>
    <v>34</v>
  </rv>
  <rv s="14">
    <fb>55.51</fb>
    <v>34</v>
  </rv>
  <rv s="14">
    <fb>21.706299999999999</fb>
    <v>34</v>
  </rv>
  <rv s="14">
    <fb>45652</fb>
    <v>33</v>
  </rv>
  <rv s="14">
    <fb>259.02</fb>
    <v>34</v>
  </rv>
  <rv s="14">
    <fb>139.93</fb>
    <v>34</v>
  </rv>
  <rv s="14">
    <fb>438.11</fb>
    <v>34</v>
  </rv>
  <rv s="14">
    <fb>603.35</fb>
    <v>34</v>
  </rv>
  <rv s="14">
    <fb>195.6</fb>
    <v>34</v>
  </rv>
  <rv s="14">
    <fb>601.34</fb>
    <v>34</v>
  </rv>
  <rv s="14">
    <fb>87.82</fb>
    <v>34</v>
  </rv>
  <rv s="14">
    <fb>243.07</fb>
    <v>34</v>
  </rv>
  <rv s="14">
    <fb>46.626300000000001</fb>
    <v>34</v>
  </rv>
  <rv s="14">
    <fb>84.57</fb>
    <v>34</v>
  </rv>
  <rv s="14">
    <fb>13.86</fb>
    <v>34</v>
  </rv>
  <rv s="14">
    <fb>26.25</fb>
    <v>34</v>
  </rv>
  <rv s="14">
    <fb>52.19</fb>
    <v>34</v>
  </rv>
  <rv s="14">
    <fb>85.85</fb>
    <v>34</v>
  </rv>
  <rv s="14">
    <fb>91.37</fb>
    <v>34</v>
  </rv>
  <rv s="14">
    <fb>459.08</fb>
    <v>34</v>
  </rv>
  <rv s="14">
    <fb>243.14</fb>
    <v>34</v>
  </rv>
  <rv s="14">
    <fb>44.55</fb>
    <v>34</v>
  </rv>
  <rv s="14">
    <fb>106.49</fb>
    <v>34</v>
  </rv>
  <rv s="14">
    <fb>143.97999999999999</fb>
    <v>34</v>
  </rv>
  <rv s="14">
    <fb>145.58000000000001</fb>
    <v>34</v>
  </rv>
  <rv s="14">
    <fb>62.57</fb>
    <v>34</v>
  </rv>
  <rv s="14">
    <fb>294.8</fb>
    <v>34</v>
  </rv>
  <rv s="14">
    <fb>112.55</fb>
    <v>34</v>
  </rv>
  <rv s="14">
    <fb>924.14</fb>
    <v>34</v>
  </rv>
  <rv s="14">
    <fb>170.16</fb>
    <v>34</v>
  </rv>
  <rv s="14">
    <fb>152.44</fb>
    <v>34</v>
  </rv>
  <rv s="14">
    <fb>265.02999999999997</fb>
    <v>34</v>
  </rv>
  <rv s="14">
    <fb>87.31</fb>
    <v>34</v>
  </rv>
  <rv s="14">
    <fb>28.67</fb>
    <v>34</v>
  </rv>
  <rv s="14">
    <fb>22.434999999999999</fb>
    <v>34</v>
  </rv>
  <rv s="14">
    <fb>58.045000000000002</fb>
    <v>34</v>
  </rv>
  <rv s="14">
    <fb>57.85</fb>
    <v>34</v>
  </rv>
  <rv s="14">
    <fb>55.49</fb>
    <v>34</v>
  </rv>
  <rv s="14">
    <fb>28.68</fb>
    <v>34</v>
  </rv>
  <rv s="14">
    <fb>21.7471</fb>
    <v>34</v>
  </rv>
  <rv s="14">
    <fb>45653</fb>
    <v>33</v>
  </rv>
  <rv s="14">
    <fb>255.59</fb>
    <v>34</v>
  </rv>
  <rv s="14">
    <fb>137.01</fb>
    <v>34</v>
  </rv>
  <rv s="14">
    <fb>430.53</fb>
    <v>34</v>
  </rv>
  <rv s="14">
    <fb>599.80999999999995</fb>
    <v>34</v>
  </rv>
  <rv s="14">
    <fb>192.76</fb>
    <v>34</v>
  </rv>
  <rv s="14">
    <fb>595.01</fb>
    <v>34</v>
  </rv>
  <rv s="14">
    <fb>87.1</fb>
    <v>34</v>
  </rv>
  <rv s="14">
    <fb>241.4</fb>
    <v>34</v>
  </rv>
  <rv s="14">
    <fb>73.849999999999994</fb>
    <v>34</v>
  </rv>
  <rv s="14">
    <fb>92.08</fb>
    <v>34</v>
  </rv>
  <rv s="14">
    <fb>46.545000000000002</fb>
    <v>34</v>
  </rv>
  <rv s="14">
    <fb>170.28</fb>
    <v>34</v>
  </rv>
  <rv s="14">
    <fb>84.56</fb>
    <v>34</v>
  </rv>
  <rv s="14">
    <fb>25.85</fb>
    <v>34</v>
  </rv>
  <rv s="14">
    <fb>51.81</fb>
    <v>34</v>
  </rv>
  <rv s="14">
    <fb>84.22</fb>
    <v>34</v>
  </rv>
  <rv s="14">
    <fb>25.74</fb>
    <v>34</v>
  </rv>
  <rv s="14">
    <fb>50.87</fb>
    <v>34</v>
  </rv>
  <rv s="14">
    <fb>28.92</fb>
    <v>34</v>
  </rv>
  <rv s="14">
    <fb>26.05</fb>
    <v>34</v>
  </rv>
  <rv s="14">
    <fb>91.41</fb>
    <v>34</v>
  </rv>
  <rv s="14">
    <fb>456.51</fb>
    <v>34</v>
  </rv>
  <rv s="14">
    <fb>241.17</fb>
    <v>34</v>
  </rv>
  <rv s="14">
    <fb>44.34</fb>
    <v>34</v>
  </rv>
  <rv s="14">
    <fb>106.48</fb>
    <v>34</v>
  </rv>
  <rv s="14">
    <fb>144</fb>
    <v>34</v>
  </rv>
  <rv s="14">
    <fb>145.05000000000001</fb>
    <v>34</v>
  </rv>
  <rv s="14">
    <fb>293.62</fb>
    <v>34</v>
  </rv>
  <rv s="14">
    <fb>111.55</fb>
    <v>34</v>
  </rv>
  <rv s="14">
    <fb>907.55</fb>
    <v>34</v>
  </rv>
  <rv s="14">
    <fb>169.53</fb>
    <v>34</v>
  </rv>
  <rv s="14">
    <fb>152.88999999999999</fb>
    <v>34</v>
  </rv>
  <rv s="14">
    <fb>264.94</fb>
    <v>34</v>
  </rv>
  <rv s="14">
    <fb>87.39</fb>
    <v>34</v>
  </rv>
  <rv s="14">
    <fb>28.695699999999999</fb>
    <v>34</v>
  </rv>
  <rv s="14">
    <fb>22.39</fb>
    <v>34</v>
  </rv>
  <rv s="14">
    <fb>58.07</fb>
    <v>34</v>
  </rv>
  <rv s="14">
    <fb>57.78</fb>
    <v>34</v>
  </rv>
  <rv s="14">
    <fb>55.1</fb>
    <v>34</v>
  </rv>
  <rv s="14">
    <fb>21.4862</fb>
    <v>34</v>
  </rv>
  <rv s="14">
    <fb>45656</fb>
    <v>33</v>
  </rv>
  <rv s="14">
    <fb>252.2</fb>
    <v>34</v>
  </rv>
  <rv s="14">
    <fb>137.49</fb>
    <v>34</v>
  </rv>
  <rv s="14">
    <fb>424.83</fb>
    <v>34</v>
  </rv>
  <rv s="14">
    <fb>591.24</fb>
    <v>34</v>
  </rv>
  <rv s="14">
    <fb>191.24</fb>
    <v>34</v>
  </rv>
  <rv s="14">
    <fb>588.22</fb>
    <v>34</v>
  </rv>
  <rv s="14">
    <fb>87.8</fb>
    <v>34</v>
  </rv>
  <rv s="14">
    <fb>240.63</fb>
    <v>34</v>
  </rv>
  <rv s="14">
    <fb>74.819999999999993</fb>
    <v>34</v>
  </rv>
  <rv s="14">
    <fb>92.62</fb>
    <v>34</v>
  </rv>
  <rv s="14">
    <fb>46.7149</fb>
    <v>34</v>
  </rv>
  <rv s="14">
    <fb>166.51</fb>
    <v>34</v>
  </rv>
  <rv s="14">
    <fb>84.55</fb>
    <v>34</v>
  </rv>
  <rv s="14">
    <fb>4</fb>
    <v>35</v>
  </rv>
  <rv s="14">
    <fb>26.27</fb>
    <v>34</v>
  </rv>
  <rv s="14">
    <fb>4.8099999999999996</fb>
    <v>34</v>
  </rv>
  <rv s="14">
    <fb>51.65</fb>
    <v>34</v>
  </rv>
  <rv s="14">
    <fb>82.66</fb>
    <v>34</v>
  </rv>
  <rv s="14">
    <fb>28.96</fb>
    <v>34</v>
  </rv>
  <rv s="14">
    <fb>452.16</fb>
    <v>34</v>
  </rv>
  <rv s="14">
    <fb>239.32</fb>
    <v>34</v>
  </rv>
  <rv s="14">
    <fb>43.91</fb>
    <v>34</v>
  </rv>
  <rv s="14">
    <fb>105.76</fb>
    <v>34</v>
  </rv>
  <rv s="14">
    <fb>143.07</fb>
    <v>34</v>
  </rv>
  <rv s="14">
    <fb>143.34</fb>
    <v>34</v>
  </rv>
  <rv s="14">
    <fb>62.03</fb>
    <v>34</v>
  </rv>
  <rv s="14">
    <fb>289.60000000000002</fb>
    <v>34</v>
  </rv>
  <rv s="14">
    <fb>110.8</fb>
    <v>34</v>
  </rv>
  <rv s="14">
    <fb>900.43</fb>
    <v>34</v>
  </rv>
  <rv s="14">
    <fb>167.09</fb>
    <v>34</v>
  </rv>
  <rv s="14">
    <fb>151.72</fb>
    <v>34</v>
  </rv>
  <rv s="14">
    <fb>267.56</fb>
    <v>34</v>
  </rv>
  <rv s="14">
    <fb>88.35</fb>
    <v>34</v>
  </rv>
  <rv s="14">
    <fb>29.18</fb>
    <v>34</v>
  </rv>
  <rv s="14">
    <fb>22.475000000000001</fb>
    <v>34</v>
  </rv>
  <rv s="14">
    <fb>55.55</fb>
    <v>34</v>
  </rv>
  <rv s="14">
    <fb>28.69</fb>
    <v>34</v>
  </rv>
  <rv s="14">
    <fb>21.431100000000001</fb>
    <v>34</v>
  </rv>
  <rv s="14">
    <fb>45657</fb>
    <v>33</v>
  </rv>
  <rv s="14">
    <fb>250.42</fb>
    <v>34</v>
  </rv>
  <rv s="14">
    <fb>134.29</fb>
    <v>34</v>
  </rv>
  <rv s="14">
    <fb>421.5</fb>
    <v>34</v>
  </rv>
  <rv s="14">
    <fb>585.51</fb>
    <v>34</v>
  </rv>
  <rv s="14">
    <fb>189.3</fb>
    <v>34</v>
  </rv>
  <rv s="14">
    <fb>586.08000000000004</fb>
    <v>34</v>
  </rv>
  <rv s="14">
    <fb>87.33</fb>
    <v>34</v>
  </rv>
  <rv s="14">
    <fb>242.13</fb>
    <v>34</v>
  </rv>
  <rv s="14">
    <fb>75.55</fb>
    <v>34</v>
  </rv>
  <rv s="14">
    <fb>46.655000000000001</fb>
    <v>34</v>
  </rv>
  <rv s="14">
    <fb>85.66</fb>
    <v>34</v>
  </rv>
  <rv s="14">
    <fb>14.31</fb>
    <v>34</v>
  </rv>
  <rv s="14">
    <fb>51.99</fb>
    <v>34</v>
  </rv>
  <rv s="14">
    <fb>83.05</fb>
    <v>34</v>
  </rv>
  <rv s="14">
    <fb>91.43</fb>
    <v>34</v>
  </rv>
  <rv s="14">
    <fb>453.28</fb>
    <v>34</v>
  </rv>
  <rv s="14">
    <fb>239.71</fb>
    <v>34</v>
  </rv>
  <rv s="14">
    <fb>43.95</fb>
    <v>34</v>
  </rv>
  <rv s="14">
    <fb>107.57</fb>
    <v>34</v>
  </rv>
  <rv s="14">
    <fb>144.62</fb>
    <v>34</v>
  </rv>
  <rv s="14">
    <fb>62.26</fb>
    <v>34</v>
  </rv>
  <rv s="14">
    <fb>289.89</fb>
    <v>34</v>
  </rv>
  <rv s="14">
    <fb>891.32</fb>
    <v>34</v>
  </rv>
  <rv s="14">
    <fb>152.06</fb>
    <v>34</v>
  </rv>
  <rv s="14">
    <fb>271.23</fb>
    <v>34</v>
  </rv>
  <rv s="14">
    <fb>89.63</fb>
    <v>34</v>
  </rv>
  <rv s="14">
    <fb>29.6</fb>
    <v>34</v>
  </rv>
  <rv s="14">
    <fb>22.98</fb>
    <v>34</v>
  </rv>
  <rv s="14">
    <fb>55.35</fb>
    <v>34</v>
  </rv>
  <rv s="14">
    <fb>28.64</fb>
    <v>34</v>
  </rv>
  <rv s="14">
    <fb>21.627500000000001</fb>
    <v>34</v>
  </rv>
  <rv s="14">
    <fb>45659</fb>
    <v>33</v>
  </rv>
  <rv s="14">
    <fb>243.85</fb>
    <v>34</v>
  </rv>
  <rv s="14">
    <fb>138.31</fb>
    <v>34</v>
  </rv>
  <rv s="14">
    <fb>418.58</fb>
    <v>34</v>
  </rv>
  <rv s="14">
    <fb>599.24</fb>
    <v>34</v>
  </rv>
  <rv s="14">
    <fb>189.43</fb>
    <v>34</v>
  </rv>
  <rv s="14">
    <fb>584.64</fb>
    <v>34</v>
  </rv>
  <rv s="14">
    <fb>87.57</fb>
    <v>34</v>
  </rv>
  <rv s="14">
    <fb>245.42</fb>
    <v>34</v>
  </rv>
  <rv s="14">
    <fb>76.930000000000007</fb>
    <v>34</v>
  </rv>
  <rv s="14">
    <fb>92.5</fb>
    <v>34</v>
  </rv>
  <rv s="14">
    <fb>46.6539</fb>
    <v>34</v>
  </rv>
  <rv s="14">
    <fb>86.66</fb>
    <v>34</v>
  </rv>
  <rv s="14">
    <fb>26.93</fb>
    <v>34</v>
  </rv>
  <rv s="14">
    <fb>26.62</fb>
    <v>34</v>
  </rv>
  <rv s="14">
    <fb>52.69</fb>
    <v>34</v>
  </rv>
  <rv s="14">
    <fb>84.59</fb>
    <v>34</v>
  </rv>
  <rv s="14">
    <fb>26.2</fb>
    <v>34</v>
  </rv>
  <rv s="14">
    <fb>91.45</fb>
    <v>34</v>
  </rv>
  <rv s="14">
    <fb>451.1</fb>
    <v>34</v>
  </rv>
  <rv s="14">
    <fb>240</fb>
    <v>34</v>
  </rv>
  <rv s="14">
    <fb>44.29</fb>
    <v>34</v>
  </rv>
  <rv s="14">
    <fb>107.31</fb>
    <v>34</v>
  </rv>
  <rv s="14">
    <fb>146.71</fb>
    <v>34</v>
  </rv>
  <rv s="14">
    <fb>144.02000000000001</fb>
    <v>34</v>
  </rv>
  <rv s="14">
    <fb>61.84</fb>
    <v>34</v>
  </rv>
  <rv s="14">
    <fb>292.51</fb>
    <v>34</v>
  </rv>
  <rv s="14">
    <fb>110.82</fb>
    <v>34</v>
  </rv>
  <rv s="14">
    <fb>886.73</fb>
    <v>34</v>
  </rv>
  <rv s="14">
    <fb>165.98</fb>
    <v>34</v>
  </rv>
  <rv s="14">
    <fb>150.21</fb>
    <v>34</v>
  </rv>
  <rv s="14">
    <fb>276.18</fb>
    <v>34</v>
  </rv>
  <rv s="14">
    <fb>91.15</fb>
    <v>34</v>
  </rv>
  <rv s="14">
    <fb>30.0852</fb>
    <v>34</v>
  </rv>
  <rv s="14">
    <fb>58.01</fb>
    <v>34</v>
  </rv>
  <rv s="14">
    <fb>55.41</fb>
    <v>34</v>
  </rv>
  <rv s="14">
    <fb>28.63</fb>
    <v>34</v>
  </rv>
  <rv s="14">
    <fb>21.4297</fb>
    <v>34</v>
  </rv>
  <rv s="14">
    <fb>45660</fb>
    <v>33</v>
  </rv>
  <rv s="14">
    <fb>243.36</fb>
    <v>34</v>
  </rv>
  <rv s="14">
    <fb>423.35</fb>
    <v>34</v>
  </rv>
  <rv s="14">
    <fb>604.63</fb>
    <v>34</v>
  </rv>
  <rv s="14">
    <fb>191.79</fb>
    <v>34</v>
  </rv>
  <rv s="14">
    <fb>591.95000000000005</fb>
    <v>34</v>
  </rv>
  <rv s="14">
    <fb>87.29</fb>
    <v>34</v>
  </rv>
  <rv s="14">
    <fb>77.92</fb>
    <v>34</v>
  </rv>
  <rv s="14">
    <fb>92.35</fb>
    <v>34</v>
  </rv>
  <rv s="14">
    <fb>46.614199999999997</fb>
    <v>34</v>
  </rv>
  <rv s="14">
    <fb>169.06</fb>
    <v>34</v>
  </rv>
  <rv s="14">
    <fb>14.69</fb>
    <v>34</v>
  </rv>
  <rv s="14">
    <fb>26.98</fb>
    <v>34</v>
  </rv>
  <rv s="14">
    <fb>26.49</fb>
    <v>34</v>
  </rv>
  <rv s="14">
    <fb>52.28</fb>
    <v>34</v>
  </rv>
  <rv s="14">
    <fb>85.7</fb>
    <v>34</v>
  </rv>
  <rv s="14">
    <fb>25.77</fb>
    <v>34</v>
  </rv>
  <rv s="14">
    <fb>91.46</fb>
    <v>34</v>
  </rv>
  <rv s="14">
    <fb>453.56</fb>
    <v>34</v>
  </rv>
  <rv s="14">
    <fb>243.28</fb>
    <v>34</v>
  </rv>
  <rv s="14">
    <fb>44.81</fb>
    <v>34</v>
  </rv>
  <rv s="14">
    <fb>107.86</fb>
    <v>34</v>
  </rv>
  <rv s="14">
    <fb>147.85</fb>
    <v>34</v>
  </rv>
  <rv s="14">
    <fb>144.19</fb>
    <v>34</v>
  </rv>
  <rv s="14">
    <fb>61.75</fb>
    <v>34</v>
  </rv>
  <rv s="14">
    <fb>294.77999999999997</fb>
    <v>34</v>
  </rv>
  <rv s="14">
    <fb>111.16</fb>
    <v>34</v>
  </rv>
  <rv s="14">
    <fb>881.05</fb>
    <v>34</v>
  </rv>
  <rv s="14">
    <fb>165.13</fb>
    <v>34</v>
  </rv>
  <rv s="14">
    <fb>91.93</fb>
    <v>34</v>
  </rv>
  <rv s="14">
    <fb>30.25</fb>
    <v>34</v>
  </rv>
  <rv s="14">
    <fb>22.44</fb>
    <v>34</v>
  </rv>
  <rv s="14">
    <fb>58.16</fb>
    <v>34</v>
  </rv>
  <rv s="14">
    <fb>55.25</fb>
    <v>34</v>
  </rv>
  <rv s="14">
    <fb>21.73</fb>
    <v>34</v>
  </rv>
  <rv s="14">
    <fb>45663</fb>
    <v>33</v>
  </rv>
  <rv s="14">
    <fb>245</fb>
    <v>34</v>
  </rv>
  <rv s="14">
    <fb>149.43</fb>
    <v>34</v>
  </rv>
  <rv s="14">
    <fb>427.85</fb>
    <v>34</v>
  </rv>
  <rv s="14">
    <fb>630.20000000000005</fb>
    <v>34</v>
  </rv>
  <rv s="14">
    <fb>196.87</fb>
    <v>34</v>
  </rv>
  <rv s="14">
    <fb>595.36</fb>
    <v>34</v>
  </rv>
  <rv s="14">
    <fb>86.9</fb>
    <v>34</v>
  </rv>
  <rv s="14">
    <fb>243.19</fb>
    <v>34</v>
  </rv>
  <rv s="14">
    <fb>77.3</fb>
    <v>34</v>
  </rv>
  <rv s="14">
    <fb>92.26</fb>
    <v>34</v>
  </rv>
  <rv s="14">
    <fb>46.555</fb>
    <v>34</v>
  </rv>
  <rv s="14">
    <fb>169.1</fb>
    <v>34</v>
  </rv>
  <rv s="14">
    <fb>87.07</fb>
    <v>34</v>
  </rv>
  <rv s="14">
    <fb>4.0999999999999996</fb>
    <v>35</v>
  </rv>
  <rv s="14">
    <fb>27.24</fb>
    <v>34</v>
  </rv>
  <rv s="14">
    <fb>85.55</fb>
    <v>34</v>
  </rv>
  <rv s="14">
    <fb>25.78</fb>
    <v>34</v>
  </rv>
  <rv s="14">
    <fb>451.41</fb>
    <v>34</v>
  </rv>
  <rv s="14">
    <fb>240.85</fb>
    <v>34</v>
  </rv>
  <rv s="14">
    <fb>45.4</fb>
    <v>34</v>
  </rv>
  <rv s="14">
    <fb>107.74</fb>
    <v>34</v>
  </rv>
  <rv s="14">
    <fb>147.26</fb>
    <v>34</v>
  </rv>
  <rv s="14">
    <fb>143.66</fb>
    <v>34</v>
  </rv>
  <rv s="14">
    <fb>60.81</fb>
    <v>34</v>
  </rv>
  <rv s="14">
    <fb>292.18</fb>
    <v>34</v>
  </rv>
  <rv s="14">
    <fb>111.05</fb>
    <v>34</v>
  </rv>
  <rv s="14">
    <fb>881.79</fb>
    <v>34</v>
  </rv>
  <rv s="14">
    <fb>160.6</fb>
    <v>34</v>
  </rv>
  <rv s="14">
    <fb>279.74</fb>
    <v>34</v>
  </rv>
  <rv s="14">
    <fb>30.1</fb>
    <v>34</v>
  </rv>
  <rv s="14">
    <fb>57.93</fb>
    <v>34</v>
  </rv>
  <rv s="14">
    <fb>55.05</fb>
    <v>34</v>
  </rv>
  <rv s="14">
    <fb>21.3658</fb>
    <v>34</v>
  </rv>
  <rv s="14">
    <fb>45664</fb>
    <v>33</v>
  </rv>
  <rv s="14">
    <fb>242.21</fb>
    <v>34</v>
  </rv>
  <rv s="14">
    <fb>140.13999999999999</fb>
    <v>34</v>
  </rv>
  <rv s="14">
    <fb>422.37</fb>
    <v>34</v>
  </rv>
  <rv s="14">
    <fb>617.89</fb>
    <v>34</v>
  </rv>
  <rv s="14">
    <fb>195.49</fb>
    <v>34</v>
  </rv>
  <rv s="14">
    <fb>588.63</fb>
    <v>34</v>
  </rv>
  <rv s="14">
    <fb>85.92</fb>
    <v>34</v>
  </rv>
  <rv s="14">
    <fb>244.56</fb>
    <v>34</v>
  </rv>
  <rv s="14">
    <fb>78.17</fb>
    <v>34</v>
  </rv>
  <rv s="14">
    <fb>91.84</fb>
    <v>34</v>
  </rv>
  <rv s="14">
    <fb>46.396900000000002</fb>
    <v>34</v>
  </rv>
  <rv s="14">
    <fb>162.44999999999999</fb>
    <v>34</v>
  </rv>
  <rv s="14">
    <fb>87.94</fb>
    <v>34</v>
  </rv>
  <rv s="14">
    <fb>14.75</fb>
    <v>34</v>
  </rv>
  <rv s="14">
    <fb>26.5</fb>
    <v>34</v>
  </rv>
  <rv s="14">
    <fb>87.15</fb>
    <v>34</v>
  </rv>
  <rv s="14">
    <fb>452.92</fb>
    <v>34</v>
  </rv>
  <rv s="14">
    <fb>243.17</fb>
    <v>34</v>
  </rv>
  <rv s="14">
    <fb>108.75</fb>
    <v>34</v>
  </rv>
  <rv s="14">
    <fb>149.59</fb>
    <v>34</v>
  </rv>
  <rv s="14">
    <fb>146.22999999999999</fb>
    <v>34</v>
  </rv>
  <rv s="14">
    <fb>60.84</fb>
    <v>34</v>
  </rv>
  <rv s="14">
    <fb>289.33999999999997</fb>
    <v>34</v>
  </rv>
  <rv s="14">
    <fb>111.39</fb>
    <v>34</v>
  </rv>
  <rv s="14">
    <fb>879.19</fb>
    <v>34</v>
  </rv>
  <rv s="14">
    <fb>161.30000000000001</fb>
    <v>34</v>
  </rv>
  <rv s="14">
    <fb>145.4</fb>
    <v>34</v>
  </rv>
  <rv s="14">
    <fb>283.85000000000002</fb>
    <v>34</v>
  </rv>
  <rv s="14">
    <fb>92.76</fb>
    <v>34</v>
  </rv>
  <rv s="14">
    <fb>30.4</fb>
    <v>34</v>
  </rv>
  <rv s="14">
    <fb>22.35</fb>
    <v>34</v>
  </rv>
  <rv s="14">
    <fb>57.76</fb>
    <v>34</v>
  </rv>
  <rv s="14">
    <fb>54.48</fb>
    <v>34</v>
  </rv>
  <rv s="14">
    <fb>28.44</fb>
    <v>34</v>
  </rv>
  <rv s="14">
    <fb>21.138000000000002</fb>
    <v>34</v>
  </rv>
  <rv s="14">
    <fb>45665</fb>
    <v>33</v>
  </rv>
  <rv s="14">
    <fb>242.7</fb>
    <v>34</v>
  </rv>
  <rv s="14">
    <fb>140.11000000000001</fb>
    <v>34</v>
  </rv>
  <rv s="14">
    <fb>424.56</fb>
    <v>34</v>
  </rv>
  <rv s="14">
    <fb>610.72</fb>
    <v>34</v>
  </rv>
  <rv s="14">
    <fb>193.95</fb>
    <v>34</v>
  </rv>
  <rv s="14">
    <fb>589.49</fb>
    <v>34</v>
  </rv>
  <rv s="14">
    <fb>86.03</fb>
    <v>34</v>
  </rv>
  <rv s="14">
    <fb>245.86</fb>
    <v>34</v>
  </rv>
  <rv s="14">
    <fb>46.455800000000004</fb>
    <v>34</v>
  </rv>
  <rv s="14">
    <fb>161.97999999999999</fb>
    <v>34</v>
  </rv>
  <rv s="14">
    <fb>14.58</fb>
    <v>34</v>
  </rv>
  <rv s="14">
    <fb>27.4</fb>
    <v>34</v>
  </rv>
  <rv s="14">
    <fb>4.72</fb>
    <v>34</v>
  </rv>
  <rv s="14">
    <fb>52.78</fb>
    <v>34</v>
  </rv>
  <rv s="14">
    <fb>87.62</fb>
    <v>34</v>
  </rv>
  <rv s="14">
    <fb>451.84</fb>
    <v>34</v>
  </rv>
  <rv s="14">
    <fb>243.13</fb>
    <v>34</v>
  </rv>
  <rv s="14">
    <fb>46.21</fb>
    <v>34</v>
  </rv>
  <rv s="14">
    <fb>106.93</fb>
    <v>34</v>
  </rv>
  <rv s="14">
    <fb>150.30000000000001</fb>
    <v>34</v>
  </rv>
  <rv s="14">
    <fb>142.27000000000001</fb>
    <v>34</v>
  </rv>
  <rv s="14">
    <fb>61.71</fb>
    <v>34</v>
  </rv>
  <rv s="14">
    <fb>286.89999999999998</fb>
    <v>34</v>
  </rv>
  <rv s="14">
    <fb>109.76</fb>
    <v>34</v>
  </rv>
  <rv s="14">
    <fb>875</fb>
    <v>34</v>
  </rv>
  <rv s="14">
    <fb>162.1</fb>
    <v>34</v>
  </rv>
  <rv s="14">
    <fb>146.54</fb>
    <v>34</v>
  </rv>
  <rv s="14">
    <fb>279.8</fb>
    <v>34</v>
  </rv>
  <rv s="14">
    <fb>93.39</fb>
    <v>34</v>
  </rv>
  <rv s="14">
    <fb>30.62</fb>
    <v>34</v>
  </rv>
  <rv s="14">
    <fb>22.375</fb>
    <v>34</v>
  </rv>
  <rv s="14">
    <fb>57.84</fb>
    <v>34</v>
  </rv>
  <rv s="14">
    <fb>54.56</fb>
    <v>34</v>
  </rv>
  <rv s="14">
    <fb>21.215</fb>
    <v>34</v>
  </rv>
  <rv s="14">
    <fb>45667</fb>
    <v>33</v>
  </rv>
  <rv s="14">
    <fb>236.85</fb>
    <v>34</v>
  </rv>
  <rv s="14">
    <fb>135.91</fb>
    <v>34</v>
  </rv>
  <rv s="14">
    <fb>418.95</fb>
    <v>34</v>
  </rv>
  <rv s="14">
    <fb>615.86</fb>
    <v>34</v>
  </rv>
  <rv s="14">
    <fb>192.04</fb>
    <v>34</v>
  </rv>
  <rv s="14">
    <fb>580.49</fb>
    <v>34</v>
  </rv>
  <rv s="14">
    <fb>85.46</fb>
    <v>34</v>
  </rv>
  <rv s="14">
    <fb>248.21</fb>
    <v>34</v>
  </rv>
  <rv s="14">
    <fb>80.64</fb>
    <v>34</v>
  </rv>
  <rv s="14">
    <fb>46.172899999999998</fb>
    <v>34</v>
  </rv>
  <rv s="14">
    <fb>155.38999999999999</fb>
    <v>34</v>
  </rv>
  <rv s="14">
    <fb>88.39</fb>
    <v>34</v>
  </rv>
  <rv s="14">
    <fb>15.2</fb>
    <v>34</v>
  </rv>
  <rv s="14">
    <fb>4.2</fb>
    <v>35</v>
  </rv>
  <rv s="14">
    <fb>26.45</fb>
    <v>34</v>
  </rv>
  <rv s="14">
    <fb>4.71</fb>
    <v>34</v>
  </rv>
  <rv s="14">
    <fb>53.7</fb>
    <v>34</v>
  </rv>
  <rv s="14">
    <fb>87.78</fb>
    <v>34</v>
  </rv>
  <rv s="14">
    <fb>25.69</fb>
    <v>34</v>
  </rv>
  <rv s="14">
    <fb>28.94</fb>
    <v>34</v>
  </rv>
  <rv s="14">
    <fb>25.63</fb>
    <v>34</v>
  </rv>
  <rv s="14">
    <fb>442.66</fb>
    <v>34</v>
  </rv>
  <rv s="14">
    <fb>239.87</fb>
    <v>34</v>
  </rv>
  <rv s="14">
    <fb>45.11</fb>
    <v>34</v>
  </rv>
  <rv s="14">
    <fb>106.54</fb>
    <v>34</v>
  </rv>
  <rv s="14">
    <fb>153.13999999999999</fb>
    <v>34</v>
  </rv>
  <rv s="14">
    <fb>142.06</fb>
    <v>34</v>
  </rv>
  <rv s="14">
    <fb>61.07</fb>
    <v>34</v>
  </rv>
  <rv s="14">
    <fb>282.31</fb>
    <v>34</v>
  </rv>
  <rv s="14">
    <fb>108.65</fb>
    <v>34</v>
  </rv>
  <rv s="14">
    <fb>837.69</fb>
    <v>34</v>
  </rv>
  <rv s="14">
    <fb>158.56</fb>
    <v>34</v>
  </rv>
  <rv s="14">
    <fb>142.63999999999999</fb>
    <v>34</v>
  </rv>
  <rv s="14">
    <fb>278.95</fb>
    <v>34</v>
  </rv>
  <rv s="14">
    <fb>31</fb>
    <v>34</v>
  </rv>
  <rv s="14">
    <fb>22.27</fb>
    <v>34</v>
  </rv>
  <rv s="14">
    <fb>58.09</fb>
    <v>34</v>
  </rv>
  <rv s="14">
    <fb>57.51</fb>
    <v>34</v>
  </rv>
  <rv s="14">
    <fb>28.33</fb>
    <v>34</v>
  </rv>
  <rv s="14">
    <fb>20.689399999999999</fb>
    <v>34</v>
  </rv>
  <rv s="14">
    <fb>45670</fb>
    <v>33</v>
  </rv>
  <rv s="14">
    <fb>234.4</fb>
    <v>34</v>
  </rv>
  <rv s="14">
    <fb>133.22999999999999</fb>
    <v>34</v>
  </rv>
  <rv s="14">
    <fb>417.19</fb>
    <v>34</v>
  </rv>
  <rv s="14">
    <fb>608.33000000000004</fb>
    <v>34</v>
  </rv>
  <rv s="14">
    <fb>191.01</fb>
    <v>34</v>
  </rv>
  <rv s="14">
    <fb>581.39</fb>
    <v>34</v>
  </rv>
  <rv s="14">
    <fb>85.43</fb>
    <v>34</v>
  </rv>
  <rv s="14">
    <fb>245.74</fb>
    <v>34</v>
  </rv>
  <rv s="14">
    <fb>82.23</fb>
    <v>34</v>
  </rv>
  <rv s="14">
    <fb>91.17</fb>
    <v>34</v>
  </rv>
  <rv s="14">
    <fb>46.111699999999999</fb>
    <v>34</v>
  </rv>
  <rv s="14">
    <fb>15.46</fb>
    <v>34</v>
  </rv>
  <rv s="14">
    <fb>4.3499999999999996</fb>
    <v>35</v>
  </rv>
  <rv s="14">
    <fb>26.75</fb>
    <v>34</v>
  </rv>
  <rv s="14">
    <fb>52.73</fb>
    <v>34</v>
  </rv>
  <rv s="14">
    <fb>25.72</fb>
    <v>34</v>
  </rv>
  <rv s="14">
    <fb>25.58</fb>
    <v>34</v>
  </rv>
  <rv s="14">
    <fb>443.91</fb>
    <v>34</v>
  </rv>
  <rv s="14">
    <fb>244.21</fb>
    <v>34</v>
  </rv>
  <rv s="14">
    <fb>45.06</fb>
    <v>34</v>
  </rv>
  <rv s="14">
    <fb>109.29</fb>
    <v>34</v>
  </rv>
  <rv s="14">
    <fb>155.35</fb>
    <v>34</v>
  </rv>
  <rv s="14">
    <fb>61.65</fb>
    <v>34</v>
  </rv>
  <rv s="14">
    <fb>283.63</fb>
    <v>34</v>
  </rv>
  <rv s="14">
    <fb>108.08</fb>
    <v>34</v>
  </rv>
  <rv s="14">
    <fb>840.29</fb>
    <v>34</v>
  </rv>
  <rv s="14">
    <fb>158.84</fb>
    <v>34</v>
  </rv>
  <rv s="14">
    <fb>144.5</fb>
    <v>34</v>
  </rv>
  <rv s="14">
    <fb>284.70999999999998</fb>
    <v>34</v>
  </rv>
  <rv s="14">
    <fb>31.67</fb>
    <v>34</v>
  </rv>
  <rv s="14">
    <fb>22.254999999999999</fb>
    <v>34</v>
  </rv>
  <rv s="14">
    <fb>57.44</fb>
    <v>34</v>
  </rv>
  <rv s="14">
    <fb>54.07</fb>
    <v>34</v>
  </rv>
  <rv s="14">
    <fb>28.27</fb>
    <v>34</v>
  </rv>
  <rv s="14">
    <fb>20.9664</fb>
    <v>34</v>
  </rv>
  <rv s="14">
    <fb>45671</fb>
    <v>33</v>
  </rv>
  <rv s="14">
    <fb>233.28</fb>
    <v>34</v>
  </rv>
  <rv s="14">
    <fb>131.76</fb>
    <v>34</v>
  </rv>
  <rv s="14">
    <fb>415.67</fb>
    <v>34</v>
  </rv>
  <rv s="14">
    <fb>594.25</fb>
    <v>34</v>
  </rv>
  <rv s="14">
    <fb>189.66</fb>
    <v>34</v>
  </rv>
  <rv s="14">
    <fb>582.19000000000005</fb>
    <v>34</v>
  </rv>
  <rv s="14">
    <fb>85.29</fb>
    <v>34</v>
  </rv>
  <rv s="14">
    <fb>247.03</fb>
    <v>34</v>
  </rv>
  <rv s="14">
    <fb>81.67</fb>
    <v>34</v>
  </rv>
  <rv s="14">
    <fb>91.2</fb>
    <v>34</v>
  </rv>
  <rv s="14">
    <fb>46.1404</fb>
    <v>34</v>
  </rv>
  <rv s="14">
    <fb>91.22</fb>
    <v>34</v>
  </rv>
  <rv s="14">
    <fb>15.37</fb>
    <v>34</v>
  </rv>
  <rv s="14">
    <fb>27.2</fb>
    <v>34</v>
  </rv>
  <rv s="14">
    <fb>26.66</fb>
    <v>34</v>
  </rv>
  <rv s="14">
    <fb>4.83</fb>
    <v>34</v>
  </rv>
  <rv s="14">
    <fb>53.03</fb>
    <v>34</v>
  </rv>
  <rv s="14">
    <fb>86.1</fb>
    <v>34</v>
  </rv>
  <rv s="14">
    <fb>25.54</fb>
    <v>34</v>
  </rv>
  <rv s="14">
    <fb>450.03</fb>
    <v>34</v>
  </rv>
  <rv s="14">
    <fb>247.47</fb>
    <v>34</v>
  </rv>
  <rv s="14">
    <fb>45.78</fb>
    <v>34</v>
  </rv>
  <rv s="14">
    <fb>109.72</fb>
    <v>34</v>
  </rv>
  <rv s="14">
    <fb>156.9</fb>
    <v>34</v>
  </rv>
  <rv s="14">
    <fb>62.04</fb>
    <v>34</v>
  </rv>
  <rv s="14">
    <fb>281.58</fb>
    <v>34</v>
  </rv>
  <rv s="14">
    <fb>108.12</fb>
    <v>34</v>
  </rv>
  <rv s="14">
    <fb>828.4</fb>
    <v>34</v>
  </rv>
  <rv s="14">
    <fb>159.74</fb>
    <v>34</v>
  </rv>
  <rv s="14">
    <fb>144.94999999999999</fb>
    <v>34</v>
  </rv>
  <rv s="14">
    <fb>287.23</fb>
    <v>34</v>
  </rv>
  <rv s="14">
    <fb>97.06</fb>
    <v>34</v>
  </rv>
  <rv s="14">
    <fb>31.96</fb>
    <v>34</v>
  </rv>
  <rv s="14">
    <fb>22.25</fb>
    <v>34</v>
  </rv>
  <rv s="14">
    <fb>58.1</fb>
    <v>34</v>
  </rv>
  <rv s="14">
    <fb>57.47</fb>
    <v>34</v>
  </rv>
  <rv s="14">
    <fb>53.99</fb>
    <v>34</v>
  </rv>
  <rv s="14">
    <fb>28.29</fb>
    <v>34</v>
  </rv>
  <rv s="14">
    <fb>21.07</fb>
    <v>34</v>
  </rv>
  <rv s="14">
    <fb>45672</fb>
    <v>33</v>
  </rv>
  <rv s="14">
    <fb>237.87</fb>
    <v>34</v>
  </rv>
  <rv s="14">
    <fb>136.24</fb>
    <v>34</v>
  </rv>
  <rv s="14">
    <fb>426.31</fb>
    <v>34</v>
  </rv>
  <rv s="14">
    <fb>617.12</fb>
    <v>34</v>
  </rv>
  <rv s="14">
    <fb>195.55</fb>
    <v>34</v>
  </rv>
  <rv s="14">
    <fb>592.78</fb>
    <v>34</v>
  </rv>
  <rv s="14">
    <fb>86.76</fb>
    <v>34</v>
  </rv>
  <rv s="14">
    <fb>248.88</fb>
    <v>34</v>
  </rv>
  <rv s="14">
    <fb>84.34</fb>
    <v>34</v>
  </rv>
  <rv s="14">
    <fb>92.16</fb>
    <v>34</v>
  </rv>
  <rv s="14">
    <fb>46.573900000000002</fb>
    <v>34</v>
  </rv>
  <rv s="14">
    <fb>164.85</fb>
    <v>34</v>
  </rv>
  <rv s="14">
    <fb>92.57</fb>
    <v>34</v>
  </rv>
  <rv s="14">
    <fb>15.88</fb>
    <v>34</v>
  </rv>
  <rv s="14">
    <fb>27.96</fb>
    <v>34</v>
  </rv>
  <rv s="14">
    <fb>26.73</fb>
    <v>34</v>
  </rv>
  <rv s="14">
    <fb>53.43</fb>
    <v>34</v>
  </rv>
  <rv s="14">
    <fb>25.9</fb>
    <v>34</v>
  </rv>
  <rv s="14">
    <fb>25.97</fb>
    <v>34</v>
  </rv>
  <rv s="14">
    <fb>458.51</fb>
    <v>34</v>
  </rv>
  <rv s="14">
    <fb>252.35</fb>
    <v>34</v>
  </rv>
  <rv s="14">
    <fb>47.1</fb>
    <v>34</v>
  </rv>
  <rv s="14">
    <fb>111.51</fb>
    <v>34</v>
  </rv>
  <rv s="14">
    <fb>144.97</fb>
    <v>34</v>
  </rv>
  <rv s="14">
    <fb>61.77</fb>
    <v>34</v>
  </rv>
  <rv s="14">
    <fb>282.3</fb>
    <v>34</v>
  </rv>
  <rv s="14">
    <fb>108.18</fb>
    <v>34</v>
  </rv>
  <rv s="14">
    <fb>848.26</fb>
    <v>34</v>
  </rv>
  <rv s="14">
    <fb>159.65</fb>
    <v>34</v>
  </rv>
  <rv s="14">
    <fb>144.78</fb>
    <v>34</v>
  </rv>
  <rv s="14">
    <fb>293.64999999999998</fb>
    <v>34</v>
  </rv>
  <rv s="14">
    <fb>98.66</fb>
    <v>34</v>
  </rv>
  <rv s="14">
    <fb>22.41</fb>
    <v>34</v>
  </rv>
  <rv s="14">
    <fb>57.89</fb>
    <v>34</v>
  </rv>
  <rv s="14">
    <fb>54.88</fb>
    <v>34</v>
  </rv>
  <rv s="14">
    <fb>21.186399999999999</fb>
    <v>34</v>
  </rv>
  <rv s="14">
    <fb>45673</fb>
    <v>33</v>
  </rv>
  <rv s="14">
    <fb>228.26</fb>
    <v>34</v>
  </rv>
  <rv s="14">
    <fb>133.57</fb>
    <v>34</v>
  </rv>
  <rv s="14">
    <fb>424.58</fb>
    <v>34</v>
  </rv>
  <rv s="14">
    <fb>611.29999999999995</fb>
    <v>34</v>
  </rv>
  <rv s="14">
    <fb>192.91</fb>
    <v>34</v>
  </rv>
  <rv s="14">
    <fb>591.64</fb>
    <v>34</v>
  </rv>
  <rv s="14">
    <fb>87.04</fb>
    <v>34</v>
  </rv>
  <rv s="14">
    <fb>250.6</fb>
    <v>34</v>
  </rv>
  <rv s="14">
    <fb>82.94</fb>
    <v>34</v>
  </rv>
  <rv s="14">
    <fb>92.38</fb>
    <v>34</v>
  </rv>
  <rv s="14">
    <fb>46.672899999999998</fb>
    <v>34</v>
  </rv>
  <rv s="14">
    <fb>165.92</fb>
    <v>34</v>
  </rv>
  <rv s="14">
    <fb>93.24</fb>
    <v>34</v>
  </rv>
  <rv s="14">
    <fb>15.61</fb>
    <v>34</v>
  </rv>
  <rv s="14">
    <fb>53.79</fb>
    <v>34</v>
  </rv>
  <rv s="14">
    <fb>85.54</fb>
    <v>34</v>
  </rv>
  <rv s="14">
    <fb>25.93</fb>
    <v>34</v>
  </rv>
  <rv s="14">
    <fb>26.06</fb>
    <v>34</v>
  </rv>
  <rv s="14">
    <fb>462.81</fb>
    <v>34</v>
  </rv>
  <rv s="14">
    <fb>254.27</fb>
    <v>34</v>
  </rv>
  <rv s="14">
    <fb>46.64</fb>
    <v>34</v>
  </rv>
  <rv s="14">
    <fb>111.32</fb>
    <v>34</v>
  </rv>
  <rv s="14">
    <fb>159.38</fb>
    <v>34</v>
  </rv>
  <rv s="14">
    <fb>147.77000000000001</fb>
    <v>34</v>
  </rv>
  <rv s="14">
    <fb>62.25</fb>
    <v>34</v>
  </rv>
  <rv s="14">
    <fb>106.46</fb>
    <v>34</v>
  </rv>
  <rv s="14">
    <fb>842.37</fb>
    <v>34</v>
  </rv>
  <rv s="14">
    <fb>160.5</fb>
    <v>34</v>
  </rv>
  <rv s="14">
    <fb>99.13</fb>
    <v>34</v>
  </rv>
  <rv s="14">
    <fb>32.520000000000003</fb>
    <v>34</v>
  </rv>
  <rv s="14">
    <fb>22.454999999999998</fb>
    <v>34</v>
  </rv>
  <rv s="14">
    <fb>58.03</fb>
    <v>34</v>
  </rv>
  <rv s="14">
    <fb>55.09</fb>
    <v>34</v>
  </rv>
  <rv s="14">
    <fb>28.6</fb>
    <v>34</v>
  </rv>
  <rv s="14">
    <fb>21.6479</fb>
    <v>34</v>
  </rv>
  <rv s="14">
    <fb>45674</fb>
    <v>33</v>
  </rv>
  <rv s="14">
    <fb>229.98</fb>
    <v>34</v>
  </rv>
  <rv s="14">
    <fb>137.71</fb>
    <v>34</v>
  </rv>
  <rv s="14">
    <fb>429.03</fb>
    <v>34</v>
  </rv>
  <rv s="14">
    <fb>612.77</fb>
    <v>34</v>
  </rv>
  <rv s="14">
    <fb>196</fb>
    <v>34</v>
  </rv>
  <rv s="14">
    <fb>597.58000000000004</fb>
    <v>34</v>
  </rv>
  <rv s="14">
    <fb>87.19</fb>
    <v>34</v>
  </rv>
  <rv s="14">
    <fb>249.27</fb>
    <v>34</v>
  </rv>
  <rv s="14">
    <fb>82.52</fb>
    <v>34</v>
  </rv>
  <rv s="14">
    <fb>46.692399999999999</fb>
    <v>34</v>
  </rv>
  <rv s="14">
    <fb>166.99</fb>
    <v>34</v>
  </rv>
  <rv s="14">
    <fb>93.96</fb>
    <v>34</v>
  </rv>
  <rv s="14">
    <fb>15.54</fb>
    <v>34</v>
  </rv>
  <rv s="14">
    <fb>53.53</fb>
    <v>34</v>
  </rv>
  <rv s="14">
    <fb>25.95</fb>
    <v>34</v>
  </rv>
  <rv s="14">
    <fb>467.95</fb>
    <v>34</v>
  </rv>
  <rv s="14">
    <fb>259.16000000000003</fb>
    <v>34</v>
  </rv>
  <rv s="14">
    <fb>46.53</fb>
    <v>34</v>
  </rv>
  <rv s="14">
    <fb>112.32</fb>
    <v>34</v>
  </rv>
  <rv s="14">
    <fb>161.47</fb>
    <v>34</v>
  </rv>
  <rv s="14">
    <fb>147.03</fb>
    <v>34</v>
  </rv>
  <rv s="14">
    <fb>62.71</fb>
    <v>34</v>
  </rv>
  <rv s="14">
    <fb>280.95</fb>
    <v>34</v>
  </rv>
  <rv s="14">
    <fb>107.02</fb>
    <v>34</v>
  </rv>
  <rv s="14">
    <fb>858.1</fb>
    <v>34</v>
  </rv>
  <rv s="14">
    <fb>161.13</fb>
    <v>34</v>
  </rv>
  <rv s="14">
    <fb>148.25</fb>
    <v>34</v>
  </rv>
  <rv s="14">
    <fb>299.51</fb>
    <v>34</v>
  </rv>
  <rv s="14">
    <fb>99.12</fb>
    <v>34</v>
  </rv>
  <rv s="14">
    <fb>32.4285</fb>
    <v>34</v>
  </rv>
  <rv s="14">
    <fb>55.16</fb>
    <v>34</v>
  </rv>
  <rv s="14">
    <fb>21.710599999999999</fb>
    <v>34</v>
  </rv>
  <rv s="14">
    <fb>45678</fb>
    <v>33</v>
  </rv>
  <rv s="14">
    <fb>222.64</fb>
    <v>34</v>
  </rv>
  <rv s="14">
    <fb>140.83000000000001</fb>
    <v>34</v>
  </rv>
  <rv s="14">
    <fb>428.5</fb>
    <v>34</v>
  </rv>
  <rv s="14">
    <fb>616.46</fb>
    <v>34</v>
  </rv>
  <rv s="14">
    <fb>198.05</fb>
    <v>34</v>
  </rv>
  <rv s="14">
    <fb>603.04999999999995</fb>
    <v>34</v>
  </rv>
  <rv s="14">
    <fb>87.97</fb>
    <v>34</v>
  </rv>
  <rv s="14">
    <fb>253.13</fb>
    <v>34</v>
  </rv>
  <rv s="14">
    <fb>81.11</fb>
    <v>34</v>
  </rv>
  <rv s="14">
    <fb>46.835000000000001</fb>
    <v>34</v>
  </rv>
  <rv s="14">
    <fb>93.48</fb>
    <v>34</v>
  </rv>
  <rv s="14">
    <fb>15.26</fb>
    <v>34</v>
  </rv>
  <rv s="14">
    <fb>54.34</fb>
    <v>34</v>
  </rv>
  <rv s="14">
    <fb>86.5</fb>
    <v>34</v>
  </rv>
  <rv s="14">
    <fb>468.57</fb>
    <v>34</v>
  </rv>
  <rv s="14">
    <fb>263.02999999999997</fb>
    <v>34</v>
  </rv>
  <rv s="14">
    <fb>46.66</fb>
    <v>34</v>
  </rv>
  <rv s="14">
    <fb>111.47</fb>
    <v>34</v>
  </rv>
  <rv s="14">
    <fb>148.15</fb>
    <v>34</v>
  </rv>
  <rv s="14">
    <fb>62.42</fb>
    <v>34</v>
  </rv>
  <rv s="14">
    <fb>282.61</fb>
    <v>34</v>
  </rv>
  <rv s="14">
    <fb>108.7</fb>
    <v>34</v>
  </rv>
  <rv s="14">
    <fb>869.68</fb>
    <v>34</v>
  </rv>
  <rv s="14">
    <fb>161.72</fb>
    <v>34</v>
  </rv>
  <rv s="14">
    <fb>148.55000000000001</fb>
    <v>34</v>
  </rv>
  <rv s="14">
    <fb>299.62</fb>
    <v>34</v>
  </rv>
  <rv s="14">
    <fb>32.01</fb>
    <v>34</v>
  </rv>
  <rv s="14">
    <fb>22.515000000000001</fb>
    <v>34</v>
  </rv>
  <rv s="14">
    <fb>55.6</fb>
    <v>34</v>
  </rv>
  <rv s="14">
    <fb>28.77</fb>
    <v>34</v>
  </rv>
  <rv s="14">
    <fb>21.94</fb>
    <v>34</v>
  </rv>
  <rv s="14">
    <fb>45679</fb>
    <v>33</v>
  </rv>
  <rv s="14">
    <fb>223.83</fb>
    <v>34</v>
  </rv>
  <rv s="14">
    <fb>147.07</fb>
    <v>34</v>
  </rv>
  <rv s="14">
    <fb>446.2</fb>
    <v>34</v>
  </rv>
  <rv s="14">
    <fb>623.5</fb>
    <v>34</v>
  </rv>
  <rv s="14">
    <fb>198.37</fb>
    <v>34</v>
  </rv>
  <rv s="14">
    <fb>606.44000000000005</fb>
    <v>34</v>
  </rv>
  <rv s="14">
    <fb>87.51</fb>
    <v>34</v>
  </rv>
  <rv s="14">
    <fb>254.43</fb>
    <v>34</v>
  </rv>
  <rv s="14">
    <fb>80.430000000000007</fb>
    <v>34</v>
  </rv>
  <rv s="14">
    <fb>92.52</fb>
    <v>34</v>
  </rv>
  <rv s="14">
    <fb>46.5139</fb>
    <v>34</v>
  </rv>
  <rv s="14">
    <fb>168.9</fb>
    <v>34</v>
  </rv>
  <rv s="14">
    <fb>15.14</fb>
    <v>34</v>
  </rv>
  <rv s="14">
    <fb>27.22</fb>
    <v>34</v>
  </rv>
  <rv s="14">
    <fb>54.62</fb>
    <v>34</v>
  </rv>
  <rv s="14">
    <fb>86.79</fb>
    <v>34</v>
  </rv>
  <rv s="14">
    <fb>25.94</fb>
    <v>34</v>
  </rv>
  <rv s="14">
    <fb>460.51</fb>
    <v>34</v>
  </rv>
  <rv s="14">
    <fb>262.83999999999997</fb>
    <v>34</v>
  </rv>
  <rv s="14">
    <fb>45.79</fb>
    <v>34</v>
  </rv>
  <rv s="14">
    <fb>109.53</fb>
    <v>34</v>
  </rv>
  <rv s="14">
    <fb>156.41</fb>
    <v>34</v>
  </rv>
  <rv s="14">
    <fb>61.78</fb>
    <v>34</v>
  </rv>
  <rv s="14">
    <fb>281.35000000000002</fb>
    <v>34</v>
  </rv>
  <rv s="14">
    <fb>108.81</fb>
    <v>34</v>
  </rv>
  <rv s="14">
    <fb>953.99</fb>
    <v>34</v>
  </rv>
  <rv s="14">
    <fb>148.09</fb>
    <v>34</v>
  </rv>
  <rv s="14">
    <fb>290.99</fb>
    <v>34</v>
  </rv>
  <rv s="14">
    <fb>97.16</fb>
    <v>34</v>
  </rv>
  <rv s="14">
    <fb>22.48</fb>
    <v>34</v>
  </rv>
  <rv s="14">
    <fb>55.36</fb>
    <v>34</v>
  </rv>
  <rv s="14">
    <fb>21.475300000000001</fb>
    <v>34</v>
  </rv>
  <rv s="14">
    <fb>45680</fb>
    <v>33</v>
  </rv>
  <rv s="14">
    <fb>223.66</fb>
    <v>34</v>
  </rv>
  <rv s="14">
    <fb>147.22</fb>
    <v>34</v>
  </rv>
  <rv s="14">
    <fb>446.71</fb>
    <v>34</v>
  </rv>
  <rv s="14">
    <fb>636.45000000000005</fb>
    <v>34</v>
  </rv>
  <rv s="14">
    <fb>197.98</fb>
    <v>34</v>
  </rv>
  <rv s="14">
    <fb>609.75</fb>
    <v>34</v>
  </rv>
  <rv s="14">
    <fb>86.83</fb>
    <v>34</v>
  </rv>
  <rv s="14">
    <fb>254.07</fb>
    <v>34</v>
  </rv>
  <rv s="14">
    <fb>79.209999999999994</fb>
    <v>34</v>
  </rv>
  <rv s="14">
    <fb>46.434699999999999</fb>
    <v>34</v>
  </rv>
  <rv s="14">
    <fb>169.75</fb>
    <v>34</v>
  </rv>
  <rv s="14">
    <fb>14.91</fb>
    <v>34</v>
  </rv>
  <rv s="14">
    <fb>4.5</fb>
    <v>35</v>
  </rv>
  <rv s="14">
    <fb>27.77</fb>
    <v>34</v>
  </rv>
  <rv s="14">
    <fb>27.26</fb>
    <v>34</v>
  </rv>
  <rv s="14">
    <fb>54.55</fb>
    <v>34</v>
  </rv>
  <rv s="14">
    <fb>26.02</fb>
    <v>34</v>
  </rv>
  <rv s="14">
    <fb>459.83</fb>
    <v>34</v>
  </rv>
  <rv s="14">
    <fb>265.95</fb>
    <v>34</v>
  </rv>
  <rv s="14">
    <fb>46.39</fb>
    <v>34</v>
  </rv>
  <rv s="14">
    <fb>110.15</fb>
    <v>34</v>
  </rv>
  <rv s="14">
    <fb>156.01</fb>
    <v>34</v>
  </rv>
  <rv s="14">
    <fb>61.53</fb>
    <v>34</v>
  </rv>
  <rv s="14">
    <fb>284.43</fb>
    <v>34</v>
  </rv>
  <rv s="14">
    <fb>111.04</fb>
    <v>34</v>
  </rv>
  <rv s="14">
    <fb>984.86</fb>
    <v>34</v>
  </rv>
  <rv s="14">
    <fb>166.15</fb>
    <v>34</v>
  </rv>
  <rv s="14">
    <fb>148.62</fb>
    <v>34</v>
  </rv>
  <rv s="14">
    <fb>97.79</fb>
    <v>34</v>
  </rv>
  <rv s="14">
    <fb>31.86</fb>
    <v>34</v>
  </rv>
  <rv s="14">
    <fb>57.94</fb>
    <v>34</v>
  </rv>
  <rv s="14">
    <fb>54.99</fb>
    <v>34</v>
  </rv>
  <rv s="14">
    <fb>21.597899999999999</fb>
    <v>34</v>
  </rv>
  <rv s="14">
    <fb>45681</fb>
    <v>33</v>
  </rv>
  <rv s="14">
    <fb>222.78</fb>
    <v>34</v>
  </rv>
  <rv s="14">
    <fb>142.62</fb>
    <v>34</v>
  </rv>
  <rv s="14">
    <fb>444.06</fb>
    <v>34</v>
  </rv>
  <rv s="14">
    <fb>647.49</fb>
    <v>34</v>
  </rv>
  <rv s="14">
    <fb>200.21</fb>
    <v>34</v>
  </rv>
  <rv s="14">
    <fb>607.97</fb>
    <v>34</v>
  </rv>
  <rv s="14">
    <fb>87.22</fb>
    <v>34</v>
  </rv>
  <rv s="14">
    <fb>255.65</fb>
    <v>34</v>
  </rv>
  <rv s="14">
    <fb>79.599999999999994</fb>
    <v>34</v>
  </rv>
  <rv s="14">
    <fb>92.47</fb>
    <v>34</v>
  </rv>
  <rv s="14">
    <fb>46.515900000000002</fb>
    <v>34</v>
  </rv>
  <rv s="14">
    <fb>172.06</fb>
    <v>34</v>
  </rv>
  <rv s="14">
    <fb>91.31</fb>
    <v>34</v>
  </rv>
  <rv s="14">
    <fb>14.98</fb>
    <v>34</v>
  </rv>
  <rv s="14">
    <fb>4.5999999999999996</fb>
    <v>35</v>
  </rv>
  <rv s="14">
    <fb>54.91</fb>
    <v>34</v>
  </rv>
  <rv s="14">
    <fb>86.88</fb>
    <v>34</v>
  </rv>
  <rv s="14">
    <fb>463.19</fb>
    <v>34</v>
  </rv>
  <rv s="14">
    <fb>264.83999999999997</fb>
    <v>34</v>
  </rv>
  <rv s="14">
    <fb>46.52</fb>
    <v>34</v>
  </rv>
  <rv s="14">
    <fb>108.66</fb>
    <v>34</v>
  </rv>
  <rv s="14">
    <fb>155.65</fb>
    <v>34</v>
  </rv>
  <rv s="14">
    <fb>146.82</fb>
    <v>34</v>
  </rv>
  <rv s="14">
    <fb>61.92</fb>
    <v>34</v>
  </rv>
  <rv s="14">
    <fb>285.45999999999998</fb>
    <v>34</v>
  </rv>
  <rv s="14">
    <fb>112.16</fb>
    <v>34</v>
  </rv>
  <rv s="14">
    <fb>977.59</fb>
    <v>34</v>
  </rv>
  <rv s="14">
    <fb>164.12</fb>
    <v>34</v>
  </rv>
  <rv s="14">
    <fb>149.12</fb>
    <v>34</v>
  </rv>
  <rv s="14">
    <fb>290.18</fb>
    <v>34</v>
  </rv>
  <rv s="14">
    <fb>96.46</fb>
    <v>34</v>
  </rv>
  <rv s="14">
    <fb>31.41</fb>
    <v>34</v>
  </rv>
  <rv s="14">
    <fb>58.06</fb>
    <v>34</v>
  </rv>
  <rv s="14">
    <fb>55.2</fb>
    <v>34</v>
  </rv>
  <rv s="14">
    <fb>21.584099999999999</fb>
    <v>34</v>
  </rv>
  <rv s="14">
    <fb>45684</fb>
    <v>33</v>
  </rv>
  <rv s="14">
    <fb>229.86</fb>
    <v>34</v>
  </rv>
  <rv s="14">
    <fb>118.42</fb>
    <v>34</v>
  </rv>
  <rv s="14">
    <fb>434.56</fb>
    <v>34</v>
  </rv>
  <rv s="14">
    <fb>659.88</fb>
    <v>34</v>
  </rv>
  <rv s="14">
    <fb>191.81</fb>
    <v>34</v>
  </rv>
  <rv s="14">
    <fb>599.37</fb>
    <v>34</v>
  </rv>
  <rv s="14">
    <fb>88.25</fb>
    <v>34</v>
  </rv>
  <rv s="14">
    <fb>252.99</fb>
    <v>34</v>
  </rv>
  <rv s="14">
    <fb>77.930000000000007</fb>
    <v>34</v>
  </rv>
  <rv s="14">
    <fb>93.07</fb>
    <v>34</v>
  </rv>
  <rv s="14">
    <fb>46.73</fb>
    <v>34</v>
  </rv>
  <rv s="14">
    <fb>167.26</fb>
    <v>34</v>
  </rv>
  <rv s="14">
    <fb>90.36</fb>
    <v>34</v>
  </rv>
  <rv s="14">
    <fb>14.67</fb>
    <v>34</v>
  </rv>
  <rv s="14">
    <fb>27.32</fb>
    <v>34</v>
  </rv>
  <rv s="14">
    <fb>54.32</fb>
    <v>34</v>
  </rv>
  <rv s="14">
    <fb>86.75</fb>
    <v>34</v>
  </rv>
  <rv s="14">
    <fb>474.7</fb>
    <v>34</v>
  </rv>
  <rv s="14">
    <fb>265.85000000000002</fb>
    <v>34</v>
  </rv>
  <rv s="14">
    <fb>47.09</fb>
    <v>34</v>
  </rv>
  <rv s="14">
    <fb>110.17</fb>
    <v>34</v>
  </rv>
  <rv s="14">
    <fb>157.22999999999999</fb>
    <v>34</v>
  </rv>
  <rv s="14">
    <fb>63.87</fb>
    <v>34</v>
  </rv>
  <rv s="14">
    <fb>293.08999999999997</fb>
    <v>34</v>
  </rv>
  <rv s="14">
    <fb>971.89</fb>
    <v>34</v>
  </rv>
  <rv s="14">
    <fb>169.66</fb>
    <v>34</v>
  </rv>
  <rv s="14">
    <fb>154.61000000000001</fb>
    <v>34</v>
  </rv>
  <rv s="14">
    <fb>284.95999999999998</fb>
    <v>34</v>
  </rv>
  <rv s="14">
    <fb>30.98</fb>
    <v>34</v>
  </rv>
  <rv s="14">
    <fb>22.59</fb>
    <v>34</v>
  </rv>
  <rv s="14">
    <fb>58.39</fb>
    <v>34</v>
  </rv>
  <rv s="14">
    <fb>55.87</fb>
    <v>34</v>
  </rv>
  <rv s="14">
    <fb>21.702200000000001</fb>
    <v>34</v>
  </rv>
  <rv s="14">
    <fb>45685</fb>
    <v>33</v>
  </rv>
  <rv s="14">
    <fb>238.26</fb>
    <v>34</v>
  </rv>
  <rv s="14">
    <fb>128.99</fb>
    <v>34</v>
  </rv>
  <rv s="14">
    <fb>447.2</fb>
    <v>34</v>
  </rv>
  <rv s="14">
    <fb>674.33</fb>
    <v>34</v>
  </rv>
  <rv s="14">
    <fb>195.3</fb>
    <v>34</v>
  </rv>
  <rv s="14">
    <fb>604.52</fb>
    <v>34</v>
  </rv>
  <rv s="14">
    <fb>88.19</fb>
    <v>34</v>
  </rv>
  <rv s="14">
    <fb>255.18</fb>
    <v>34</v>
  </rv>
  <rv s="14">
    <fb>78.86</fb>
    <v>34</v>
  </rv>
  <rv s="14">
    <fb>46.741799999999998</fb>
    <v>34</v>
  </rv>
  <rv s="14">
    <fb>169.31</fb>
    <v>34</v>
  </rv>
  <rv s="14">
    <fb>89.5</fb>
    <v>34</v>
  </rv>
  <rv s="14">
    <fb>14.85</fb>
    <v>34</v>
  </rv>
  <rv s="14">
    <fb>54.77</fb>
    <v>34</v>
  </rv>
  <rv s="14">
    <fb>86.19</fb>
    <v>34</v>
  </rv>
  <rv s="14">
    <fb>26.13</fb>
    <v>34</v>
  </rv>
  <rv s="14">
    <fb>26.38</fb>
    <v>34</v>
  </rv>
  <rv s="14">
    <fb>469.97</fb>
    <v>34</v>
  </rv>
  <rv s="14">
    <fb>267.14</fb>
    <v>34</v>
  </rv>
  <rv s="14">
    <fb>46.84</fb>
    <v>34</v>
  </rv>
  <rv s="14">
    <fb>108.04</fb>
    <v>34</v>
  </rv>
  <rv s="14">
    <fb>150.38</fb>
    <v>34</v>
  </rv>
  <rv s="14">
    <fb>62.36</fb>
    <v>34</v>
  </rv>
  <rv s="14">
    <fb>291.14999999999998</fb>
    <v>34</v>
  </rv>
  <rv s="14">
    <fb>112.14</fb>
    <v>34</v>
  </rv>
  <rv s="14">
    <fb>971.83</fb>
    <v>34</v>
  </rv>
  <rv s="14">
    <fb>166.19</fb>
    <v>34</v>
  </rv>
  <rv s="14">
    <fb>150.25</fb>
    <v>34</v>
  </rv>
  <rv s="14">
    <fb>279.98</fb>
    <v>34</v>
  </rv>
  <rv s="14">
    <fb>94.37</fb>
    <v>34</v>
  </rv>
  <rv s="14">
    <fb>30.784400000000002</fb>
    <v>34</v>
  </rv>
  <rv s="14">
    <fb>22.585000000000001</fb>
    <v>34</v>
  </rv>
  <rv s="14">
    <fb>58.32</fb>
    <v>34</v>
  </rv>
  <rv s="14">
    <fb>55.78</fb>
    <v>34</v>
  </rv>
  <rv s="14">
    <fb>28.84</fb>
    <v>34</v>
  </rv>
  <rv s="14">
    <fb>21.515599999999999</fb>
    <v>34</v>
  </rv>
  <rv s="14">
    <fb>45686</fb>
    <v>33</v>
  </rv>
  <rv s="14">
    <fb>239.36</fb>
    <v>34</v>
  </rv>
  <rv s="14">
    <fb>123.7</fb>
    <v>34</v>
  </rv>
  <rv s="14">
    <fb>442.33</fb>
    <v>34</v>
  </rv>
  <rv s="14">
    <fb>676.49</fb>
    <v>34</v>
  </rv>
  <rv s="14">
    <fb>195.41</fb>
    <v>34</v>
  </rv>
  <rv s="14">
    <fb>601.80999999999995</fb>
    <v>34</v>
  </rv>
  <rv s="14">
    <fb>88.01</fb>
    <v>34</v>
  </rv>
  <rv s="14">
    <fb>254.2</fb>
    <v>34</v>
  </rv>
  <rv s="14">
    <fb>77.78</fb>
    <v>34</v>
  </rv>
  <rv s="14">
    <fb>92.97</fb>
    <v>34</v>
  </rv>
  <rv s="14">
    <fb>46.729700000000001</fb>
    <v>34</v>
  </rv>
  <rv s="14">
    <fb>171.1</fb>
    <v>34</v>
  </rv>
  <rv s="14">
    <fb>89.7</fb>
    <v>34</v>
  </rv>
  <rv s="14">
    <fb>14.66</fb>
    <v>34</v>
  </rv>
  <rv s="14">
    <fb>4.9800000000000004</fb>
    <v>34</v>
  </rv>
  <rv s="14">
    <fb>54.58</fb>
    <v>34</v>
  </rv>
  <rv s="14">
    <fb>469.26</fb>
    <v>34</v>
  </rv>
  <rv s="14">
    <fb>266.58</fb>
    <v>34</v>
  </rv>
  <rv s="14">
    <fb>108.67</fb>
    <v>34</v>
  </rv>
  <rv s="14">
    <fb>155.69</fb>
    <v>34</v>
  </rv>
  <rv s="14">
    <fb>151.15</fb>
    <v>34</v>
  </rv>
  <rv s="14">
    <fb>62.83</fb>
    <v>34</v>
  </rv>
  <rv s="14">
    <fb>290.11</fb>
    <v>34</v>
  </rv>
  <rv s="14">
    <fb>113.19</fb>
    <v>34</v>
  </rv>
  <rv s="14">
    <fb>978.15</fb>
    <v>34</v>
  </rv>
  <rv s="14">
    <fb>166.23</fb>
    <v>34</v>
  </rv>
  <rv s="14">
    <fb>150.37</fb>
    <v>34</v>
  </rv>
  <rv s="14">
    <fb>278.27</fb>
    <v>34</v>
  </rv>
  <rv s="14">
    <fb>30.8643</fb>
    <v>34</v>
  </rv>
  <rv s="14">
    <fb>22.56</fb>
    <v>34</v>
  </rv>
  <rv s="14">
    <fb>55.7</fb>
    <v>34</v>
  </rv>
  <rv s="14">
    <fb>28.81</fb>
    <v>34</v>
  </rv>
  <rv s="14">
    <fb>21.222100000000001</fb>
    <v>34</v>
  </rv>
  <rv s="14">
    <fb>45687</fb>
    <v>33</v>
  </rv>
  <rv s="14">
    <fb>237.59</fb>
    <v>34</v>
  </rv>
  <rv s="14">
    <fb>124.65</fb>
    <v>34</v>
  </rv>
  <rv s="14">
    <fb>414.99</fb>
    <v>34</v>
  </rv>
  <rv s="14">
    <fb>687</fb>
    <v>34</v>
  </rv>
  <rv s="14">
    <fb>200.87</fb>
    <v>34</v>
  </rv>
  <rv s="14">
    <fb>605.04</fb>
    <v>34</v>
  </rv>
  <rv s="14">
    <fb>88.34</fb>
    <v>34</v>
  </rv>
  <rv s="14">
    <fb>258.05</fb>
    <v>34</v>
  </rv>
  <rv s="14">
    <fb>77.75</fb>
    <v>34</v>
  </rv>
  <rv s="14">
    <fb>93.17</fb>
    <v>34</v>
  </rv>
  <rv s="14">
    <fb>46.798200000000001</fb>
    <v>34</v>
  </rv>
  <rv s="14">
    <fb>171.76</fb>
    <v>34</v>
  </rv>
  <rv s="14">
    <fb>90.16</fb>
    <v>34</v>
  </rv>
  <rv s="14">
    <fb>14.64</fb>
    <v>34</v>
  </rv>
  <rv s="14">
    <fb>27.72</fb>
    <v>34</v>
  </rv>
  <rv s="14">
    <fb>55.39</fb>
    <v>34</v>
  </rv>
  <rv s="14">
    <fb>88.76</fb>
    <v>34</v>
  </rv>
  <rv s="14">
    <fb>51.09</fb>
    <v>34</v>
  </rv>
  <rv s="14">
    <fb>472.35</fb>
    <v>34</v>
  </rv>
  <rv s="14">
    <fb>268.23</fb>
    <v>34</v>
  </rv>
  <rv s="14">
    <fb>109.57</fb>
    <v>34</v>
  </rv>
  <rv s="14">
    <fb>156.32</fb>
    <v>34</v>
  </rv>
  <rv s="14">
    <fb>152.87</fb>
    <v>34</v>
  </rv>
  <rv s="14">
    <fb>64.05</fb>
    <v>34</v>
  </rv>
  <rv s="14">
    <fb>290.32</fb>
    <v>34</v>
  </rv>
  <rv s="14">
    <fb>113.43</fb>
    <v>34</v>
  </rv>
  <rv s="14">
    <fb>973.24</fb>
    <v>34</v>
  </rv>
  <rv s="14">
    <fb>167.41</fb>
    <v>34</v>
  </rv>
  <rv s="14">
    <fb>151.9</fb>
    <v>34</v>
  </rv>
  <rv s="14">
    <fb>279.36</fb>
    <v>34</v>
  </rv>
  <rv s="14">
    <fb>30.700099999999999</fb>
    <v>34</v>
  </rv>
  <rv s="14">
    <fb>58.4</fb>
    <v>34</v>
  </rv>
  <rv s="14">
    <fb>55.92</fb>
    <v>34</v>
  </rv>
  <rv s="14">
    <fb>28.86</fb>
    <v>34</v>
  </rv>
  <rv s="14">
    <fb>21.499099999999999</fb>
    <v>34</v>
  </rv>
  <rv s="14">
    <fb>45688</fb>
    <v>33</v>
  </rv>
  <rv s="14">
    <fb>236</fb>
    <v>34</v>
  </rv>
  <rv s="14">
    <fb>120.07</fb>
    <v>34</v>
  </rv>
  <rv s="14">
    <fb>415.06</fb>
    <v>34</v>
  </rv>
  <rv s="14">
    <fb>689.18</fb>
    <v>34</v>
  </rv>
  <rv s="14">
    <fb>204.02</fb>
    <v>34</v>
  </rv>
  <rv s="14">
    <fb>601.82000000000005</fb>
    <v>34</v>
  </rv>
  <rv s="14">
    <fb>87.76</fb>
    <v>34</v>
  </rv>
  <rv s="14">
    <fb>258.56</fb>
    <v>34</v>
  </rv>
  <rv s="14">
    <fb>78.02</fb>
    <v>34</v>
  </rv>
  <rv s="14">
    <fb>93.02</fb>
    <v>34</v>
  </rv>
  <rv s="14">
    <fb>46.669699999999999</fb>
    <v>34</v>
  </rv>
  <rv s="14">
    <fb>170.98</fb>
    <v>34</v>
  </rv>
  <rv s="14">
    <fb>87.64</fb>
    <v>34</v>
  </rv>
  <rv s="14">
    <fb>14.72</fb>
    <v>34</v>
  </rv>
  <rv s="14">
    <fb>28.51</fb>
    <v>34</v>
  </rv>
  <rv s="14">
    <fb>55.48</fb>
    <v>34</v>
  </rv>
  <rv s="14">
    <fb>89.79</fb>
    <v>34</v>
  </rv>
  <rv s="14">
    <fb>29.1</fb>
    <v>34</v>
  </rv>
  <rv s="14">
    <fb>468.67</fb>
    <v>34</v>
  </rv>
  <rv s="14">
    <fb>267.3</fb>
    <v>34</v>
  </rv>
  <rv s="14">
    <fb>46.3</fb>
    <v>34</v>
  </rv>
  <rv s="14">
    <fb>106.83</fb>
    <v>34</v>
  </rv>
  <rv s="14">
    <fb>149.19</fb>
    <v>34</v>
  </rv>
  <rv s="14">
    <fb>152.15</fb>
    <v>34</v>
  </rv>
  <rv s="14">
    <fb>63.48</fb>
    <v>34</v>
  </rv>
  <rv s="14">
    <fb>288.7</fb>
    <v>34</v>
  </rv>
  <rv s="14">
    <fb>113.06</fb>
    <v>34</v>
  </rv>
  <rv s="14">
    <fb>976.76</fb>
    <v>34</v>
  </rv>
  <rv s="14">
    <fb>165.99</fb>
    <v>34</v>
  </rv>
  <rv s="14">
    <fb>150.69</fb>
    <v>34</v>
  </rv>
  <rv s="14">
    <fb>276.95999999999998</fb>
    <v>34</v>
  </rv>
  <rv s="14">
    <fb>29.91</fb>
    <v>34</v>
  </rv>
  <rv s="14">
    <fb>22.58</fb>
    <v>34</v>
  </rv>
  <rv s="14">
    <fb>58.41</fb>
    <v>34</v>
  </rv>
  <rv s="14">
    <fb>55.67</fb>
    <v>34</v>
  </rv>
  <rv s="14">
    <fb>21.472300000000001</fb>
    <v>34</v>
  </rv>
  <rv s="14">
    <fb>45691</fb>
    <v>33</v>
  </rv>
  <rv s="14">
    <fb>228.01</fb>
    <v>34</v>
  </rv>
  <rv s="14">
    <fb>116.66</fb>
    <v>34</v>
  </rv>
  <rv s="14">
    <fb>410.92</fb>
    <v>34</v>
  </rv>
  <rv s="14">
    <fb>697.46</fb>
    <v>34</v>
  </rv>
  <rv s="14">
    <fb>201.23</fb>
    <v>34</v>
  </rv>
  <rv s="14">
    <fb>597.77</fb>
    <v>34</v>
  </rv>
  <rv s="14">
    <fb>88.16</fb>
    <v>34</v>
  </rv>
  <rv s="14">
    <fb>259.94</fb>
    <v>34</v>
  </rv>
  <rv s="14">
    <fb>77.819999999999993</fb>
    <v>34</v>
  </rv>
  <rv s="14">
    <fb>92.79</fb>
    <v>34</v>
  </rv>
  <rv s="14">
    <fb>167.12</fb>
    <v>34</v>
  </rv>
  <rv s="14">
    <fb>5</fb>
    <v>34</v>
  </rv>
  <rv s="14">
    <fb>55.81</fb>
    <v>34</v>
  </rv>
  <rv s="14">
    <fb>464.61</fb>
    <v>34</v>
  </rv>
  <rv s="14">
    <fb>266.81</fb>
    <v>34</v>
  </rv>
  <rv s="14">
    <fb>107.09</fb>
    <v>34</v>
  </rv>
  <rv s="14">
    <fb>149.34</fb>
    <v>34</v>
  </rv>
  <rv s="14">
    <fb>63.35</fb>
    <v>34</v>
  </rv>
  <rv s="14">
    <fb>290.05</fb>
    <v>34</v>
  </rv>
  <rv s="14">
    <fb>114</fb>
    <v>34</v>
  </rv>
  <rv s="14">
    <fb>978.94</fb>
    <v>34</v>
  </rv>
  <rv s="14">
    <fb>168.76</fb>
    <v>34</v>
  </rv>
  <rv s="14">
    <fb>150.27000000000001</fb>
    <v>34</v>
  </rv>
  <rv s="14">
    <fb>275.94</fb>
    <v>34</v>
  </rv>
  <rv s="14">
    <fb>22.53</fb>
    <v>34</v>
  </rv>
  <rv s="14">
    <fb>55.77</fb>
    <v>34</v>
  </rv>
  <rv s="14">
    <fb>28.7</fb>
    <v>34</v>
  </rv>
  <rv s="14">
    <fb>21.387899999999998</fb>
    <v>34</v>
  </rv>
  <rv s="14">
    <fb>45692</fb>
    <v>33</v>
  </rv>
  <rv s="14">
    <fb>232.8</fb>
    <v>34</v>
  </rv>
  <rv s="14">
    <fb>118.65</fb>
    <v>34</v>
  </rv>
  <rv s="14">
    <fb>412.37</fb>
    <v>34</v>
  </rv>
  <rv s="14">
    <fb>704.19</fb>
    <v>34</v>
  </rv>
  <rv s="14">
    <fb>206.38</fb>
    <v>34</v>
  </rv>
  <rv s="14">
    <fb>601.78</fb>
    <v>34</v>
  </rv>
  <rv s="14">
    <fb>88.43</fb>
    <v>34</v>
  </rv>
  <rv s="14">
    <fb>262.5</fb>
    <v>34</v>
  </rv>
  <rv s="14">
    <fb>77.510000000000005</fb>
    <v>34</v>
  </rv>
  <rv s="14">
    <fb>46.83</fb>
    <v>34</v>
  </rv>
  <rv s="14">
    <fb>162.59</fb>
    <v>34</v>
  </rv>
  <rv s="14">
    <fb>90.04</fb>
    <v>34</v>
  </rv>
  <rv s="14">
    <fb>27.73</fb>
    <v>34</v>
  </rv>
  <rv s="14">
    <fb>5.09</fb>
    <v>34</v>
  </rv>
  <rv s="14">
    <fb>56.36</fb>
    <v>34</v>
  </rv>
  <rv s="14">
    <fb>88.5</fb>
    <v>34</v>
  </rv>
  <rv s="14">
    <fb>26.24</fb>
    <v>34</v>
  </rv>
  <rv s="14">
    <fb>467.49</fb>
    <v>34</v>
  </rv>
  <rv s="14">
    <fb>267.94</fb>
    <v>34</v>
  </rv>
  <rv s="14">
    <fb>46.71</fb>
    <v>34</v>
  </rv>
  <rv s="14">
    <fb>109.96</fb>
    <v>34</v>
  </rv>
  <rv s="14">
    <fb>153.22</fb>
    <v>34</v>
  </rv>
  <rv s="14">
    <fb>153.49</fb>
    <v>34</v>
  </rv>
  <rv s="14">
    <fb>62.67</fb>
    <v>34</v>
  </rv>
  <rv s="14">
    <fb>289.77</fb>
    <v>34</v>
  </rv>
  <rv s="14">
    <fb>113.3</fb>
    <v>34</v>
  </rv>
  <rv s="14">
    <fb>994.87</fb>
    <v>34</v>
  </rv>
  <rv s="14">
    <fb>168.13</fb>
    <v>34</v>
  </rv>
  <rv s="14">
    <fb>143.49</fb>
    <v>34</v>
  </rv>
  <rv s="14">
    <fb>283.08</fb>
    <v>34</v>
  </rv>
  <rv s="14">
    <fb>94.93</fb>
    <v>34</v>
  </rv>
  <rv s="14">
    <fb>22.565000000000001</fb>
    <v>34</v>
  </rv>
  <rv s="14">
    <fb>55.94</fb>
    <v>34</v>
  </rv>
  <rv s="14">
    <fb>28.75</fb>
    <v>34</v>
  </rv>
  <rv s="14">
    <fb>21.623100000000001</fb>
    <v>34</v>
  </rv>
  <rv s="14">
    <fb>45693</fb>
    <v>33</v>
  </rv>
  <rv s="14">
    <fb>232.47</fb>
    <v>34</v>
  </rv>
  <rv s="14">
    <fb>124.83</fb>
    <v>34</v>
  </rv>
  <rv s="14">
    <fb>413.29</fb>
    <v>34</v>
  </rv>
  <rv s="14">
    <fb>704.87</fb>
    <v>34</v>
  </rv>
  <rv s="14">
    <fb>191.33</fb>
    <v>34</v>
  </rv>
  <rv s="14">
    <fb>604.22</fb>
    <v>34</v>
  </rv>
  <rv s="14">
    <fb>89.89</fb>
    <v>34</v>
  </rv>
  <rv s="14">
    <fb>264.13</fb>
    <v>34</v>
  </rv>
  <rv s="14">
    <fb>76.09</fb>
    <v>34</v>
  </rv>
  <rv s="14">
    <fb>47.094999999999999</fb>
    <v>34</v>
  </rv>
  <rv s="14">
    <fb>165.75</fb>
    <v>34</v>
  </rv>
  <rv s="14">
    <fb>29.35</fb>
    <v>34</v>
  </rv>
  <rv s="14">
    <fb>5.05</fb>
    <v>34</v>
  </rv>
  <rv s="14">
    <fb>56.73</fb>
    <v>34</v>
  </rv>
  <rv s="14">
    <fb>89.84</fb>
    <v>34</v>
  </rv>
  <rv s="14">
    <fb>26.86</fb>
    <v>34</v>
  </rv>
  <rv s="14">
    <fb>473.73</fb>
    <v>34</v>
  </rv>
  <rv s="14">
    <fb>270.43</fb>
    <v>34</v>
  </rv>
  <rv s="14">
    <fb>47.11</fb>
    <v>34</v>
  </rv>
  <rv s="14">
    <fb>109.88</fb>
    <v>34</v>
  </rv>
  <rv s="14">
    <fb>152.99</fb>
    <v>34</v>
  </rv>
  <rv s="14">
    <fb>154.69</fb>
    <v>34</v>
  </rv>
  <rv s="14">
    <fb>288.83</fb>
    <v>34</v>
  </rv>
  <rv s="14">
    <fb>110.54</fb>
    <v>34</v>
  </rv>
  <rv s="14">
    <fb>1011.11</fb>
    <v>34</v>
  </rv>
  <rv s="14">
    <fb>169.01</fb>
    <v>34</v>
  </rv>
  <rv s="14">
    <fb>145.66</fb>
    <v>34</v>
  </rv>
  <rv s="14">
    <fb>285.29000000000002</fb>
    <v>34</v>
  </rv>
  <rv s="14">
    <fb>94.83</fb>
    <v>34</v>
  </rv>
  <rv s="14">
    <fb>30.48</fb>
    <v>34</v>
  </rv>
  <rv s="14">
    <fb>56.76</fb>
    <v>34</v>
  </rv>
  <rv s="14">
    <fb>21.67</fb>
    <v>34</v>
  </rv>
  <rv s="14">
    <fb>45694</fb>
    <v>33</v>
  </rv>
  <rv s="14">
    <fb>233.22</fb>
    <v>34</v>
  </rv>
  <rv s="14">
    <fb>128.68</fb>
    <v>34</v>
  </rv>
  <rv s="14">
    <fb>415.82</fb>
    <v>34</v>
  </rv>
  <rv s="14">
    <fb>711.99</fb>
    <v>34</v>
  </rv>
  <rv s="14">
    <fb>191.6</fb>
    <v>34</v>
  </rv>
  <rv s="14">
    <fb>606.32000000000005</fb>
    <v>34</v>
  </rv>
  <rv s="14">
    <fb>89.85</fb>
    <v>34</v>
  </rv>
  <rv s="14">
    <fb>263.43</fb>
    <v>34</v>
  </rv>
  <rv s="14">
    <fb>75.45</fb>
    <v>34</v>
  </rv>
  <rv s="14">
    <fb>93.45</fb>
    <v>34</v>
  </rv>
  <rv s="14">
    <fb>47.055</fb>
    <v>34</v>
  </rv>
  <rv s="14">
    <fb>164.88</fb>
    <v>34</v>
  </rv>
  <rv s="14">
    <fb>88.57</fb>
    <v>34</v>
  </rv>
  <rv s="14">
    <fb>14.22</fb>
    <v>34</v>
  </rv>
  <rv s="14">
    <fb>27.68</fb>
    <v>34</v>
  </rv>
  <rv s="14">
    <fb>5.17</fb>
    <v>34</v>
  </rv>
  <rv s="14">
    <fb>56.57</fb>
    <v>34</v>
  </rv>
  <rv s="14">
    <fb>90.73</fb>
    <v>34</v>
  </rv>
  <rv s="14">
    <fb>477.22</fb>
    <v>34</v>
  </rv>
  <rv s="14">
    <fb>276.89999999999998</fb>
    <v>34</v>
  </rv>
  <rv s="14">
    <fb>47.74</fb>
    <v>34</v>
  </rv>
  <rv s="14">
    <fb>108.43</fb>
    <v>34</v>
  </rv>
  <rv s="14">
    <fb>153.51</fb>
    <v>34</v>
  </rv>
  <rv s="14">
    <fb>294.36</fb>
    <v>34</v>
  </rv>
  <rv s="14">
    <fb>112.09</fb>
    <v>34</v>
  </rv>
  <rv s="14">
    <fb>1015.68</fb>
    <v>34</v>
  </rv>
  <rv s="14">
    <fb>168.88</fb>
    <v>34</v>
  </rv>
  <rv s="14">
    <fb>145.35</fb>
    <v>34</v>
  </rv>
  <rv s="14">
    <fb>93.03</fb>
    <v>34</v>
  </rv>
  <rv s="14">
    <fb>29.77</fb>
    <v>34</v>
  </rv>
  <rv s="14">
    <fb>22.66</fb>
    <v>34</v>
  </rv>
  <rv s="14">
    <fb>56.77</fb>
    <v>34</v>
  </rv>
  <rv s="14">
    <fb>21.774100000000001</fb>
    <v>34</v>
  </rv>
  <rv s="14">
    <fb>45695</fb>
    <v>33</v>
  </rv>
  <rv s="14">
    <fb>227.63</fb>
    <v>34</v>
  </rv>
  <rv s="14">
    <fb>129.84</fb>
    <v>34</v>
  </rv>
  <rv s="14">
    <fb>409.75</fb>
    <v>34</v>
  </rv>
  <rv s="14">
    <fb>714.52</fb>
    <v>34</v>
  </rv>
  <rv s="14">
    <fb>185.34</fb>
    <v>34</v>
  </rv>
  <rv s="14">
    <fb>600.77</fb>
    <v>34</v>
  </rv>
  <rv s="14">
    <fb>89.27</fb>
    <v>34</v>
  </rv>
  <rv s="14">
    <fb>263.89999999999998</fb>
    <v>34</v>
  </rv>
  <rv s="14">
    <fb>75.86</fb>
    <v>34</v>
  </rv>
  <rv s="14">
    <fb>93.14</fb>
    <v>34</v>
  </rv>
  <rv s="14">
    <fb>46.908999999999999</fb>
    <v>34</v>
  </rv>
  <rv s="14">
    <fb>88.56</fb>
    <v>34</v>
  </rv>
  <rv s="14">
    <fb>56.69</fb>
    <v>34</v>
  </rv>
  <rv s="14">
    <fb>88.97</fb>
    <v>34</v>
  </rv>
  <rv s="14">
    <fb>26.7</fb>
    <v>34</v>
  </rv>
  <rv s="14">
    <fb>472.74</fb>
    <v>34</v>
  </rv>
  <rv s="14">
    <fb>275.8</fb>
    <v>34</v>
  </rv>
  <rv s="14">
    <fb>108.89</fb>
    <v>34</v>
  </rv>
  <rv s="14">
    <fb>152.62</fb>
    <v>34</v>
  </rv>
  <rv s="14">
    <fb>153.12</fb>
    <v>34</v>
  </rv>
  <rv s="14">
    <fb>294.3</fb>
    <v>34</v>
  </rv>
  <rv s="14">
    <fb>110.86</fb>
    <v>34</v>
  </rv>
  <rv s="14">
    <fb>1013.93</fb>
    <v>34</v>
  </rv>
  <rv s="14">
    <fb>167.97</fb>
    <v>34</v>
  </rv>
  <rv s="14">
    <fb>144.58000000000001</fb>
    <v>34</v>
  </rv>
  <rv s="14">
    <fb>275.44</fb>
    <v>34</v>
  </rv>
  <rv s="14">
    <fb>92.39</fb>
    <v>34</v>
  </rv>
  <rv s="14">
    <fb>29.7</fb>
    <v>34</v>
  </rv>
  <rv s="14">
    <fb>56.44</fb>
    <v>34</v>
  </rv>
  <rv s="14">
    <fb>28.78</fb>
    <v>34</v>
  </rv>
  <rv s="14">
    <fb>45698</fb>
    <v>33</v>
  </rv>
  <rv s="14">
    <fb>227.65</fb>
    <v>34</v>
  </rv>
  <rv s="14">
    <fb>412.22</fb>
    <v>34</v>
  </rv>
  <rv s="14">
    <fb>717.4</fb>
    <v>34</v>
  </rv>
  <rv s="14">
    <fb>186.47</fb>
    <v>34</v>
  </rv>
  <rv s="14">
    <fb>604.85</fb>
    <v>34</v>
  </rv>
  <rv s="14">
    <fb>89</fb>
    <v>34</v>
  </rv>
  <rv s="14">
    <fb>268.37</fb>
    <v>34</v>
  </rv>
  <rv s="14">
    <fb>77.400000000000006</fb>
    <v>34</v>
  </rv>
  <rv s="14">
    <fb>93.12</fb>
    <v>34</v>
  </rv>
  <rv s="14">
    <fb>46.884999999999998</fb>
    <v>34</v>
  </rv>
  <rv s="14">
    <fb>162.16999999999999</fb>
    <v>34</v>
  </rv>
  <rv s="14">
    <fb>90.51</fb>
    <v>34</v>
  </rv>
  <rv s="14">
    <fb>5.0999999999999996</fb>
    <v>34</v>
  </rv>
  <rv s="14">
    <fb>57.61</fb>
    <v>34</v>
  </rv>
  <rv s="14">
    <fb>90.53</fb>
    <v>34</v>
  </rv>
  <rv s="14">
    <fb>26.63</fb>
    <v>34</v>
  </rv>
  <rv s="14">
    <fb>470.17</fb>
    <v>34</v>
  </rv>
  <rv s="14">
    <fb>271.04000000000002</fb>
    <v>34</v>
  </rv>
  <rv s="14">
    <fb>46.67</fb>
    <v>34</v>
  </rv>
  <rv s="14">
    <fb>110.97</fb>
    <v>34</v>
  </rv>
  <rv s="14">
    <fb>155.77000000000001</fb>
    <v>34</v>
  </rv>
  <rv s="14">
    <fb>154.24</fb>
    <v>34</v>
  </rv>
  <rv s="14">
    <fb>308.42</fb>
    <v>34</v>
  </rv>
  <rv s="14">
    <fb>109.28</fb>
    <v>34</v>
  </rv>
  <rv s="14">
    <fb>1027.5999999999999</fb>
    <v>34</v>
  </rv>
  <rv s="14">
    <fb>167.53</fb>
    <v>34</v>
  </rv>
  <rv s="14">
    <fb>144.35</fb>
    <v>34</v>
  </rv>
  <rv s="14">
    <fb>283.39999999999998</fb>
    <v>34</v>
  </rv>
  <rv s="14">
    <fb>95.16</fb>
    <v>34</v>
  </rv>
  <rv s="14">
    <fb>56.31</fb>
    <v>34</v>
  </rv>
  <rv s="14">
    <fb>21.658200000000001</fb>
    <v>34</v>
  </rv>
  <rv s="14">
    <fb>45699</fb>
    <v>33</v>
  </rv>
  <rv s="14">
    <fb>232.62</fb>
    <v>34</v>
  </rv>
  <rv s="14">
    <fb>132.80000000000001</fb>
    <v>34</v>
  </rv>
  <rv s="14">
    <fb>411.44</fb>
    <v>34</v>
  </rv>
  <rv s="14">
    <fb>719.8</fb>
    <v>34</v>
  </rv>
  <rv s="14">
    <fb>185.32</fb>
    <v>34</v>
  </rv>
  <rv s="14">
    <fb>605.30999999999995</fb>
    <v>34</v>
  </rv>
  <rv s="14">
    <fb>267.39</fb>
    <v>34</v>
  </rv>
  <rv s="14">
    <fb>78.27</fb>
    <v>34</v>
  </rv>
  <rv s="14">
    <fb>92.88</fb>
    <v>34</v>
  </rv>
  <rv s="14">
    <fb>46.814999999999998</fb>
    <v>34</v>
  </rv>
  <rv s="14">
    <fb>158.08000000000001</fb>
    <v>34</v>
  </rv>
  <rv s="14">
    <fb>91.24</fb>
    <v>34</v>
  </rv>
  <rv s="14">
    <fb>14.744999999999999</fb>
    <v>34</v>
  </rv>
  <rv s="14">
    <fb>57.41</fb>
    <v>34</v>
  </rv>
  <rv s="14">
    <fb>26.48</fb>
    <v>34</v>
  </rv>
  <rv s="14">
    <fb>472.61</fb>
    <v>34</v>
  </rv>
  <rv s="14">
    <fb>274.99</fb>
    <v>34</v>
  </rv>
  <rv s="14">
    <fb>46.79</fb>
    <v>34</v>
  </rv>
  <rv s="14">
    <fb>111.67</fb>
    <v>34</v>
  </rv>
  <rv s="14">
    <fb>157.44</fb>
    <v>34</v>
  </rv>
  <rv s="14">
    <fb>156.13</fb>
    <v>34</v>
  </rv>
  <rv s="14">
    <fb>67.599999999999994</fb>
    <v>34</v>
  </rv>
  <rv s="14">
    <fb>310.20999999999998</fb>
    <v>34</v>
  </rv>
  <rv s="14">
    <fb>109.02</fb>
    <v>34</v>
  </rv>
  <rv s="14">
    <fb>1008.08</fb>
    <v>34</v>
  </rv>
  <rv s="14">
    <fb>169.43</fb>
    <v>34</v>
  </rv>
  <rv s="14">
    <fb>145.63999999999999</fb>
    <v>34</v>
  </rv>
  <rv s="14">
    <fb>285.13</fb>
    <v>34</v>
  </rv>
  <rv s="14">
    <fb>96.39</fb>
    <v>34</v>
  </rv>
  <rv s="14">
    <fb>31.079899999999999</fb>
    <v>34</v>
  </rv>
  <rv s="14">
    <fb>22.55</fb>
    <v>34</v>
  </rv>
  <rv s="14">
    <fb>58.19</fb>
    <v>34</v>
  </rv>
  <rv s="14">
    <fb>55.98</fb>
    <v>34</v>
  </rv>
  <rv s="14">
    <fb>21.699100000000001</fb>
    <v>34</v>
  </rv>
  <rv s="14">
    <fb>45700</fb>
    <v>33</v>
  </rv>
  <rv s="14">
    <fb>236.87</fb>
    <v>34</v>
  </rv>
  <rv s="14">
    <fb>131.13999999999999</fb>
    <v>34</v>
  </rv>
  <rv s="14">
    <fb>409.04</fb>
    <v>34</v>
  </rv>
  <rv s="14">
    <fb>725.38</fb>
    <v>34</v>
  </rv>
  <rv s="14">
    <fb>183.61</fb>
    <v>34</v>
  </rv>
  <rv s="14">
    <fb>603.36</fb>
    <v>34</v>
  </rv>
  <rv s="14">
    <fb>87.23</fb>
    <v>34</v>
  </rv>
  <rv s="14">
    <fb>267.67</fb>
    <v>34</v>
  </rv>
  <rv s="14">
    <fb>76.319999999999993</fb>
    <v>34</v>
  </rv>
  <rv s="14">
    <fb>46.578600000000002</fb>
    <v>34</v>
  </rv>
  <rv s="14">
    <fb>89.04</fb>
    <v>34</v>
  </rv>
  <rv s="14">
    <fb>4.1500000000000004</fb>
    <v>35</v>
  </rv>
  <rv s="14">
    <fb>29.34</fb>
    <v>34</v>
  </rv>
  <rv s="14">
    <fb>5.07</fb>
    <v>34</v>
  </rv>
  <rv s="14">
    <fb>90.85</fb>
    <v>34</v>
  </rv>
  <rv s="14">
    <fb>471.73</fb>
    <v>34</v>
  </rv>
  <rv s="14">
    <fb>275.45</fb>
    <v>34</v>
  </rv>
  <rv s="14">
    <fb>107.35</fb>
    <v>34</v>
  </rv>
  <rv s="14">
    <fb>154.9</fb>
    <v>34</v>
  </rv>
  <rv s="14">
    <fb>155.26</fb>
    <v>34</v>
  </rv>
  <rv s="14">
    <fb>68.709999999999994</fb>
    <v>34</v>
  </rv>
  <rv s="14">
    <fb>307.60000000000002</fb>
    <v>34</v>
  </rv>
  <rv s="14">
    <fb>109.23</fb>
    <v>34</v>
  </rv>
  <rv s="14">
    <fb>1027.31</fb>
    <v>34</v>
  </rv>
  <rv s="14">
    <fb>143.99</fb>
    <v>34</v>
  </rv>
  <rv s="14">
    <fb>279.76</fb>
    <v>34</v>
  </rv>
  <rv s="14">
    <fb>30.01</fb>
    <v>34</v>
  </rv>
  <rv s="14">
    <fb>58.11</fb>
    <v>34</v>
  </rv>
  <rv s="14">
    <fb>55.26</fb>
    <v>34</v>
  </rv>
  <rv s="14">
    <fb>21.530100000000001</fb>
    <v>34</v>
  </rv>
  <rv s="14">
    <fb>45701</fb>
    <v>33</v>
  </rv>
  <rv s="14">
    <fb>135.29</fb>
    <v>34</v>
  </rv>
  <rv s="14">
    <fb>410.54</fb>
    <v>34</v>
  </rv>
  <rv s="14">
    <fb>728.56</fb>
    <v>34</v>
  </rv>
  <rv s="14">
    <fb>186.14</fb>
    <v>34</v>
  </rv>
  <rv s="14">
    <fb>609.73</fb>
    <v>34</v>
  </rv>
  <rv s="14">
    <fb>88.68</fb>
    <v>34</v>
  </rv>
  <rv s="14">
    <fb>270.31</fb>
    <v>34</v>
  </rv>
  <rv s="14">
    <fb>76.39</fb>
    <v>34</v>
  </rv>
  <rv s="14">
    <fb>92.93</fb>
    <v>34</v>
  </rv>
  <rv s="14">
    <fb>46.87</fb>
    <v>34</v>
  </rv>
  <rv s="14">
    <fb>157.91999999999999</fb>
    <v>34</v>
  </rv>
  <rv s="14">
    <fb>89.71</fb>
    <v>34</v>
  </rv>
  <rv s="14">
    <fb>29.46</fb>
    <v>34</v>
  </rv>
  <rv s="14">
    <fb>28.19</fb>
    <v>34</v>
  </rv>
  <rv s="14">
    <fb>480.49</fb>
    <v>34</v>
  </rv>
  <rv s="14">
    <fb>276.32</fb>
    <v>34</v>
  </rv>
  <rv s="14">
    <fb>46.33</fb>
    <v>34</v>
  </rv>
  <rv s="14">
    <fb>108.13</fb>
    <v>34</v>
  </rv>
  <rv s="14">
    <fb>155.88</fb>
    <v>34</v>
  </rv>
  <rv s="14">
    <fb>157.25</fb>
    <v>34</v>
  </rv>
  <rv s="14">
    <fb>69.5</fb>
    <v>34</v>
  </rv>
  <rv s="14">
    <fb>310.02</fb>
    <v>34</v>
  </rv>
  <rv s="14">
    <fb>109.59</fb>
    <v>34</v>
  </rv>
  <rv s="14">
    <fb>1043.69</fb>
    <v>34</v>
  </rv>
  <rv s="14">
    <fb>171.02</fb>
    <v>34</v>
  </rv>
  <rv s="14">
    <fb>282.05</fb>
    <v>34</v>
  </rv>
  <rv s="14">
    <fb>93.62</fb>
    <v>34</v>
  </rv>
  <rv s="14">
    <fb>30.17</fb>
    <v>34</v>
  </rv>
  <rv s="14">
    <fb>22.555</fb>
    <v>34</v>
  </rv>
  <rv s="14">
    <fb>56.08</fb>
    <v>34</v>
  </rv>
  <rv s="14">
    <fb>21.662099999999999</fb>
    <v>34</v>
  </rv>
  <rv s="14">
    <fb>45702</fb>
    <v>33</v>
  </rv>
  <rv s="14">
    <fb>244.6</fb>
    <v>34</v>
  </rv>
  <rv s="14">
    <fb>138.85</fb>
    <v>34</v>
  </rv>
  <rv s="14">
    <fb>408.43</fb>
    <v>34</v>
  </rv>
  <rv s="14">
    <fb>736.67</fb>
    <v>34</v>
  </rv>
  <rv s="14">
    <fb>185.23</fb>
    <v>34</v>
  </rv>
  <rv s="14">
    <fb>609.70000000000005</fb>
    <v>34</v>
  </rv>
  <rv s="14">
    <fb>89.15</fb>
    <v>34</v>
  </rv>
  <rv s="14">
    <fb>266.29000000000002</fb>
    <v>34</v>
  </rv>
  <rv s="14">
    <fb>75.819999999999993</fb>
    <v>34</v>
  </rv>
  <rv s="14">
    <fb>47.015000000000001</fb>
    <v>34</v>
  </rv>
  <rv s="14">
    <fb>162.81</fb>
    <v>34</v>
  </rv>
  <rv s="14">
    <fb>28.17</fb>
    <v>34</v>
  </rv>
  <rv s="14">
    <fb>5.3</fb>
    <v>34</v>
  </rv>
  <rv s="14">
    <fb>57.17</fb>
    <v>34</v>
  </rv>
  <rv s="14">
    <fb>89.61</fb>
    <v>34</v>
  </rv>
  <rv s="14">
    <fb>26.69</fb>
    <v>34</v>
  </rv>
  <rv s="14">
    <fb>479.59</fb>
    <v>34</v>
  </rv>
  <rv s="14">
    <fb>276.58999999999997</fb>
    <v>34</v>
  </rv>
  <rv s="14">
    <fb>46.96</fb>
    <v>34</v>
  </rv>
  <rv s="14">
    <fb>108.24</fb>
    <v>34</v>
  </rv>
  <rv s="14">
    <fb>155.34</fb>
    <v>34</v>
  </rv>
  <rv s="14">
    <fb>156.15</fb>
    <v>34</v>
  </rv>
  <rv s="14">
    <fb>68.87</fb>
    <v>34</v>
  </rv>
  <rv s="14">
    <fb>308.55</fb>
    <v>34</v>
  </rv>
  <rv s="14">
    <fb>110.38</fb>
    <v>34</v>
  </rv>
  <rv s="14">
    <fb>1058.5999999999999</fb>
    <v>34</v>
  </rv>
  <rv s="14">
    <fb>143.38999999999999</fb>
    <v>34</v>
  </rv>
  <rv s="14">
    <fb>280.02</fb>
    <v>34</v>
  </rv>
  <rv s="14">
    <fb>94.3</fb>
    <v>34</v>
  </rv>
  <rv s="14">
    <fb>30.51</fb>
    <v>34</v>
  </rv>
  <rv s="14">
    <fb>22.625</fb>
    <v>34</v>
  </rv>
  <rv s="14">
    <fb>56.42</fb>
    <v>34</v>
  </rv>
  <rv s="14">
    <fb>21.603999999999999</fb>
    <v>34</v>
  </rv>
  <rv s="14">
    <fb>45706</fb>
    <v>33</v>
  </rv>
  <rv s="14">
    <fb>244.47</fb>
    <v>34</v>
  </rv>
  <rv s="14">
    <fb>139.4</fb>
    <v>34</v>
  </rv>
  <rv s="14">
    <fb>409.64</fb>
    <v>34</v>
  </rv>
  <rv s="14">
    <fb>716.37</fb>
    <v>34</v>
  </rv>
  <rv s="14">
    <fb>183.77</fb>
    <v>34</v>
  </rv>
  <rv s="14">
    <fb>611.49</fb>
    <v>34</v>
  </rv>
  <rv s="14">
    <fb>88.1</fb>
    <v>34</v>
  </rv>
  <rv s="14">
    <fb>270.7</fb>
    <v>34</v>
  </rv>
  <rv s="14">
    <fb>76.959999999999994</fb>
    <v>34</v>
  </rv>
  <rv s="14">
    <fb>92.82</fb>
    <v>34</v>
  </rv>
  <rv s="14">
    <fb>46.8444</fb>
    <v>34</v>
  </rv>
  <rv s="14">
    <fb>162.06</fb>
    <v>34</v>
  </rv>
  <rv s="14">
    <fb>91.3</fb>
    <v>34</v>
  </rv>
  <rv s="14">
    <fb>4.09</fb>
    <v>35</v>
  </rv>
  <rv s="14">
    <fb>5.33</fb>
    <v>34</v>
  </rv>
  <rv s="14">
    <fb>90.02</fb>
    <v>34</v>
  </rv>
  <rv s="14">
    <fb>482.82</fb>
    <v>34</v>
  </rv>
  <rv s="14">
    <fb>279.95</fb>
    <v>34</v>
  </rv>
  <rv s="14">
    <fb>110.14</fb>
    <v>34</v>
  </rv>
  <rv s="14">
    <fb>156.16</fb>
    <v>34</v>
  </rv>
  <rv s="14">
    <fb>154.99</fb>
    <v>34</v>
  </rv>
  <rv s="14">
    <fb>69.05</fb>
    <v>34</v>
  </rv>
  <rv s="14">
    <fb>304.83</fb>
    <v>34</v>
  </rv>
  <rv s="14">
    <fb>109.56</fb>
    <v>34</v>
  </rv>
  <rv s="14">
    <fb>1035.8499999999999</fb>
    <v>34</v>
  </rv>
  <rv s="14">
    <fb>165.43</fb>
    <v>34</v>
  </rv>
  <rv s="14">
    <fb>144.1</fb>
    <v>34</v>
  </rv>
  <rv s="14">
    <fb>284.68</fb>
    <v>34</v>
  </rv>
  <rv s="14">
    <fb>95.48</fb>
    <v>34</v>
  </rv>
  <rv s="14">
    <fb>30.84</fb>
    <v>34</v>
  </rv>
  <rv s="14">
    <fb>22.535</fb>
    <v>34</v>
  </rv>
  <rv s="14">
    <fb>55.82</fb>
    <v>34</v>
  </rv>
  <rv s="14">
    <fb>21.692799999999998</fb>
    <v>34</v>
  </rv>
  <rv s="14">
    <fb>45707</fb>
    <v>33</v>
  </rv>
  <rv s="14">
    <fb>244.87</fb>
    <v>34</v>
  </rv>
  <rv s="14">
    <fb>139.22999999999999</fb>
    <v>34</v>
  </rv>
  <rv s="14">
    <fb>414.77</fb>
    <v>34</v>
  </rv>
  <rv s="14">
    <fb>703.77</fb>
    <v>34</v>
  </rv>
  <rv s="14">
    <fb>185.27</fb>
    <v>34</v>
  </rv>
  <rv s="14">
    <fb>612.92999999999995</fb>
    <v>34</v>
  </rv>
  <rv s="14">
    <fb>88.21</fb>
    <v>34</v>
  </rv>
  <rv s="14">
    <fb>270.85000000000002</fb>
    <v>34</v>
  </rv>
  <rv s="14">
    <fb>77.45</fb>
    <v>34</v>
  </rv>
  <rv s="14">
    <fb>46.933799999999998</fb>
    <v>34</v>
  </rv>
  <rv s="14">
    <fb>160.27000000000001</fb>
    <v>34</v>
  </rv>
  <rv s="14">
    <fb>92.02</fb>
    <v>34</v>
  </rv>
  <rv s="14">
    <fb>14.61</fb>
    <v>34</v>
  </rv>
  <rv s="14">
    <fb>4.21</fb>
    <v>35</v>
  </rv>
  <rv s="14">
    <fb>28.22</fb>
    <v>34</v>
  </rv>
  <rv s="14">
    <fb>5.24</fb>
    <v>34</v>
  </rv>
  <rv s="14">
    <fb>89.4</fb>
    <v>34</v>
  </rv>
  <rv s="14">
    <fb>483.77</fb>
    <v>34</v>
  </rv>
  <rv s="14">
    <fb>279.25</fb>
    <v>34</v>
  </rv>
  <rv s="14">
    <fb>46.01</fb>
    <v>34</v>
  </rv>
  <rv s="14">
    <fb>110.3</fb>
    <v>34</v>
  </rv>
  <rv s="14">
    <fb>157.88999999999999</fb>
    <v>34</v>
  </rv>
  <rv s="14">
    <fb>70.069999999999993</fb>
    <v>34</v>
  </rv>
  <rv s="14">
    <fb>301.94</fb>
    <v>34</v>
  </rv>
  <rv s="14">
    <fb>1043.33</fb>
    <v>34</v>
  </rv>
  <rv s="14">
    <fb>166.49</fb>
    <v>34</v>
  </rv>
  <rv s="14">
    <fb>145.81</fb>
    <v>34</v>
  </rv>
  <rv s="14">
    <fb>280.37</fb>
    <v>34</v>
  </rv>
  <rv s="14">
    <fb>96.9</fb>
    <v>34</v>
  </rv>
  <rv s="14">
    <fb>31.32</fb>
    <v>34</v>
  </rv>
  <rv s="14">
    <fb>21.6739</fb>
    <v>34</v>
  </rv>
  <rv s="14">
    <fb>45708</fb>
    <v>33</v>
  </rv>
  <rv s="14">
    <fb>245.83</fb>
    <v>34</v>
  </rv>
  <rv s="14">
    <fb>416.13</fb>
    <v>34</v>
  </rv>
  <rv s="14">
    <fb>694.84</fb>
    <v>34</v>
  </rv>
  <rv s="14">
    <fb>184.56</fb>
    <v>34</v>
  </rv>
  <rv s="14">
    <fb>610.38</fb>
    <v>34</v>
  </rv>
  <rv s="14">
    <fb>88.54</fb>
    <v>34</v>
  </rv>
  <rv s="14">
    <fb>270.99</fb>
    <v>34</v>
  </rv>
  <rv s="14">
    <fb>77.760000000000005</fb>
    <v>34</v>
  </rv>
  <rv s="14">
    <fb>93.16</fb>
    <v>34</v>
  </rv>
  <rv s="14">
    <fb>46.979900000000001</fb>
    <v>34</v>
  </rv>
  <rv s="14">
    <fb>156.79</fb>
    <v>34</v>
  </rv>
  <rv s="14">
    <fb>92.86</fb>
    <v>34</v>
  </rv>
  <rv s="14">
    <fb>29.95</fb>
    <v>34</v>
  </rv>
  <rv s="14">
    <fb>89.62</fb>
    <v>34</v>
  </rv>
  <rv s="14">
    <fb>481.8</fb>
    <v>34</v>
  </rv>
  <rv s="14">
    <fb>266.8</fb>
    <v>34</v>
  </rv>
  <rv s="14">
    <fb>45.3</fb>
    <v>34</v>
  </rv>
  <rv s="14">
    <fb>112</fb>
    <v>34</v>
  </rv>
  <rv s="14">
    <fb>158.79</fb>
    <v>34</v>
  </rv>
  <rv s="14">
    <fb>159.68</fb>
    <v>34</v>
  </rv>
  <rv s="14">
    <fb>70.040000000000006</fb>
    <v>34</v>
  </rv>
  <rv s="14">
    <fb>303.05</fb>
    <v>34</v>
  </rv>
  <rv s="14">
    <fb>110.55</fb>
    <v>34</v>
  </rv>
  <rv s="14">
    <fb>1024.54</fb>
    <v>34</v>
  </rv>
  <rv s="14">
    <fb>167.21</fb>
    <v>34</v>
  </rv>
  <rv s="14">
    <fb>149.1</fb>
    <v>34</v>
  </rv>
  <rv s="14">
    <fb>281.10000000000002</fb>
    <v>34</v>
  </rv>
  <rv s="14">
    <fb>97.51</fb>
    <v>34</v>
  </rv>
  <rv s="14">
    <fb>31.3</fb>
    <v>34</v>
  </rv>
  <rv s="14">
    <fb>22.594999999999999</fb>
    <v>34</v>
  </rv>
  <rv s="14">
    <fb>56.05</fb>
    <v>34</v>
  </rv>
  <rv s="14">
    <fb>21.835000000000001</fb>
    <v>34</v>
  </rv>
  <rv s="14">
    <fb>45709</fb>
    <v>33</v>
  </rv>
  <rv s="14">
    <fb>245.55</fb>
    <v>34</v>
  </rv>
  <rv s="14">
    <fb>134.43</fb>
    <v>34</v>
  </rv>
  <rv s="14">
    <fb>408.21</fb>
    <v>34</v>
  </rv>
  <rv s="14">
    <fb>683.55</fb>
    <v>34</v>
  </rv>
  <rv s="14">
    <fb>179.66</fb>
    <v>34</v>
  </rv>
  <rv s="14">
    <fb>599.94000000000005</fb>
    <v>34</v>
  </rv>
  <rv s="14">
    <fb>270.74</fb>
    <v>34</v>
  </rv>
  <rv s="14">
    <fb>75.349999999999994</fb>
    <v>34</v>
  </rv>
  <rv s="14">
    <fb>93.71</fb>
    <v>34</v>
  </rv>
  <rv s="14">
    <fb>47.144300000000001</fb>
    <v>34</v>
  </rv>
  <rv s="14">
    <fb>150.55000000000001</fb>
    <v>34</v>
  </rv>
  <rv s="14">
    <fb>90.93</fb>
    <v>34</v>
  </rv>
  <rv s="14">
    <fb>29.59</fb>
    <v>34</v>
  </rv>
  <rv s="14">
    <fb>27.55</fb>
    <v>34</v>
  </rv>
  <rv s="14">
    <fb>5.23</fb>
    <v>34</v>
  </rv>
  <rv s="14">
    <fb>88.69</fb>
    <v>34</v>
  </rv>
  <rv s="14">
    <fb>26.82</fb>
    <v>34</v>
  </rv>
  <rv s="14">
    <fb>478.74</fb>
    <v>34</v>
  </rv>
  <rv s="14">
    <fb>264.24</fb>
    <v>34</v>
  </rv>
  <rv s="14">
    <fb>110.69</fb>
    <v>34</v>
  </rv>
  <rv s="14">
    <fb>156.91999999999999</fb>
    <v>34</v>
  </rv>
  <rv s="14">
    <fb>162.30000000000001</fb>
    <v>34</v>
  </rv>
  <rv s="14">
    <fb>71.349999999999994</fb>
    <v>34</v>
  </rv>
  <rv s="14">
    <fb>304.81</fb>
    <v>34</v>
  </rv>
  <rv s="14">
    <fb>1003.15</fb>
    <v>34</v>
  </rv>
  <rv s="14">
    <fb>170.23</fb>
    <v>34</v>
  </rv>
  <rv s="14">
    <fb>153.5</fb>
    <v>34</v>
  </rv>
  <rv s="14">
    <fb>272.83</fb>
    <v>34</v>
  </rv>
  <rv s="14">
    <fb>94.44</fb>
    <v>34</v>
  </rv>
  <rv s="14">
    <fb>30.367699999999999</fb>
    <v>34</v>
  </rv>
  <rv s="14">
    <fb>22.695</fb>
    <v>34</v>
  </rv>
  <rv s="14">
    <fb>21.630099999999999</fb>
    <v>34</v>
  </rv>
  <rv s="14">
    <fb>45712</fb>
    <v>33</v>
  </rv>
  <rv s="14">
    <fb>247.1</fb>
    <v>34</v>
  </rv>
  <rv s="14">
    <fb>130.28</fb>
    <v>34</v>
  </rv>
  <rv s="14">
    <fb>404</fb>
    <v>34</v>
  </rv>
  <rv s="14">
    <fb>668.13</fb>
    <v>34</v>
  </rv>
  <rv s="14">
    <fb>179.25</fb>
    <v>34</v>
  </rv>
  <rv s="14">
    <fb>597.21</fb>
    <v>34</v>
  </rv>
  <rv s="14">
    <fb>272.20999999999998</fb>
    <v>34</v>
  </rv>
  <rv s="14">
    <fb>75.97</fb>
    <v>34</v>
  </rv>
  <rv s="14">
    <fb>93.91</fb>
    <v>34</v>
  </rv>
  <rv s="14">
    <fb>47.21</fb>
    <v>34</v>
  </rv>
  <rv s="14">
    <fb>147.87</fb>
    <v>34</v>
  </rv>
  <rv s="14">
    <fb>90.95</fb>
    <v>34</v>
  </rv>
  <rv s="14">
    <fb>14.33</fb>
    <v>34</v>
  </rv>
  <rv s="14">
    <fb>29.44</fb>
    <v>34</v>
  </rv>
  <rv s="14">
    <fb>27.03</fb>
    <v>34</v>
  </rv>
  <rv s="14">
    <fb>88.2</fb>
    <v>34</v>
  </rv>
  <rv s="14">
    <fb>26.42</fb>
    <v>34</v>
  </rv>
  <rv s="14">
    <fb>498.42</fb>
    <v>34</v>
  </rv>
  <rv s="14">
    <fb>261.33999999999997</fb>
    <v>34</v>
  </rv>
  <rv s="14">
    <fb>44.46</fb>
    <v>34</v>
  </rv>
  <rv s="14">
    <fb>111.27</fb>
    <v>34</v>
  </rv>
  <rv s="14">
    <fb>163.74</fb>
    <v>34</v>
  </rv>
  <rv s="14">
    <fb>70.59</fb>
    <v>34</v>
  </rv>
  <rv s="14">
    <fb>307.57</fb>
    <v>34</v>
  </rv>
  <rv s="14">
    <fb>111.2</fb>
    <v>34</v>
  </rv>
  <rv s="14">
    <fb>988.47</fb>
    <v>34</v>
  </rv>
  <rv s="14">
    <fb>170.54</fb>
    <v>34</v>
  </rv>
  <rv s="14">
    <fb>153.85</fb>
    <v>34</v>
  </rv>
  <rv s="14">
    <fb>271.51</fb>
    <v>34</v>
  </rv>
  <rv s="14">
    <fb>94.31</fb>
    <v>34</v>
  </rv>
  <rv s="14">
    <fb>30.3</fb>
    <v>34</v>
  </rv>
  <rv s="14">
    <fb>56.83</fb>
    <v>34</v>
  </rv>
  <rv s="14">
    <fb>21.6495</fb>
    <v>34</v>
  </rv>
  <rv s="14">
    <fb>45713</fb>
    <v>33</v>
  </rv>
  <rv s="14">
    <fb>247.04</fb>
    <v>34</v>
  </rv>
  <rv s="14">
    <fb>126.63</fb>
    <v>34</v>
  </rv>
  <rv s="14">
    <fb>397.9</fb>
    <v>34</v>
  </rv>
  <rv s="14">
    <fb>657.5</fb>
    <v>34</v>
  </rv>
  <rv s="14">
    <fb>594.24</fb>
    <v>34</v>
  </rv>
  <rv s="14">
    <fb>91.42</fb>
    <v>34</v>
  </rv>
  <rv s="14">
    <fb>268.62</fb>
    <v>34</v>
  </rv>
  <rv s="14">
    <fb>74.13</fb>
    <v>34</v>
  </rv>
  <rv s="14">
    <fb>94.65</fb>
    <v>34</v>
  </rv>
  <rv s="14">
    <fb>47.465000000000003</fb>
    <v>34</v>
  </rv>
  <rv s="14">
    <fb>145.30000000000001</fb>
    <v>34</v>
  </rv>
  <rv s="14">
    <fb>89.64</fb>
    <v>34</v>
  </rv>
  <rv s="14">
    <fb>28.83</fb>
    <v>34</v>
  </rv>
  <rv s="14">
    <fb>27.06</fb>
    <v>34</v>
  </rv>
  <rv s="14">
    <fb>57.69</fb>
    <v>34</v>
  </rv>
  <rv s="14">
    <fb>27.29</fb>
    <v>34</v>
  </rv>
  <rv s="14">
    <fb>499.82</fb>
    <v>34</v>
  </rv>
  <rv s="14">
    <fb>257.39999999999998</fb>
    <v>34</v>
  </rv>
  <rv s="14">
    <fb>43.94</fb>
    <v>34</v>
  </rv>
  <rv s="14">
    <fb>109.73</fb>
    <v>34</v>
  </rv>
  <rv s="14">
    <fb>156.41999999999999</fb>
    <v>34</v>
  </rv>
  <rv s="14">
    <fb>166.09</fb>
    <v>34</v>
  </rv>
  <rv s="14">
    <fb>71.489999999999995</fb>
    <v>34</v>
  </rv>
  <rv s="14">
    <fb>310.72000000000003</fb>
    <v>34</v>
  </rv>
  <rv s="14">
    <fb>110.53</fb>
    <v>34</v>
  </rv>
  <rv s="14">
    <fb>977.24</fb>
    <v>34</v>
  </rv>
  <rv s="14">
    <fb>172.65</fb>
    <v>34</v>
  </rv>
  <rv s="14">
    <fb>267.01</fb>
    <v>34</v>
  </rv>
  <rv s="14">
    <fb>92.56</fb>
    <v>34</v>
  </rv>
  <rv s="14">
    <fb>22.864999999999998</fb>
    <v>34</v>
  </rv>
  <rv s="14">
    <fb>57.7</fb>
    <v>34</v>
  </rv>
  <rv s="14">
    <fb>21.895099999999999</fb>
    <v>34</v>
  </rv>
  <rv s="14">
    <fb>45714</fb>
    <v>33</v>
  </rv>
  <rv s="14">
    <fb>240.36</fb>
    <v>34</v>
  </rv>
  <rv s="14">
    <fb>131.28</fb>
    <v>34</v>
  </rv>
  <rv s="14">
    <fb>399.73</fb>
    <v>34</v>
  </rv>
  <rv s="14">
    <fb>673.7</fb>
    <v>34</v>
  </rv>
  <rv s="14">
    <fb>172.73</fb>
    <v>34</v>
  </rv>
  <rv s="14">
    <fb>594.54</fb>
    <v>34</v>
  </rv>
  <rv s="14">
    <fb>91.96</fb>
    <v>34</v>
  </rv>
  <rv s="14">
    <fb>269.02999999999997</fb>
    <v>34</v>
  </rv>
  <rv s="14">
    <fb>147.65</fb>
    <v>34</v>
  </rv>
  <rv s="14">
    <fb>89.13</fb>
    <v>34</v>
  </rv>
  <rv s="14">
    <fb>13.93</fb>
    <v>34</v>
  </rv>
  <rv s="14">
    <fb>27.12</fb>
    <v>34</v>
  </rv>
  <rv s="14">
    <fb>5.03</fb>
    <v>34</v>
  </rv>
  <rv s="14">
    <fb>88.45</fb>
    <v>34</v>
  </rv>
  <rv s="14">
    <fb>494.1</fb>
    <v>34</v>
  </rv>
  <rv s="14">
    <fb>258.79000000000002</fb>
    <v>34</v>
  </rv>
  <rv s="14">
    <fb>109.46</fb>
    <v>34</v>
  </rv>
  <rv s="14">
    <fb>155.13999999999999</fb>
    <v>34</v>
  </rv>
  <rv s="14">
    <fb>163.08000000000001</fb>
    <v>34</v>
  </rv>
  <rv s="14">
    <fb>70.8</fb>
    <v>34</v>
  </rv>
  <rv s="14">
    <fb>304.27</fb>
    <v>34</v>
  </rv>
  <rv s="14">
    <fb>111.83</fb>
    <v>34</v>
  </rv>
  <rv s="14">
    <fb>990.06</fb>
    <v>34</v>
  </rv>
  <rv s="14">
    <fb>171.3</fb>
    <v>34</v>
  </rv>
  <rv s="14">
    <fb>151.51</fb>
    <v>34</v>
  </rv>
  <rv s="14">
    <fb>263.83999999999997</fb>
    <v>34</v>
  </rv>
  <rv s="14">
    <fb>91.86</fb>
    <v>34</v>
  </rv>
  <rv s="14">
    <fb>29.25</fb>
    <v>34</v>
  </rv>
  <rv s="14">
    <fb>21.784199999999998</fb>
    <v>34</v>
  </rv>
  <rv s="14">
    <fb>45715</fb>
    <v>33</v>
  </rv>
  <rv s="14">
    <fb>237.3</fb>
    <v>34</v>
  </rv>
  <rv s="14">
    <fb>120.15</fb>
    <v>34</v>
  </rv>
  <rv s="14">
    <fb>392.53</fb>
    <v>34</v>
  </rv>
  <rv s="14">
    <fb>658.24</fb>
    <v>34</v>
  </rv>
  <rv s="14">
    <fb>168.5</fb>
    <v>34</v>
  </rv>
  <rv s="14">
    <fb>585.04999999999995</fb>
    <v>34</v>
  </rv>
  <rv s="14">
    <fb>264.93</fb>
    <v>34</v>
  </rv>
  <rv s="14">
    <fb>75.28</fb>
    <v>34</v>
  </rv>
  <rv s="14">
    <fb>94.8</fb>
    <v>34</v>
  </rv>
  <rv s="14">
    <fb>47.22</fb>
    <v>34</v>
  </rv>
  <rv s="14">
    <fb>147.44</fb>
    <v>34</v>
  </rv>
  <rv s="14">
    <fb>14.21</fb>
    <v>34</v>
  </rv>
  <rv s="14">
    <fb>28.4</fb>
    <v>34</v>
  </rv>
  <rv s="14">
    <fb>26.81</fb>
    <v>34</v>
  </rv>
  <rv s="14">
    <fb>56.91</fb>
    <v>34</v>
  </rv>
  <rv s="14">
    <fb>29.16</fb>
    <v>34</v>
  </rv>
  <rv s="14">
    <fb>502.41</fb>
    <v>34</v>
  </rv>
  <rv s="14">
    <fb>259.05</fb>
    <v>34</v>
  </rv>
  <rv s="14">
    <fb>44.12</fb>
    <v>34</v>
  </rv>
  <rv s="14">
    <fb>156.66999999999999</fb>
    <v>34</v>
  </rv>
  <rv s="14">
    <fb>163.72999999999999</fb>
    <v>34</v>
  </rv>
  <rv s="14">
    <fb>70.87</fb>
    <v>34</v>
  </rv>
  <rv s="14">
    <fb>309.95</fb>
    <v>34</v>
  </rv>
  <rv s="14">
    <fb>111.31</fb>
    <v>34</v>
  </rv>
  <rv s="14">
    <fb>963.07</fb>
    <v>34</v>
  </rv>
  <rv s="14">
    <fb>171.97</fb>
    <v>34</v>
  </rv>
  <rv s="14">
    <fb>152.02000000000001</fb>
    <v>34</v>
  </rv>
  <rv s="14">
    <fb>264.19</fb>
    <v>34</v>
  </rv>
  <rv s="14">
    <fb>57.68</fb>
    <v>34</v>
  </rv>
  <rv s="14">
    <fb>21.939599999999999</fb>
    <v>34</v>
  </rv>
  <rv s="14">
    <fb>45716</fb>
    <v>33</v>
  </rv>
  <rv s="14">
    <fb>241.84</fb>
    <v>34</v>
  </rv>
  <rv s="14">
    <fb>124.92</fb>
    <v>34</v>
  </rv>
  <rv s="14">
    <fb>396.99</fb>
    <v>34</v>
  </rv>
  <rv s="14">
    <fb>668.2</fb>
    <v>34</v>
  </rv>
  <rv s="14">
    <fb>594.17999999999995</fb>
    <v>34</v>
  </rv>
  <rv s="14">
    <fb>92.43</fb>
    <v>34</v>
  </rv>
  <rv s="14">
    <fb>263.27</fb>
    <v>34</v>
  </rv>
  <rv s="14">
    <fb>75.22</fb>
    <v>34</v>
  </rv>
  <rv s="14">
    <fb>95.32</fb>
    <v>34</v>
  </rv>
  <rv s="14">
    <fb>47.356099999999998</fb>
    <v>34</v>
  </rv>
  <rv s="14">
    <fb>91</fb>
    <v>34</v>
  </rv>
  <rv s="14">
    <fb>3.9</fb>
    <v>35</v>
  </rv>
  <rv s="14">
    <fb>28.31</fb>
    <v>34</v>
  </rv>
  <rv s="14">
    <fb>56.54</fb>
    <v>34</v>
  </rv>
  <rv s="14">
    <fb>86.39</fb>
    <v>34</v>
  </rv>
  <rv s="14">
    <fb>26.71</fb>
    <v>34</v>
  </rv>
  <rv s="14">
    <fb>27.59</fb>
    <v>34</v>
  </rv>
  <rv s="14">
    <fb>513.83000000000004</fb>
    <v>34</v>
  </rv>
  <rv s="14">
    <fb>264.64999999999998</fb>
    <v>34</v>
  </rv>
  <rv s="14">
    <fb>46.1</fb>
    <v>34</v>
  </rv>
  <rv s="14">
    <fb>111.33</fb>
    <v>34</v>
  </rv>
  <rv s="14">
    <fb>71.209999999999994</fb>
    <v>34</v>
  </rv>
  <rv s="14">
    <fb>308.33</fb>
    <v>34</v>
  </rv>
  <rv s="14">
    <fb>113.8</fb>
    <v>34</v>
  </rv>
  <rv s="14">
    <fb>980.56</fb>
    <v>34</v>
  </rv>
  <rv s="14">
    <fb>173.84</fb>
    <v>34</v>
  </rv>
  <rv s="14">
    <fb>153.47</fb>
    <v>34</v>
  </rv>
  <rv s="14">
    <fb>266.38</fb>
    <v>34</v>
  </rv>
  <rv s="14">
    <fb>92.91</fb>
    <v>34</v>
  </rv>
  <rv s="14">
    <fb>59.25</fb>
    <v>34</v>
  </rv>
  <rv s="14">
    <fb>29.28</fb>
    <v>34</v>
  </rv>
  <rv s="14">
    <fb>22.1065</fb>
    <v>34</v>
  </rv>
  <rv s="14">
    <fb>45719</fb>
    <v>33</v>
  </rv>
  <rv s="14">
    <fb>238.03</fb>
    <v>34</v>
  </rv>
  <rv s="14">
    <fb>114.06</fb>
    <v>34</v>
  </rv>
  <rv s="14">
    <fb>388.49</fb>
    <v>34</v>
  </rv>
  <rv s="14">
    <fb>655.04999999999995</fb>
    <v>34</v>
  </rv>
  <rv s="14">
    <fb>167.01</fb>
    <v>34</v>
  </rv>
  <rv s="14">
    <fb>583.77</fb>
    <v>34</v>
  </rv>
  <rv s="14">
    <fb>266.74</fb>
    <v>34</v>
  </rv>
  <rv s="14">
    <fb>73.319999999999993</fb>
    <v>34</v>
  </rv>
  <rv s="14">
    <fb>95.39</fb>
    <v>34</v>
  </rv>
  <rv s="14">
    <fb>47.4696</fb>
    <v>34</v>
  </rv>
  <rv s="14">
    <fb>13.83</fb>
    <v>34</v>
  </rv>
  <rv s="14">
    <fb>57.27</fb>
    <v>34</v>
  </rv>
  <rv s="14">
    <fb>87.18</fb>
    <v>34</v>
  </rv>
  <rv s="14">
    <fb>510.08</fb>
    <v>34</v>
  </rv>
  <rv s="14">
    <fb>260.62</fb>
    <v>34</v>
  </rv>
  <rv s="14">
    <fb>45.56</fb>
    <v>34</v>
  </rv>
  <rv s="14">
    <fb>107.76</fb>
    <v>34</v>
  </rv>
  <rv s="14">
    <fb>153.09</fb>
    <v>34</v>
  </rv>
  <rv s="14">
    <fb>167.28</fb>
    <v>34</v>
  </rv>
  <rv s="14">
    <fb>72.319999999999993</fb>
    <v>34</v>
  </rv>
  <rv s="14">
    <fb>304.29000000000002</fb>
    <v>34</v>
  </rv>
  <rv s="14">
    <fb>112.79</fb>
    <v>34</v>
  </rv>
  <rv s="14">
    <fb>973.7</fb>
    <v>34</v>
  </rv>
  <rv s="14">
    <fb>175.59</fb>
    <v>34</v>
  </rv>
  <rv s="14">
    <fb>155.99</fb>
    <v>34</v>
  </rv>
  <rv s="14">
    <fb>22.984999999999999</fb>
    <v>34</v>
  </rv>
  <rv s="14">
    <fb>59.22</fb>
    <v>34</v>
  </rv>
  <rv s="14">
    <fb>22.251200000000001</fb>
    <v>34</v>
  </rv>
  <rv s="14">
    <fb>45720</fb>
    <v>33</v>
  </rv>
  <rv s="14">
    <fb>235.93</fb>
    <v>34</v>
  </rv>
  <rv s="14">
    <fb>115.99</fb>
    <v>34</v>
  </rv>
  <rv s="14">
    <fb>388.61</fb>
    <v>34</v>
  </rv>
  <rv s="14">
    <fb>640</fb>
    <v>34</v>
  </rv>
  <rv s="14">
    <fb>170.92</fb>
    <v>34</v>
  </rv>
  <rv s="14">
    <fb>576.86</fb>
    <v>34</v>
  </rv>
  <rv s="14">
    <fb>269.06</fb>
    <v>34</v>
  </rv>
  <rv s="14">
    <fb>73.31</fb>
    <v>34</v>
  </rv>
  <rv s="14">
    <fb>95.09</fb>
    <v>34</v>
  </rv>
  <rv s="14">
    <fb>47.377499999999998</fb>
    <v>34</v>
  </rv>
  <rv s="14">
    <fb>86.97</fb>
    <v>34</v>
  </rv>
  <rv s="14">
    <fb>57.79</fb>
    <v>34</v>
  </rv>
  <rv s="14">
    <fb>87.75</fb>
    <v>34</v>
  </rv>
  <rv s="14">
    <fb>495.86</fb>
    <v>34</v>
  </rv>
  <rv s="14">
    <fb>250.25</fb>
    <v>34</v>
  </rv>
  <rv s="14">
    <fb>42.67</fb>
    <v>34</v>
  </rv>
  <rv s="14">
    <fb>107.54</fb>
    <v>34</v>
  </rv>
  <rv s="14">
    <fb>152</fb>
    <v>34</v>
  </rv>
  <rv s="14">
    <fb>165.42</fb>
    <v>34</v>
  </rv>
  <rv s="14">
    <fb>70.19</fb>
    <v>34</v>
  </rv>
  <rv s="14">
    <fb>305.77</fb>
    <v>34</v>
  </rv>
  <rv s="14">
    <fb>109.01</fb>
    <v>34</v>
  </rv>
  <rv s="14">
    <fb>972.58</fb>
    <v>34</v>
  </rv>
  <rv s="14">
    <fb>173.18</fb>
    <v>34</v>
  </rv>
  <rv s="14">
    <fb>154.19</fb>
    <v>34</v>
  </rv>
  <rv s="14">
    <fb>247.98</fb>
    <v>34</v>
  </rv>
  <rv s="14">
    <fb>88.02</fb>
    <v>34</v>
  </rv>
  <rv s="14">
    <fb>27.5</fb>
    <v>34</v>
  </rv>
  <rv s="14">
    <fb>59.14</fb>
    <v>34</v>
  </rv>
  <rv s="14">
    <fb>57.82</fb>
    <v>34</v>
  </rv>
  <rv s="14">
    <fb>22.0092</fb>
    <v>34</v>
  </rv>
  <rv s="14">
    <fb>45721</fb>
    <v>33</v>
  </rv>
  <rv s="14">
    <fb>235.74</fb>
    <v>34</v>
  </rv>
  <rv s="14">
    <fb>117.3</fb>
    <v>34</v>
  </rv>
  <rv s="14">
    <fb>401.02</fb>
    <v>34</v>
  </rv>
  <rv s="14">
    <fb>656.47</fb>
    <v>34</v>
  </rv>
  <rv s="14">
    <fb>173.02</fb>
    <v>34</v>
  </rv>
  <rv s="14">
    <fb>583.05999999999995</fb>
    <v>34</v>
  </rv>
  <rv s="14">
    <fb>269.62</fb>
    <v>34</v>
  </rv>
  <rv s="14">
    <fb>71.42</fb>
    <v>34</v>
  </rv>
  <rv s="14">
    <fb>94.56</fb>
    <v>34</v>
  </rv>
  <rv s="14">
    <fb>47.25</fb>
    <v>34</v>
  </rv>
  <rv s="14">
    <fb>140.53</fb>
    <v>34</v>
  </rv>
  <rv s="14">
    <fb>13.49</fb>
    <v>34</v>
  </rv>
  <rv s="14">
    <fb>3.99</fb>
    <v>35</v>
  </rv>
  <rv s="14">
    <fb>88.47</fb>
    <v>34</v>
  </rv>
  <rv s="14">
    <fb>27.15</fb>
    <v>34</v>
  </rv>
  <rv s="14">
    <fb>498.5</fb>
    <v>34</v>
  </rv>
  <rv s="14">
    <fb>251.53</fb>
    <v>34</v>
  </rv>
  <rv s="14">
    <fb>42.29</fb>
    <v>34</v>
  </rv>
  <rv s="14">
    <fb>105.44</fb>
    <v>34</v>
  </rv>
  <rv s="14">
    <fb>70.08</fb>
    <v>34</v>
  </rv>
  <rv s="14">
    <fb>307.45</fb>
    <v>34</v>
  </rv>
  <rv s="14">
    <fb>109.31</fb>
    <v>34</v>
  </rv>
  <rv s="14">
    <fb>990.92</fb>
    <v>34</v>
  </rv>
  <rv s="14">
    <fb>174.61</fb>
    <v>34</v>
  </rv>
  <rv s="14">
    <fb>153.88</fb>
    <v>34</v>
  </rv>
  <rv s="14">
    <fb>247.88</fb>
    <v>34</v>
  </rv>
  <rv s="14">
    <fb>86.68</fb>
    <v>34</v>
  </rv>
  <rv s="14">
    <fb>27.07</fb>
    <v>34</v>
  </rv>
  <rv s="14">
    <fb>57.34</fb>
    <v>34</v>
  </rv>
  <rv s="14">
    <fb>22.1785</fb>
    <v>34</v>
  </rv>
  <rv s="14">
    <fb>45722</fb>
    <v>33</v>
  </rv>
  <rv s="14">
    <fb>235.33</fb>
    <v>34</v>
  </rv>
  <rv s="14">
    <fb>110.57</fb>
    <v>34</v>
  </rv>
  <rv s="14">
    <fb>396.89</fb>
    <v>34</v>
  </rv>
  <rv s="14">
    <fb>627.92999999999995</fb>
    <v>34</v>
  </rv>
  <rv s="14">
    <fb>172.35</fb>
    <v>34</v>
  </rv>
  <rv s="14">
    <fb>572.71</fb>
    <v>34</v>
  </rv>
  <rv s="14">
    <fb>268.25</fb>
    <v>34</v>
  </rv>
  <rv s="14">
    <fb>71.13</fb>
    <v>34</v>
  </rv>
  <rv s="14">
    <fb>47.085900000000002</fb>
    <v>34</v>
  </rv>
  <rv s="14">
    <fb>134.78</fb>
    <v>34</v>
  </rv>
  <rv s="14">
    <fb>85.96</fb>
    <v>34</v>
  </rv>
  <rv s="14">
    <fb>13.44</fb>
    <v>34</v>
  </rv>
  <rv s="14">
    <fb>3.69</fb>
    <v>35</v>
  </rv>
  <rv s="14">
    <fb>29.69</fb>
    <v>34</v>
  </rv>
  <rv s="14">
    <fb>57.62</fb>
    <v>34</v>
  </rv>
  <rv s="14">
    <fb>27.08</fb>
    <v>34</v>
  </rv>
  <rv s="14">
    <fb>497.84</fb>
    <v>34</v>
  </rv>
  <rv s="14">
    <fb>246.54</fb>
    <v>34</v>
  </rv>
  <rv s="14">
    <fb>41.46</fb>
    <v>34</v>
  </rv>
  <rv s="14">
    <fb>107.62</fb>
    <v>34</v>
  </rv>
  <rv s="14">
    <fb>152.94999999999999</fb>
    <v>34</v>
  </rv>
  <rv s="14">
    <fb>165.83</fb>
    <v>34</v>
  </rv>
  <rv s="14">
    <fb>70.459999999999994</fb>
    <v>34</v>
  </rv>
  <rv s="14">
    <fb>310.37</fb>
    <v>34</v>
  </rv>
  <rv s="14">
    <fb>105.43</fb>
    <v>34</v>
  </rv>
  <rv s="14">
    <fb>906.36</fb>
    <v>34</v>
  </rv>
  <rv s="14">
    <fb>174.66</fb>
    <v>34</v>
  </rv>
  <rv s="14">
    <fb>247.62</fb>
    <v>34</v>
  </rv>
  <rv s="14">
    <fb>86.02</fb>
    <v>34</v>
  </rv>
  <rv s="14">
    <fb>58.47</fb>
    <v>34</v>
  </rv>
  <rv s="14">
    <fb>57.19</fb>
    <v>34</v>
  </rv>
  <rv s="14">
    <fb>21.667899999999999</fb>
    <v>34</v>
  </rv>
  <rv s="14">
    <fb>45723</fb>
    <v>33</v>
  </rv>
  <rv s="14">
    <fb>239.07</fb>
    <v>34</v>
  </rv>
  <rv s="14">
    <fb>112.69</fb>
    <v>34</v>
  </rv>
  <rv s="14">
    <fb>393.31</fb>
    <v>34</v>
  </rv>
  <rv s="14">
    <fb>625.66</fb>
    <v>34</v>
  </rv>
  <rv s="14">
    <fb>173.86</fb>
    <v>34</v>
  </rv>
  <rv s="14">
    <fb>575.91999999999996</fb>
    <v>34</v>
  </rv>
  <rv s="14">
    <fb>90.11</fb>
    <v>34</v>
  </rv>
  <rv s="14">
    <fb>268.39</fb>
    <v>34</v>
  </rv>
  <rv s="14">
    <fb>72.09</fb>
    <v>34</v>
  </rv>
  <rv s="14">
    <fb>47.060400000000001</fb>
    <v>34</v>
  </rv>
  <rv s="14">
    <fb>132.4</fb>
    <v>34</v>
  </rv>
  <rv s="14">
    <fb>87.43</fb>
    <v>34</v>
  </rv>
  <rv s="14">
    <fb>13.61</fb>
    <v>34</v>
  </rv>
  <rv s="14">
    <fb>57.65</fb>
    <v>34</v>
  </rv>
  <rv s="14">
    <fb>495.62</fb>
    <v>34</v>
  </rv>
  <rv s="14">
    <fb>242.28</fb>
    <v>34</v>
  </rv>
  <rv s="14">
    <fb>41.4</fb>
    <v>34</v>
  </rv>
  <rv s="14">
    <fb>156.34</fb>
    <v>34</v>
  </rv>
  <rv s="14">
    <fb>166.69</fb>
    <v>34</v>
  </rv>
  <rv s="14">
    <fb>71.430000000000007</fb>
    <v>34</v>
  </rv>
  <rv s="14">
    <fb>321.29000000000002</fb>
    <v>34</v>
  </rv>
  <rv s="14">
    <fb>891.11</fb>
    <v>34</v>
  </rv>
  <rv s="14">
    <fb>175.95</fb>
    <v>34</v>
  </rv>
  <rv s="14">
    <fb>154.44</fb>
    <v>34</v>
  </rv>
  <rv s="14">
    <fb>255.91</fb>
    <v>34</v>
  </rv>
  <rv s="14">
    <fb>27.18</fb>
    <v>34</v>
  </rv>
  <rv s="14">
    <fb>58.88</fb>
    <v>34</v>
  </rv>
  <rv s="14">
    <fb>57.02</fb>
    <v>34</v>
  </rv>
  <rv s="14">
    <fb>21.886199999999999</fb>
    <v>34</v>
  </rv>
  <rv s="14">
    <fb>45726</fb>
    <v>33</v>
  </rv>
  <rv s="14">
    <fb>106.98</fb>
    <v>34</v>
  </rv>
  <rv s="14">
    <fb>380.16</fb>
    <v>34</v>
  </rv>
  <rv s="14">
    <fb>597.99</fb>
    <v>34</v>
  </rv>
  <rv s="14">
    <fb>165.87</fb>
    <v>34</v>
  </rv>
  <rv s="14">
    <fb>560.58000000000004</fb>
    <v>34</v>
  </rv>
  <rv s="14">
    <fb>91.05</fb>
    <v>34</v>
  </rv>
  <rv s="14">
    <fb>266.04000000000002</fb>
    <v>34</v>
  </rv>
  <rv s="14">
    <fb>70.89</fb>
    <v>34</v>
  </rv>
  <rv s="14">
    <fb>95.05</fb>
    <v>34</v>
  </rv>
  <rv s="14">
    <fb>47.171999999999997</fb>
    <v>34</v>
  </rv>
  <rv s="14">
    <fb>126.01</fb>
    <v>34</v>
  </rv>
  <rv s="14">
    <fb>88.08</fb>
    <v>34</v>
  </rv>
  <rv s="14">
    <fb>13.36</fb>
    <v>34</v>
  </rv>
  <rv s="14">
    <fb>87.55</fb>
    <v>34</v>
  </rv>
  <rv s="14">
    <fb>497.1</fb>
    <v>34</v>
  </rv>
  <rv s="14">
    <fb>232.22</fb>
    <v>34</v>
  </rv>
  <rv s="14">
    <fb>39.83</fb>
    <v>34</v>
  </rv>
  <rv s="14">
    <fb>111.8</fb>
    <v>34</v>
  </rv>
  <rv s="14">
    <fb>157.57</fb>
    <v>34</v>
  </rv>
  <rv s="14">
    <fb>167.7</fb>
    <v>34</v>
  </rv>
  <rv s="14">
    <fb>71.45</fb>
    <v>34</v>
  </rv>
  <rv s="14">
    <fb>317.25</fb>
    <v>34</v>
  </rv>
  <rv s="14">
    <fb>103.08</fb>
    <v>34</v>
  </rv>
  <rv s="14">
    <fb>866.68</fb>
    <v>34</v>
  </rv>
  <rv s="14">
    <fb>176.26</fb>
    <v>34</v>
  </rv>
  <rv s="14">
    <fb>156.25</fb>
    <v>34</v>
  </rv>
  <rv s="14">
    <fb>249.42</fb>
    <v>34</v>
  </rv>
  <rv s="14">
    <fb>88.11</fb>
    <v>34</v>
  </rv>
  <rv s="14">
    <fb>27.16</fb>
    <v>34</v>
  </rv>
  <rv s="14">
    <fb>58.57</fb>
    <v>34</v>
  </rv>
  <rv s="14">
    <fb>59.18</fb>
    <v>34</v>
  </rv>
  <rv s="14">
    <fb>57.6</fb>
    <v>34</v>
  </rv>
  <rv s="14">
    <fb>21.698699999999999</fb>
    <v>34</v>
  </rv>
  <rv s="14">
    <fb>45727</fb>
    <v>33</v>
  </rv>
  <rv s="14">
    <fb>220.84</fb>
    <v>34</v>
  </rv>
  <rv s="14">
    <fb>108.76</fb>
    <v>34</v>
  </rv>
  <rv s="14">
    <fb>380.45</fb>
    <v>34</v>
  </rv>
  <rv s="14">
    <fb>605.71</fb>
    <v>34</v>
  </rv>
  <rv s="14">
    <fb>164.04</fb>
    <v>34</v>
  </rv>
  <rv s="14">
    <fb>555.91999999999996</fb>
    <v>34</v>
  </rv>
  <rv s="14">
    <fb>269.16000000000003</fb>
    <v>34</v>
  </rv>
  <rv s="14">
    <fb>46.969700000000003</fb>
    <v>34</v>
  </rv>
  <rv s="14">
    <fb>130.41999999999999</fb>
    <v>34</v>
  </rv>
  <rv s="14">
    <fb>87.38</fb>
    <v>34</v>
  </rv>
  <rv s="14">
    <fb>13.46</fb>
    <v>34</v>
  </rv>
  <rv s="14">
    <fb>3.38</fb>
    <v>35</v>
  </rv>
  <rv s="14">
    <fb>29.96</fb>
    <v>34</v>
  </rv>
  <rv s="14">
    <fb>26.64</fb>
    <v>34</v>
  </rv>
  <rv s="14">
    <fb>89.93</fb>
    <v>34</v>
  </rv>
  <rv s="14">
    <fb>27.05</fb>
    <v>34</v>
  </rv>
  <rv s="14">
    <fb>496.25</fb>
    <v>34</v>
  </rv>
  <rv s="14">
    <fb>229.14</fb>
    <v>34</v>
  </rv>
  <rv s="14">
    <fb>39.61</fb>
    <v>34</v>
  </rv>
  <rv s="14">
    <fb>109.16</fb>
    <v>34</v>
  </rv>
  <rv s="14">
    <fb>154.08000000000001</fb>
    <v>34</v>
  </rv>
  <rv s="14">
    <fb>306.76</fb>
    <v>34</v>
  </rv>
  <rv s="14">
    <fb>97.9</fb>
    <v>34</v>
  </rv>
  <rv s="14">
    <fb>895.1</fb>
    <v>34</v>
  </rv>
  <rv s="14">
    <fb>173.12</fb>
    <v>34</v>
  </rv>
  <rv s="14">
    <fb>152.33000000000001</fb>
    <v>34</v>
  </rv>
  <rv s="14">
    <fb>248.61</fb>
    <v>34</v>
  </rv>
  <rv s="14">
    <fb>88.63</fb>
    <v>34</v>
  </rv>
  <rv s="14">
    <fb>27.31</fb>
    <v>34</v>
  </rv>
  <rv s="14">
    <fb>57.22</fb>
    <v>34</v>
  </rv>
  <rv s="14">
    <fb>21.4223</fb>
    <v>34</v>
  </rv>
  <rv s="14">
    <fb>45728</fb>
    <v>33</v>
  </rv>
  <rv s="14">
    <fb>216.98</fb>
    <v>34</v>
  </rv>
  <rv s="14">
    <fb>115.74</fb>
    <v>34</v>
  </rv>
  <rv s="14">
    <fb>383.27</fb>
    <v>34</v>
  </rv>
  <rv s="14">
    <fb>619.55999999999995</fb>
    <v>34</v>
  </rv>
  <rv s="14">
    <fb>167.11</fb>
    <v>34</v>
  </rv>
  <rv s="14">
    <fb>558.87</fb>
    <v>34</v>
  </rv>
  <rv s="14">
    <fb>89.86</fb>
    <v>34</v>
  </rv>
  <rv s="14">
    <fb>270.33</fb>
    <v>34</v>
  </rv>
  <rv s="14">
    <fb>72.8</fb>
    <v>34</v>
  </rv>
  <rv s="14">
    <fb>94.43</fb>
    <v>34</v>
  </rv>
  <rv s="14">
    <fb>46.874600000000001</fb>
    <v>34</v>
  </rv>
  <rv s="14">
    <fb>134.91999999999999</fb>
    <v>34</v>
  </rv>
  <rv s="14">
    <fb>13.7</fb>
    <v>34</v>
  </rv>
  <rv s="14">
    <fb>30.22</fb>
    <v>34</v>
  </rv>
  <rv s="14">
    <fb>26.58</fb>
    <v>34</v>
  </rv>
  <rv s="14">
    <fb>495.94</fb>
    <v>34</v>
  </rv>
  <rv s="14">
    <fb>227.9</fb>
    <v>34</v>
  </rv>
  <rv s="14">
    <fb>39.909999999999997</fb>
    <v>34</v>
  </rv>
  <rv s="14">
    <fb>109.13</fb>
    <v>34</v>
  </rv>
  <rv s="14">
    <fb>152.66999999999999</fb>
    <v>34</v>
  </rv>
  <rv s="14">
    <fb>162.85</fb>
    <v>34</v>
  </rv>
  <rv s="14">
    <fb>69.94</fb>
    <v>34</v>
  </rv>
  <rv s="14">
    <fb>299.39999999999998</fb>
    <v>34</v>
  </rv>
  <rv s="14">
    <fb>98.76</fb>
    <v>34</v>
  </rv>
  <rv s="14">
    <fb>919.68</fb>
    <v>34</v>
  </rv>
  <rv s="14">
    <fb>168.37</fb>
    <v>34</v>
  </rv>
  <rv s="14">
    <fb>148.16999999999999</fb>
    <v>34</v>
  </rv>
  <rv s="14">
    <fb>249.48</fb>
    <v>34</v>
  </rv>
  <rv s="14">
    <fb>56.89</fb>
    <v>34</v>
  </rv>
  <rv s="14">
    <fb>21.3521</fb>
    <v>34</v>
  </rv>
  <rv s="14">
    <fb>45729</fb>
    <v>33</v>
  </rv>
  <rv s="14">
    <fb>209.68</fb>
    <v>34</v>
  </rv>
  <rv s="14">
    <fb>115.58</fb>
    <v>34</v>
  </rv>
  <rv s="14">
    <fb>378.77</fb>
    <v>34</v>
  </rv>
  <rv s="14">
    <fb>590.64</fb>
    <v>34</v>
  </rv>
  <rv s="14">
    <fb>162.76</fb>
    <v>34</v>
  </rv>
  <rv s="14">
    <fb>551.41999999999996</fb>
    <v>34</v>
  </rv>
  <rv s="14">
    <fb>90.65</fb>
    <v>34</v>
  </rv>
  <rv s="14">
    <fb>275.13</fb>
    <v>34</v>
  </rv>
  <rv s="14">
    <fb>71.62</fb>
    <v>34</v>
  </rv>
  <rv s="14">
    <fb>94.81</fb>
    <v>34</v>
  </rv>
  <rv s="14">
    <fb>46.951900000000002</fb>
    <v>34</v>
  </rv>
  <rv s="14">
    <fb>130.24</fb>
    <v>34</v>
  </rv>
  <rv s="14">
    <fb>30.74</fb>
    <v>34</v>
  </rv>
  <rv s="14">
    <fb>27.13</fb>
    <v>34</v>
  </rv>
  <rv s="14">
    <fb>504.25</fb>
    <v>34</v>
  </rv>
  <rv s="14">
    <fb>225.19</fb>
    <v>34</v>
  </rv>
  <rv s="14">
    <fb>39.67</fb>
    <v>34</v>
  </rv>
  <rv s="14">
    <fb>153.61000000000001</fb>
    <v>34</v>
  </rv>
  <rv s="14">
    <fb>162.99</fb>
    <v>34</v>
  </rv>
  <rv s="14">
    <fb>69.62</fb>
    <v>34</v>
  </rv>
  <rv s="14">
    <fb>297.5</fb>
    <v>34</v>
  </rv>
  <rv s="14">
    <fb>96.87</fb>
    <v>34</v>
  </rv>
  <rv s="14">
    <fb>890.17</fb>
    <v>34</v>
  </rv>
  <rv s="14">
    <fb>168.59</fb>
    <v>34</v>
  </rv>
  <rv s="14">
    <fb>148.34</fb>
    <v>34</v>
  </rv>
  <rv s="14">
    <fb>246.39</fb>
    <v>34</v>
  </rv>
  <rv s="14">
    <fb>88.3</fb>
    <v>34</v>
  </rv>
  <rv s="14">
    <fb>22.88</fb>
    <v>34</v>
  </rv>
  <rv s="14">
    <fb>59.09</fb>
    <v>34</v>
  </rv>
  <rv s="14">
    <fb>57.35</fb>
    <v>34</v>
  </rv>
  <rv s="14">
    <fb>20.995899999999999</fb>
    <v>34</v>
  </rv>
  <rv s="14">
    <fb>45730</fb>
    <v>33</v>
  </rv>
  <rv s="14">
    <fb>213.49</fb>
    <v>34</v>
  </rv>
  <rv s="14">
    <fb>121.67</fb>
    <v>34</v>
  </rv>
  <rv s="14">
    <fb>388.56</fb>
    <v>34</v>
  </rv>
  <rv s="14">
    <fb>607.6</fb>
    <v>34</v>
  </rv>
  <rv s="14">
    <fb>165.49</fb>
    <v>34</v>
  </rv>
  <rv s="14">
    <fb>562.80999999999995</fb>
    <v>34</v>
  </rv>
  <rv s="14">
    <fb>275.24</fb>
    <v>34</v>
  </rv>
  <rv s="14">
    <fb>72.28</fb>
    <v>34</v>
  </rv>
  <rv s="14">
    <fb>94.48</fb>
    <v>34</v>
  </rv>
  <rv s="14">
    <fb>46.957599999999999</fb>
    <v>34</v>
  </rv>
  <rv s="14">
    <fb>134.32</fb>
    <v>34</v>
  </rv>
  <rv s="14">
    <fb>89.76</fb>
    <v>34</v>
  </rv>
  <rv s="14">
    <fb>3.1</fb>
    <v>35</v>
  </rv>
  <rv s="14">
    <fb>26.46</fb>
    <v>34</v>
  </rv>
  <rv s="14">
    <fb>4.8899999999999997</fb>
    <v>34</v>
  </rv>
  <rv s="14">
    <fb>90.92</fb>
    <v>34</v>
  </rv>
  <rv s="14">
    <fb>514.6</fb>
    <v>34</v>
  </rv>
  <rv s="14">
    <fb>232.44</fb>
    <v>34</v>
  </rv>
  <rv s="14">
    <fb>40.89</fb>
    <v>34</v>
  </rv>
  <rv s="14">
    <fb>111.9</fb>
    <v>34</v>
  </rv>
  <rv s="14">
    <fb>157.02000000000001</fb>
    <v>34</v>
  </rv>
  <rv s="14">
    <fb>69.16</fb>
    <v>34</v>
  </rv>
  <rv s="14">
    <fb>299.83</fb>
    <v>34</v>
  </rv>
  <rv s="14">
    <fb>918</fb>
    <v>34</v>
  </rv>
  <rv s="14">
    <fb>148.59</fb>
    <v>34</v>
  </rv>
  <rv s="14">
    <fb>254.12</fb>
    <v>34</v>
  </rv>
  <rv s="14">
    <fb>91.04</fb>
    <v>34</v>
  </rv>
  <rv s="14">
    <fb>57.06</fb>
    <v>34</v>
  </rv>
  <rv s="14">
    <fb>21.476500000000001</fb>
    <v>34</v>
  </rv>
  <rv s="14">
    <fb>45733</fb>
    <v>33</v>
  </rv>
  <rv s="14">
    <fb>214</fb>
    <v>34</v>
  </rv>
  <rv s="14">
    <fb>119.53</fb>
    <v>34</v>
  </rv>
  <rv s="14">
    <fb>388.7</fb>
    <v>34</v>
  </rv>
  <rv s="14">
    <fb>604.9</fb>
    <v>34</v>
  </rv>
  <rv s="14">
    <fb>164.29</fb>
    <v>34</v>
  </rv>
  <rv s="14">
    <fb>567.15</fb>
    <v>34</v>
  </rv>
  <rv s="14">
    <fb>90.62</fb>
    <v>34</v>
  </rv>
  <rv s="14">
    <fb>276.73</fb>
    <v>34</v>
  </rv>
  <rv s="14">
    <fb>72.709999999999994</fb>
    <v>34</v>
  </rv>
  <rv s="14">
    <fb>47.034999999999997</fb>
    <v>34</v>
  </rv>
  <rv s="14">
    <fb>138.69999999999999</fb>
    <v>34</v>
  </rv>
  <rv s="14">
    <fb>91.19</fb>
    <v>34</v>
  </rv>
  <rv s="14">
    <fb>13.72</fb>
    <v>34</v>
  </rv>
  <rv s="14">
    <fb>59.44</fb>
    <v>34</v>
  </rv>
  <rv s="14">
    <fb>523.01</fb>
    <v>34</v>
  </rv>
  <rv s="14">
    <fb>233.93</fb>
    <v>34</v>
  </rv>
  <rv s="14">
    <fb>41.44</fb>
    <v>34</v>
  </rv>
  <rv s="14">
    <fb>113.76</fb>
    <v>34</v>
  </rv>
  <rv s="14">
    <fb>162.84</fb>
    <v>34</v>
  </rv>
  <rv s="14">
    <fb>70.12</fb>
    <v>34</v>
  </rv>
  <rv s="14">
    <fb>303.97000000000003</fb>
    <v>34</v>
  </rv>
  <rv s="14">
    <fb>99.36</fb>
    <v>34</v>
  </rv>
  <rv s="14">
    <fb>950.02</fb>
    <v>34</v>
  </rv>
  <rv s="14">
    <fb>169.76</fb>
    <v>34</v>
  </rv>
  <rv s="14">
    <fb>151.34</fb>
    <v>34</v>
  </rv>
  <rv s="14">
    <fb>257.75</fb>
    <v>34</v>
  </rv>
  <rv s="14">
    <fb>28.76</fb>
    <v>34</v>
  </rv>
  <rv s="14">
    <fb>57.28</fb>
    <v>34</v>
  </rv>
  <rv s="14">
    <fb>21.8429</fb>
    <v>34</v>
  </rv>
  <rv s="14">
    <fb>45734</fb>
    <v>33</v>
  </rv>
  <rv s="14">
    <fb>212.69</fb>
    <v>34</v>
  </rv>
  <rv s="14">
    <fb>115.43</fb>
    <v>34</v>
  </rv>
  <rv s="14">
    <fb>383.52</fb>
    <v>34</v>
  </rv>
  <rv s="14">
    <fb>582.36</fb>
    <v>34</v>
  </rv>
  <rv s="14">
    <fb>160.66999999999999</fb>
    <v>34</v>
  </rv>
  <rv s="14">
    <fb>561.02</fb>
    <v>34</v>
  </rv>
  <rv s="14">
    <fb>90.71</fb>
    <v>34</v>
  </rv>
  <rv s="14">
    <fb>279.95999999999998</fb>
    <v>34</v>
  </rv>
  <rv s="14">
    <fb>72.209999999999994</fb>
    <v>34</v>
  </rv>
  <rv s="14">
    <fb>47.087899999999998</fb>
    <v>34</v>
  </rv>
  <rv s="14">
    <fb>137.44</fb>
    <v>34</v>
  </rv>
  <rv s="14">
    <fb>91.34</fb>
    <v>34</v>
  </rv>
  <rv s="14">
    <fb>13.66</fb>
    <v>34</v>
  </rv>
  <rv s="14">
    <fb>60.17</fb>
    <v>34</v>
  </rv>
  <rv s="14">
    <fb>523.14</fb>
    <v>34</v>
  </rv>
  <rv s="14">
    <fb>234.97</fb>
    <v>34</v>
  </rv>
  <rv s="14">
    <fb>41.65</fb>
    <v>34</v>
  </rv>
  <rv s="14">
    <fb>113.64</fb>
    <v>34</v>
  </rv>
  <rv s="14">
    <fb>160.81</fb>
    <v>34</v>
  </rv>
  <rv s="14">
    <fb>164.25</fb>
    <v>34</v>
  </rv>
  <rv s="14">
    <fb>69.38</fb>
    <v>34</v>
  </rv>
  <rv s="14">
    <fb>303.60000000000002</fb>
    <v>34</v>
  </rv>
  <rv s="14">
    <fb>99.35</fb>
    <v>34</v>
  </rv>
  <rv s="14">
    <fb>929.98</fb>
    <v>34</v>
  </rv>
  <rv s="14">
    <fb>148.99</fb>
    <v>34</v>
  </rv>
  <rv s="14">
    <fb>257.93</fb>
    <v>34</v>
  </rv>
  <rv s="14">
    <fb>58.98</fb>
    <v>34</v>
  </rv>
  <rv s="14">
    <fb>57.38</fb>
    <v>34</v>
  </rv>
  <rv s="14">
    <fb>21.769300000000001</fb>
    <v>34</v>
  </rv>
  <rv s="14">
    <fb>45735</fb>
    <v>33</v>
  </rv>
  <rv s="14">
    <fb>215.24</fb>
    <v>34</v>
  </rv>
  <rv s="14">
    <fb>117.52</fb>
    <v>34</v>
  </rv>
  <rv s="14">
    <fb>387.82</fb>
    <v>34</v>
  </rv>
  <rv s="14">
    <fb>584.05999999999995</fb>
    <v>34</v>
  </rv>
  <rv s="14">
    <fb>163.89</fb>
    <v>34</v>
  </rv>
  <rv s="14">
    <fb>567.13</fb>
    <v>34</v>
  </rv>
  <rv s="14">
    <fb>91.18</fb>
    <v>34</v>
  </rv>
  <rv s="14">
    <fb>281.11</fb>
    <v>34</v>
  </rv>
  <rv s="14">
    <fb>72.42</fb>
    <v>34</v>
  </rv>
  <rv s="14">
    <fb>94.96</fb>
    <v>34</v>
  </rv>
  <rv s="14">
    <fb>47.26</fb>
    <v>34</v>
  </rv>
  <rv s="14">
    <fb>143.4</fb>
    <v>34</v>
  </rv>
  <rv s="14">
    <fb>92.83</fb>
    <v>34</v>
  </rv>
  <rv s="14">
    <fb>13.69</fb>
    <v>34</v>
  </rv>
  <rv s="14">
    <fb>30.75</fb>
    <v>34</v>
  </rv>
  <rv s="14">
    <fb>60.4</fb>
    <v>34</v>
  </rv>
  <rv s="14">
    <fb>26.65</fb>
    <v>34</v>
  </rv>
  <rv s="14">
    <fb>27.27</fb>
    <v>34</v>
  </rv>
  <rv s="14">
    <fb>525.27</fb>
    <v>34</v>
  </rv>
  <rv s="14">
    <fb>239.11</fb>
    <v>34</v>
  </rv>
  <rv s="14">
    <fb>42.21</fb>
    <v>34</v>
  </rv>
  <rv s="14">
    <fb>115.41</fb>
    <v>34</v>
  </rv>
  <rv s="14">
    <fb>164.05</fb>
    <v>34</v>
  </rv>
  <rv s="14">
    <fb>69.28</fb>
    <v>34</v>
  </rv>
  <rv s="14">
    <fb>306.92</fb>
    <v>34</v>
  </rv>
  <rv s="14">
    <fb>100.29</fb>
    <v>34</v>
  </rv>
  <rv s="14">
    <fb>959.49</fb>
    <v>34</v>
  </rv>
  <rv s="14">
    <fb>168.57</fb>
    <v>34</v>
  </rv>
  <rv s="14">
    <fb>260.88</fb>
    <v>34</v>
  </rv>
  <rv s="14">
    <fb>94.23</fb>
    <v>34</v>
  </rv>
  <rv s="14">
    <fb>29.61</fb>
    <v>34</v>
  </rv>
  <rv s="14">
    <fb>22.914999999999999</fb>
    <v>34</v>
  </rv>
  <rv s="14">
    <fb>58.54</fb>
    <v>34</v>
  </rv>
  <rv s="14">
    <fb>21.792200000000001</fb>
    <v>34</v>
  </rv>
  <rv s="14">
    <fb>45736</fb>
    <v>33</v>
  </rv>
  <rv s="14">
    <fb>214.1</fb>
    <v>34</v>
  </rv>
  <rv s="14">
    <fb>118.53</fb>
    <v>34</v>
  </rv>
  <rv s="14">
    <fb>386.84</fb>
    <v>34</v>
  </rv>
  <rv s="14">
    <fb>586</fb>
    <v>34</v>
  </rv>
  <rv s="14">
    <fb>162.80000000000001</fb>
    <v>34</v>
  </rv>
  <rv s="14">
    <fb>565.49</fb>
    <v>34</v>
  </rv>
  <rv s="14">
    <fb>280.75</fb>
    <v>34</v>
  </rv>
  <rv s="14">
    <fb>73.73</fb>
    <v>34</v>
  </rv>
  <rv s="14">
    <fb>47.27</fb>
    <v>34</v>
  </rv>
  <rv s="14">
    <fb>144.77000000000001</fb>
    <v>34</v>
  </rv>
  <rv s="14">
    <fb>30.5</fb>
    <v>34</v>
  </rv>
  <rv s="14">
    <fb>60.31</fb>
    <v>34</v>
  </rv>
  <rv s="14">
    <fb>90.09</fb>
    <v>34</v>
  </rv>
  <rv s="14">
    <fb>528.73</fb>
    <v>34</v>
  </rv>
  <rv s="14">
    <fb>239.01</fb>
    <v>34</v>
  </rv>
  <rv s="14">
    <fb>42.48</fb>
    <v>34</v>
  </rv>
  <rv s="14">
    <fb>115.9</fb>
    <v>34</v>
  </rv>
  <rv s="14">
    <fb>164.77</fb>
    <v>34</v>
  </rv>
  <rv s="14">
    <fb>163.02000000000001</fb>
    <v>34</v>
  </rv>
  <rv s="14">
    <fb>69.709999999999994</fb>
    <v>34</v>
  </rv>
  <rv s="14">
    <fb>307</fb>
    <v>34</v>
  </rv>
  <rv s="14">
    <fb>98.86</fb>
    <v>34</v>
  </rv>
  <rv s="14">
    <fb>950.84</fb>
    <v>34</v>
  </rv>
  <rv s="14">
    <fb>167.55</fb>
    <v>34</v>
  </rv>
  <rv s="14">
    <fb>147.15</fb>
    <v>34</v>
  </rv>
  <rv s="14">
    <fb>261.74</fb>
    <v>34</v>
  </rv>
  <rv s="14">
    <fb>22.934999999999999</fb>
    <v>34</v>
  </rv>
  <rv s="14">
    <fb>59.19</fb>
    <v>34</v>
  </rv>
  <rv s="14">
    <fb>57.73</fb>
    <v>34</v>
  </rv>
  <rv s="14">
    <fb>21.802199999999999</fb>
    <v>34</v>
  </rv>
  <rv s="14">
    <fb>45737</fb>
    <v>33</v>
  </rv>
  <rv s="14">
    <fb>218.27</fb>
    <v>34</v>
  </rv>
  <rv s="14">
    <fb>117.7</fb>
    <v>34</v>
  </rv>
  <rv s="14">
    <fb>391.26</fb>
    <v>34</v>
  </rv>
  <rv s="14">
    <fb>596.25</fb>
    <v>34</v>
  </rv>
  <rv s="14">
    <fb>163.99</fb>
    <v>34</v>
  </rv>
  <rv s="14">
    <fb>563.98</fb>
    <v>34</v>
  </rv>
  <rv s="14">
    <fb>278.49</fb>
    <v>34</v>
  </rv>
  <rv s="14">
    <fb>73.790000000000006</fb>
    <v>34</v>
  </rv>
  <rv s="14">
    <fb>95.02</fb>
    <v>34</v>
  </rv>
  <rv s="14">
    <fb>47.233600000000003</fb>
    <v>34</v>
  </rv>
  <rv s="14">
    <fb>143.41</fb>
    <v>34</v>
  </rv>
  <rv s="14">
    <fb>13.87</fb>
    <v>34</v>
  </rv>
  <rv s="14">
    <fb>30.02</fb>
    <v>34</v>
  </rv>
  <rv s="14">
    <fb>26.74</fb>
    <v>34</v>
  </rv>
  <rv s="14">
    <fb>59.83</fb>
    <v>34</v>
  </rv>
  <rv s="14">
    <fb>521.91</fb>
    <v>34</v>
  </rv>
  <rv s="14">
    <fb>241.63</fb>
    <v>34</v>
  </rv>
  <rv s="14">
    <fb>42.47</fb>
    <v>34</v>
  </rv>
  <rv s="14">
    <fb>115.5</fb>
    <v>34</v>
  </rv>
  <rv s="14">
    <fb>164.75</fb>
    <v>34</v>
  </rv>
  <rv s="14">
    <fb>68.67</fb>
    <v>34</v>
  </rv>
  <rv s="14">
    <fb>305.44</fb>
    <v>34</v>
  </rv>
  <rv s="14">
    <fb>99.46</fb>
    <v>34</v>
  </rv>
  <rv s="14">
    <fb>960.29</fb>
    <v>34</v>
  </rv>
  <rv s="14">
    <fb>145.44999999999999</fb>
    <v>34</v>
  </rv>
  <rv s="14">
    <fb>259</fb>
    <v>34</v>
  </rv>
  <rv s="14">
    <fb>29.23</fb>
    <v>34</v>
  </rv>
  <rv s="14">
    <fb>57.43</fb>
    <v>34</v>
  </rv>
  <rv s="14">
    <fb>21.628900000000002</fb>
    <v>34</v>
  </rv>
  <rv s="14">
    <fb>45740</fb>
    <v>33</v>
  </rv>
  <rv s="14">
    <fb>220.73</fb>
    <v>34</v>
  </rv>
  <rv s="14">
    <fb>121.41</fb>
    <v>34</v>
  </rv>
  <rv s="14">
    <fb>393.08</fb>
    <v>34</v>
  </rv>
  <rv s="14">
    <fb>618.85</fb>
    <v>34</v>
  </rv>
  <rv s="14">
    <fb>167.68</fb>
    <v>34</v>
  </rv>
  <rv s="14">
    <fb>574.08000000000004</fb>
    <v>34</v>
  </rv>
  <rv s="14">
    <fb>277.25</fb>
    <v>34</v>
  </rv>
  <rv s="14">
    <fb>74.88</fb>
    <v>34</v>
  </rv>
  <rv s="14">
    <fb>94.47</fb>
    <v>34</v>
  </rv>
  <rv s="14">
    <fb>47.052999999999997</fb>
    <v>34</v>
  </rv>
  <rv s="14">
    <fb>148.4</fb>
    <v>34</v>
  </rv>
  <rv s="14">
    <fb>92.85</fb>
    <v>34</v>
  </rv>
  <rv s="14">
    <fb>14.14</fb>
    <v>34</v>
  </rv>
  <rv s="14">
    <fb>59.55</fb>
    <v>34</v>
  </rv>
  <rv s="14">
    <fb>88.88</fb>
    <v>34</v>
  </rv>
  <rv s="14">
    <fb>525.85</fb>
    <v>34</v>
  </rv>
  <rv s="14">
    <fb>248.06</fb>
    <v>34</v>
  </rv>
  <rv s="14">
    <fb>43.07</fb>
    <v>34</v>
  </rv>
  <rv s="14">
    <fb>115.8</fb>
    <v>34</v>
  </rv>
  <rv s="14">
    <fb>163.29</fb>
    <v>34</v>
  </rv>
  <rv s="14">
    <fb>68.95</fb>
    <v>34</v>
  </rv>
  <rv s="14">
    <fb>305.67</fb>
    <v>34</v>
  </rv>
  <rv s="14">
    <fb>100.18</fb>
    <v>34</v>
  </rv>
  <rv s="14">
    <fb>971.99</fb>
    <v>34</v>
  </rv>
  <rv s="14">
    <fb>165.65</fb>
    <v>34</v>
  </rv>
  <rv s="14">
    <fb>146.44999999999999</fb>
    <v>34</v>
  </rv>
  <rv s="14">
    <fb>263.7</fb>
    <v>34</v>
  </rv>
  <rv s="14">
    <fb>58.94</fb>
    <v>34</v>
  </rv>
  <rv s="14">
    <fb>21.863800000000001</fb>
    <v>34</v>
  </rv>
  <rv s="14">
    <fb>45741</fb>
    <v>33</v>
  </rv>
  <rv s="14">
    <fb>223.75</fb>
    <v>34</v>
  </rv>
  <rv s="14">
    <fb>120.69</fb>
    <v>34</v>
  </rv>
  <rv s="14">
    <fb>395.16</fb>
    <v>34</v>
  </rv>
  <rv s="14">
    <fb>626.30999999999995</fb>
    <v>34</v>
  </rv>
  <rv s="14">
    <fb>170.56</fb>
    <v>34</v>
  </rv>
  <rv s="14">
    <fb>575.46</fb>
    <v>34</v>
  </rv>
  <rv s="14">
    <fb>278.47000000000003</fb>
    <v>34</v>
  </rv>
  <rv s="14">
    <fb>94.63</fb>
    <v>34</v>
  </rv>
  <rv s="14">
    <fb>47.138399999999997</fb>
    <v>34</v>
  </rv>
  <rv s="14">
    <fb>147.9</fb>
    <v>34</v>
  </rv>
  <rv s="14">
    <fb>93.23</fb>
    <v>34</v>
  </rv>
  <rv s="14">
    <fb>14.03</fb>
    <v>34</v>
  </rv>
  <rv s="14">
    <fb>3.5</fb>
    <v>35</v>
  </rv>
  <rv s="14">
    <fb>30.58</fb>
    <v>34</v>
  </rv>
  <rv s="14">
    <fb>89.47</fb>
    <v>34</v>
  </rv>
  <rv s="14">
    <fb>528.87</fb>
    <v>34</v>
  </rv>
  <rv s="14">
    <fb>251.13</fb>
    <v>34</v>
  </rv>
  <rv s="14">
    <fb>43.28</fb>
    <v>34</v>
  </rv>
  <rv s="14">
    <fb>116.59</fb>
    <v>34</v>
  </rv>
  <rv s="14">
    <fb>165.94</fb>
    <v>34</v>
  </rv>
  <rv s="14">
    <fb>161.02000000000001</fb>
    <v>34</v>
  </rv>
  <rv s="14">
    <fb>68.81</fb>
    <v>34</v>
  </rv>
  <rv s="14">
    <fb>101.61</fb>
    <v>34</v>
  </rv>
  <rv s="14">
    <fb>997.28</fb>
    <v>34</v>
  </rv>
  <rv s="14">
    <fb>145.54</fb>
    <v>34</v>
  </rv>
  <rv s="14">
    <fb>265.86</fb>
    <v>34</v>
  </rv>
  <rv s="14">
    <fb>94.59</fb>
    <v>34</v>
  </rv>
  <rv s="14">
    <fb>29.45</fb>
    <v>34</v>
  </rv>
  <rv s="14">
    <fb>21.439599999999999</fb>
    <v>34</v>
  </rv>
  <rv s="14">
    <fb>45742</fb>
    <v>33</v>
  </rv>
  <rv s="14">
    <fb>221.53</fb>
    <v>34</v>
  </rv>
  <rv s="14">
    <fb>389.97</fb>
    <v>34</v>
  </rv>
  <rv s="14">
    <fb>610.98</fb>
    <v>34</v>
  </rv>
  <rv s="14">
    <fb>165.06</fb>
    <v>34</v>
  </rv>
  <rv s="14">
    <fb>568.59</fb>
    <v>34</v>
  </rv>
  <rv s="14">
    <fb>89.17</fb>
    <v>34</v>
  </rv>
  <rv s="14">
    <fb>278.24</fb>
    <v>34</v>
  </rv>
  <rv s="14">
    <fb>75.42</fb>
    <v>34</v>
  </rv>
  <rv s="14">
    <fb>46.789200000000001</fb>
    <v>34</v>
  </rv>
  <rv s="14">
    <fb>144.63999999999999</fb>
    <v>34</v>
  </rv>
  <rv s="14">
    <fb>14.11</fb>
    <v>34</v>
  </rv>
  <rv s="14">
    <fb>30.53</fb>
    <v>34</v>
  </rv>
  <rv s="14">
    <fb>26.57</fb>
    <v>34</v>
  </rv>
  <rv s="14">
    <fb>4.6900000000000004</fb>
    <v>34</v>
  </rv>
  <rv s="14">
    <fb>59.78</fb>
    <v>34</v>
  </rv>
  <rv s="14">
    <fb>89.34</fb>
    <v>34</v>
  </rv>
  <rv s="14">
    <fb>533.21</fb>
    <v>34</v>
  </rv>
  <rv s="14">
    <fb>251.03</fb>
    <v>34</v>
  </rv>
  <rv s="14">
    <fb>42.82</fb>
    <v>34</v>
  </rv>
  <rv s="14">
    <fb>118.27</fb>
    <v>34</v>
  </rv>
  <rv s="14">
    <fb>70.02</fb>
    <v>34</v>
  </rv>
  <rv s="14">
    <fb>313.58</fb>
    <v>34</v>
  </rv>
  <rv s="14">
    <fb>100.78</fb>
    <v>34</v>
  </rv>
  <rv s="14">
    <fb>970.65</fb>
    <v>34</v>
  </rv>
  <rv s="14">
    <fb>148.63999999999999</fb>
    <v>34</v>
  </rv>
  <rv s="14">
    <fb>95.06</fb>
    <v>34</v>
  </rv>
  <rv s="14">
    <fb>29.55</fb>
    <v>34</v>
  </rv>
  <rv s="14">
    <fb>22.795000000000002</fb>
    <v>34</v>
  </rv>
  <rv s="14">
    <fb>21.52</fb>
    <v>34</v>
  </rv>
  <rv s="14">
    <fb>45743</fb>
    <v>33</v>
  </rv>
  <rv s="14">
    <fb>223.85</fb>
    <v>34</v>
  </rv>
  <rv s="14">
    <fb>111.43</fb>
    <v>34</v>
  </rv>
  <rv s="14">
    <fb>390.58</fb>
    <v>34</v>
  </rv>
  <rv s="14">
    <fb>602.58000000000004</fb>
    <v>34</v>
  </rv>
  <rv s="14">
    <fb>162.24</fb>
    <v>34</v>
  </rv>
  <rv s="14">
    <fb>567.08000000000004</fb>
    <v>34</v>
  </rv>
  <rv s="14">
    <fb>88.91</fb>
    <v>34</v>
  </rv>
  <rv s="14">
    <fb>281.97000000000003</fb>
    <v>34</v>
  </rv>
  <rv s="14">
    <fb>75.48</fb>
    <v>34</v>
  </rv>
  <rv s="14">
    <fb>94.33</fb>
    <v>34</v>
  </rv>
  <rv s="14">
    <fb>46.755200000000002</fb>
    <v>34</v>
  </rv>
  <rv s="14">
    <fb>142.03</fb>
    <v>34</v>
  </rv>
  <rv s="14">
    <fb>92.87</fb>
    <v>34</v>
  </rv>
  <rv s="14">
    <fb>14.13</fb>
    <v>34</v>
  </rv>
  <rv s="14">
    <fb>60.56</fb>
    <v>34</v>
  </rv>
  <rv s="14">
    <fb>534.52</fb>
    <v>34</v>
  </rv>
  <rv s="14">
    <fb>248.12</fb>
    <v>34</v>
  </rv>
  <rv s="14">
    <fb>42.56</fb>
    <v>34</v>
  </rv>
  <rv s="14">
    <fb>117.89</fb>
    <v>34</v>
  </rv>
  <rv s="14">
    <fb>166.65</fb>
    <v>34</v>
  </rv>
  <rv s="14">
    <fb>163.13</fb>
    <v>34</v>
  </rv>
  <rv s="14">
    <fb>70.739999999999995</fb>
    <v>34</v>
  </rv>
  <rv s="14">
    <fb>312.69</fb>
    <v>34</v>
  </rv>
  <rv s="14">
    <fb>100.45</fb>
    <v>34</v>
  </rv>
  <rv s="14">
    <fb>976.72</fb>
    <v>34</v>
  </rv>
  <rv s="14">
    <fb>168.71</fb>
    <v>34</v>
  </rv>
  <rv s="14">
    <fb>149.66999999999999</fb>
    <v>34</v>
  </rv>
  <rv s="14">
    <fb>264.81</fb>
    <v>34</v>
  </rv>
  <rv s="14">
    <fb>22.79</fb>
    <v>34</v>
  </rv>
  <rv s="14">
    <fb>58.56</fb>
    <v>34</v>
  </rv>
  <rv s="14">
    <fb>58.96</fb>
    <v>34</v>
  </rv>
  <rv s="14">
    <fb>56.4</fb>
    <v>34</v>
  </rv>
  <rv s="14">
    <fb>21.485399999999998</fb>
    <v>34</v>
  </rv>
  <rv s="14">
    <fb>45744</fb>
    <v>33</v>
  </rv>
  <rv s="14">
    <fb>217.9</fb>
    <v>34</v>
  </rv>
  <rv s="14">
    <fb>109.67</fb>
    <v>34</v>
  </rv>
  <rv s="14">
    <fb>378.8</fb>
    <v>34</v>
  </rv>
  <rv s="14">
    <fb>576.74</fb>
    <v>34</v>
  </rv>
  <rv s="14">
    <fb>154.33000000000001</fb>
    <v>34</v>
  </rv>
  <rv s="14">
    <fb>555.66</fb>
    <v>34</v>
  </rv>
  <rv s="14">
    <fb>90.14</fb>
    <v>34</v>
  </rv>
  <rv s="14">
    <fb>284.06</fb>
    <v>34</v>
  </rv>
  <rv s="14">
    <fb>74.77</fb>
    <v>34</v>
  </rv>
  <rv s="14">
    <fb>46.884799999999998</fb>
    <v>34</v>
  </rv>
  <rv s="14">
    <fb>136.96</fb>
    <v>34</v>
  </rv>
  <rv s="14">
    <fb>13.97</fb>
    <v>34</v>
  </rv>
  <rv s="14">
    <fb>26.47</fb>
    <v>34</v>
  </rv>
  <rv s="14">
    <fb>4.62</fb>
    <v>34</v>
  </rv>
  <rv s="14">
    <fb>61.03</fb>
    <v>34</v>
  </rv>
  <rv s="14">
    <fb>89.96</fb>
    <v>34</v>
  </rv>
  <rv s="14">
    <fb>26.78</fb>
    <v>34</v>
  </rv>
  <rv s="14">
    <fb>27.04</fb>
    <v>34</v>
  </rv>
  <rv s="14">
    <fb>526.30999999999995</fb>
    <v>34</v>
  </rv>
  <rv s="14">
    <fb>242.85</fb>
    <v>34</v>
  </rv>
  <rv s="14">
    <fb>41.25</fb>
    <v>34</v>
  </rv>
  <rv s="14">
    <fb>117.73</fb>
    <v>34</v>
  </rv>
  <rv s="14">
    <fb>163.71</fb>
    <v>34</v>
  </rv>
  <rv s="14">
    <fb>70.37</fb>
    <v>34</v>
  </rv>
  <rv s="14">
    <fb>307.08999999999997</fb>
    <v>34</v>
  </rv>
  <rv s="14">
    <fb>98.07</fb>
    <v>34</v>
  </rv>
  <rv s="14">
    <fb>933.85</fb>
    <v>34</v>
  </rv>
  <rv s="14">
    <fb>168.03</fb>
    <v>34</v>
  </rv>
  <rv s="14">
    <fb>261.36</fb>
    <v>34</v>
  </rv>
  <rv s="14">
    <fb>58.68</fb>
    <v>34</v>
  </rv>
  <rv s="14">
    <fb>59.3</fb>
    <v>34</v>
  </rv>
  <rv s="14">
    <fb>21.401499999999999</fb>
    <v>34</v>
  </rv>
  <rv s="14">
    <fb>45747</fb>
    <v>33</v>
  </rv>
  <rv s="14">
    <fb>222.13</fb>
    <v>34</v>
  </rv>
  <rv s="14">
    <fb>108.38</fb>
    <v>34</v>
  </rv>
  <rv s="14">
    <fb>375.39</fb>
    <v>34</v>
  </rv>
  <rv s="14">
    <fb>576.36</fb>
    <v>34</v>
  </rv>
  <rv s="14">
    <fb>154.63999999999999</fb>
    <v>34</v>
  </rv>
  <rv s="14">
    <fb>559.39</fb>
    <v>34</v>
  </rv>
  <rv s="14">
    <fb>91.03</fb>
    <v>34</v>
  </rv>
  <rv s="14">
    <fb>288.14</fb>
    <v>34</v>
  </rv>
  <rv s="14">
    <fb>77.33</fb>
    <v>34</v>
  </rv>
  <rv s="14">
    <fb>95.37</fb>
    <v>34</v>
  </rv>
  <rv s="14">
    <fb>47.104999999999997</fb>
    <v>34</v>
  </rv>
  <rv s="14">
    <fb>136.94</fb>
    <v>34</v>
  </rv>
  <rv s="14">
    <fb>3.97</fb>
    <v>35</v>
  </rv>
  <rv s="14">
    <fb>30.99</fb>
    <v>34</v>
  </rv>
  <rv s="14">
    <fb>4.68</fb>
    <v>34</v>
  </rv>
  <rv s="14">
    <fb>61.89</fb>
    <v>34</v>
  </rv>
  <rv s="14">
    <fb>532.58000000000004</fb>
    <v>34</v>
  </rv>
  <rv s="14">
    <fb>245.3</fb>
    <v>34</v>
  </rv>
  <rv s="14">
    <fb>41.73</fb>
    <v>34</v>
  </rv>
  <rv s="14">
    <fb>118.93</fb>
    <v>34</v>
  </rv>
  <rv s="14">
    <fb>167.29</fb>
    <v>34</v>
  </rv>
  <rv s="14">
    <fb>312.37</fb>
    <v>34</v>
  </rv>
  <rv s="14">
    <fb>98.7</fb>
    <v>34</v>
  </rv>
  <rv s="14">
    <fb>932.53</fb>
    <v>34</v>
  </rv>
  <rv s="14">
    <fb>170.42</fb>
    <v>34</v>
  </rv>
  <rv s="14">
    <fb>149.94</fb>
    <v>34</v>
  </rv>
  <rv s="14">
    <fb>262.12</fb>
    <v>34</v>
  </rv>
  <rv s="14">
    <fb>94.58</fb>
    <v>34</v>
  </rv>
  <rv s="14">
    <fb>21.64</fb>
    <v>34</v>
  </rv>
  <rv s="14">
    <fb>45748</fb>
    <v>33</v>
  </rv>
  <rv s="14">
    <fb>223.19</fb>
    <v>34</v>
  </rv>
  <rv s="14">
    <fb>382.19</fb>
    <v>34</v>
  </rv>
  <rv s="14">
    <fb>157.07</fb>
    <v>34</v>
  </rv>
  <rv s="14">
    <fb>560.97</fb>
    <v>34</v>
  </rv>
  <rv s="14">
    <fb>287.57</fb>
    <v>34</v>
  </rv>
  <rv s="14">
    <fb>77.08</fb>
    <v>34</v>
  </rv>
  <rv s="14">
    <fb>47.205199999999998</fb>
    <v>34</v>
  </rv>
  <rv s="14">
    <fb>138.37</fb>
    <v>34</v>
  </rv>
  <rv s="14">
    <fb>61.79</fb>
    <v>34</v>
  </rv>
  <rv s="14">
    <fb>26.8</fb>
    <v>34</v>
  </rv>
  <rv s="14">
    <fb>532.99</fb>
    <v>34</v>
  </rv>
  <rv s="14">
    <fb>243.66</fb>
    <v>34</v>
  </rv>
  <rv s="14">
    <fb>41.49</fb>
    <v>34</v>
  </rv>
  <rv s="14">
    <fb>119.04</fb>
    <v>34</v>
  </rv>
  <rv s="14">
    <fb>168.51</fb>
    <v>34</v>
  </rv>
  <rv s="14">
    <fb>153.25</fb>
    <v>34</v>
  </rv>
  <rv s="14">
    <fb>71.87</fb>
    <v>34</v>
  </rv>
  <rv s="14">
    <fb>313.63</fb>
    <v>34</v>
  </rv>
  <rv s="14">
    <fb>97.68</fb>
    <v>34</v>
  </rv>
  <rv s="14">
    <fb>928.38</fb>
    <v>34</v>
  </rv>
  <rv s="14">
    <fb>266.11</fb>
    <v>34</v>
  </rv>
  <rv s="14">
    <fb>95.18</fb>
    <v>34</v>
  </rv>
  <rv s="14">
    <fb>22.97</fb>
    <v>34</v>
  </rv>
  <rv s="14">
    <fb>59.33</fb>
    <v>34</v>
  </rv>
  <rv s="14">
    <fb>21.668700000000001</fb>
    <v>34</v>
  </rv>
  <rv s="14">
    <fb>45749</fb>
    <v>33</v>
  </rv>
  <rv s="14">
    <fb>223.89</fb>
    <v>34</v>
  </rv>
  <rv s="14">
    <fb>110.42</fb>
    <v>34</v>
  </rv>
  <rv s="14">
    <fb>382.14</fb>
    <v>34</v>
  </rv>
  <rv s="14">
    <fb>583.92999999999995</fb>
    <v>34</v>
  </rv>
  <rv s="14">
    <fb>157.04</fb>
    <v>34</v>
  </rv>
  <rv s="14">
    <fb>564.52</fb>
    <v>34</v>
  </rv>
  <rv s="14">
    <fb>288.16000000000003</fb>
    <v>34</v>
  </rv>
  <rv s="14">
    <fb>77.739999999999995</fb>
    <v>34</v>
  </rv>
  <rv s="14">
    <fb>47.201599999999999</fb>
    <v>34</v>
  </rv>
  <rv s="14">
    <fb>141.52000000000001</fb>
    <v>34</v>
  </rv>
  <rv s="14">
    <fb>14.42</fb>
    <v>34</v>
  </rv>
  <rv s="14">
    <fb>30.76</fb>
    <v>34</v>
  </rv>
  <rv s="14">
    <fb>61.87</fb>
    <v>34</v>
  </rv>
  <rv s="14">
    <fb>88.78</fb>
    <v>34</v>
  </rv>
  <rv s="14">
    <fb>91.44</fb>
    <v>34</v>
  </rv>
  <rv s="14">
    <fb>537.72</fb>
    <v>34</v>
  </rv>
  <rv s="14">
    <fb>245.82</fb>
    <v>34</v>
  </rv>
  <rv s="14">
    <fb>41.85</fb>
    <v>34</v>
  </rv>
  <rv s="14">
    <fb>118.67</fb>
    <v>34</v>
  </rv>
  <rv s="14">
    <fb>166.47</fb>
    <v>34</v>
  </rv>
  <rv s="14">
    <fb>155.36000000000001</fb>
    <v>34</v>
  </rv>
  <rv s="14">
    <fb>71.33</fb>
    <v>34</v>
  </rv>
  <rv s="14">
    <fb>311.58</fb>
    <v>34</v>
  </rv>
  <rv s="14">
    <fb>97.88</fb>
    <v>34</v>
  </rv>
  <rv s="14">
    <fb>935.52</fb>
    <v>34</v>
  </rv>
  <rv s="14">
    <fb>169.5</fb>
    <v>34</v>
  </rv>
  <rv s="14">
    <fb>266.32</fb>
    <v>34</v>
  </rv>
  <rv s="14">
    <fb>95.92</fb>
    <v>34</v>
  </rv>
  <rv s="14">
    <fb>29.724499999999999</fb>
    <v>34</v>
  </rv>
  <rv s="14">
    <fb>22.95</fb>
    <v>34</v>
  </rv>
  <rv s="14">
    <fb>59.27</fb>
    <v>34</v>
  </rv>
  <rv s="14">
    <fb>21.785299999999999</fb>
    <v>34</v>
  </rv>
  <rv s="14">
    <fb>45750</fb>
    <v>33</v>
  </rv>
  <rv s="14">
    <fb>203.19</fb>
    <v>34</v>
  </rv>
  <rv s="14">
    <fb>101.8</fb>
    <v>34</v>
  </rv>
  <rv s="14">
    <fb>373.11</fb>
    <v>34</v>
  </rv>
  <rv s="14">
    <fb>531.62</fb>
    <v>34</v>
  </rv>
  <rv s="14">
    <fb>150.72</fb>
    <v>34</v>
  </rv>
  <rv s="14">
    <fb>536.70000000000005</fb>
    <v>34</v>
  </rv>
  <rv s="14">
    <fb>91.85</fb>
    <v>34</v>
  </rv>
  <rv s="14">
    <fb>286.42</fb>
    <v>34</v>
  </rv>
  <rv s="14">
    <fb>72.25</fb>
    <v>34</v>
  </rv>
  <rv s="14">
    <fb>96.29</fb>
    <v>34</v>
  </rv>
  <rv s="14">
    <fb>47.255200000000002</fb>
    <v>34</v>
  </rv>
  <rv s="14">
    <fb>123.45</fb>
    <v>34</v>
  </rv>
  <rv s="14">
    <fb>86.74</fb>
    <v>34</v>
  </rv>
  <rv s="14">
    <fb>13.48</fb>
    <v>34</v>
  </rv>
  <rv s="14">
    <fb>61.54</fb>
    <v>34</v>
  </rv>
  <rv s="14">
    <fb>86.54</fb>
    <v>34</v>
  </rv>
  <rv s="14">
    <fb>50.83</fb>
    <v>34</v>
  </rv>
  <rv s="14">
    <fb>27.52</fb>
    <v>34</v>
  </rv>
  <rv s="14">
    <fb>530.16</fb>
    <v>34</v>
  </rv>
  <rv s="14">
    <fb>228.69</fb>
    <v>34</v>
  </rv>
  <rv s="14">
    <fb>37.22</fb>
    <v>34</v>
  </rv>
  <rv s="14">
    <fb>112.43</fb>
    <v>34</v>
  </rv>
  <rv s="14">
    <fb>156.12</fb>
    <v>34</v>
  </rv>
  <rv s="14">
    <fb>73.180000000000007</fb>
    <v>34</v>
  </rv>
  <rv s="14">
    <fb>318.27</fb>
    <v>34</v>
  </rv>
  <rv s="14">
    <fb>88.84</fb>
    <v>34</v>
  </rv>
  <rv s="14">
    <fb>917.05</fb>
    <v>34</v>
  </rv>
  <rv s="14">
    <fb>172.39</fb>
    <v>34</v>
  </rv>
  <rv s="14">
    <fb>151.37</fb>
    <v>34</v>
  </rv>
  <rv s="14">
    <fb>236.83</fb>
    <v>34</v>
  </rv>
  <rv s="14">
    <fb>86.15</fb>
    <v>34</v>
  </rv>
  <rv s="14">
    <fb>58.71</fb>
    <v>34</v>
  </rv>
  <rv s="14">
    <fb>59.81</fb>
    <v>34</v>
  </rv>
  <rv s="14">
    <fb>21.1812</fb>
    <v>34</v>
  </rv>
  <rv s="14">
    <fb>45751</fb>
    <v>33</v>
  </rv>
  <rv s="14">
    <fb>188.38</fb>
    <v>34</v>
  </rv>
  <rv s="14">
    <fb>359.84</fb>
    <v>34</v>
  </rv>
  <rv s="14">
    <fb>504.73</fb>
    <v>34</v>
  </rv>
  <rv s="14">
    <fb>145.6</fb>
    <v>34</v>
  </rv>
  <rv s="14">
    <fb>505.28</fb>
    <v>34</v>
  </rv>
  <rv s="14">
    <fb>279.72000000000003</fb>
    <v>34</v>
  </rv>
  <rv s="14">
    <fb>67.92</fb>
    <v>34</v>
  </rv>
  <rv s="14">
    <fb>96.56</fb>
    <v>34</v>
  </rv>
  <rv s="14">
    <fb>46.7</fb>
    <v>34</v>
  </rv>
  <rv s="14">
    <fb>108.68</fb>
    <v>34</v>
  </rv>
  <rv s="14">
    <fb>78.760000000000005</fb>
    <v>34</v>
  </rv>
  <rv s="14">
    <fb>12.81</fb>
    <v>34</v>
  </rv>
  <rv s="14">
    <fb>60.15</fb>
    <v>34</v>
  </rv>
  <rv s="14">
    <fb>83.9</fb>
    <v>34</v>
  </rv>
  <rv s="14">
    <fb>50.1</fb>
    <v>34</v>
  </rv>
  <rv s="14">
    <fb>27.78</fb>
    <v>34</v>
  </rv>
  <rv s="14">
    <fb>493.54</fb>
    <v>34</v>
  </rv>
  <rv s="14">
    <fb>210.28</fb>
    <v>34</v>
  </rv>
  <rv s="14">
    <fb>34.39</fb>
    <v>34</v>
  </rv>
  <rv s="14">
    <fb>104.34</fb>
    <v>34</v>
  </rv>
  <rv s="14">
    <fb>143.28</fb>
    <v>34</v>
  </rv>
  <rv s="14">
    <fb>69.930000000000007</fb>
    <v>34</v>
  </rv>
  <rv s="14">
    <fb>300.11</fb>
    <v>34</v>
  </rv>
  <rv s="14">
    <fb>83.53</fb>
    <v>34</v>
  </rv>
  <rv s="14">
    <fb>855.86</fb>
    <v>34</v>
  </rv>
  <rv s="14">
    <fb>146.61000000000001</fb>
    <v>34</v>
  </rv>
  <rv s="14">
    <fb>207.77</fb>
    <v>34</v>
  </rv>
  <rv s="14">
    <fb>77.599999999999994</fb>
    <v>34</v>
  </rv>
  <rv s="14">
    <fb>23.67</fb>
    <v>34</v>
  </rv>
  <rv s="14">
    <fb>23.17</fb>
    <v>34</v>
  </rv>
  <rv s="14">
    <fb>59.9</fb>
    <v>34</v>
  </rv>
  <rv s="14">
    <fb>20.422799999999999</fb>
    <v>34</v>
  </rv>
  <rv s="14">
    <fb>45754</fb>
    <v>33</v>
  </rv>
  <rv s="14">
    <fb>181.46</fb>
    <v>34</v>
  </rv>
  <rv s="14">
    <fb>97.64</fb>
    <v>34</v>
  </rv>
  <rv s="14">
    <fb>357.86</fb>
    <v>34</v>
  </rv>
  <rv s="14">
    <fb>516.25</fb>
    <v>34</v>
  </rv>
  <rv s="14">
    <fb>146.75</fb>
    <v>34</v>
  </rv>
  <rv s="14">
    <fb>504.38</fb>
    <v>34</v>
  </rv>
  <rv s="14">
    <fb>90.05</fb>
    <v>34</v>
  </rv>
  <rv s="14">
    <fb>273.70999999999998</fb>
    <v>34</v>
  </rv>
  <rv s="14">
    <fb>65.98</fb>
    <v>34</v>
  </rv>
  <rv s="14">
    <fb>95.41</fb>
    <v>34</v>
  </rv>
  <rv s="14">
    <fb>46.147100000000002</fb>
    <v>34</v>
  </rv>
  <rv s="14">
    <fb>112.36</fb>
    <v>34</v>
  </rv>
  <rv s="14">
    <fb>78.25</fb>
    <v>34</v>
  </rv>
  <rv s="14">
    <fb>12.6</fb>
    <v>34</v>
  </rv>
  <rv s="14">
    <fb>83.41</fb>
    <v>34</v>
  </rv>
  <rv s="14">
    <fb>50.31</fb>
    <v>34</v>
  </rv>
  <rv s="14">
    <fb>490.38</fb>
    <v>34</v>
  </rv>
  <rv s="14">
    <fb>214.44</fb>
    <v>34</v>
  </rv>
  <rv s="14">
    <fb>35.58</fb>
    <v>34</v>
  </rv>
  <rv s="14">
    <fb>102.94</fb>
    <v>34</v>
  </rv>
  <rv s="14">
    <fb>68.37</fb>
    <v>34</v>
  </rv>
  <rv s="14">
    <fb>299.89</fb>
    <v>34</v>
  </rv>
  <rv s="14">
    <fb>83.3</fb>
    <v>34</v>
  </rv>
  <rv s="14">
    <fb>867.83</fb>
    <v>34</v>
  </rv>
  <rv s="14">
    <fb>160.22999999999999</fb>
    <v>34</v>
  </rv>
  <rv s="14">
    <fb>143.19</fb>
    <v>34</v>
  </rv>
  <rv s="14">
    <fb>206.09</fb>
    <v>34</v>
  </rv>
  <rv s="14">
    <fb>77.53</fb>
    <v>34</v>
  </rv>
  <rv s="14">
    <fb>23.55</fb>
    <v>34</v>
  </rv>
  <rv s="14">
    <fb>58.7</fb>
    <v>34</v>
  </rv>
  <rv s="14">
    <fb>59.47</fb>
    <v>34</v>
  </rv>
  <rv s="14">
    <fb>28.49</fb>
    <v>34</v>
  </rv>
  <rv s="14">
    <fb>19.789200000000001</fb>
    <v>34</v>
  </rv>
  <rv s="14">
    <fb>45755</fb>
    <v>33</v>
  </rv>
  <rv s="14">
    <fb>172.42</fb>
    <v>34</v>
  </rv>
  <rv s="14">
    <fb>96.3</fb>
    <v>34</v>
  </rv>
  <rv s="14">
    <fb>354.56</fb>
    <v>34</v>
  </rv>
  <rv s="14">
    <fb>510.45</fb>
    <v>34</v>
  </rv>
  <rv s="14">
    <fb>144.69999999999999</fb>
    <v>34</v>
  </rv>
  <rv s="14">
    <fb>496.48</fb>
    <v>34</v>
  </rv>
  <rv s="14">
    <fb>275.2</fb>
    <v>34</v>
  </rv>
  <rv s="14">
    <fb>63.34</fb>
    <v>34</v>
  </rv>
  <rv s="14">
    <fb>45.660600000000002</fb>
    <v>34</v>
  </rv>
  <rv s="14">
    <fb>110.41</fb>
    <v>34</v>
  </rv>
  <rv s="14">
    <fb>76.44</fb>
    <v>34</v>
  </rv>
  <rv s="14">
    <fb>12.09</fb>
    <v>34</v>
  </rv>
  <rv s="14">
    <fb>25.27</fb>
    <v>34</v>
  </rv>
  <rv s="14">
    <fb>59.11</fb>
    <v>34</v>
  </rv>
  <rv s="14">
    <fb>83.89</fb>
    <v>34</v>
  </rv>
  <rv s="14">
    <fb>50.17</fb>
    <v>34</v>
  </rv>
  <rv s="14">
    <fb>492.64</fb>
    <v>34</v>
  </rv>
  <rv s="14">
    <fb>216.87</fb>
    <v>34</v>
  </rv>
  <rv s="14">
    <fb>35.03</fb>
    <v>34</v>
  </rv>
  <rv s="14">
    <fb>100.77</fb>
    <v>34</v>
  </rv>
  <rv s="14">
    <fb>150</fb>
    <v>34</v>
  </rv>
  <rv s="14">
    <fb>68.42</fb>
    <v>34</v>
  </rv>
  <rv s="14">
    <fb>81.72</fb>
    <v>34</v>
  </rv>
  <rv s="14">
    <fb>870.4</fb>
    <v>34</v>
  </rv>
  <rv s="14">
    <fb>158.38999999999999</fb>
    <v>34</v>
  </rv>
  <rv s="14">
    <fb>140.30000000000001</fb>
    <v>34</v>
  </rv>
  <rv s="14">
    <fb>196.72</fb>
    <v>34</v>
  </rv>
  <rv s="14">
    <fb>74.87</fb>
    <v>34</v>
  </rv>
  <rv s="14">
    <fb>22.69</fb>
    <v>34</v>
  </rv>
  <rv s="14">
    <fb>28.23</fb>
    <v>34</v>
  </rv>
  <rv s="14">
    <fb>19.311499999999999</fb>
    <v>34</v>
  </rv>
  <rv s="14">
    <fb>45756</fb>
    <v>33</v>
  </rv>
  <rv s="14">
    <fb>198.85</fb>
    <v>34</v>
  </rv>
  <rv s="14">
    <fb>114.33</fb>
    <v>34</v>
  </rv>
  <rv s="14">
    <fb>390.49</fb>
    <v>34</v>
  </rv>
  <rv s="14">
    <fb>585.77</fb>
    <v>34</v>
  </rv>
  <rv s="14">
    <fb>158.71</fb>
    <v>34</v>
  </rv>
  <rv s="14">
    <fb>548.62</fb>
    <v>34</v>
  </rv>
  <rv s="14">
    <fb>88.87</fb>
    <v>34</v>
  </rv>
  <rv s="14">
    <fb>285.38</fb>
    <v>34</v>
  </rv>
  <rv s="14">
    <fb>67.58</fb>
    <v>34</v>
  </rv>
  <rv s="14">
    <fb>46.060400000000001</fb>
    <v>34</v>
  </rv>
  <rv s="14">
    <fb>128.44999999999999</fb>
    <v>34</v>
  </rv>
  <rv s="14">
    <fb>82.36</fb>
    <v>34</v>
  </rv>
  <rv s="14">
    <fb>13.32</fb>
    <v>34</v>
  </rv>
  <rv s="14">
    <fb>3.46</fb>
    <v>35</v>
  </rv>
  <rv s="14">
    <fb>28.06</fb>
    <v>34</v>
  </rv>
  <rv s="14">
    <fb>61.26</fb>
    <v>34</v>
  </rv>
  <rv s="14">
    <fb>85.07</fb>
    <v>34</v>
  </rv>
  <rv s="14">
    <fb>50.64</fb>
    <v>34</v>
  </rv>
  <rv s="14">
    <fb>521.41</fb>
    <v>34</v>
  </rv>
  <rv s="14">
    <fb>234.34</fb>
    <v>34</v>
  </rv>
  <rv s="14">
    <fb>37.15</fb>
    <v>34</v>
  </rv>
  <rv s="14">
    <fb>105.8</fb>
    <v>34</v>
  </rv>
  <rv s="14">
    <fb>146.03</fb>
    <v>34</v>
  </rv>
  <rv s="14">
    <fb>150.97</fb>
    <v>34</v>
  </rv>
  <rv s="14">
    <fb>69.95</fb>
    <v>34</v>
  </rv>
  <rv s="14">
    <fb>303.95999999999998</fb>
    <v>34</v>
  </rv>
  <rv s="14">
    <fb>945.47</fb>
    <v>34</v>
  </rv>
  <rv s="14">
    <fb>162.32</fb>
    <v>34</v>
  </rv>
  <rv s="14">
    <fb>145.59</fb>
    <v>34</v>
  </rv>
  <rv s="14">
    <fb>222.17</fb>
    <v>34</v>
  </rv>
  <rv s="14">
    <fb>82.58</fb>
    <v>34</v>
  </rv>
  <rv s="14">
    <fb>25.25</fb>
    <v>34</v>
  </rv>
  <rv s="14">
    <fb>59.07</fb>
    <v>34</v>
  </rv>
  <rv s="14">
    <fb>56.26</fb>
    <v>34</v>
  </rv>
  <rv s="14">
    <fb>28.62</fb>
    <v>34</v>
  </rv>
  <rv s="14">
    <fb>20.3916</fb>
    <v>34</v>
  </rv>
  <rv s="14">
    <fb>45757</fb>
    <v>33</v>
  </rv>
  <rv s="14">
    <fb>190.42</fb>
    <v>34</v>
  </rv>
  <rv s="14">
    <fb>381.35</fb>
    <v>34</v>
  </rv>
  <rv s="14">
    <fb>546.29</fb>
    <v>34</v>
  </rv>
  <rv s="14">
    <fb>152.82</fb>
    <v>34</v>
  </rv>
  <rv s="14">
    <fb>524.58000000000004</fb>
    <v>34</v>
  </rv>
  <rv s="14">
    <fb>86.42</fb>
    <v>34</v>
  </rv>
  <rv s="14">
    <fb>292.35000000000002</fb>
    <v>34</v>
  </rv>
  <rv s="14">
    <fb>65.319999999999993</fb>
    <v>34</v>
  </rv>
  <rv s="14">
    <fb>94.04</fb>
    <v>34</v>
  </rv>
  <rv s="14">
    <fb>45.923400000000001</fb>
    <v>34</v>
  </rv>
  <rv s="14">
    <fb>123.93</fb>
    <v>34</v>
  </rv>
  <rv s="14">
    <fb>76.98</fb>
    <v>34</v>
  </rv>
  <rv s="14">
    <fb>12.38</fb>
    <v>34</v>
  </rv>
  <rv s="14">
    <fb>62.8</fb>
    <v>34</v>
  </rv>
  <rv s="14">
    <fb>85.26</fb>
    <v>34</v>
  </rv>
  <rv s="14">
    <fb>26.04</fb>
    <v>34</v>
  </rv>
  <rv s="14">
    <fb>515.80999999999995</fb>
    <v>34</v>
  </rv>
  <rv s="14">
    <fb>227.11</fb>
    <v>34</v>
  </rv>
  <rv s="14">
    <fb>35.85</fb>
    <v>34</v>
  </rv>
  <rv s="14">
    <fb>99.93</fb>
    <v>34</v>
  </rv>
  <rv s="14">
    <fb>134.97999999999999</fb>
    <v>34</v>
  </rv>
  <rv s="14">
    <fb>148.69</fb>
    <v>34</v>
  </rv>
  <rv s="14">
    <fb>70.760000000000005</fb>
    <v>34</v>
  </rv>
  <rv s="14">
    <fb>306.77999999999997</fb>
    <v>34</v>
  </rv>
  <rv s="14">
    <fb>85.23</fb>
    <v>34</v>
  </rv>
  <rv s="14">
    <fb>921.17</fb>
    <v>34</v>
  </rv>
  <rv s="14">
    <fb>163.56</fb>
    <v>34</v>
  </rv>
  <rv s="14">
    <fb>144.13999999999999</fb>
    <v>34</v>
  </rv>
  <rv s="14">
    <fb>202.68</fb>
    <v>34</v>
  </rv>
  <rv s="14">
    <fb>76.28</fb>
    <v>34</v>
  </rv>
  <rv s="14">
    <fb>23.24</fb>
    <v>34</v>
  </rv>
  <rv s="14">
    <fb>58.95</fb>
    <v>34</v>
  </rv>
  <rv s="14">
    <fb>55</fb>
    <v>34</v>
  </rv>
  <rv s="14">
    <fb>28.18</fb>
    <v>34</v>
  </rv>
  <rv s="14">
    <fb>19.937000000000001</fb>
    <v>34</v>
  </rv>
  <rv s="14">
    <fb>45758</fb>
    <v>33</v>
  </rv>
  <rv s="14">
    <fb>198.15</fb>
    <v>34</v>
  </rv>
  <rv s="14">
    <fb>110.93</fb>
    <v>34</v>
  </rv>
  <rv s="14">
    <fb>388.45</fb>
    <v>34</v>
  </rv>
  <rv s="14">
    <fb>543.57000000000005</fb>
    <v>34</v>
  </rv>
  <rv s="14">
    <fb>157.13999999999999</fb>
    <v>34</v>
  </rv>
  <rv s="14">
    <fb>533.94000000000005</fb>
    <v>34</v>
  </rv>
  <rv s="14">
    <fb>86.89</fb>
    <v>34</v>
  </rv>
  <rv s="14">
    <fb>297.93</fb>
    <v>34</v>
  </rv>
  <rv s="14">
    <fb>66.459999999999994</fb>
    <v>34</v>
  </rv>
  <rv s="14">
    <fb>45.939100000000003</fb>
    <v>34</v>
  </rv>
  <rv s="14">
    <fb>125.92</fb>
    <v>34</v>
  </rv>
  <rv s="14">
    <fb>78.89</fb>
    <v>34</v>
  </rv>
  <rv s="14">
    <fb>12.49</fb>
    <v>34</v>
  </rv>
  <rv s="14">
    <fb>64.010000000000005</fb>
    <v>34</v>
  </rv>
  <rv s="14">
    <fb>86.4</fb>
    <v>34</v>
  </rv>
  <rv s="14">
    <fb>50.35</fb>
    <v>34</v>
  </rv>
  <rv s="14">
    <fb>524.11</fb>
    <v>34</v>
  </rv>
  <rv s="14">
    <fb>236.2</fb>
    <v>34</v>
  </rv>
  <rv s="14">
    <fb>35.950000000000003</fb>
    <v>34</v>
  </rv>
  <rv s="14">
    <fb>103.14</fb>
    <v>34</v>
  </rv>
  <rv s="14">
    <fb>135.63</fb>
    <v>34</v>
  </rv>
  <rv s="14">
    <fb>151.72999999999999</fb>
    <v>34</v>
  </rv>
  <rv s="14">
    <fb>309.89999999999998</fb>
    <v>34</v>
  </rv>
  <rv s="14">
    <fb>84.89</fb>
    <v>34</v>
  </rv>
  <rv s="14">
    <fb>918.29</fb>
    <v>34</v>
  </rv>
  <rv s="14">
    <fb>166.91</fb>
    <v>34</v>
  </rv>
  <rv s="14">
    <fb>144.43</fb>
    <v>34</v>
  </rv>
  <rv s="14">
    <fb>210.29</fb>
    <v>34</v>
  </rv>
  <rv s="14">
    <fb>78.53</fb>
    <v>34</v>
  </rv>
  <rv s="14">
    <fb>23.99</fb>
    <v>34</v>
  </rv>
  <rv s="14">
    <fb>58.66</fb>
    <v>34</v>
  </rv>
  <rv s="14">
    <fb>55.13</fb>
    <v>34</v>
  </rv>
  <rv s="14">
    <fb>28.21</fb>
    <v>34</v>
  </rv>
  <rv s="14">
    <fb>20.2743</fb>
    <v>34</v>
  </rv>
  <rv s="14">
    <fb>45761</fb>
    <v>33</v>
  </rv>
  <rv s="14">
    <fb>202.52</fb>
    <v>34</v>
  </rv>
  <rv s="14">
    <fb>110.71</fb>
    <v>34</v>
  </rv>
  <rv s="14">
    <fb>387.81</fb>
    <v>34</v>
  </rv>
  <rv s="14">
    <fb>531.48</fb>
    <v>34</v>
  </rv>
  <rv s="14">
    <fb>159.07</fb>
    <v>34</v>
  </rv>
  <rv s="14">
    <fb>539.12</fb>
    <v>34</v>
  </rv>
  <rv s="14">
    <fb>296.23</fb>
    <v>34</v>
  </rv>
  <rv s="14">
    <fb>66.66</fb>
    <v>34</v>
  </rv>
  <rv s="14">
    <fb>94.26</fb>
    <v>34</v>
  </rv>
  <rv s="14">
    <fb>46.2669</fb>
    <v>34</v>
  </rv>
  <rv s="14">
    <fb>125.52</fb>
    <v>34</v>
  </rv>
  <rv s="14">
    <fb>79.17</fb>
    <v>34</v>
  </rv>
  <rv s="14">
    <fb>12.56</fb>
    <v>34</v>
  </rv>
  <rv s="14">
    <fb>63.63</fb>
    <v>34</v>
  </rv>
  <rv s="14">
    <fb>50.54</fb>
    <v>34</v>
  </rv>
  <rv s="14">
    <fb>529.52</fb>
    <v>34</v>
  </rv>
  <rv s="14">
    <fb>234.72</fb>
    <v>34</v>
  </rv>
  <rv s="14">
    <fb>36.67</fb>
    <v>34</v>
  </rv>
  <rv s="14">
    <fb>103.39</fb>
    <v>34</v>
  </rv>
  <rv s="14">
    <fb>135.32</fb>
    <v>34</v>
  </rv>
  <rv s="14">
    <fb>154.36000000000001</fb>
    <v>34</v>
  </rv>
  <rv s="14">
    <fb>72.45</fb>
    <v>34</v>
  </rv>
  <rv s="14">
    <fb>316.07</fb>
    <v>34</v>
  </rv>
  <rv s="14">
    <fb>84.66</fb>
    <v>34</v>
  </rv>
  <rv s="14">
    <fb>931.28</fb>
    <v>34</v>
  </rv>
  <rv s="14">
    <fb>169.13</fb>
    <v>34</v>
  </rv>
  <rv s="14">
    <fb>210.6</fb>
    <v>34</v>
  </rv>
  <rv s="14">
    <fb>78.56</fb>
    <v>34</v>
  </rv>
  <rv s="14">
    <fb>23.98</fb>
    <v>34</v>
  </rv>
  <rv s="14">
    <fb>22.75</fb>
    <v>34</v>
  </rv>
  <rv s="14">
    <fb>55.57</fb>
    <v>34</v>
  </rv>
  <rv s="14">
    <fb>20.670100000000001</fb>
    <v>34</v>
  </rv>
  <rv s="14">
    <fb>45762</fb>
    <v>33</v>
  </rv>
  <rv s="14">
    <fb>202.14</fb>
    <v>34</v>
  </rv>
  <rv s="14">
    <fb>112.2</fb>
    <v>34</v>
  </rv>
  <rv s="14">
    <fb>385.73</fb>
    <v>34</v>
  </rv>
  <rv s="14">
    <fb>521.52</fb>
    <v>34</v>
  </rv>
  <rv s="14">
    <fb>156.31</fb>
    <v>34</v>
  </rv>
  <rv s="14">
    <fb>537.61</fb>
    <v>34</v>
  </rv>
  <rv s="14">
    <fb>297.77999999999997</fb>
    <v>34</v>
  </rv>
  <rv s="14">
    <fb>66.48</fb>
    <v>34</v>
  </rv>
  <rv s="14">
    <fb>94.54</fb>
    <v>34</v>
  </rv>
  <rv s="14">
    <fb>46.3536</fb>
    <v>34</v>
  </rv>
  <rv s="14">
    <fb>127.84</fb>
    <v>34</v>
  </rv>
  <rv s="14">
    <fb>79.05</fb>
    <v>34</v>
  </rv>
  <rv s="14">
    <fb>12.51</fb>
    <v>34</v>
  </rv>
  <rv s="14">
    <fb>29.41</fb>
    <v>34</v>
  </rv>
  <rv s="14">
    <fb>64</fb>
    <v>34</v>
  </rv>
  <rv s="14">
    <fb>87.96</fb>
    <v>34</v>
  </rv>
  <rv s="14">
    <fb>50.69</fb>
    <v>34</v>
  </rv>
  <rv s="14">
    <fb>528.16999999999996</fb>
    <v>34</v>
  </rv>
  <rv s="14">
    <fb>233.13</fb>
    <v>34</v>
  </rv>
  <rv s="14">
    <fb>37.99</fb>
    <v>34</v>
  </rv>
  <rv s="14">
    <fb>103.1</fb>
    <v>34</v>
  </rv>
  <rv s="14">
    <fb>134.54</fb>
    <v>34</v>
  </rv>
  <rv s="14">
    <fb>153.62</fb>
    <v>34</v>
  </rv>
  <rv s="14">
    <fb>71.86</fb>
    <v>34</v>
  </rv>
  <rv s="14">
    <fb>312.48</fb>
    <v>34</v>
  </rv>
  <rv s="14">
    <fb>85.01</fb>
    <v>34</v>
  </rv>
  <rv s="14">
    <fb>976.28</fb>
    <v>34</v>
  </rv>
  <rv s="14">
    <fb>168.47</fb>
    <v>34</v>
  </rv>
  <rv s="14">
    <fb>142.84</fb>
    <v>34</v>
  </rv>
  <rv s="14">
    <fb>78.13</fb>
    <v>34</v>
  </rv>
  <rv s="14">
    <fb>23.89</fb>
    <v>34</v>
  </rv>
  <rv s="14">
    <fb>20.730399999999999</fb>
    <v>34</v>
  </rv>
  <rv s="14">
    <fb>45763</fb>
    <v>33</v>
  </rv>
  <rv s="14">
    <fb>194.27</fb>
    <v>34</v>
  </rv>
  <rv s="14">
    <fb>104.49</fb>
    <v>34</v>
  </rv>
  <rv s="14">
    <fb>371.61</fb>
    <v>34</v>
  </rv>
  <rv s="14">
    <fb>502.31</fb>
    <v>34</v>
  </rv>
  <rv s="14">
    <fb>153.33000000000001</fb>
    <v>34</v>
  </rv>
  <rv s="14">
    <fb>525.66</fb>
    <v>34</v>
  </rv>
  <rv s="14">
    <fb>307.47000000000003</fb>
    <v>34</v>
  </rv>
  <rv s="14">
    <fb>67.75</fb>
    <v>34</v>
  </rv>
  <rv s="14">
    <fb>94.95</fb>
    <v>34</v>
  </rv>
  <rv s="14">
    <fb>46.458100000000002</fb>
    <v>34</v>
  </rv>
  <rv s="14">
    <fb>125.21</fb>
    <v>34</v>
  </rv>
  <rv s="14">
    <fb>79.7</fb>
    <v>34</v>
  </rv>
  <rv s="14">
    <fb>12.69</fb>
    <v>34</v>
  </rv>
  <rv s="14">
    <fb>3.36</fb>
    <v>35</v>
  </rv>
  <rv s="14">
    <fb>29.76</fb>
    <v>34</v>
  </rv>
  <rv s="14">
    <fb>66.08</fb>
    <v>34</v>
  </rv>
  <rv s="14">
    <fb>88.6</fb>
    <v>34</v>
  </rv>
  <rv s="14">
    <fb>516.45000000000005</fb>
    <v>34</v>
  </rv>
  <rv s="14">
    <fb>229.61</fb>
    <v>34</v>
  </rv>
  <rv s="14">
    <fb>37.33</fb>
    <v>34</v>
  </rv>
  <rv s="14">
    <fb>104.19</fb>
    <v>34</v>
  </rv>
  <rv s="14">
    <fb>135.36000000000001</fb>
    <v>34</v>
  </rv>
  <rv s="14">
    <fb>153.91</fb>
    <v>34</v>
  </rv>
  <rv s="14">
    <fb>71.680000000000007</fb>
    <v>34</v>
  </rv>
  <rv s="14">
    <fb>309.10000000000002</fb>
    <v>34</v>
  </rv>
  <rv s="14">
    <fb>82.77</fb>
    <v>34</v>
  </rv>
  <rv s="14">
    <fb>961.63</fb>
    <v>34</v>
  </rv>
  <rv s="14">
    <fb>166.39</fb>
    <v>34</v>
  </rv>
  <rv s="14">
    <fb>140.09</fb>
    <v>34</v>
  </rv>
  <rv s="14">
    <fb>211.31</fb>
    <v>34</v>
  </rv>
  <rv s="14">
    <fb>79.19</fb>
    <v>34</v>
  </rv>
  <rv s="14">
    <fb>24.29</fb>
    <v>34</v>
  </rv>
  <rv s="14">
    <fb>59.36</fb>
    <v>34</v>
  </rv>
  <rv s="14">
    <fb>56.07</fb>
    <v>34</v>
  </rv>
  <rv s="14">
    <fb>28.58</fb>
    <v>34</v>
  </rv>
  <rv s="14">
    <fb>20.706499999999998</fb>
    <v>34</v>
  </rv>
  <rv s="14">
    <fb>45764</fb>
    <v>33</v>
  </rv>
  <rv s="14">
    <fb>196.98</fb>
    <v>34</v>
  </rv>
  <rv s="14">
    <fb>101.49</fb>
    <v>34</v>
  </rv>
  <rv s="14">
    <fb>367.78</fb>
    <v>34</v>
  </rv>
  <rv s="14">
    <fb>501.48</fb>
    <v>34</v>
  </rv>
  <rv s="14">
    <fb>151.16</fb>
    <v>34</v>
  </rv>
  <rv s="14">
    <fb>526.41</fb>
    <v>34</v>
  </rv>
  <rv s="14">
    <fb>87.53</fb>
    <v>34</v>
  </rv>
  <rv s="14">
    <fb>306.12</fb>
    <v>34</v>
  </rv>
  <rv s="14">
    <fb>69.48</fb>
    <v>34</v>
  </rv>
  <rv s="14">
    <fb>94.68</fb>
    <v>34</v>
  </rv>
  <rv s="14">
    <fb>46.395000000000003</fb>
    <v>34</v>
  </rv>
  <rv s="14">
    <fb>126.78</fb>
    <v>34</v>
  </rv>
  <rv s="14">
    <fb>81.5</fb>
    <v>34</v>
  </rv>
  <rv s="14">
    <fb>12.97</fb>
    <v>34</v>
  </rv>
  <rv s="14">
    <fb>3.35</fb>
    <v>35</v>
  </rv>
  <rv s="14">
    <fb>65.78</fb>
    <v>34</v>
  </rv>
  <rv s="14">
    <fb>88.48</fb>
    <v>34</v>
  </rv>
  <rv s="14">
    <fb>518.21</fb>
    <v>34</v>
  </rv>
  <rv s="14">
    <fb>231.96</fb>
    <v>34</v>
  </rv>
  <rv s="14">
    <fb>37.409999999999997</fb>
    <v>34</v>
  </rv>
  <rv s="14">
    <fb>106.92</fb>
    <v>34</v>
  </rv>
  <rv s="14">
    <fb>137.87</fb>
    <v>34</v>
  </rv>
  <rv s="14">
    <fb>157.47</fb>
    <v>34</v>
  </rv>
  <rv s="14">
    <fb>73</fb>
    <v>34</v>
  </rv>
  <rv s="14">
    <fb>311.3</fb>
    <v>34</v>
  </rv>
  <rv s="14">
    <fb>84.81</fb>
    <v>34</v>
  </rv>
  <rv s="14">
    <fb>973.03</fb>
    <v>34</v>
  </rv>
  <rv s="14">
    <fb>218.84</fb>
    <v>34</v>
  </rv>
  <rv s="14">
    <fb>81.23</fb>
    <v>34</v>
  </rv>
  <rv s="14">
    <fb>24.91</fb>
    <v>34</v>
  </rv>
  <rv s="14">
    <fb>22.81</fb>
    <v>34</v>
  </rv>
  <rv s="14">
    <fb>59.29</fb>
    <v>34</v>
  </rv>
  <rv s="14">
    <fb>55.62</fb>
    <v>34</v>
  </rv>
  <rv s="14">
    <fb>21.0412</fb>
    <v>34</v>
  </rv>
  <rv s="14">
    <fb>45768</fb>
    <v>33</v>
  </rv>
  <rv s="14">
    <fb>193.16</fb>
    <v>34</v>
  </rv>
  <rv s="14">
    <fb>96.91</fb>
    <v>34</v>
  </rv>
  <rv s="14">
    <fb>359.12</fb>
    <v>34</v>
  </rv>
  <rv s="14">
    <fb>484.66</fb>
    <v>34</v>
  </rv>
  <rv s="14">
    <fb>147.66999999999999</fb>
    <v>34</v>
  </rv>
  <rv s="14">
    <fb>513.88</fb>
    <v>34</v>
  </rv>
  <rv s="14">
    <fb>86</fb>
    <v>34</v>
  </rv>
  <rv s="14">
    <fb>315.58999999999997</fb>
    <v>34</v>
  </rv>
  <rv s="14">
    <fb>68.62</fb>
    <v>34</v>
  </rv>
  <rv s="14">
    <fb>45.982300000000002</fb>
    <v>34</v>
  </rv>
  <rv s="14">
    <fb>119.63</fb>
    <v>34</v>
  </rv>
  <rv s="14">
    <fb>79.37</fb>
    <v>34</v>
  </rv>
  <rv s="14">
    <fb>12.77</fb>
    <v>34</v>
  </rv>
  <rv s="14">
    <fb>29.79</fb>
    <v>34</v>
  </rv>
  <rv s="14">
    <fb>67.819999999999993</fb>
    <v>34</v>
  </rv>
  <rv s="14">
    <fb>50.68</fb>
    <v>34</v>
  </rv>
  <rv s="14">
    <fb>25.91</fb>
    <v>34</v>
  </rv>
  <rv s="14">
    <fb>506.92</fb>
    <v>34</v>
  </rv>
  <rv s="14">
    <fb>228.99</fb>
    <v>34</v>
  </rv>
  <rv s="14">
    <fb>36.92</fb>
    <v>34</v>
  </rv>
  <rv s="14">
    <fb>105.35</fb>
    <v>34</v>
  </rv>
  <rv s="14">
    <fb>133.72999999999999</fb>
    <v>34</v>
  </rv>
  <rv s="14">
    <fb>72.77</fb>
    <v>34</v>
  </rv>
  <rv s="14">
    <fb>308.72000000000003</fb>
    <v>34</v>
  </rv>
  <rv s="14">
    <fb>84</fb>
    <v>34</v>
  </rv>
  <rv s="14">
    <fb>987.91</fb>
    <v>34</v>
  </rv>
  <rv s="14">
    <fb>141.72999999999999</fb>
    <v>34</v>
  </rv>
  <rv s="14">
    <fb>212.98</fb>
    <v>34</v>
  </rv>
  <rv s="14">
    <fb>79.040000000000006</fb>
    <v>34</v>
  </rv>
  <rv s="14">
    <fb>24.15</fb>
    <v>34</v>
  </rv>
  <rv s="14">
    <fb>22.715</fb>
    <v>34</v>
  </rv>
  <rv s="14">
    <fb>59.15</fb>
    <v>34</v>
  </rv>
  <rv s="14">
    <fb>54.71</fb>
    <v>34</v>
  </rv>
  <rv s="14">
    <fb>20.645600000000002</fb>
    <v>34</v>
  </rv>
  <rv s="14">
    <fb>45769</fb>
    <v>33</v>
  </rv>
  <rv s="14">
    <fb>199.74</fb>
    <v>34</v>
  </rv>
  <rv s="14">
    <fb>366.82</fb>
    <v>34</v>
  </rv>
  <rv s="14">
    <fb>500.28</fb>
    <v>34</v>
  </rv>
  <rv s="14">
    <fb>527.25</fb>
    <v>34</v>
  </rv>
  <rv s="14">
    <fb>311.11</fb>
    <v>34</v>
  </rv>
  <rv s="14">
    <fb>69.37</fb>
    <v>34</v>
  </rv>
  <rv s="14">
    <fb>94.24</fb>
    <v>34</v>
  </rv>
  <rv s="14">
    <fb>46.25</fb>
    <v>34</v>
  </rv>
  <rv s="14">
    <fb>123.71</fb>
    <v>34</v>
  </rv>
  <rv s="14">
    <fb>81.39</fb>
    <v>34</v>
  </rv>
  <rv s="14">
    <fb>12.89</fb>
    <v>34</v>
  </rv>
  <rv s="14">
    <fb>3.23</fb>
    <v>35</v>
  </rv>
  <rv s="14">
    <fb>66.849999999999994</fb>
    <v>34</v>
  </rv>
  <rv s="14">
    <fb>87.61</fb>
    <v>34</v>
  </rv>
  <rv s="14">
    <fb>520.79</fb>
    <v>34</v>
  </rv>
  <rv s="14">
    <fb>235.59</fb>
    <v>34</v>
  </rv>
  <rv s="14">
    <fb>38.32</fb>
    <v>34</v>
  </rv>
  <rv s="14">
    <fb>108.3</fb>
    <v>34</v>
  </rv>
  <rv s="14">
    <fb>137.30000000000001</fb>
    <v>34</v>
  </rv>
  <rv s="14">
    <fb>157.75</fb>
    <v>34</v>
  </rv>
  <rv s="14">
    <fb>73.900000000000006</fb>
    <v>34</v>
  </rv>
  <rv s="14">
    <fb>319.08</fb>
    <v>34</v>
  </rv>
  <rv s="14">
    <fb>86.09</fb>
    <v>34</v>
  </rv>
  <rv s="14">
    <fb>1040.3399999999999</fb>
    <v>34</v>
  </rv>
  <rv s="14">
    <fb>167.88</fb>
    <v>34</v>
  </rv>
  <rv s="14">
    <fb>143.46</fb>
    <v>34</v>
  </rv>
  <rv s="14">
    <fb>213.62</fb>
    <v>34</v>
  </rv>
  <rv s="14">
    <fb>81.2</fb>
    <v>34</v>
  </rv>
  <rv s="14">
    <fb>24.71</fb>
    <v>34</v>
  </rv>
  <rv s="14">
    <fb>22.74</fb>
    <v>34</v>
  </rv>
  <rv s="14">
    <fb>55.01</fb>
    <v>34</v>
  </rv>
  <rv s="14">
    <fb>28.39</fb>
    <v>34</v>
  </rv>
  <rv s="14">
    <fb>21.058499999999999</fb>
    <v>34</v>
  </rv>
  <rv s="14">
    <fb>45770</fb>
    <v>33</v>
  </rv>
  <rv s="14">
    <fb>204.6</fb>
    <v>34</v>
  </rv>
  <rv s="14">
    <fb>102.71</fb>
    <v>34</v>
  </rv>
  <rv s="14">
    <fb>374.39</fb>
    <v>34</v>
  </rv>
  <rv s="14">
    <fb>520.27</fb>
    <v>34</v>
  </rv>
  <rv s="14">
    <fb>535.41999999999996</fb>
    <v>34</v>
  </rv>
  <rv s="14">
    <fb>303.64999999999998</fb>
    <v>34</v>
  </rv>
  <rv s="14">
    <fb>68.05</fb>
    <v>34</v>
  </rv>
  <rv s="14">
    <fb>94.34</fb>
    <v>34</v>
  </rv>
  <rv s="14">
    <fb>46.195</fb>
    <v>34</v>
  </rv>
  <rv s="14">
    <fb>126.55</fb>
    <v>34</v>
  </rv>
  <rv s="14">
    <fb>81.239999999999995</fb>
    <v>34</v>
  </rv>
  <rv s="14">
    <fb>12.23</fb>
    <v>34</v>
  </rv>
  <rv s="14">
    <fb>30.56</fb>
    <v>34</v>
  </rv>
  <rv s="14">
    <fb>4.63</fb>
    <v>34</v>
  </rv>
  <rv s="14">
    <fb>65.260000000000005</fb>
    <v>34</v>
  </rv>
  <rv s="14">
    <fb>88.44</fb>
    <v>34</v>
  </rv>
  <rv s="14">
    <fb>526.80999999999995</fb>
    <v>34</v>
  </rv>
  <rv s="14">
    <fb>240.88</fb>
    <v>34</v>
  </rv>
  <rv s="14">
    <fb>38.75</fb>
    <v>34</v>
  </rv>
  <rv s="14">
    <fb>107.37</fb>
    <v>34</v>
  </rv>
  <rv s="14">
    <fb>136.68</fb>
    <v>34</v>
  </rv>
  <rv s="14">
    <fb>155.38</fb>
    <v>34</v>
  </rv>
  <rv s="14">
    <fb>318.48</fb>
    <v>34</v>
  </rv>
  <rv s="14">
    <fb>1049.5899999999999</fb>
    <v>34</v>
  </rv>
  <rv s="14">
    <fb>165.73</fb>
    <v>34</v>
  </rv>
  <rv s="14">
    <fb>142.26</fb>
    <v>34</v>
  </rv>
  <rv s="14">
    <fb>209.72</fb>
    <v>34</v>
  </rv>
  <rv s="14">
    <fb>81.680000000000007</fb>
    <v>34</v>
  </rv>
  <rv s="14">
    <fb>24.79</fb>
    <v>34</v>
  </rv>
  <rv s="14">
    <fb>58.655000000000001</fb>
    <v>34</v>
  </rv>
  <rv s="14">
    <fb>21.013999999999999</fb>
    <v>34</v>
  </rv>
  <rv s="14">
    <fb>45771</fb>
    <v>33</v>
  </rv>
  <rv s="14">
    <fb>208.37</fb>
    <v>34</v>
  </rv>
  <rv s="14">
    <fb>106.43</fb>
    <v>34</v>
  </rv>
  <rv s="14">
    <fb>387.3</fb>
    <v>34</v>
  </rv>
  <rv s="14">
    <fb>533.15</fb>
    <v>34</v>
  </rv>
  <rv s="14">
    <fb>159.28</fb>
    <v>34</v>
  </rv>
  <rv s="14">
    <fb>546.69000000000005</fb>
    <v>34</v>
  </rv>
  <rv s="14">
    <fb>308.07</fb>
    <v>34</v>
  </rv>
  <rv s="14">
    <fb>68.459999999999994</fb>
    <v>34</v>
  </rv>
  <rv s="14">
    <fb>94.85</fb>
    <v>34</v>
  </rv>
  <rv s="14">
    <fb>46.4651</fb>
    <v>34</v>
  </rv>
  <rv s="14">
    <fb>133.32</fb>
    <v>34</v>
  </rv>
  <rv s="14">
    <fb>82.54</fb>
    <v>34</v>
  </rv>
  <rv s="14">
    <fb>12.82</fb>
    <v>34</v>
  </rv>
  <rv s="14">
    <fb>66.19</fb>
    <v>34</v>
  </rv>
  <rv s="14">
    <fb>89.02</fb>
    <v>34</v>
  </rv>
  <rv s="14">
    <fb>531.64</fb>
    <v>34</v>
  </rv>
  <rv s="14">
    <fb>244.64</fb>
    <v>34</v>
  </rv>
  <rv s="14">
    <fb>39.58</fb>
    <v>34</v>
  </rv>
  <rv s="14">
    <fb>108.63</fb>
    <v>34</v>
  </rv>
  <rv s="14">
    <fb>139.07</fb>
    <v>34</v>
  </rv>
  <rv s="14">
    <fb>154.93</fb>
    <v>34</v>
  </rv>
  <rv s="14">
    <fb>72.52</fb>
    <v>34</v>
  </rv>
  <rv s="14">
    <fb>316.22000000000003</fb>
    <v>34</v>
  </rv>
  <rv s="14">
    <fb>90.01</fb>
    <v>34</v>
  </rv>
  <rv s="14">
    <fb>1096.8699999999999</fb>
    <v>34</v>
  </rv>
  <rv s="14">
    <fb>159.53</fb>
    <v>34</v>
  </rv>
  <rv s="14">
    <fb>135.31</fb>
    <v>34</v>
  </rv>
  <rv s="14">
    <fb>215.95</fb>
    <v>34</v>
  </rv>
  <rv s="14">
    <fb>25.01</fb>
    <v>34</v>
  </rv>
  <rv s="14">
    <fb>58.73</fb>
    <v>34</v>
  </rv>
  <rv s="14">
    <fb>59.35</fb>
    <v>34</v>
  </rv>
  <rv s="14">
    <fb>56.04</fb>
    <v>34</v>
  </rv>
  <rv s="14">
    <fb>21.040500000000002</fb>
    <v>34</v>
  </rv>
  <rv s="14">
    <fb>45772</fb>
    <v>33</v>
  </rv>
  <rv s="14">
    <fb>209.28</fb>
    <v>34</v>
  </rv>
  <rv s="14">
    <fb>111.01</fb>
    <v>34</v>
  </rv>
  <rv s="14">
    <fb>391.85</fb>
    <v>34</v>
  </rv>
  <rv s="14">
    <fb>547.27</fb>
    <v>34</v>
  </rv>
  <rv s="14">
    <fb>161.96</fb>
    <v>34</v>
  </rv>
  <rv s="14">
    <fb>550.64</fb>
    <v>34</v>
  </rv>
  <rv s="14">
    <fb>88.89</fb>
    <v>34</v>
  </rv>
  <rv s="14">
    <fb>304.73</fb>
    <v>34</v>
  </rv>
  <rv s="14">
    <fb>69.03</fb>
    <v>34</v>
  </rv>
  <rv s="14">
    <fb>95.21</fb>
    <v>34</v>
  </rv>
  <rv s="14">
    <fb>46.660600000000002</fb>
    <v>34</v>
  </rv>
  <rv s="14">
    <fb>133.4</fb>
    <v>34</v>
  </rv>
  <rv s="14">
    <fb>82.39</fb>
    <v>34</v>
  </rv>
  <rv s="14">
    <fb>12.93</fb>
    <v>34</v>
  </rv>
  <rv s="14">
    <fb>3.64</fb>
    <v>35</v>
  </rv>
  <rv s="14">
    <fb>30.05</fb>
    <v>34</v>
  </rv>
  <rv s="14">
    <fb>4.6399999999999997</fb>
    <v>34</v>
  </rv>
  <rv s="14">
    <fb>65.44</fb>
    <v>34</v>
  </rv>
  <rv s="14">
    <fb>530.96</fb>
    <v>34</v>
  </rv>
  <rv s="14">
    <fb>243.55</fb>
    <v>34</v>
  </rv>
  <rv s="14">
    <fb>39.69</fb>
    <v>34</v>
  </rv>
  <rv s="14">
    <fb>108.57</fb>
    <v>34</v>
  </rv>
  <rv s="14">
    <fb>138.72999999999999</fb>
    <v>34</v>
  </rv>
  <rv s="14">
    <fb>154.58000000000001</fb>
    <v>34</v>
  </rv>
  <rv s="14">
    <fb>71.91</fb>
    <v>34</v>
  </rv>
  <rv s="14">
    <fb>316.74</fb>
    <v>34</v>
  </rv>
  <rv s="14">
    <fb>1101.53</fb>
    <v>34</v>
  </rv>
  <rv s="14">
    <fb>133.38</fb>
    <v>34</v>
  </rv>
  <rv s="14">
    <fb>216.28</fb>
    <v>34</v>
  </rv>
  <rv s="14">
    <fb>83.02</fb>
    <v>34</v>
  </rv>
  <rv s="14">
    <fb>25.14</fb>
    <v>34</v>
  </rv>
  <rv s="14">
    <fb>58.78</fb>
    <v>34</v>
  </rv>
  <rv s="14">
    <fb>59.5</fb>
    <v>34</v>
  </rv>
  <rv s="14">
    <fb>56.41</fb>
    <v>34</v>
  </rv>
  <rv s="14">
    <fb>21.0242</fb>
    <v>34</v>
  </rv>
  <rv s="14">
    <fb>45775</fb>
    <v>33</v>
  </rv>
  <rv s="14">
    <fb>210.14</fb>
    <v>34</v>
  </rv>
  <rv s="14">
    <fb>108.73</fb>
    <v>34</v>
  </rv>
  <rv s="14">
    <fb>391.16</fb>
    <v>34</v>
  </rv>
  <rv s="14">
    <fb>549.74</fb>
    <v>34</v>
  </rv>
  <rv s="14">
    <fb>550.85</fb>
    <v>34</v>
  </rv>
  <rv s="14">
    <fb>89.45</fb>
    <v>34</v>
  </rv>
  <rv s="14">
    <fb>309.07</fb>
    <v>34</v>
  </rv>
  <rv s="14">
    <fb>67.760000000000005</fb>
    <v>34</v>
  </rv>
  <rv s="14">
    <fb>95.59</fb>
    <v>34</v>
  </rv>
  <rv s="14">
    <fb>46.9</fb>
    <v>34</v>
  </rv>
  <rv s="14">
    <fb>136.36000000000001</fb>
    <v>34</v>
  </rv>
  <rv s="14">
    <fb>82.97</fb>
    <v>34</v>
  </rv>
  <rv s="14">
    <fb>12.73</fb>
    <v>34</v>
  </rv>
  <rv s="14">
    <fb>30.19</fb>
    <v>34</v>
  </rv>
  <rv s="14">
    <fb>4.53</fb>
    <v>34</v>
  </rv>
  <rv s="14">
    <fb>66.38</fb>
    <v>34</v>
  </rv>
  <rv s="14">
    <fb>90.56</fb>
    <v>34</v>
  </rv>
  <rv s="14">
    <fb>26.72</fb>
    <v>34</v>
  </rv>
  <rv s="14">
    <fb>29.32</fb>
    <v>34</v>
  </rv>
  <rv s="14">
    <fb>530.94000000000005</fb>
    <v>34</v>
  </rv>
  <rv s="14">
    <fb>243.22</fb>
    <v>34</v>
  </rv>
  <rv s="14">
    <fb>39.78</fb>
    <v>34</v>
  </rv>
  <rv s="14">
    <fb>140.1</fb>
    <v>34</v>
  </rv>
  <rv s="14">
    <fb>71.790000000000006</fb>
    <v>34</v>
  </rv>
  <rv s="14">
    <fb>316.81</fb>
    <v>34</v>
  </rv>
  <rv s="14">
    <fb>1110.3800000000001</fb>
    <v>34</v>
  </rv>
  <rv s="14">
    <fb>161.85</fb>
    <v>34</v>
  </rv>
  <rv s="14">
    <fb>133.76</fb>
    <v>34</v>
  </rv>
  <rv s="14">
    <fb>214.76</fb>
    <v>34</v>
  </rv>
  <rv s="14">
    <fb>84.01</fb>
    <v>34</v>
  </rv>
  <rv s="14">
    <fb>25.39</fb>
    <v>34</v>
  </rv>
  <rv s="14">
    <fb>22.99</fb>
    <v>34</v>
  </rv>
  <rv s="14">
    <fb>58.86</fb>
    <v>34</v>
  </rv>
  <rv s="14">
    <fb>59.69</fb>
    <v>34</v>
  </rv>
  <rv s="14">
    <fb>56.72</fb>
    <v>34</v>
  </rv>
  <rv s="14">
    <fb>21.121700000000001</fb>
    <v>34</v>
  </rv>
  <rv s="14">
    <fb>45776</fb>
    <v>33</v>
  </rv>
  <rv s="14">
    <fb>211.21</fb>
    <v>34</v>
  </rv>
  <rv s="14">
    <fb>394.04</fb>
    <v>34</v>
  </rv>
  <rv s="14">
    <fb>554.44000000000005</fb>
    <v>34</v>
  </rv>
  <rv s="14">
    <fb>160.16</fb>
    <v>34</v>
  </rv>
  <rv s="14">
    <fb>554.32000000000005</fb>
    <v>34</v>
  </rv>
  <rv s="14">
    <fb>306.06</fb>
    <v>34</v>
  </rv>
  <rv s="14">
    <fb>65.849999999999994</fb>
    <v>34</v>
  </rv>
  <rv s="14">
    <fb>46.945</fb>
    <v>34</v>
  </rv>
  <rv s="14">
    <fb>137.55000000000001</fb>
    <v>34</v>
  </rv>
  <rv s="14">
    <fb>82.73</fb>
    <v>34</v>
  </rv>
  <rv s="14">
    <fb>12.45</fb>
    <v>34</v>
  </rv>
  <rv s="14">
    <fb>3.63</fb>
    <v>35</v>
  </rv>
  <rv s="14">
    <fb>4.4800000000000004</fb>
    <v>34</v>
  </rv>
  <rv s="14">
    <fb>65.77</fb>
    <v>34</v>
  </rv>
  <rv s="14">
    <fb>534.57000000000005</fb>
    <v>34</v>
  </rv>
  <rv s="14">
    <fb>39.99</fb>
    <v>34</v>
  </rv>
  <rv s="14">
    <fb>108.36</fb>
    <v>34</v>
  </rv>
  <rv s="14">
    <fb>139.30000000000001</fb>
    <v>34</v>
  </rv>
  <rv s="14">
    <fb>155.91</fb>
    <v>34</v>
  </rv>
  <rv s="14">
    <fb>72.349999999999994</fb>
    <v>34</v>
  </rv>
  <rv s="14">
    <fb>314.5</fb>
    <v>34</v>
  </rv>
  <rv s="14">
    <fb>1125.6400000000001</fb>
    <v>34</v>
  </rv>
  <rv s="14">
    <fb>162.26</fb>
    <v>34</v>
  </rv>
  <rv s="14">
    <fb>134.31</fb>
    <v>34</v>
  </rv>
  <rv s="14">
    <fb>215.43</fb>
    <v>34</v>
  </rv>
  <rv s="14">
    <fb>83.42</fb>
    <v>34</v>
  </rv>
  <rv s="14">
    <fb>23.06</fb>
    <v>34</v>
  </rv>
  <rv s="14">
    <fb>21.290800000000001</fb>
    <v>34</v>
  </rv>
  <rv s="14">
    <fb>45777</fb>
    <v>33</v>
  </rv>
  <rv s="14">
    <fb>212.5</fb>
    <v>34</v>
  </rv>
  <rv s="14">
    <fb>108.92</fb>
    <v>34</v>
  </rv>
  <rv s="14">
    <fb>395.26</fb>
    <v>34</v>
  </rv>
  <rv s="14">
    <fb>549</fb>
    <v>34</v>
  </rv>
  <rv s="14">
    <fb>158.80000000000001</fb>
    <v>34</v>
  </rv>
  <rv s="14">
    <fb>554.54</fb>
    <v>34</v>
  </rv>
  <rv s="14">
    <fb>303.77</fb>
    <v>34</v>
  </rv>
  <rv s="14">
    <fb>63.56</fb>
    <v>34</v>
  </rv>
  <rv s="14">
    <fb>96.07</fb>
    <v>34</v>
  </rv>
  <rv s="14">
    <fb>46.975000000000001</fb>
    <v>34</v>
  </rv>
  <rv s="14">
    <fb>136.47999999999999</fb>
    <v>34</v>
  </rv>
  <rv s="14">
    <fb>80.5</fb>
    <v>34</v>
  </rv>
  <rv s="14">
    <fb>12.01</fb>
    <v>34</v>
  </rv>
  <rv s="14">
    <fb>4.5199999999999996</fb>
    <v>34</v>
  </rv>
  <rv s="14">
    <fb>88.49</fb>
    <v>34</v>
  </rv>
  <rv s="14">
    <fb>26.83</fb>
    <v>34</v>
  </rv>
  <rv s="14">
    <fb>533.25</fb>
    <v>34</v>
  </rv>
  <rv s="14">
    <fb>39.880000000000003</fb>
    <v>34</v>
  </rv>
  <rv s="14">
    <fb>105.63</fb>
    <v>34</v>
  </rv>
  <rv s="14">
    <fb>136.06</fb>
    <v>34</v>
  </rv>
  <rv s="14">
    <fb>72.55</fb>
    <v>34</v>
  </rv>
  <rv s="14">
    <fb>319.64999999999998</fb>
    <v>34</v>
  </rv>
  <rv s="14">
    <fb>1131.72</fb>
    <v>34</v>
  </rv>
  <rv s="14">
    <fb>162.57</fb>
    <v>34</v>
  </rv>
  <rv s="14">
    <fb>135.58000000000001</fb>
    <v>34</v>
  </rv>
  <rv s="14">
    <fb>209.06</fb>
    <v>34</v>
  </rv>
  <rv s="14">
    <fb>81.19</fb>
    <v>34</v>
  </rv>
  <rv s="14">
    <fb>24.44</fb>
    <v>34</v>
  </rv>
  <rv s="14">
    <fb>23.08</fb>
    <v>34</v>
  </rv>
  <rv s="14">
    <fb>59.97</fb>
    <v>34</v>
  </rv>
  <rv s="14">
    <fb>56.84</fb>
    <v>34</v>
  </rv>
  <rv s="14">
    <fb>21.5181</fb>
    <v>34</v>
  </rv>
  <rv s="14">
    <fb>45778</fb>
    <v>33</v>
  </rv>
  <rv s="14">
    <fb>213.32</fb>
    <v>34</v>
  </rv>
  <rv s="14">
    <fb>111.61</fb>
    <v>34</v>
  </rv>
  <rv s="14">
    <fb>425.4</fb>
    <v>34</v>
  </rv>
  <rv s="14">
    <fb>572.21</fb>
    <v>34</v>
  </rv>
  <rv s="14">
    <fb>558.47</fb>
    <v>34</v>
  </rv>
  <rv s="14">
    <fb>297.45999999999998</fb>
    <v>34</v>
  </rv>
  <rv s="14">
    <fb>64.52</fb>
    <v>34</v>
  </rv>
  <rv s="14">
    <fb>95.34</fb>
    <v>34</v>
  </rv>
  <rv s="14">
    <fb>46.8307</fb>
    <v>34</v>
  </rv>
  <rv s="14">
    <fb>137.88999999999999</fb>
    <v>34</v>
  </rv>
  <rv s="14">
    <fb>80.8</fb>
    <v>34</v>
  </rv>
  <rv s="14">
    <fb>12.18</fb>
    <v>34</v>
  </rv>
  <rv s="14">
    <fb>88.28</fb>
    <v>34</v>
  </rv>
  <rv s="14">
    <fb>26.61</fb>
    <v>34</v>
  </rv>
  <rv s="14">
    <fb>50.7</fb>
    <v>34</v>
  </rv>
  <rv s="14">
    <fb>530.23</fb>
    <v>34</v>
  </rv>
  <rv s="14">
    <fb>246.89</fb>
    <v>34</v>
  </rv>
  <rv s="14">
    <fb>40.17</fb>
    <v>34</v>
  </rv>
  <rv s="14">
    <fb>105.78</fb>
    <v>34</v>
  </rv>
  <rv s="14">
    <fb>136.26</fb>
    <v>34</v>
  </rv>
  <rv s="14">
    <fb>154.46</fb>
    <v>34</v>
  </rv>
  <rv s="14">
    <fb>313.64</fb>
    <v>34</v>
  </rv>
  <rv s="14">
    <fb>90.81</fb>
    <v>34</v>
  </rv>
  <rv s="14">
    <fb>1133.47</fb>
    <v>34</v>
  </rv>
  <rv s="14">
    <fb>159.97999999999999</fb>
    <v>34</v>
  </rv>
  <rv s="14">
    <fb>133.55000000000001</fb>
    <v>34</v>
  </rv>
  <rv s="14">
    <fb>214.78</fb>
    <v>34</v>
  </rv>
  <rv s="14">
    <fb>82.32</fb>
    <v>34</v>
  </rv>
  <rv s="14">
    <fb>24.93</fb>
    <v>34</v>
  </rv>
  <rv s="14">
    <fb>59.54</fb>
    <v>34</v>
  </rv>
  <rv s="14">
    <fb>56.3</fb>
    <v>34</v>
  </rv>
  <rv s="14">
    <fb>21.552099999999999</fb>
    <v>34</v>
  </rv>
  <rv s="14">
    <fb>45779</fb>
    <v>33</v>
  </rv>
  <rv s="14">
    <fb>205.35</fb>
    <v>34</v>
  </rv>
  <rv s="14">
    <fb>114.5</fb>
    <v>34</v>
  </rv>
  <rv s="14">
    <fb>435.28</fb>
    <v>34</v>
  </rv>
  <rv s="14">
    <fb>597.02</fb>
    <v>34</v>
  </rv>
  <rv s="14">
    <fb>164.03</fb>
    <v>34</v>
  </rv>
  <rv s="14">
    <fb>566.76</fb>
    <v>34</v>
  </rv>
  <rv s="14">
    <fb>87.73</fb>
    <v>34</v>
  </rv>
  <rv s="14">
    <fb>297.98</fb>
    <v>34</v>
  </rv>
  <rv s="14">
    <fb>94.7</fb>
    <v>34</v>
  </rv>
  <rv s="14">
    <fb>46.671100000000003</fb>
    <v>34</v>
  </rv>
  <rv s="14">
    <fb>135.37</fb>
    <v>34</v>
  </rv>
  <rv s="14">
    <fb>81.98</fb>
    <v>34</v>
  </rv>
  <rv s="14">
    <fb>12.16</fb>
    <v>34</v>
  </rv>
  <rv s="14">
    <fb>4.6100000000000003</fb>
    <v>34</v>
  </rv>
  <rv s="14">
    <fb>50.74</fb>
    <v>34</v>
  </rv>
  <rv s="14">
    <fb>539.79999999999995</fb>
    <v>34</v>
  </rv>
  <rv s="14">
    <fb>252.51</fb>
    <v>34</v>
  </rv>
  <rv s="14">
    <fb>41.07</fb>
    <v>34</v>
  </rv>
  <rv s="14">
    <fb>106.21</fb>
    <v>34</v>
  </rv>
  <rv s="14">
    <fb>138.5</fb>
    <v>34</v>
  </rv>
  <rv s="14">
    <fb>71.650000000000006</fb>
    <v>34</v>
  </rv>
  <rv s="14">
    <fb>311.95999999999998</fb>
    <v>34</v>
  </rv>
  <rv s="14">
    <fb>1156.49</fb>
    <v>34</v>
  </rv>
  <rv s="14">
    <fb>160.52000000000001</fb>
    <v>34</v>
  </rv>
  <rv s="14">
    <fb>133.75</fb>
    <v>34</v>
  </rv>
  <rv s="14">
    <fb>220.36</fb>
    <v>34</v>
  </rv>
  <rv s="14">
    <fb>83.78</fb>
    <v>34</v>
  </rv>
  <rv s="14">
    <fb>25.51</fb>
    <v>34</v>
  </rv>
  <rv s="14">
    <fb>55.74</fb>
    <v>34</v>
  </rv>
  <rv s="14">
    <fb>21.768999999999998</fb>
    <v>34</v>
  </rv>
  <rv s="14">
    <fb>45782</fb>
    <v>33</v>
  </rv>
  <rv s="14">
    <fb>198.89</fb>
    <v>34</v>
  </rv>
  <rv s="14">
    <fb>113.82</fb>
    <v>34</v>
  </rv>
  <rv s="14">
    <fb>436.17</fb>
    <v>34</v>
  </rv>
  <rv s="14">
    <fb>599.27</fb>
    <v>34</v>
  </rv>
  <rv s="14">
    <fb>164.21</fb>
    <v>34</v>
  </rv>
  <rv s="14">
    <fb>563.51</fb>
    <v>34</v>
  </rv>
  <rv s="14">
    <fb>306.88</fb>
    <v>34</v>
  </rv>
  <rv s="14">
    <fb>62.37</fb>
    <v>34</v>
  </rv>
  <rv s="14">
    <fb>94.53</fb>
    <v>34</v>
  </rv>
  <rv s="14">
    <fb>46.574199999999998</fb>
    <v>34</v>
  </rv>
  <rv s="14">
    <fb>133.97999999999999</fb>
    <v>34</v>
  </rv>
  <rv s="14">
    <fb>11.91</fb>
    <v>34</v>
  </rv>
  <rv s="14">
    <fb>512.15</fb>
    <v>34</v>
  </rv>
  <rv s="14">
    <fb>252.56</fb>
    <v>34</v>
  </rv>
  <rv s="14">
    <fb>41.12</fb>
    <v>34</v>
  </rv>
  <rv s="14">
    <fb>103.27</fb>
    <v>34</v>
  </rv>
  <rv s="14">
    <fb>135.5</fb>
    <v>34</v>
  </rv>
  <rv s="14">
    <fb>155</fb>
    <v>34</v>
  </rv>
  <rv s="14">
    <fb>71.7</fb>
    <v>34</v>
  </rv>
  <rv s="14">
    <fb>315.72000000000003</fb>
    <v>34</v>
  </rv>
  <rv s="14">
    <fb>92.11</fb>
    <v>34</v>
  </rv>
  <rv s="14">
    <fb>1134.06</fb>
    <v>34</v>
  </rv>
  <rv s="14">
    <fb>158.83000000000001</fb>
    <v>34</v>
  </rv>
  <rv s="14">
    <fb>131.99</fb>
    <v>34</v>
  </rv>
  <rv s="14">
    <fb>215.06</fb>
    <v>34</v>
  </rv>
  <rv s="14">
    <fb>82.45</fb>
    <v>34</v>
  </rv>
  <rv s="14">
    <fb>25.07</fb>
    <v>34</v>
  </rv>
  <rv s="14">
    <fb>21.7348</fb>
    <v>34</v>
  </rv>
  <rv s="14">
    <fb>45783</fb>
    <v>33</v>
  </rv>
  <rv s="14">
    <fb>198.51</fb>
    <v>34</v>
  </rv>
  <rv s="14">
    <fb>433.31</fb>
    <v>34</v>
  </rv>
  <rv s="14">
    <fb>587.30999999999995</fb>
    <v>34</v>
  </rv>
  <rv s="14">
    <fb>163.22999999999999</fb>
    <v>34</v>
  </rv>
  <rv s="14">
    <fb>558.79999999999995</fb>
    <v>34</v>
  </rv>
  <rv s="14">
    <fb>315.48</fb>
    <v>34</v>
  </rv>
  <rv s="14">
    <fb>64.599999999999994</fb>
    <v>34</v>
  </rv>
  <rv s="14">
    <fb>129.31</fb>
    <v>34</v>
  </rv>
  <rv s="14">
    <fb>80.52</fb>
    <v>34</v>
  </rv>
  <rv s="14">
    <fb>12.29</fb>
    <v>34</v>
  </rv>
  <rv s="14">
    <fb>26.88</fb>
    <v>34</v>
  </rv>
  <rv s="14">
    <fb>4.54</fb>
    <v>34</v>
  </rv>
  <rv s="14">
    <fb>67.81</fb>
    <v>34</v>
  </rv>
  <rv s="14">
    <fb>90.31</fb>
    <v>34</v>
  </rv>
  <rv s="14">
    <fb>512.33000000000004</fb>
    <v>34</v>
  </rv>
  <rv s="14">
    <fb>249.25</fb>
    <v>34</v>
  </rv>
  <rv s="14">
    <fb>40.840000000000003</fb>
    <v>34</v>
  </rv>
  <rv s="14">
    <fb>104.71</fb>
    <v>34</v>
  </rv>
  <rv s="14">
    <fb>135.6</fb>
    <v>34</v>
  </rv>
  <rv s="14">
    <fb>154.47</fb>
    <v>34</v>
  </rv>
  <rv s="14">
    <fb>316.79000000000002</fb>
    <v>34</v>
  </rv>
  <rv s="14">
    <fb>92.17</fb>
    <v>34</v>
  </rv>
  <rv s="14">
    <fb>1137.69</fb>
    <v>34</v>
  </rv>
  <rv s="14">
    <fb>159.25</fb>
    <v>34</v>
  </rv>
  <rv s="14">
    <fb>130.74</fb>
    <v>34</v>
  </rv>
  <rv s="14">
    <fb>215.04</fb>
    <v>34</v>
  </rv>
  <rv s="14">
    <fb>82.17</fb>
    <v>34</v>
  </rv>
  <rv s="14">
    <fb>25.09</fb>
    <v>34</v>
  </rv>
  <rv s="14">
    <fb>59.32</fb>
    <v>34</v>
  </rv>
  <rv s="14">
    <fb>21.637499999999999</fb>
    <v>34</v>
  </rv>
  <rv s="14">
    <fb>45784</fb>
    <v>33</v>
  </rv>
  <rv s="14">
    <fb>196.25</fb>
    <v>34</v>
  </rv>
  <rv s="14">
    <fb>117.06</fb>
    <v>34</v>
  </rv>
  <rv s="14">
    <fb>433.35</fb>
    <v>34</v>
  </rv>
  <rv s="14">
    <fb>596.80999999999995</fb>
    <v>34</v>
  </rv>
  <rv s="14">
    <fb>151.38</fb>
    <v>34</v>
  </rv>
  <rv s="14">
    <fb>561.15</fb>
    <v>34</v>
  </rv>
  <rv s="14">
    <fb>87.9</fb>
    <v>34</v>
  </rv>
  <rv s="14">
    <fb>310.75</fb>
    <v>34</v>
  </rv>
  <rv s="14">
    <fb>63.51</fb>
    <v>34</v>
  </rv>
  <rv s="14">
    <fb>46.7575</fb>
    <v>34</v>
  </rv>
  <rv s="14">
    <fb>129.34</fb>
    <v>34</v>
  </rv>
  <rv s="14">
    <fb>80.55</fb>
    <v>34</v>
  </rv>
  <rv s="14">
    <fb>12.08</fb>
    <v>34</v>
  </rv>
  <rv s="14">
    <fb>29.49</fb>
    <v>34</v>
  </rv>
  <rv s="14">
    <fb>4.55</fb>
    <v>34</v>
  </rv>
  <rv s="14">
    <fb>66.8</fb>
    <v>34</v>
  </rv>
  <rv s="14">
    <fb>89.33</fb>
    <v>34</v>
  </rv>
  <rv s="14">
    <fb>518.22</fb>
    <v>34</v>
  </rv>
  <rv s="14">
    <fb>249.39</fb>
    <v>34</v>
  </rv>
  <rv s="14">
    <fb>40.93</fb>
    <v>34</v>
  </rv>
  <rv s="14">
    <fb>104.61</fb>
    <v>34</v>
  </rv>
  <rv s="14">
    <fb>135.79</fb>
    <v>34</v>
  </rv>
  <rv s="14">
    <fb>157.30000000000001</fb>
    <v>34</v>
  </rv>
  <rv s="14">
    <fb>318.13</fb>
    <v>34</v>
  </rv>
  <rv s="14">
    <fb>102.09</fb>
    <v>34</v>
  </rv>
  <rv s="14">
    <fb>1155.4100000000001</fb>
    <v>34</v>
  </rv>
  <rv s="14">
    <fb>159.29</fb>
    <v>34</v>
  </rv>
  <rv s="14">
    <fb>131.91499999999999</fb>
    <v>34</v>
  </rv>
  <rv s="14">
    <fb>213.19</fb>
    <v>34</v>
  </rv>
  <rv s="14">
    <fb>82.19</fb>
    <v>34</v>
  </rv>
  <rv s="14">
    <fb>22.844999999999999</fb>
    <v>34</v>
  </rv>
  <rv s="14">
    <fb>55.86</fb>
    <v>34</v>
  </rv>
  <rv s="14">
    <fb>28.65</fb>
    <v>34</v>
  </rv>
  <rv s="14">
    <fb>21.596499999999999</fb>
    <v>34</v>
  </rv>
  <rv s="14">
    <fb>45785</fb>
    <v>33</v>
  </rv>
  <rv s="14">
    <fb>197.49</fb>
    <v>34</v>
  </rv>
  <rv s="14">
    <fb>117.37</fb>
    <v>34</v>
  </rv>
  <rv s="14">
    <fb>438.17</fb>
    <v>34</v>
  </rv>
  <rv s="14">
    <fb>598.01</fb>
    <v>34</v>
  </rv>
  <rv s="14">
    <fb>154.28</fb>
    <v>34</v>
  </rv>
  <rv s="14">
    <fb>565.05999999999995</fb>
    <v>34</v>
  </rv>
  <rv s="14">
    <fb>86.92</fb>
    <v>34</v>
  </rv>
  <rv s="14">
    <fb>304.63</fb>
    <v>34</v>
  </rv>
  <rv s="14">
    <fb>65.599999999999994</fb>
    <v>34</v>
  </rv>
  <rv s="14">
    <fb>46.571199999999997</fb>
    <v>34</v>
  </rv>
  <rv s="14">
    <fb>133.19</fb>
    <v>34</v>
  </rv>
  <rv s="14">
    <fb>81.61</fb>
    <v>34</v>
  </rv>
  <rv s="14">
    <fb>12.41</fb>
    <v>34</v>
  </rv>
  <rv s="14">
    <fb>4.51</fb>
    <v>34</v>
  </rv>
  <rv s="14">
    <fb>65.48</fb>
    <v>34</v>
  </rv>
  <rv s="14">
    <fb>513.25</fb>
    <v>34</v>
  </rv>
  <rv s="14">
    <fb>253.47</fb>
    <v>34</v>
  </rv>
  <rv s="14">
    <fb>41.6</fb>
    <v>34</v>
  </rv>
  <rv s="14">
    <fb>106.07</fb>
    <v>34</v>
  </rv>
  <rv s="14">
    <fb>137.04</fb>
    <v>34</v>
  </rv>
  <rv s="14">
    <fb>155.66</fb>
    <v>34</v>
  </rv>
  <rv s="14">
    <fb>313.49</fb>
    <v>34</v>
  </rv>
  <rv s="14">
    <fb>105.12</fb>
    <v>34</v>
  </rv>
  <rv s="14">
    <fb>1144.43</fb>
    <v>34</v>
  </rv>
  <rv s="14">
    <fb>158.65</fb>
    <v>34</v>
  </rv>
  <rv s="14">
    <fb>131.43</fb>
    <v>34</v>
  </rv>
  <rv s="14">
    <fb>219.35</fb>
    <v>34</v>
  </rv>
  <rv s="14">
    <fb>59.06</fb>
    <v>34</v>
  </rv>
  <rv s="14">
    <fb>55.27</fb>
    <v>34</v>
  </rv>
  <rv s="14">
    <fb>21.5014</fb>
    <v>34</v>
  </rv>
  <rv s="14">
    <fb>45786</fb>
    <v>33</v>
  </rv>
  <rv s="14">
    <fb>198.53</fb>
    <v>34</v>
  </rv>
  <rv s="14">
    <fb>116.65</fb>
    <v>34</v>
  </rv>
  <rv s="14">
    <fb>438.73</fb>
    <v>34</v>
  </rv>
  <rv s="14">
    <fb>592.49</fb>
    <v>34</v>
  </rv>
  <rv s="14">
    <fb>152.75</fb>
    <v>34</v>
  </rv>
  <rv s="14">
    <fb>564.34</fb>
    <v>34</v>
  </rv>
  <rv s="14">
    <fb>87.05</fb>
    <v>34</v>
  </rv>
  <rv s="14">
    <fb>306.83999999999997</fb>
    <v>34</v>
  </rv>
  <rv s="14">
    <fb>66.61</fb>
    <v>34</v>
  </rv>
  <rv s="14">
    <fb>94.35</fb>
    <v>34</v>
  </rv>
  <rv s="14">
    <fb>46.59</fb>
    <v>34</v>
  </rv>
  <rv s="14">
    <fb>132.46</fb>
    <v>34</v>
  </rv>
  <rv s="14">
    <fb>82.43</fb>
    <v>34</v>
  </rv>
  <rv s="14">
    <fb>12.55</fb>
    <v>34</v>
  </rv>
  <rv s="14">
    <fb>29.8</fb>
    <v>34</v>
  </rv>
  <rv s="14">
    <fb>4.4400000000000004</fb>
    <v>34</v>
  </rv>
  <rv s="14">
    <fb>65.930000000000007</fb>
    <v>34</v>
  </rv>
  <rv s="14">
    <fb>513.74</fb>
    <v>34</v>
  </rv>
  <rv s="14">
    <fb>253.08</fb>
    <v>34</v>
  </rv>
  <rv s="14">
    <fb>41.79</fb>
    <v>34</v>
  </rv>
  <rv s="14">
    <fb>138.49</fb>
    <v>34</v>
  </rv>
  <rv s="14">
    <fb>154.22</fb>
    <v>34</v>
  </rv>
  <rv s="14">
    <fb>70.52</fb>
    <v>34</v>
  </rv>
  <rv s="14">
    <fb>313.68</fb>
    <v>34</v>
  </rv>
  <rv s="14">
    <fb>105.94</fb>
    <v>34</v>
  </rv>
  <rv s="14">
    <fb>1140.22</fb>
    <v>34</v>
  </rv>
  <rv s="14">
    <fb>157.66</fb>
    <v>34</v>
  </rv>
  <rv s="14">
    <fb>130.44</fb>
    <v>34</v>
  </rv>
  <rv s="14">
    <fb>221.87</fb>
    <v>34</v>
  </rv>
  <rv s="14">
    <fb>85.1</fb>
    <v>34</v>
  </rv>
  <rv s="14">
    <fb>21.6525</fb>
    <v>34</v>
  </rv>
  <rv s="14">
    <fb>45789</fb>
    <v>33</v>
  </rv>
  <rv s="14">
    <fb>210.79</fb>
    <v>34</v>
  </rv>
  <rv s="14">
    <fb>123</fb>
    <v>34</v>
  </rv>
  <rv s="14">
    <fb>449.26</fb>
    <v>34</v>
  </rv>
  <rv s="14">
    <fb>639.42999999999995</fb>
    <v>34</v>
  </rv>
  <rv s="14">
    <fb>158.46</fb>
    <v>34</v>
  </rv>
  <rv s="14">
    <fb>582.99</fb>
    <v>34</v>
  </rv>
  <rv s="14">
    <fb>86.24</fb>
    <v>34</v>
  </rv>
  <rv s="14">
    <fb>298.19</fb>
    <v>34</v>
  </rv>
  <rv s="14">
    <fb>46.48</fb>
    <v>34</v>
  </rv>
  <rv s="14">
    <fb>143.44999999999999</fb>
    <v>34</v>
  </rv>
  <rv s="14">
    <fb>84.58</fb>
    <v>34</v>
  </rv>
  <rv s="14">
    <fb>12.76</fb>
    <v>34</v>
  </rv>
  <rv s="14">
    <fb>4.3899999999999997</fb>
    <v>34</v>
  </rv>
  <rv s="14">
    <fb>64.069999999999993</fb>
    <v>34</v>
  </rv>
  <rv s="14">
    <fb>89.59</fb>
    <v>34</v>
  </rv>
  <rv s="14">
    <fb>25.98</fb>
    <v>34</v>
  </rv>
  <rv s="14">
    <fb>514.29999999999995</fb>
    <v>34</v>
  </rv>
  <rv s="14">
    <fb>260.05</fb>
    <v>34</v>
  </rv>
  <rv s="14">
    <fb>43.36</fb>
    <v>34</v>
  </rv>
  <rv s="14">
    <fb>141.62</fb>
    <v>34</v>
  </rv>
  <rv s="14">
    <fb>154.13999999999999</fb>
    <v>34</v>
  </rv>
  <rv s="14">
    <fb>69.53</fb>
    <v>34</v>
  </rv>
  <rv s="14">
    <fb>311.92</fb>
    <v>34</v>
  </rv>
  <rv s="14">
    <fb>110.49</fb>
    <v>34</v>
  </rv>
  <rv s="14">
    <fb>1110</fb>
    <v>34</v>
  </rv>
  <rv s="14">
    <fb>160.9</fb>
    <v>34</v>
  </rv>
  <rv s="14">
    <fb>131.68</fb>
    <v>34</v>
  </rv>
  <rv s="14">
    <fb>230.61</fb>
    <v>34</v>
  </rv>
  <rv s="14">
    <fb>27.43</fb>
    <v>34</v>
  </rv>
  <rv s="14">
    <fb>54.87</fb>
    <v>34</v>
  </rv>
  <rv s="14">
    <fb>28.52</fb>
    <v>34</v>
  </rv>
  <rv s="14">
    <fb>21.590599999999998</fb>
    <v>34</v>
  </rv>
  <rv s="14">
    <fb>45790</fb>
    <v>33</v>
  </rv>
  <rv s="14">
    <fb>212.93</fb>
    <v>34</v>
  </rv>
  <rv s="14">
    <fb>129.93</fb>
    <v>34</v>
  </rv>
  <rv s="14">
    <fb>449.14</fb>
    <v>34</v>
  </rv>
  <rv s="14">
    <fb>656.03</fb>
    <v>34</v>
  </rv>
  <rv s="14">
    <fb>586.84</fb>
    <v>34</v>
  </rv>
  <rv s="14">
    <fb>85.89</fb>
    <v>34</v>
  </rv>
  <rv s="14">
    <fb>299.45999999999998</fb>
    <v>34</v>
  </rv>
  <rv s="14">
    <fb>69.59</fb>
    <v>34</v>
  </rv>
  <rv s="14">
    <fb>93.68</fb>
    <v>34</v>
  </rv>
  <rv s="14">
    <fb>46.448999999999998</fb>
    <v>34</v>
  </rv>
  <rv s="14">
    <fb>145.07</fb>
    <v>34</v>
  </rv>
  <rv s="14">
    <fb>85.77</fb>
    <v>34</v>
  </rv>
  <rv s="14">
    <fb>13.06</fb>
    <v>34</v>
  </rv>
  <rv s="14">
    <fb>3.44</fb>
    <v>35</v>
  </rv>
  <rv s="14">
    <fb>29.93</fb>
    <v>34</v>
  </rv>
  <rv s="14">
    <fb>27.38</fb>
    <v>34</v>
  </rv>
  <rv s="14">
    <fb>4.41</fb>
    <v>34</v>
  </rv>
  <rv s="14">
    <fb>64.34</fb>
    <v>34</v>
  </rv>
  <rv s="14">
    <fb>90.6</fb>
    <v>34</v>
  </rv>
  <rv s="14">
    <fb>25.87</fb>
    <v>34</v>
  </rv>
  <rv s="14">
    <fb>511.88</fb>
    <v>34</v>
  </rv>
  <rv s="14">
    <fb>263.01</fb>
    <v>34</v>
  </rv>
  <rv s="14">
    <fb>44.28</fb>
    <v>34</v>
  </rv>
  <rv s="14">
    <fb>142.35</fb>
    <v>34</v>
  </rv>
  <rv s="14">
    <fb>148.44</fb>
    <v>34</v>
  </rv>
  <rv s="14">
    <fb>68.959999999999994</fb>
    <v>34</v>
  </rv>
  <rv s="14">
    <fb>308.69</fb>
    <v>34</v>
  </rv>
  <rv s="14">
    <fb>111.38</fb>
    <v>34</v>
  </rv>
  <rv s="14">
    <fb>1138.44</fb>
    <v>34</v>
  </rv>
  <rv s="14">
    <fb>158.72999999999999</fb>
    <v>34</v>
  </rv>
  <rv s="14">
    <fb>130.31</fb>
    <v>34</v>
  </rv>
  <rv s="14">
    <fb>231.5</fb>
    <v>34</v>
  </rv>
  <rv s="14">
    <fb>22.605</fb>
    <v>34</v>
  </rv>
  <rv s="14">
    <fb>58.77</fb>
    <v>34</v>
  </rv>
  <rv s="14">
    <fb>54.64</fb>
    <v>34</v>
  </rv>
  <rv s="14">
    <fb>21.3367</fb>
    <v>34</v>
  </rv>
  <rv s="14">
    <fb>45791</fb>
    <v>33</v>
  </rv>
  <rv s="14">
    <fb>212.33</fb>
    <v>34</v>
  </rv>
  <rv s="14">
    <fb>452.94</fb>
    <v>34</v>
  </rv>
  <rv s="14">
    <fb>659.36</fb>
    <v>34</v>
  </rv>
  <rv s="14">
    <fb>165.37</fb>
    <v>34</v>
  </rv>
  <rv s="14">
    <fb>587.59</fb>
    <v>34</v>
  </rv>
  <rv s="14">
    <fb>85.32</fb>
    <v>34</v>
  </rv>
  <rv s="14">
    <fb>293.16000000000003</fb>
    <v>34</v>
  </rv>
  <rv s="14">
    <fb>68.73</fb>
    <v>34</v>
  </rv>
  <rv s="14">
    <fb>93.33</fb>
    <v>34</v>
  </rv>
  <rv s="14">
    <fb>46.311100000000003</fb>
    <v>34</v>
  </rv>
  <rv s="14">
    <fb>144.24</fb>
    <v>34</v>
  </rv>
  <rv s="14">
    <fb>85.25</fb>
    <v>34</v>
  </rv>
  <rv s="14">
    <fb>12.9</fb>
    <v>34</v>
  </rv>
  <rv s="14">
    <fb>27.23</fb>
    <v>34</v>
  </rv>
  <rv s="14">
    <fb>4.45</fb>
    <v>34</v>
  </rv>
  <rv s="14">
    <fb>89.56</fb>
    <v>34</v>
  </rv>
  <rv s="14">
    <fb>503.4</fb>
    <v>34</v>
  </rv>
  <rv s="14">
    <fb>265.64</fb>
    <v>34</v>
  </rv>
  <rv s="14">
    <fb>44.74</fb>
    <v>34</v>
  </rv>
  <rv s="14">
    <fb>108.48</fb>
    <v>34</v>
  </rv>
  <rv s="14">
    <fb>141.66999999999999</fb>
    <v>34</v>
  </rv>
  <rv s="14">
    <fb>146.36000000000001</fb>
    <v>34</v>
  </rv>
  <rv s="14">
    <fb>307.5</fb>
    <v>34</v>
  </rv>
  <rv s="14">
    <fb>112.94</fb>
    <v>34</v>
  </rv>
  <rv s="14">
    <fb>1150.99</fb>
    <v>34</v>
  </rv>
  <rv s="14">
    <fb>158.02000000000001</fb>
    <v>34</v>
  </rv>
  <rv s="14">
    <fb>231.86</fb>
    <v>34</v>
  </rv>
  <rv s="14">
    <fb>28.16</fb>
    <v>34</v>
  </rv>
  <rv s="14">
    <fb>22.54</fb>
    <v>34</v>
  </rv>
  <rv s="14">
    <fb>54.33</fb>
    <v>34</v>
  </rv>
  <rv s="14">
    <fb>28.41</fb>
    <v>34</v>
  </rv>
  <rv s="14">
    <fb>21.188300000000002</fb>
    <v>34</v>
  </rv>
  <rv s="14">
    <fb>45792</fb>
    <v>33</v>
  </rv>
  <rv s="14">
    <fb>211.45</fb>
    <v>34</v>
  </rv>
  <rv s="14">
    <fb>134.83000000000001</fb>
    <v>34</v>
  </rv>
  <rv s="14">
    <fb>453.13</fb>
    <v>34</v>
  </rv>
  <rv s="14">
    <fb>643.88</fb>
    <v>34</v>
  </rv>
  <rv s="14">
    <fb>163.96</fb>
    <v>34</v>
  </rv>
  <rv s="14">
    <fb>590.46</fb>
    <v>34</v>
  </rv>
  <rv s="14">
    <fb>86.07</fb>
    <v>34</v>
  </rv>
  <rv s="14">
    <fb>297.83999999999997</fb>
    <v>34</v>
  </rv>
  <rv s="14">
    <fb>67.59</fb>
    <v>34</v>
  </rv>
  <rv s="14">
    <fb>46.554099999999998</fb>
    <v>34</v>
  </rv>
  <rv s="14">
    <fb>85.61</fb>
    <v>34</v>
  </rv>
  <rv s="14">
    <fb>12.7</fb>
    <v>34</v>
  </rv>
  <rv s="14">
    <fb>507.33</fb>
    <v>34</v>
  </rv>
  <rv s="14">
    <fb>267.49</fb>
    <v>34</v>
  </rv>
  <rv s="14">
    <fb>108.58</fb>
    <v>34</v>
  </rv>
  <rv s="14">
    <fb>149.61000000000001</fb>
    <v>34</v>
  </rv>
  <rv s="14">
    <fb>314.48</fb>
    <v>34</v>
  </rv>
  <rv s="14">
    <fb>112.22</fb>
    <v>34</v>
  </rv>
  <rv s="14">
    <fb>1177.98</fb>
    <v>34</v>
  </rv>
  <rv s="14">
    <fb>162.41</fb>
    <v>34</v>
  </rv>
  <rv s="14">
    <fb>131.5</fb>
    <v>34</v>
  </rv>
  <rv s="14">
    <fb>229.05</fb>
    <v>34</v>
  </rv>
  <rv s="14">
    <fb>27.88</fb>
    <v>34</v>
  </rv>
  <rv s="14">
    <fb>22.655000000000001</fb>
    <v>34</v>
  </rv>
  <rv s="14">
    <fb>54.8</fb>
    <v>34</v>
  </rv>
  <rv s="14">
    <fb>21.554300000000001</fb>
    <v>34</v>
  </rv>
  <rv s="14">
    <fb>45793</fb>
    <v>33</v>
  </rv>
  <rv s="14">
    <fb>211.26</fb>
    <v>34</v>
  </rv>
  <rv s="14">
    <fb>454.27</fb>
    <v>34</v>
  </rv>
  <rv s="14">
    <fb>640.34</fb>
    <v>34</v>
  </rv>
  <rv s="14">
    <fb>594.20000000000005</fb>
    <v>34</v>
  </rv>
  <rv s="14">
    <fb>86.3</fb>
    <v>34</v>
  </rv>
  <rv s="14">
    <fb>294.24</fb>
    <v>34</v>
  </rv>
  <rv s="14">
    <fb>68.099999999999994</fb>
    <v>34</v>
  </rv>
  <rv s="14">
    <fb>46.620100000000001</fb>
    <v>34</v>
  </rv>
  <rv s="14">
    <fb>85.48</fb>
    <v>34</v>
  </rv>
  <rv s="14">
    <fb>3.24</fb>
    <v>35</v>
  </rv>
  <rv s="14">
    <fb>27.34</fb>
    <v>34</v>
  </rv>
  <rv s="14">
    <fb>4.47</fb>
    <v>34</v>
  </rv>
  <rv s="14">
    <fb>63.24</fb>
    <v>34</v>
  </rv>
  <rv s="14">
    <fb>26.01</fb>
    <v>34</v>
  </rv>
  <rv s="14">
    <fb>514.30999999999995</fb>
    <v>34</v>
  </rv>
  <rv s="14">
    <fb>44.69</fb>
    <v>34</v>
  </rv>
  <rv s="14">
    <fb>108.19</fb>
    <v>34</v>
  </rv>
  <rv s="14">
    <fb>142.1</fb>
    <v>34</v>
  </rv>
  <rv s="14">
    <fb>151.33000000000001</fb>
    <v>34</v>
  </rv>
  <rv s="14">
    <fb>72</fb>
    <v>34</v>
  </rv>
  <rv s="14">
    <fb>318.61</fb>
    <v>34</v>
  </rv>
  <rv s="14">
    <fb>113.42</fb>
    <v>34</v>
  </rv>
  <rv s="14">
    <fb>1191.53</fb>
    <v>34</v>
  </rv>
  <rv s="14">
    <fb>163.28</fb>
    <v>34</v>
  </rv>
  <rv s="14">
    <fb>131.97999999999999</fb>
    <v>34</v>
  </rv>
  <rv s="14">
    <fb>89.75</fb>
    <v>34</v>
  </rv>
  <rv s="14">
    <fb>54.9</fb>
    <v>34</v>
  </rv>
  <rv s="14">
    <fb>21.822600000000001</fb>
    <v>34</v>
  </rv>
  <rv s="14">
    <fb>45796</fb>
    <v>33</v>
  </rv>
  <rv s="14">
    <fb>208.78</fb>
    <v>34</v>
  </rv>
  <rv s="14">
    <fb>135.57</fb>
    <v>34</v>
  </rv>
  <rv s="14">
    <fb>458.87</fb>
    <v>34</v>
  </rv>
  <rv s="14">
    <fb>640.42999999999995</fb>
    <v>34</v>
  </rv>
  <rv s="14">
    <fb>166.54</fb>
    <v>34</v>
  </rv>
  <rv s="14">
    <fb>594.85</fb>
    <v>34</v>
  </rv>
  <rv s="14">
    <fb>86.05</fb>
    <v>34</v>
  </rv>
  <rv s="14">
    <fb>298.02999999999997</fb>
    <v>34</v>
  </rv>
  <rv s="14">
    <fb>68.510000000000005</fb>
    <v>34</v>
  </rv>
  <rv s="14">
    <fb>93.92</fb>
    <v>34</v>
  </rv>
  <rv s="14">
    <fb>46.575299999999999</fb>
    <v>34</v>
  </rv>
  <rv s="14">
    <fb>142.61000000000001</fb>
    <v>34</v>
  </rv>
  <rv s="14">
    <fb>84.37</fb>
    <v>34</v>
  </rv>
  <rv s="14">
    <fb>12.78</fb>
    <v>34</v>
  </rv>
  <rv s="14">
    <fb>4.5</fb>
    <v>34</v>
  </rv>
  <rv s="14">
    <fb>64.02</fb>
    <v>34</v>
  </rv>
  <rv s="14">
    <fb>512.39</fb>
    <v>34</v>
  </rv>
  <rv s="14">
    <fb>264.88</fb>
    <v>34</v>
  </rv>
  <rv s="14">
    <fb>106.47</fb>
    <v>34</v>
  </rv>
  <rv s="14">
    <fb>152.49</fb>
    <v>34</v>
  </rv>
  <rv s="14">
    <fb>71.930000000000007</fb>
    <v>34</v>
  </rv>
  <rv s="14">
    <fb>321.23</fb>
    <v>34</v>
  </rv>
  <rv s="14">
    <fb>112.66</fb>
    <v>34</v>
  </rv>
  <rv s="14">
    <fb>1191.6400000000001</fb>
    <v>34</v>
  </rv>
  <rv s="14">
    <fb>131.79</fb>
    <v>34</v>
  </rv>
  <rv s="14">
    <fb>224.9</fb>
    <v>34</v>
  </rv>
  <rv s="14">
    <fb>88.71</fb>
    <v>34</v>
  </rv>
  <rv s="14">
    <fb>27.7</fb>
    <v>34</v>
  </rv>
  <rv s="14">
    <fb>54.74</fb>
    <v>34</v>
  </rv>
  <rv s="14">
    <fb>21.85</fb>
    <v>34</v>
  </rv>
  <rv s="14">
    <fb>45797</fb>
    <v>33</v>
  </rv>
  <rv s="14">
    <fb>206.86</fb>
    <v>34</v>
  </rv>
  <rv s="14">
    <fb>134.38</fb>
    <v>34</v>
  </rv>
  <rv s="14">
    <fb>458.17</fb>
    <v>34</v>
  </rv>
  <rv s="14">
    <fb>637.1</fb>
    <v>34</v>
  </rv>
  <rv s="14">
    <fb>163.98</fb>
    <v>34</v>
  </rv>
  <rv s="14">
    <fb>592.85</fb>
    <v>34</v>
  </rv>
  <rv s="14">
    <fb>303.58</fb>
    <v>34</v>
  </rv>
  <rv s="14">
    <fb>68.66</fb>
    <v>34</v>
  </rv>
  <rv s="14">
    <fb>46.5379</fb>
    <v>34</v>
  </rv>
  <rv s="14">
    <fb>139.29</fb>
    <v>34</v>
  </rv>
  <rv s="14">
    <fb>83.59</fb>
    <v>34</v>
  </rv>
  <rv s="14">
    <fb>12.84</fb>
    <v>34</v>
  </rv>
  <rv s="14">
    <fb>30.13</fb>
    <v>34</v>
  </rv>
  <rv s="14">
    <fb>27.65</fb>
    <v>34</v>
  </rv>
  <rv s="14">
    <fb>65.239999999999995</fb>
    <v>34</v>
  </rv>
  <rv s="14">
    <fb>508.74</fb>
    <v>34</v>
  </rv>
  <rv s="14">
    <fb>265.68</fb>
    <v>34</v>
  </rv>
  <rv s="14">
    <fb>104.95</fb>
    <v>34</v>
  </rv>
  <rv s="14">
    <fb>137.27000000000001</fb>
    <v>34</v>
  </rv>
  <rv s="14">
    <fb>153.66</fb>
    <v>34</v>
  </rv>
  <rv s="14">
    <fb>71.69</fb>
    <v>34</v>
  </rv>
  <rv s="14">
    <fb>319.8</fb>
    <v>34</v>
  </rv>
  <rv s="14">
    <fb>1192.02</fb>
    <v>34</v>
  </rv>
  <rv s="14">
    <fb>165.64</fb>
    <v>34</v>
  </rv>
  <rv s="14">
    <fb>131.80000000000001</fb>
    <v>34</v>
  </rv>
  <rv s="14">
    <fb>222.69</fb>
    <v>34</v>
  </rv>
  <rv s="14">
    <fb>88.22</fb>
    <v>34</v>
  </rv>
  <rv s="14">
    <fb>54.38</fb>
    <v>34</v>
  </rv>
  <rv s="14">
    <fb>45798</fb>
    <v>33</v>
  </rv>
  <rv s="14">
    <fb>202.09</fb>
    <v>34</v>
  </rv>
  <rv s="14">
    <fb>452.57</fb>
    <v>34</v>
  </rv>
  <rv s="14">
    <fb>635.5</fb>
    <v>34</v>
  </rv>
  <rv s="14">
    <fb>168.56</fb>
    <v>34</v>
  </rv>
  <rv s="14">
    <fb>582.86</fb>
    <v>34</v>
  </rv>
  <rv s="14">
    <fb>83.97</fb>
    <v>34</v>
  </rv>
  <rv s="14">
    <fb>305.82</fb>
    <v>34</v>
  </rv>
  <rv s="14">
    <fb>93.15</fb>
    <v>34</v>
  </rv>
  <rv s="14">
    <fb>46</fb>
    <v>34</v>
  </rv>
  <rv s="14">
    <fb>82.05</fb>
    <v>34</v>
  </rv>
  <rv s="14">
    <fb>65.72</fb>
    <v>34</v>
  </rv>
  <rv s="14">
    <fb>25.35</fb>
    <v>34</v>
  </rv>
  <rv s="14">
    <fb>507.03</fb>
    <v>34</v>
  </rv>
  <rv s="14">
    <fb>261.04000000000002</fb>
    <v>34</v>
  </rv>
  <rv s="14">
    <fb>43.25</fb>
    <v>34</v>
  </rv>
  <rv s="14">
    <fb>103.66</fb>
    <v>34</v>
  </rv>
  <rv s="14">
    <fb>135.56</fb>
    <v>34</v>
  </rv>
  <rv s="14">
    <fb>153.18</fb>
    <v>34</v>
  </rv>
  <rv s="14">
    <fb>71.849999999999994</fb>
    <v>34</v>
  </rv>
  <rv s="14">
    <fb>316.44</fb>
    <v>34</v>
  </rv>
  <rv s="14">
    <fb>110.46</fb>
    <v>34</v>
  </rv>
  <rv s="14">
    <fb>1194.6300000000001</fb>
    <v>34</v>
  </rv>
  <rv s="14">
    <fb>130.15</fb>
    <v>34</v>
  </rv>
  <rv s="14">
    <fb>216.23</fb>
    <v>34</v>
  </rv>
  <rv s="14">
    <fb>86.11</fb>
    <v>34</v>
  </rv>
  <rv s="14">
    <fb>22.51</fb>
    <v>34</v>
  </rv>
  <rv s="14">
    <fb>53.54</fb>
    <v>34</v>
  </rv>
  <rv s="14">
    <fb>28.34</fb>
    <v>34</v>
  </rv>
  <rv s="14">
    <fb>21.26</fb>
    <v>34</v>
  </rv>
  <rv s="14">
    <fb>45799</fb>
    <v>33</v>
  </rv>
  <rv s="14">
    <fb>201.36</fb>
    <v>34</v>
  </rv>
  <rv s="14">
    <fb>132.83000000000001</fb>
    <v>34</v>
  </rv>
  <rv s="14">
    <fb>454.86</fb>
    <v>34</v>
  </rv>
  <rv s="14">
    <fb>636.57000000000005</fb>
    <v>34</v>
  </rv>
  <rv s="14">
    <fb>170.87</fb>
    <v>34</v>
  </rv>
  <rv s="14">
    <fb>583.09</fb>
    <v>34</v>
  </rv>
  <rv s="14">
    <fb>84.41</fb>
    <v>34</v>
  </rv>
  <rv s="14">
    <fb>303.11</fb>
    <v>34</v>
  </rv>
  <rv s="14">
    <fb>67.14</fb>
    <v>34</v>
  </rv>
  <rv s="14">
    <fb>93.5</fb>
    <v>34</v>
  </rv>
  <rv s="14">
    <fb>46.115000000000002</fb>
    <v>34</v>
  </rv>
  <rv s="14">
    <fb>130.81</fb>
    <v>34</v>
  </rv>
  <rv s="14">
    <fb>81.73</fb>
    <v>34</v>
  </rv>
  <rv s="14">
    <fb>12.59</fb>
    <v>34</v>
  </rv>
  <rv s="14">
    <fb>65.150000000000006</fb>
    <v>34</v>
  </rv>
  <rv s="14">
    <fb>98.6</fb>
    <v>34</v>
  </rv>
  <rv s="14">
    <fb>25.48</fb>
    <v>34</v>
  </rv>
  <rv s="14">
    <fb>503.57</fb>
    <v>34</v>
  </rv>
  <rv s="14">
    <fb>260.67</fb>
    <v>34</v>
  </rv>
  <rv s="14">
    <fb>43.31</fb>
    <v>34</v>
  </rv>
  <rv s="14">
    <fb>102.97</fb>
    <v>34</v>
  </rv>
  <rv s="14">
    <fb>152.61000000000001</fb>
    <v>34</v>
  </rv>
  <rv s="14">
    <fb>71.14</fb>
    <v>34</v>
  </rv>
  <rv s="14">
    <fb>314.31</fb>
    <v>34</v>
  </rv>
  <rv s="14">
    <fb>111.13</fb>
    <v>34</v>
  </rv>
  <rv s="14">
    <fb>1187.97</fb>
    <v>34</v>
  </rv>
  <rv s="14">
    <fb>165.03</fb>
    <v>34</v>
  </rv>
  <rv s="14">
    <fb>130.12</fb>
    <v>34</v>
  </rv>
  <rv s="14">
    <fb>216.08</fb>
    <v>34</v>
  </rv>
  <rv s="14">
    <fb>85.72</fb>
    <v>34</v>
  </rv>
  <rv s="14">
    <fb>58.81</fb>
    <v>34</v>
  </rv>
  <rv s="14">
    <fb>53.81</fb>
    <v>34</v>
  </rv>
  <rv s="14">
    <fb>28.45</fb>
    <v>34</v>
  </rv>
  <rv s="14">
    <fb>21.125</fb>
    <v>34</v>
  </rv>
  <rv s="14">
    <fb>45800</fb>
    <v>33</v>
  </rv>
  <rv s="14">
    <fb>195.27</fb>
    <v>34</v>
  </rv>
  <rv s="14">
    <fb>131.29</fb>
    <v>34</v>
  </rv>
  <rv s="14">
    <fb>450.18</fb>
    <v>34</v>
  </rv>
  <rv s="14">
    <fb>627.05999999999995</fb>
    <v>34</v>
  </rv>
  <rv s="14">
    <fb>579.11</fb>
    <v>34</v>
  </rv>
  <rv s="14">
    <fb>309.75</fb>
    <v>34</v>
  </rv>
  <rv s="14">
    <fb>67.989999999999995</fb>
    <v>34</v>
  </rv>
  <rv s="14">
    <fb>93.77</fb>
    <v>34</v>
  </rv>
  <rv s="14">
    <fb>46.179000000000002</fb>
    <v>34</v>
  </rv>
  <rv s="14">
    <fb>130.87</fb>
    <v>34</v>
  </rv>
  <rv s="14">
    <fb>81.99</fb>
    <v>34</v>
  </rv>
  <rv s="14">
    <fb>12.71</fb>
    <v>34</v>
  </rv>
  <rv s="14">
    <fb>30.45</fb>
    <v>34</v>
  </rv>
  <rv s="14">
    <fb>66.569999999999993</fb>
    <v>34</v>
  </rv>
  <rv s="14">
    <fb>100.15</fb>
    <v>34</v>
  </rv>
  <rv s="14">
    <fb>25.55</fb>
    <v>34</v>
  </rv>
  <rv s="14">
    <fb>503.46</fb>
    <v>34</v>
  </rv>
  <rv s="14">
    <fb>260.70999999999998</fb>
    <v>34</v>
  </rv>
  <rv s="14">
    <fb>43.2</fb>
    <v>34</v>
  </rv>
  <rv s="14">
    <fb>103.03</fb>
    <v>34</v>
  </rv>
  <rv s="14">
    <fb>136.54</fb>
    <v>34</v>
  </rv>
  <rv s="14">
    <fb>152.94</fb>
    <v>34</v>
  </rv>
  <rv s="14">
    <fb>71.77</fb>
    <v>34</v>
  </rv>
  <rv s="14">
    <fb>314.57</fb>
    <v>34</v>
  </rv>
  <rv s="14">
    <fb>1185.3900000000001</fb>
    <v>34</v>
  </rv>
  <rv s="14">
    <fb>216.26</fb>
    <v>34</v>
  </rv>
  <rv s="14">
    <fb>85.64</fb>
    <v>34</v>
  </rv>
  <rv s="14">
    <fb>53.94</fb>
    <v>34</v>
  </rv>
  <rv s="14">
    <fb>28.46</fb>
    <v>34</v>
  </rv>
  <rv s="14">
    <fb>21.148</fb>
    <v>34</v>
  </rv>
  <rv s="14">
    <fb>45804</fb>
    <v>33</v>
  </rv>
  <rv s="14">
    <fb>460.69</fb>
    <v>34</v>
  </rv>
  <rv s="14">
    <fb>642.32000000000005</fb>
    <v>34</v>
  </rv>
  <rv s="14">
    <fb>172.9</fb>
    <v>34</v>
  </rv>
  <rv s="14">
    <fb>85.73</fb>
    <v>34</v>
  </rv>
  <rv s="14">
    <fb>304.5</fb>
    <v>34</v>
  </rv>
  <rv s="14">
    <fb>67.28</fb>
    <v>34</v>
  </rv>
  <rv s="14">
    <fb>94.16</fb>
    <v>34</v>
  </rv>
  <rv s="14">
    <fb>46.445300000000003</fb>
    <v>34</v>
  </rv>
  <rv s="14">
    <fb>133.16999999999999</fb>
    <v>34</v>
  </rv>
  <rv s="14">
    <fb>82.7</fb>
    <v>34</v>
  </rv>
  <rv s="14">
    <fb>12.62</fb>
    <v>34</v>
  </rv>
  <rv s="14">
    <fb>30.23</fb>
    <v>34</v>
  </rv>
  <rv s="14">
    <fb>65.45</fb>
    <v>34</v>
  </rv>
  <rv s="14">
    <fb>99.05</fb>
    <v>34</v>
  </rv>
  <rv s="14">
    <fb>25.86</fb>
    <v>34</v>
  </rv>
  <rv s="14">
    <fb>509.16</fb>
    <v>34</v>
  </rv>
  <rv s="14">
    <fb>265.29000000000002</fb>
    <v>34</v>
  </rv>
  <rv s="14">
    <fb>44.22</fb>
    <v>34</v>
  </rv>
  <rv s="14">
    <fb>103.52</fb>
    <v>34</v>
  </rv>
  <rv s="14">
    <fb>137.83000000000001</fb>
    <v>34</v>
  </rv>
  <rv s="14">
    <fb>71.78</fb>
    <v>34</v>
  </rv>
  <rv s="14">
    <fb>314.95</fb>
    <v>34</v>
  </rv>
  <rv s="14">
    <fb>1211.57</fb>
    <v>34</v>
  </rv>
  <rv s="14">
    <fb>167.76</fb>
    <v>34</v>
  </rv>
  <rv s="14">
    <fb>131.37</fb>
    <v>34</v>
  </rv>
  <rv s="14">
    <fb>219.99</fb>
    <v>34</v>
  </rv>
  <rv s="14">
    <fb>86.51</fb>
    <v>34</v>
  </rv>
  <rv s="14">
    <fb>54.61</fb>
    <v>34</v>
  </rv>
  <rv s="14">
    <fb>21.42</fb>
    <v>34</v>
  </rv>
  <rv s="14">
    <fb>45805</fb>
    <v>33</v>
  </rv>
  <rv s="14">
    <fb>200.42</fb>
    <v>34</v>
  </rv>
  <rv s="14">
    <fb>457.36</fb>
    <v>34</v>
  </rv>
  <rv s="14">
    <fb>643.58000000000004</fb>
    <v>34</v>
  </rv>
  <rv s="14">
    <fb>172.36</fb>
    <v>34</v>
  </rv>
  <rv s="14">
    <fb>587.73</fb>
    <v>34</v>
  </rv>
  <rv s="14">
    <fb>85.36</fb>
    <v>34</v>
  </rv>
  <rv s="14">
    <fb>303.81</fb>
    <v>34</v>
  </rv>
  <rv s="14">
    <fb>67.89</fb>
    <v>34</v>
  </rv>
  <rv s="14">
    <fb>93.9</fb>
    <v>34</v>
  </rv>
  <rv s="14">
    <fb>46.36</fb>
    <v>34</v>
  </rv>
  <rv s="14">
    <fb>131.51</fb>
    <v>34</v>
  </rv>
  <rv s="14">
    <fb>81.650000000000006</fb>
    <v>34</v>
  </rv>
  <rv s="14">
    <fb>29.98</fb>
    <v>34</v>
  </rv>
  <rv s="14">
    <fb>98.92</fb>
    <v>34</v>
  </rv>
  <rv s="14">
    <fb>503.11</fb>
    <v>34</v>
  </rv>
  <rv s="14">
    <fb>263.49</fb>
    <v>34</v>
  </rv>
  <rv s="14">
    <fb>44.06</fb>
    <v>34</v>
  </rv>
  <rv s="14">
    <fb>102.11</fb>
    <v>34</v>
  </rv>
  <rv s="14">
    <fb>152.43</fb>
    <v>34</v>
  </rv>
  <rv s="14">
    <fb>71.150000000000006</fb>
    <v>34</v>
  </rv>
  <rv s="14">
    <fb>312.83999999999997</fb>
    <v>34</v>
  </rv>
  <rv s="14">
    <fb>111.52</fb>
    <v>34</v>
  </rv>
  <rv s="14">
    <fb>1208.55</fb>
    <v>34</v>
  </rv>
  <rv s="14">
    <fb>167.36</fb>
    <v>34</v>
  </rv>
  <rv s="14">
    <fb>130.66999999999999</fb>
    <v>34</v>
  </rv>
  <rv s="14">
    <fb>218.77</fb>
    <v>34</v>
  </rv>
  <rv s="14">
    <fb>85.27</fb>
    <v>34</v>
  </rv>
  <rv s="14">
    <fb>28.61</fb>
    <v>34</v>
  </rv>
  <rv s="14">
    <fb>21.4467</fb>
    <v>34</v>
  </rv>
  <rv s="14">
    <fb>45806</fb>
    <v>33</v>
  </rv>
  <rv s="14">
    <fb>199.95</fb>
    <v>34</v>
  </rv>
  <rv s="14">
    <fb>139.19</fb>
    <v>34</v>
  </rv>
  <rv s="14">
    <fb>458.68</fb>
    <v>34</v>
  </rv>
  <rv s="14">
    <fb>645.04999999999995</fb>
    <v>34</v>
  </rv>
  <rv s="14">
    <fb>171.86</fb>
    <v>34</v>
  </rv>
  <rv s="14">
    <fb>590.04999999999995</fb>
    <v>34</v>
  </rv>
  <rv s="14">
    <fb>305.61</fb>
    <v>34</v>
  </rv>
  <rv s="14">
    <fb>67.19</fb>
    <v>34</v>
  </rv>
  <rv s="14">
    <fb>94.29</fb>
    <v>34</v>
  </rv>
  <rv s="14">
    <fb>131.69999999999999</fb>
    <v>34</v>
  </rv>
  <rv s="14">
    <fb>82.26</fb>
    <v>34</v>
  </rv>
  <rv s="14">
    <fb>4.5599999999999996</fb>
    <v>34</v>
  </rv>
  <rv s="14">
    <fb>65.67</fb>
    <v>34</v>
  </rv>
  <rv s="14">
    <fb>506.18</fb>
    <v>34</v>
  </rv>
  <rv s="14">
    <fb>264.37</fb>
    <v>34</v>
  </rv>
  <rv s="14">
    <fb>44.24</fb>
    <v>34</v>
  </rv>
  <rv s="14">
    <fb>102.69</fb>
    <v>34</v>
  </rv>
  <rv s="14">
    <fb>137.91</fb>
    <v>34</v>
  </rv>
  <rv s="14">
    <fb>153.58000000000001</fb>
    <v>34</v>
  </rv>
  <rv s="14">
    <fb>311.86</fb>
    <v>34</v>
  </rv>
  <rv s="14">
    <fb>112.02</fb>
    <v>34</v>
  </rv>
  <rv s="14">
    <fb>1184.8599999999999</fb>
    <v>34</v>
  </rv>
  <rv s="14">
    <fb>131.91999999999999</fb>
    <v>34</v>
  </rv>
  <rv s="14">
    <fb>221.26</fb>
    <v>34</v>
  </rv>
  <rv s="14">
    <fb>54.82</fb>
    <v>34</v>
  </rv>
  <rv s="14">
    <fb>21.722999999999999</fb>
    <v>34</v>
  </rv>
  <rv s="14">
    <fb>45807</fb>
    <v>33</v>
  </rv>
  <rv s="14">
    <fb>200.85</fb>
    <v>34</v>
  </rv>
  <rv s="14">
    <fb>135.13</fb>
    <v>34</v>
  </rv>
  <rv s="14">
    <fb>460.36</fb>
    <v>34</v>
  </rv>
  <rv s="14">
    <fb>171.74</fb>
    <v>34</v>
  </rv>
  <rv s="14">
    <fb>589.39</fb>
    <v>34</v>
  </rv>
  <rv s="14">
    <fb>86.28</fb>
    <v>34</v>
  </rv>
  <rv s="14">
    <fb>67.150000000000006</fb>
    <v>34</v>
  </rv>
  <rv s="14">
    <fb>46.600200000000001</fb>
    <v>34</v>
  </rv>
  <rv s="14">
    <fb>130.69</fb>
    <v>34</v>
  </rv>
  <rv s="14">
    <fb>81.53</fb>
    <v>34</v>
  </rv>
  <rv s="14">
    <fb>12.4</fb>
    <v>34</v>
  </rv>
  <rv s="14">
    <fb>3</fb>
    <v>35</v>
  </rv>
  <rv s="14">
    <fb>30</fb>
    <v>34</v>
  </rv>
  <rv s="14">
    <fb>91.74</fb>
    <v>34</v>
  </rv>
  <rv s="14">
    <fb>503.96</fb>
    <v>34</v>
  </rv>
  <rv s="14">
    <fb>264</fb>
    <v>34</v>
  </rv>
  <rv s="14">
    <fb>44.13</fb>
    <v>34</v>
  </rv>
  <rv s="14">
    <fb>102.3</fb>
    <v>34</v>
  </rv>
  <rv s="14">
    <fb>136.69999999999999</fb>
    <v>34</v>
  </rv>
  <rv s="14">
    <fb>155.21</fb>
    <v>34</v>
  </rv>
  <rv s="14">
    <fb>313.85000000000002</fb>
    <v>34</v>
  </rv>
  <rv s="14">
    <fb>113.04</fb>
    <v>34</v>
  </rv>
  <rv s="14">
    <fb>1207.23</fb>
    <v>34</v>
  </rv>
  <rv s="14">
    <fb>169.89</fb>
    <v>34</v>
  </rv>
  <rv s="14">
    <fb>131.44999999999999</fb>
    <v>34</v>
  </rv>
  <rv s="14">
    <fb>216.64</fb>
    <v>34</v>
  </rv>
  <rv s="14">
    <fb>84.77</fb>
    <v>34</v>
  </rv>
  <rv s="14">
    <fb>22.76</fb>
    <v>34</v>
  </rv>
  <rv s="14">
    <fb>58.64</fb>
    <v>34</v>
  </rv>
  <rv s="14">
    <fb>54.97</fb>
    <v>34</v>
  </rv>
  <rv s="14">
    <fb>21.681100000000001</fb>
    <v>34</v>
  </rv>
  <rv s="14">
    <fb>45810</fb>
    <v>33</v>
  </rv>
  <rv s="14">
    <fb>201.7</fb>
    <v>34</v>
  </rv>
  <rv s="14">
    <fb>137.38</fb>
    <v>34</v>
  </rv>
  <rv s="14">
    <fb>461.97</fb>
    <v>34</v>
  </rv>
  <rv s="14">
    <fb>670.9</fb>
    <v>34</v>
  </rv>
  <rv s="14">
    <fb>169.03</fb>
    <v>34</v>
  </rv>
  <rv s="14">
    <fb>592.71</fb>
    <v>34</v>
  </rv>
  <rv s="14">
    <fb>85.16</fb>
    <v>34</v>
  </rv>
  <rv s="14">
    <fb>311.67</fb>
    <v>34</v>
  </rv>
  <rv s="14">
    <fb>69.55</fb>
    <v>34</v>
  </rv>
  <rv s="14">
    <fb>46.515700000000002</fb>
    <v>34</v>
  </rv>
  <rv s="14">
    <fb>130.52000000000001</fb>
    <v>34</v>
  </rv>
  <rv s="14">
    <fb>82.6</fb>
    <v>34</v>
  </rv>
  <rv s="14">
    <fb>31.59</fb>
    <v>34</v>
  </rv>
  <rv s="14">
    <fb>4.57</fb>
    <v>34</v>
  </rv>
  <rv s="14">
    <fb>66.98</fb>
    <v>34</v>
  </rv>
  <rv s="14">
    <fb>50.79</fb>
    <v>34</v>
  </rv>
  <rv s="14">
    <fb>25.7</fb>
    <v>34</v>
  </rv>
  <rv s="14">
    <fb>502.81</fb>
    <v>34</v>
  </rv>
  <rv s="14">
    <fb>264.66000000000003</fb>
    <v>34</v>
  </rv>
  <rv s="14">
    <fb>44.08</fb>
    <v>34</v>
  </rv>
  <rv s="14">
    <fb>103.05</fb>
    <v>34</v>
  </rv>
  <rv s="14">
    <fb>137.84</fb>
    <v>34</v>
  </rv>
  <rv s="14">
    <fb>312.68</fb>
    <v>34</v>
  </rv>
  <rv s="14">
    <fb>112.95</fb>
    <v>34</v>
  </rv>
  <rv s="14">
    <fb>1218.98</fb>
    <v>34</v>
  </rv>
  <rv s="14">
    <fb>167.78</fb>
    <v>34</v>
  </rv>
  <rv s="14">
    <fb>130.91</fb>
    <v>34</v>
  </rv>
  <rv s="14">
    <fb>220.31</fb>
    <v>34</v>
  </rv>
  <rv s="14">
    <fb>85.97</fb>
    <v>34</v>
  </rv>
  <rv s="14">
    <fb>22.62</fb>
    <v>34</v>
  </rv>
  <rv s="14">
    <fb>54.26</fb>
    <v>34</v>
  </rv>
  <rv s="14">
    <fb>45811</fb>
    <v>33</v>
  </rv>
  <rv s="14">
    <fb>203.27</fb>
    <v>34</v>
  </rv>
  <rv s="14">
    <fb>141.22</fb>
    <v>34</v>
  </rv>
  <rv s="14">
    <fb>462.97</fb>
    <v>34</v>
  </rv>
  <rv s="14">
    <fb>666.85</fb>
    <v>34</v>
  </rv>
  <rv s="14">
    <fb>166.18</fb>
    <v>34</v>
  </rv>
  <rv s="14">
    <fb>596.09</fb>
    <v>34</v>
  </rv>
  <rv s="14">
    <fb>308.91000000000003</fb>
    <v>34</v>
  </rv>
  <rv s="14">
    <fb>69.89</fb>
    <v>34</v>
  </rv>
  <rv s="14">
    <fb>93.85</fb>
    <v>34</v>
  </rv>
  <rv s="14">
    <fb>46.55</fb>
    <v>34</v>
  </rv>
  <rv s="14">
    <fb>131.1</fb>
    <v>34</v>
  </rv>
  <rv s="14">
    <fb>83.58</fb>
    <v>34</v>
  </rv>
  <rv s="14">
    <fb>12.95</fb>
    <v>34</v>
  </rv>
  <rv s="14">
    <fb>31.44</fb>
    <v>34</v>
  </rv>
  <rv s="14">
    <fb>66.400000000000006</fb>
    <v>34</v>
  </rv>
  <rv s="14">
    <fb>98.45</fb>
    <v>34</v>
  </rv>
  <rv s="14">
    <fb>50.81</fb>
    <v>34</v>
  </rv>
  <rv s="14">
    <fb>497.83</fb>
    <v>34</v>
  </rv>
  <rv s="14">
    <fb>266.27</fb>
    <v>34</v>
  </rv>
  <rv s="14">
    <fb>44.65</fb>
    <v>34</v>
  </rv>
  <rv s="14">
    <fb>103.8</fb>
    <v>34</v>
  </rv>
  <rv s="14">
    <fb>139.55000000000001</fb>
    <v>34</v>
  </rv>
  <rv s="14">
    <fb>154.41999999999999</fb>
    <v>34</v>
  </rv>
  <rv s="14">
    <fb>71.16</fb>
    <v>34</v>
  </rv>
  <rv s="14">
    <fb>312.39</fb>
    <v>34</v>
  </rv>
  <rv s="14">
    <fb>113.6</fb>
    <v>34</v>
  </rv>
  <rv s="14">
    <fb>1217.94</fb>
    <v>34</v>
  </rv>
  <rv s="14">
    <fb>166.85</fb>
    <v>34</v>
  </rv>
  <rv s="14">
    <fb>131.85</fb>
    <v>34</v>
  </rv>
  <rv s="14">
    <fb>227.36</fb>
    <v>34</v>
  </rv>
  <rv s="14">
    <fb>87.44</fb>
    <v>34</v>
  </rv>
  <rv s="14">
    <fb>54.19</fb>
    <v>34</v>
  </rv>
  <rv s="14">
    <fb>21.628</fb>
    <v>34</v>
  </rv>
  <rv s="14">
    <fb>45812</fb>
    <v>33</v>
  </rv>
  <rv s="14">
    <fb>202.82</fb>
    <v>34</v>
  </rv>
  <rv s="14">
    <fb>141.91999999999999</fb>
    <v>34</v>
  </rv>
  <rv s="14">
    <fb>687.95</fb>
    <v>34</v>
  </rv>
  <rv s="14">
    <fb>168.05</fb>
    <v>34</v>
  </rv>
  <rv s="14">
    <fb>595.92999999999995</fb>
    <v>34</v>
  </rv>
  <rv s="14">
    <fb>310.89999999999998</fb>
    <v>34</v>
  </rv>
  <rv s="14">
    <fb>69.34</fb>
    <v>34</v>
  </rv>
  <rv s="14">
    <fb>46.78</fb>
    <v>34</v>
  </rv>
  <rv s="14">
    <fb>130.30000000000001</fb>
    <v>34</v>
  </rv>
  <rv s="14">
    <fb>81.95</fb>
    <v>34</v>
  </rv>
  <rv s="14">
    <fb>31.34</fb>
    <v>34</v>
  </rv>
  <rv s="14">
    <fb>66.819999999999993</fb>
    <v>34</v>
  </rv>
  <rv s="14">
    <fb>100.51</fb>
    <v>34</v>
  </rv>
  <rv s="14">
    <fb>491</fb>
    <v>34</v>
  </rv>
  <rv s="14">
    <fb>264.22000000000003</fb>
    <v>34</v>
  </rv>
  <rv s="14">
    <fb>44.36</fb>
    <v>34</v>
  </rv>
  <rv s="14">
    <fb>137.37</fb>
    <v>34</v>
  </rv>
  <rv s="14">
    <fb>71.37</fb>
    <v>34</v>
  </rv>
  <rv s="14">
    <fb>311.57</fb>
    <v>34</v>
  </rv>
  <rv s="14">
    <fb>113.49</fb>
    <v>34</v>
  </rv>
  <rv s="14">
    <fb>1239.6600000000001</fb>
    <v>34</v>
  </rv>
  <rv s="14">
    <fb>165.95</fb>
    <v>34</v>
  </rv>
  <rv s="14">
    <fb>131.74</fb>
    <v>34</v>
  </rv>
  <rv s="14">
    <fb>224.38</fb>
    <v>34</v>
  </rv>
  <rv s="14">
    <fb>85.41</fb>
    <v>34</v>
  </rv>
  <rv s="14">
    <fb>55.02</fb>
    <v>34</v>
  </rv>
  <rv s="14">
    <fb>21.69</fb>
    <v>34</v>
  </rv>
  <rv s="14">
    <fb>45813</fb>
    <v>33</v>
  </rv>
  <rv s="14">
    <fb>200.63</fb>
    <v>34</v>
  </rv>
  <rv s="14">
    <fb>139.99</fb>
    <v>34</v>
  </rv>
  <rv s="14">
    <fb>467.68</fb>
    <v>34</v>
  </rv>
  <rv s="14">
    <fb>684.62</fb>
    <v>34</v>
  </rv>
  <rv s="14">
    <fb>168.21</fb>
    <v>34</v>
  </rv>
  <rv s="14">
    <fb>593.04999999999995</fb>
    <v>34</v>
  </rv>
  <rv s="14">
    <fb>86.45</fb>
    <v>34</v>
  </rv>
  <rv s="14">
    <fb>309.33</fb>
    <v>34</v>
  </rv>
  <rv s="14">
    <fb>46.704999999999998</fb>
    <v>34</v>
  </rv>
  <rv s="14">
    <fb>81.87</fb>
    <v>34</v>
  </rv>
  <rv s="14">
    <fb>12.92</fb>
    <v>34</v>
  </rv>
  <rv s="14">
    <fb>32.450000000000003</fb>
    <v>34</v>
  </rv>
  <rv s="14">
    <fb>104.38</fb>
    <v>34</v>
  </rv>
  <rv s="14">
    <fb>488.74</fb>
    <v>34</v>
  </rv>
  <rv s="14">
    <fb>261.95</fb>
    <v>34</v>
  </rv>
  <rv s="14">
    <fb>136.9</fb>
    <v>34</v>
  </rv>
  <rv s="14">
    <fb>70.91</fb>
    <v>34</v>
  </rv>
  <rv s="14">
    <fb>308.98</fb>
    <v>34</v>
  </rv>
  <rv s="14">
    <fb>112.53</fb>
    <v>34</v>
  </rv>
  <rv s="14">
    <fb>1250.52</fb>
    <v>34</v>
  </rv>
  <rv s="14">
    <fb>131.11000000000001</fb>
    <v>34</v>
  </rv>
  <rv s="14">
    <fb>224.36</fb>
    <v>34</v>
  </rv>
  <rv s="14">
    <fb>85.18</fb>
    <v>34</v>
  </rv>
  <rv s="14">
    <fb>22.7</fb>
    <v>34</v>
  </rv>
  <rv s="14">
    <fb>59.05</fb>
    <v>34</v>
  </rv>
  <rv s="14">
    <fb>28.73</fb>
    <v>34</v>
  </rv>
  <rv s="14">
    <fb>21.637</fb>
    <v>34</v>
  </rv>
  <rv s="14">
    <fb>45814</fb>
    <v>33</v>
  </rv>
  <rv s="14">
    <fb>203.92</fb>
    <v>34</v>
  </rv>
  <rv s="14">
    <fb>141.72</fb>
    <v>34</v>
  </rv>
  <rv s="14">
    <fb>470.38</fb>
    <v>34</v>
  </rv>
  <rv s="14">
    <fb>697.71</fb>
    <v>34</v>
  </rv>
  <rv s="14">
    <fb>173.68</fb>
    <v>34</v>
  </rv>
  <rv s="14">
    <fb>599.14</fb>
    <v>34</v>
  </rv>
  <rv s="14">
    <fb>305.18</fb>
    <v>34</v>
  </rv>
  <rv s="14">
    <fb>133.44999999999999</fb>
    <v>34</v>
  </rv>
  <rv s="14">
    <fb>13.1</fb>
    <v>34</v>
  </rv>
  <rv s="14">
    <fb>32.69</fb>
    <v>34</v>
  </rv>
  <rv s="14">
    <fb>65.59</fb>
    <v>34</v>
  </rv>
  <rv s="14">
    <fb>107</fb>
    <v>34</v>
  </rv>
  <rv s="14">
    <fb>493.53</fb>
    <v>34</v>
  </rv>
  <rv s="14">
    <fb>265.73</fb>
    <v>34</v>
  </rv>
  <rv s="14">
    <fb>44.97</fb>
    <v>34</v>
  </rv>
  <rv s="14">
    <fb>104.27</fb>
    <v>34</v>
  </rv>
  <rv s="14">
    <fb>155.03</fb>
    <v>34</v>
  </rv>
  <rv s="14">
    <fb>307.36</fb>
    <v>34</v>
  </rv>
  <rv s="14">
    <fb>113.9</fb>
    <v>34</v>
  </rv>
  <rv s="14">
    <fb>1241.4749999999999</fb>
    <v>34</v>
  </rv>
  <rv s="14">
    <fb>164.02</fb>
    <v>34</v>
  </rv>
  <rv s="14">
    <fb>130.03</fb>
    <v>34</v>
  </rv>
  <rv s="14">
    <fb>229.88</fb>
    <v>34</v>
  </rv>
  <rv s="14">
    <fb>21.719899999999999</fb>
    <v>34</v>
  </rv>
  <rv s="14">
    <fb>45817</fb>
    <v>33</v>
  </rv>
  <rv s="14">
    <fb>201.45</fb>
    <v>34</v>
  </rv>
  <rv s="14">
    <fb>142.63</fb>
    <v>34</v>
  </rv>
  <rv s="14">
    <fb>472.75</fb>
    <v>34</v>
  </rv>
  <rv s="14">
    <fb>694.06</fb>
    <v>34</v>
  </rv>
  <rv s="14">
    <fb>176.09</fb>
    <v>34</v>
  </rv>
  <rv s="14">
    <fb>599.67999999999995</fb>
    <v>34</v>
  </rv>
  <rv s="14">
    <fb>85.44</fb>
    <v>34</v>
  </rv>
  <rv s="14">
    <fb>306.62</fb>
    <v>34</v>
  </rv>
  <rv s="14">
    <fb>72.05</fb>
    <v>34</v>
  </rv>
  <rv s="14">
    <fb>46.550699999999999</fb>
    <v>34</v>
  </rv>
  <rv s="14">
    <fb>133.51</fb>
    <v>34</v>
  </rv>
  <rv s="14">
    <fb>83.57</fb>
    <v>34</v>
  </rv>
  <rv s="14">
    <fb>13.11</fb>
    <v>34</v>
  </rv>
  <rv s="14">
    <fb>33.39</fb>
    <v>34</v>
  </rv>
  <rv s="14">
    <fb>65.900000000000006</fb>
    <v>34</v>
  </rv>
  <rv s="14">
    <fb>111.1</fb>
    <v>34</v>
  </rv>
  <rv s="14">
    <fb>493.33</fb>
    <v>34</v>
  </rv>
  <rv s="14">
    <fb>44.87</fb>
    <v>34</v>
  </rv>
  <rv s="14">
    <fb>104.97</fb>
    <v>34</v>
  </rv>
  <rv s="14">
    <fb>140.76</fb>
    <v>34</v>
  </rv>
  <rv s="14">
    <fb>155.22999999999999</fb>
    <v>34</v>
  </rv>
  <rv s="14">
    <fb>304.77999999999997</fb>
    <v>34</v>
  </rv>
  <rv s="14">
    <fb>115.66</fb>
    <v>34</v>
  </rv>
  <rv s="14">
    <fb>1224.46</fb>
    <v>34</v>
  </rv>
  <rv s="14">
    <fb>162.56</fb>
    <v>34</v>
  </rv>
  <rv s="14">
    <fb>129.96</fb>
    <v>34</v>
  </rv>
  <rv s="14">
    <fb>233.5</fb>
    <v>34</v>
  </rv>
  <rv s="14">
    <fb>87.46</fb>
    <v>34</v>
  </rv>
  <rv s="14">
    <fb>28.0304</fb>
    <v>34</v>
  </rv>
  <rv s="14">
    <fb>54.42</fb>
    <v>34</v>
  </rv>
  <rv s="14">
    <fb>21.7685</fb>
    <v>34</v>
  </rv>
  <rv s="14">
    <fb>45818</fb>
    <v>33</v>
  </rv>
  <rv s="14">
    <fb>202.67</fb>
    <v>34</v>
  </rv>
  <rv s="14">
    <fb>143.96</fb>
    <v>34</v>
  </rv>
  <rv s="14">
    <fb>470.92</fb>
    <v>34</v>
  </rv>
  <rv s="14">
    <fb>702.4</fb>
    <v>34</v>
  </rv>
  <rv s="14">
    <fb>178.6</fb>
    <v>34</v>
  </rv>
  <rv s="14">
    <fb>603.08000000000004</fb>
    <v>34</v>
  </rv>
  <rv s="14">
    <fb>85.88</fb>
    <v>34</v>
  </rv>
  <rv s="14">
    <fb>306.70999999999998</fb>
    <v>34</v>
  </rv>
  <rv s="14">
    <fb>71.599999999999994</fb>
    <v>34</v>
  </rv>
  <rv s="14">
    <fb>93.84</fb>
    <v>34</v>
  </rv>
  <rv s="14">
    <fb>46.62</fb>
    <v>34</v>
  </rv>
  <rv s="14">
    <fb>135.62</fb>
    <v>34</v>
  </rv>
  <rv s="14">
    <fb>85.06</fb>
    <v>34</v>
  </rv>
  <rv s="14">
    <fb>33.229999999999997</fb>
    <v>34</v>
  </rv>
  <rv s="14">
    <fb>111.21</fb>
    <v>34</v>
  </rv>
  <rv s="14">
    <fb>491.13</fb>
    <v>34</v>
  </rv>
  <rv s="14">
    <fb>268.60000000000002</fb>
    <v>34</v>
  </rv>
  <rv s="14">
    <fb>45.09</fb>
    <v>34</v>
  </rv>
  <rv s="14">
    <fb>107.22</fb>
    <v>34</v>
  </rv>
  <rv s="14">
    <fb>143.35</fb>
    <v>34</v>
  </rv>
  <rv s="14">
    <fb>156.44999999999999</fb>
    <v>34</v>
  </rv>
  <rv s="14">
    <fb>300.43</fb>
    <v>34</v>
  </rv>
  <rv s="14">
    <fb>118.73</fb>
    <v>34</v>
  </rv>
  <rv s="14">
    <fb>1203.6199999999999</fb>
    <v>34</v>
  </rv>
  <rv s="14">
    <fb>131.83000000000001</fb>
    <v>34</v>
  </rv>
  <rv s="14">
    <fb>241.42</fb>
    <v>34</v>
  </rv>
  <rv s="14">
    <fb>88.98</fb>
    <v>34</v>
  </rv>
  <rv s="14">
    <fb>54.65</fb>
    <v>34</v>
  </rv>
  <rv s="14">
    <fb>21.845600000000001</fb>
    <v>34</v>
  </rv>
  <rv s="14">
    <fb>45819</fb>
    <v>33</v>
  </rv>
  <rv s="14">
    <fb>198.78</fb>
    <v>34</v>
  </rv>
  <rv s="14">
    <fb>142.83000000000001</fb>
    <v>34</v>
  </rv>
  <rv s="14">
    <fb>472.62</fb>
    <v>34</v>
  </rv>
  <rv s="14">
    <fb>694.14</fb>
    <v>34</v>
  </rv>
  <rv s="14">
    <fb>177.35</fb>
    <v>34</v>
  </rv>
  <rv s="14">
    <fb>601.36</fb>
    <v>34</v>
  </rv>
  <rv s="14">
    <fb>86.14</fb>
    <v>34</v>
  </rv>
  <rv s="14">
    <fb>308.37</fb>
    <v>34</v>
  </rv>
  <rv s="14">
    <fb>46.754600000000003</fb>
    <v>34</v>
  </rv>
  <rv s="14">
    <fb>138.03</fb>
    <v>34</v>
  </rv>
  <rv s="14">
    <fb>86.29</fb>
    <v>34</v>
  </rv>
  <rv s="14">
    <fb>3.19</fb>
    <v>35</v>
  </rv>
  <rv s="14">
    <fb>32.950000000000003</fb>
    <v>34</v>
  </rv>
  <rv s="14">
    <fb>66.27</fb>
    <v>34</v>
  </rv>
  <rv s="14">
    <fb>114.71</fb>
    <v>34</v>
  </rv>
  <rv s="14">
    <fb>488.14</fb>
    <v>34</v>
  </rv>
  <rv s="14">
    <fb>268.14999999999998</fb>
    <v>34</v>
  </rv>
  <rv s="14">
    <fb>44.73</fb>
    <v>34</v>
  </rv>
  <rv s="14">
    <fb>301.72000000000003</fb>
    <v>34</v>
  </rv>
  <rv s="14">
    <fb>119.52</fb>
    <v>34</v>
  </rv>
  <rv s="14">
    <fb>1219.8800000000001</fb>
    <v>34</v>
  </rv>
  <rv s="14">
    <fb>129.9</fb>
    <v>34</v>
  </rv>
  <rv s="14">
    <fb>90.49</fb>
    <v>34</v>
  </rv>
  <rv s="14">
    <fb>54.85</fb>
    <v>34</v>
  </rv>
  <rv s="14">
    <fb>21.758500000000002</fb>
    <v>34</v>
  </rv>
  <rv s="14">
    <fb>45820</fb>
    <v>33</v>
  </rv>
  <rv s="14">
    <fb>199.2</fb>
    <v>34</v>
  </rv>
  <rv s="14">
    <fb>145</fb>
    <v>34</v>
  </rv>
  <rv s="14">
    <fb>478.87</fb>
    <v>34</v>
  </rv>
  <rv s="14">
    <fb>693.36</fb>
    <v>34</v>
  </rv>
  <rv s="14">
    <fb>175.7</fb>
    <v>34</v>
  </rv>
  <rv s="14">
    <fb>603.75</fb>
    <v>34</v>
  </rv>
  <rv s="14">
    <fb>87.17</fb>
    <v>34</v>
  </rv>
  <rv s="14">
    <fb>312.2</fb>
    <v>34</v>
  </rv>
  <rv s="14">
    <fb>75.05</fb>
    <v>34</v>
  </rv>
  <rv s="14">
    <fb>94.64</fb>
    <v>34</v>
  </rv>
  <rv s="14">
    <fb>46.965000000000003</fb>
    <v>34</v>
  </rv>
  <rv s="14">
    <fb>138.11000000000001</fb>
    <v>34</v>
  </rv>
  <rv s="14">
    <fb>86.59</fb>
    <v>34</v>
  </rv>
  <rv s="14">
    <fb>13.6</fb>
    <v>34</v>
  </rv>
  <rv s="14">
    <fb>33.06</fb>
    <v>34</v>
  </rv>
  <rv s="14">
    <fb>4.49</fb>
    <v>34</v>
  </rv>
  <rv s="14">
    <fb>67.099999999999994</fb>
    <v>34</v>
  </rv>
  <rv s="14">
    <fb>117.86</fb>
    <v>34</v>
  </rv>
  <rv s="14">
    <fb>490.34</fb>
    <v>34</v>
  </rv>
  <rv s="14">
    <fb>268.24</fb>
    <v>34</v>
  </rv>
  <rv s="14">
    <fb>44.62</fb>
    <v>34</v>
  </rv>
  <rv s="14">
    <fb>156.66</fb>
    <v>34</v>
  </rv>
  <rv s="14">
    <fb>72.239999999999995</fb>
    <v>34</v>
  </rv>
  <rv s="14">
    <fb>303.16000000000003</fb>
    <v>34</v>
  </rv>
  <rv s="14">
    <fb>1215.03</fb>
    <v>34</v>
  </rv>
  <rv s="14">
    <fb>163.18</fb>
    <v>34</v>
  </rv>
  <rv s="14">
    <fb>132.30000000000001</fb>
    <v>34</v>
  </rv>
  <rv s="14">
    <fb>243.7</fb>
    <v>34</v>
  </rv>
  <rv s="14">
    <fb>59.21</fb>
    <v>34</v>
  </rv>
  <rv s="14">
    <fb>55.46</fb>
    <v>34</v>
  </rv>
  <rv s="14">
    <fb>21.83</fb>
    <v>34</v>
  </rv>
  <rv s="14">
    <fb>45821</fb>
    <v>33</v>
  </rv>
  <rv s="14">
    <fb>196.45</fb>
    <v>34</v>
  </rv>
  <rv s="14">
    <fb>141.97</fb>
    <v>34</v>
  </rv>
  <rv s="14">
    <fb>474.96</fb>
    <v>34</v>
  </rv>
  <rv s="14">
    <fb>682.87</fb>
    <v>34</v>
  </rv>
  <rv s="14">
    <fb>597</fb>
    <v>34</v>
  </rv>
  <rv s="14">
    <fb>86.33</fb>
    <v>34</v>
  </rv>
  <rv s="14">
    <fb>316.29000000000002</fb>
    <v>34</v>
  </rv>
  <rv s="14">
    <fb>80.22</fb>
    <v>34</v>
  </rv>
  <rv s="14">
    <fb>132.11000000000001</fb>
    <v>34</v>
  </rv>
  <rv s="14">
    <fb>14.32</fb>
    <v>34</v>
  </rv>
  <rv s="14">
    <fb>32.97</fb>
    <v>34</v>
  </rv>
  <rv s="14">
    <fb>67.97</fb>
    <v>34</v>
  </rv>
  <rv s="14">
    <fb>112.01</fb>
    <v>34</v>
  </rv>
  <rv s="14">
    <fb>487.54</fb>
    <v>34</v>
  </rv>
  <rv s="14">
    <fb>264.95</fb>
    <v>34</v>
  </rv>
  <rv s="14">
    <fb>44.09</fb>
    <v>34</v>
  </rv>
  <rv s="14">
    <fb>112.12</fb>
    <v>34</v>
  </rv>
  <rv s="14">
    <fb>145.91</fb>
    <v>34</v>
  </rv>
  <rv s="14">
    <fb>157.1</fb>
    <v>34</v>
  </rv>
  <rv s="14">
    <fb>71.02</fb>
    <v>34</v>
  </rv>
  <rv s="14">
    <fb>301.91000000000003</fb>
    <v>34</v>
  </rv>
  <rv s="14">
    <fb>117.94</fb>
    <v>34</v>
  </rv>
  <rv s="14">
    <fb>1212.1500000000001</fb>
    <v>34</v>
  </rv>
  <rv s="14">
    <fb>160.28</fb>
    <v>34</v>
  </rv>
  <rv s="14">
    <fb>130.85</fb>
    <v>34</v>
  </rv>
  <rv s="14">
    <fb>247.39</fb>
    <v>34</v>
  </rv>
  <rv s="14">
    <fb>93.36</fb>
    <v>34</v>
  </rv>
  <rv s="14">
    <fb>21.631499999999999</fb>
    <v>34</v>
  </rv>
  <rv s="14">
    <fb>45824</fb>
    <v>33</v>
  </rv>
  <rv s="14">
    <fb>198.42</fb>
    <v>34</v>
  </rv>
  <rv s="14">
    <fb>144.69</fb>
    <v>34</v>
  </rv>
  <rv s="14">
    <fb>479.14</fb>
    <v>34</v>
  </rv>
  <rv s="14">
    <fb>702.12</fb>
    <v>34</v>
  </rv>
  <rv s="14">
    <fb>176.77</fb>
    <v>34</v>
  </rv>
  <rv s="14">
    <fb>602.67999999999995</fb>
    <v>34</v>
  </rv>
  <rv s="14">
    <fb>311.77999999999997</fb>
    <v>34</v>
  </rv>
  <rv s="14">
    <fb>78.59</fb>
    <v>34</v>
  </rv>
  <rv s="14">
    <fb>94.02</fb>
    <v>34</v>
  </rv>
  <rv s="14">
    <fb>46.694899999999997</fb>
    <v>34</v>
  </rv>
  <rv s="14">
    <fb>134.1</fb>
    <v>34</v>
  </rv>
  <rv s="14">
    <fb>33.03</fb>
    <v>34</v>
  </rv>
  <rv s="14">
    <fb>67.02</fb>
    <v>34</v>
  </rv>
  <rv s="14">
    <fb>113.75</fb>
    <v>34</v>
  </rv>
  <rv s="14">
    <fb>490.23</fb>
    <v>34</v>
  </rv>
  <rv s="14">
    <fb>270.36</fb>
    <v>34</v>
  </rv>
  <rv s="14">
    <fb>44.41</fb>
    <v>34</v>
  </rv>
  <rv s="14">
    <fb>112.48</fb>
    <v>34</v>
  </rv>
  <rv s="14">
    <fb>155.22</fb>
    <v>34</v>
  </rv>
  <rv s="14">
    <fb>296.29000000000002</fb>
    <v>34</v>
  </rv>
  <rv s="14">
    <fb>119.48</fb>
    <v>34</v>
  </rv>
  <rv s="14">
    <fb>1225.3499999999999</fb>
    <v>34</v>
  </rv>
  <rv s="14">
    <fb>131.41</fb>
    <v>34</v>
  </rv>
  <rv s="14">
    <fb>245.73</fb>
    <v>34</v>
  </rv>
  <rv s="14">
    <fb>92.51</fb>
    <v>34</v>
  </rv>
  <rv s="14">
    <fb>29.84</fb>
    <v>34</v>
  </rv>
  <rv s="14">
    <fb>22.65</fb>
    <v>34</v>
  </rv>
  <rv s="14">
    <fb>58.99</fb>
    <v>34</v>
  </rv>
  <rv s="14">
    <fb>54.49</fb>
    <v>34</v>
  </rv>
  <rv s="14">
    <fb>21.696000000000002</fb>
    <v>34</v>
  </rv>
  <rv s="14">
    <fb>45825</fb>
    <v>33</v>
  </rv>
  <rv s="14">
    <fb>195.64</fb>
    <v>34</v>
  </rv>
  <rv s="14">
    <fb>144.12</fb>
    <v>34</v>
  </rv>
  <rv s="14">
    <fb>478.04</fb>
    <v>34</v>
  </rv>
  <rv s="14">
    <fb>697.23</fb>
    <v>34</v>
  </rv>
  <rv s="14">
    <fb>311.94</fb>
    <v>34</v>
  </rv>
  <rv s="14">
    <fb>82.3</fb>
    <v>34</v>
  </rv>
  <rv s="14">
    <fb>132.36000000000001</fb>
    <v>34</v>
  </rv>
  <rv s="14">
    <fb>88.66</fb>
    <v>34</v>
  </rv>
  <rv s="14">
    <fb>4.38</fb>
    <v>35</v>
  </rv>
  <rv s="14">
    <fb>33.74</fb>
    <v>34</v>
  </rv>
  <rv s="14">
    <fb>67.05</fb>
    <v>34</v>
  </rv>
  <rv s="14">
    <fb>115.4</fb>
    <v>34</v>
  </rv>
  <rv s="14">
    <fb>50.905000000000001</fb>
    <v>34</v>
  </rv>
  <rv s="14">
    <fb>26.09</fb>
    <v>34</v>
  </rv>
  <rv s="14">
    <fb>483.48</fb>
    <v>34</v>
  </rv>
  <rv s="14">
    <fb>269.52</fb>
    <v>34</v>
  </rv>
  <rv s="14">
    <fb>44.23</fb>
    <v>34</v>
  </rv>
  <rv s="14">
    <fb>148.85</fb>
    <v>34</v>
  </rv>
  <rv s="14">
    <fb>152.38</fb>
    <v>34</v>
  </rv>
  <rv s="14">
    <fb>292.31</fb>
    <v>34</v>
  </rv>
  <rv s="14">
    <fb>118.13</fb>
    <v>34</v>
  </rv>
  <rv s="14">
    <fb>1220.67</fb>
    <v>34</v>
  </rv>
  <rv s="14">
    <fb>158.52000000000001</fb>
    <v>34</v>
  </rv>
  <rv s="14">
    <fb>129.29</fb>
    <v>34</v>
  </rv>
  <rv s="14">
    <fb>247.54</fb>
    <v>34</v>
  </rv>
  <rv s="14">
    <fb>30.2</fb>
    <v>34</v>
  </rv>
  <rv s="14">
    <fb>22.73</fb>
    <v>34</v>
  </rv>
  <rv s="14">
    <fb>21.686399999999999</fb>
    <v>34</v>
  </rv>
  <rv s="14">
    <fb>45826</fb>
    <v>33</v>
  </rv>
  <rv s="14">
    <fb>196.58</fb>
    <v>34</v>
  </rv>
  <rv s="14">
    <fb>145.47999999999999</fb>
    <v>34</v>
  </rv>
  <rv s="14">
    <fb>480.24</fb>
    <v>34</v>
  </rv>
  <rv s="14">
    <fb>695.77</fb>
    <v>34</v>
  </rv>
  <rv s="14">
    <fb>173.32</fb>
    <v>34</v>
  </rv>
  <rv s="14">
    <fb>597.44000000000005</fb>
    <v>34</v>
  </rv>
  <rv s="14">
    <fb>86.65</fb>
    <v>34</v>
  </rv>
  <rv s="14">
    <fb>310.26</fb>
    <v>34</v>
  </rv>
  <rv s="14">
    <fb>82.27</fb>
    <v>34</v>
  </rv>
  <rv s="14">
    <fb>46.907499999999999</fb>
    <v>34</v>
  </rv>
  <rv s="14">
    <fb>133.09</fb>
    <v>34</v>
  </rv>
  <rv s="14">
    <fb>14.71</fb>
    <v>34</v>
  </rv>
  <rv s="14">
    <fb>5.51</fb>
    <v>35</v>
  </rv>
  <rv s="14">
    <fb>33.270000000000003</fb>
    <v>34</v>
  </rv>
  <rv s="14">
    <fb>66.69</fb>
    <v>34</v>
  </rv>
  <rv s="14">
    <fb>120.54</fb>
    <v>34</v>
  </rv>
  <rv s="14">
    <fb>485.14</fb>
    <v>34</v>
  </rv>
  <rv s="14">
    <fb>273.95999999999998</fb>
    <v>34</v>
  </rv>
  <rv s="14">
    <fb>148.19</fb>
    <v>34</v>
  </rv>
  <rv s="14">
    <fb>150.72999999999999</fb>
    <v>34</v>
  </rv>
  <rv s="14">
    <fb>69.209999999999994</fb>
    <v>34</v>
  </rv>
  <rv s="14">
    <fb>289.63</fb>
    <v>34</v>
  </rv>
  <rv s="14">
    <fb>1222.29</fb>
    <v>34</v>
  </rv>
  <rv s="14">
    <fb>129.07</fb>
    <v>34</v>
  </rv>
  <rv s="14">
    <fb>244.69</fb>
    <v>34</v>
  </rv>
  <rv s="14">
    <fb>55.15</fb>
    <v>34</v>
  </rv>
  <rv s="14">
    <fb>21.759399999999999</fb>
    <v>34</v>
  </rv>
  <rv s="14">
    <fb>45828</fb>
    <v>33</v>
  </rv>
  <rv s="14">
    <fb>201</fb>
    <v>34</v>
  </rv>
  <rv s="14">
    <fb>477.4</fb>
    <v>34</v>
  </rv>
  <rv s="14">
    <fb>682.35</fb>
    <v>34</v>
  </rv>
  <rv s="14">
    <fb>166.64</fb>
    <v>34</v>
  </rv>
  <rv s="14">
    <fb>594.28</fb>
    <v>34</v>
  </rv>
  <rv s="14">
    <fb>86.49</fb>
    <v>34</v>
  </rv>
  <rv s="14">
    <fb>310.13</fb>
    <v>34</v>
  </rv>
  <rv s="14">
    <fb>83.12</fb>
    <v>34</v>
  </rv>
  <rv s="14">
    <fb>94.6</fb>
    <v>34</v>
  </rv>
  <rv s="14">
    <fb>46.898299999999999</fb>
    <v>34</v>
  </rv>
  <rv s="14">
    <fb>134.52000000000001</fb>
    <v>34</v>
  </rv>
  <rv s="14">
    <fb>7.2</fb>
    <v>35</v>
  </rv>
  <rv s="14">
    <fb>32.72</fb>
    <v>34</v>
  </rv>
  <rv s="14">
    <fb>115.37</fb>
    <v>34</v>
  </rv>
  <rv s="14">
    <fb>26.07</fb>
    <v>34</v>
  </rv>
  <rv s="14">
    <fb>484.85</fb>
    <v>34</v>
  </rv>
  <rv s="14">
    <fb>275</fb>
    <v>34</v>
  </rv>
  <rv s="14">
    <fb>45.5</fb>
    <v>34</v>
  </rv>
  <rv s="14">
    <fb>114.7</fb>
    <v>34</v>
  </rv>
  <rv s="14">
    <fb>149.55000000000001</fb>
    <v>34</v>
  </rv>
  <rv s="14">
    <fb>149.79</fb>
    <v>34</v>
  </rv>
  <rv s="14">
    <fb>68.84</fb>
    <v>34</v>
  </rv>
  <rv s="14">
    <fb>287.45999999999998</fb>
    <v>34</v>
  </rv>
  <rv s="14">
    <fb>117.63</fb>
    <v>34</v>
  </rv>
  <rv s="14">
    <fb>1231.4100000000001</fb>
    <v>34</v>
  </rv>
  <rv s="14">
    <fb>159.08000000000001</fb>
    <v>34</v>
  </rv>
  <rv s="14">
    <fb>242.87</fb>
    <v>34</v>
  </rv>
  <rv s="14">
    <fb>30.18</fb>
    <v>34</v>
  </rv>
  <rv s="14">
    <fb>22.754999999999999</fb>
    <v>34</v>
  </rv>
  <rv s="14">
    <fb>55.08</fb>
    <v>34</v>
  </rv>
  <rv s="14">
    <fb>21.768799999999999</fb>
    <v>34</v>
  </rv>
  <rv s="14">
    <fb>45831</fb>
    <v>33</v>
  </rv>
  <rv s="14">
    <fb>201.5</fb>
    <v>34</v>
  </rv>
  <rv s="14">
    <fb>144.16999999999999</fb>
    <v>34</v>
  </rv>
  <rv s="14">
    <fb>486</fb>
    <v>34</v>
  </rv>
  <rv s="14">
    <fb>698.53</fb>
    <v>34</v>
  </rv>
  <rv s="14">
    <fb>165.19</fb>
    <v>34</v>
  </rv>
  <rv s="14">
    <fb>600.15</fb>
    <v>34</v>
  </rv>
  <rv s="14">
    <fb>86.77</fb>
    <v>34</v>
  </rv>
  <rv s="14">
    <fb>311.08</fb>
    <v>34</v>
  </rv>
  <rv s="14">
    <fb>76.41</fb>
    <v>34</v>
  </rv>
  <rv s="14">
    <fb>47.03</fb>
    <v>34</v>
  </rv>
  <rv s="14">
    <fb>134.03</fb>
    <v>34</v>
  </rv>
  <rv s="14">
    <fb>13.92</fb>
    <v>34</v>
  </rv>
  <rv s="14">
    <fb>7.8</fb>
    <v>35</v>
  </rv>
  <rv s="14">
    <fb>32.96</fb>
    <v>34</v>
  </rv>
  <rv s="14">
    <fb>66.86</fb>
    <v>34</v>
  </rv>
  <rv s="14">
    <fb>487.77</fb>
    <v>34</v>
  </rv>
  <rv s="14">
    <fb>111.74</fb>
    <v>34</v>
  </rv>
  <rv s="14">
    <fb>146.86000000000001</fb>
    <v>34</v>
  </rv>
  <rv s="14">
    <fb>151.32</fb>
    <v>34</v>
  </rv>
  <rv s="14">
    <fb>69.739999999999995</fb>
    <v>34</v>
  </rv>
  <rv s="14">
    <fb>289.52</fb>
    <v>34</v>
  </rv>
  <rv s="14">
    <fb>117.75</fb>
    <v>34</v>
  </rv>
  <rv s="14">
    <fb>1253.54</fb>
    <v>34</v>
  </rv>
  <rv s="14">
    <fb>161.03</fb>
    <v>34</v>
  </rv>
  <rv s="14">
    <fb>129.09</fb>
    <v>34</v>
  </rv>
  <rv s="14">
    <fb>231.97</fb>
    <v>34</v>
  </rv>
  <rv s="14">
    <fb>59.41</fb>
    <v>34</v>
  </rv>
  <rv s="14">
    <fb>55.29</fb>
    <v>34</v>
  </rv>
  <rv s="14">
    <fb>22.0398</fb>
    <v>34</v>
  </rv>
  <rv s="14">
    <fb>45832</fb>
    <v>33</v>
  </rv>
  <rv s="14">
    <fb>200.3</fb>
    <v>34</v>
  </rv>
  <rv s="14">
    <fb>490.11</fb>
    <v>34</v>
  </rv>
  <rv s="14">
    <fb>712.2</fb>
    <v>34</v>
  </rv>
  <rv s="14">
    <fb>166.77</fb>
    <v>34</v>
  </rv>
  <rv s="14">
    <fb>606.78</fb>
    <v>34</v>
  </rv>
  <rv s="14">
    <fb>87.4</fb>
    <v>34</v>
  </rv>
  <rv s="14">
    <fb>306.19</fb>
    <v>34</v>
  </rv>
  <rv s="14">
    <fb>95.26</fb>
    <v>34</v>
  </rv>
  <rv s="14">
    <fb>47.212299999999999</fb>
    <v>34</v>
  </rv>
  <rv s="14">
    <fb>84.91</fb>
    <v>34</v>
  </rv>
  <rv s="14">
    <fb>13.25</fb>
    <v>34</v>
  </rv>
  <rv s="14">
    <fb>8.82</fb>
    <v>35</v>
  </rv>
  <rv s="14">
    <fb>32.61</fb>
    <v>34</v>
  </rv>
  <rv s="14">
    <fb>65.819999999999993</fb>
    <v>34</v>
  </rv>
  <rv s="14">
    <fb>119.87</fb>
    <v>34</v>
  </rv>
  <rv s="14">
    <fb>493.48</fb>
    <v>34</v>
  </rv>
  <rv s="14">
    <fb>281.26</fb>
    <v>34</v>
  </rv>
  <rv s="14">
    <fb>108.34</fb>
    <v>34</v>
  </rv>
  <rv s="14">
    <fb>143.55000000000001</fb>
    <v>34</v>
  </rv>
  <rv s="14">
    <fb>152.19</fb>
    <v>34</v>
  </rv>
  <rv s="14">
    <fb>70.209999999999994</fb>
    <v>34</v>
  </rv>
  <rv s="14">
    <fb>291.47000000000003</fb>
    <v>34</v>
  </rv>
  <rv s="14">
    <fb>1279.1099999999999</fb>
    <v>34</v>
  </rv>
  <rv s="14">
    <fb>131.05000000000001</fb>
    <v>34</v>
  </rv>
  <rv s="14">
    <fb>230.81</fb>
    <v>34</v>
  </rv>
  <rv s="14">
    <fb>89.72</fb>
    <v>34</v>
  </rv>
  <rv s="14">
    <fb>59.56</fb>
    <v>34</v>
  </rv>
  <rv s="14">
    <fb>55.65</fb>
    <v>34</v>
  </rv>
  <rv s="14">
    <fb>21.96</fb>
    <v>34</v>
  </rv>
  <rv s="14">
    <fb>45833</fb>
    <v>33</v>
  </rv>
  <rv s="14">
    <fb>201.56</fb>
    <v>34</v>
  </rv>
  <rv s="14">
    <fb>154.31</fb>
    <v>34</v>
  </rv>
  <rv s="14">
    <fb>492.27</fb>
    <v>34</v>
  </rv>
  <rv s="14">
    <fb>708.68</fb>
    <v>34</v>
  </rv>
  <rv s="14">
    <fb>170.68</fb>
    <v>34</v>
  </rv>
  <rv s="14">
    <fb>607.12</fb>
    <v>34</v>
  </rv>
  <rv s="14">
    <fb>307.12</fb>
    <v>34</v>
  </rv>
  <rv s="14">
    <fb>95.3</fb>
    <v>34</v>
  </rv>
  <rv s="14">
    <fb>46.985900000000001</fb>
    <v>34</v>
  </rv>
  <rv s="14">
    <fb>137.72999999999999</fb>
    <v>34</v>
  </rv>
  <rv s="14">
    <fb>84.54</fb>
    <v>34</v>
  </rv>
  <rv s="14">
    <fb>13.2</fb>
    <v>34</v>
  </rv>
  <rv s="14">
    <fb>12</fb>
    <v>35</v>
  </rv>
  <rv s="14">
    <fb>33.01</fb>
    <v>34</v>
  </rv>
  <rv s="14">
    <fb>66.03</fb>
    <v>34</v>
  </rv>
  <rv s="14">
    <fb>124.05</fb>
    <v>34</v>
  </rv>
  <rv s="14">
    <fb>486.21</fb>
    <v>34</v>
  </rv>
  <rv s="14">
    <fb>46.85</fb>
    <v>34</v>
  </rv>
  <rv s="14">
    <fb>108.37</fb>
    <v>34</v>
  </rv>
  <rv s="14">
    <fb>143.22999999999999</fb>
    <v>34</v>
  </rv>
  <rv s="14">
    <fb>152.28</fb>
    <v>34</v>
  </rv>
  <rv s="14">
    <fb>69.63</fb>
    <v>34</v>
  </rv>
  <rv s="14">
    <fb>285.55</fb>
    <v>34</v>
  </rv>
  <rv s="14">
    <fb>119.42</fb>
    <v>34</v>
  </rv>
  <rv s="14">
    <fb>1275.25</fb>
    <v>34</v>
  </rv>
  <rv s="14">
    <fb>158.97</fb>
    <v>34</v>
  </rv>
  <rv s="14">
    <fb>128.02000000000001</fb>
    <v>34</v>
  </rv>
  <rv s="14">
    <fb>88.72</fb>
    <v>34</v>
  </rv>
  <rv s="14">
    <fb>28.12</fb>
    <v>34</v>
  </rv>
  <rv s="14">
    <fb>22.89</fb>
    <v>34</v>
  </rv>
  <rv s="14">
    <fb>59.6</fb>
    <v>34</v>
  </rv>
  <rv s="14">
    <fb>55.68</fb>
    <v>34</v>
  </rv>
  <rv s="14">
    <fb>21.395800000000001</fb>
    <v>34</v>
  </rv>
  <rv s="14">
    <fb>45834</fb>
    <v>33</v>
  </rv>
  <rv s="14">
    <fb>155.02000000000001</fb>
    <v>34</v>
  </rv>
  <rv s="14">
    <fb>497.45</fb>
    <v>34</v>
  </rv>
  <rv s="14">
    <fb>726.09</fb>
    <v>34</v>
  </rv>
  <rv s="14">
    <fb>173.54</fb>
    <v>34</v>
  </rv>
  <rv s="14">
    <fb>611.87</fb>
    <v>34</v>
  </rv>
  <rv s="14">
    <fb>87.95</fb>
    <v>34</v>
  </rv>
  <rv s="14">
    <fb>73.59</fb>
    <v>34</v>
  </rv>
  <rv s="14">
    <fb>95.64</fb>
    <v>34</v>
  </rv>
  <rv s="14">
    <fb>47.113</fb>
    <v>34</v>
  </rv>
  <rv s="14">
    <fb>139.35</fb>
    <v>34</v>
  </rv>
  <rv s="14">
    <fb>85.75</fb>
    <v>34</v>
  </rv>
  <rv s="14">
    <fb>13.28</fb>
    <v>34</v>
  </rv>
  <rv s="14">
    <fb>6.75</fb>
    <v>35</v>
  </rv>
  <rv s="14">
    <fb>33.340000000000003</fb>
    <v>34</v>
  </rv>
  <rv s="14">
    <fb>65.959999999999994</fb>
    <v>34</v>
  </rv>
  <rv s="14">
    <fb>128.86000000000001</fb>
    <v>34</v>
  </rv>
  <rv s="14">
    <fb>485.05</fb>
    <v>34</v>
  </rv>
  <rv s="14">
    <fb>288.75</fb>
    <v>34</v>
  </rv>
  <rv s="14">
    <fb>47.46</fb>
    <v>34</v>
  </rv>
  <rv s="14">
    <fb>109.99</fb>
    <v>34</v>
  </rv>
  <rv s="14">
    <fb>144.44</fb>
    <v>34</v>
  </rv>
  <rv s="14">
    <fb>152.01</fb>
    <v>34</v>
  </rv>
  <rv s="14">
    <fb>69.47</fb>
    <v>34</v>
  </rv>
  <rv s="14">
    <fb>285.63</fb>
    <v>34</v>
  </rv>
  <rv s="14">
    <fb>121.46</fb>
    <v>34</v>
  </rv>
  <rv s="14">
    <fb>1306.67</fb>
    <v>34</v>
  </rv>
  <rv s="14">
    <fb>158.63</fb>
    <v>34</v>
  </rv>
  <rv s="14">
    <fb>128.22</fb>
    <v>34</v>
  </rv>
  <rv s="14">
    <fb>231.62</fb>
    <v>34</v>
  </rv>
  <rv s="14">
    <fb>59.75</fb>
    <v>34</v>
  </rv>
  <rv s="14">
    <fb>21.286799999999999</fb>
    <v>34</v>
  </rv>
  <rv s="14">
    <fb>45835</fb>
    <v>33</v>
  </rv>
  <rv s="14">
    <fb>201.08</fb>
    <v>34</v>
  </rv>
  <rv s="14">
    <fb>733.63</fb>
    <v>34</v>
  </rv>
  <rv s="14">
    <fb>178.53</fb>
    <v>34</v>
  </rv>
  <rv s="14">
    <fb>614.91</fb>
    <v>34</v>
  </rv>
  <rv s="14">
    <fb>301.22000000000003</fb>
    <v>34</v>
  </rv>
  <rv s="14">
    <fb>73.28</fb>
    <v>34</v>
  </rv>
  <rv s="14">
    <fb>47.009099999999997</fb>
    <v>34</v>
  </rv>
  <rv s="14">
    <fb>142.91999999999999</fb>
    <v>34</v>
  </rv>
  <rv s="14">
    <fb>85.3</fb>
    <v>34</v>
  </rv>
  <rv s="14">
    <fb>6.24</fb>
    <v>35</v>
  </rv>
  <rv s="14">
    <fb>32.619999999999997</fb>
    <v>34</v>
  </rv>
  <rv s="14">
    <fb>64.77</fb>
    <v>34</v>
  </rv>
  <rv s="14">
    <fb>122.01</fb>
    <v>34</v>
  </rv>
  <rv s="14">
    <fb>29.27</fb>
    <v>34</v>
  </rv>
  <rv s="14">
    <fb>485.68</fb>
    <v>34</v>
  </rv>
  <rv s="14">
    <fb>287.11</fb>
    <v>34</v>
  </rv>
  <rv s="14">
    <fb>47.12</fb>
    <v>34</v>
  </rv>
  <rv s="14">
    <fb>109.38</fb>
    <v>34</v>
  </rv>
  <rv s="14">
    <fb>143.79</fb>
    <v>34</v>
  </rv>
  <rv s="14">
    <fb>152.41</fb>
    <v>34</v>
  </rv>
  <rv s="14">
    <fb>70.33</fb>
    <v>34</v>
  </rv>
  <rv s="14">
    <fb>291.55</fb>
    <v>34</v>
  </rv>
  <rv s="14">
    <fb>122.34</fb>
    <v>34</v>
  </rv>
  <rv s="14">
    <fb>1323.12</fb>
    <v>34</v>
  </rv>
  <rv s="14">
    <fb>131.04</fb>
    <v>34</v>
  </rv>
  <rv s="14">
    <fb>231.17</fb>
    <v>34</v>
  </rv>
  <rv s="14">
    <fb>89.31</fb>
    <v>34</v>
  </rv>
  <rv s="14">
    <fb>28.35</fb>
    <v>34</v>
  </rv>
  <rv s="14">
    <fb>59.65</fb>
    <v>34</v>
  </rv>
  <rv s="14">
    <fb>55.61</fb>
    <v>34</v>
  </rv>
  <rv s="14">
    <fb>21.374400000000001</fb>
    <v>34</v>
  </rv>
  <rv s="14">
    <fb>45838</fb>
    <v>33</v>
  </rv>
  <rv s="14">
    <fb>205.17</fb>
    <v>34</v>
  </rv>
  <rv s="14">
    <fb>157.99</fb>
    <v>34</v>
  </rv>
  <rv s="14">
    <fb>497.41</fb>
    <v>34</v>
  </rv>
  <rv s="14">
    <fb>738.09</fb>
    <v>34</v>
  </rv>
  <rv s="14">
    <fb>176.23</fb>
    <v>34</v>
  </rv>
  <rv s="14">
    <fb>617.85</fb>
    <v>34</v>
  </rv>
  <rv s="14">
    <fb>73.11</fb>
    <v>34</v>
  </rv>
  <rv s="14">
    <fb>95.77</fb>
    <v>34</v>
  </rv>
  <rv s="14">
    <fb>47.331699999999998</fb>
    <v>34</v>
  </rv>
  <rv s="14">
    <fb>141.87</fb>
    <v>34</v>
  </rv>
  <rv s="14">
    <fb>13.22</fb>
    <v>34</v>
  </rv>
  <rv s="14">
    <fb>6.35</fb>
    <v>35</v>
  </rv>
  <rv s="14">
    <fb>32.81</fb>
    <v>34</v>
  </rv>
  <rv s="14">
    <fb>65.52</fb>
    <v>34</v>
  </rv>
  <rv s="14">
    <fb>122.87</fb>
    <v>34</v>
  </rv>
  <rv s="14">
    <fb>485.77</fb>
    <v>34</v>
  </rv>
  <rv s="14">
    <fb>289.91000000000003</fb>
    <v>34</v>
  </rv>
  <rv s="14">
    <fb>47.32</fb>
    <v>34</v>
  </rv>
  <rv s="14">
    <fb>107.8</fb>
    <v>34</v>
  </rv>
  <rv s="14">
    <fb>70.75</fb>
    <v>34</v>
  </rv>
  <rv s="14">
    <fb>292.17</fb>
    <v>34</v>
  </rv>
  <rv s="14">
    <fb>124.01</fb>
    <v>34</v>
  </rv>
  <rv s="14">
    <fb>1339.13</fb>
    <v>34</v>
  </rv>
  <rv s="14">
    <fb>159.32</fb>
    <v>34</v>
  </rv>
  <rv s="14">
    <fb>132.04</fb>
    <v>34</v>
  </rv>
  <rv s="14">
    <fb>230.29</fb>
    <v>34</v>
  </rv>
  <rv s="14">
    <fb>27.99</fb>
    <v>34</v>
  </rv>
  <rv s="14">
    <fb>56.12</fb>
    <v>34</v>
  </rv>
  <rv s="14">
    <fb>21.39</fb>
    <v>34</v>
  </rv>
  <rv s="14">
    <fb>45839</fb>
    <v>33</v>
  </rv>
  <rv s="14">
    <fb>207.82</fb>
    <v>34</v>
  </rv>
  <rv s="14">
    <fb>153.30000000000001</fb>
    <v>34</v>
  </rv>
  <rv s="14">
    <fb>492.05</fb>
    <v>34</v>
  </rv>
  <rv s="14">
    <fb>719.22</fb>
    <v>34</v>
  </rv>
  <rv s="14">
    <fb>175.84</fb>
    <v>34</v>
  </rv>
  <rv s="14">
    <fb>617.65</fb>
    <v>34</v>
  </rv>
  <rv s="14">
    <fb>88.14</fb>
    <v>34</v>
  </rv>
  <rv s="14">
    <fb>307.55</fb>
    <v>34</v>
  </rv>
  <rv s="14">
    <fb>73.930000000000007</fb>
    <v>34</v>
  </rv>
  <rv s="14">
    <fb>95.29</fb>
    <v>34</v>
  </rv>
  <rv s="14">
    <fb>47.167900000000003</fb>
    <v>34</v>
  </rv>
  <rv s="14">
    <fb>141.63</fb>
    <v>34</v>
  </rv>
  <rv s="14">
    <fb>5.3</fb>
    <v>35</v>
  </rv>
  <rv s="14">
    <fb>32.729999999999997</fb>
    <v>34</v>
  </rv>
  <rv s="14">
    <fb>25.65</fb>
    <v>34</v>
  </rv>
  <rv s="14">
    <fb>66.09</fb>
    <v>34</v>
  </rv>
  <rv s="14">
    <fb>123.52</fb>
    <v>34</v>
  </rv>
  <rv s="14">
    <fb>489.61</fb>
    <v>34</v>
  </rv>
  <rv s="14">
    <fb>290.41000000000003</fb>
    <v>34</v>
  </rv>
  <rv s="14">
    <fb>48.15</fb>
    <v>34</v>
  </rv>
  <rv s="14">
    <fb>109.24</fb>
    <v>34</v>
  </rv>
  <rv s="14">
    <fb>145.57</fb>
    <v>34</v>
  </rv>
  <rv s="14">
    <fb>155.91999999999999</fb>
    <v>34</v>
  </rv>
  <rv s="14">
    <fb>71.67</fb>
    <v>34</v>
  </rv>
  <rv s="14">
    <fb>297.49</fb>
    <v>34</v>
  </rv>
  <rv s="14">
    <fb>123.49</fb>
    <v>34</v>
  </rv>
  <rv s="14">
    <fb>1293.5999999999999</fb>
    <v>34</v>
  </rv>
  <rv s="14">
    <fb>161.22</fb>
    <v>34</v>
  </rv>
  <rv s="14">
    <fb>135.26</fb>
    <v>34</v>
  </rv>
  <rv s="14">
    <fb>236.94</fb>
    <v>34</v>
  </rv>
  <rv s="14">
    <fb>89.58</fb>
    <v>34</v>
  </rv>
  <rv s="14">
    <fb>22.885000000000002</fb>
    <v>34</v>
  </rv>
  <rv s="14">
    <fb>59.49</fb>
    <v>34</v>
  </rv>
  <rv s="14">
    <fb>21.6891</fb>
    <v>34</v>
  </rv>
  <rv s="14">
    <fb>45840</fb>
    <v>33</v>
  </rv>
  <rv s="14">
    <fb>212.44</fb>
    <v>34</v>
  </rv>
  <rv s="14">
    <fb>491.09</fb>
    <v>34</v>
  </rv>
  <rv s="14">
    <fb>713.57</fb>
    <v>34</v>
  </rv>
  <rv s="14">
    <fb>178.64</fb>
    <v>34</v>
  </rv>
  <rv s="14">
    <fb>620.45000000000005</fb>
    <v>34</v>
  </rv>
  <rv s="14">
    <fb>87.58</fb>
    <v>34</v>
  </rv>
  <rv s="14">
    <fb>309.25</fb>
    <v>34</v>
  </rv>
  <rv s="14">
    <fb>75.59</fb>
    <v>34</v>
  </rv>
  <rv s="14">
    <fb>47.165199999999999</fb>
    <v>34</v>
  </rv>
  <rv s="14">
    <fb>142.78</fb>
    <v>34</v>
  </rv>
  <rv s="14">
    <fb>86.93</fb>
    <v>34</v>
  </rv>
  <rv s="14">
    <fb>13.57</fb>
    <v>34</v>
  </rv>
  <rv s="14">
    <fb>5.07</fb>
    <v>35</v>
  </rv>
  <rv s="14">
    <fb>33.24</fb>
    <v>34</v>
  </rv>
  <rv s="14">
    <fb>66.47</fb>
    <v>34</v>
  </rv>
  <rv s="14">
    <fb>130.16</fb>
    <v>34</v>
  </rv>
  <rv s="14">
    <fb>480.48</fb>
    <v>34</v>
  </rv>
  <rv s="14">
    <fb>292</fb>
    <v>34</v>
  </rv>
  <rv s="14">
    <fb>48.71</fb>
    <v>34</v>
  </rv>
  <rv s="14">
    <fb>147.97999999999999</fb>
    <v>34</v>
  </rv>
  <rv s="14">
    <fb>155.56</fb>
    <v>34</v>
  </rv>
  <rv s="14">
    <fb>294.63</fb>
    <v>34</v>
  </rv>
  <rv s="14">
    <fb>122.98</fb>
    <v>34</v>
  </rv>
  <rv s="14">
    <fb>1284.8599999999999</fb>
    <v>34</v>
  </rv>
  <rv s="14">
    <fb>161.19999999999999</fb>
    <v>34</v>
  </rv>
  <rv s="14">
    <fb>242.97</fb>
    <v>34</v>
  </rv>
  <rv s="14">
    <fb>91.23</fb>
    <v>34</v>
  </rv>
  <rv s="14">
    <fb>55.66</fb>
    <v>34</v>
  </rv>
  <rv s="14">
    <fb>21.765999999999998</fb>
    <v>34</v>
  </rv>
  <rv s="14">
    <fb>45841</fb>
    <v>33</v>
  </rv>
  <rv s="14">
    <fb>213.55</fb>
    <v>34</v>
  </rv>
  <rv s="14">
    <fb>159.34</fb>
    <v>34</v>
  </rv>
  <rv s="14">
    <fb>498.84</fb>
    <v>34</v>
  </rv>
  <rv s="14">
    <fb>719.01</fb>
    <v>34</v>
  </rv>
  <rv s="14">
    <fb>179.53</fb>
    <v>34</v>
  </rv>
  <rv s="14">
    <fb>625.34</fb>
    <v>34</v>
  </rv>
  <rv s="14">
    <fb>307.14</fb>
    <v>34</v>
  </rv>
  <rv s="14">
    <fb>75.19</fb>
    <v>34</v>
  </rv>
  <rv s="14">
    <fb>94.76</fb>
    <v>34</v>
  </rv>
  <rv s="14">
    <fb>47.024999999999999</fb>
    <v>34</v>
  </rv>
  <rv s="14">
    <fb>87.03</fb>
    <v>34</v>
  </rv>
  <rv s="14">
    <fb>13.51</fb>
    <v>34</v>
  </rv>
  <rv s="14">
    <fb>4.9000000000000004</fb>
    <v>35</v>
  </rv>
  <rv s="14">
    <fb>33.51</fb>
    <v>34</v>
  </rv>
  <rv s="14">
    <fb>66.040000000000006</fb>
    <v>34</v>
  </rv>
  <rv s="14">
    <fb>125.14</fb>
    <v>34</v>
  </rv>
  <rv s="14">
    <fb>485</fb>
    <v>34</v>
  </rv>
  <rv s="14">
    <fb>296</fb>
    <v>34</v>
  </rv>
  <rv s="14">
    <fb>48.93</fb>
    <v>34</v>
  </rv>
  <rv s="14">
    <fb>148.37</fb>
    <v>34</v>
  </rv>
  <rv s="14">
    <fb>294.08</fb>
    <v>34</v>
  </rv>
  <rv s="14">
    <fb>124</fb>
    <v>34</v>
  </rv>
  <rv s="14">
    <fb>1297.18</fb>
    <v>34</v>
  </rv>
  <rv s="14">
    <fb>160.83000000000001</fb>
    <v>34</v>
  </rv>
  <rv s="14">
    <fb>135.38</fb>
    <v>34</v>
  </rv>
  <rv s="14">
    <fb>241.58</fb>
    <v>34</v>
  </rv>
  <rv s="14">
    <fb>91.14</fb>
    <v>34</v>
  </rv>
  <rv s="14">
    <fb>28.880700000000001</fb>
    <v>34</v>
  </rv>
  <rv s="14">
    <fb>22.78</fb>
    <v>34</v>
  </rv>
  <rv s="14">
    <fb>21.771100000000001</fb>
    <v>34</v>
  </rv>
  <rv s="14">
    <fb>45845</fb>
    <v>33</v>
  </rv>
  <rv s="14">
    <fb>209.95</fb>
    <v>34</v>
  </rv>
  <rv s="14">
    <fb>497.72</fb>
    <v>34</v>
  </rv>
  <rv s="14">
    <fb>718.35</fb>
    <v>34</v>
  </rv>
  <rv s="14">
    <fb>176.79</fb>
    <v>34</v>
  </rv>
  <rv s="14">
    <fb>620.67999999999995</fb>
    <v>34</v>
  </rv>
  <rv s="14">
    <fb>307.37</fb>
    <v>34</v>
  </rv>
  <rv s="14">
    <fb>76.48</fb>
    <v>34</v>
  </rv>
  <rv s="14">
    <fb>94.46</fb>
    <v>34</v>
  </rv>
  <rv s="14">
    <fb>46.854999999999997</fb>
    <v>34</v>
  </rv>
  <rv s="14">
    <fb>141.53</fb>
    <v>34</v>
  </rv>
  <rv s="14">
    <fb>13.73</fb>
    <v>34</v>
  </rv>
  <rv s="14">
    <fb>4.99</fb>
    <v>35</v>
  </rv>
  <rv s="14">
    <fb>33.43</fb>
    <v>34</v>
  </rv>
  <rv s="14">
    <fb>125.16</fb>
    <v>34</v>
  </rv>
  <rv s="14">
    <fb>478.03</fb>
    <v>34</v>
  </rv>
  <rv s="14">
    <fb>291.97000000000003</fb>
    <v>34</v>
  </rv>
  <rv s="14">
    <fb>48.66</fb>
    <v>34</v>
  </rv>
  <rv s="14">
    <fb>111.11</fb>
    <v>34</v>
  </rv>
  <rv s="14">
    <fb>147.4</fb>
    <v>34</v>
  </rv>
  <rv s="14">
    <fb>155.27000000000001</fb>
    <v>34</v>
  </rv>
  <rv s="14">
    <fb>71.010000000000005</fb>
    <v>34</v>
  </rv>
  <rv s="14">
    <fb>293.52999999999997</fb>
    <v>34</v>
  </rv>
  <rv s="14">
    <fb>123.16</fb>
    <v>34</v>
  </rv>
  <rv s="14">
    <fb>1289.6199999999999</fb>
    <v>34</v>
  </rv>
  <rv s="14">
    <fb>134.44999999999999</fb>
    <v>34</v>
  </rv>
  <rv s="14">
    <fb>90.1</fb>
    <v>34</v>
  </rv>
  <rv s="14">
    <fb>54.86</fb>
    <v>34</v>
  </rv>
  <rv s="14">
    <fb>28.93</fb>
    <v>34</v>
  </rv>
  <rv s="14">
    <fb>21.552299999999999</fb>
    <v>34</v>
  </rv>
  <rv s="14">
    <fb>45846</fb>
    <v>33</v>
  </rv>
  <rv s="14">
    <fb>210.01</fb>
    <v>34</v>
  </rv>
  <rv s="14">
    <fb>160</fb>
    <v>34</v>
  </rv>
  <rv s="14">
    <fb>496.62</fb>
    <v>34</v>
  </rv>
  <rv s="14">
    <fb>720.67</fb>
    <v>34</v>
  </rv>
  <rv s="14">
    <fb>174.36</fb>
    <v>34</v>
  </rv>
  <rv s="14">
    <fb>620.34</fb>
    <v>34</v>
  </rv>
  <rv s="14">
    <fb>304.16000000000003</fb>
    <v>34</v>
  </rv>
  <rv s="14">
    <fb>94.32</fb>
    <v>34</v>
  </rv>
  <rv s="14">
    <fb>46.833500000000001</fb>
    <v>34</v>
  </rv>
  <rv s="14">
    <fb>88.51</fb>
    <v>34</v>
  </rv>
  <rv s="14">
    <fb>13.81</fb>
    <v>34</v>
  </rv>
  <rv s="14">
    <fb>5.0999999999999996</fb>
    <v>35</v>
  </rv>
  <rv s="14">
    <fb>33.29</fb>
    <v>34</v>
  </rv>
  <rv s="14">
    <fb>65.400000000000006</fb>
    <v>34</v>
  </rv>
  <rv s="14">
    <fb>124.74</fb>
    <v>34</v>
  </rv>
  <rv s="14">
    <fb>477.47</fb>
    <v>34</v>
  </rv>
  <rv s="14">
    <fb>282.77999999999997</fb>
    <v>34</v>
  </rv>
  <rv s="14">
    <fb>47.15</fb>
    <v>34</v>
  </rv>
  <rv s="14">
    <fb>114.19</fb>
    <v>34</v>
  </rv>
  <rv s="14">
    <fb>155.79</fb>
    <v>34</v>
  </rv>
  <rv s="14">
    <fb>291.67</fb>
    <v>34</v>
  </rv>
  <rv s="14">
    <fb>121.82</fb>
    <v>34</v>
  </rv>
  <rv s="14">
    <fb>1275.31</fb>
    <v>34</v>
  </rv>
  <rv s="14">
    <fb>135.04</fb>
    <v>34</v>
  </rv>
  <rv s="14">
    <fb>249.83</fb>
    <v>34</v>
  </rv>
  <rv s="14">
    <fb>92.67</fb>
    <v>34</v>
  </rv>
  <rv s="14">
    <fb>22.704999999999998</fb>
    <v>34</v>
  </rv>
  <rv s="14">
    <fb>54.78</fb>
    <v>34</v>
  </rv>
  <rv s="14">
    <fb>21.55</fb>
    <v>34</v>
  </rv>
  <rv s="14">
    <fb>45847</fb>
    <v>33</v>
  </rv>
  <rv s="14">
    <fb>211.14</fb>
    <v>34</v>
  </rv>
  <rv s="14">
    <fb>162.88</fb>
    <v>34</v>
  </rv>
  <rv s="14">
    <fb>503.51</fb>
    <v>34</v>
  </rv>
  <rv s="14">
    <fb>732.78</fb>
    <v>34</v>
  </rv>
  <rv s="14">
    <fb>176.62</fb>
    <v>34</v>
  </rv>
  <rv s="14">
    <fb>624.05999999999995</fb>
    <v>34</v>
  </rv>
  <rv s="14">
    <fb>305.52</fb>
    <v>34</v>
  </rv>
  <rv s="14">
    <fb>146.65</fb>
    <v>34</v>
  </rv>
  <rv s="14">
    <fb>88.06</fb>
    <v>34</v>
  </rv>
  <rv s="14">
    <fb>13.79</fb>
    <v>34</v>
  </rv>
  <rv s="14">
    <fb>33</fb>
    <v>34</v>
  </rv>
  <rv s="14">
    <fb>65.650000000000006</fb>
    <v>34</v>
  </rv>
  <rv s="14">
    <fb>122.86</fb>
    <v>34</v>
  </rv>
  <rv s="14">
    <fb>478.91</fb>
    <v>34</v>
  </rv>
  <rv s="14">
    <fb>283.16000000000003</fb>
    <v>34</v>
  </rv>
  <rv s="14">
    <fb>153.02000000000001</fb>
    <v>34</v>
  </rv>
  <rv s="14">
    <fb>156.28</fb>
    <v>34</v>
  </rv>
  <rv s="14">
    <fb>293.02</fb>
    <v>34</v>
  </rv>
  <rv s="14">
    <fb>120.61</fb>
    <v>34</v>
  </rv>
  <rv s="14">
    <fb>1288.28</fb>
    <v>34</v>
  </rv>
  <rv s="14">
    <fb>157.52000000000001</fb>
    <v>34</v>
  </rv>
  <rv s="14">
    <fb>134.47999999999999</fb>
    <v>34</v>
  </rv>
  <rv s="14">
    <fb>247.93</fb>
    <v>34</v>
  </rv>
  <rv s="14">
    <fb>91.92</fb>
    <v>34</v>
  </rv>
  <rv s="14">
    <fb>22.8</fb>
    <v>34</v>
  </rv>
  <rv s="14">
    <fb>55.31</fb>
    <v>34</v>
  </rv>
  <rv s="14">
    <fb>21.591699999999999</fb>
    <v>34</v>
  </rv>
  <rv s="14">
    <fb>45848</fb>
    <v>33</v>
  </rv>
  <rv s="14">
    <fb>212.41</fb>
    <v>34</v>
  </rv>
  <rv s="14">
    <fb>727.24</fb>
    <v>34</v>
  </rv>
  <rv s="14">
    <fb>177.62</fb>
    <v>34</v>
  </rv>
  <rv s="14">
    <fb>625.82000000000005</fb>
    <v>34</v>
  </rv>
  <rv s="14">
    <fb>86.99</fb>
    <v>34</v>
  </rv>
  <rv s="14">
    <fb>306.2</fb>
    <v>34</v>
  </rv>
  <rv s="14">
    <fb>75.39</fb>
    <v>34</v>
  </rv>
  <rv s="14">
    <fb>148.21</fb>
    <v>34</v>
  </rv>
  <rv s="14">
    <fb>88.73</fb>
    <v>34</v>
  </rv>
  <rv s="14">
    <fb>13.58</fb>
    <v>34</v>
  </rv>
  <rv s="14">
    <fb>4.83</fb>
    <v>35</v>
  </rv>
  <rv s="14">
    <fb>33.75</fb>
    <v>34</v>
  </rv>
  <rv s="14">
    <fb>4.58</fb>
    <v>34</v>
  </rv>
  <rv s="14">
    <fb>65.83</fb>
    <v>34</v>
  </rv>
  <rv s="14">
    <fb>478.27</fb>
    <v>34</v>
  </rv>
  <rv s="14">
    <fb>288.19</fb>
    <v>34</v>
  </rv>
  <rv s="14">
    <fb>46.97</fb>
    <v>34</v>
  </rv>
  <rv s="14">
    <fb>114.93</fb>
    <v>34</v>
  </rv>
  <rv s="14">
    <fb>154.16999999999999</fb>
    <v>34</v>
  </rv>
  <rv s="14">
    <fb>157.69</fb>
    <v>34</v>
  </rv>
  <rv s="14">
    <fb>69.77</fb>
    <v>34</v>
  </rv>
  <rv s="14">
    <fb>298.39</fb>
    <v>34</v>
  </rv>
  <rv s="14">
    <fb>121.56</fb>
    <v>34</v>
  </rv>
  <rv s="14">
    <fb>1250.5899999999999</fb>
    <v>34</v>
  </rv>
  <rv s="14">
    <fb>158.49</fb>
    <v>34</v>
  </rv>
  <rv s="14">
    <fb>136.08000000000001</fb>
    <v>34</v>
  </rv>
  <rv s="14">
    <fb>249.99</fb>
    <v>34</v>
  </rv>
  <rv s="14">
    <fb>29.569199999999999</fb>
    <v>34</v>
  </rv>
  <rv s="14">
    <fb>21.676600000000001</fb>
    <v>34</v>
  </rv>
  <rv s="14">
    <fb>45849</fb>
    <v>33</v>
  </rv>
  <rv s="14">
    <fb>211.16</fb>
    <v>34</v>
  </rv>
  <rv s="14">
    <fb>164.92</fb>
    <v>34</v>
  </rv>
  <rv s="14">
    <fb>503.32</fb>
    <v>34</v>
  </rv>
  <rv s="14">
    <fb>717.51</fb>
    <v>34</v>
  </rv>
  <rv s="14">
    <fb>180.19</fb>
    <v>34</v>
  </rv>
  <rv s="14">
    <fb>623.62</fb>
    <v>34</v>
  </rv>
  <rv s="14">
    <fb>85.79</fb>
    <v>34</v>
  </rv>
  <rv s="14">
    <fb>309.14</fb>
    <v>34</v>
  </rv>
  <rv s="14">
    <fb>77.290000000000006</fb>
    <v>34</v>
  </rv>
  <rv s="14">
    <fb>46.792000000000002</fb>
    <v>34</v>
  </rv>
  <rv s="14">
    <fb>147.18</fb>
    <v>34</v>
  </rv>
  <rv s="14">
    <fb>4.78</fb>
    <v>35</v>
  </rv>
  <rv s="14">
    <fb>128.19999999999999</fb>
    <v>34</v>
  </rv>
  <rv s="14">
    <fb>50.945</fb>
    <v>34</v>
  </rv>
  <rv s="14">
    <fb>25.88</fb>
    <v>34</v>
  </rv>
  <rv s="14">
    <fb>475.86</fb>
    <v>34</v>
  </rv>
  <rv s="14">
    <fb>286.86</fb>
    <v>34</v>
  </rv>
  <rv s="14">
    <fb>155.31</fb>
    <v>34</v>
  </rv>
  <rv s="14">
    <fb>69.87</fb>
    <v>34</v>
  </rv>
  <rv s="14">
    <fb>299.91000000000003</fb>
    <v>34</v>
  </rv>
  <rv s="14">
    <fb>1245.1099999999999</fb>
    <v>34</v>
  </rv>
  <rv s="14">
    <fb>157.05000000000001</fb>
    <v>34</v>
  </rv>
  <rv s="14">
    <fb>252.23</fb>
    <v>34</v>
  </rv>
  <rv s="14">
    <fb>29.68</fb>
    <v>34</v>
  </rv>
  <rv s="14">
    <fb>22.71</fb>
    <v>34</v>
  </rv>
  <rv s="14">
    <fb>54.66</fb>
    <v>34</v>
  </rv>
  <rv s="14">
    <fb>21.6022</fb>
    <v>34</v>
  </rv>
  <rv s="14">
    <fb>45852</fb>
    <v>33</v>
  </rv>
  <rv s="14">
    <fb>208.62</fb>
    <v>34</v>
  </rv>
  <rv s="14">
    <fb>503.02</fb>
    <v>34</v>
  </rv>
  <rv s="14">
    <fb>720.92</fb>
    <v>34</v>
  </rv>
  <rv s="14">
    <fb>181.56</fb>
    <v>34</v>
  </rv>
  <rv s="14">
    <fb>624.80999999999995</fb>
    <v>34</v>
  </rv>
  <rv s="14">
    <fb>308.01</fb>
    <v>34</v>
  </rv>
  <rv s="14">
    <fb>75.62</fb>
    <v>34</v>
  </rv>
  <rv s="14">
    <fb>148.53</fb>
    <v>34</v>
  </rv>
  <rv s="14">
    <fb>88.15</fb>
    <v>34</v>
  </rv>
  <rv s="14">
    <fb>13.68</fb>
    <v>34</v>
  </rv>
  <rv s="14">
    <fb>34.630000000000003</fb>
    <v>34</v>
  </rv>
  <rv s="14">
    <fb>66.23</fb>
    <v>34</v>
  </rv>
  <rv s="14">
    <fb>124.28</fb>
    <v>34</v>
  </rv>
  <rv s="14">
    <fb>476.31</fb>
    <v>34</v>
  </rv>
  <rv s="14">
    <fb>47.07</fb>
    <v>34</v>
  </rv>
  <rv s="14">
    <fb>113.92</fb>
    <v>34</v>
  </rv>
  <rv s="14">
    <fb>151.65</fb>
    <v>34</v>
  </rv>
  <rv s="14">
    <fb>156.82</fb>
    <v>34</v>
  </rv>
  <rv s="14">
    <fb>301.88</fb>
    <v>34</v>
  </rv>
  <rv s="14">
    <fb>1261.95</fb>
    <v>34</v>
  </rv>
  <rv s="14">
    <fb>153.76</fb>
    <v>34</v>
  </rv>
  <rv s="14">
    <fb>244.61</fb>
    <v>34</v>
  </rv>
  <rv s="14">
    <fb>29.310099999999998</fb>
    <v>34</v>
  </rv>
  <rv s="14">
    <fb>58.484999999999999</fb>
    <v>34</v>
  </rv>
  <rv s="14">
    <fb>21.682300000000001</fb>
    <v>34</v>
  </rv>
  <rv s="14">
    <fb>45853</fb>
    <v>33</v>
  </rv>
  <rv s="14">
    <fb>209.11</fb>
    <v>34</v>
  </rv>
  <rv s="14">
    <fb>170.7</fb>
    <v>34</v>
  </rv>
  <rv s="14">
    <fb>505.82</fb>
    <v>34</v>
  </rv>
  <rv s="14">
    <fb>710.39</fb>
    <v>34</v>
  </rv>
  <rv s="14">
    <fb>182</fb>
    <v>34</v>
  </rv>
  <rv s="14">
    <fb>622.14</fb>
    <v>34</v>
  </rv>
  <rv s="14">
    <fb>306.73</fb>
    <v>34</v>
  </rv>
  <rv s="14">
    <fb>75.260000000000005</fb>
    <v>34</v>
  </rv>
  <rv s="14">
    <fb>46.695</fb>
    <v>34</v>
  </rv>
  <rv s="14">
    <fb>145.72</fb>
    <v>34</v>
  </rv>
  <rv s="14">
    <fb>13.63</fb>
    <v>34</v>
  </rv>
  <rv s="14">
    <fb>34.26</fb>
    <v>34</v>
  </rv>
  <rv s="14">
    <fb>25.62</fb>
    <v>34</v>
  </rv>
  <rv s="14">
    <fb>4.46</fb>
    <v>34</v>
  </rv>
  <rv s="14">
    <fb>65.95</fb>
    <v>34</v>
  </rv>
  <rv s="14">
    <fb>124.23</fb>
    <v>34</v>
  </rv>
  <rv s="14">
    <fb>50.954999999999998</fb>
    <v>34</v>
  </rv>
  <rv s="14">
    <fb>470.13</fb>
    <v>34</v>
  </rv>
  <rv s="14">
    <fb>286.55</fb>
    <v>34</v>
  </rv>
  <rv s="14">
    <fb>46.15</fb>
    <v>34</v>
  </rv>
  <rv s="14">
    <fb>112.91</fb>
    <v>34</v>
  </rv>
  <rv s="14">
    <fb>69.36</fb>
    <v>34</v>
  </rv>
  <rv s="14">
    <fb>118.98</fb>
    <v>34</v>
  </rv>
  <rv s="14">
    <fb>1260.27</fb>
    <v>34</v>
  </rv>
  <rv s="14">
    <fb>152.68</fb>
    <v>34</v>
  </rv>
  <rv s="14">
    <fb>133.81</fb>
    <v>34</v>
  </rv>
  <rv s="14">
    <fb>236.82</fb>
    <v>34</v>
  </rv>
  <rv s="14">
    <fb>22.635000000000002</fb>
    <v>34</v>
  </rv>
  <rv s="14">
    <fb>45854</fb>
    <v>33</v>
  </rv>
  <rv s="14">
    <fb>210.16</fb>
    <v>34</v>
  </rv>
  <rv s="14">
    <fb>171.37</fb>
    <v>34</v>
  </rv>
  <rv s="14">
    <fb>505.62</fb>
    <v>34</v>
  </rv>
  <rv s="14">
    <fb>702.91</fb>
    <v>34</v>
  </rv>
  <rv s="14">
    <fb>182.97</fb>
    <v>34</v>
  </rv>
  <rv s="14">
    <fb>624.22</fb>
    <v>34</v>
  </rv>
  <rv s="14">
    <fb>85.13</fb>
    <v>34</v>
  </rv>
  <rv s="14">
    <fb>308.26</fb>
    <v>34</v>
  </rv>
  <rv s="14">
    <fb>46.775100000000002</fb>
    <v>34</v>
  </rv>
  <rv s="14">
    <fb>152.71</fb>
    <v>34</v>
  </rv>
  <rv s="14">
    <fb>86.13</fb>
    <v>34</v>
  </rv>
  <rv s="14">
    <fb>13.59</fb>
    <v>34</v>
  </rv>
  <rv s="14">
    <fb>4.41</fb>
    <v>35</v>
  </rv>
  <rv s="14">
    <fb>34.409999999999997</fb>
    <v>34</v>
  </rv>
  <rv s="14">
    <fb>66.28</fb>
    <v>34</v>
  </rv>
  <rv s="14">
    <fb>129</fb>
    <v>34</v>
  </rv>
  <rv s="14">
    <fb>50.965000000000003</fb>
    <v>34</v>
  </rv>
  <rv s="14">
    <fb>471.31</fb>
    <v>34</v>
  </rv>
  <rv s="14">
    <fb>285.82</fb>
    <v>34</v>
  </rv>
  <rv s="14">
    <fb>46.03</fb>
    <v>34</v>
  </rv>
  <rv s="14">
    <fb>112.23</fb>
    <v>34</v>
  </rv>
  <rv s="14">
    <fb>149.91999999999999</fb>
    <v>34</v>
  </rv>
  <rv s="14">
    <fb>164.78</fb>
    <v>34</v>
  </rv>
  <rv s="14">
    <fb>69.27</fb>
    <v>34</v>
  </rv>
  <rv s="14">
    <fb>298.89999999999998</fb>
    <v>34</v>
  </rv>
  <rv s="14">
    <fb>119.82</fb>
    <v>34</v>
  </rv>
  <rv s="14">
    <fb>1250.31</fb>
    <v>34</v>
  </rv>
  <rv s="14">
    <fb>153.72999999999999</fb>
    <v>34</v>
  </rv>
  <rv s="14">
    <fb>135.35</fb>
    <v>34</v>
  </rv>
  <rv s="14">
    <fb>233</fb>
    <v>34</v>
  </rv>
  <rv s="14">
    <fb>54.31</fb>
    <v>34</v>
  </rv>
  <rv s="14">
    <fb>21.605399999999999</fb>
    <v>34</v>
  </rv>
  <rv s="14">
    <fb>45855</fb>
    <v>33</v>
  </rv>
  <rv s="14">
    <fb>210.02</fb>
    <v>34</v>
  </rv>
  <rv s="14">
    <fb>511.7</fb>
    <v>34</v>
  </rv>
  <rv s="14">
    <fb>701.41</fb>
    <v>34</v>
  </rv>
  <rv s="14">
    <fb>183.58</fb>
    <v>34</v>
  </rv>
  <rv s="14">
    <fb>628.04</fb>
    <v>34</v>
  </rv>
  <rv s="14">
    <fb>85.11</fb>
    <v>34</v>
  </rv>
  <rv s="14">
    <fb>307.58999999999997</fb>
    <v>34</v>
  </rv>
  <rv s="14">
    <fb>76.16</fb>
    <v>34</v>
  </rv>
  <rv s="14">
    <fb>94.14</fb>
    <v>34</v>
  </rv>
  <rv s="14">
    <fb>46.784999999999997</fb>
    <v>34</v>
  </rv>
  <rv s="14">
    <fb>156.05000000000001</fb>
    <v>34</v>
  </rv>
  <rv s="14">
    <fb>34.65</fb>
    <v>34</v>
  </rv>
  <rv s="14">
    <fb>4.42</fb>
    <v>34</v>
  </rv>
  <rv s="14">
    <fb>66.11</fb>
    <v>34</v>
  </rv>
  <rv s="14">
    <fb>132.94</fb>
    <v>34</v>
  </rv>
  <rv s="14">
    <fb>473.4</fb>
    <v>34</v>
  </rv>
  <rv s="14">
    <fb>289.89999999999998</fb>
    <v>34</v>
  </rv>
  <rv s="14">
    <fb>47.02</fb>
    <v>34</v>
  </rv>
  <rv s="14">
    <fb>111.66</fb>
    <v>34</v>
  </rv>
  <rv s="14">
    <fb>162.97999999999999</fb>
    <v>34</v>
  </rv>
  <rv s="14">
    <fb>300.37</fb>
    <v>34</v>
  </rv>
  <rv s="14">
    <fb>122.21</fb>
    <v>34</v>
  </rv>
  <rv s="14">
    <fb>1274.17</fb>
    <v>34</v>
  </rv>
  <rv s="14">
    <fb>155.62</fb>
    <v>34</v>
  </rv>
  <rv s="14">
    <fb>145.44</fb>
    <v>34</v>
  </rv>
  <rv s="14">
    <fb>236.03</fb>
    <v>34</v>
  </rv>
  <rv s="14">
    <fb>90.48</fb>
    <v>34</v>
  </rv>
  <rv s="14">
    <fb>59.1</fb>
    <v>34</v>
  </rv>
  <rv s="14">
    <fb>54.29</fb>
    <v>34</v>
  </rv>
  <rv s="14">
    <fb>21.657</fb>
    <v>34</v>
  </rv>
  <rv s="14">
    <fb>45856</fb>
    <v>33</v>
  </rv>
  <rv s="14">
    <fb>211.18</fb>
    <v>34</v>
  </rv>
  <rv s="14">
    <fb>172.41</fb>
    <v>34</v>
  </rv>
  <rv s="14">
    <fb>510.05</fb>
    <v>34</v>
  </rv>
  <rv s="14">
    <fb>704.28</fb>
    <v>34</v>
  </rv>
  <rv s="14">
    <fb>185.06</fb>
    <v>34</v>
  </rv>
  <rv s="14">
    <fb>627.58000000000004</fb>
    <v>34</v>
  </rv>
  <rv s="14">
    <fb>85.24</fb>
    <v>34</v>
  </rv>
  <rv s="14">
    <fb>308.39</fb>
    <v>34</v>
  </rv>
  <rv s="14">
    <fb>94.4</fb>
    <v>34</v>
  </rv>
  <rv s="14">
    <fb>46.887900000000002</fb>
    <v>34</v>
  </rv>
  <rv s="14">
    <fb>13.75</fb>
    <v>34</v>
  </rv>
  <rv s="14">
    <fb>34.61</fb>
    <v>34</v>
  </rv>
  <rv s="14">
    <fb>26.03</fb>
    <v>34</v>
  </rv>
  <rv s="14">
    <fb>66.31</fb>
    <v>34</v>
  </rv>
  <rv s="14">
    <fb>129.88999999999999</fb>
    <v>34</v>
  </rv>
  <rv s="14">
    <fb>473.8</fb>
    <v>34</v>
  </rv>
  <rv s="14">
    <fb>291.27</fb>
    <v>34</v>
  </rv>
  <rv s="14">
    <fb>107.77</fb>
    <v>34</v>
  </rv>
  <rv s="14">
    <fb>150.04</fb>
    <v>34</v>
  </rv>
  <rv s="14">
    <fb>163.69999999999999</fb>
    <v>34</v>
  </rv>
  <rv s="14">
    <fb>69.849999999999994</fb>
    <v>34</v>
  </rv>
  <rv s="14">
    <fb>297.07</fb>
    <v>34</v>
  </rv>
  <rv s="14">
    <fb>121.42</fb>
    <v>34</v>
  </rv>
  <rv s="14">
    <fb>1209.24</fb>
    <v>34</v>
  </rv>
  <rv s="14">
    <fb>155.1</fb>
    <v>34</v>
  </rv>
  <rv s="14">
    <fb>143.24</fb>
    <v>34</v>
  </rv>
  <rv s="14">
    <fb>233.38</fb>
    <v>34</v>
  </rv>
  <rv s="14">
    <fb>90.52</fb>
    <v>34</v>
  </rv>
  <rv s="14">
    <fb>28.689399999999999</fb>
    <v>34</v>
  </rv>
  <rv s="14">
    <fb>54.41</fb>
    <v>34</v>
  </rv>
  <rv s="14">
    <fb>21.6873</fb>
    <v>34</v>
  </rv>
  <rv s="14">
    <fb>45859</fb>
    <v>33</v>
  </rv>
  <rv s="14">
    <fb>212.48</fb>
    <v>34</v>
  </rv>
  <rv s="14">
    <fb>171.38</fb>
    <v>34</v>
  </rv>
  <rv s="14">
    <fb>510.06</fb>
    <v>34</v>
  </rv>
  <rv s="14">
    <fb>712.96500000000003</fb>
    <v>34</v>
  </rv>
  <rv s="14">
    <fb>190.1</fb>
    <v>34</v>
  </rv>
  <rv s="14">
    <fb>628.77</fb>
    <v>34</v>
  </rv>
  <rv s="14">
    <fb>313.13</fb>
    <v>34</v>
  </rv>
  <rv s="14">
    <fb>47.049100000000003</fb>
    <v>34</v>
  </rv>
  <rv s="14">
    <fb>13.71</fb>
    <v>34</v>
  </rv>
  <rv s="14">
    <fb>4.7</fb>
    <v>35</v>
  </rv>
  <rv s="14">
    <fb>35.35</fb>
    <v>34</v>
  </rv>
  <rv s="14">
    <fb>67.31</fb>
    <v>34</v>
  </rv>
  <rv s="14">
    <fb>474.41</fb>
    <v>34</v>
  </rv>
  <rv s="14">
    <fb>290.97000000000003</fb>
    <v>34</v>
  </rv>
  <rv s="14">
    <fb>47.48</fb>
    <v>34</v>
  </rv>
  <rv s="14">
    <fb>108.05</fb>
    <v>34</v>
  </rv>
  <rv s="14">
    <fb>149.68</fb>
    <v>34</v>
  </rv>
  <rv s="14">
    <fb>164.36</fb>
    <v>34</v>
  </rv>
  <rv s="14">
    <fb>295.74</fb>
    <v>34</v>
  </rv>
  <rv s="14">
    <fb>120.84</fb>
    <v>34</v>
  </rv>
  <rv s="14">
    <fb>1233.27</fb>
    <v>34</v>
  </rv>
  <rv s="14">
    <fb>141.69999999999999</fb>
    <v>34</v>
  </rv>
  <rv s="14">
    <fb>232.86</fb>
    <v>34</v>
  </rv>
  <rv s="14">
    <fb>27.94</fb>
    <v>34</v>
  </rv>
  <rv s="14">
    <fb>59.354999999999997</fb>
    <v>34</v>
  </rv>
  <rv s="14">
    <fb>54.84</fb>
    <v>34</v>
  </rv>
  <rv s="14">
    <fb>21.754999999999999</fb>
    <v>34</v>
  </rv>
  <rv s="14">
    <fb>45860</fb>
    <v>33</v>
  </rv>
  <rv s="14">
    <fb>214.4</fb>
    <v>34</v>
  </rv>
  <rv s="14">
    <fb>167.03</fb>
    <v>34</v>
  </rv>
  <rv s="14">
    <fb>505.27</fb>
    <v>34</v>
  </rv>
  <rv s="14">
    <fb>704.81</fb>
    <v>34</v>
  </rv>
  <rv s="14">
    <fb>191.34</fb>
    <v>34</v>
  </rv>
  <rv s="14">
    <fb>628.86</fb>
    <v>34</v>
  </rv>
  <rv s="14">
    <fb>86.52</fb>
    <v>34</v>
  </rv>
  <rv s="14">
    <fb>316.10000000000002</fb>
    <v>34</v>
  </rv>
  <rv s="14">
    <fb>95</fb>
    <v>34</v>
  </rv>
  <rv s="14">
    <fb>47.099699999999999</fb>
    <v>34</v>
  </rv>
  <rv s="14">
    <fb>85.47</fb>
    <v>34</v>
  </rv>
  <rv s="14">
    <fb>13.67</fb>
    <v>34</v>
  </rv>
  <rv s="14">
    <fb>35.72</fb>
    <v>34</v>
  </rv>
  <rv s="14">
    <fb>67.959999999999994</fb>
    <v>34</v>
  </rv>
  <rv s="14">
    <fb>131.08000000000001</fb>
    <v>34</v>
  </rv>
  <rv s="14">
    <fb>478.13</fb>
    <v>34</v>
  </rv>
  <rv s="14">
    <fb>291.43</fb>
    <v>34</v>
  </rv>
  <rv s="14">
    <fb>108.54</fb>
    <v>34</v>
  </rv>
  <rv s="14">
    <fb>167.93</fb>
    <v>34</v>
  </rv>
  <rv s="14">
    <fb>299.17</fb>
    <v>34</v>
  </rv>
  <rv s="14">
    <fb>121.06</fb>
    <v>34</v>
  </rv>
  <rv s="14">
    <fb>1190.08</fb>
    <v>34</v>
  </rv>
  <rv s="14">
    <fb>146.04</fb>
    <v>34</v>
  </rv>
  <rv s="14">
    <fb>238.1</fb>
    <v>34</v>
  </rv>
  <rv s="14">
    <fb>89.54</fb>
    <v>34</v>
  </rv>
  <rv s="14">
    <fb>55.14</fb>
    <v>34</v>
  </rv>
  <rv s="14">
    <fb>22.1477</fb>
    <v>34</v>
  </rv>
  <rv s="14">
    <fb>45861</fb>
    <v>33</v>
  </rv>
  <rv s="14">
    <fb>214.15</fb>
    <v>34</v>
  </rv>
  <rv s="14">
    <fb>170.78</fb>
    <v>34</v>
  </rv>
  <rv s="14">
    <fb>505.87</fb>
    <v>34</v>
  </rv>
  <rv s="14">
    <fb>713.58</fb>
    <v>34</v>
  </rv>
  <rv s="14">
    <fb>190.23</fb>
    <v>34</v>
  </rv>
  <rv s="14">
    <fb>634.21</fb>
    <v>34</v>
  </rv>
  <rv s="14">
    <fb>312.18</fb>
    <v>34</v>
  </rv>
  <rv s="14">
    <fb>94.66</fb>
    <v>34</v>
  </rv>
  <rv s="14">
    <fb>151.85</fb>
    <v>34</v>
  </rv>
  <rv s="14">
    <fb>86.81</fb>
    <v>34</v>
  </rv>
  <rv s="14">
    <fb>35.69</fb>
    <v>34</v>
  </rv>
  <rv s="14">
    <fb>67.13</fb>
    <v>34</v>
  </rv>
  <rv s="14">
    <fb>128.81</fb>
    <v>34</v>
  </rv>
  <rv s="14">
    <fb>482.63</fb>
    <v>34</v>
  </rv>
  <rv s="14">
    <fb>296.76</fb>
    <v>34</v>
  </rv>
  <rv s="14">
    <fb>48.14</fb>
    <v>34</v>
  </rv>
  <rv s="14">
    <fb>109.93</fb>
    <v>34</v>
  </rv>
  <rv s="14">
    <fb>298.12</fb>
    <v>34</v>
  </rv>
  <rv s="14">
    <fb>122.94</fb>
    <v>34</v>
  </rv>
  <rv s="14">
    <fb>1176.78</fb>
    <v>34</v>
  </rv>
  <rv s="14">
    <fb>158.28</fb>
    <v>34</v>
  </rv>
  <rv s="14">
    <fb>250.92</fb>
    <v>34</v>
  </rv>
  <rv s="14">
    <fb>22.765000000000001</fb>
    <v>34</v>
  </rv>
  <rv s="14">
    <fb>22.129799999999999</fb>
    <v>34</v>
  </rv>
  <rv s="14">
    <fb>45862</fb>
    <v>33</v>
  </rv>
  <rv s="14">
    <fb>213.76</fb>
    <v>34</v>
  </rv>
  <rv s="14">
    <fb>173.74</fb>
    <v>34</v>
  </rv>
  <rv s="14">
    <fb>510.88</fb>
    <v>34</v>
  </rv>
  <rv s="14">
    <fb>714.8</fb>
    <v>34</v>
  </rv>
  <rv s="14">
    <fb>192.17</fb>
    <v>34</v>
  </rv>
  <rv s="14">
    <fb>634.41999999999996</fb>
    <v>34</v>
  </rv>
  <rv s="14">
    <fb>310.27</fb>
    <v>34</v>
  </rv>
  <rv s="14">
    <fb>46.7254</fb>
    <v>34</v>
  </rv>
  <rv s="14">
    <fb>151.63999999999999</fb>
    <v>34</v>
  </rv>
  <rv s="14">
    <fb>5.49</fb>
    <v>35</v>
  </rv>
  <rv s="14">
    <fb>35.49</fb>
    <v>34</v>
  </rv>
  <rv s="14">
    <fb>66.72</fb>
    <v>34</v>
  </rv>
  <rv s="14">
    <fb>128.28</fb>
    <v>34</v>
  </rv>
  <rv s="14">
    <fb>480.6</fb>
    <v>34</v>
  </rv>
  <rv s="14">
    <fb>296.55</fb>
    <v>34</v>
  </rv>
  <rv s="14">
    <fb>48.39</fb>
    <v>34</v>
  </rv>
  <rv s="14">
    <fb>110.79</fb>
    <v>34</v>
  </rv>
  <rv s="14">
    <fb>155.83000000000001</fb>
    <v>34</v>
  </rv>
  <rv s="14">
    <fb>169.56</fb>
    <v>34</v>
  </rv>
  <rv s="14">
    <fb>69.099999999999994</fb>
    <v>34</v>
  </rv>
  <rv s="14">
    <fb>294.48</fb>
    <v>34</v>
  </rv>
  <rv s="14">
    <fb>121.95</fb>
    <v>34</v>
  </rv>
  <rv s="14">
    <fb>1180.76</fb>
    <v>34</v>
  </rv>
  <rv s="14">
    <fb>158.81</fb>
    <v>34</v>
  </rv>
  <rv s="14">
    <fb>144.51</fb>
    <v>34</v>
  </rv>
  <rv s="14">
    <fb>253.04</fb>
    <v>34</v>
  </rv>
  <rv s="14">
    <fb>54.79</fb>
    <v>34</v>
  </rv>
  <rv s="14">
    <fb>22.0884</fb>
    <v>34</v>
  </rv>
  <rv s="14">
    <fb>45863</fb>
    <v>33</v>
  </rv>
  <rv s="14">
    <fb>213.88</fb>
    <v>34</v>
  </rv>
  <rv s="14">
    <fb>173.5</fb>
    <v>34</v>
  </rv>
  <rv s="14">
    <fb>513.71</fb>
    <v>34</v>
  </rv>
  <rv s="14">
    <fb>712.68</fb>
    <v>34</v>
  </rv>
  <rv s="14">
    <fb>193.18</fb>
    <v>34</v>
  </rv>
  <rv s="14">
    <fb>86.43</fb>
    <v>34</v>
  </rv>
  <rv s="14">
    <fb>307.39999999999998</fb>
    <v>34</v>
  </rv>
  <rv s="14">
    <fb>74.849999999999994</fb>
    <v>34</v>
  </rv>
  <rv s="14">
    <fb>94.74</fb>
    <v>34</v>
  </rv>
  <rv s="14">
    <fb>151.13</fb>
    <v>34</v>
  </rv>
  <rv s="14">
    <fb>5.46</fb>
    <v>35</v>
  </rv>
  <rv s="14">
    <fb>34.659999999999997</fb>
    <v>34</v>
  </rv>
  <rv s="14">
    <fb>127.62</fb>
    <v>34</v>
  </rv>
  <rv s="14">
    <fb>51.064999999999998</fb>
    <v>34</v>
  </rv>
  <rv s="14">
    <fb>484.07</fb>
    <v>34</v>
  </rv>
  <rv s="14">
    <fb>298.62</fb>
    <v>34</v>
  </rv>
  <rv s="14">
    <fb>48.45</fb>
    <v>34</v>
  </rv>
  <rv s="14">
    <fb>110.4</fb>
    <v>34</v>
  </rv>
  <rv s="14">
    <fb>154.84</fb>
    <v>34</v>
  </rv>
  <rv s="14">
    <fb>168.3</fb>
    <v>34</v>
  </rv>
  <rv s="14">
    <fb>69.17</fb>
    <v>34</v>
  </rv>
  <rv s="14">
    <fb>298.47000000000003</fb>
    <v>34</v>
  </rv>
  <rv s="14">
    <fb>1180.49</fb>
    <v>34</v>
  </rv>
  <rv s="14">
    <fb>158.30000000000001</fb>
    <v>34</v>
  </rv>
  <rv s="14">
    <fb>252.18</fb>
    <v>34</v>
  </rv>
  <rv s="14">
    <fb>21.997499999999999</fb>
    <v>34</v>
  </rv>
  <rv s="14">
    <fb>45866</fb>
    <v>33</v>
  </rv>
  <rv s="14">
    <fb>214.05</fb>
    <v>34</v>
  </rv>
  <rv s="14">
    <fb>176.75</fb>
    <v>34</v>
  </rv>
  <rv s="14">
    <fb>512.5</fb>
    <v>34</v>
  </rv>
  <rv s="14">
    <fb>717.63</fb>
    <v>34</v>
  </rv>
  <rv s="14">
    <fb>192.58</fb>
    <v>34</v>
  </rv>
  <rv s="14">
    <fb>636.94000000000005</fb>
    <v>34</v>
  </rv>
  <rv s="14">
    <fb>85.87</fb>
    <v>34</v>
  </rv>
  <rv s="14">
    <fb>305.41000000000003</fb>
    <v>34</v>
  </rv>
  <rv s="14">
    <fb>77.17</fb>
    <v>34</v>
  </rv>
  <rv s="14">
    <fb>46.77</fb>
    <v>34</v>
  </rv>
  <rv s="14">
    <fb>148.69999999999999</fb>
    <v>34</v>
  </rv>
  <rv s="14">
    <fb>88.09</fb>
    <v>34</v>
  </rv>
  <rv s="14">
    <fb>14.02</fb>
    <v>34</v>
  </rv>
  <rv s="14">
    <fb>5.4</fb>
    <v>35</v>
  </rv>
  <rv s="14">
    <fb>34.64</fb>
    <v>34</v>
  </rv>
  <rv s="14">
    <fb>65.69</fb>
    <v>34</v>
  </rv>
  <rv s="14">
    <fb>125.78</fb>
    <v>34</v>
  </rv>
  <rv s="14">
    <fb>51.075000000000003</fb>
    <v>34</v>
  </rv>
  <rv s="14">
    <fb>481.7</fb>
    <v>34</v>
  </rv>
  <rv s="14">
    <fb>298.27999999999997</fb>
    <v>34</v>
  </rv>
  <rv s="14">
    <fb>48.23</fb>
    <v>34</v>
  </rv>
  <rv s="14">
    <fb>111.44</fb>
    <v>34</v>
  </rv>
  <rv s="14">
    <fb>166.22</fb>
    <v>34</v>
  </rv>
  <rv s="14">
    <fb>68.09</fb>
    <v>34</v>
  </rv>
  <rv s="14">
    <fb>299.22000000000003</fb>
    <v>34</v>
  </rv>
  <rv s="14">
    <fb>120.37</fb>
    <v>34</v>
  </rv>
  <rv s="14">
    <fb>1174.5999999999999</fb>
    <v>34</v>
  </rv>
  <rv s="14">
    <fb>157.11000000000001</fb>
    <v>34</v>
  </rv>
  <rv s="14">
    <fb>141.57</fb>
    <v>34</v>
  </rv>
  <rv s="14">
    <fb>256.64</fb>
    <v>34</v>
  </rv>
  <rv s="14">
    <fb>22.745000000000001</fb>
    <v>34</v>
  </rv>
  <rv s="14">
    <fb>21.743500000000001</fb>
    <v>34</v>
  </rv>
  <rv s="14">
    <fb>45867</fb>
    <v>33</v>
  </rv>
  <rv s="14">
    <fb>211.27</fb>
    <v>34</v>
  </rv>
  <rv s="14">
    <fb>175.51</fb>
    <v>34</v>
  </rv>
  <rv s="14">
    <fb>512.57000000000005</fb>
    <v>34</v>
  </rv>
  <rv s="14">
    <fb>700</fb>
    <v>34</v>
  </rv>
  <rv s="14">
    <fb>195.75</fb>
    <v>34</v>
  </rv>
  <rv s="14">
    <fb>635.26</fb>
    <v>34</v>
  </rv>
  <rv s="14">
    <fb>306.25</fb>
    <v>34</v>
  </rv>
  <rv s="14">
    <fb>79.8</fb>
    <v>34</v>
  </rv>
  <rv s="14">
    <fb>95.15</fb>
    <v>34</v>
  </rv>
  <rv s="14">
    <fb>46.994999999999997</fb>
    <v>34</v>
  </rv>
  <rv s="14">
    <fb>147.82</fb>
    <v>34</v>
  </rv>
  <rv s="14">
    <fb>88.95</fb>
    <v>34</v>
  </rv>
  <rv s="14">
    <fb>14.46</fb>
    <v>34</v>
  </rv>
  <rv s="14">
    <fb>127.4</fb>
    <v>34</v>
  </rv>
  <rv s="14">
    <fb>476.56</fb>
    <v>34</v>
  </rv>
  <rv s="14">
    <fb>297.04000000000002</fb>
    <v>34</v>
  </rv>
  <rv s="14">
    <fb>47.95</fb>
    <v>34</v>
  </rv>
  <rv s="14">
    <fb>112.88</fb>
    <v>34</v>
  </rv>
  <rv s="14">
    <fb>157.03</fb>
    <v>34</v>
  </rv>
  <rv s="14">
    <fb>302.67</fb>
    <v>34</v>
  </rv>
  <rv s="14">
    <fb>119.91</fb>
    <v>34</v>
  </rv>
  <rv s="14">
    <fb>1168.74</fb>
    <v>34</v>
  </rv>
  <rv s="14">
    <fb>156.61000000000001</fb>
    <v>34</v>
  </rv>
  <rv s="14">
    <fb>143.88999999999999</fb>
    <v>34</v>
  </rv>
  <rv s="14">
    <fb>255.61</fb>
    <v>34</v>
  </rv>
  <rv s="14">
    <fb>29.47</fb>
    <v>34</v>
  </rv>
  <rv s="14">
    <fb>21.9</fb>
    <v>34</v>
  </rv>
  <rv s="14">
    <fb>45868</fb>
    <v>33</v>
  </rv>
  <rv s="14">
    <fb>209.05</fb>
    <v>34</v>
  </rv>
  <rv s="14">
    <fb>179.27</fb>
    <v>34</v>
  </rv>
  <rv s="14">
    <fb>513.24</fb>
    <v>34</v>
  </rv>
  <rv s="14">
    <fb>695.21</fb>
    <v>34</v>
  </rv>
  <rv s="14">
    <fb>196.53</fb>
    <v>34</v>
  </rv>
  <rv s="14">
    <fb>634.46</fb>
    <v>34</v>
  </rv>
  <rv s="14">
    <fb>86.87</fb>
    <v>34</v>
  </rv>
  <rv s="14">
    <fb>300.95999999999998</fb>
    <v>34</v>
  </rv>
  <rv s="14">
    <fb>81.040000000000006</fb>
    <v>34</v>
  </rv>
  <rv s="14">
    <fb>94.82</fb>
    <v>34</v>
  </rv>
  <rv s="14">
    <fb>145.46</fb>
    <v>34</v>
  </rv>
  <rv s="14">
    <fb>87.68</fb>
    <v>34</v>
  </rv>
  <rv s="14">
    <fb>4.3600000000000003</fb>
    <v>34</v>
  </rv>
  <rv s="14">
    <fb>64.73</fb>
    <v>34</v>
  </rv>
  <rv s="14">
    <fb>118.76</fb>
    <v>34</v>
  </rv>
  <rv s="14">
    <fb>476</fb>
    <v>34</v>
  </rv>
  <rv s="14">
    <fb>299.63</fb>
    <v>34</v>
  </rv>
  <rv s="14">
    <fb>47.96</fb>
    <v>34</v>
  </rv>
  <rv s="14">
    <fb>153.56</fb>
    <v>34</v>
  </rv>
  <rv s="14">
    <fb>68.75</fb>
    <v>34</v>
  </rv>
  <rv s="14">
    <fb>303.61</fb>
    <v>34</v>
  </rv>
  <rv s="14">
    <fb>119.54</fb>
    <v>34</v>
  </rv>
  <rv s="14">
    <fb>1184.2</fb>
    <v>34</v>
  </rv>
  <rv s="14">
    <fb>152.88</fb>
    <v>34</v>
  </rv>
  <rv s="14">
    <fb>142.86000000000001</fb>
    <v>34</v>
  </rv>
  <rv s="14">
    <fb>248.34</fb>
    <v>34</v>
  </rv>
  <rv s="14">
    <fb>91.11</fb>
    <v>34</v>
  </rv>
  <rv s="14">
    <fb>55.32</fb>
    <v>34</v>
  </rv>
  <rv s="14">
    <fb>21.500399999999999</fb>
    <v>34</v>
  </rv>
  <rv s="14">
    <fb>45869</fb>
    <v>33</v>
  </rv>
  <rv s="14">
    <fb>207.57</fb>
    <v>34</v>
  </rv>
  <rv s="14">
    <fb>177.87</fb>
    <v>34</v>
  </rv>
  <rv s="14">
    <fb>533.5</fb>
    <v>34</v>
  </rv>
  <rv s="14">
    <fb>773.44</fb>
    <v>34</v>
  </rv>
  <rv s="14">
    <fb>191.9</fb>
    <v>34</v>
  </rv>
  <rv s="14">
    <fb>632.08000000000004</fb>
    <v>34</v>
  </rv>
  <rv s="14">
    <fb>302.95999999999998</fb>
    <v>34</v>
  </rv>
  <rv s="14">
    <fb>79.59</fb>
    <v>34</v>
  </rv>
  <rv s="14">
    <fb>94.9</fb>
    <v>34</v>
  </rv>
  <rv s="14">
    <fb>46.887999999999998</fb>
    <v>34</v>
  </rv>
  <rv s="14">
    <fb>145.32</fb>
    <v>34</v>
  </rv>
  <rv s="14">
    <fb>87.21</fb>
    <v>34</v>
  </rv>
  <rv s="14">
    <fb>14.35</fb>
    <v>34</v>
  </rv>
  <rv s="14">
    <fb>33.32</fb>
    <v>34</v>
  </rv>
  <rv s="14">
    <fb>4.3499999999999996</fb>
    <v>34</v>
  </rv>
  <rv s="14">
    <fb>117.81</fb>
    <v>34</v>
  </rv>
  <rv s="14">
    <fb>471.88</fb>
    <v>34</v>
  </rv>
  <rv s="14">
    <fb>296.24</fb>
    <v>34</v>
  </rv>
  <rv s="14">
    <fb>111.64</fb>
    <v>34</v>
  </rv>
  <rv s="14">
    <fb>300.07</fb>
    <v>34</v>
  </rv>
  <rv s="14">
    <fb>119.11</fb>
    <v>34</v>
  </rv>
  <rv s="14">
    <fb>1159.4000000000001</fb>
    <v>34</v>
  </rv>
  <rv s="14">
    <fb>243.72</fb>
    <v>34</v>
  </rv>
  <rv s="14">
    <fb>90.29</fb>
    <v>34</v>
  </rv>
  <rv s="14">
    <fb>21.2193</fb>
    <v>34</v>
  </rv>
  <rv s="14">
    <fb>45870</fb>
    <v>33</v>
  </rv>
  <rv s="14">
    <fb>202.38</fb>
    <v>34</v>
  </rv>
  <rv s="14">
    <fb>173.72</fb>
    <v>34</v>
  </rv>
  <rv s="14">
    <fb>750.01</fb>
    <v>34</v>
  </rv>
  <rv s="14">
    <fb>189.13</fb>
    <v>34</v>
  </rv>
  <rv s="14">
    <fb>621.72</fb>
    <v>34</v>
  </rv>
  <rv s="14">
    <fb>309.11</fb>
    <v>34</v>
  </rv>
  <rv s="14">
    <fb>77.459999999999994</fb>
    <v>34</v>
  </rv>
  <rv s="14">
    <fb>95.68</fb>
    <v>34</v>
  </rv>
  <rv s="14">
    <fb>138.29</fb>
    <v>34</v>
  </rv>
  <rv s="14">
    <fb>85.59</fb>
    <v>34</v>
  </rv>
  <rv s="14">
    <fb>13.91</fb>
    <v>34</v>
  </rv>
  <rv s="14">
    <fb>33.590000000000003</fb>
    <v>34</v>
  </rv>
  <rv s="14">
    <fb>4.3</fb>
    <v>34</v>
  </rv>
  <rv s="14">
    <fb>120.05</fb>
    <v>34</v>
  </rv>
  <rv s="14">
    <fb>26.67</fb>
    <v>34</v>
  </rv>
  <rv s="14">
    <fb>472.84</fb>
    <v>34</v>
  </rv>
  <rv s="14">
    <fb>289.37</fb>
    <v>34</v>
  </rv>
  <rv s="14">
    <fb>45.66</fb>
    <v>34</v>
  </rv>
  <rv s="14">
    <fb>109.64</fb>
    <v>34</v>
  </rv>
  <rv s="14">
    <fb>151.4</fb>
    <v>34</v>
  </rv>
  <rv s="14">
    <fb>167.33</fb>
    <v>34</v>
  </rv>
  <rv s="14">
    <fb>68.86</fb>
    <v>34</v>
  </rv>
  <rv s="14">
    <fb>302.89</fb>
    <v>34</v>
  </rv>
  <rv s="14">
    <fb>1158.5999999999999</fb>
    <v>34</v>
  </rv>
  <rv s="14">
    <fb>150.65</fb>
    <v>34</v>
  </rv>
  <rv s="14">
    <fb>139.28</fb>
    <v>34</v>
  </rv>
  <rv s="14">
    <fb>235.02</fb>
    <v>34</v>
  </rv>
  <rv s="14">
    <fb>55.93</fb>
    <v>34</v>
  </rv>
  <rv s="14">
    <fb>21.1783</fb>
    <v>34</v>
  </rv>
  <rv s="14">
    <fb>45873</fb>
    <v>33</v>
  </rv>
  <rv s="14">
    <fb>203.35</fb>
    <v>34</v>
  </rv>
  <rv s="14">
    <fb>180</fb>
    <v>34</v>
  </rv>
  <rv s="14">
    <fb>535.64</fb>
    <v>34</v>
  </rv>
  <rv s="14">
    <fb>776.37</fb>
    <v>34</v>
  </rv>
  <rv s="14">
    <fb>195.04</fb>
    <v>34</v>
  </rv>
  <rv s="14">
    <fb>631.16999999999996</fb>
    <v>34</v>
  </rv>
  <rv s="14">
    <fb>310.91000000000003</fb>
    <v>34</v>
  </rv>
  <rv s="14">
    <fb>76.11</fb>
    <v>34</v>
  </rv>
  <rv s="14">
    <fb>47.314999999999998</fb>
    <v>34</v>
  </rv>
  <rv s="14">
    <fb>142.02000000000001</fb>
    <v>34</v>
  </rv>
  <rv s="14">
    <fb>85.4</fb>
    <v>34</v>
  </rv>
  <rv s="14">
    <fb>13.77</fb>
    <v>34</v>
  </rv>
  <rv s="14">
    <fb>33.979999999999997</fb>
    <v>34</v>
  </rv>
  <rv s="14">
    <fb>4.3099999999999996</fb>
    <v>34</v>
  </rv>
  <rv s="14">
    <fb>121.07</fb>
    <v>34</v>
  </rv>
  <rv s="14">
    <fb>459.11</fb>
    <v>34</v>
  </rv>
  <rv s="14">
    <fb>294.26</fb>
    <v>34</v>
  </rv>
  <rv s="14">
    <fb>45.85</fb>
    <v>34</v>
  </rv>
  <rv s="14">
    <fb>151.04</fb>
    <v>34</v>
  </rv>
  <rv s="14">
    <fb>171.04</fb>
    <v>34</v>
  </rv>
  <rv s="14">
    <fb>304.23</fb>
    <v>34</v>
  </rv>
  <rv s="14">
    <fb>119.35</fb>
    <v>34</v>
  </rv>
  <rv s="14">
    <fb>1170.99</fb>
    <v>34</v>
  </rv>
  <rv s="14">
    <fb>150.76</fb>
    <v>34</v>
  </rv>
  <rv s="14">
    <fb>235.81</fb>
    <v>34</v>
  </rv>
  <rv s="14">
    <fb>22.965</fb>
    <v>34</v>
  </rv>
  <rv s="14">
    <fb>21.302499999999998</fb>
    <v>34</v>
  </rv>
  <rv s="14">
    <fb>45874</fb>
    <v>33</v>
  </rv>
  <rv s="14">
    <fb>202.92</fb>
    <v>34</v>
  </rv>
  <rv s="14">
    <fb>178.26</fb>
    <v>34</v>
  </rv>
  <rv s="14">
    <fb>527.75</fb>
    <v>34</v>
  </rv>
  <rv s="14">
    <fb>763.46</fb>
    <v>34</v>
  </rv>
  <rv s="14">
    <fb>194.67</fb>
    <v>34</v>
  </rv>
  <rv s="14">
    <fb>627.97</fb>
    <v>34</v>
  </rv>
  <rv s="14">
    <fb>311.16000000000003</fb>
    <v>34</v>
  </rv>
  <rv s="14">
    <fb>75.02</fb>
    <v>34</v>
  </rv>
  <rv s="14">
    <fb>95.74</fb>
    <v>34</v>
  </rv>
  <rv s="14">
    <fb>47.334299999999999</fb>
    <v>34</v>
  </rv>
  <rv s="14">
    <fb>85.51</fb>
    <v>34</v>
  </rv>
  <rv s="14">
    <fb>34.35</fb>
    <v>34</v>
  </rv>
  <rv s="14">
    <fb>25.92</fb>
    <v>34</v>
  </rv>
  <rv s="14">
    <fb>4.25</fb>
    <v>34</v>
  </rv>
  <rv s="14">
    <fb>66.91</fb>
    <v>34</v>
  </rv>
  <rv s="14">
    <fb>119.93</fb>
    <v>34</v>
  </rv>
  <rv s="14">
    <fb>464.19</fb>
    <v>34</v>
  </rv>
  <rv s="14">
    <fb>291.37</fb>
    <v>34</v>
  </rv>
  <rv s="14">
    <fb>107.24</fb>
    <v>34</v>
  </rv>
  <rv s="14">
    <fb>153.04</fb>
    <v>34</v>
  </rv>
  <rv s="14">
    <fb>170.74</fb>
    <v>34</v>
  </rv>
  <rv s="14">
    <fb>298.77</fb>
    <v>34</v>
  </rv>
  <rv s="14">
    <fb>118.32</fb>
    <v>34</v>
  </rv>
  <rv s="14">
    <fb>1147.8699999999999</fb>
    <v>34</v>
  </rv>
  <rv s="14">
    <fb>150.51</fb>
    <v>34</v>
  </rv>
  <rv s="14">
    <fb>139.44999999999999</fb>
    <v>34</v>
  </rv>
  <rv s="14">
    <fb>241.99</fb>
    <v>34</v>
  </rv>
  <rv s="14">
    <fb>59.73</fb>
    <v>34</v>
  </rv>
  <rv s="14">
    <fb>56.22</fb>
    <v>34</v>
  </rv>
  <rv s="14">
    <fb>21.363900000000001</fb>
    <v>34</v>
  </rv>
  <rv s="14">
    <fb>45875</fb>
    <v>33</v>
  </rv>
  <rv s="14">
    <fb>213.25</fb>
    <v>34</v>
  </rv>
  <rv s="14">
    <fb>179.42</fb>
    <v>34</v>
  </rv>
  <rv s="14">
    <fb>524.94000000000005</fb>
    <v>34</v>
  </rv>
  <rv s="14">
    <fb>771.99</fb>
    <v>34</v>
  </rv>
  <rv s="14">
    <fb>196.09</fb>
    <v>34</v>
  </rv>
  <rv s="14">
    <fb>632.78</fb>
    <v>34</v>
  </rv>
  <rv s="14">
    <fb>310.5</fb>
    <v>34</v>
  </rv>
  <rv s="14">
    <fb>95.67</fb>
    <v>34</v>
  </rv>
  <rv s="14">
    <fb>47.325000000000003</fb>
    <v>34</v>
  </rv>
  <rv s="14">
    <fb>145.87</fb>
    <v>34</v>
  </rv>
  <rv s="14">
    <fb>84.72</fb>
    <v>34</v>
  </rv>
  <rv s="14">
    <fb>13.4</fb>
    <v>34</v>
  </rv>
  <rv s="14">
    <fb>66.77</fb>
    <v>34</v>
  </rv>
  <rv s="14">
    <fb>121.9</fb>
    <v>34</v>
  </rv>
  <rv s="14">
    <fb>468.91</fb>
    <v>34</v>
  </rv>
  <rv s="14">
    <fb>291.35000000000002</fb>
    <v>34</v>
  </rv>
  <rv s="14">
    <fb>45.42</fb>
    <v>34</v>
  </rv>
  <rv s="14">
    <fb>106.51</fb>
    <v>34</v>
  </rv>
  <rv s="14">
    <fb>152.78</fb>
    <v>34</v>
  </rv>
  <rv s="14">
    <fb>170.59</fb>
    <v>34</v>
  </rv>
  <rv s="14">
    <fb>69.510000000000005</fb>
    <v>34</v>
  </rv>
  <rv s="14">
    <fb>307.66000000000003</fb>
    <v>34</v>
  </rv>
  <rv s="14">
    <fb>115.17</fb>
    <v>34</v>
  </rv>
  <rv s="14">
    <fb>1178.48</fb>
    <v>34</v>
  </rv>
  <rv s="14">
    <fb>152.86000000000001</fb>
    <v>34</v>
  </rv>
  <rv s="14">
    <fb>140.80000000000001</fb>
    <v>34</v>
  </rv>
  <rv s="14">
    <fb>238.95</fb>
    <v>34</v>
  </rv>
  <rv s="14">
    <fb>27.680099999999999</fb>
    <v>34</v>
  </rv>
  <rv s="14">
    <fb>21.192499999999999</fb>
    <v>34</v>
  </rv>
  <rv s="14">
    <fb>45876</fb>
    <v>33</v>
  </rv>
  <rv s="14">
    <fb>220.03</fb>
    <v>34</v>
  </rv>
  <rv s="14">
    <fb>180.77</fb>
    <v>34</v>
  </rv>
  <rv s="14">
    <fb>520.84</fb>
    <v>34</v>
  </rv>
  <rv s="14">
    <fb>761.83</fb>
    <v>34</v>
  </rv>
  <rv s="14">
    <fb>196.52</fb>
    <v>34</v>
  </rv>
  <rv s="14">
    <fb>632.25</fb>
    <v>34</v>
  </rv>
  <rv s="14">
    <fb>87.67</fb>
    <v>34</v>
  </rv>
  <rv s="14">
    <fb>313.12</fb>
    <v>34</v>
  </rv>
  <rv s="14">
    <fb>73.42</fb>
    <v>34</v>
  </rv>
  <rv s="14">
    <fb>95.6</fb>
    <v>34</v>
  </rv>
  <rv s="14">
    <fb>47.344999999999999</fb>
    <v>34</v>
  </rv>
  <rv s="14">
    <fb>141.11000000000001</fb>
    <v>34</v>
  </rv>
  <rv s="14">
    <fb>84.39</fb>
    <v>34</v>
  </rv>
  <rv s="14">
    <fb>13.39</fb>
    <v>34</v>
  </rv>
  <rv s="14">
    <fb>34.76</fb>
    <v>34</v>
  </rv>
  <rv s="14">
    <fb>4.33</fb>
    <v>34</v>
  </rv>
  <rv s="14">
    <fb>121.89</fb>
    <v>34</v>
  </rv>
  <rv s="14">
    <fb>461.47</fb>
    <v>34</v>
  </rv>
  <rv s="14">
    <fb>286.94</fb>
    <v>34</v>
  </rv>
  <rv s="14">
    <fb>44.92</fb>
    <v>34</v>
  </rv>
  <rv s="14">
    <fb>105.95</fb>
    <v>34</v>
  </rv>
  <rv s="14">
    <fb>153.16</fb>
    <v>34</v>
  </rv>
  <rv s="14">
    <fb>171.53</fb>
    <v>34</v>
  </rv>
  <rv s="14">
    <fb>307.91000000000003</fb>
    <v>34</v>
  </rv>
  <rv s="14">
    <fb>1180.3699999999999</fb>
    <v>34</v>
  </rv>
  <rv s="14">
    <fb>143.91999999999999</fb>
    <v>34</v>
  </rv>
  <rv s="14">
    <fb>235.79</fb>
    <v>34</v>
  </rv>
  <rv s="14">
    <fb>86.63</fb>
    <v>34</v>
  </rv>
  <rv s="14">
    <fb>27.482800000000001</fb>
    <v>34</v>
  </rv>
  <rv s="14">
    <fb>59.7</fb>
    <v>34</v>
  </rv>
  <rv s="14">
    <fb>55.85</fb>
    <v>34</v>
  </rv>
  <rv s="14">
    <fb>21.240500000000001</fb>
    <v>34</v>
  </rv>
  <rv s="14">
    <fb>45877</fb>
    <v>33</v>
  </rv>
  <rv s="14">
    <fb>229.35</fb>
    <v>34</v>
  </rv>
  <rv s="14">
    <fb>182.7</fb>
    <v>34</v>
  </rv>
  <rv s="14">
    <fb>522.04</fb>
    <v>34</v>
  </rv>
  <rv s="14">
    <fb>769.3</fb>
    <v>34</v>
  </rv>
  <rv s="14">
    <fb>201.42</fb>
    <v>34</v>
  </rv>
  <rv s="14">
    <fb>637.17999999999995</fb>
    <v>34</v>
  </rv>
  <rv s="14">
    <fb>313.05</fb>
    <v>34</v>
  </rv>
  <rv s="14">
    <fb>84.93</fb>
    <v>34</v>
  </rv>
  <rv s="14">
    <fb>34.880000000000003</fb>
    <v>34</v>
  </rv>
  <rv s="14">
    <fb>121.13</fb>
    <v>34</v>
  </rv>
  <rv s="14">
    <fb>465.4</fb>
    <v>34</v>
  </rv>
  <rv s="14">
    <fb>288.76</fb>
    <v>34</v>
  </rv>
  <rv s="14">
    <fb>106.8</fb>
    <v>34</v>
  </rv>
  <rv s="14">
    <fb>173.33</fb>
    <v>34</v>
  </rv>
  <rv s="14">
    <fb>305.45</fb>
    <v>34</v>
  </rv>
  <rv s="14">
    <fb>1211.6400000000001</fb>
    <v>34</v>
  </rv>
  <rv s="14">
    <fb>145.21</fb>
    <v>34</v>
  </rv>
  <rv s="14">
    <fb>237.51</fb>
    <v>34</v>
  </rv>
  <rv s="14">
    <fb>59.59</fb>
    <v>34</v>
  </rv>
  <rv s="14">
    <fb>55.64</fb>
    <v>34</v>
  </rv>
  <rv s="14">
    <fb>21.043500000000002</fb>
    <v>34</v>
  </rv>
  <rv s="14">
    <fb>45880</fb>
    <v>33</v>
  </rv>
  <rv s="14">
    <fb>227.18</fb>
    <v>34</v>
  </rv>
  <rv s="14">
    <fb>182.06</fb>
    <v>34</v>
  </rv>
  <rv s="14">
    <fb>521.77</fb>
    <v>34</v>
  </rv>
  <rv s="14">
    <fb>765.87</fb>
    <v>34</v>
  </rv>
  <rv s="14">
    <fb>635.91999999999996</fb>
    <v>34</v>
  </rv>
  <rv s="14">
    <fb>73.8</fb>
    <v>34</v>
  </rv>
  <rv s="14">
    <fb>47.269199999999998</fb>
    <v>34</v>
  </rv>
  <rv s="14">
    <fb>142.12</fb>
    <v>34</v>
  </rv>
  <rv s="14">
    <fb>84.25</fb>
    <v>34</v>
  </rv>
  <rv s="14">
    <fb>4.58</fb>
    <v>35</v>
  </rv>
  <rv s="14">
    <fb>34.18</fb>
    <v>34</v>
  </rv>
  <rv s="14">
    <fb>4.29</fb>
    <v>34</v>
  </rv>
  <rv s="14">
    <fb>66.37</fb>
    <v>34</v>
  </rv>
  <rv s="14">
    <fb>120.98</fb>
    <v>34</v>
  </rv>
  <rv s="14">
    <fb>464.73</fb>
    <v>34</v>
  </rv>
  <rv s="14">
    <fb>289.56</fb>
    <v>34</v>
  </rv>
  <rv s="14">
    <fb>46.16</fb>
    <v>34</v>
  </rv>
  <rv s="14">
    <fb>105.83</fb>
    <v>34</v>
  </rv>
  <rv s="14">
    <fb>153.44999999999999</fb>
    <v>34</v>
  </rv>
  <rv s="14">
    <fb>304.36</fb>
    <v>34</v>
  </rv>
  <rv s="14">
    <fb>1218.31</fb>
    <v>34</v>
  </rv>
  <rv s="14">
    <fb>154.97999999999999</fb>
    <v>34</v>
  </rv>
  <rv s="14">
    <fb>144.87</fb>
    <v>34</v>
  </rv>
  <rv s="14">
    <fb>233.61</fb>
    <v>34</v>
  </rv>
  <rv s="14">
    <fb>86.38</fb>
    <v>34</v>
  </rv>
  <rv s="14">
    <fb>21.004999999999999</fb>
    <v>34</v>
  </rv>
  <rv s="14">
    <fb>45881</fb>
    <v>33</v>
  </rv>
  <rv s="14">
    <fb>229.65</fb>
    <v>34</v>
  </rv>
  <rv s="14">
    <fb>183.16</fb>
    <v>34</v>
  </rv>
  <rv s="14">
    <fb>529.24</fb>
    <v>34</v>
  </rv>
  <rv s="14">
    <fb>790</fb>
    <v>34</v>
  </rv>
  <rv s="14">
    <fb>203.34</fb>
    <v>34</v>
  </rv>
  <rv s="14">
    <fb>642.69000000000005</fb>
    <v>34</v>
  </rv>
  <rv s="14">
    <fb>86.95</fb>
    <v>34</v>
  </rv>
  <rv s="14">
    <fb>308.27</fb>
    <v>34</v>
  </rv>
  <rv s="14">
    <fb>72.95</fb>
    <v>34</v>
  </rv>
  <rv s="14">
    <fb>47.266800000000003</fb>
    <v>34</v>
  </rv>
  <rv s="14">
    <fb>144.6</fb>
    <v>34</v>
  </rv>
  <rv s="14">
    <fb>13.27</fb>
    <v>34</v>
  </rv>
  <rv s="14">
    <fb>4.22</fb>
    <v>34</v>
  </rv>
  <rv s="14">
    <fb>121.98</fb>
    <v>34</v>
  </rv>
  <rv s="14">
    <fb>470.39</fb>
    <v>34</v>
  </rv>
  <rv s="14">
    <fb>106.13</fb>
    <v>34</v>
  </rv>
  <rv s="14">
    <fb>172.78</fb>
    <v>34</v>
  </rv>
  <rv s="14">
    <fb>70.709999999999994</fb>
    <v>34</v>
  </rv>
  <rv s="14">
    <fb>301.64</fb>
    <v>34</v>
  </rv>
  <rv s="14">
    <fb>113.72</fb>
    <v>34</v>
  </rv>
  <rv s="14">
    <fb>1225.28</fb>
    <v>34</v>
  </rv>
  <rv s="14">
    <fb>155.09</fb>
    <v>34</v>
  </rv>
  <rv s="14">
    <fb>146.87</fb>
    <v>34</v>
  </rv>
  <rv s="14">
    <fb>237.22</fb>
    <v>34</v>
  </rv>
  <rv s="14">
    <fb>87.16</fb>
    <v>34</v>
  </rv>
  <rv s="14">
    <fb>59.61</fb>
    <v>34</v>
  </rv>
  <rv s="14">
    <fb>55.44</fb>
    <v>34</v>
  </rv>
  <rv s="14">
    <fb>21.141400000000001</fb>
    <v>34</v>
  </rv>
  <rv s="14">
    <fb>45882</fb>
    <v>33</v>
  </rv>
  <rv s="14">
    <fb>233.33</fb>
    <v>34</v>
  </rv>
  <rv s="14">
    <fb>181.59</fb>
    <v>34</v>
  </rv>
  <rv s="14">
    <fb>520.58000000000004</fb>
    <v>34</v>
  </rv>
  <rv s="14">
    <fb>780.08</fb>
    <v>34</v>
  </rv>
  <rv s="14">
    <fb>201.96</fb>
    <v>34</v>
  </rv>
  <rv s="14">
    <fb>644.89</fb>
    <v>34</v>
  </rv>
  <rv s="14">
    <fb>309.20999999999998</fb>
    <v>34</v>
  </rv>
  <rv s="14">
    <fb>72.459999999999994</fb>
    <v>34</v>
  </rv>
  <rv s="14">
    <fb>95.73</fb>
    <v>34</v>
  </rv>
  <rv s="14">
    <fb>47.4328</fb>
    <v>34</v>
  </rv>
  <rv s="14">
    <fb>140.94999999999999</fb>
    <v>34</v>
  </rv>
  <rv s="14">
    <fb>35</fb>
    <v>34</v>
  </rv>
  <rv s="14">
    <fb>4.24</fb>
    <v>34</v>
  </rv>
  <rv s="14">
    <fb>66.489999999999995</fb>
    <v>34</v>
  </rv>
  <rv s="14">
    <fb>122.16</fb>
    <v>34</v>
  </rv>
  <rv s="14">
    <fb>477.31</fb>
    <v>34</v>
  </rv>
  <rv s="14">
    <fb>290.52999999999997</fb>
    <v>34</v>
  </rv>
  <rv s="14">
    <fb>47.24</fb>
    <v>34</v>
  </rv>
  <rv s="14">
    <fb>107.6</fb>
    <v>34</v>
  </rv>
  <rv s="14">
    <fb>155.87</fb>
    <v>34</v>
  </rv>
  <rv s="14">
    <fb>174.42</fb>
    <v>34</v>
  </rv>
  <rv s="14">
    <fb>305.07</fb>
    <v>34</v>
  </rv>
  <rv s="14">
    <fb>116.64</fb>
    <v>34</v>
  </rv>
  <rv s="14">
    <fb>1204.44</fb>
    <v>34</v>
  </rv>
  <rv s="14">
    <fb>155.41</fb>
    <v>34</v>
  </rv>
  <rv s="14">
    <fb>149.35</fb>
    <v>34</v>
  </rv>
  <rv s="14">
    <fb>28.0441</fb>
    <v>34</v>
  </rv>
  <rv s="14">
    <fb>22.954999999999998</fb>
    <v>34</v>
  </rv>
  <rv s="14">
    <fb>59.77</fb>
    <v>34</v>
  </rv>
  <rv s="14">
    <fb>21.341899999999999</fb>
    <v>34</v>
  </rv>
  <rv s="14">
    <fb>45883</fb>
    <v>33</v>
  </rv>
  <rv s="14">
    <fb>232.78</fb>
    <v>34</v>
  </rv>
  <rv s="14">
    <fb>182.02</fb>
    <v>34</v>
  </rv>
  <rv s="14">
    <fb>522.48</fb>
    <v>34</v>
  </rv>
  <rv s="14">
    <fb>782.13</fb>
    <v>34</v>
  </rv>
  <rv s="14">
    <fb>202.94</fb>
    <v>34</v>
  </rv>
  <rv s="14">
    <fb>644.95000000000005</fb>
    <v>34</v>
  </rv>
  <rv s="14">
    <fb>87.02</fb>
    <v>34</v>
  </rv>
  <rv s="14">
    <fb>307.25</fb>
    <v>34</v>
  </rv>
  <rv s="14">
    <fb>73.739999999999995</fb>
    <v>34</v>
  </rv>
  <rv s="14">
    <fb>95.42</fb>
    <v>34</v>
  </rv>
  <rv s="14">
    <fb>47.31</fb>
    <v>34</v>
  </rv>
  <rv s="14">
    <fb>140.68</fb>
    <v>34</v>
  </rv>
  <rv s="14">
    <fb>85.56</fb>
    <v>34</v>
  </rv>
  <rv s="14">
    <fb>13.41</fb>
    <v>34</v>
  </rv>
  <rv s="14">
    <fb>34.5</fb>
    <v>34</v>
  </rv>
  <rv s="14">
    <fb>4.2</fb>
    <v>34</v>
  </rv>
  <rv s="14">
    <fb>123.78</fb>
    <v>34</v>
  </rv>
  <rv s="14">
    <fb>479.22</fb>
    <v>34</v>
  </rv>
  <rv s="14">
    <fb>294.16000000000003</fb>
    <v>34</v>
  </rv>
  <rv s="14">
    <fb>47.71</fb>
    <v>34</v>
  </rv>
  <rv s="14">
    <fb>107.38</fb>
    <v>34</v>
  </rv>
  <rv s="14">
    <fb>155.16</fb>
    <v>34</v>
  </rv>
  <rv s="14">
    <fb>174.72</fb>
    <v>34</v>
  </rv>
  <rv s="14">
    <fb>308.95</fb>
    <v>34</v>
  </rv>
  <rv s="14">
    <fb>116.31</fb>
    <v>34</v>
  </rv>
  <rv s="14">
    <fb>1230.56</fb>
    <v>34</v>
  </rv>
  <rv s="14">
    <fb>153.74</fb>
    <v>34</v>
  </rv>
  <rv s="14">
    <fb>239.63</fb>
    <v>34</v>
  </rv>
  <rv s="14">
    <fb>28.08</fb>
    <v>34</v>
  </rv>
  <rv s="14">
    <fb>58.65</fb>
    <v>34</v>
  </rv>
  <rv s="14">
    <fb>59.64</fb>
    <v>34</v>
  </rv>
  <rv s="14">
    <fb>21.150400000000001</fb>
    <v>34</v>
  </rv>
  <rv s="14">
    <fb>45884</fb>
    <v>33</v>
  </rv>
  <rv s="14">
    <fb>231.59</fb>
    <v>34</v>
  </rv>
  <rv s="14">
    <fb>180.45</fb>
    <v>34</v>
  </rv>
  <rv s="14">
    <fb>520.16999999999996</fb>
    <v>34</v>
  </rv>
  <rv s="14">
    <fb>785.23</fb>
    <v>34</v>
  </rv>
  <rv s="14">
    <fb>203.9</fb>
    <v>34</v>
  </rv>
  <rv s="14">
    <fb>643.44000000000005</fb>
    <v>34</v>
  </rv>
  <rv s="14">
    <fb>307.43</fb>
    <v>34</v>
  </rv>
  <rv s="14">
    <fb>95.23</fb>
    <v>34</v>
  </rv>
  <rv s="14">
    <fb>139.38999999999999</fb>
    <v>34</v>
  </rv>
  <rv s="14">
    <fb>13.24</fb>
    <v>34</v>
  </rv>
  <rv s="14">
    <fb>66.13</fb>
    <v>34</v>
  </rv>
  <rv s="14">
    <fb>477.2</fb>
    <v>34</v>
  </rv>
  <rv s="14">
    <fb>290.49</fb>
    <v>34</v>
  </rv>
  <rv s="14">
    <fb>46.94</fb>
    <v>34</v>
  </rv>
  <rv s="14">
    <fb>156.55000000000001</fb>
    <v>34</v>
  </rv>
  <rv s="14">
    <fb>176.64</fb>
    <v>34</v>
  </rv>
  <rv s="14">
    <fb>69.92</fb>
    <v>34</v>
  </rv>
  <rv s="14">
    <fb>308.93</fb>
    <v>34</v>
  </rv>
  <rv s="14">
    <fb>115.39</fb>
    <v>34</v>
  </rv>
  <rv s="14">
    <fb>1238.95</fb>
    <v>34</v>
  </rv>
  <rv s="14">
    <fb>150.4</fb>
    <v>34</v>
  </rv>
  <rv s="14">
    <fb>236.66</fb>
    <v>34</v>
  </rv>
  <rv s="14">
    <fb>27.963999999999999</fb>
    <v>34</v>
  </rv>
  <rv s="14">
    <fb>22.855</fb>
    <v>34</v>
  </rv>
  <rv s="14">
    <fb>59.58</fb>
    <v>34</v>
  </rv>
  <rv s="14">
    <fb>21.254999999999999</fb>
    <v>34</v>
  </rv>
  <rv s="14">
    <fb>45887</fb>
    <v>33</v>
  </rv>
  <rv s="14">
    <fb>230.89</fb>
    <v>34</v>
  </rv>
  <rv s="14">
    <fb>182.01</fb>
    <v>34</v>
  </rv>
  <rv s="14">
    <fb>517.1</fb>
    <v>34</v>
  </rv>
  <rv s="14">
    <fb>767.37</fb>
    <v>34</v>
  </rv>
  <rv s="14">
    <fb>203.5</fb>
    <v>34</v>
  </rv>
  <rv s="14">
    <fb>643.29999999999995</fb>
    <v>34</v>
  </rv>
  <rv s="14">
    <fb>306.95</fb>
    <v>34</v>
  </rv>
  <rv s="14">
    <fb>73.17</fb>
    <v>34</v>
  </rv>
  <rv s="14">
    <fb>95.14</fb>
    <v>34</v>
  </rv>
  <rv s="14">
    <fb>85.05</fb>
    <v>34</v>
  </rv>
  <rv s="14">
    <fb>34.549999999999997</fb>
    <v>34</v>
  </rv>
  <rv s="14">
    <fb>4.21</fb>
    <v>34</v>
  </rv>
  <rv s="14">
    <fb>66.010000000000005</fb>
    <v>34</v>
  </rv>
  <rv s="14">
    <fb>121.48</fb>
    <v>34</v>
  </rv>
  <rv s="14">
    <fb>478.52</fb>
    <v>34</v>
  </rv>
  <rv s="14">
    <fb>291.52999999999997</fb>
    <v>34</v>
  </rv>
  <rv s="14">
    <fb>47.92</fb>
    <v>34</v>
  </rv>
  <rv s="14">
    <fb>106.72</fb>
    <v>34</v>
  </rv>
  <rv s="14">
    <fb>155.32</fb>
    <v>34</v>
  </rv>
  <rv s="14">
    <fb>176.25</fb>
    <v>34</v>
  </rv>
  <rv s="14">
    <fb>69.13</fb>
    <v>34</v>
  </rv>
  <rv s="14">
    <fb>308.7</fb>
    <v>34</v>
  </rv>
  <rv s="14">
    <fb>116.55</fb>
    <v>34</v>
  </rv>
  <rv s="14">
    <fb>1245.0899999999999</fb>
    <v>34</v>
  </rv>
  <rv s="14">
    <fb>155.72</fb>
    <v>34</v>
  </rv>
  <rv s="14">
    <fb>239.02</fb>
    <v>34</v>
  </rv>
  <rv s="14">
    <fb>87.42</fb>
    <v>34</v>
  </rv>
  <rv s="14">
    <fb>27.6858</fb>
    <v>34</v>
  </rv>
  <rv s="14">
    <fb>45888</fb>
    <v>33</v>
  </rv>
  <rv s="14">
    <fb>230.56</fb>
    <v>34</v>
  </rv>
  <rv s="14">
    <fb>509.77</fb>
    <v>34</v>
  </rv>
  <rv s="14">
    <fb>751.48</fb>
    <v>34</v>
  </rv>
  <rv s="14">
    <fb>201.57</fb>
    <v>34</v>
  </rv>
  <rv s="14">
    <fb>639.80999999999995</fb>
    <v>34</v>
  </rv>
  <rv s="14">
    <fb>305.27</fb>
    <v>34</v>
  </rv>
  <rv s="14">
    <fb>72.3</fb>
    <v>34</v>
  </rv>
  <rv s="14">
    <fb>47.288200000000003</fb>
    <v>34</v>
  </rv>
  <rv s="14">
    <fb>137.08000000000001</fb>
    <v>34</v>
  </rv>
  <rv s="14">
    <fb>85.08</fb>
    <v>34</v>
  </rv>
  <rv s="14">
    <fb>13.18</fb>
    <v>34</v>
  </rv>
  <rv s="14">
    <fb>5.2</fb>
    <v>35</v>
  </rv>
  <rv s="14">
    <fb>33.869999999999997</fb>
    <v>34</v>
  </rv>
  <rv s="14">
    <fb>4.1900000000000004</fb>
    <v>34</v>
  </rv>
  <rv s="14">
    <fb>119.46</fb>
    <v>34</v>
  </rv>
  <rv s="14">
    <fb>485.31</fb>
    <v>34</v>
  </rv>
  <rv s="14">
    <fb>290.66000000000003</fb>
    <v>34</v>
  </rv>
  <rv s="14">
    <fb>107.42</fb>
    <v>34</v>
  </rv>
  <rv s="14">
    <fb>177.8</fb>
    <v>34</v>
  </rv>
  <rv s="14">
    <fb>70.13</fb>
    <v>34</v>
  </rv>
  <rv s="14">
    <fb>310.93</fb>
    <v>34</v>
  </rv>
  <rv s="14">
    <fb>116.27</fb>
    <v>34</v>
  </rv>
  <rv s="14">
    <fb>1214.1500000000001</fb>
    <v>34</v>
  </rv>
  <rv s="14">
    <fb>158.4</fb>
    <v>34</v>
  </rv>
  <rv s="14">
    <fb>152.16</fb>
    <v>34</v>
  </rv>
  <rv s="14">
    <fb>237.65</fb>
    <v>34</v>
  </rv>
  <rv s="14">
    <fb>87.34</fb>
    <v>34</v>
  </rv>
  <rv s="14">
    <fb>55.3</fb>
    <v>34</v>
  </rv>
  <rv s="14">
    <fb>21.375699999999998</fb>
    <v>34</v>
  </rv>
  <rv s="14">
    <fb>45889</fb>
    <v>33</v>
  </rv>
  <rv s="14">
    <fb>226.01</fb>
    <v>34</v>
  </rv>
  <rv s="14">
    <fb>175.4</fb>
    <v>34</v>
  </rv>
  <rv s="14">
    <fb>505.72</fb>
    <v>34</v>
  </rv>
  <rv s="14">
    <fb>747.72</fb>
    <v>34</v>
  </rv>
  <rv s="14">
    <fb>199.32</fb>
    <v>34</v>
  </rv>
  <rv s="14">
    <fb>638.11</fb>
    <v>34</v>
  </rv>
  <rv s="14">
    <fb>86.84</fb>
    <v>34</v>
  </rv>
  <rv s="14">
    <fb>308.36</fb>
    <v>34</v>
  </rv>
  <rv s="14">
    <fb>73.52</fb>
    <v>34</v>
  </rv>
  <rv s="14">
    <fb>95.52</fb>
    <v>34</v>
  </rv>
  <rv s="14">
    <fb>47.102699999999999</fb>
    <v>34</v>
  </rv>
  <rv s="14">
    <fb>34.43</fb>
    <v>34</v>
  </rv>
  <rv s="14">
    <fb>4.2300000000000004</fb>
    <v>34</v>
  </rv>
  <rv s="14">
    <fb>66.319999999999993</fb>
    <v>34</v>
  </rv>
  <rv s="14">
    <fb>122.2</fb>
    <v>34</v>
  </rv>
  <rv s="14">
    <fb>488.68</fb>
    <v>34</v>
  </rv>
  <rv s="14">
    <fb>292.24</fb>
    <v>34</v>
  </rv>
  <rv s="14">
    <fb>48.35</fb>
    <v>34</v>
  </rv>
  <rv s="14">
    <fb>108.53</fb>
    <v>34</v>
  </rv>
  <rv s="14">
    <fb>178.84</fb>
    <v>34</v>
  </rv>
  <rv s="14">
    <fb>70.7</fb>
    <v>34</v>
  </rv>
  <rv s="14">
    <fb>313.08</fb>
    <v>34</v>
  </rv>
  <rv s="14">
    <fb>117.04</fb>
    <v>34</v>
  </rv>
  <rv s="14">
    <fb>1213.8599999999999</fb>
    <v>34</v>
  </rv>
  <rv s="14">
    <fb>159.51</fb>
    <v>34</v>
  </rv>
  <rv s="14">
    <fb>236.51</fb>
    <v>34</v>
  </rv>
  <rv s="14">
    <fb>27.751799999999999</fb>
    <v>34</v>
  </rv>
  <rv s="14">
    <fb>22.905000000000001</fb>
    <v>34</v>
  </rv>
  <rv s="14">
    <fb>59.71</fb>
    <v>34</v>
  </rv>
  <rv s="14">
    <fb>21.506</fb>
    <v>34</v>
  </rv>
  <rv s="14">
    <fb>45890</fb>
    <v>33</v>
  </rv>
  <rv s="14">
    <fb>174.98</fb>
    <v>34</v>
  </rv>
  <rv s="14">
    <fb>504.24</fb>
    <v>34</v>
  </rv>
  <rv s="14">
    <fb>739.1</fb>
    <v>34</v>
  </rv>
  <rv s="14">
    <fb>199.75</fb>
    <v>34</v>
  </rv>
  <rv s="14">
    <fb>635.54999999999995</fb>
    <v>34</v>
  </rv>
  <rv s="14">
    <fb>86.41</fb>
    <v>34</v>
  </rv>
  <rv s="14">
    <fb>307.29000000000002</fb>
    <v>34</v>
  </rv>
  <rv s="14">
    <fb>95.24</fb>
    <v>34</v>
  </rv>
  <rv s="14">
    <fb>46.984999999999999</fb>
    <v>34</v>
  </rv>
  <rv s="14">
    <fb>134.01</fb>
    <v>34</v>
  </rv>
  <rv s="14">
    <fb>13.5</fb>
    <v>34</v>
  </rv>
  <rv s="14">
    <fb>27.28</fb>
    <v>34</v>
  </rv>
  <rv s="14">
    <fb>66.099999999999994</fb>
    <v>34</v>
  </rv>
  <rv s="14">
    <fb>488.59</fb>
    <v>34</v>
  </rv>
  <rv s="14">
    <fb>48.26</fb>
    <v>34</v>
  </rv>
  <rv s="14">
    <fb>155.55000000000001</fb>
    <v>34</v>
  </rv>
  <rv s="14">
    <fb>178.93</fb>
    <v>34</v>
  </rv>
  <rv s="14">
    <fb>70.66</fb>
    <v>34</v>
  </rv>
  <rv s="14">
    <fb>313.22000000000003</fb>
    <v>34</v>
  </rv>
  <rv s="14">
    <fb>116.21</fb>
    <v>34</v>
  </rv>
  <rv s="14">
    <fb>1206.21</fb>
    <v>34</v>
  </rv>
  <rv s="14">
    <fb>148.97999999999999</fb>
    <v>34</v>
  </rv>
  <rv s="14">
    <fb>240.14</fb>
    <v>34</v>
  </rv>
  <rv s="14">
    <fb>21.4544</fb>
    <v>34</v>
  </rv>
  <rv s="14">
    <fb>45891</fb>
    <v>33</v>
  </rv>
  <rv s="14">
    <fb>227.76</fb>
    <v>34</v>
  </rv>
  <rv s="14">
    <fb>177.99</fb>
    <v>34</v>
  </rv>
  <rv s="14">
    <fb>507.23</fb>
    <v>34</v>
  </rv>
  <rv s="14">
    <fb>754.79</fb>
    <v>34</v>
  </rv>
  <rv s="14">
    <fb>645.30999999999995</fb>
    <v>34</v>
  </rv>
  <rv s="14">
    <fb>310.58</fb>
    <v>34</v>
  </rv>
  <rv s="14">
    <fb>74.64</fb>
    <v>34</v>
  </rv>
  <rv s="14">
    <fb>47.244999999999997</fb>
    <v>34</v>
  </rv>
  <rv s="14">
    <fb>134.19999999999999</fb>
    <v>34</v>
  </rv>
  <rv s="14">
    <fb>35.340000000000003</fb>
    <v>34</v>
  </rv>
  <rv s="14">
    <fb>66.790000000000006</fb>
    <v>34</v>
  </rv>
  <rv s="14">
    <fb>123.98</fb>
    <v>34</v>
  </rv>
  <rv s="14">
    <fb>489</fb>
    <v>34</v>
  </rv>
  <rv s="14">
    <fb>49.48</fb>
    <v>34</v>
  </rv>
  <rv s="14">
    <fb>111.28</fb>
    <v>34</v>
  </rv>
  <rv s="14">
    <fb>158.18</fb>
    <v>34</v>
  </rv>
  <rv s="14">
    <fb>179.29</fb>
    <v>34</v>
  </rv>
  <rv s="14">
    <fb>314.07</fb>
    <v>34</v>
  </rv>
  <rv s="14">
    <fb>118.86</fb>
    <v>34</v>
  </rv>
  <rv s="14">
    <fb>1204.6500000000001</fb>
    <v>34</v>
  </rv>
  <rv s="14">
    <fb>158.66999999999999</fb>
    <v>34</v>
  </rv>
  <rv s="14">
    <fb>149.63999999999999</fb>
    <v>34</v>
  </rv>
  <rv s="14">
    <fb>252.19</fb>
    <v>34</v>
  </rv>
  <rv s="14">
    <fb>90.89</fb>
    <v>34</v>
  </rv>
  <rv s="14">
    <fb>55.53</fb>
    <v>34</v>
  </rv>
  <rv s="14">
    <fb>21.816700000000001</fb>
    <v>34</v>
  </rv>
  <rv s="14">
    <fb>45894</fb>
    <v>33</v>
  </rv>
  <rv s="14">
    <fb>227.16</fb>
    <v>34</v>
  </rv>
  <rv s="14">
    <fb>179.81</fb>
    <v>34</v>
  </rv>
  <rv s="14">
    <fb>504.26</fb>
    <v>34</v>
  </rv>
  <rv s="14">
    <fb>753.3</fb>
    <v>34</v>
  </rv>
  <rv s="14">
    <fb>208.49</fb>
    <v>34</v>
  </rv>
  <rv s="14">
    <fb>642.47</fb>
    <v>34</v>
  </rv>
  <rv s="14">
    <fb>86.8</fb>
    <v>34</v>
  </rv>
  <rv s="14">
    <fb>309.83</fb>
    <v>34</v>
  </rv>
  <rv s="14">
    <fb>75.75</fb>
    <v>34</v>
  </rv>
  <rv s="14">
    <fb>95.58</fb>
    <v>34</v>
  </rv>
  <rv s="14">
    <fb>47.195</fb>
    <v>34</v>
  </rv>
  <rv s="14">
    <fb>133.88999999999999</fb>
    <v>34</v>
  </rv>
  <rv s="14">
    <fb>88.37</fb>
    <v>34</v>
  </rv>
  <rv s="14">
    <fb>13.8</fb>
    <v>34</v>
  </rv>
  <rv s="14">
    <fb>4.79</fb>
    <v>35</v>
  </rv>
  <rv s="14">
    <fb>35.020000000000003</fb>
    <v>34</v>
  </rv>
  <rv s="14">
    <fb>66.64</fb>
    <v>34</v>
  </rv>
  <rv s="14">
    <fb>122.25</fb>
    <v>34</v>
  </rv>
  <rv s="14">
    <fb>486.18</fb>
    <v>34</v>
  </rv>
  <rv s="14">
    <fb>294.89999999999998</fb>
    <v>34</v>
  </rv>
  <rv s="14">
    <fb>158.19999999999999</fb>
    <v>34</v>
  </rv>
  <rv s="14">
    <fb>178.41</fb>
    <v>34</v>
  </rv>
  <rv s="14">
    <fb>68.930000000000007</fb>
    <v>34</v>
  </rv>
  <rv s="14">
    <fb>313.44</fb>
    <v>34</v>
  </rv>
  <rv s="14">
    <fb>117.71</fb>
    <v>34</v>
  </rv>
  <rv s="14">
    <fb>1218.07</fb>
    <v>34</v>
  </rv>
  <rv s="14">
    <fb>148.19999999999999</fb>
    <v>34</v>
  </rv>
  <rv s="14">
    <fb>251.9</fb>
    <v>34</v>
  </rv>
  <rv s="14">
    <fb>58.72</fb>
    <v>34</v>
  </rv>
  <rv s="14">
    <fb>59.76</fb>
    <v>34</v>
  </rv>
  <rv s="14">
    <fb>21.6632</fb>
    <v>34</v>
  </rv>
  <rv s="14">
    <fb>45895</fb>
    <v>33</v>
  </rv>
  <rv s="14">
    <fb>229.31</fb>
    <v>34</v>
  </rv>
  <rv s="14">
    <fb>181.77</fb>
    <v>34</v>
  </rv>
  <rv s="14">
    <fb>502.04</fb>
    <v>34</v>
  </rv>
  <rv s="14">
    <fb>754.1</fb>
    <v>34</v>
  </rv>
  <rv s="14">
    <fb>207.14</fb>
    <v>34</v>
  </rv>
  <rv s="14">
    <fb>645.16</fb>
    <v>34</v>
  </rv>
  <rv s="14">
    <fb>312.08</fb>
    <v>34</v>
  </rv>
  <rv s="14">
    <fb>74.05</fb>
    <v>34</v>
  </rv>
  <rv s="14">
    <fb>47.36</fb>
    <v>34</v>
  </rv>
  <rv s="14">
    <fb>134.4</fb>
    <v>34</v>
  </rv>
  <rv s="14">
    <fb>67.12</fb>
    <v>34</v>
  </rv>
  <rv s="14">
    <fb>123.22</fb>
    <v>34</v>
  </rv>
  <rv s="14">
    <fb>492.21</fb>
    <v>34</v>
  </rv>
  <rv s="14">
    <fb>50.25</fb>
    <v>34</v>
  </rv>
  <rv s="14">
    <fb>111.49</fb>
    <v>34</v>
  </rv>
  <rv s="14">
    <fb>157.36000000000001</fb>
    <v>34</v>
  </rv>
  <rv s="14">
    <fb>176.49</fb>
    <v>34</v>
  </rv>
  <rv s="14">
    <fb>312.94</fb>
    <v>34</v>
  </rv>
  <rv s="14">
    <fb>117.65</fb>
    <v>34</v>
  </rv>
  <rv s="14">
    <fb>1226.0899999999999</fb>
    <v>34</v>
  </rv>
  <rv s="14">
    <fb>155.97</fb>
    <v>34</v>
  </rv>
  <rv s="14">
    <fb>147</fb>
    <v>34</v>
  </rv>
  <rv s="14">
    <fb>249.13</fb>
    <v>34</v>
  </rv>
  <rv s="14">
    <fb>55.4</fb>
    <v>34</v>
  </rv>
  <rv s="14">
    <fb>21.565300000000001</fb>
    <v>34</v>
  </rv>
  <rv s="14">
    <fb>45896</fb>
    <v>33</v>
  </rv>
  <rv s="14">
    <fb>230.49</fb>
    <v>34</v>
  </rv>
  <rv s="14">
    <fb>181.6</fb>
    <v>34</v>
  </rv>
  <rv s="14">
    <fb>506.74</fb>
    <v>34</v>
  </rv>
  <rv s="14">
    <fb>747.38</fb>
    <v>34</v>
  </rv>
  <rv s="14">
    <fb>207.48</fb>
    <v>34</v>
  </rv>
  <rv s="14">
    <fb>646.63</fb>
    <v>34</v>
  </rv>
  <rv s="14">
    <fb>312.70999999999998</fb>
    <v>34</v>
  </rv>
  <rv s="14">
    <fb>74.680000000000007</fb>
    <v>34</v>
  </rv>
  <rv s="14">
    <fb>96.01</fb>
    <v>34</v>
  </rv>
  <rv s="14">
    <fb>47.284999999999997</fb>
    <v>34</v>
  </rv>
  <rv s="14">
    <fb>34.99</fb>
    <v>34</v>
  </rv>
  <rv s="14">
    <fb>67.25</fb>
    <v>34</v>
  </rv>
  <rv s="14">
    <fb>495.72</fb>
    <v>34</v>
  </rv>
  <rv s="14">
    <fb>299.27999999999997</fb>
    <v>34</v>
  </rv>
  <rv s="14">
    <fb>50.38</fb>
    <v>34</v>
  </rv>
  <rv s="14">
    <fb>112.75</fb>
    <v>34</v>
  </rv>
  <rv s="14">
    <fb>159.24</fb>
    <v>34</v>
  </rv>
  <rv s="14">
    <fb>68.83</fb>
    <v>34</v>
  </rv>
  <rv s="14">
    <fb>311.43</fb>
    <v>34</v>
  </rv>
  <rv s="14">
    <fb>118.09</fb>
    <v>34</v>
  </rv>
  <rv s="14">
    <fb>1223.5</fb>
    <v>34</v>
  </rv>
  <rv s="14">
    <fb>156.96</fb>
    <v>34</v>
  </rv>
  <rv s="14">
    <fb>147.63999999999999</fb>
    <v>34</v>
  </rv>
  <rv s="14">
    <fb>92.55</fb>
    <v>34</v>
  </rv>
  <rv s="14">
    <fb>60</fb>
    <v>34</v>
  </rv>
  <rv s="14">
    <fb>21.726700000000001</fb>
    <v>34</v>
  </rv>
  <rv s="14">
    <fb>45897</fb>
    <v>33</v>
  </rv>
  <rv s="14">
    <fb>232.56</fb>
    <v>34</v>
  </rv>
  <rv s="14">
    <fb>180.17</fb>
    <v>34</v>
  </rv>
  <rv s="14">
    <fb>509.64</fb>
    <v>34</v>
  </rv>
  <rv s="14">
    <fb>751.11</fb>
    <v>34</v>
  </rv>
  <rv s="14">
    <fb>211.64</fb>
    <v>34</v>
  </rv>
  <rv s="14">
    <fb>648.91999999999996</fb>
    <v>34</v>
  </rv>
  <rv s="14">
    <fb>315.02999999999997</fb>
    <v>34</v>
  </rv>
  <rv s="14">
    <fb>75.239999999999995</fb>
    <v>34</v>
  </rv>
  <rv s="14">
    <fb>96.23</fb>
    <v>34</v>
  </rv>
  <rv s="14">
    <fb>47.336199999999998</fb>
    <v>34</v>
  </rv>
  <rv s="14">
    <fb>136.38999999999999</fb>
    <v>34</v>
  </rv>
  <rv s="14">
    <fb>89.9</fb>
    <v>34</v>
  </rv>
  <rv s="14">
    <fb>35.520000000000003</fb>
    <v>34</v>
  </rv>
  <rv s="14">
    <fb>67.739999999999995</fb>
    <v>34</v>
  </rv>
  <rv s="14">
    <fb>499.86</fb>
    <v>34</v>
  </rv>
  <rv s="14">
    <fb>301.07</fb>
    <v>34</v>
  </rv>
  <rv s="14">
    <fb>50.49</fb>
    <v>34</v>
  </rv>
  <rv s="14">
    <fb>113.35</fb>
    <v>34</v>
  </rv>
  <rv s="14">
    <fb>175.45</fb>
    <v>34</v>
  </rv>
  <rv s="14">
    <fb>68.36</fb>
    <v>34</v>
  </rv>
  <rv s="14">
    <fb>312.22000000000003</fb>
    <v>34</v>
  </rv>
  <rv s="14">
    <fb>117.64</fb>
    <v>34</v>
  </rv>
  <rv s="14">
    <fb>1231.45</fb>
    <v>34</v>
  </rv>
  <rv s="14">
    <fb>146.97999999999999</fb>
    <v>34</v>
  </rv>
  <rv s="14">
    <fb>256.11</fb>
    <v>34</v>
  </rv>
  <rv s="14">
    <fb>29.776700000000002</fb>
    <v>34</v>
  </rv>
  <rv s="14">
    <fb>23.004999999999999</fb>
    <v>34</v>
  </rv>
  <rv s="14">
    <fb>60.06</fb>
    <v>34</v>
  </rv>
  <rv s="14">
    <fb>21.633900000000001</fb>
    <v>34</v>
  </rv>
  <rv s="14">
    <fb>45898</fb>
    <v>33</v>
  </rv>
  <rv s="14">
    <fb>232.14</fb>
    <v>34</v>
  </rv>
  <rv s="14">
    <fb>174.18</fb>
    <v>34</v>
  </rv>
  <rv s="14">
    <fb>506.69</fb>
    <v>34</v>
  </rv>
  <rv s="14">
    <fb>738.7</fb>
    <v>34</v>
  </rv>
  <rv s="14">
    <fb>212.91</fb>
    <v>34</v>
  </rv>
  <rv s="14">
    <fb>86.6</fb>
    <v>34</v>
  </rv>
  <rv s="14">
    <fb>318.07</fb>
    <v>34</v>
  </rv>
  <rv s="14">
    <fb>74.84</fb>
    <v>34</v>
  </rv>
  <rv s="14">
    <fb>96.15</fb>
    <v>34</v>
  </rv>
  <rv s="14">
    <fb>47.293700000000001</fb>
    <v>34</v>
  </rv>
  <rv s="14">
    <fb>136.22999999999999</fb>
    <v>34</v>
  </rv>
  <rv s="14">
    <fb>13.62</fb>
    <v>34</v>
  </rv>
  <rv s="14">
    <fb>36.19</fb>
    <v>34</v>
  </rv>
  <rv s="14">
    <fb>4.28</fb>
    <v>34</v>
  </rv>
  <rv s="14">
    <fb>68.400000000000006</fb>
    <v>34</v>
  </rv>
  <rv s="14">
    <fb>125.22</fb>
    <v>34</v>
  </rv>
  <rv s="14">
    <fb>502.98</fb>
    <v>34</v>
  </rv>
  <rv s="14">
    <fb>301.42</fb>
    <v>34</v>
  </rv>
  <rv s="14">
    <fb>114.29</fb>
    <v>34</v>
  </rv>
  <rv s="14">
    <fb>177.17</fb>
    <v>34</v>
  </rv>
  <rv s="14">
    <fb>68.989999999999995</fb>
    <v>34</v>
  </rv>
  <rv s="14">
    <fb>313.54000000000002</fb>
    <v>34</v>
  </rv>
  <rv s="14">
    <fb>118.38</fb>
    <v>34</v>
  </rv>
  <rv s="14">
    <fb>1208.25</fb>
    <v>34</v>
  </rv>
  <rv s="14">
    <fb>148.65</fb>
    <v>34</v>
  </rv>
  <rv s="14">
    <fb>256.85000000000002</fb>
    <v>34</v>
  </rv>
  <rv s="14">
    <fb>29.78</fb>
    <v>34</v>
  </rv>
  <rv s="14">
    <fb>58.87</fb>
    <v>34</v>
  </rv>
  <rv s="14">
    <fb>60.08</fb>
    <v>34</v>
  </rv>
  <rv s="14">
    <fb>21.747</fb>
    <v>34</v>
  </rv>
  <rv s="14">
    <fb>45902</fb>
    <v>33</v>
  </rv>
  <rv s="14">
    <fb>229.72</fb>
    <v>34</v>
  </rv>
  <rv s="14">
    <fb>505.12</fb>
    <v>34</v>
  </rv>
  <rv s="14">
    <fb>735.11</fb>
    <v>34</v>
  </rv>
  <rv s="14">
    <fb>211.35</fb>
    <v>34</v>
  </rv>
  <rv s="14">
    <fb>640.27</fb>
    <v>34</v>
  </rv>
  <rv s="14">
    <fb>85.63</fb>
    <v>34</v>
  </rv>
  <rv s="14">
    <fb>325.58999999999997</fb>
    <v>34</v>
  </rv>
  <rv s="14">
    <fb>76.760000000000005</fb>
    <v>34</v>
  </rv>
  <rv s="14">
    <fb>95.55</fb>
    <v>34</v>
  </rv>
  <rv s="14">
    <fb>135.84</fb>
    <v>34</v>
  </rv>
  <rv s="14">
    <fb>70.05</fb>
    <v>34</v>
  </rv>
  <rv s="14">
    <fb>128.08000000000001</fb>
    <v>34</v>
  </rv>
  <rv s="14">
    <fb>501.14</fb>
    <v>34</v>
  </rv>
  <rv s="14">
    <fb>299.7</fb>
    <v>34</v>
  </rv>
  <rv s="14">
    <fb>50.42</fb>
    <v>34</v>
  </rv>
  <rv s="14">
    <fb>114.69</fb>
    <v>34</v>
  </rv>
  <rv s="14">
    <fb>161.83000000000001</fb>
    <v>34</v>
  </rv>
  <rv s="14">
    <fb>178.06</fb>
    <v>34</v>
  </rv>
  <rv s="14">
    <fb>69.06</fb>
    <v>34</v>
  </rv>
  <rv s="14">
    <fb>315.76</fb>
    <v>34</v>
  </rv>
  <rv s="14">
    <fb>1214.1099999999999</fb>
    <v>34</v>
  </rv>
  <rv s="14">
    <fb>150.28</fb>
    <v>34</v>
  </rv>
  <rv s="14">
    <fb>254.73</fb>
    <v>34</v>
  </rv>
  <rv s="14">
    <fb>94.5</fb>
    <v>34</v>
  </rv>
  <rv s="14">
    <fb>30.16</fb>
    <v>34</v>
  </rv>
  <rv s="14">
    <fb>54.81</fb>
    <v>34</v>
  </rv>
  <rv s="14">
    <fb>21.47</fb>
    <v>34</v>
  </rv>
  <rv s="14">
    <fb>45903</fb>
    <v>33</v>
  </rv>
  <rv s="14">
    <fb>238.47</fb>
    <v>34</v>
  </rv>
  <rv s="14">
    <fb>170.62</fb>
    <v>34</v>
  </rv>
  <rv s="14">
    <fb>505.35</fb>
    <v>34</v>
  </rv>
  <rv s="14">
    <fb>737.05</fb>
    <v>34</v>
  </rv>
  <rv s="14">
    <fb>230.66</fb>
    <v>34</v>
  </rv>
  <rv s="14">
    <fb>643.74</fb>
    <v>34</v>
  </rv>
  <rv s="14">
    <fb>86.57</fb>
    <v>34</v>
  </rv>
  <rv s="14">
    <fb>328.14</fb>
    <v>34</v>
  </rv>
  <rv s="14">
    <fb>74.83</fb>
    <v>34</v>
  </rv>
  <rv s="14">
    <fb>95.88</fb>
    <v>34</v>
  </rv>
  <rv s="14">
    <fb>47.335000000000001</fb>
    <v>34</v>
  </rv>
  <rv s="14">
    <fb>132.63</fb>
    <v>34</v>
  </rv>
  <rv s="14">
    <fb>37.340000000000003</fb>
    <v>34</v>
  </rv>
  <rv s="14">
    <fb>4.17</fb>
    <v>34</v>
  </rv>
  <rv s="14">
    <fb>70.58</fb>
    <v>34</v>
  </rv>
  <rv s="14">
    <fb>129.63</fb>
    <v>34</v>
  </rv>
  <rv s="14">
    <fb>501.49</fb>
    <v>34</v>
  </rv>
  <rv s="14">
    <fb>50.06</fb>
    <v>34</v>
  </rv>
  <rv s="14">
    <fb>111.91</fb>
    <v>34</v>
  </rv>
  <rv s="14">
    <fb>158.06</fb>
    <v>34</v>
  </rv>
  <rv s="14">
    <fb>178</fb>
    <v>34</v>
  </rv>
  <rv s="14">
    <fb>316.39</fb>
    <v>34</v>
  </rv>
  <rv s="14">
    <fb>117.38</fb>
    <v>34</v>
  </rv>
  <rv s="14">
    <fb>1226.18</fb>
    <v>34</v>
  </rv>
  <rv s="14">
    <fb>158.16999999999999</fb>
    <v>34</v>
  </rv>
  <rv s="14">
    <fb>29.303000000000001</fb>
    <v>34</v>
  </rv>
  <rv s="14">
    <fb>59.89</fb>
    <v>34</v>
  </rv>
  <rv s="14">
    <fb>55.33</fb>
    <v>34</v>
  </rv>
  <rv s="14">
    <fb>21.3978</fb>
    <v>34</v>
  </rv>
  <rv s="14">
    <fb>45904</fb>
    <v>33</v>
  </rv>
  <rv s="14">
    <fb>239.78</fb>
    <v>34</v>
  </rv>
  <rv s="14">
    <fb>171.66</fb>
    <v>34</v>
  </rv>
  <rv s="14">
    <fb>507.97</fb>
    <v>34</v>
  </rv>
  <rv s="14">
    <fb>748.65</fb>
    <v>34</v>
  </rv>
  <rv s="14">
    <fb>232.3</fb>
    <v>34</v>
  </rv>
  <rv s="14">
    <fb>649.12</fb>
    <v>34</v>
  </rv>
  <rv s="14">
    <fb>326.69</fb>
    <v>34</v>
  </rv>
  <rv s="14">
    <fb>74.180000000000007</fb>
    <v>34</v>
  </rv>
  <rv s="14">
    <fb>96.31</fb>
    <v>34</v>
  </rv>
  <rv s="14">
    <fb>47.535499999999999</fb>
    <v>34</v>
  </rv>
  <rv s="14">
    <fb>134.76</fb>
    <v>34</v>
  </rv>
  <rv s="14">
    <fb>89.08</fb>
    <v>34</v>
  </rv>
  <rv s="14">
    <fb>13.47</fb>
    <v>34</v>
  </rv>
  <rv s="14">
    <fb>4.8499999999999996</fb>
    <v>35</v>
  </rv>
  <rv s="14">
    <fb>36.93</fb>
    <v>34</v>
  </rv>
  <rv s="14">
    <fb>70.27</fb>
    <v>34</v>
  </rv>
  <rv s="14">
    <fb>125.33</fb>
    <v>34</v>
  </rv>
  <rv s="14">
    <fb>506.91</fb>
    <v>34</v>
  </rv>
  <rv s="14">
    <fb>303.82</fb>
    <v>34</v>
  </rv>
  <rv s="14">
    <fb>50.62</fb>
    <v>34</v>
  </rv>
  <rv s="14">
    <fb>112.4</fb>
    <v>34</v>
  </rv>
  <rv s="14">
    <fb>178.76</fb>
    <v>34</v>
  </rv>
  <rv s="14">
    <fb>68.25</fb>
    <v>34</v>
  </rv>
  <rv s="14">
    <fb>316.99</fb>
    <v>34</v>
  </rv>
  <rv s="14">
    <fb>118.81</fb>
    <v>34</v>
  </rv>
  <rv s="14">
    <fb>1257.48</fb>
    <v>34</v>
  </rv>
  <rv s="14">
    <fb>159.19</fb>
    <v>34</v>
  </rv>
  <rv s="14">
    <fb>146.88999999999999</fb>
    <v>34</v>
  </rv>
  <rv s="14">
    <fb>257.83999999999997</fb>
    <v>34</v>
  </rv>
  <rv s="14">
    <fb>92.58</fb>
    <v>34</v>
  </rv>
  <rv s="14">
    <fb>29.636800000000001</fb>
    <v>34</v>
  </rv>
  <rv s="14">
    <fb>60.05</fb>
    <v>34</v>
  </rv>
  <rv s="14">
    <fb>55.69</fb>
    <v>34</v>
  </rv>
  <rv s="14">
    <fb>21.465199999999999</fb>
    <v>34</v>
  </rv>
  <rv s="14">
    <fb>45905</fb>
    <v>33</v>
  </rv>
  <rv s="14">
    <fb>239.69</fb>
    <v>34</v>
  </rv>
  <rv s="14">
    <fb>167.02</fb>
    <v>34</v>
  </rv>
  <rv s="14">
    <fb>495</fb>
    <v>34</v>
  </rv>
  <rv s="14">
    <fb>752.45</fb>
    <v>34</v>
  </rv>
  <rv s="14">
    <fb>647.24</fb>
    <v>34</v>
  </rv>
  <rv s="14">
    <fb>331.05</fb>
    <v>34</v>
  </rv>
  <rv s="14">
    <fb>72.63</fb>
    <v>34</v>
  </rv>
  <rv s="14">
    <fb>96.78</fb>
    <v>34</v>
  </rv>
  <rv s="14">
    <fb>47.87</fb>
    <v>34</v>
  </rv>
  <rv s="14">
    <fb>131.55000000000001</fb>
    <v>34</v>
  </rv>
  <rv s="14">
    <fb>87.36</fb>
    <v>34</v>
  </rv>
  <rv s="14">
    <fb>37.21</fb>
    <v>34</v>
  </rv>
  <rv s="14">
    <fb>71.180000000000007</fb>
    <v>34</v>
  </rv>
  <rv s="14">
    <fb>499.77</fb>
    <v>34</v>
  </rv>
  <rv s="14">
    <fb>294.38</fb>
    <v>34</v>
  </rv>
  <rv s="14">
    <fb>49.77</fb>
    <v>34</v>
  </rv>
  <rv s="14">
    <fb>178.43</fb>
    <v>34</v>
  </rv>
  <rv s="14">
    <fb>314.38</fb>
    <v>34</v>
  </rv>
  <rv s="14">
    <fb>117.91</fb>
    <v>34</v>
  </rv>
  <rv s="14">
    <fb>1243.82</fb>
    <v>34</v>
  </rv>
  <rv s="14">
    <fb>160.02000000000001</fb>
    <v>34</v>
  </rv>
  <rv s="14">
    <fb>146.38999999999999</fb>
    <v>34</v>
  </rv>
  <rv s="14">
    <fb>255.13</fb>
    <v>34</v>
  </rv>
  <rv s="14">
    <fb>90.97</fb>
    <v>34</v>
  </rv>
  <rv s="14">
    <fb>23.105</fb>
    <v>34</v>
  </rv>
  <rv s="14">
    <fb>60.24</fb>
    <v>34</v>
  </rv>
  <rv s="14">
    <fb>56.45</fb>
    <v>34</v>
  </rv>
  <rv s="14">
    <fb>21.659800000000001</fb>
    <v>34</v>
  </rv>
  <rv s="14">
    <fb>45908</fb>
    <v>33</v>
  </rv>
  <rv s="14">
    <fb>237.88</fb>
    <v>34</v>
  </rv>
  <rv s="14">
    <fb>168.31</fb>
    <v>34</v>
  </rv>
  <rv s="14">
    <fb>498.2</fb>
    <v>34</v>
  </rv>
  <rv s="14">
    <fb>752.3</fb>
    <v>34</v>
  </rv>
  <rv s="14">
    <fb>234.04</fb>
    <v>34</v>
  </rv>
  <rv s="14">
    <fb>648.83000000000004</fb>
    <v>34</v>
  </rv>
  <rv s="14">
    <fb>89.74</fb>
    <v>34</v>
  </rv>
  <rv s="14">
    <fb>334.82</fb>
    <v>34</v>
  </rv>
  <rv s="14">
    <fb>97.08</fb>
    <v>34</v>
  </rv>
  <rv s="14">
    <fb>47.905000000000001</fb>
    <v>34</v>
  </rv>
  <rv s="14">
    <fb>134.44</fb>
    <v>34</v>
  </rv>
  <rv s="14">
    <fb>13.33</fb>
    <v>34</v>
  </rv>
  <rv s="14">
    <fb>37.51</fb>
    <v>34</v>
  </rv>
  <rv s="14">
    <fb>72.010000000000005</fb>
    <v>34</v>
  </rv>
  <rv s="14">
    <fb>126.16</fb>
    <v>34</v>
  </rv>
  <rv s="14">
    <fb>493.78</fb>
    <v>34</v>
  </rv>
  <rv s="14">
    <fb>292.91000000000003</fb>
    <v>34</v>
  </rv>
  <rv s="14">
    <fb>49.46</fb>
    <v>34</v>
  </rv>
  <rv s="14">
    <fb>109.85</fb>
    <v>34</v>
  </rv>
  <rv s="14">
    <fb>178.13</fb>
    <v>34</v>
  </rv>
  <rv s="14">
    <fb>67.430000000000007</fb>
    <v>34</v>
  </rv>
  <rv s="14">
    <fb>312.8</fb>
    <v>34</v>
  </rv>
  <rv s="14">
    <fb>118.84</fb>
    <v>34</v>
  </rv>
  <rv s="14">
    <fb>1244.76</fb>
    <v>34</v>
  </rv>
  <rv s="14">
    <fb>159.01</fb>
    <v>34</v>
  </rv>
  <rv s="14">
    <fb>141.71</fb>
    <v>34</v>
  </rv>
  <rv s="14">
    <fb>255.28</fb>
    <v>34</v>
  </rv>
  <rv s="14">
    <fb>90.26</fb>
    <v>34</v>
  </rv>
  <rv s="14">
    <fb>23.184999999999999</fb>
    <v>34</v>
  </rv>
  <rv s="14">
    <fb>60.33</fb>
    <v>34</v>
  </rv>
  <rv s="14">
    <fb>29.62</fb>
    <v>34</v>
  </rv>
  <rv s="14">
    <fb>21.485800000000001</fb>
    <v>34</v>
  </rv>
  <rv s="14">
    <fb>45909</fb>
    <v>33</v>
  </rv>
  <rv s="14">
    <fb>234.35</fb>
    <v>34</v>
  </rv>
  <rv s="14">
    <fb>498.41</fb>
    <v>34</v>
  </rv>
  <rv s="14">
    <fb>765.7</fb>
    <v>34</v>
  </rv>
  <rv s="14">
    <fb>650.33000000000004</fb>
    <v>34</v>
  </rv>
  <rv s="14">
    <fb>89.23</fb>
    <v>34</v>
  </rv>
  <rv s="14">
    <fb>334.06</fb>
    <v>34</v>
  </rv>
  <rv s="14">
    <fb>73.39</fb>
    <v>34</v>
  </rv>
  <rv s="14">
    <fb>96.85</fb>
    <v>34</v>
  </rv>
  <rv s="14">
    <fb>47.820300000000003</fb>
    <v>34</v>
  </rv>
  <rv s="14">
    <fb>134.41999999999999</fb>
    <v>34</v>
  </rv>
  <rv s="14">
    <fb>37.18</fb>
    <v>34</v>
  </rv>
  <rv s="14">
    <fb>27.1</fb>
    <v>34</v>
  </rv>
  <rv s="14">
    <fb>4.16</fb>
    <v>34</v>
  </rv>
  <rv s="14">
    <fb>125</fb>
    <v>34</v>
  </rv>
  <rv s="14">
    <fb>492.72</fb>
    <v>34</v>
  </rv>
  <rv s="14">
    <fb>297.85000000000002</fb>
    <v>34</v>
  </rv>
  <rv s="14">
    <fb>50.29</fb>
    <v>34</v>
  </rv>
  <rv s="14">
    <fb>110.65</fb>
    <v>34</v>
  </rv>
  <rv s="14">
    <fb>154.85</fb>
    <v>34</v>
  </rv>
  <rv s="14">
    <fb>176.96</fb>
    <v>34</v>
  </rv>
  <rv s="14">
    <fb>67.86</fb>
    <v>34</v>
  </rv>
  <rv s="14">
    <fb>312.52</fb>
    <v>34</v>
  </rv>
  <rv s="14">
    <fb>1263.25</fb>
    <v>34</v>
  </rv>
  <rv s="14">
    <fb>159.46</fb>
    <v>34</v>
  </rv>
  <rv s="14">
    <fb>143.1</fb>
    <v>34</v>
  </rv>
  <rv s="14">
    <fb>254.01</fb>
    <v>34</v>
  </rv>
  <rv s="14">
    <fb>23.135000000000002</fb>
    <v>34</v>
  </rv>
  <rv s="14">
    <fb>29.58</fb>
    <v>34</v>
  </rv>
  <rv s="14">
    <fb>21.500299999999999</fb>
    <v>34</v>
  </rv>
  <rv s="14">
    <fb>45910</fb>
    <v>33</v>
  </rv>
  <rv s="14">
    <fb>226.79</fb>
    <v>34</v>
  </rv>
  <rv s="14">
    <fb>177.33</fb>
    <v>34</v>
  </rv>
  <rv s="14">
    <fb>500.37</fb>
    <v>34</v>
  </rv>
  <rv s="14">
    <fb>751.98</fb>
    <v>34</v>
  </rv>
  <rv s="14">
    <fb>239.17</fb>
    <v>34</v>
  </rv>
  <rv s="14">
    <fb>652.21</fb>
    <v>34</v>
  </rv>
  <rv s="14">
    <fb>335.26</fb>
    <v>34</v>
  </rv>
  <rv s="14">
    <fb>74.709999999999994</fb>
    <v>34</v>
  </rv>
  <rv s="14">
    <fb>97.11</fb>
    <v>34</v>
  </rv>
  <rv s="14">
    <fb>47.9</fb>
    <v>34</v>
  </rv>
  <rv s="14">
    <fb>133.63999999999999</fb>
    <v>34</v>
  </rv>
  <rv s="14">
    <fb>89.11</fb>
    <v>34</v>
  </rv>
  <rv s="14">
    <fb>27.21</fb>
    <v>34</v>
  </rv>
  <rv s="14">
    <fb>4.1399999999999997</fb>
    <v>34</v>
  </rv>
  <rv s="14">
    <fb>72.12</fb>
    <v>34</v>
  </rv>
  <rv s="14">
    <fb>126.57</fb>
    <v>34</v>
  </rv>
  <rv s="14">
    <fb>50.914999999999999</fb>
    <v>34</v>
  </rv>
  <rv s="14">
    <fb>490.08</fb>
    <v>34</v>
  </rv>
  <rv s="14">
    <fb>300.54000000000002</fb>
    <v>34</v>
  </rv>
  <rv s="14">
    <fb>50.13</fb>
    <v>34</v>
  </rv>
  <rv s="14">
    <fb>112.5</fb>
    <v>34</v>
  </rv>
  <rv s="14">
    <fb>175.79</fb>
    <v>34</v>
  </rv>
  <rv s="14">
    <fb>305.94</fb>
    <v>34</v>
  </rv>
  <rv s="14">
    <fb>115.79</fb>
    <v>34</v>
  </rv>
  <rv s="14">
    <fb>1247.71</fb>
    <v>34</v>
  </rv>
  <rv s="14">
    <fb>157.35</fb>
    <v>34</v>
  </rv>
  <rv s="14">
    <fb>142.66</fb>
    <v>34</v>
  </rv>
  <rv s="14">
    <fb>260.07</fb>
    <v>34</v>
  </rv>
  <rv s="14">
    <fb>23.175000000000001</fb>
    <v>34</v>
  </rv>
  <rv s="14">
    <fb>60.3</fb>
    <v>34</v>
  </rv>
  <rv s="14">
    <fb>57.11</fb>
    <v>34</v>
  </rv>
  <rv s="14">
    <fb>29.65</fb>
    <v>34</v>
  </rv>
  <rv s="14">
    <fb>21.54</fb>
    <v>34</v>
  </rv>
  <rv s="14">
    <fb>45911</fb>
    <v>33</v>
  </rv>
  <rv s="14">
    <fb>230.03</fb>
    <v>34</v>
  </rv>
  <rv s="14">
    <fb>501.01</fb>
    <v>34</v>
  </rv>
  <rv s="14">
    <fb>750.9</fb>
    <v>34</v>
  </rv>
  <rv s="14">
    <fb>240.37</fb>
    <v>34</v>
  </rv>
  <rv s="14">
    <fb>657.63</fb>
    <v>34</v>
  </rv>
  <rv s="14">
    <fb>334.76</fb>
    <v>34</v>
  </rv>
  <rv s="14">
    <fb>97.26</fb>
    <v>34</v>
  </rv>
  <rv s="14">
    <fb>48.024999999999999</fb>
    <v>34</v>
  </rv>
  <rv s="14">
    <fb>136.4</fb>
    <v>34</v>
  </rv>
  <rv s="14">
    <fb>13.29</fb>
    <v>34</v>
  </rv>
  <rv s="14">
    <fb>37.79</fb>
    <v>34</v>
  </rv>
  <rv s="14">
    <fb>4.18</fb>
    <v>34</v>
  </rv>
  <rv s="14">
    <fb>126.29</fb>
    <v>34</v>
  </rv>
  <rv s="14">
    <fb>27.09</fb>
    <v>34</v>
  </rv>
  <rv s="14">
    <fb>496.91</fb>
    <v>34</v>
  </rv>
  <rv s="14">
    <fb>305.56</fb>
    <v>34</v>
  </rv>
  <rv s="14">
    <fb>158.25</fb>
    <v>34</v>
  </rv>
  <rv s="14">
    <fb>178.5</fb>
    <v>34</v>
  </rv>
  <rv s="14">
    <fb>67.62</fb>
    <v>34</v>
  </rv>
  <rv s="14">
    <fb>308.43</fb>
    <v>34</v>
  </rv>
  <rv s="14">
    <fb>117.08</fb>
    <v>34</v>
  </rv>
  <rv s="14">
    <fb>1203.5</fb>
    <v>34</v>
  </rv>
  <rv s="14">
    <fb>144.22999999999999</fb>
    <v>34</v>
  </rv>
  <rv s="14">
    <fb>260.17</fb>
    <v>34</v>
  </rv>
  <rv s="14">
    <fb>29.355</fb>
    <v>34</v>
  </rv>
  <rv s="14">
    <fb>23.204999999999998</fb>
    <v>34</v>
  </rv>
  <rv s="14">
    <fb>58.82</fb>
    <v>34</v>
  </rv>
  <rv s="14">
    <fb>60.34</fb>
    <v>34</v>
  </rv>
  <rv s="14">
    <fb>21.846299999999999</fb>
    <v>34</v>
  </rv>
  <rv s="14">
    <fb>45912</fb>
    <v>33</v>
  </rv>
  <rv s="14">
    <fb>234.07</fb>
    <v>34</v>
  </rv>
  <rv s="14">
    <fb>177.82</fb>
    <v>34</v>
  </rv>
  <rv s="14">
    <fb>509.9</fb>
    <v>34</v>
  </rv>
  <rv s="14">
    <fb>755.59</fb>
    <v>34</v>
  </rv>
  <rv s="14">
    <fb>240.8</fb>
    <v>34</v>
  </rv>
  <rv s="14">
    <fb>657.41</fb>
    <v>34</v>
  </rv>
  <rv s="14">
    <fb>89.95</fb>
    <v>34</v>
  </rv>
  <rv s="14">
    <fb>335.42</fb>
    <v>34</v>
  </rv>
  <rv s="14">
    <fb>96.98</fb>
    <v>34</v>
  </rv>
  <rv s="14">
    <fb>47.935000000000002</fb>
    <v>34</v>
  </rv>
  <rv s="14">
    <fb>38.340000000000003</fb>
    <v>34</v>
  </rv>
  <rv s="14">
    <fb>72.16</fb>
    <v>34</v>
  </rv>
  <rv s="14">
    <fb>127.53</fb>
    <v>34</v>
  </rv>
  <rv s="14">
    <fb>493.74</fb>
    <v>34</v>
  </rv>
  <rv s="14">
    <fb>306.91000000000003</fb>
    <v>34</v>
  </rv>
  <rv s="14">
    <fb>50.58</fb>
    <v>34</v>
  </rv>
  <rv s="14">
    <fb>67.010000000000005</fb>
    <v>34</v>
  </rv>
  <rv s="14">
    <fb>305.39999999999998</fb>
    <v>34</v>
  </rv>
  <rv s="14">
    <fb>115.96</fb>
    <v>34</v>
  </rv>
  <rv s="14">
    <fb>1188.44</fb>
    <v>34</v>
  </rv>
  <rv s="14">
    <fb>157.9</fb>
    <v>34</v>
  </rv>
  <rv s="14">
    <fb>143.53</fb>
    <v>34</v>
  </rv>
  <rv s="14">
    <fb>257.62</fb>
    <v>34</v>
  </rv>
  <rv s="14">
    <fb>29.72</fb>
    <v>34</v>
  </rv>
  <rv s="14">
    <fb>21.766300000000001</fb>
    <v>34</v>
  </rv>
  <rv s="14">
    <fb>45915</fb>
    <v>33</v>
  </rv>
  <rv s="14">
    <fb>236.7</fb>
    <v>34</v>
  </rv>
  <rv s="14">
    <fb>177.75</fb>
    <v>34</v>
  </rv>
  <rv s="14">
    <fb>515.36</fb>
    <v>34</v>
  </rv>
  <rv s="14">
    <fb>764.7</fb>
    <v>34</v>
  </rv>
  <rv s="14">
    <fb>251.61</fb>
    <v>34</v>
  </rv>
  <rv s="14">
    <fb>660.91</fb>
    <v>34</v>
  </rv>
  <rv s="14">
    <fb>338.91</fb>
    <v>34</v>
  </rv>
  <rv s="14">
    <fb>97.14</fb>
    <v>34</v>
  </rv>
  <rv s="14">
    <fb>138.47999999999999</fb>
    <v>34</v>
  </rv>
  <rv s="14">
    <fb>13.55</fb>
    <v>34</v>
  </rv>
  <rv s="14">
    <fb>38.76</fb>
    <v>34</v>
  </rv>
  <rv s="14">
    <fb>72.89</fb>
    <v>34</v>
  </rv>
  <rv s="14">
    <fb>128.15</fb>
    <v>34</v>
  </rv>
  <rv s="14">
    <fb>491.54</fb>
    <v>34</v>
  </rv>
  <rv s="14">
    <fb>308.89999999999998</fb>
    <v>34</v>
  </rv>
  <rv s="14">
    <fb>50.59</fb>
    <v>34</v>
  </rv>
  <rv s="14">
    <fb>112.35</fb>
    <v>34</v>
  </rv>
  <rv s="14">
    <fb>157.31</fb>
    <v>34</v>
  </rv>
  <rv s="14">
    <fb>177.4</fb>
    <v>34</v>
  </rv>
  <rv s="14">
    <fb>66.209999999999994</fb>
    <v>34</v>
  </rv>
  <rv s="14">
    <fb>115.62</fb>
    <v>34</v>
  </rv>
  <rv s="14">
    <fb>1202.26</fb>
    <v>34</v>
  </rv>
  <rv s="14">
    <fb>156.83000000000001</fb>
    <v>34</v>
  </rv>
  <rv s="14">
    <fb>140.63999999999999</fb>
    <v>34</v>
  </rv>
  <rv s="14">
    <fb>255.03</fb>
    <v>34</v>
  </rv>
  <rv s="14">
    <fb>23.195</fb>
    <v>34</v>
  </rv>
  <rv s="14">
    <fb>58.84</fb>
    <v>34</v>
  </rv>
  <rv s="14">
    <fb>57.33</fb>
    <v>34</v>
  </rv>
  <rv s="14">
    <fb>21.724299999999999</fb>
    <v>34</v>
  </rv>
  <rv s="14">
    <fb>45916</fb>
    <v>33</v>
  </rv>
  <rv s="14">
    <fb>238.15</fb>
    <v>34</v>
  </rv>
  <rv s="14">
    <fb>174.88</fb>
    <v>34</v>
  </rv>
  <rv s="14">
    <fb>509.04</fb>
    <v>34</v>
  </rv>
  <rv s="14">
    <fb>779</fb>
    <v>34</v>
  </rv>
  <rv s="14">
    <fb>251.16</fb>
    <v>34</v>
  </rv>
  <rv s="14">
    <fb>660</fb>
    <v>34</v>
  </rv>
  <rv s="14">
    <fb>90.35</fb>
    <v>34</v>
  </rv>
  <rv s="14">
    <fb>339.59</fb>
    <v>34</v>
  </rv>
  <rv s="14">
    <fb>75.67</fb>
    <v>34</v>
  </rv>
  <rv s="14">
    <fb>97.2</fb>
    <v>34</v>
  </rv>
  <rv s="14">
    <fb>48.07</fb>
    <v>34</v>
  </rv>
  <rv s="14">
    <fb>140.05000000000001</fb>
    <v>34</v>
  </rv>
  <rv s="14">
    <fb>38.6</fb>
    <v>34</v>
  </rv>
  <rv s="14">
    <fb>73.069999999999993</fb>
    <v>34</v>
  </rv>
  <rv s="14">
    <fb>126.86</fb>
    <v>34</v>
  </rv>
  <rv s="14">
    <fb>490.99</fb>
    <v>34</v>
  </rv>
  <rv s="14">
    <fb>309.19</fb>
    <v>34</v>
  </rv>
  <rv s="14">
    <fb>50.66</fb>
    <v>34</v>
  </rv>
  <rv s="14">
    <fb>114.68</fb>
    <v>34</v>
  </rv>
  <rv s="14">
    <fb>159.54</fb>
    <v>34</v>
  </rv>
  <rv s="14">
    <fb>176.46</fb>
    <v>34</v>
  </rv>
  <rv s="14">
    <fb>66.239999999999995</fb>
    <v>34</v>
  </rv>
  <rv s="14">
    <fb>303.29000000000002</fb>
    <v>34</v>
  </rv>
  <rv s="14">
    <fb>115.23</fb>
    <v>34</v>
  </rv>
  <rv s="14">
    <fb>1200.51</fb>
    <v>34</v>
  </rv>
  <rv s="14">
    <fb>158.05000000000001</fb>
    <v>34</v>
  </rv>
  <rv s="14">
    <fb>140.03</fb>
    <v>34</v>
  </rv>
  <rv s="14">
    <fb>260.20999999999998</fb>
    <v>34</v>
  </rv>
  <rv s="14">
    <fb>29.763000000000002</fb>
    <v>34</v>
  </rv>
  <rv s="14">
    <fb>23.22</fb>
    <v>34</v>
  </rv>
  <rv s="14">
    <fb>60.36</fb>
    <v>34</v>
  </rv>
  <rv s="14">
    <fb>21.614599999999999</fb>
    <v>34</v>
  </rv>
  <rv s="14">
    <fb>45917</fb>
    <v>33</v>
  </rv>
  <rv s="14">
    <fb>238.99</fb>
    <v>34</v>
  </rv>
  <rv s="14">
    <fb>170.29</fb>
    <v>34</v>
  </rv>
  <rv s="14">
    <fb>510.02</fb>
    <v>34</v>
  </rv>
  <rv s="14">
    <fb>775.71500000000003</fb>
    <v>34</v>
  </rv>
  <rv s="14">
    <fb>249.53</fb>
    <v>34</v>
  </rv>
  <rv s="14">
    <fb>659.18</fb>
    <v>34</v>
  </rv>
  <rv s="14">
    <fb>90.12</fb>
    <v>34</v>
  </rv>
  <rv s="14">
    <fb>336.97</fb>
    <v>34</v>
  </rv>
  <rv s="14">
    <fb>74.97</fb>
    <v>34</v>
  </rv>
  <rv s="14">
    <fb>96.99</fb>
    <v>34</v>
  </rv>
  <rv s="14">
    <fb>47.979399999999998</fb>
    <v>34</v>
  </rv>
  <rv s="14">
    <fb>138.82</fb>
    <v>34</v>
  </rv>
  <rv s="14">
    <fb>89.99</fb>
    <v>34</v>
  </rv>
  <rv s="14">
    <fb>13.65</fb>
    <v>34</v>
  </rv>
  <rv s="14">
    <fb>72.489999999999995</fb>
    <v>34</v>
  </rv>
  <rv s="14">
    <fb>123.85</fb>
    <v>34</v>
  </rv>
  <rv s="14">
    <fb>492.33</fb>
    <v>34</v>
  </rv>
  <rv s="14">
    <fb>311.75</fb>
    <v>34</v>
  </rv>
  <rv s="14">
    <fb>51.4</fb>
    <v>34</v>
  </rv>
  <rv s="14">
    <fb>115.29</fb>
    <v>34</v>
  </rv>
  <rv s="14">
    <fb>177.2</fb>
    <v>34</v>
  </rv>
  <rv s="14">
    <fb>67.040000000000006</fb>
    <v>34</v>
  </rv>
  <rv s="14">
    <fb>304.97000000000003</fb>
    <v>34</v>
  </rv>
  <rv s="14">
    <fb>116.1</fb>
    <v>34</v>
  </rv>
  <rv s="14">
    <fb>1228.5</fb>
    <v>34</v>
  </rv>
  <rv s="14">
    <fb>160.33000000000001</fb>
    <v>34</v>
  </rv>
  <rv s="14">
    <fb>141.22999999999999</fb>
    <v>34</v>
  </rv>
  <rv s="14">
    <fb>256.41000000000003</fb>
    <v>34</v>
  </rv>
  <rv s="14">
    <fb>92.01</fb>
    <v>34</v>
  </rv>
  <rv s="14">
    <fb>29.672000000000001</fb>
    <v>34</v>
  </rv>
  <rv s="14">
    <fb>23.18</fb>
    <v>34</v>
  </rv>
  <rv s="14">
    <fb>21.613399999999999</fb>
    <v>34</v>
  </rv>
  <rv s="14">
    <fb>45918</fb>
    <v>33</v>
  </rv>
  <rv s="14">
    <fb>176.24</fb>
    <v>34</v>
  </rv>
  <rv s="14">
    <fb>508.45</fb>
    <v>34</v>
  </rv>
  <rv s="14">
    <fb>780.25</fb>
    <v>34</v>
  </rv>
  <rv s="14">
    <fb>252.03</fb>
    <v>34</v>
  </rv>
  <rv s="14">
    <fb>662.26</fb>
    <v>34</v>
  </rv>
  <rv s="14">
    <fb>89.19</fb>
    <v>34</v>
  </rv>
  <rv s="14">
    <fb>335.62</fb>
    <v>34</v>
  </rv>
  <rv s="14">
    <fb>74.69</fb>
    <v>34</v>
  </rv>
  <rv s="14">
    <fb>96.67</fb>
    <v>34</v>
  </rv>
  <rv s="14">
    <fb>47.854999999999997</fb>
    <v>34</v>
  </rv>
  <rv s="14">
    <fb>72.2</fb>
    <v>34</v>
  </rv>
  <rv s="14">
    <fb>126.15</fb>
    <v>34</v>
  </rv>
  <rv s="14">
    <fb>490.5</fb>
    <v>34</v>
  </rv>
  <rv s="14">
    <fb>313.23</fb>
    <v>34</v>
  </rv>
  <rv s="14">
    <fb>113.93</fb>
    <v>34</v>
  </rv>
  <rv s="14">
    <fb>174.16</fb>
    <v>34</v>
  </rv>
  <rv s="14">
    <fb>301.14</fb>
    <v>34</v>
  </rv>
  <rv s="14">
    <fb>114.86</fb>
    <v>34</v>
  </rv>
  <rv s="14">
    <fb>1207.78</fb>
    <v>34</v>
  </rv>
  <rv s="14">
    <fb>157.32</fb>
    <v>34</v>
  </rv>
  <rv s="14">
    <fb>140.72999999999999</fb>
    <v>34</v>
  </rv>
  <rv s="14">
    <fb>258.37</fb>
    <v>34</v>
  </rv>
  <rv s="14">
    <fb>29.52</fb>
    <v>34</v>
  </rv>
  <rv s="14">
    <fb>23.11</fb>
    <v>34</v>
  </rv>
  <rv s="14">
    <fb>60.13</fb>
    <v>34</v>
  </rv>
  <rv s="14">
    <fb>21.5517</fb>
    <v>34</v>
  </rv>
  <rv s="14">
    <fb>45919</fb>
    <v>33</v>
  </rv>
  <rv s="14">
    <fb>245.5</fb>
    <v>34</v>
  </rv>
  <rv s="14">
    <fb>176.67</fb>
    <v>34</v>
  </rv>
  <rv s="14">
    <fb>517.92999999999995</fb>
    <v>34</v>
  </rv>
  <rv s="14">
    <fb>778.38</fb>
    <v>34</v>
  </rv>
  <rv s="14">
    <fb>254.72</fb>
    <v>34</v>
  </rv>
  <rv s="14">
    <fb>663.7</fb>
    <v>34</v>
  </rv>
  <rv s="14">
    <fb>339.18</fb>
    <v>34</v>
  </rv>
  <rv s="14">
    <fb>47.877000000000002</fb>
    <v>34</v>
  </rv>
  <rv s="14">
    <fb>88.52</fb>
    <v>34</v>
  </rv>
  <rv s="14">
    <fb>39.04</fb>
    <v>34</v>
  </rv>
  <rv s="14">
    <fb>128.46</fb>
    <v>34</v>
  </rv>
  <rv s="14">
    <fb>492.85</fb>
    <v>34</v>
  </rv>
  <rv s="14">
    <fb>314.77999999999997</fb>
    <v>34</v>
  </rv>
  <rv s="14">
    <fb>112.82</fb>
    <v>34</v>
  </rv>
  <rv s="14">
    <fb>176.19</fb>
    <v>34</v>
  </rv>
  <rv s="14">
    <fb>66.430000000000007</fb>
    <v>34</v>
  </rv>
  <rv s="14">
    <fb>302.38</fb>
    <v>34</v>
  </rv>
  <rv s="14">
    <fb>1226.97</fb>
    <v>34</v>
  </rv>
  <rv s="14">
    <fb>156.04</fb>
    <v>34</v>
  </rv>
  <rv s="14">
    <fb>141.76</fb>
    <v>34</v>
  </rv>
  <rv s="14">
    <fb>254.52</fb>
    <v>34</v>
  </rv>
  <rv s="14">
    <fb>28.795300000000001</fb>
    <v>34</v>
  </rv>
  <rv s="14">
    <fb>23.114999999999998</fb>
    <v>34</v>
  </rv>
  <rv s="14">
    <fb>21.552199999999999</fb>
    <v>34</v>
  </rv>
  <rv s="14">
    <fb>45922</fb>
    <v>33</v>
  </rv>
  <rv s="14">
    <fb>256.08</fb>
    <v>34</v>
  </rv>
  <rv s="14">
    <fb>514.45000000000005</fb>
    <v>34</v>
  </rv>
  <rv s="14">
    <fb>765.16</fb>
    <v>34</v>
  </rv>
  <rv s="14">
    <fb>252.53</fb>
    <v>34</v>
  </rv>
  <rv s="14">
    <fb>666.84</fb>
    <v>34</v>
  </rv>
  <rv s="14">
    <fb>88.7</fb>
    <v>34</v>
  </rv>
  <rv s="14">
    <fb>345.05</fb>
    <v>34</v>
  </rv>
  <rv s="14">
    <fb>73.45</fb>
    <v>34</v>
  </rv>
  <rv s="14">
    <fb>96.47</fb>
    <v>34</v>
  </rv>
  <rv s="14">
    <fb>47.804699999999997</fb>
    <v>34</v>
  </rv>
  <rv s="14">
    <fb>40.04</fb>
    <v>34</v>
  </rv>
  <rv s="14">
    <fb>4.12</fb>
    <v>34</v>
  </rv>
  <rv s="14">
    <fb>129.77000000000001</fb>
    <v>34</v>
  </rv>
  <rv s="14">
    <fb>493.71</fb>
    <v>34</v>
  </rv>
  <rv s="14">
    <fb>312.44</fb>
    <v>34</v>
  </rv>
  <rv s="14">
    <fb>51.92</fb>
    <v>34</v>
  </rv>
  <rv s="14">
    <fb>174.21</fb>
    <v>34</v>
  </rv>
  <rv s="14">
    <fb>302.99</fb>
    <v>34</v>
  </rv>
  <rv s="14">
    <fb>1227.3699999999999</fb>
    <v>34</v>
  </rv>
  <rv s="14">
    <fb>141.03</fb>
    <v>34</v>
  </rv>
  <rv s="14">
    <fb>254.82</fb>
    <v>34</v>
  </rv>
  <rv s="14">
    <fb>28.8035</fb>
    <v>34</v>
  </rv>
  <rv s="14">
    <fb>56.5</fb>
    <v>34</v>
  </rv>
  <rv s="14">
    <fb>21.530799999999999</fb>
    <v>34</v>
  </rv>
  <rv s="14">
    <fb>45923</fb>
    <v>33</v>
  </rv>
  <rv s="14">
    <fb>509.23</fb>
    <v>34</v>
  </rv>
  <rv s="14">
    <fb>755.4</fb>
    <v>34</v>
  </rv>
  <rv s="14">
    <fb>251.66</fb>
    <v>34</v>
  </rv>
  <rv s="14">
    <fb>663.21</fb>
    <v>34</v>
  </rv>
  <rv s="14">
    <fb>89.32</fb>
    <v>34</v>
  </rv>
  <rv s="14">
    <fb>346.46</fb>
    <v>34</v>
  </rv>
  <rv s="14">
    <fb>47.875599999999999</fb>
    <v>34</v>
  </rv>
  <rv s="14">
    <fb>144.88999999999999</fb>
    <v>34</v>
  </rv>
  <rv s="14">
    <fb>89.18</fb>
    <v>34</v>
  </rv>
  <rv s="14">
    <fb>39.96</fb>
    <v>34</v>
  </rv>
  <rv s="14">
    <fb>134.75</fb>
    <v>34</v>
  </rv>
  <rv s="14">
    <fb>312.74</fb>
    <v>34</v>
  </rv>
  <rv s="14">
    <fb>113.95</fb>
    <v>34</v>
  </rv>
  <rv s="14">
    <fb>157.41999999999999</fb>
    <v>34</v>
  </rv>
  <rv s="14">
    <fb>176.58</fb>
    <v>34</v>
  </rv>
  <rv s="14">
    <fb>66.709999999999994</fb>
    <v>34</v>
  </rv>
  <rv s="14">
    <fb>303.19</fb>
    <v>34</v>
  </rv>
  <rv s="14">
    <fb>112.25</fb>
    <v>34</v>
  </rv>
  <rv s="14">
    <fb>1218.47</fb>
    <v>34</v>
  </rv>
  <rv s="14">
    <fb>152.5</fb>
    <v>34</v>
  </rv>
  <rv s="14">
    <fb>141.9</fb>
    <v>34</v>
  </rv>
  <rv s="14">
    <fb>261.77999999999997</fb>
    <v>34</v>
  </rv>
  <rv s="14">
    <fb>92.19</fb>
    <v>34</v>
  </rv>
  <rv s="14">
    <fb>56.87</fb>
    <v>34</v>
  </rv>
  <rv s="14">
    <fb>29.66</fb>
    <v>34</v>
  </rv>
  <rv s="14">
    <fb>21.6752</fb>
    <v>34</v>
  </rv>
  <rv s="14">
    <fb>45924</fb>
    <v>33</v>
  </rv>
  <rv s="14">
    <fb>252.31</fb>
    <v>34</v>
  </rv>
  <rv s="14">
    <fb>176.97</fb>
    <v>34</v>
  </rv>
  <rv s="14">
    <fb>510.15</fb>
    <v>34</v>
  </rv>
  <rv s="14">
    <fb>760.66</fb>
    <v>34</v>
  </rv>
  <rv s="14">
    <fb>247.14</fb>
    <v>34</v>
  </rv>
  <rv s="14">
    <fb>661.1</fb>
    <v>34</v>
  </rv>
  <rv s="14">
    <fb>343.32</fb>
    <v>34</v>
  </rv>
  <rv s="14">
    <fb>96.48</fb>
    <v>34</v>
  </rv>
  <rv s="14">
    <fb>47.5884</fb>
    <v>34</v>
  </rv>
  <rv s="14">
    <fb>137.16</fb>
    <v>34</v>
  </rv>
  <rv s="14">
    <fb>39.82</fb>
    <v>34</v>
  </rv>
  <rv s="14">
    <fb>497.09</fb>
    <v>34</v>
  </rv>
  <rv s="14">
    <fb>313.42</fb>
    <v>34</v>
  </rv>
  <rv s="14">
    <fb>114.56</fb>
    <v>34</v>
  </rv>
  <rv s="14">
    <fb>159.18</fb>
    <v>34</v>
  </rv>
  <rv s="14">
    <fb>176.69</fb>
    <v>34</v>
  </rv>
  <rv s="14">
    <fb>66.45</fb>
    <v>34</v>
  </rv>
  <rv s="14">
    <fb>304.33</fb>
    <v>34</v>
  </rv>
  <rv s="14">
    <fb>1203.95</fb>
    <v>34</v>
  </rv>
  <rv s="14">
    <fb>152.41999999999999</fb>
    <v>34</v>
  </rv>
  <rv s="14">
    <fb>142.16999999999999</fb>
    <v>34</v>
  </rv>
  <rv s="14">
    <fb>263.61</fb>
    <v>34</v>
  </rv>
  <rv s="14">
    <fb>93.86</fb>
    <v>34</v>
  </rv>
  <rv s="14">
    <fb>60.04</fb>
    <v>34</v>
  </rv>
  <rv s="14">
    <fb>56.67</fb>
    <v>34</v>
  </rv>
  <rv s="14">
    <fb>21.312899999999999</fb>
    <v>34</v>
  </rv>
  <rv s="14">
    <fb>45925</fb>
    <v>33</v>
  </rv>
  <rv s="14">
    <fb>256.87</fb>
    <v>34</v>
  </rv>
  <rv s="14">
    <fb>177.69</fb>
    <v>34</v>
  </rv>
  <rv s="14">
    <fb>748.91</fb>
    <v>34</v>
  </rv>
  <rv s="14">
    <fb>245.79</fb>
    <v>34</v>
  </rv>
  <rv s="14">
    <fb>658.05</fb>
    <v>34</v>
  </rv>
  <rv s="14">
    <fb>344.75</fb>
    <v>34</v>
  </rv>
  <rv s="14">
    <fb>76.989999999999995</fb>
    <v>34</v>
  </rv>
  <rv s="14">
    <fb>96.27</fb>
    <v>34</v>
  </rv>
  <rv s="14">
    <fb>47.515000000000001</fb>
    <v>34</v>
  </rv>
  <rv s="14">
    <fb>136.13</fb>
    <v>34</v>
  </rv>
  <rv s="14">
    <fb>41.03</fb>
    <v>34</v>
  </rv>
  <rv s="14">
    <fb>74.17</fb>
    <v>34</v>
  </rv>
  <rv s="14">
    <fb>139.88999999999999</fb>
    <v>34</v>
  </rv>
  <rv s="14">
    <fb>494.96</fb>
    <v>34</v>
  </rv>
  <rv s="14">
    <fb>313.45</fb>
    <v>34</v>
  </rv>
  <rv s="14">
    <fb>51.85</fb>
    <v>34</v>
  </rv>
  <rv s="14">
    <fb>115.59</fb>
    <v>34</v>
  </rv>
  <rv s="14">
    <fb>160.72</fb>
    <v>34</v>
  </rv>
  <rv s="14">
    <fb>177.73</fb>
    <v>34</v>
  </rv>
  <rv s="14">
    <fb>302.3</fb>
    <v>34</v>
  </rv>
  <rv s="14">
    <fb>112.99</fb>
    <v>34</v>
  </rv>
  <rv s="14">
    <fb>1208.24</fb>
    <v>34</v>
  </rv>
  <rv s="14">
    <fb>139.91999999999999</fb>
    <v>34</v>
  </rv>
  <rv s="14">
    <fb>263.25</fb>
    <v>34</v>
  </rv>
  <rv s="14">
    <fb>94.72</fb>
    <v>34</v>
  </rv>
  <rv s="14">
    <fb>58.76</fb>
    <v>34</v>
  </rv>
  <rv s="14">
    <fb>59.94</fb>
    <v>34</v>
  </rv>
  <rv s="14">
    <fb>56.63</fb>
    <v>34</v>
  </rv>
  <rv s="14">
    <fb>21.196899999999999</fb>
    <v>34</v>
  </rv>
  <rv s="14">
    <fb>45926</fb>
    <v>33</v>
  </rv>
  <rv s="14">
    <fb>255.46</fb>
    <v>34</v>
  </rv>
  <rv s="14">
    <fb>178.19</fb>
    <v>34</v>
  </rv>
  <rv s="14">
    <fb>511.46</fb>
    <v>34</v>
  </rv>
  <rv s="14">
    <fb>743.75</fb>
    <v>34</v>
  </rv>
  <rv s="14">
    <fb>661.82</fb>
    <v>34</v>
  </rv>
  <rv s="14">
    <fb>88.9</fb>
    <v>34</v>
  </rv>
  <rv s="14">
    <fb>346.74</fb>
    <v>34</v>
  </rv>
  <rv s="14">
    <fb>77.02</fb>
    <v>34</v>
  </rv>
  <rv s="14">
    <fb>96.22</fb>
    <v>34</v>
  </rv>
  <rv s="14">
    <fb>47.517600000000002</fb>
    <v>34</v>
  </rv>
  <rv s="14">
    <fb>137.63</fb>
    <v>34</v>
  </rv>
  <rv s="14">
    <fb>91.99</fb>
    <v>34</v>
  </rv>
  <rv s="14">
    <fb>4.8899999999999997</fb>
    <v>35</v>
  </rv>
  <rv s="14">
    <fb>41.86</fb>
    <v>34</v>
  </rv>
  <rv s="14">
    <fb>74.59</fb>
    <v>34</v>
  </rv>
  <rv s="14">
    <fb>143.83000000000001</fb>
    <v>34</v>
  </rv>
  <rv s="14">
    <fb>500.03</fb>
    <v>34</v>
  </rv>
  <rv s="14">
    <fb>316.06</fb>
    <v>34</v>
  </rv>
  <rv s="14">
    <fb>52.21</fb>
    <v>34</v>
  </rv>
  <rv s="14">
    <fb>117.22</fb>
    <v>34</v>
  </rv>
  <rv s="14">
    <fb>179.71</fb>
    <v>34</v>
  </rv>
  <rv s="14">
    <fb>305.24</fb>
    <v>34</v>
  </rv>
  <rv s="14">
    <fb>113.47</fb>
    <v>34</v>
  </rv>
  <rv s="14">
    <fb>1210.6099999999999</fb>
    <v>34</v>
  </rv>
  <rv s="14">
    <fb>140.44</fb>
    <v>34</v>
  </rv>
  <rv s="14">
    <fb>268.01</fb>
    <v>34</v>
  </rv>
  <rv s="14">
    <fb>30.450299999999999</fb>
    <v>34</v>
  </rv>
  <rv s="14">
    <fb>23.065000000000001</fb>
    <v>34</v>
  </rv>
  <rv s="14">
    <fb>56.56</fb>
    <v>34</v>
  </rv>
  <rv s="14">
    <fb>29.57</fb>
    <v>34</v>
  </rv>
  <rv s="14">
    <fb>21.416699999999999</fb>
    <v>34</v>
  </rv>
  <rv s="14">
    <fb>45929</fb>
    <v>33</v>
  </rv>
  <rv s="14">
    <fb>181.85</fb>
    <v>34</v>
  </rv>
  <rv s="14">
    <fb>743.4</fb>
    <v>34</v>
  </rv>
  <rv s="14">
    <fb>244.05</fb>
    <v>34</v>
  </rv>
  <rv s="14">
    <fb>663.68</fb>
    <v>34</v>
  </rv>
  <rv s="14">
    <fb>352.46</fb>
    <v>34</v>
  </rv>
  <rv s="14">
    <fb>96.5</fb>
    <v>34</v>
  </rv>
  <rv s="14">
    <fb>47.615000000000002</fb>
    <v>34</v>
  </rv>
  <rv s="14">
    <fb>138.44</fb>
    <v>34</v>
  </rv>
  <rv s="14">
    <fb>90.3</fb>
    <v>34</v>
  </rv>
  <rv s="14">
    <fb>42.5</fb>
    <v>34</v>
  </rv>
  <rv s="14">
    <fb>145.77000000000001</fb>
    <v>34</v>
  </rv>
  <rv s="14">
    <fb>499.25</fb>
    <v>34</v>
  </rv>
  <rv s="14">
    <fb>315.69</fb>
    <v>34</v>
  </rv>
  <rv s="14">
    <fb>52.42</fb>
    <v>34</v>
  </rv>
  <rv s="14">
    <fb>114.22</fb>
    <v>34</v>
  </rv>
  <rv s="14">
    <fb>156.1</fb>
    <v>34</v>
  </rv>
  <rv s="14">
    <fb>1206.4100000000001</fb>
    <v>34</v>
  </rv>
  <rv s="14">
    <fb>153.53</fb>
    <v>34</v>
  </rv>
  <rv s="14">
    <fb>140.16999999999999</fb>
    <v>34</v>
  </rv>
  <rv s="14">
    <fb>264.60000000000002</fb>
    <v>34</v>
  </rv>
  <rv s="14">
    <fb>93.49</fb>
    <v>34</v>
  </rv>
  <rv s="14">
    <fb>29.71</fb>
    <v>34</v>
  </rv>
  <rv s="14">
    <fb>60.03</fb>
    <v>34</v>
  </rv>
  <rv s="14">
    <fb>56.98</fb>
    <v>34</v>
  </rv>
  <rv s="14">
    <fb>21.3916</fb>
    <v>34</v>
  </rv>
  <rv s="14">
    <fb>45930</fb>
    <v>33</v>
  </rv>
  <rv s="14">
    <fb>254.63</fb>
    <v>34</v>
  </rv>
  <rv s="14">
    <fb>186.58</fb>
    <v>34</v>
  </rv>
  <rv s="14">
    <fb>517.95000000000005</fb>
    <v>34</v>
  </rv>
  <rv s="14">
    <fb>734.38</fb>
    <v>34</v>
  </rv>
  <rv s="14">
    <fb>243.1</fb>
    <v>34</v>
  </rv>
  <rv s="14">
    <fb>666.18</fb>
    <v>34</v>
  </rv>
  <rv s="14">
    <fb>89.37</fb>
    <v>34</v>
  </rv>
  <rv s="14">
    <fb>355.47</fb>
    <v>34</v>
  </rv>
  <rv s="14">
    <fb>73.75</fb>
    <v>34</v>
  </rv>
  <rv s="14">
    <fb>47.61</fb>
    <v>34</v>
  </rv>
  <rv s="14">
    <fb>133.27000000000001</fb>
    <v>34</v>
  </rv>
  <rv s="14">
    <fb>13.45</fb>
    <v>34</v>
  </rv>
  <rv s="14">
    <fb>42.37</fb>
    <v>34</v>
  </rv>
  <rv s="14">
    <fb>4.1100000000000003</fb>
    <v>34</v>
  </rv>
  <rv s="14">
    <fb>76.45</fb>
    <v>34</v>
  </rv>
  <rv s="14">
    <fb>142.88</fb>
    <v>34</v>
  </rv>
  <rv s="14">
    <fb>51.085000000000001</fb>
    <v>34</v>
  </rv>
  <rv s="14">
    <fb>502.74</fb>
    <v>34</v>
  </rv>
  <rv s="14">
    <fb>315.43</fb>
    <v>34</v>
  </rv>
  <rv s="14">
    <fb>51.59</fb>
    <v>34</v>
  </rv>
  <rv s="14">
    <fb>185.42</fb>
    <v>34</v>
  </rv>
  <rv s="14">
    <fb>303.89</fb>
    <v>34</v>
  </rv>
  <rv s="14">
    <fb>1198.92</fb>
    <v>34</v>
  </rv>
  <rv s="14">
    <fb>153.65</fb>
    <v>34</v>
  </rv>
  <rv s="14">
    <fb>259.91000000000003</fb>
    <v>34</v>
  </rv>
  <rv s="14">
    <fb>92.6</fb>
    <v>34</v>
  </rv>
  <rv s="14">
    <fb>56.86</fb>
    <v>34</v>
  </rv>
  <rv s="14">
    <fb>21.51</fb>
    <v>34</v>
  </rv>
  <rv s="14">
    <fb>45931</fb>
    <v>33</v>
  </rv>
  <rv s="14">
    <fb>255.45</fb>
    <v>34</v>
  </rv>
  <rv s="14">
    <fb>187.24</fb>
    <v>34</v>
  </rv>
  <rv s="14">
    <fb>519.71</fb>
    <v>34</v>
  </rv>
  <rv s="14">
    <fb>717.34</fb>
    <v>34</v>
  </rv>
  <rv s="14">
    <fb>244.9</fb>
    <v>34</v>
  </rv>
  <rv s="14">
    <fb>668.45</fb>
    <v>34</v>
  </rv>
  <rv s="14">
    <fb>89.29</fb>
    <v>34</v>
  </rv>
  <rv s="14">
    <fb>356.03</fb>
    <v>34</v>
  </rv>
  <rv s="14">
    <fb>73.14</fb>
    <v>34</v>
  </rv>
  <rv s="14">
    <fb>96.49</fb>
    <v>34</v>
  </rv>
  <rv s="14">
    <fb>47.734999999999999</fb>
    <v>34</v>
  </rv>
  <rv s="14">
    <fb>129.94999999999999</fb>
    <v>34</v>
  </rv>
  <rv s="14">
    <fb>13.35</fb>
    <v>34</v>
  </rv>
  <rv s="14">
    <fb>42.91</fb>
    <v>34</v>
  </rv>
  <rv s="14">
    <fb>4.13</fb>
    <v>34</v>
  </rv>
  <rv s="14">
    <fb>76.56</fb>
    <v>34</v>
  </rv>
  <rv s="14">
    <fb>142.07</fb>
    <v>34</v>
  </rv>
  <rv s="14">
    <fb>310.70999999999998</fb>
    <v>34</v>
  </rv>
  <rv s="14">
    <fb>111.99</fb>
    <v>34</v>
  </rv>
  <rv s="14">
    <fb>186.05</fb>
    <v>34</v>
  </rv>
  <rv s="14">
    <fb>66.78</fb>
    <v>34</v>
  </rv>
  <rv s="14">
    <fb>300.52</fb>
    <v>34</v>
  </rv>
  <rv s="14">
    <fb>1170.9000000000001</fb>
    <v>34</v>
  </rv>
  <rv s="14">
    <fb>143.13999999999999</fb>
    <v>34</v>
  </rv>
  <rv s="14">
    <fb>264.77999999999997</fb>
    <v>34</v>
  </rv>
  <rv s="14">
    <fb>29.828399999999998</fb>
    <v>34</v>
  </rv>
  <rv s="14">
    <fb>23.1</fb>
    <v>34</v>
  </rv>
  <rv s="14">
    <fb>60.02</fb>
    <v>34</v>
  </rv>
  <rv s="14">
    <fb>56.79</fb>
    <v>34</v>
  </rv>
  <rv s="14">
    <fb>21.522500000000001</fb>
    <v>34</v>
  </rv>
  <rv s="14">
    <fb>45932</fb>
    <v>33</v>
  </rv>
  <rv s="14">
    <fb>257.13</fb>
    <v>34</v>
  </rv>
  <rv s="14">
    <fb>188.89</fb>
    <v>34</v>
  </rv>
  <rv s="14">
    <fb>515.74</fb>
    <v>34</v>
  </rv>
  <rv s="14">
    <fb>727.05</fb>
    <v>34</v>
  </rv>
  <rv s="14">
    <fb>245.69</fb>
    <v>34</v>
  </rv>
  <rv s="14">
    <fb>669.22</fb>
    <v>34</v>
  </rv>
  <rv s="14">
    <fb>89.55</fb>
    <v>34</v>
  </rv>
  <rv s="14">
    <fb>354.79</fb>
    <v>34</v>
  </rv>
  <rv s="14">
    <fb>71.540000000000006</fb>
    <v>34</v>
  </rv>
  <rv s="14">
    <fb>96.59</fb>
    <v>34</v>
  </rv>
  <rv s="14">
    <fb>47.789700000000003</fb>
    <v>34</v>
  </rv>
  <rv s="14">
    <fb>127.23</fb>
    <v>34</v>
  </rv>
  <rv s="14">
    <fb>13.07</fb>
    <v>34</v>
  </rv>
  <rv s="14">
    <fb>495.92</fb>
    <v>34</v>
  </rv>
  <rv s="14">
    <fb>50.48</fb>
    <v>34</v>
  </rv>
  <rv s="14">
    <fb>111.29</fb>
    <v>34</v>
  </rv>
  <rv s="14">
    <fb>153.37</fb>
    <v>34</v>
  </rv>
  <rv s="14">
    <fb>185.98</fb>
    <v>34</v>
  </rv>
  <rv s="14">
    <fb>299.88</fb>
    <v>34</v>
  </rv>
  <rv s="14">
    <fb>1162.53</fb>
    <v>34</v>
  </rv>
  <rv s="14">
    <fb>152.05000000000001</fb>
    <v>34</v>
  </rv>
  <rv s="14">
    <fb>142.31</fb>
    <v>34</v>
  </rv>
  <rv s="14">
    <fb>260.2</fb>
    <v>34</v>
  </rv>
  <rv s="14">
    <fb>92.1</fb>
    <v>34</v>
  </rv>
  <rv s="14">
    <fb>56.95</fb>
    <v>34</v>
  </rv>
  <rv s="14">
    <fb>21.4</fb>
    <v>34</v>
  </rv>
  <rv s="14">
    <fb>45933</fb>
    <v>33</v>
  </rv>
  <rv s="14">
    <fb>258.02</fb>
    <v>34</v>
  </rv>
  <rv s="14">
    <fb>187.62</fb>
    <v>34</v>
  </rv>
  <rv s="14">
    <fb>517.35</fb>
    <v>34</v>
  </rv>
  <rv s="14">
    <fb>710.56</fb>
    <v>34</v>
  </rv>
  <rv s="14">
    <fb>245.35</fb>
    <v>34</v>
  </rv>
  <rv s="14">
    <fb>669.21</fb>
    <v>34</v>
  </rv>
  <rv s="14">
    <fb>89.38</fb>
    <v>34</v>
  </rv>
  <rv s="14">
    <fb>357.64</fb>
    <v>34</v>
  </rv>
  <rv s="14">
    <fb>71.709999999999994</fb>
    <v>34</v>
  </rv>
  <rv s="14">
    <fb>96.4</fb>
    <v>34</v>
  </rv>
  <rv s="14">
    <fb>125.89</fb>
    <v>34</v>
  </rv>
  <rv s="14">
    <fb>43.52</fb>
    <v>34</v>
  </rv>
  <rv s="14">
    <fb>4.1500000000000004</fb>
    <v>34</v>
  </rv>
  <rv s="14">
    <fb>76.92</fb>
    <v>34</v>
  </rv>
  <rv s="14">
    <fb>498.75</fb>
    <v>34</v>
  </rv>
  <rv s="14">
    <fb>310.02999999999997</fb>
    <v>34</v>
  </rv>
  <rv s="14">
    <fb>113.26</fb>
    <v>34</v>
  </rv>
  <rv s="14">
    <fb>153.55000000000001</fb>
    <v>34</v>
  </rv>
  <rv s="14">
    <fb>188.64</fb>
    <v>34</v>
  </rv>
  <rv s="14">
    <fb>66.650000000000006</fb>
    <v>34</v>
  </rv>
  <rv s="14">
    <fb>300.98</fb>
    <v>34</v>
  </rv>
  <rv s="14">
    <fb>112.47</fb>
    <v>34</v>
  </rv>
  <rv s="14">
    <fb>1153.32</fb>
    <v>34</v>
  </rv>
  <rv s="14">
    <fb>152.27000000000001</fb>
    <v>34</v>
  </rv>
  <rv s="14">
    <fb>262.73</fb>
    <v>34</v>
  </rv>
  <rv s="14">
    <fb>29.36</fb>
    <v>34</v>
  </rv>
  <rv s="14">
    <fb>23.09</fb>
    <v>34</v>
  </rv>
  <rv s="14">
    <fb>59.96</fb>
    <v>34</v>
  </rv>
  <rv s="14">
    <fb>21.510400000000001</fb>
    <v>34</v>
  </rv>
  <rv s="14">
    <fb>45936</fb>
    <v>33</v>
  </rv>
  <rv s="14">
    <fb>256.69</fb>
    <v>34</v>
  </rv>
  <rv s="14">
    <fb>185.54</fb>
    <v>34</v>
  </rv>
  <rv s="14">
    <fb>528.57000000000005</fb>
    <v>34</v>
  </rv>
  <rv s="14">
    <fb>715.66</fb>
    <v>34</v>
  </rv>
  <rv s="14">
    <fb>250.43</fb>
    <v>34</v>
  </rv>
  <rv s="14">
    <fb>671.61</fb>
    <v>34</v>
  </rv>
  <rv s="14">
    <fb>88.67</fb>
    <v>34</v>
  </rv>
  <rv s="14">
    <fb>364.38</fb>
    <v>34</v>
  </rv>
  <rv s="14">
    <fb>72.87</fb>
    <v>34</v>
  </rv>
  <rv s="14">
    <fb>96.12</fb>
    <v>34</v>
  </rv>
  <rv s="14">
    <fb>47.664999999999999</fb>
    <v>34</v>
  </rv>
  <rv s="14">
    <fb>126.7</fb>
    <v>34</v>
  </rv>
  <rv s="14">
    <fb>89.35</fb>
    <v>34</v>
  </rv>
  <rv s="14">
    <fb>13.31</fb>
    <v>34</v>
  </rv>
  <rv s="14">
    <fb>78.39</fb>
    <v>34</v>
  </rv>
  <rv s="14">
    <fb>500.02</fb>
    <v>34</v>
  </rv>
  <rv s="14">
    <fb>309.18</fb>
    <v>34</v>
  </rv>
  <rv s="14">
    <fb>50.39</fb>
    <v>34</v>
  </rv>
  <rv s="14">
    <fb>114.2</fb>
    <v>34</v>
  </rv>
  <rv s="14">
    <fb>154.02000000000001</fb>
    <v>34</v>
  </rv>
  <rv s="14">
    <fb>188.16</fb>
    <v>34</v>
  </rv>
  <rv s="14">
    <fb>296.04000000000002</fb>
    <v>34</v>
  </rv>
  <rv s="14">
    <fb>1163.31</fb>
    <v>34</v>
  </rv>
  <rv s="14">
    <fb>150.41</fb>
    <v>34</v>
  </rv>
  <rv s="14">
    <fb>139.69999999999999</fb>
    <v>34</v>
  </rv>
  <rv s="14">
    <fb>265.31</fb>
    <v>34</v>
  </rv>
  <rv s="14">
    <fb>93.26</fb>
    <v>34</v>
  </rv>
  <rv s="14">
    <fb>23.04</fb>
    <v>34</v>
  </rv>
  <rv s="14">
    <fb>59.86</fb>
    <v>34</v>
  </rv>
  <rv s="14">
    <fb>21.279800000000002</fb>
    <v>34</v>
  </rv>
  <rv s="14">
    <fb>45937</fb>
    <v>33</v>
  </rv>
  <rv s="14">
    <fb>256.48</fb>
    <v>34</v>
  </rv>
  <rv s="14">
    <fb>185.04</fb>
    <v>34</v>
  </rv>
  <rv s="14">
    <fb>523.98</fb>
    <v>34</v>
  </rv>
  <rv s="14">
    <fb>713.08</fb>
    <v>34</v>
  </rv>
  <rv s="14">
    <fb>245.76</fb>
    <v>34</v>
  </rv>
  <rv s="14">
    <fb>669.12</fb>
    <v>34</v>
  </rv>
  <rv s="14">
    <fb>366.26</fb>
    <v>34</v>
  </rv>
  <rv s="14">
    <fb>96.36</fb>
    <v>34</v>
  </rv>
  <rv s="14">
    <fb>47.725000000000001</fb>
    <v>34</v>
  </rv>
  <rv s="14">
    <fb>126.05</fb>
    <v>34</v>
  </rv>
  <rv s="14">
    <fb>89.49</fb>
    <v>34</v>
  </rv>
  <rv s="14">
    <fb>43.39</fb>
    <v>34</v>
  </rv>
  <rv s="14">
    <fb>4.0999999999999996</fb>
    <v>34</v>
  </rv>
  <rv s="14">
    <fb>78.819999999999993</fb>
    <v>34</v>
  </rv>
  <rv s="14">
    <fb>147.79</fb>
    <v>34</v>
  </rv>
  <rv s="14">
    <fb>502.3</fb>
    <v>34</v>
  </rv>
  <rv s="14">
    <fb>307.69</fb>
    <v>34</v>
  </rv>
  <rv s="14">
    <fb>154.91</fb>
    <v>34</v>
  </rv>
  <rv s="14">
    <fb>296.32</fb>
    <v>34</v>
  </rv>
  <rv s="14">
    <fb>1191.06</fb>
    <v>34</v>
  </rv>
  <rv s="14">
    <fb>152.54</fb>
    <v>34</v>
  </rv>
  <rv s="14">
    <fb>140.79</fb>
    <v>34</v>
  </rv>
  <rv s="14">
    <fb>23.085000000000001</fb>
    <v>34</v>
  </rv>
  <rv s="14">
    <fb>59.98</fb>
    <v>34</v>
  </rv>
  <rv s="14">
    <fb>56.74</fb>
    <v>34</v>
  </rv>
  <rv s="14">
    <fb>21.224799999999998</fb>
    <v>34</v>
  </rv>
  <rv s="14">
    <fb>45938</fb>
    <v>33</v>
  </rv>
  <rv s="14">
    <fb>258.06</fb>
    <v>34</v>
  </rv>
  <rv s="14">
    <fb>189.11</fb>
    <v>34</v>
  </rv>
  <rv s="14">
    <fb>524.85</fb>
    <v>34</v>
  </rv>
  <rv s="14">
    <fb>717.84</fb>
    <v>34</v>
  </rv>
  <rv s="14">
    <fb>673.11</fb>
    <v>34</v>
  </rv>
  <rv s="14">
    <fb>89.25</fb>
    <v>34</v>
  </rv>
  <rv s="14">
    <fb>372.3</fb>
    <v>34</v>
  </rv>
  <rv s="14">
    <fb>73.53</fb>
    <v>34</v>
  </rv>
  <rv s="14">
    <fb>96.38</fb>
    <v>34</v>
  </rv>
  <rv s="14">
    <fb>47.7348</fb>
    <v>34</v>
  </rv>
  <rv s="14">
    <fb>124.8</fb>
    <v>34</v>
  </rv>
  <rv s="14">
    <fb>44.56</fb>
    <v>34</v>
  </rv>
  <rv s="14">
    <fb>80.09</fb>
    <v>34</v>
  </rv>
  <rv s="14">
    <fb>152.19999999999999</fb>
    <v>34</v>
  </rv>
  <rv s="14">
    <fb>499.84</fb>
    <v>34</v>
  </rv>
  <rv s="14">
    <fb>304.02999999999997</fb>
    <v>34</v>
  </rv>
  <rv s="14">
    <fb>49.84</fb>
    <v>34</v>
  </rv>
  <rv s="14">
    <fb>114.02</fb>
    <v>34</v>
  </rv>
  <rv s="14">
    <fb>189.69</fb>
    <v>34</v>
  </rv>
  <rv s="14">
    <fb>66.12</fb>
    <v>34</v>
  </rv>
  <rv s="14">
    <fb>294.39999999999998</fb>
    <v>34</v>
  </rv>
  <rv s="14">
    <fb>111.89</fb>
    <v>34</v>
  </rv>
  <rv s="14">
    <fb>1214.25</fb>
    <v>34</v>
  </rv>
  <rv s="14">
    <fb>138.84</fb>
    <v>34</v>
  </rv>
  <rv s="14">
    <fb>262.89999999999998</fb>
    <v>34</v>
  </rv>
  <rv s="14">
    <fb>29.635000000000002</fb>
    <v>34</v>
  </rv>
  <rv s="14">
    <fb>56.78</fb>
    <v>34</v>
  </rv>
  <rv s="14">
    <fb>21.184999999999999</fb>
    <v>34</v>
  </rv>
  <rv s="17">
    <v>37</v>
    <v>TLT</v>
    <v>Daily</v>
    <v>45574</v>
    <v>45939</v>
    <v>0</v>
    <v>1</v>
    <v>638954784000000000,638956262108994380,0</v>
    <v>0</v>
    <v>a24b5r</v>
    <v>XNAS:TLT</v>
    <v>1</v>
  </rv>
  <rv s="17">
    <v>37</v>
    <v>VGLT</v>
    <v>Daily</v>
    <v>45574</v>
    <v>45939</v>
    <v>0</v>
    <v>1</v>
    <v>638954784000000000,638955660060839606,0</v>
    <v>0</v>
    <v>a25b3m</v>
    <v>XNAS:VGLT</v>
    <v>2</v>
  </rv>
  <rv s="17">
    <v>37</v>
    <v>BAC</v>
    <v>Daily</v>
    <v>45574</v>
    <v>45939</v>
    <v>0</v>
    <v>1</v>
    <v>638954784000000000,638956262104698357,0</v>
    <v>0</v>
    <v>a1o4sm</v>
    <v>XNYS:BAC</v>
    <v>3</v>
  </rv>
  <rv s="17">
    <v>37</v>
    <v>ARCX:BIL</v>
    <v>Daily</v>
    <v>45574</v>
    <v>45939</v>
    <v>0</v>
    <v>1</v>
    <v>638954784000000000,638955660060421584,0</v>
    <v>0</v>
    <v>a1ohxm</v>
    <v>ARCX:BIL</v>
    <v>4</v>
  </rv>
  <rv s="17">
    <v>37</v>
    <v>ARCX:DBO</v>
    <v>Daily</v>
    <v>45574</v>
    <v>45939</v>
    <v>0</v>
    <v>1</v>
    <v>638954784000000000,638955660060971953,0</v>
    <v>0</v>
    <v>a1qsim</v>
    <v>ARCX:DBO</v>
    <v>5</v>
  </rv>
  <rv s="17">
    <v>37</v>
    <v>SPBO</v>
    <v>Daily</v>
    <v>45574</v>
    <v>45939</v>
    <v>0</v>
    <v>1</v>
    <v>638954784000000000,638955660060691564,0</v>
    <v>0</v>
    <v>a1pam7</v>
    <v>ARCX:SPBO</v>
    <v>6</v>
  </rv>
  <rv s="17">
    <v>38</v>
    <v>MRO*</v>
    <v>Daily</v>
    <v>45574</v>
    <v>45939</v>
    <v>0</v>
    <v>1</v>
    <v>638954784000000000,638956262102960076,0</v>
    <v>7</v>
    <v>ald4w7</v>
    <v>XMEX:MRO*</v>
    <v>8</v>
  </rv>
  <rv s="17">
    <v>37</v>
    <v>PXE</v>
    <v>Daily</v>
    <v>45574</v>
    <v>45939</v>
    <v>0</v>
    <v>1</v>
    <v>638954784000000000,638955660061513508,0</v>
    <v>0</v>
    <v>a21gvh</v>
    <v>ARCX:PXE</v>
    <v>9</v>
  </rv>
  <rv s="17">
    <v>37</v>
    <v>PG</v>
    <v>Daily</v>
    <v>45574</v>
    <v>45939</v>
    <v>0</v>
    <v>1</v>
    <v>638954784000000000,638956262104458514,0</v>
    <v>0</v>
    <v>a1zsjc</v>
    <v>XNYS:PG</v>
    <v>10</v>
  </rv>
  <rv s="17">
    <v>37</v>
    <v>OIH</v>
    <v>Daily</v>
    <v>45574</v>
    <v>45939</v>
    <v>0</v>
    <v>1</v>
    <v>638954784000000000,638955660061797639,0</v>
    <v>0</v>
    <v>a1z5r7</v>
    <v>ARCX:OIH</v>
    <v>11</v>
  </rv>
  <rv s="17">
    <v>37</v>
    <v>NVDA</v>
    <v>Daily</v>
    <v>45574</v>
    <v>45939</v>
    <v>0</v>
    <v>1</v>
    <v>638954784000000000,638956262105847073,0</v>
    <v>0</v>
    <v>a1yv52</v>
    <v>XNAS:NVDA</v>
    <v>12</v>
  </rv>
  <rv s="17">
    <v>37</v>
    <v>NFLX</v>
    <v>Daily</v>
    <v>45574</v>
    <v>45939</v>
    <v>0</v>
    <v>1</v>
    <v>638954784000000000,638956262104496926,0</v>
    <v>0</v>
    <v>a1ygoc</v>
    <v>XNAS:NFLX</v>
    <v>13</v>
  </rv>
  <rv s="17">
    <v>37</v>
    <v>VGIT</v>
    <v>Daily</v>
    <v>45574</v>
    <v>45939</v>
    <v>0</v>
    <v>1</v>
    <v>638954784000000000,638955660060974004,0</v>
    <v>0</v>
    <v>a25aww</v>
    <v>XNAS:VGIT</v>
    <v>14</v>
  </rv>
  <rv s="17">
    <v>37</v>
    <v>ARCX:SCHP</v>
    <v>Daily</v>
    <v>45574</v>
    <v>45939</v>
    <v>0</v>
    <v>1</v>
    <v>638954784000000000,638955660061097948,0</v>
    <v>0</v>
    <v>a22mur</v>
    <v>ARCX:SCHP</v>
    <v>15</v>
  </rv>
  <rv s="17">
    <v>37</v>
    <v>meta</v>
    <v>Daily</v>
    <v>45574</v>
    <v>45939</v>
    <v>0</v>
    <v>1</v>
    <v>638954784000000000,638956262106792971,0</v>
    <v>0</v>
    <v>a1slm7</v>
    <v>XNAS:META</v>
    <v>16</v>
  </rv>
  <rv s="17">
    <v>37</v>
    <v>CRED</v>
    <v>Daily</v>
    <v>45574</v>
    <v>45939</v>
    <v>0</v>
    <v>1</v>
    <v>638954784000000000,638956262102790784,0</v>
    <v>0</v>
    <v>c9myww</v>
    <v>ARCX:CRED</v>
    <v>17</v>
  </rv>
  <rv s="17">
    <v>37</v>
    <v>APO</v>
    <v>Daily</v>
    <v>45574</v>
    <v>45939</v>
    <v>0</v>
    <v>1</v>
    <v>638954784000000000,638956262104884860,0</v>
    <v>0</v>
    <v>a1nlzr</v>
    <v>XNYS:APO</v>
    <v>18</v>
  </rv>
  <rv s="17">
    <v>37</v>
    <v>JNJ</v>
    <v>Daily</v>
    <v>45574</v>
    <v>45939</v>
    <v>0</v>
    <v>1</v>
    <v>638954784000000000,638956262104622766,0</v>
    <v>0</v>
    <v>a1w8ec</v>
    <v>XNYS:JNJ</v>
    <v>19</v>
  </rv>
  <rv s="17">
    <v>37</v>
    <v>ARCX:SPTL</v>
    <v>Daily</v>
    <v>45574</v>
    <v>45939</v>
    <v>0</v>
    <v>1</v>
    <v>638954784000000000,638955660060590173,0</v>
    <v>0</v>
    <v>a23g4c</v>
    <v>ARCX:SPTL</v>
    <v>20</v>
  </rv>
  <rv s="17">
    <v>37</v>
    <v>SPY</v>
    <v>Daily</v>
    <v>45574</v>
    <v>45939</v>
    <v>0</v>
    <v>1</v>
    <v>638954784000000000,638955660061808555,0</v>
    <v>0</v>
    <v>a23hqh</v>
    <v>ARCX:SPY</v>
    <v>21</v>
  </rv>
  <rv s="17">
    <v>37</v>
    <v>GOOGL</v>
    <v>Daily</v>
    <v>45574</v>
    <v>45939</v>
    <v>0</v>
    <v>1</v>
    <v>638954784000000000,638956262107334017,0</v>
    <v>0</v>
    <v>a1u3rw</v>
    <v>XNAS:GOOGL</v>
    <v>22</v>
  </rv>
  <rv s="17">
    <v>37</v>
    <v>ARCX:GLDM</v>
    <v>Daily</v>
    <v>45574</v>
    <v>45939</v>
    <v>0</v>
    <v>1</v>
    <v>638954784000000000,638955660061440174,0</v>
    <v>0</v>
    <v>b1o8hw</v>
    <v>ARCX:GLDM</v>
    <v>23</v>
  </rv>
  <rv s="17">
    <v>37</v>
    <v>PEP</v>
    <v>Daily</v>
    <v>45574</v>
    <v>45939</v>
    <v>0</v>
    <v>1</v>
    <v>638954784000000000,638956262104439079,0</v>
    <v>0</v>
    <v>axyhnm</v>
    <v>XNAS:PEP</v>
    <v>24</v>
  </rv>
  <rv s="17">
    <v>37</v>
    <v>MCD</v>
    <v>Daily</v>
    <v>45574</v>
    <v>45939</v>
    <v>0</v>
    <v>1</v>
    <v>638954784000000000,638956262104557028,0</v>
    <v>0</v>
    <v>a1xdec</v>
    <v>XNYS:MCD</v>
    <v>25</v>
  </rv>
  <rv s="17">
    <v>37</v>
    <v>MSFT</v>
    <v>Daily</v>
    <v>45574</v>
    <v>45939</v>
    <v>0</v>
    <v>1</v>
    <v>638954784000000000,638956262108433670,0</v>
    <v>0</v>
    <v>a1xzim</v>
    <v>XNAS:MSFT</v>
    <v>26</v>
  </rv>
  <rv s="17">
    <v>37</v>
    <v>AAPL</v>
    <v>Daily</v>
    <v>45574</v>
    <v>45939</v>
    <v>0</v>
    <v>1</v>
    <v>638954784000000000,638956262105604792,0</v>
    <v>0</v>
    <v>a1mou2</v>
    <v>XNAS:AAPL</v>
    <v>27</v>
  </rv>
  <rv s="17">
    <v>37</v>
    <v>IEO</v>
    <v>Daily</v>
    <v>45574</v>
    <v>45939</v>
    <v>0</v>
    <v>1</v>
    <v>638954784000000000,638955660061654115,0</v>
    <v>0</v>
    <v>a1vbmw</v>
    <v>BATS:IEO</v>
    <v>28</v>
  </rv>
  <rv s="17">
    <v>37</v>
    <v>JPM</v>
    <v>Daily</v>
    <v>45574</v>
    <v>45939</v>
    <v>0</v>
    <v>1</v>
    <v>638954784000000000,638956262104802231,0</v>
    <v>0</v>
    <v>a1waa2</v>
    <v>XNYS:JPM</v>
    <v>29</v>
  </rv>
  <rv s="17">
    <v>37</v>
    <v>VGSH</v>
    <v>Daily</v>
    <v>45574</v>
    <v>45939</v>
    <v>0</v>
    <v>1</v>
    <v>638954784000000000,638955660061109818,0</v>
    <v>0</v>
    <v>a25bc7</v>
    <v>XNAS:VGSH</v>
    <v>30</v>
  </rv>
  <rv s="17">
    <v>37</v>
    <v>KO</v>
    <v>Daily</v>
    <v>45574</v>
    <v>45939</v>
    <v>0</v>
    <v>1</v>
    <v>638954784000000000,638956262104587045,0</v>
    <v>0</v>
    <v>a1wljc</v>
    <v>XNYS:KO</v>
    <v>31</v>
  </rv>
  <rv s="17">
    <v>37</v>
    <v>ARCX:SLV</v>
    <v>Daily</v>
    <v>45574</v>
    <v>45939</v>
    <v>0</v>
    <v>1</v>
    <v>638954784000000000,638955660060627156,0</v>
    <v>0</v>
    <v>a233ur</v>
    <v>ARCX:SLV</v>
    <v>32</v>
  </rv>
  <rv s="17">
    <v>37</v>
    <v>GLD</v>
    <v>Daily</v>
    <v>45574</v>
    <v>45939</v>
    <v>0</v>
    <v>1</v>
    <v>638954784000000000,638955660062925420,0</v>
    <v>0</v>
    <v>a1twnm</v>
    <v>ARCX:GLD</v>
    <v>33</v>
  </rv>
  <rv s="17">
    <v>39</v>
    <v>XCNQ:OIL</v>
    <v>Daily</v>
    <v>45574</v>
    <v>45939</v>
    <v>0</v>
    <v>1</v>
    <v>638954784000000000,638956262104153963,0</v>
    <v>34</v>
    <v>b115z2</v>
    <v>XCNQ:OIL</v>
    <v>35</v>
  </rv>
  <rv s="17">
    <v>37</v>
    <v>ARCX:WEAT</v>
    <v>Daily</v>
    <v>45574</v>
    <v>45939</v>
    <v>0</v>
    <v>1</v>
    <v>638954784000000000,638955660061603752,0</v>
    <v>0</v>
    <v>a25sbh</v>
    <v>ARCX:WEAT</v>
    <v>36</v>
  </rv>
  <rv s="17">
    <v>37</v>
    <v>IEF</v>
    <v>Daily</v>
    <v>45574</v>
    <v>45939</v>
    <v>0</v>
    <v>1</v>
    <v>638954784000000000,638955660063173984,0</v>
    <v>0</v>
    <v>a1vbbh</v>
    <v>XNAS:IEF</v>
    <v>37</v>
  </rv>
  <rv s="17">
    <v>37</v>
    <v>GOVT</v>
    <v>Daily</v>
    <v>45574</v>
    <v>45939</v>
    <v>0</v>
    <v>1</v>
    <v>638954784000000000,638955660061246047,0</v>
    <v>0</v>
    <v>a1u477</v>
    <v>BATS:GOVT</v>
    <v>38</v>
  </rv>
  <rv s="17">
    <v>37</v>
    <v>XOM</v>
    <v>Daily</v>
    <v>45574</v>
    <v>45939</v>
    <v>0</v>
    <v>1</v>
    <v>638954784000000000,638956262104669002,0</v>
    <v>0</v>
    <v>a269ec</v>
    <v>XNYS:XOM</v>
    <v>39</v>
  </rv>
  <rv s="17">
    <v>37</v>
    <v>BNDI</v>
    <v>Daily</v>
    <v>45574</v>
    <v>45939</v>
    <v>0</v>
    <v>1</v>
    <v>638954784000000000,638955660061642126,0</v>
    <v>0</v>
    <v>c786a2</v>
    <v>ARCX:BNDI</v>
    <v>40</v>
  </rv>
  <rv s="17">
    <v>37</v>
    <v>ARCX:SPTS</v>
    <v>Daily</v>
    <v>45574</v>
    <v>45939</v>
    <v>0</v>
    <v>1</v>
    <v>638954784000000000,638955660060763142,0</v>
    <v>0</v>
    <v>a23gcw</v>
    <v>ARCX:SPTS</v>
    <v>41</v>
  </rv>
  <rv s="17">
    <v>37</v>
    <v>USO</v>
    <v>Daily</v>
    <v>45574</v>
    <v>45939</v>
    <v>0</v>
    <v>1</v>
    <v>638954784000000000,638955660063900793,0</v>
    <v>0</v>
    <v>a253hw</v>
    <v>ARCX:USO</v>
    <v>42</v>
  </rv>
  <rv s="17">
    <v>37</v>
    <v>DIS</v>
    <v>Daily</v>
    <v>45574</v>
    <v>45939</v>
    <v>0</v>
    <v>1</v>
    <v>638954784000000000,638956262104527691,0</v>
    <v>0</v>
    <v>a1r2z2</v>
    <v>XNYS:DIS</v>
    <v>43</v>
  </rv>
  <rv s="17">
    <v>37</v>
    <v>BATS:FLOT</v>
    <v>Daily</v>
    <v>45574</v>
    <v>45939</v>
    <v>0</v>
    <v>1</v>
    <v>638954784000000000,638955660060924513,0</v>
    <v>0</v>
    <v>a1t252</v>
    <v>BATS:FLOT</v>
    <v>44</v>
  </rv>
  <rv s="17">
    <v>37</v>
    <v>ARCX:PPLT</v>
    <v>Daily</v>
    <v>45574</v>
    <v>45939</v>
    <v>0</v>
    <v>1</v>
    <v>638954784000000000,638955660061266872,0</v>
    <v>0</v>
    <v>a214yc</v>
    <v>ARCX:PPLT</v>
    <v>45</v>
  </rv>
  <rv s="17">
    <v>37</v>
    <v>XLE</v>
    <v>Daily</v>
    <v>45574</v>
    <v>45939</v>
    <v>0</v>
    <v>1</v>
    <v>638954784000000000,638955660061137775,0</v>
    <v>0</v>
    <v>a267oc</v>
    <v>ARCX:XLE</v>
    <v>46</v>
  </rv>
  <rv s="17">
    <v>37</v>
    <v>ARCX:DBA</v>
    <v>Daily</v>
    <v>45574</v>
    <v>45939</v>
    <v>0</v>
    <v>1</v>
    <v>638954784000000000,638955660060466903,0</v>
    <v>0</v>
    <v>a1qr27</v>
    <v>ARCX:DBA</v>
    <v>47</v>
  </rv>
  <rv s="17">
    <v>37</v>
    <v>BRK.B</v>
    <v>Daily</v>
    <v>45574</v>
    <v>45939</v>
    <v>0</v>
    <v>1</v>
    <v>638954784000000000,638956262105176085,0</v>
    <v>0</v>
    <v>a1otrw</v>
    <v>XNYS:BRK.B</v>
    <v>48</v>
  </rv>
  <rv s="17">
    <v>37</v>
    <v>CVX</v>
    <v>Daily</v>
    <v>45574</v>
    <v>45939</v>
    <v>0</v>
    <v>1</v>
    <v>638954784000000000,638956262104644778,0</v>
    <v>0</v>
    <v>a1qlz2</v>
    <v>XNYS:CVX</v>
    <v>49</v>
  </rv>
</rvData>
</file>

<file path=xl/richData/rdrichvaluestructure.xml><?xml version="1.0" encoding="utf-8"?>
<rvStructures xmlns="http://schemas.microsoft.com/office/spreadsheetml/2017/richdata" count="18">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Expense ratio"/>
    <k n="Instrument type" t="s"/>
    <k n="Last trade time"/>
    <k n="Last update time"/>
    <k n="LearnMoreOnLink" t="r"/>
    <k n="Name" t="s"/>
    <k n="Net assets"/>
    <k n="Previous close"/>
    <k n="Price"/>
    <k n="Rating"/>
    <k n="Return (1m)"/>
    <k n="Return (1w)"/>
    <k n="Return (1y)"/>
    <k n="Return (3m)"/>
    <k n="Return (3y)"/>
    <k n="Return (5y)"/>
    <k n="Return (YTD)"/>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ow"/>
    <k n="Market cap"/>
    <k n="Name" t="s"/>
    <k n="Open"/>
    <k n="Previous close"/>
    <k n="Price"/>
    <k n="Ticker symbol" t="s"/>
    <k n="UniqueName" t="s"/>
    <k n="Volume"/>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9">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4">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Beta</v>
      <v t="s">Instrument type</v>
      <v t="s">_Flags</v>
      <v t="s">UniqueName</v>
      <v t="s">_DisplayString</v>
      <v t="s">LearnMoreOnLink</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a count="33">
      <v t="s">%EntityServiceId</v>
      <v t="s">_Format</v>
      <v t="s">%IsRefreshable</v>
      <v t="s">%EntityCulture</v>
      <v t="s">%EntityId</v>
      <v t="s">_Icon</v>
      <v t="s">_Display</v>
      <v t="s">Name</v>
      <v t="s">Price</v>
      <v t="s">Country/region</v>
      <v t="s">_SubLabel</v>
      <v t="s">Change</v>
      <v t="s">Change (%)</v>
      <v t="s">Rating</v>
      <v t="s">Expense ratio</v>
      <v t="s">Previous close</v>
      <v t="s">Return (YTD)</v>
      <v t="s">Return (1w)</v>
      <v t="s">Return (1m)</v>
      <v t="s">Return (3m)</v>
      <v t="s">Return (1y)</v>
      <v t="s">Return (3y)</v>
      <v t="s">Return (5y)</v>
      <v t="s">Net assets</v>
      <v t="s">_Flags</v>
      <v t="s">Last update time</v>
      <v t="s">Last trade time</v>
      <v t="s">Instrument type</v>
      <v t="s">Currency</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2">
      <v t="s">%EntityServiceId</v>
      <v t="s">_Format</v>
      <v t="s">%IsRefreshable</v>
      <v t="s">%EntityCulture</v>
      <v t="s">%EntityId</v>
      <v t="s">_Icon</v>
      <v t="s">_Display</v>
      <v t="s">Name</v>
      <v t="s">Price</v>
      <v t="s">Exchange</v>
      <v t="s">_SubLabel</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%ProviderInfo</v>
    </a>
  </spbArrays>
  <spbData count="40">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0">
      <v>1</v>
      <v>Name</v>
      <v>LearnMoreOnLink</v>
    </spb>
    <spb s="5">
      <v>0</v>
      <v>0</v>
    </spb>
    <spb s="6">
      <v>6</v>
      <v>1</v>
      <v>1</v>
      <v>1</v>
      <v>1</v>
    </spb>
    <spb s="7">
      <v>1</v>
      <v>2</v>
      <v>2</v>
      <v>1</v>
      <v>3</v>
      <v>1</v>
      <v>10</v>
      <v>1</v>
      <v>1</v>
      <v>4</v>
      <v>4</v>
      <v>5</v>
      <v>6</v>
      <v>1</v>
      <v>1</v>
      <v>1</v>
      <v>4</v>
      <v>7</v>
      <v>8</v>
      <v>9</v>
      <v>4</v>
    </spb>
    <spb s="8">
      <v>Powered by Refinitiv</v>
    </spb>
    <spb s="0">
      <v>2</v>
      <v>Name</v>
      <v>LearnMoreOnLink</v>
    </spb>
    <spb s="9">
      <v>1</v>
      <v>1</v>
      <v>1</v>
    </spb>
    <spb s="10">
      <v>1</v>
      <v>2</v>
      <v>1</v>
      <v>3</v>
      <v>1</v>
      <v>1</v>
      <v>1</v>
      <v>4</v>
      <v>5</v>
      <v>6</v>
      <v>1</v>
      <v>1</v>
      <v>5</v>
      <v>1</v>
      <v>4</v>
      <v>7</v>
      <v>9</v>
    </spb>
    <spb s="11">
      <v>Real-Time Nasdaq Last Sale</v>
      <v>from previous close</v>
      <v>Source: Nasdaq Last Sale</v>
      <v>from previous close</v>
      <v>GMT</v>
    </spb>
    <spb s="12">
      <v>3</v>
      <v>Name</v>
    </spb>
    <spb s="13">
      <v>1</v>
      <v>1</v>
      <v>1</v>
    </spb>
    <spb s="14">
      <v>3</v>
      <v>1</v>
      <v>1</v>
      <v>4</v>
      <v>5</v>
      <v>6</v>
      <v>5</v>
      <v>5</v>
      <v>5</v>
      <v>5</v>
      <v>5</v>
      <v>5</v>
      <v>5</v>
      <v>1</v>
      <v>11</v>
      <v>7</v>
      <v>9</v>
    </spb>
    <spb s="15">
      <v>from previous close</v>
      <v>from previous close</v>
      <v>GMT</v>
      <v>GMT</v>
    </spb>
    <spb s="0">
      <v>4</v>
      <v>Name</v>
      <v>LearnMoreOnLink</v>
    </spb>
    <spb s="16">
      <v>1</v>
      <v>1</v>
      <v>1</v>
      <v>1</v>
    </spb>
    <spb s="17">
      <v>3</v>
      <v>1</v>
      <v>1</v>
      <v>4</v>
      <v>5</v>
      <v>6</v>
      <v>5</v>
      <v>5</v>
      <v>5</v>
      <v>5</v>
      <v>5</v>
      <v>5</v>
      <v>5</v>
      <v>5</v>
      <v>1</v>
      <v>11</v>
      <v>7</v>
      <v>9</v>
    </spb>
    <spb s="0">
      <v>5</v>
      <v>Name</v>
      <v>LearnMoreOnLink</v>
    </spb>
    <spb s="18">
      <v>12</v>
      <v>2</v>
      <v>12</v>
      <v>3</v>
      <v>12</v>
      <v>12</v>
      <v>12</v>
      <v>4</v>
      <v>5</v>
      <v>13</v>
      <v>12</v>
      <v>12</v>
      <v>12</v>
      <v>4</v>
      <v>7</v>
      <v>8</v>
      <v>9</v>
      <v>4</v>
    </spb>
    <spb s="19">
      <v>Delayed 15 minutes</v>
      <v>from previous close</v>
      <v>from previous close</v>
      <v>GMT</v>
    </spb>
    <spb s="0">
      <v>6</v>
      <v>Name</v>
      <v>LearnMoreOnLink</v>
    </spb>
    <spb s="20">
      <v>1</v>
      <v>1</v>
      <v>3</v>
      <v>1</v>
      <v>1</v>
      <v>1</v>
      <v>4</v>
      <v>5</v>
      <v>6</v>
      <v>1</v>
      <v>1</v>
      <v>5</v>
      <v>1</v>
      <v>4</v>
      <v>7</v>
      <v>9</v>
    </spb>
    <spb s="0">
      <v>7</v>
      <v>Name</v>
      <v>LearnMoreOnLink</v>
    </spb>
    <spb s="21">
      <v>14</v>
      <v>2</v>
      <v>14</v>
      <v>3</v>
      <v>14</v>
      <v>10</v>
      <v>14</v>
      <v>14</v>
      <v>4</v>
      <v>4</v>
      <v>5</v>
      <v>6</v>
      <v>14</v>
      <v>14</v>
      <v>14</v>
      <v>4</v>
      <v>7</v>
      <v>8</v>
      <v>9</v>
      <v>4</v>
    </spb>
    <spb s="19">
      <v>Delayed 20 minutes</v>
      <v>from previous close</v>
      <v>from previous close</v>
      <v>GMT</v>
    </spb>
    <spb s="12">
      <v>8</v>
      <v>Name</v>
    </spb>
    <spb s="22">
      <v>1</v>
      <v>1</v>
    </spb>
    <spb s="23">
      <v>12</v>
      <v>2</v>
      <v>12</v>
      <v>3</v>
      <v>12</v>
      <v>12</v>
      <v>12</v>
      <v>4</v>
      <v>5</v>
      <v>13</v>
      <v>12</v>
      <v>12</v>
      <v>5</v>
      <v>12</v>
      <v>7</v>
      <v>9</v>
    </spb>
    <spb s="24">
      <v>from previous close</v>
      <v>from previous close</v>
      <v>GMT</v>
    </spb>
    <spb s="25">
      <v>11</v>
    </spb>
    <spb s="25">
      <v>1</v>
    </spb>
    <spb s="25">
      <v>12</v>
    </spb>
    <spb s="25">
      <v>14</v>
    </spb>
    <spb s="26">
      <v>11</v>
      <v>1</v>
    </spb>
    <spb s="26">
      <v>11</v>
      <v>14</v>
    </spb>
    <spb s="26">
      <v>11</v>
      <v>12</v>
    </spb>
  </spbData>
</supportingPropertyBags>
</file>

<file path=xl/richData/rdsupportingpropertybagstructure.xml><?xml version="1.0" encoding="utf-8"?>
<spbStructures xmlns="http://schemas.microsoft.com/office/spreadsheetml/2017/richdata2" count="27">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s>
  <s>
    <k n="Price" t="s"/>
    <k n="Change" t="s"/>
    <k n="Exchange" t="s"/>
    <k n="Change (%)" t="s"/>
    <k n="Last trade time" t="s"/>
  </s>
  <s>
    <k n="^Order" t="spba"/>
    <k n="TitleProperty"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UniqueName" t="spb"/>
    <k n="`%ProviderInfo" t="spb"/>
    <k n="LearnMoreOnLink" t="spb"/>
    <k n="Last update time" t="spb"/>
  </s>
  <s>
    <k n="Name" t="i"/>
    <k n="Price" t="i"/>
    <k n="Change" t="i"/>
    <k n="Rating" t="i"/>
    <k n="Change (%)" t="i"/>
    <k n="Net assets" t="i"/>
    <k n="Return (1m)" t="i"/>
    <k n="Return (1w)" t="i"/>
    <k n="Return (1y)" t="i"/>
    <k n="Return (3m)" t="i"/>
    <k n="Return (3y)" t="i"/>
    <k n="Return (5y)" t="i"/>
    <k n="Return (YTD)" t="i"/>
    <k n="Expense ratio" t="i"/>
    <k n="Previous close" t="i"/>
    <k n="Last trade time" t="i"/>
    <k n="Last update time" t="i"/>
    <k n="`%EntityServiceId"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High" t="i"/>
    <k n="Name" t="i"/>
    <k n="Open" t="i"/>
    <k n="Price" t="i"/>
    <k n="Change" t="i"/>
    <k n="Volume" t="i"/>
    <k n="Change (%)" t="i"/>
    <k n="Market cap" t="i"/>
    <k n="52 week low" t="i"/>
    <k n="52 week high" t="i"/>
    <k n="Expense ratio" t="i"/>
    <k n="Previous close" t="i"/>
    <k n="Volume average" t="i"/>
    <k n="Last trade time" t="i"/>
    <k n="`%EntityServiceId" t="i"/>
  </s>
  <s>
    <k n="Low"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UniqueName" t="spb"/>
    <k n="`%ProviderInfo" t="spb"/>
  </s>
  <s>
    <k n="Low" t="i"/>
    <k n="Beta" t="i"/>
    <k n="High" t="i"/>
    <k n="Name" t="i"/>
    <k n="Open" t="i"/>
    <k n="Price" t="i"/>
    <k n="Change" t="i"/>
    <k n="Volume" t="i"/>
    <k n="Change (%)" t="i"/>
    <k n="Market cap" t="i"/>
    <k n="52 week low" t="i"/>
    <k n="52 week high" t="i"/>
    <k n="Expense ratio" t="i"/>
    <k n="Previous close" t="i"/>
    <k n="Last trade time" t="i"/>
    <k n="`%EntityServiceId" t="i"/>
  </s>
  <s>
    <k n="Change" t="s"/>
    <k n="Change (%)" t="s"/>
    <k n="Last trad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Sty dxfid="1">
      <rpv i="0">_([$$-en-CA]* #,##0.00_);_([$$-en-CA]* (#,##0.00);_([$$-en-CA]* "-"??_);_(@_)</rpv>
    </rSty>
    <rSty dxfid="1">
      <rpv i="0">_([$$-en-CA]* #,##0_);_([$$-en-CA]* (#,##0);_([$$-en-CA]* "-"_);_(@_)</rpv>
    </rSty>
    <rSty dxfid="1">
      <rpv i="0">_-[$$-es-MX]* #,##0.00_-;-[$$-es-MX]* #,##0.00_-;_-[$$-es-MX]*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11"/>
  <sheetViews>
    <sheetView tabSelected="1" zoomScale="99" workbookViewId="0">
      <selection activeCell="I19" sqref="I19"/>
    </sheetView>
  </sheetViews>
  <sheetFormatPr defaultColWidth="10.81640625" defaultRowHeight="15"/>
  <cols>
    <col min="1" max="1" width="41.453125" style="7" customWidth="1"/>
    <col min="2" max="2" width="13.36328125" style="2" customWidth="1"/>
    <col min="3" max="3" width="14.6328125" style="13" customWidth="1"/>
    <col min="4" max="4" width="7.6328125" style="2" customWidth="1"/>
    <col min="5" max="5" width="10.81640625" style="8"/>
    <col min="6" max="6" width="14.453125" style="8" customWidth="1"/>
    <col min="7" max="16384" width="10.81640625" style="8"/>
  </cols>
  <sheetData>
    <row r="1" spans="1:4" s="9" customFormat="1" ht="34.950000000000003" customHeight="1">
      <c r="A1" s="9" t="s">
        <v>0</v>
      </c>
      <c r="B1" s="9" t="s">
        <v>1</v>
      </c>
      <c r="C1" s="10" t="s">
        <v>33</v>
      </c>
      <c r="D1" s="9" t="s">
        <v>2</v>
      </c>
    </row>
    <row r="2" spans="1:4">
      <c r="A2" s="7" t="s">
        <v>14</v>
      </c>
      <c r="B2" s="2" t="s">
        <v>3</v>
      </c>
      <c r="C2" s="13">
        <v>2000</v>
      </c>
      <c r="D2" s="36">
        <v>1.024</v>
      </c>
    </row>
    <row r="3" spans="1:4">
      <c r="A3" s="7" t="s">
        <v>20</v>
      </c>
      <c r="B3" s="2" t="s">
        <v>3</v>
      </c>
      <c r="C3" s="13">
        <v>1000</v>
      </c>
      <c r="D3" s="36">
        <v>1.0931</v>
      </c>
    </row>
    <row r="4" spans="1:4">
      <c r="A4" s="7" t="s">
        <v>21</v>
      </c>
      <c r="B4" s="2" t="s">
        <v>3</v>
      </c>
      <c r="C4" s="13">
        <v>23000</v>
      </c>
      <c r="D4" s="36">
        <v>2.1213000000000002</v>
      </c>
    </row>
    <row r="5" spans="1:4">
      <c r="A5" s="7" t="s">
        <v>22</v>
      </c>
      <c r="B5" s="2" t="s">
        <v>3</v>
      </c>
      <c r="C5" s="13">
        <v>1500</v>
      </c>
      <c r="D5" s="36">
        <v>1.2076</v>
      </c>
    </row>
    <row r="6" spans="1:4">
      <c r="A6" s="34" t="s">
        <v>29</v>
      </c>
      <c r="B6" s="2" t="s">
        <v>6</v>
      </c>
      <c r="C6" s="13">
        <v>3000</v>
      </c>
      <c r="D6" s="36">
        <v>0.81589999999999996</v>
      </c>
    </row>
    <row r="7" spans="1:4">
      <c r="A7" s="7" t="s">
        <v>30</v>
      </c>
      <c r="B7" s="2" t="s">
        <v>4</v>
      </c>
      <c r="C7" s="13">
        <v>12000</v>
      </c>
      <c r="D7" s="36">
        <v>1.0716000000000001</v>
      </c>
    </row>
    <row r="8" spans="1:4">
      <c r="A8" s="7" t="s">
        <v>31</v>
      </c>
      <c r="B8" s="2" t="s">
        <v>5</v>
      </c>
      <c r="C8" s="13">
        <v>9000</v>
      </c>
      <c r="D8" s="36">
        <v>1.0226</v>
      </c>
    </row>
    <row r="9" spans="1:4">
      <c r="A9" s="7" t="s">
        <v>68</v>
      </c>
      <c r="B9" s="2" t="s">
        <v>3</v>
      </c>
      <c r="C9" s="13">
        <v>400</v>
      </c>
      <c r="D9" s="36">
        <v>1.0232000000000001</v>
      </c>
    </row>
    <row r="10" spans="1:4">
      <c r="A10" s="7" t="s">
        <v>82</v>
      </c>
      <c r="B10" s="2" t="s">
        <v>7</v>
      </c>
      <c r="C10" s="35">
        <v>200</v>
      </c>
      <c r="D10" s="36">
        <v>0.75639999999999996</v>
      </c>
    </row>
    <row r="11" spans="1:4">
      <c r="A11" s="7" t="s">
        <v>30</v>
      </c>
      <c r="B11" s="2" t="s">
        <v>4</v>
      </c>
      <c r="C11" s="35">
        <v>100</v>
      </c>
      <c r="D11" s="36">
        <v>1.0788</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49"/>
  <sheetViews>
    <sheetView workbookViewId="0">
      <selection activeCell="J24" sqref="J24"/>
    </sheetView>
  </sheetViews>
  <sheetFormatPr defaultColWidth="10.81640625" defaultRowHeight="15"/>
  <cols>
    <col min="1" max="1" width="54" style="7" customWidth="1"/>
    <col min="2" max="2" width="16.81640625" style="2" customWidth="1"/>
    <col min="3" max="3" width="10.81640625" style="2"/>
    <col min="4" max="4" width="22.1796875" style="2" customWidth="1"/>
    <col min="5" max="5" width="13.1796875" style="2" customWidth="1"/>
    <col min="6" max="7" width="12.6328125" style="2" customWidth="1"/>
    <col min="8" max="16384" width="10.81640625" style="2"/>
  </cols>
  <sheetData>
    <row r="1" spans="1:7" s="9" customFormat="1" ht="33" customHeight="1">
      <c r="A1" s="9" t="s">
        <v>11</v>
      </c>
      <c r="B1" s="9" t="s">
        <v>12</v>
      </c>
      <c r="C1" s="9" t="s">
        <v>2</v>
      </c>
      <c r="D1" s="9" t="s">
        <v>13</v>
      </c>
      <c r="E1" s="9" t="s">
        <v>1</v>
      </c>
      <c r="F1" s="9" t="s">
        <v>17</v>
      </c>
      <c r="G1" s="9" t="s">
        <v>16</v>
      </c>
    </row>
    <row r="2" spans="1:7">
      <c r="A2" s="7" t="e" vm="1">
        <v>#VALUE!</v>
      </c>
      <c r="B2" s="12" t="e" cm="1">
        <f t="array" aca="1" ref="B2" ca="1">_FV(A2,"Price")</f>
        <v>#NAME?</v>
      </c>
      <c r="C2" s="13" t="e" cm="1">
        <f t="array" aca="1" ref="C2" ca="1">_FV(A2,"Beta")</f>
        <v>#NAME?</v>
      </c>
      <c r="D2" s="14" t="e" cm="1">
        <f t="array" aca="1" ref="D2" ca="1">_FV(A2,"Market cap",TRUE)</f>
        <v>#NAME?</v>
      </c>
      <c r="E2" s="12" t="s">
        <v>3</v>
      </c>
      <c r="F2" s="15" t="e">
        <f ca="1">(B2-G2)/G2</f>
        <v>#NAME?</v>
      </c>
      <c r="G2" s="12" t="e" cm="1">
        <f t="array" aca="1" ref="G2" ca="1">_FV(A2,"Previous close",TRUE)</f>
        <v>#NAME?</v>
      </c>
    </row>
    <row r="3" spans="1:7">
      <c r="A3" s="7" t="e" vm="2">
        <v>#VALUE!</v>
      </c>
      <c r="B3" s="12" t="e" cm="1">
        <f t="array" aca="1" ref="B3" ca="1">_FV(A3,"Price")</f>
        <v>#NAME?</v>
      </c>
      <c r="C3" s="13" t="e" cm="1">
        <f t="array" aca="1" ref="C3" ca="1">_FV(A3,"Beta")</f>
        <v>#NAME?</v>
      </c>
      <c r="D3" s="14" t="e" cm="1">
        <f t="array" aca="1" ref="D3" ca="1">_FV(A3,"Market cap",TRUE)</f>
        <v>#NAME?</v>
      </c>
      <c r="E3" s="12" t="s">
        <v>3</v>
      </c>
      <c r="F3" s="15" t="e">
        <f ca="1">(B3-G3)/G3</f>
        <v>#NAME?</v>
      </c>
      <c r="G3" s="12" t="e" cm="1">
        <f t="array" aca="1" ref="G3" ca="1">_FV(A3,"Previous close",TRUE)</f>
        <v>#NAME?</v>
      </c>
    </row>
    <row r="4" spans="1:7">
      <c r="A4" s="7" t="e" vm="3">
        <v>#VALUE!</v>
      </c>
      <c r="B4" s="12" t="e" cm="1">
        <f t="array" aca="1" ref="B4" ca="1">_FV(A4,"Price")</f>
        <v>#NAME?</v>
      </c>
      <c r="C4" s="13" t="e" cm="1">
        <f t="array" aca="1" ref="C4" ca="1">_FV(A4,"Beta")</f>
        <v>#NAME?</v>
      </c>
      <c r="D4" s="14" t="e" cm="1">
        <f t="array" aca="1" ref="D4" ca="1">_FV(A4,"Market cap",TRUE)</f>
        <v>#NAME?</v>
      </c>
      <c r="E4" s="12" t="s">
        <v>3</v>
      </c>
      <c r="F4" s="15" t="e">
        <f t="shared" ref="F4:F17" ca="1" si="0">(B4-G4)/G4</f>
        <v>#NAME?</v>
      </c>
      <c r="G4" s="12" t="e" cm="1">
        <f t="array" aca="1" ref="G4" ca="1">_FV(A4,"Previous close",TRUE)</f>
        <v>#NAME?</v>
      </c>
    </row>
    <row r="5" spans="1:7">
      <c r="A5" s="7" t="e" vm="4">
        <v>#VALUE!</v>
      </c>
      <c r="B5" s="12" t="e" cm="1">
        <f t="array" aca="1" ref="B5" ca="1">_FV(A5,"Price")</f>
        <v>#NAME?</v>
      </c>
      <c r="C5" s="13" t="e" cm="1">
        <f t="array" aca="1" ref="C5" ca="1">_FV(A5,"Beta")</f>
        <v>#NAME?</v>
      </c>
      <c r="D5" s="14" t="e" cm="1">
        <f t="array" aca="1" ref="D5" ca="1">_FV(A5,"Market cap",TRUE)</f>
        <v>#NAME?</v>
      </c>
      <c r="E5" s="12" t="s">
        <v>3</v>
      </c>
      <c r="F5" s="15" t="e">
        <f t="shared" ca="1" si="0"/>
        <v>#NAME?</v>
      </c>
      <c r="G5" s="12" t="e" cm="1">
        <f t="array" aca="1" ref="G5" ca="1">_FV(A5,"Previous close",TRUE)</f>
        <v>#NAME?</v>
      </c>
    </row>
    <row r="6" spans="1:7">
      <c r="A6" s="7" t="e" vm="5">
        <v>#VALUE!</v>
      </c>
      <c r="B6" s="12" t="e" cm="1">
        <f t="array" aca="1" ref="B6" ca="1">_FV(A6,"Price")</f>
        <v>#NAME?</v>
      </c>
      <c r="C6" s="13" t="e" cm="1">
        <f t="array" aca="1" ref="C6" ca="1">_FV(A6,"Beta")</f>
        <v>#NAME?</v>
      </c>
      <c r="D6" s="14" t="e" cm="1">
        <f t="array" aca="1" ref="D6" ca="1">_FV(A6,"Market cap",TRUE)</f>
        <v>#NAME?</v>
      </c>
      <c r="E6" s="12" t="s">
        <v>3</v>
      </c>
      <c r="F6" s="15" t="e">
        <f t="shared" ca="1" si="0"/>
        <v>#NAME?</v>
      </c>
      <c r="G6" s="12" t="e" cm="1">
        <f t="array" aca="1" ref="G6" ca="1">_FV(A6,"Previous close",TRUE)</f>
        <v>#NAME?</v>
      </c>
    </row>
    <row r="7" spans="1:7">
      <c r="A7" s="7" t="e" vm="6">
        <v>#VALUE!</v>
      </c>
      <c r="B7" s="12" t="e" cm="1">
        <f t="array" aca="1" ref="B7" ca="1">_FV(A7,"Price")</f>
        <v>#NAME?</v>
      </c>
      <c r="C7" s="13" t="e" cm="1">
        <f t="array" aca="1" ref="C7" ca="1">_FV(A7,"Beta")</f>
        <v>#NAME?</v>
      </c>
      <c r="D7" s="14" t="e" cm="1">
        <f t="array" aca="1" ref="D7" ca="1">_FV(A7,"Market cap",TRUE)</f>
        <v>#NAME?</v>
      </c>
      <c r="E7" s="12" t="s">
        <v>3</v>
      </c>
      <c r="F7" s="15" t="e">
        <f t="shared" ca="1" si="0"/>
        <v>#NAME?</v>
      </c>
      <c r="G7" s="12" t="e" cm="1">
        <f t="array" aca="1" ref="G7" ca="1">_FV(A7,"Previous close",TRUE)</f>
        <v>#NAME?</v>
      </c>
    </row>
    <row r="8" spans="1:7">
      <c r="A8" s="7" t="e" vm="7">
        <v>#VALUE!</v>
      </c>
      <c r="B8" s="12" t="e" cm="1">
        <f t="array" aca="1" ref="B8" ca="1">_FV(A8,"Price")</f>
        <v>#NAME?</v>
      </c>
      <c r="C8" s="13" t="e" cm="1">
        <f t="array" aca="1" ref="C8" ca="1">_FV(A8,"Beta")</f>
        <v>#NAME?</v>
      </c>
      <c r="D8" s="14" t="e" cm="1">
        <f t="array" aca="1" ref="D8" ca="1">_FV(A8,"Market cap",TRUE)</f>
        <v>#NAME?</v>
      </c>
      <c r="E8" s="12" t="s">
        <v>4</v>
      </c>
      <c r="F8" s="15" t="e">
        <f t="shared" ca="1" si="0"/>
        <v>#NAME?</v>
      </c>
      <c r="G8" s="12" t="e" cm="1">
        <f t="array" aca="1" ref="G8" ca="1">_FV(A8,"Previous close",TRUE)</f>
        <v>#NAME?</v>
      </c>
    </row>
    <row r="9" spans="1:7">
      <c r="A9" s="7" t="e" vm="8">
        <v>#VALUE!</v>
      </c>
      <c r="B9" s="12" t="e" cm="1">
        <f t="array" aca="1" ref="B9" ca="1">_FV(A9,"Price")</f>
        <v>#NAME?</v>
      </c>
      <c r="C9" s="13" t="e" cm="1">
        <f t="array" aca="1" ref="C9" ca="1">_FV(A9,"Beta")</f>
        <v>#NAME?</v>
      </c>
      <c r="D9" s="12" t="e" cm="1">
        <f t="array" aca="1" ref="D9" ca="1">_FV(A9,"Market cap",TRUE)</f>
        <v>#NAME?</v>
      </c>
      <c r="E9" s="12" t="s">
        <v>6</v>
      </c>
      <c r="F9" s="15" t="e">
        <f t="shared" ca="1" si="0"/>
        <v>#NAME?</v>
      </c>
      <c r="G9" s="12" t="e" cm="1">
        <f t="array" aca="1" ref="G9" ca="1">_FV(A9,"Previous close",TRUE)</f>
        <v>#NAME?</v>
      </c>
    </row>
    <row r="10" spans="1:7">
      <c r="A10" s="7" t="e" vm="9">
        <v>#VALUE!</v>
      </c>
      <c r="B10" s="12" t="e" cm="1">
        <f t="array" aca="1" ref="B10" ca="1">_FV(A10,"Price")</f>
        <v>#NAME?</v>
      </c>
      <c r="C10" s="13" t="e" cm="1">
        <f t="array" aca="1" ref="C10" ca="1">_FV(A10,"Beta")</f>
        <v>#NAME?</v>
      </c>
      <c r="D10" s="12" t="e" cm="1">
        <f t="array" aca="1" ref="D10" ca="1">_FV(A10,"Market cap",TRUE)</f>
        <v>#NAME?</v>
      </c>
      <c r="E10" s="12" t="s">
        <v>5</v>
      </c>
      <c r="F10" s="15" t="e">
        <f t="shared" ca="1" si="0"/>
        <v>#NAME?</v>
      </c>
      <c r="G10" s="12" t="e" cm="1">
        <f t="array" aca="1" ref="G10" ca="1">_FV(A10,"Previous close",TRUE)</f>
        <v>#NAME?</v>
      </c>
    </row>
    <row r="11" spans="1:7">
      <c r="A11" s="7" t="e" vm="10">
        <v>#VALUE!</v>
      </c>
      <c r="B11" s="16" t="e" cm="1">
        <f t="array" aca="1" ref="B11" ca="1">_FV(A11,"Price")</f>
        <v>#NAME?</v>
      </c>
      <c r="C11" s="2" t="e" cm="1">
        <f t="array" aca="1" ref="C11" ca="1">_FV(A11,"Beta")</f>
        <v>#NAME?</v>
      </c>
      <c r="D11" s="12" t="e" cm="1">
        <f t="array" aca="1" ref="D11" ca="1">_FV(A11,"Market cap",TRUE)</f>
        <v>#NAME?</v>
      </c>
      <c r="E11" s="12" t="s">
        <v>3</v>
      </c>
      <c r="F11" s="15" t="e">
        <f t="shared" ca="1" si="0"/>
        <v>#NAME?</v>
      </c>
      <c r="G11" s="12" t="e" cm="1">
        <f t="array" aca="1" ref="G11" ca="1">_FV(A11,"Previous close",TRUE)</f>
        <v>#NAME?</v>
      </c>
    </row>
    <row r="12" spans="1:7">
      <c r="A12" s="7" t="e" vm="11">
        <v>#VALUE!</v>
      </c>
      <c r="B12" s="12" t="e" cm="1">
        <f t="array" aca="1" ref="B12" ca="1">_FV(A12,"Price")</f>
        <v>#NAME?</v>
      </c>
      <c r="C12" s="13" t="e" cm="1">
        <f t="array" aca="1" ref="C12" ca="1">_FV(A12,"Beta")</f>
        <v>#NAME?</v>
      </c>
      <c r="D12" s="12" t="e" cm="1">
        <f t="array" aca="1" ref="D12" ca="1">_FV(A12,"Market cap",TRUE)</f>
        <v>#NAME?</v>
      </c>
      <c r="E12" s="2" t="s">
        <v>4</v>
      </c>
      <c r="F12" s="15" t="e">
        <f t="shared" ca="1" si="0"/>
        <v>#NAME?</v>
      </c>
      <c r="G12" s="12" t="e" cm="1">
        <f t="array" aca="1" ref="G12" ca="1">_FV(A12,"Previous close",TRUE)</f>
        <v>#NAME?</v>
      </c>
    </row>
    <row r="13" spans="1:7">
      <c r="A13" s="7" t="e" vm="12">
        <v>#VALUE!</v>
      </c>
      <c r="B13" s="12" t="e" cm="1">
        <f t="array" aca="1" ref="B13" ca="1">_FV(A13,"Price")</f>
        <v>#NAME?</v>
      </c>
      <c r="C13" s="2" t="e" cm="1" vm="13">
        <f t="array" ref="C13">_FV(A13,"Beta")</f>
        <v>#VALUE!</v>
      </c>
      <c r="D13" s="12" t="e" cm="1" vm="14">
        <f t="array" ref="D13">_FV(A13,"Market cap",TRUE)</f>
        <v>#VALUE!</v>
      </c>
      <c r="E13" s="2" t="s">
        <v>4</v>
      </c>
      <c r="F13" s="15" t="e">
        <f t="shared" ca="1" si="0"/>
        <v>#NAME?</v>
      </c>
      <c r="G13" s="12" t="e" cm="1">
        <f t="array" aca="1" ref="G13" ca="1">_FV(A13,"Previous close",TRUE)</f>
        <v>#NAME?</v>
      </c>
    </row>
    <row r="14" spans="1:7">
      <c r="A14" s="7" t="e" vm="15">
        <v>#VALUE!</v>
      </c>
      <c r="B14" s="12" t="e" cm="1">
        <f t="array" aca="1" ref="B14" ca="1">_FV(A14,"Price")</f>
        <v>#NAME?</v>
      </c>
      <c r="C14" s="13" t="e" cm="1" vm="13">
        <f t="array" ref="C14">_FV(A14,"Beta")</f>
        <v>#VALUE!</v>
      </c>
      <c r="D14" s="12" t="e" cm="1" vm="14">
        <f t="array" ref="D14">_FV(A14,"Market cap",TRUE)</f>
        <v>#VALUE!</v>
      </c>
      <c r="E14" s="12" t="s">
        <v>7</v>
      </c>
      <c r="F14" s="15" t="e">
        <f t="shared" ca="1" si="0"/>
        <v>#NAME?</v>
      </c>
      <c r="G14" s="12" t="e" cm="1">
        <f t="array" aca="1" ref="G14" ca="1">_FV(A14,"Previous close",TRUE)</f>
        <v>#NAME?</v>
      </c>
    </row>
    <row r="15" spans="1:7">
      <c r="A15" s="7" t="e" vm="16">
        <v>#VALUE!</v>
      </c>
      <c r="B15" s="12" t="e" cm="1">
        <f t="array" aca="1" ref="B15" ca="1">_FV(A15,"Price")</f>
        <v>#NAME?</v>
      </c>
      <c r="C15" s="2" t="e" cm="1">
        <f t="array" aca="1" ref="C15" ca="1">_FV(A15,"Beta")</f>
        <v>#NAME?</v>
      </c>
      <c r="D15" s="12" t="e" cm="1">
        <f t="array" aca="1" ref="D15" ca="1">_FV(A15,"Market cap",TRUE)</f>
        <v>#NAME?</v>
      </c>
      <c r="E15" s="12" t="s">
        <v>5</v>
      </c>
      <c r="F15" s="15" t="e">
        <f t="shared" ca="1" si="0"/>
        <v>#NAME?</v>
      </c>
      <c r="G15" s="12" t="e" cm="1">
        <f t="array" aca="1" ref="G15" ca="1">_FV(A15,"Previous close",TRUE)</f>
        <v>#NAME?</v>
      </c>
    </row>
    <row r="16" spans="1:7">
      <c r="A16" s="7" t="e" vm="17">
        <v>#VALUE!</v>
      </c>
      <c r="B16" s="12" t="e" cm="1">
        <f t="array" aca="1" ref="B16" ca="1">_FV(A16,"Price")</f>
        <v>#NAME?</v>
      </c>
      <c r="C16" s="2" t="e" cm="1">
        <f t="array" aca="1" ref="C16" ca="1">_FV(A16,"Beta")</f>
        <v>#NAME?</v>
      </c>
      <c r="D16" s="12" t="e" cm="1">
        <f t="array" aca="1" ref="D16" ca="1">_FV(A16,"Market cap",TRUE)</f>
        <v>#NAME?</v>
      </c>
      <c r="E16" s="2" t="s">
        <v>4</v>
      </c>
      <c r="F16" s="15" t="e">
        <f t="shared" ca="1" si="0"/>
        <v>#NAME?</v>
      </c>
      <c r="G16" s="12" t="e" cm="1">
        <f t="array" aca="1" ref="G16" ca="1">_FV(A16,"Previous close",TRUE)</f>
        <v>#NAME?</v>
      </c>
    </row>
    <row r="17" spans="1:7">
      <c r="A17" s="7" t="e" vm="18">
        <v>#VALUE!</v>
      </c>
      <c r="B17" s="12" t="e" cm="1">
        <f t="array" aca="1" ref="B17" ca="1">_FV(A17,"Price")</f>
        <v>#NAME?</v>
      </c>
      <c r="C17" s="2" t="e" cm="1">
        <f t="array" aca="1" ref="C17" ca="1">_FV(A17,"Beta")</f>
        <v>#NAME?</v>
      </c>
      <c r="D17" s="12" t="e" cm="1">
        <f t="array" aca="1" ref="D17" ca="1">_FV(A17,"Market cap",TRUE)</f>
        <v>#NAME?</v>
      </c>
      <c r="E17" s="12" t="s">
        <v>5</v>
      </c>
      <c r="F17" s="15" t="e">
        <f t="shared" ca="1" si="0"/>
        <v>#NAME?</v>
      </c>
      <c r="G17" s="12" t="e" cm="1">
        <f t="array" aca="1" ref="G17" ca="1">_FV(A17,"Previous close",TRUE)</f>
        <v>#NAME?</v>
      </c>
    </row>
    <row r="18" spans="1:7">
      <c r="A18" s="7" t="e" vm="19">
        <v>#VALUE!</v>
      </c>
      <c r="B18" s="12" t="e" cm="1">
        <f t="array" aca="1" ref="B18" ca="1">_FV(A18,"Price")</f>
        <v>#NAME?</v>
      </c>
      <c r="C18" s="2" t="e" cm="1">
        <f t="array" aca="1" ref="C18" ca="1">_FV(A18,"Beta")</f>
        <v>#NAME?</v>
      </c>
      <c r="D18" s="12" t="e" cm="1">
        <f t="array" aca="1" ref="D18" ca="1">_FV(A18,"Market cap",TRUE)</f>
        <v>#NAME?</v>
      </c>
      <c r="E18" s="12" t="s">
        <v>6</v>
      </c>
      <c r="F18" s="15" t="e">
        <f t="shared" ref="F18:F20" ca="1" si="1">(B18-G18)/G18</f>
        <v>#NAME?</v>
      </c>
      <c r="G18" s="12" t="e" cm="1">
        <f t="array" aca="1" ref="G18" ca="1">_FV(A18,"Previous close",TRUE)</f>
        <v>#NAME?</v>
      </c>
    </row>
    <row r="19" spans="1:7">
      <c r="A19" s="7" t="e" vm="20">
        <v>#VALUE!</v>
      </c>
      <c r="B19" s="12" t="e" cm="1">
        <f t="array" aca="1" ref="B19" ca="1">_FV(A19,"Price")</f>
        <v>#NAME?</v>
      </c>
      <c r="C19" s="2" t="e" cm="1">
        <f t="array" aca="1" ref="C19" ca="1">_FV(A19,"Beta")</f>
        <v>#NAME?</v>
      </c>
      <c r="D19" s="12" t="e" cm="1">
        <f t="array" aca="1" ref="D19" ca="1">_FV(A19,"Market cap",TRUE)</f>
        <v>#NAME?</v>
      </c>
      <c r="E19" s="12" t="s">
        <v>6</v>
      </c>
      <c r="F19" s="15" t="e">
        <f t="shared" ca="1" si="1"/>
        <v>#NAME?</v>
      </c>
      <c r="G19" s="12" t="e" cm="1">
        <f t="array" aca="1" ref="G19" ca="1">_FV(A19,"Previous close",TRUE)</f>
        <v>#NAME?</v>
      </c>
    </row>
    <row r="20" spans="1:7">
      <c r="A20" s="7" t="e" vm="21">
        <v>#VALUE!</v>
      </c>
      <c r="B20" s="12" t="e" cm="1">
        <f t="array" aca="1" ref="B20" ca="1">_FV(A20,"Price")</f>
        <v>#NAME?</v>
      </c>
      <c r="C20" s="2" t="e" cm="1">
        <f t="array" aca="1" ref="C20" ca="1">_FV(A20,"Beta")</f>
        <v>#NAME?</v>
      </c>
      <c r="D20" s="12" t="e" cm="1">
        <f t="array" aca="1" ref="D20" ca="1">_FV(A20,"Market cap",TRUE)</f>
        <v>#NAME?</v>
      </c>
      <c r="E20" s="12" t="s">
        <v>6</v>
      </c>
      <c r="F20" s="15" t="e">
        <f t="shared" ca="1" si="1"/>
        <v>#NAME?</v>
      </c>
      <c r="G20" s="12" t="e" cm="1">
        <f t="array" aca="1" ref="G20" ca="1">_FV(A20,"Previous close",TRUE)</f>
        <v>#NAME?</v>
      </c>
    </row>
    <row r="21" spans="1:7">
      <c r="A21" s="7" t="e" vm="22">
        <v>#VALUE!</v>
      </c>
      <c r="B21" s="12" t="e" cm="1">
        <f t="array" aca="1" ref="B21" ca="1">_FV(A21,"Price")</f>
        <v>#NAME?</v>
      </c>
      <c r="C21" s="2" t="e" cm="1">
        <f t="array" aca="1" ref="C21" ca="1">_FV(A21,"Beta")</f>
        <v>#NAME?</v>
      </c>
      <c r="D21" s="12" t="e" cm="1">
        <f t="array" aca="1" ref="D21" ca="1">_FV(A21,"Market cap",TRUE)</f>
        <v>#NAME?</v>
      </c>
      <c r="E21" s="12" t="s">
        <v>6</v>
      </c>
      <c r="F21" s="15" t="e">
        <f t="shared" ref="F21:F23" ca="1" si="2">(B21-G21)/G21</f>
        <v>#NAME?</v>
      </c>
      <c r="G21" s="12" t="e" cm="1">
        <f t="array" aca="1" ref="G21" ca="1">_FV(A21,"Previous close",TRUE)</f>
        <v>#NAME?</v>
      </c>
    </row>
    <row r="22" spans="1:7">
      <c r="A22" s="7" t="e" vm="23">
        <v>#VALUE!</v>
      </c>
      <c r="B22" s="12" t="e" cm="1">
        <f t="array" aca="1" ref="B22" ca="1">_FV(A22,"Price")</f>
        <v>#NAME?</v>
      </c>
      <c r="C22" s="2" t="e" cm="1">
        <f t="array" aca="1" ref="C22" ca="1">_FV(A22,"Beta")</f>
        <v>#NAME?</v>
      </c>
      <c r="D22" s="12" t="e" cm="1">
        <f t="array" aca="1" ref="D22" ca="1">_FV(A22,"Market cap",TRUE)</f>
        <v>#NAME?</v>
      </c>
      <c r="E22" s="12" t="s">
        <v>6</v>
      </c>
      <c r="F22" s="15" t="e">
        <f t="shared" ca="1" si="2"/>
        <v>#NAME?</v>
      </c>
      <c r="G22" s="12" t="e" cm="1">
        <f t="array" aca="1" ref="G22" ca="1">_FV(A22,"Previous close",TRUE)</f>
        <v>#NAME?</v>
      </c>
    </row>
    <row r="23" spans="1:7">
      <c r="A23" s="7" t="e" vm="24">
        <v>#VALUE!</v>
      </c>
      <c r="B23" s="12" t="e" cm="1">
        <f t="array" aca="1" ref="B23" ca="1">_FV(A23,"Price")</f>
        <v>#NAME?</v>
      </c>
      <c r="C23" s="2" t="e" cm="1">
        <f t="array" aca="1" ref="C23" ca="1">_FV(A23,"Beta")</f>
        <v>#NAME?</v>
      </c>
      <c r="D23" s="12" t="e" cm="1">
        <f t="array" aca="1" ref="D23" ca="1">_FV(A23,"Market cap",TRUE)</f>
        <v>#NAME?</v>
      </c>
      <c r="E23" s="12" t="s">
        <v>7</v>
      </c>
      <c r="F23" s="15" t="e">
        <f t="shared" ca="1" si="2"/>
        <v>#NAME?</v>
      </c>
      <c r="G23" s="12" t="e" cm="1">
        <f t="array" aca="1" ref="G23" ca="1">_FV(A23,"Previous close",TRUE)</f>
        <v>#NAME?</v>
      </c>
    </row>
    <row r="24" spans="1:7">
      <c r="A24" s="7" t="e" vm="25">
        <v>#VALUE!</v>
      </c>
      <c r="B24" s="12" t="e" cm="1">
        <f t="array" aca="1" ref="B24" ca="1">_FV(A24,"Price")</f>
        <v>#NAME?</v>
      </c>
      <c r="C24" s="2" t="e" cm="1" vm="13">
        <f t="array" ref="C24">_FV(A24,"Beta")</f>
        <v>#VALUE!</v>
      </c>
      <c r="D24" s="12" t="e" cm="1">
        <f t="array" aca="1" ref="D24" ca="1">_FV(A24,"Market cap",TRUE)</f>
        <v>#NAME?</v>
      </c>
      <c r="E24" s="12" t="s">
        <v>7</v>
      </c>
      <c r="F24" s="15" t="e">
        <f t="shared" ref="F24:F27" ca="1" si="3">(B24-G24)/G24</f>
        <v>#NAME?</v>
      </c>
      <c r="G24" s="12" t="e" cm="1">
        <f t="array" aca="1" ref="G24" ca="1">_FV(A24,"Previous close",TRUE)</f>
        <v>#NAME?</v>
      </c>
    </row>
    <row r="25" spans="1:7">
      <c r="A25" s="7" t="e" vm="26">
        <v>#VALUE!</v>
      </c>
      <c r="B25" s="12" t="e" cm="1">
        <f t="array" aca="1" ref="B25" ca="1">_FV(A25,"Price")</f>
        <v>#NAME?</v>
      </c>
      <c r="C25" s="2" t="e" cm="1">
        <f t="array" aca="1" ref="C25" ca="1">_FV(A25,"Beta")</f>
        <v>#NAME?</v>
      </c>
      <c r="D25" s="12" t="e" cm="1">
        <f t="array" aca="1" ref="D25" ca="1">_FV(A25,"Market cap",TRUE)</f>
        <v>#NAME?</v>
      </c>
      <c r="E25" s="12" t="s">
        <v>7</v>
      </c>
      <c r="F25" s="15" t="e">
        <f t="shared" ca="1" si="3"/>
        <v>#NAME?</v>
      </c>
      <c r="G25" s="12" t="e" cm="1">
        <f t="array" aca="1" ref="G25" ca="1">_FV(A25,"Previous close",TRUE)</f>
        <v>#NAME?</v>
      </c>
    </row>
    <row r="26" spans="1:7">
      <c r="A26" s="7" t="e" vm="27">
        <v>#VALUE!</v>
      </c>
      <c r="B26" s="12" t="e" cm="1">
        <f t="array" aca="1" ref="B26" ca="1">_FV(A26,"Price")</f>
        <v>#NAME?</v>
      </c>
      <c r="C26" s="2" t="e" cm="1">
        <f t="array" aca="1" ref="C26" ca="1">_FV(A26,"Beta")</f>
        <v>#NAME?</v>
      </c>
      <c r="D26" s="12" t="e" cm="1">
        <f t="array" aca="1" ref="D26" ca="1">_FV(A26,"Market cap",TRUE)</f>
        <v>#NAME?</v>
      </c>
      <c r="E26" s="12" t="s">
        <v>7</v>
      </c>
      <c r="F26" s="15" t="e">
        <f t="shared" ca="1" si="3"/>
        <v>#NAME?</v>
      </c>
      <c r="G26" s="12" t="e" cm="1">
        <f t="array" aca="1" ref="G26" ca="1">_FV(A26,"Previous close",TRUE)</f>
        <v>#NAME?</v>
      </c>
    </row>
    <row r="27" spans="1:7">
      <c r="A27" s="7" t="e" vm="28">
        <v>#VALUE!</v>
      </c>
      <c r="B27" s="12" t="e" cm="1">
        <f t="array" aca="1" ref="B27" ca="1">_FV(A27,"Price")</f>
        <v>#NAME?</v>
      </c>
      <c r="C27" s="2" t="e" cm="1">
        <f t="array" aca="1" ref="C27" ca="1">_FV(A27,"Beta")</f>
        <v>#NAME?</v>
      </c>
      <c r="D27" s="12" t="e" cm="1">
        <f t="array" aca="1" ref="D27" ca="1">_FV(A27,"Market cap",TRUE)</f>
        <v>#NAME?</v>
      </c>
      <c r="E27" s="12" t="s">
        <v>7</v>
      </c>
      <c r="F27" s="15" t="e">
        <f t="shared" ca="1" si="3"/>
        <v>#NAME?</v>
      </c>
      <c r="G27" s="12" t="e" cm="1">
        <f t="array" aca="1" ref="G27" ca="1">_FV(A27,"Previous close",TRUE)</f>
        <v>#NAME?</v>
      </c>
    </row>
    <row r="28" spans="1:7">
      <c r="A28" s="7" t="e" vm="29">
        <v>#VALUE!</v>
      </c>
      <c r="B28" s="12" t="e" cm="1">
        <f t="array" aca="1" ref="B28" ca="1">_FV(A28,"Price")</f>
        <v>#NAME?</v>
      </c>
      <c r="C28" s="2" t="e" cm="1">
        <f t="array" aca="1" ref="C28" ca="1">_FV(A28,"Beta")</f>
        <v>#NAME?</v>
      </c>
      <c r="D28" s="12" t="e" cm="1">
        <f t="array" aca="1" ref="D28" ca="1">_FV(A28,"Market cap",TRUE)</f>
        <v>#NAME?</v>
      </c>
      <c r="E28" s="12" t="s">
        <v>3</v>
      </c>
      <c r="F28" s="15" t="e">
        <f t="shared" ref="F28:F29" ca="1" si="4">(B28-G28)/G28</f>
        <v>#NAME?</v>
      </c>
      <c r="G28" s="12" t="e" cm="1">
        <f t="array" aca="1" ref="G28" ca="1">_FV(A28,"Previous close",TRUE)</f>
        <v>#NAME?</v>
      </c>
    </row>
    <row r="29" spans="1:7">
      <c r="A29" s="7" t="e" vm="30">
        <v>#VALUE!</v>
      </c>
      <c r="B29" s="12" t="e" cm="1">
        <f t="array" aca="1" ref="B29" ca="1">_FV(A29,"Price")</f>
        <v>#NAME?</v>
      </c>
      <c r="C29" s="2" t="e" cm="1">
        <f t="array" aca="1" ref="C29" ca="1">_FV(A29,"Beta")</f>
        <v>#NAME?</v>
      </c>
      <c r="D29" s="12" t="e" cm="1">
        <f t="array" aca="1" ref="D29" ca="1">_FV(A29,"Market cap",TRUE)</f>
        <v>#NAME?</v>
      </c>
      <c r="E29" s="12" t="s">
        <v>3</v>
      </c>
      <c r="F29" s="15" t="e">
        <f t="shared" ca="1" si="4"/>
        <v>#NAME?</v>
      </c>
      <c r="G29" s="12" t="e" cm="1">
        <f t="array" aca="1" ref="G29" ca="1">_FV(A29,"Previous close",TRUE)</f>
        <v>#NAME?</v>
      </c>
    </row>
    <row r="30" spans="1:7">
      <c r="A30" s="7" t="e" vm="31">
        <v>#VALUE!</v>
      </c>
      <c r="B30" s="12" t="e" cm="1">
        <f t="array" aca="1" ref="B30" ca="1">_FV(A30,"Price")</f>
        <v>#NAME?</v>
      </c>
      <c r="C30" s="2" t="e" cm="1">
        <f t="array" aca="1" ref="C30" ca="1">_FV(A30,"Beta")</f>
        <v>#NAME?</v>
      </c>
      <c r="D30" s="12" t="e" cm="1">
        <f t="array" aca="1" ref="D30" ca="1">_FV(A30,"Market cap",TRUE)</f>
        <v>#NAME?</v>
      </c>
      <c r="E30" s="12" t="s">
        <v>3</v>
      </c>
      <c r="F30" s="15" t="e">
        <f t="shared" ref="F30:F31" ca="1" si="5">(B30-G30)/G30</f>
        <v>#NAME?</v>
      </c>
      <c r="G30" s="12" t="e" cm="1">
        <f t="array" aca="1" ref="G30" ca="1">_FV(A30,"Previous close",TRUE)</f>
        <v>#NAME?</v>
      </c>
    </row>
    <row r="31" spans="1:7">
      <c r="A31" s="7" t="e" vm="32">
        <v>#VALUE!</v>
      </c>
      <c r="B31" s="12" t="e" cm="1">
        <f t="array" aca="1" ref="B31" ca="1">_FV(A31,"Price")</f>
        <v>#NAME?</v>
      </c>
      <c r="C31" s="2" t="e" cm="1">
        <f t="array" aca="1" ref="C31" ca="1">_FV(A31,"Beta")</f>
        <v>#NAME?</v>
      </c>
      <c r="D31" s="12" t="e" cm="1">
        <f t="array" aca="1" ref="D31" ca="1">_FV(A31,"Market cap",TRUE)</f>
        <v>#NAME?</v>
      </c>
      <c r="E31" s="12" t="s">
        <v>3</v>
      </c>
      <c r="F31" s="15" t="e">
        <f t="shared" ca="1" si="5"/>
        <v>#NAME?</v>
      </c>
      <c r="G31" s="12" t="e" cm="1">
        <f t="array" aca="1" ref="G31" ca="1">_FV(A31,"Previous close",TRUE)</f>
        <v>#NAME?</v>
      </c>
    </row>
    <row r="32" spans="1:7">
      <c r="A32" s="7" t="e" vm="33">
        <v>#VALUE!</v>
      </c>
      <c r="B32" s="12" t="e" cm="1">
        <f t="array" aca="1" ref="B32" ca="1">_FV(A32,"Price")</f>
        <v>#NAME?</v>
      </c>
      <c r="C32" s="2" t="e" cm="1">
        <f t="array" aca="1" ref="C32" ca="1">_FV(A32,"Beta")</f>
        <v>#NAME?</v>
      </c>
      <c r="D32" s="12" t="e" cm="1">
        <f t="array" aca="1" ref="D32" ca="1">_FV(A32,"Market cap",TRUE)</f>
        <v>#NAME?</v>
      </c>
      <c r="E32" s="12" t="s">
        <v>3</v>
      </c>
      <c r="F32" s="15" t="e">
        <f t="shared" ref="F32:F33" ca="1" si="6">(B32-G32)/G32</f>
        <v>#NAME?</v>
      </c>
      <c r="G32" s="12" t="e" cm="1">
        <f t="array" aca="1" ref="G32" ca="1">_FV(A32,"Previous close",TRUE)</f>
        <v>#NAME?</v>
      </c>
    </row>
    <row r="33" spans="1:7">
      <c r="A33" s="7" t="e" vm="34">
        <v>#VALUE!</v>
      </c>
      <c r="B33" s="12" t="e" cm="1">
        <f t="array" aca="1" ref="B33" ca="1">_FV(A33,"Price")</f>
        <v>#NAME?</v>
      </c>
      <c r="C33" s="2" t="e" cm="1">
        <f t="array" aca="1" ref="C33" ca="1">_FV(A33,"Beta")</f>
        <v>#NAME?</v>
      </c>
      <c r="D33" s="12" t="e" cm="1">
        <f t="array" aca="1" ref="D33" ca="1">_FV(A33,"Market cap",TRUE)</f>
        <v>#NAME?</v>
      </c>
      <c r="E33" s="12" t="s">
        <v>3</v>
      </c>
      <c r="F33" s="15" t="e">
        <f t="shared" ca="1" si="6"/>
        <v>#NAME?</v>
      </c>
      <c r="G33" s="12" t="e" cm="1">
        <f t="array" aca="1" ref="G33" ca="1">_FV(A33,"Previous close",TRUE)</f>
        <v>#NAME?</v>
      </c>
    </row>
    <row r="34" spans="1:7">
      <c r="A34" s="7" t="e" vm="35">
        <v>#VALUE!</v>
      </c>
      <c r="B34" s="12" t="e" cm="1">
        <f t="array" aca="1" ref="B34" ca="1">_FV(A34,"Price")</f>
        <v>#NAME?</v>
      </c>
      <c r="C34" s="2" t="e" cm="1">
        <f t="array" aca="1" ref="C34" ca="1">_FV(A34,"Beta")</f>
        <v>#NAME?</v>
      </c>
      <c r="D34" s="12" t="e" cm="1">
        <f t="array" aca="1" ref="D34" ca="1">_FV(A34,"Market cap",TRUE)</f>
        <v>#NAME?</v>
      </c>
      <c r="E34" s="12" t="s">
        <v>3</v>
      </c>
      <c r="F34" s="15" t="e">
        <f t="shared" ref="F34:F35" ca="1" si="7">(B34-G34)/G34</f>
        <v>#NAME?</v>
      </c>
      <c r="G34" s="12" t="e" cm="1">
        <f t="array" aca="1" ref="G34" ca="1">_FV(A34,"Previous close",TRUE)</f>
        <v>#NAME?</v>
      </c>
    </row>
    <row r="35" spans="1:7">
      <c r="A35" s="7" t="e" vm="36">
        <v>#VALUE!</v>
      </c>
      <c r="B35" s="12" t="e" cm="1">
        <f t="array" aca="1" ref="B35" ca="1">_FV(A35,"Price")</f>
        <v>#NAME?</v>
      </c>
      <c r="C35" s="2" t="e" cm="1">
        <f t="array" aca="1" ref="C35" ca="1">_FV(A35,"Beta")</f>
        <v>#NAME?</v>
      </c>
      <c r="D35" s="12" t="e" cm="1">
        <f t="array" aca="1" ref="D35" ca="1">_FV(A35,"Market cap",TRUE)</f>
        <v>#NAME?</v>
      </c>
      <c r="E35" s="12" t="s">
        <v>3</v>
      </c>
      <c r="F35" s="15" t="e">
        <f t="shared" ca="1" si="7"/>
        <v>#NAME?</v>
      </c>
      <c r="G35" s="12" t="e" cm="1">
        <f t="array" aca="1" ref="G35" ca="1">_FV(A35,"Previous close",TRUE)</f>
        <v>#NAME?</v>
      </c>
    </row>
    <row r="36" spans="1:7">
      <c r="A36" s="7" t="e" vm="37">
        <v>#VALUE!</v>
      </c>
      <c r="B36" s="12" t="e" cm="1">
        <f t="array" aca="1" ref="B36" ca="1">_FV(A36,"Price")</f>
        <v>#NAME?</v>
      </c>
      <c r="C36" s="2" t="e" cm="1">
        <f t="array" aca="1" ref="C36" ca="1">_FV(A36,"Beta")</f>
        <v>#NAME?</v>
      </c>
      <c r="D36" s="12" t="e" cm="1">
        <f t="array" aca="1" ref="D36" ca="1">_FV(A36,"Market cap",TRUE)</f>
        <v>#NAME?</v>
      </c>
      <c r="E36" s="12" t="s">
        <v>3</v>
      </c>
      <c r="F36" s="15" t="e">
        <f t="shared" ref="F36:F38" ca="1" si="8">(B36-G36)/G36</f>
        <v>#NAME?</v>
      </c>
      <c r="G36" s="12" t="e" cm="1">
        <f t="array" aca="1" ref="G36" ca="1">_FV(A36,"Previous close",TRUE)</f>
        <v>#NAME?</v>
      </c>
    </row>
    <row r="37" spans="1:7">
      <c r="A37" s="7" t="e" vm="38">
        <v>#VALUE!</v>
      </c>
      <c r="B37" s="12" t="e" cm="1">
        <f t="array" aca="1" ref="B37" ca="1">_FV(A37,"Price")</f>
        <v>#NAME?</v>
      </c>
      <c r="C37" s="2" t="e" cm="1">
        <f t="array" aca="1" ref="C37" ca="1">_FV(A37,"Beta")</f>
        <v>#NAME?</v>
      </c>
      <c r="D37" s="12" t="e" cm="1">
        <f t="array" aca="1" ref="D37" ca="1">_FV(A37,"Market cap",TRUE)</f>
        <v>#NAME?</v>
      </c>
      <c r="E37" s="12" t="s">
        <v>3</v>
      </c>
      <c r="F37" s="15" t="e">
        <f t="shared" ca="1" si="8"/>
        <v>#NAME?</v>
      </c>
      <c r="G37" s="12" t="e" cm="1">
        <f t="array" aca="1" ref="G37" ca="1">_FV(A37,"Previous close",TRUE)</f>
        <v>#NAME?</v>
      </c>
    </row>
    <row r="38" spans="1:7">
      <c r="A38" s="7" t="e" vm="39">
        <v>#VALUE!</v>
      </c>
      <c r="B38" s="12" t="e" cm="1">
        <f t="array" aca="1" ref="B38" ca="1">_FV(A38,"Price")</f>
        <v>#NAME?</v>
      </c>
      <c r="C38" s="2" t="e" cm="1">
        <f t="array" aca="1" ref="C38" ca="1">_FV(A38,"Beta")</f>
        <v>#NAME?</v>
      </c>
      <c r="D38" s="12" t="e" cm="1">
        <f t="array" aca="1" ref="D38" ca="1">_FV(A38,"Market cap",TRUE)</f>
        <v>#NAME?</v>
      </c>
      <c r="E38" s="12" t="s">
        <v>3</v>
      </c>
      <c r="F38" s="15" t="e">
        <f t="shared" ca="1" si="8"/>
        <v>#NAME?</v>
      </c>
      <c r="G38" s="12" t="e" cm="1">
        <f t="array" aca="1" ref="G38" ca="1">_FV(A38,"Previous close",TRUE)</f>
        <v>#NAME?</v>
      </c>
    </row>
    <row r="39" spans="1:7">
      <c r="A39" s="7" t="e" vm="40">
        <v>#VALUE!</v>
      </c>
      <c r="B39" s="12" t="e" cm="1">
        <f t="array" aca="1" ref="B39" ca="1">_FV(A39,"Price")</f>
        <v>#NAME?</v>
      </c>
      <c r="C39" s="2" t="e" cm="1">
        <f t="array" aca="1" ref="C39" ca="1">_FV(A39,"Beta")</f>
        <v>#NAME?</v>
      </c>
      <c r="D39" s="12" t="e" cm="1">
        <f t="array" aca="1" ref="D39" ca="1">_FV(A39,"Market cap",TRUE)</f>
        <v>#NAME?</v>
      </c>
      <c r="E39" s="12" t="s">
        <v>3</v>
      </c>
      <c r="F39" s="15" t="e">
        <f t="shared" ref="F39:F40" ca="1" si="9">(B39-G39)/G39</f>
        <v>#NAME?</v>
      </c>
      <c r="G39" s="12" t="e" cm="1">
        <f t="array" aca="1" ref="G39" ca="1">_FV(A39,"Previous close",TRUE)</f>
        <v>#NAME?</v>
      </c>
    </row>
    <row r="40" spans="1:7">
      <c r="A40" s="7" t="e" vm="41">
        <v>#VALUE!</v>
      </c>
      <c r="B40" s="12" t="e" cm="1">
        <f t="array" aca="1" ref="B40" ca="1">_FV(A40,"Price")</f>
        <v>#NAME?</v>
      </c>
      <c r="C40" s="2" t="e" cm="1">
        <f t="array" aca="1" ref="C40" ca="1">_FV(A40,"Beta")</f>
        <v>#NAME?</v>
      </c>
      <c r="D40" s="12" t="e" cm="1">
        <f t="array" aca="1" ref="D40" ca="1">_FV(A40,"Market cap",TRUE)</f>
        <v>#NAME?</v>
      </c>
      <c r="E40" s="12" t="s">
        <v>5</v>
      </c>
      <c r="F40" s="15" t="e">
        <f t="shared" ca="1" si="9"/>
        <v>#NAME?</v>
      </c>
      <c r="G40" s="12" t="e" cm="1">
        <f t="array" aca="1" ref="G40" ca="1">_FV(A40,"Previous close",TRUE)</f>
        <v>#NAME?</v>
      </c>
    </row>
    <row r="41" spans="1:7">
      <c r="A41" s="7" t="e" vm="42">
        <v>#VALUE!</v>
      </c>
      <c r="B41" s="12" t="e" cm="1">
        <f t="array" aca="1" ref="B41" ca="1">_FV(A41,"Price")</f>
        <v>#NAME?</v>
      </c>
      <c r="C41" s="2" t="e" cm="1">
        <f t="array" aca="1" ref="C41" ca="1">_FV(A41,"Beta")</f>
        <v>#NAME?</v>
      </c>
      <c r="D41" s="12" t="e" cm="1">
        <f t="array" aca="1" ref="D41" ca="1">_FV(A41,"Market cap",TRUE)</f>
        <v>#NAME?</v>
      </c>
      <c r="E41" s="12" t="s">
        <v>5</v>
      </c>
      <c r="F41" s="15" t="e">
        <f t="shared" ref="F41" ca="1" si="10">(B41-G41)/G41</f>
        <v>#NAME?</v>
      </c>
      <c r="G41" s="12" t="e" cm="1">
        <f t="array" aca="1" ref="G41" ca="1">_FV(A41,"Previous close",TRUE)</f>
        <v>#NAME?</v>
      </c>
    </row>
    <row r="42" spans="1:7">
      <c r="A42" s="7" t="e" vm="43">
        <v>#VALUE!</v>
      </c>
      <c r="B42" s="12" t="e" cm="1">
        <f t="array" aca="1" ref="B42" ca="1">_FV(A42,"Price")</f>
        <v>#NAME?</v>
      </c>
      <c r="C42" s="2" t="e" cm="1">
        <f t="array" aca="1" ref="C42" ca="1">_FV(A42,"Beta")</f>
        <v>#NAME?</v>
      </c>
      <c r="D42" s="12" t="e" cm="1">
        <f t="array" aca="1" ref="D42" ca="1">_FV(A42,"Market cap",TRUE)</f>
        <v>#NAME?</v>
      </c>
      <c r="E42" s="12" t="s">
        <v>5</v>
      </c>
      <c r="F42" s="15" t="e">
        <f t="shared" ref="F42:F43" ca="1" si="11">(B42-G42)/G42</f>
        <v>#NAME?</v>
      </c>
      <c r="G42" s="12" t="e" cm="1">
        <f t="array" aca="1" ref="G42" ca="1">_FV(A42,"Previous close",TRUE)</f>
        <v>#NAME?</v>
      </c>
    </row>
    <row r="43" spans="1:7">
      <c r="A43" s="7" t="e" vm="44">
        <v>#VALUE!</v>
      </c>
      <c r="B43" s="12" t="e" cm="1">
        <f t="array" aca="1" ref="B43" ca="1">_FV(A43,"Price")</f>
        <v>#NAME?</v>
      </c>
      <c r="C43" s="2" t="e" cm="1">
        <f t="array" aca="1" ref="C43" ca="1">_FV(A43,"Beta")</f>
        <v>#NAME?</v>
      </c>
      <c r="D43" s="12" t="e" cm="1">
        <f t="array" aca="1" ref="D43" ca="1">_FV(A43,"Market cap",TRUE)</f>
        <v>#NAME?</v>
      </c>
      <c r="E43" s="12" t="s">
        <v>5</v>
      </c>
      <c r="F43" s="15" t="e">
        <f t="shared" ca="1" si="11"/>
        <v>#NAME?</v>
      </c>
      <c r="G43" s="12" t="e" cm="1">
        <f t="array" aca="1" ref="G43" ca="1">_FV(A43,"Previous close",TRUE)</f>
        <v>#NAME?</v>
      </c>
    </row>
    <row r="44" spans="1:7">
      <c r="A44" s="7" t="e" vm="45">
        <v>#VALUE!</v>
      </c>
      <c r="B44" s="12" t="e" cm="1">
        <f t="array" aca="1" ref="B44" ca="1">_FV(A44,"Price")</f>
        <v>#NAME?</v>
      </c>
      <c r="C44" s="2" t="e" cm="1">
        <f t="array" aca="1" ref="C44" ca="1">_FV(A44,"Beta")</f>
        <v>#NAME?</v>
      </c>
      <c r="D44" s="12" t="e" cm="1">
        <f t="array" aca="1" ref="D44" ca="1">_FV(A44,"Market cap",TRUE)</f>
        <v>#NAME?</v>
      </c>
      <c r="E44" s="12" t="s">
        <v>4</v>
      </c>
      <c r="F44" s="15" t="e">
        <f t="shared" ref="F44" ca="1" si="12">(B44-G44)/G44</f>
        <v>#NAME?</v>
      </c>
      <c r="G44" s="12" t="e" cm="1">
        <f t="array" aca="1" ref="G44" ca="1">_FV(A44,"Previous close",TRUE)</f>
        <v>#NAME?</v>
      </c>
    </row>
    <row r="45" spans="1:7">
      <c r="A45" s="7" t="e" vm="46">
        <v>#VALUE!</v>
      </c>
      <c r="B45" s="12" t="e" cm="1">
        <f t="array" aca="1" ref="B45" ca="1">_FV(A45,"Price")</f>
        <v>#NAME?</v>
      </c>
      <c r="C45" s="2" t="e" cm="1">
        <f t="array" aca="1" ref="C45" ca="1">_FV(A45,"Beta")</f>
        <v>#NAME?</v>
      </c>
      <c r="D45" s="12" t="e" cm="1">
        <f t="array" aca="1" ref="D45" ca="1">_FV(A45,"Market cap",TRUE)</f>
        <v>#NAME?</v>
      </c>
      <c r="E45" s="12" t="s">
        <v>4</v>
      </c>
      <c r="F45" s="15" t="e">
        <f t="shared" ref="F45" ca="1" si="13">(B45-G45)/G45</f>
        <v>#NAME?</v>
      </c>
      <c r="G45" s="12" t="e" cm="1">
        <f t="array" aca="1" ref="G45" ca="1">_FV(A45,"Previous close",TRUE)</f>
        <v>#NAME?</v>
      </c>
    </row>
    <row r="46" spans="1:7">
      <c r="A46" s="7" t="e" vm="47">
        <v>#VALUE!</v>
      </c>
      <c r="B46" s="12" t="e" cm="1">
        <f t="array" aca="1" ref="B46" ca="1">_FV(A46,"Price")</f>
        <v>#NAME?</v>
      </c>
      <c r="C46" s="2" t="e" cm="1">
        <f t="array" aca="1" ref="C46" ca="1">_FV(A46,"Beta")</f>
        <v>#NAME?</v>
      </c>
      <c r="D46" s="12" t="e" cm="1">
        <f t="array" aca="1" ref="D46" ca="1">_FV(A46,"Market cap",TRUE)</f>
        <v>#NAME?</v>
      </c>
      <c r="E46" s="12" t="s">
        <v>4</v>
      </c>
      <c r="F46" s="15" t="e">
        <f t="shared" ref="F46" ca="1" si="14">(B46-G46)/G46</f>
        <v>#NAME?</v>
      </c>
      <c r="G46" s="12" t="e" cm="1">
        <f t="array" aca="1" ref="G46" ca="1">_FV(A46,"Previous close",TRUE)</f>
        <v>#NAME?</v>
      </c>
    </row>
    <row r="47" spans="1:7">
      <c r="A47" s="7" t="e" vm="48">
        <v>#VALUE!</v>
      </c>
      <c r="B47" s="12" t="e" cm="1">
        <f t="array" aca="1" ref="B47" ca="1">_FV(A47,"Price")</f>
        <v>#NAME?</v>
      </c>
      <c r="C47" s="2" t="e" cm="1">
        <f t="array" aca="1" ref="C47" ca="1">_FV(A47,"Beta")</f>
        <v>#NAME?</v>
      </c>
      <c r="D47" s="12" t="e" cm="1">
        <f t="array" aca="1" ref="D47" ca="1">_FV(A47,"Market cap",TRUE)</f>
        <v>#NAME?</v>
      </c>
      <c r="E47" s="12" t="s">
        <v>4</v>
      </c>
      <c r="F47" s="15" t="e">
        <f t="shared" ref="F47" ca="1" si="15">(B47-G47)/G47</f>
        <v>#NAME?</v>
      </c>
      <c r="G47" s="12" t="e" cm="1">
        <f t="array" aca="1" ref="G47" ca="1">_FV(A47,"Previous close",TRUE)</f>
        <v>#NAME?</v>
      </c>
    </row>
    <row r="48" spans="1:7">
      <c r="A48" s="7" t="e" vm="49">
        <v>#VALUE!</v>
      </c>
      <c r="B48" s="17" t="e" cm="1">
        <f t="array" aca="1" ref="B48" ca="1">_FV(A48,"Price")</f>
        <v>#NAME?</v>
      </c>
      <c r="C48" s="18" t="e" cm="1">
        <f t="array" aca="1" ref="C48" ca="1">_FV(A48,"Beta")</f>
        <v>#NAME?</v>
      </c>
      <c r="D48" s="17" t="e" cm="1">
        <f t="array" aca="1" ref="D48" ca="1">_FV(A48,"Market cap",TRUE)</f>
        <v>#NAME?</v>
      </c>
      <c r="E48" s="17" t="s">
        <v>4</v>
      </c>
      <c r="F48" s="19" t="e">
        <f ca="1">(B48-G48)/G48</f>
        <v>#NAME?</v>
      </c>
      <c r="G48" s="17" t="e" cm="1">
        <f t="array" aca="1" ref="G48" ca="1">_FV(A48,"Previous close",TRUE)</f>
        <v>#NAME?</v>
      </c>
    </row>
    <row r="49" spans="1:7">
      <c r="A49" s="7" t="e" vm="50">
        <v>#VALUE!</v>
      </c>
      <c r="B49" s="17" t="e" cm="1">
        <f t="array" aca="1" ref="B49" ca="1">_FV(A49,"Price")</f>
        <v>#NAME?</v>
      </c>
      <c r="C49" s="18" t="e" cm="1">
        <f t="array" aca="1" ref="C49" ca="1">_FV(A49,"Beta")</f>
        <v>#NAME?</v>
      </c>
      <c r="D49" s="17" t="e" cm="1">
        <f t="array" aca="1" ref="D49" ca="1">_FV(A49,"Market cap",TRUE)</f>
        <v>#NAME?</v>
      </c>
      <c r="E49" s="17" t="s">
        <v>4</v>
      </c>
      <c r="F49" s="19" t="e">
        <f ca="1">(B49-G49)/G49</f>
        <v>#NAME?</v>
      </c>
      <c r="G49" s="17" t="e" cm="1">
        <f t="array" aca="1" ref="G49" ca="1">_FV(A49,"Previous close",TRUE)</f>
        <v>#NAME?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CQ253"/>
  <sheetViews>
    <sheetView topLeftCell="D1" zoomScale="85" zoomScaleNormal="70" workbookViewId="0">
      <selection activeCell="K31" sqref="K31"/>
    </sheetView>
  </sheetViews>
  <sheetFormatPr defaultColWidth="10.6328125" defaultRowHeight="15"/>
  <cols>
    <col min="1" max="1" width="14.6328125" style="7" customWidth="1"/>
    <col min="2" max="2" width="14.1796875" style="2" customWidth="1"/>
    <col min="3" max="3" width="8.81640625" style="2" customWidth="1"/>
    <col min="4" max="4" width="16.453125" style="2" customWidth="1"/>
    <col min="5" max="5" width="8.6328125" style="2" customWidth="1"/>
    <col min="6" max="6" width="15.6328125" style="2" customWidth="1"/>
    <col min="7" max="7" width="9.6328125" style="2" customWidth="1"/>
    <col min="8" max="8" width="15" style="2" customWidth="1"/>
    <col min="9" max="9" width="9" style="2" customWidth="1"/>
    <col min="10" max="10" width="16.453125" style="2" customWidth="1"/>
    <col min="11" max="11" width="8.6328125" style="2" customWidth="1"/>
    <col min="12" max="12" width="14.81640625" style="2" customWidth="1"/>
    <col min="13" max="13" width="8.81640625" style="2" customWidth="1"/>
    <col min="14" max="14" width="13" style="2" customWidth="1"/>
    <col min="15" max="15" width="9.1796875" style="2" customWidth="1"/>
    <col min="16" max="16" width="14" style="2" customWidth="1"/>
    <col min="17" max="17" width="8.81640625" style="2" customWidth="1"/>
    <col min="18" max="18" width="14.36328125" style="2" customWidth="1"/>
    <col min="19" max="19" width="8.6328125" style="2" customWidth="1"/>
    <col min="20" max="20" width="13.81640625" style="2" customWidth="1"/>
    <col min="21" max="21" width="10.36328125" style="2" customWidth="1"/>
    <col min="22" max="22" width="13.6328125" style="2" customWidth="1"/>
    <col min="23" max="23" width="10.6328125" style="2"/>
    <col min="24" max="24" width="15.6328125" style="2" customWidth="1"/>
    <col min="25" max="25" width="10.6328125" style="2"/>
    <col min="26" max="26" width="14.36328125" style="2" customWidth="1"/>
    <col min="27" max="27" width="10.6328125" style="2"/>
    <col min="28" max="28" width="13.6328125" style="2" customWidth="1"/>
    <col min="29" max="29" width="10.6328125" style="2"/>
    <col min="30" max="30" width="14.1796875" style="2" customWidth="1"/>
    <col min="31" max="31" width="10.6328125" style="2"/>
    <col min="32" max="32" width="14.453125" style="2" customWidth="1"/>
    <col min="33" max="33" width="10.6328125" style="2"/>
    <col min="34" max="34" width="14" style="2" customWidth="1"/>
    <col min="35" max="35" width="10.6328125" style="2"/>
    <col min="36" max="36" width="15" style="2" customWidth="1"/>
    <col min="37" max="37" width="10.6328125" style="2" customWidth="1"/>
    <col min="38" max="38" width="16" style="2" customWidth="1"/>
    <col min="39" max="39" width="10.6328125" style="2"/>
    <col min="40" max="40" width="15.453125" style="2" customWidth="1"/>
    <col min="41" max="41" width="10.6328125" style="2"/>
    <col min="42" max="42" width="16" style="2" customWidth="1"/>
    <col min="43" max="43" width="10.6328125" style="2"/>
    <col min="44" max="44" width="17.1796875" style="2" customWidth="1"/>
    <col min="45" max="45" width="10.6328125" style="2"/>
    <col min="46" max="46" width="17.453125" style="2" customWidth="1"/>
    <col min="47" max="47" width="10.6328125" style="2"/>
    <col min="48" max="48" width="18" style="2" customWidth="1"/>
    <col min="49" max="49" width="10.6328125" style="2"/>
    <col min="50" max="50" width="18.81640625" style="2" customWidth="1"/>
    <col min="51" max="51" width="10.6328125" style="2"/>
    <col min="52" max="52" width="19.6328125" style="2" customWidth="1"/>
    <col min="53" max="53" width="10.6328125" style="2"/>
    <col min="54" max="54" width="18.453125" style="2" customWidth="1"/>
    <col min="55" max="55" width="10.6328125" style="2"/>
    <col min="56" max="56" width="17.6328125" style="2" customWidth="1"/>
    <col min="57" max="57" width="10.6328125" style="2"/>
    <col min="58" max="58" width="18.453125" style="2" customWidth="1"/>
    <col min="59" max="59" width="10.6328125" style="2"/>
    <col min="60" max="60" width="17.6328125" style="2" customWidth="1"/>
    <col min="61" max="61" width="10.6328125" style="2"/>
    <col min="62" max="62" width="19.6328125" style="2" customWidth="1"/>
    <col min="63" max="63" width="10.6328125" style="2"/>
    <col min="64" max="64" width="18.81640625" style="2" customWidth="1"/>
    <col min="65" max="65" width="10.6328125" style="2"/>
    <col min="66" max="66" width="17.1796875" style="2" customWidth="1"/>
    <col min="67" max="67" width="10.6328125" style="2"/>
    <col min="68" max="68" width="16.6328125" style="2" customWidth="1"/>
    <col min="69" max="69" width="10.6328125" style="2"/>
    <col min="70" max="70" width="16" style="2" customWidth="1"/>
    <col min="71" max="71" width="10.6328125" style="2"/>
    <col min="72" max="72" width="17.6328125" style="2" customWidth="1"/>
    <col min="73" max="73" width="10.6328125" style="2"/>
    <col min="74" max="74" width="18" style="2" customWidth="1"/>
    <col min="75" max="75" width="10.6328125" style="2"/>
    <col min="76" max="76" width="18.36328125" style="2" customWidth="1"/>
    <col min="77" max="77" width="10.6328125" style="2"/>
    <col min="78" max="78" width="18" style="2" customWidth="1"/>
    <col min="79" max="79" width="10.6328125" style="2"/>
    <col min="80" max="80" width="18.6328125" style="2" customWidth="1"/>
    <col min="81" max="81" width="10.6328125" style="2"/>
    <col min="82" max="82" width="18.36328125" style="2" customWidth="1"/>
    <col min="83" max="83" width="10.6328125" style="2"/>
    <col min="84" max="84" width="18.1796875" style="2" customWidth="1"/>
    <col min="85" max="85" width="10.6328125" style="2"/>
    <col min="86" max="86" width="17.1796875" style="2" customWidth="1"/>
    <col min="87" max="87" width="10.6328125" style="2"/>
    <col min="88" max="88" width="18.6328125" style="2" customWidth="1"/>
    <col min="89" max="89" width="10.6328125" style="2"/>
    <col min="90" max="90" width="17.6328125" style="2" customWidth="1"/>
    <col min="91" max="91" width="10.6328125" style="2"/>
    <col min="92" max="92" width="18.1796875" style="2" customWidth="1"/>
    <col min="93" max="93" width="10.6328125" style="2"/>
    <col min="94" max="94" width="17.81640625" style="2" customWidth="1"/>
    <col min="95" max="95" width="10.6328125" style="2"/>
    <col min="96" max="96" width="18.1796875" style="2" customWidth="1"/>
    <col min="97" max="16384" width="10.6328125" style="2"/>
  </cols>
  <sheetData>
    <row r="1" spans="1:95" s="3" customFormat="1" ht="46.8">
      <c r="A1" s="3" t="s">
        <v>18</v>
      </c>
      <c r="B1" s="3" t="e" vm="1">
        <v>#VALUE!</v>
      </c>
      <c r="D1" s="3" t="e" vm="2">
        <v>#VALUE!</v>
      </c>
      <c r="F1" s="3" t="e" vm="3">
        <v>#VALUE!</v>
      </c>
      <c r="H1" s="3" t="e" vm="4">
        <v>#VALUE!</v>
      </c>
      <c r="J1" s="3" t="e" vm="5">
        <v>#VALUE!</v>
      </c>
      <c r="L1" s="3" t="e" vm="6">
        <v>#VALUE!</v>
      </c>
      <c r="N1" s="3" t="e" vm="7">
        <v>#VALUE!</v>
      </c>
      <c r="P1" s="3" t="e" vm="8">
        <v>#VALUE!</v>
      </c>
      <c r="R1" s="3" t="e" vm="9">
        <v>#VALUE!</v>
      </c>
      <c r="T1" s="3" t="e" vm="11">
        <v>#VALUE!</v>
      </c>
      <c r="V1" s="3" t="e" vm="12">
        <v>#VALUE!</v>
      </c>
      <c r="X1" s="4" t="e" vm="15">
        <v>#VALUE!</v>
      </c>
      <c r="Y1" s="5"/>
      <c r="Z1" s="3" t="e" vm="16">
        <v>#VALUE!</v>
      </c>
      <c r="AB1" s="3" t="e" vm="17">
        <v>#VALUE!</v>
      </c>
      <c r="AD1" s="3" t="e" vm="18">
        <v>#VALUE!</v>
      </c>
      <c r="AF1" s="3" t="e" vm="19">
        <v>#VALUE!</v>
      </c>
      <c r="AH1" s="3" t="e" vm="20">
        <v>#VALUE!</v>
      </c>
      <c r="AJ1" s="3" t="e" vm="21">
        <v>#VALUE!</v>
      </c>
      <c r="AL1" s="3" t="s">
        <v>80</v>
      </c>
      <c r="AN1" s="3" t="e" vm="23">
        <v>#VALUE!</v>
      </c>
      <c r="AP1" s="3" t="s">
        <v>81</v>
      </c>
      <c r="AR1" s="3" t="e" vm="25">
        <v>#VALUE!</v>
      </c>
      <c r="AT1" s="3" t="e" vm="26">
        <v>#VALUE!</v>
      </c>
      <c r="AV1" s="3" t="e" vm="27">
        <v>#VALUE!</v>
      </c>
      <c r="AX1" s="3" t="e" vm="28">
        <v>#VALUE!</v>
      </c>
      <c r="AZ1" s="3" t="e" vm="29">
        <v>#VALUE!</v>
      </c>
      <c r="BB1" s="3" t="e" vm="30">
        <v>#VALUE!</v>
      </c>
      <c r="BD1" s="3" t="e" vm="31">
        <v>#VALUE!</v>
      </c>
      <c r="BF1" s="3" t="e" vm="32">
        <v>#VALUE!</v>
      </c>
      <c r="BH1" s="3" t="e" vm="33">
        <v>#VALUE!</v>
      </c>
      <c r="BJ1" s="3" t="e" vm="34">
        <v>#VALUE!</v>
      </c>
      <c r="BL1" s="3" t="e" vm="35">
        <v>#VALUE!</v>
      </c>
      <c r="BN1" s="3" t="e" vm="36">
        <v>#VALUE!</v>
      </c>
      <c r="BP1" s="3" t="e" vm="37">
        <v>#VALUE!</v>
      </c>
      <c r="BR1" s="3" t="e" vm="38">
        <v>#VALUE!</v>
      </c>
      <c r="BT1" s="3" t="e" vm="39">
        <v>#VALUE!</v>
      </c>
      <c r="BV1" s="3" t="e" vm="40">
        <v>#VALUE!</v>
      </c>
      <c r="BX1" s="3" t="e" vm="41">
        <v>#VALUE!</v>
      </c>
      <c r="BZ1" s="3" t="e" vm="42">
        <v>#VALUE!</v>
      </c>
      <c r="CB1" s="3" t="e" vm="43">
        <v>#VALUE!</v>
      </c>
      <c r="CD1" s="3" t="e" vm="44">
        <v>#VALUE!</v>
      </c>
      <c r="CF1" s="3" t="e" vm="45">
        <v>#VALUE!</v>
      </c>
      <c r="CH1" s="3" t="e" vm="46">
        <v>#VALUE!</v>
      </c>
      <c r="CJ1" s="3" t="e" vm="47">
        <v>#VALUE!</v>
      </c>
      <c r="CL1" s="3" t="e" vm="48">
        <v>#VALUE!</v>
      </c>
      <c r="CN1" s="3" t="e" vm="49">
        <v>#VALUE!</v>
      </c>
      <c r="CP1" s="3" t="e" vm="50">
        <v>#VALUE!</v>
      </c>
    </row>
    <row r="2" spans="1:95" s="1" customFormat="1">
      <c r="A2" s="6" t="e" cm="1">
        <f t="array" aca="1" ref="A2:B252" ca="1">_xlfn.STOCKHISTORY("AAPL", TODAY()-365, TODAY(), 0, 1)</f>
        <v>#NAME?</v>
      </c>
      <c r="B2" s="1" t="e">
        <f ca="1"/>
        <v>#NAME?</v>
      </c>
      <c r="C2" s="1" t="s">
        <v>19</v>
      </c>
      <c r="D2" s="1" t="e" cm="1">
        <f t="array" aca="1" ref="D2:D252" ca="1">INDEX(_xlfn.STOCKHISTORY("NVDA", TODAY()-365, TODAY(), 0, 1), , 2)</f>
        <v>#NAME?</v>
      </c>
      <c r="E2" s="1" t="s">
        <v>19</v>
      </c>
      <c r="F2" s="1" t="e" cm="1">
        <f t="array" aca="1" ref="F2:F252" ca="1">INDEX(_xlfn.STOCKHISTORY("MSFT", TODAY()-365, TODAY(), 0, 1), , 2)</f>
        <v>#NAME?</v>
      </c>
      <c r="G2" s="1" t="s">
        <v>19</v>
      </c>
      <c r="H2" s="1" t="e" cm="1">
        <f t="array" aca="1" ref="H2:H252" ca="1">INDEX(_xlfn.STOCKHISTORY("meta", TODAY()-365, TODAY(), 0, 1), , 2)</f>
        <v>#NAME?</v>
      </c>
      <c r="I2" s="1" t="s">
        <v>19</v>
      </c>
      <c r="J2" s="1" t="e" cm="1">
        <f t="array" aca="1" ref="J2:J252" ca="1">INDEX(_xlfn.STOCKHISTORY("GOOGL", TODAY()-365, TODAY(), 0, 1), , 2)</f>
        <v>#NAME?</v>
      </c>
      <c r="K2" s="1" t="s">
        <v>19</v>
      </c>
      <c r="L2" s="1" t="e" cm="1">
        <f t="array" aca="1" ref="L2:L252" ca="1">INDEX(_xlfn.STOCKHISTORY("SPY", TODAY()-365, TODAY(), 0, 1), , 2)</f>
        <v>#NAME?</v>
      </c>
      <c r="M2" s="1" t="s">
        <v>19</v>
      </c>
      <c r="N2" s="1" t="e" cm="1">
        <f t="array" aca="1" ref="N2:N252" ca="1">INDEX(_xlfn.STOCKHISTORY("TLT", TODAY()-365, TODAY(), 0, 1), , 2)</f>
        <v>#NAME?</v>
      </c>
      <c r="O2" s="1" t="s">
        <v>19</v>
      </c>
      <c r="P2" s="1" t="e" cm="1">
        <f t="array" aca="1" ref="P2:P252" ca="1">INDEX(_xlfn.STOCKHISTORY("GLD", TODAY()-365, TODAY(), 0, 1), , 2)</f>
        <v>#NAME?</v>
      </c>
      <c r="Q2" s="1" t="s">
        <v>19</v>
      </c>
      <c r="R2" s="1" t="e" cm="1">
        <f t="array" aca="1" ref="R2:R252" ca="1">INDEX(_xlfn.STOCKHISTORY("USO", TODAY()-365, TODAY(), 0, 1), , 2)</f>
        <v>#NAME?</v>
      </c>
      <c r="S2" s="1" t="s">
        <v>19</v>
      </c>
      <c r="T2" s="1" t="e" cm="1">
        <f t="array" aca="1" ref="T2:T252" ca="1">INDEX(_xlfn.STOCKHISTORY("IEF", TODAY()-365, TODAY(), 0, 1), , 2)</f>
        <v>#NAME?</v>
      </c>
      <c r="U2" s="1" t="s">
        <v>19</v>
      </c>
      <c r="V2" s="1" t="e" cm="1">
        <f t="array" aca="1" ref="V2:V252" ca="1">INDEX(_xlfn.STOCKHISTORY("BNDI", TODAY()-365, TODAY(), 0, 1), , 2)</f>
        <v>#NAME?</v>
      </c>
      <c r="W2" s="1" t="s">
        <v>19</v>
      </c>
      <c r="X2" s="1" t="e" cm="1">
        <f t="array" aca="1" ref="X2:X252" ca="1">INDEX(_xlfn.STOCKHISTORY("APO", TODAY()-365, TODAY(), 0, 1), , 2)</f>
        <v>#NAME?</v>
      </c>
      <c r="Y2" s="1" t="s">
        <v>19</v>
      </c>
      <c r="Z2" s="1" t="e" cm="1">
        <f t="array" aca="1" ref="Z2:Z252" ca="1">INDEX(_xlfn.STOCKHISTORY("XLE", TODAY()-365, TODAY(), 0, 1), , 2)</f>
        <v>#NAME?</v>
      </c>
      <c r="AA2" s="1" t="s">
        <v>19</v>
      </c>
      <c r="AB2" s="1" t="e" cm="1">
        <f t="array" aca="1" ref="AB2:AB252" ca="1">INDEX(_xlfn.STOCKHISTORY("ARCX:DBO", TODAY()-365, TODAY(), 0, 1), , 2)</f>
        <v>#NAME?</v>
      </c>
      <c r="AC2" s="1" t="s">
        <v>19</v>
      </c>
      <c r="AD2" s="1" t="e" cm="1">
        <f t="array" aca="1" ref="AD2:AD253" ca="1">INDEX(_xlfn.STOCKHISTORY("XCNQ:OIL", TODAY()-365, TODAY(), 0, 1), , 2)</f>
        <v>#NAME?</v>
      </c>
      <c r="AE2" s="1" t="s">
        <v>19</v>
      </c>
      <c r="AF2" s="1" t="e" cm="1">
        <f t="array" aca="1" ref="AF2:AF252" ca="1">INDEX(_xlfn.STOCKHISTORY("ARCX:SLV", TODAY()-365, TODAY(), 0, 1), , 2)</f>
        <v>#NAME?</v>
      </c>
      <c r="AG2" s="1" t="s">
        <v>19</v>
      </c>
      <c r="AH2" s="1" t="e" cm="1">
        <f t="array" aca="1" ref="AH2:AH252" ca="1">INDEX(_xlfn.STOCKHISTORY("ARCX:DBA", TODAY()-365, TODAY(), 0, 1), , 2)</f>
        <v>#NAME?</v>
      </c>
      <c r="AI2" s="1" t="s">
        <v>19</v>
      </c>
      <c r="AJ2" s="1" t="e" cm="1">
        <f t="array" aca="1" ref="AJ2:AJ252" ca="1">INDEX(_xlfn.STOCKHISTORY("ARCX:WEAT", TODAY()-365, TODAY(), 0, 1), , 2)</f>
        <v>#NAME?</v>
      </c>
      <c r="AK2" s="1" t="s">
        <v>19</v>
      </c>
      <c r="AL2" s="1" t="e" cm="1">
        <f t="array" aca="1" ref="AL2:AL252" ca="1">INDEX(_xlfn.STOCKHISTORY("ARCX:GLDM", TODAY()-365, TODAY(), 0, 1), , 2)</f>
        <v>#NAME?</v>
      </c>
      <c r="AM2" s="1" t="s">
        <v>19</v>
      </c>
      <c r="AN2" s="1" t="e" cm="1">
        <f t="array" aca="1" ref="AN2:AN252" ca="1">INDEX(_xlfn.STOCKHISTORY("ARCX:PPLT", TODAY()-365, TODAY(), 0, 1), , 2)</f>
        <v>#NAME?</v>
      </c>
      <c r="AO2" s="1" t="s">
        <v>19</v>
      </c>
      <c r="AP2" s="1" t="e" cm="1">
        <f t="array" aca="1" ref="AP2:AP252" ca="1">INDEX(_xlfn.STOCKHISTORY("ARCX:SCHP", TODAY()-365, TODAY(), 0, 1), , 2)</f>
        <v>#NAME?</v>
      </c>
      <c r="AQ2" s="1" t="s">
        <v>19</v>
      </c>
      <c r="AR2" s="1" t="e" cm="1">
        <f t="array" aca="1" ref="AR2:AR252" ca="1">INDEX(_xlfn.STOCKHISTORY("BATS:FLOT", TODAY()-365, TODAY(), 0, 1), , 2)</f>
        <v>#NAME?</v>
      </c>
      <c r="AS2" s="1" t="s">
        <v>19</v>
      </c>
      <c r="AT2" s="1" t="e" cm="1">
        <f t="array" aca="1" ref="AT2:AT252" ca="1">INDEX(_xlfn.STOCKHISTORY("ARCX:SPTS", TODAY()-365, TODAY(), 0, 1), , 2)</f>
        <v>#NAME?</v>
      </c>
      <c r="AU2" s="1" t="s">
        <v>19</v>
      </c>
      <c r="AV2" s="2" t="e" cm="1">
        <f t="array" aca="1" ref="AV2:AV252" ca="1">INDEX(_xlfn.STOCKHISTORY("ARCX:SPTL", TODAY()-365, TODAY(), 0, 1), , 2)</f>
        <v>#NAME?</v>
      </c>
      <c r="AW2" s="1" t="s">
        <v>19</v>
      </c>
      <c r="AX2" s="1" t="e" cm="1">
        <f t="array" aca="1" ref="AX2:AX252" ca="1">INDEX(_xlfn.STOCKHISTORY("ARCX:BIL", TODAY()-365, TODAY(), 0, 1), , 2)</f>
        <v>#NAME?</v>
      </c>
      <c r="AY2" s="1" t="s">
        <v>19</v>
      </c>
      <c r="AZ2" s="1" t="e" cm="1">
        <f t="array" aca="1" ref="AZ2:AZ252" ca="1">INDEX(_xlfn.STOCKHISTORY("BRK.B", TODAY()-365, TODAY(), 0, 1), , 2)</f>
        <v>#NAME?</v>
      </c>
      <c r="BA2" s="1" t="s">
        <v>19</v>
      </c>
      <c r="BB2" s="1" t="e" cm="1">
        <f t="array" aca="1" ref="BB2:BB252" ca="1">INDEX(_xlfn.STOCKHISTORY("JPM", TODAY()-365, TODAY(), 0, 1), , 2)</f>
        <v>#NAME?</v>
      </c>
      <c r="BC2" s="1" t="s">
        <v>19</v>
      </c>
      <c r="BD2" s="1" t="e" cm="1">
        <f t="array" aca="1" ref="BD2:BD252" ca="1">INDEX(_xlfn.STOCKHISTORY("BAC", TODAY()-365, TODAY(), 0, 1), , 2)</f>
        <v>#NAME?</v>
      </c>
      <c r="BE2" s="1" t="s">
        <v>19</v>
      </c>
      <c r="BF2" s="1" t="e" cm="1">
        <f t="array" aca="1" ref="BF2:BF252" ca="1">INDEX(_xlfn.STOCKHISTORY("XOM", TODAY()-365, TODAY(), 0, 1), , 2)</f>
        <v>#NAME?</v>
      </c>
      <c r="BG2" s="1" t="s">
        <v>19</v>
      </c>
      <c r="BH2" s="1" t="e" cm="1">
        <f t="array" aca="1" ref="BH2:BH252" ca="1">INDEX(_xlfn.STOCKHISTORY("CVX", TODAY()-365, TODAY(), 0, 1), , 2)</f>
        <v>#NAME?</v>
      </c>
      <c r="BI2" s="1" t="s">
        <v>19</v>
      </c>
      <c r="BJ2" s="1" t="e" cm="1">
        <f t="array" aca="1" ref="BJ2:BJ252" ca="1">INDEX(_xlfn.STOCKHISTORY("JNJ", TODAY()-365, TODAY(), 0, 1), , 2)</f>
        <v>#NAME?</v>
      </c>
      <c r="BK2" s="1" t="s">
        <v>19</v>
      </c>
      <c r="BL2" s="1" t="e" cm="1">
        <f t="array" aca="1" ref="BL2:BL252" ca="1">INDEX(_xlfn.STOCKHISTORY("KO", TODAY()-365, TODAY(), 0, 1), , 2)</f>
        <v>#NAME?</v>
      </c>
      <c r="BM2" s="1" t="s">
        <v>19</v>
      </c>
      <c r="BN2" s="1" t="e" cm="1">
        <f t="array" aca="1" ref="BN2:BN252" ca="1">INDEX(_xlfn.STOCKHISTORY("MCD", TODAY()-365, TODAY(), 0, 1), , 2)</f>
        <v>#NAME?</v>
      </c>
      <c r="BO2" s="1" t="s">
        <v>19</v>
      </c>
      <c r="BP2" s="1" t="e" cm="1">
        <f t="array" aca="1" ref="BP2:BP252" ca="1">INDEX(_xlfn.STOCKHISTORY("DIS", TODAY()-365, TODAY(), 0, 1), , 2)</f>
        <v>#NAME?</v>
      </c>
      <c r="BQ2" s="1" t="s">
        <v>19</v>
      </c>
      <c r="BR2" s="1" t="e" cm="1">
        <f t="array" aca="1" ref="BR2:BR252" ca="1">INDEX(_xlfn.STOCKHISTORY("NFLX", TODAY()-365, TODAY(), 0, 1), , 2)</f>
        <v>#NAME?</v>
      </c>
      <c r="BS2" s="1" t="s">
        <v>19</v>
      </c>
      <c r="BT2" s="1" t="e" cm="1">
        <f t="array" aca="1" ref="BT2:BT252" ca="1">INDEX(_xlfn.STOCKHISTORY("PG", TODAY()-365, TODAY(), 0, 1), , 2)</f>
        <v>#NAME?</v>
      </c>
      <c r="BU2" s="1" t="s">
        <v>19</v>
      </c>
      <c r="BV2" s="1" t="e" cm="1">
        <f t="array" aca="1" ref="BV2:BV252" ca="1">INDEX(_xlfn.STOCKHISTORY("PEP", TODAY()-365, TODAY(), 0, 1), , 2)</f>
        <v>#NAME?</v>
      </c>
      <c r="BW2" s="1" t="s">
        <v>19</v>
      </c>
      <c r="BX2" s="1" t="e" cm="1">
        <f t="array" aca="1" ref="BX2:BX252" ca="1">INDEX(_xlfn.STOCKHISTORY("OIH", TODAY()-365, TODAY(), 0, 1), , 2)</f>
        <v>#NAME?</v>
      </c>
      <c r="BY2" s="1" t="s">
        <v>19</v>
      </c>
      <c r="BZ2" s="1" t="e" cm="1">
        <f t="array" aca="1" ref="BZ2:BZ252" ca="1">INDEX(_xlfn.STOCKHISTORY("IEO", TODAY()-365, TODAY(), 0, 1), , 2)</f>
        <v>#NAME?</v>
      </c>
      <c r="CA2" s="1" t="s">
        <v>19</v>
      </c>
      <c r="CB2" s="1" t="e" cm="1">
        <f t="array" aca="1" ref="CB2:CB252" ca="1">INDEX(_xlfn.STOCKHISTORY("PXE", TODAY()-365, TODAY(), 0, 1), , 2)</f>
        <v>#NAME?</v>
      </c>
      <c r="CC2" s="1" t="s">
        <v>19</v>
      </c>
      <c r="CD2" s="1" t="e" cm="1">
        <f t="array" aca="1" ref="CD2:CD252" ca="1">INDEX(_xlfn.STOCKHISTORY("MRO*", TODAY()-365, TODAY(), 0, 1), , 2)</f>
        <v>#NAME?</v>
      </c>
      <c r="CE2" s="1" t="s">
        <v>19</v>
      </c>
      <c r="CF2" s="1" t="e" cm="1">
        <f t="array" aca="1" ref="CF2:CF252" ca="1">INDEX(_xlfn.STOCKHISTORY("GOVT", TODAY()-365, TODAY(), 0, 1), , 2)</f>
        <v>#NAME?</v>
      </c>
      <c r="CG2" s="1" t="s">
        <v>19</v>
      </c>
      <c r="CH2" s="1" t="e" cm="1">
        <f t="array" aca="1" ref="CH2:CH252" ca="1">INDEX(_xlfn.STOCKHISTORY("VGSH", TODAY()-365, TODAY(), 0, 1), , 2)</f>
        <v>#NAME?</v>
      </c>
      <c r="CI2" s="1" t="s">
        <v>19</v>
      </c>
      <c r="CJ2" s="1" t="e" cm="1">
        <f t="array" aca="1" ref="CJ2:CJ252" ca="1">INDEX(_xlfn.STOCKHISTORY("VGIT", TODAY()-365, TODAY(), 0, 1), , 2)</f>
        <v>#NAME?</v>
      </c>
      <c r="CK2" s="1" t="s">
        <v>19</v>
      </c>
      <c r="CL2" s="1" t="e" cm="1">
        <f t="array" aca="1" ref="CL2:CL252" ca="1">INDEX(_xlfn.STOCKHISTORY("VGLT", TODAY()-365, TODAY(), 0, 1), , 2)</f>
        <v>#NAME?</v>
      </c>
      <c r="CM2" s="1" t="s">
        <v>19</v>
      </c>
      <c r="CN2" s="1" t="e" cm="1">
        <f t="array" aca="1" ref="CN2:CN252" ca="1">INDEX(_xlfn.STOCKHISTORY("SPBO", TODAY()-365, TODAY(), 0, 1), , 2)</f>
        <v>#NAME?</v>
      </c>
      <c r="CO2" s="1" t="s">
        <v>19</v>
      </c>
      <c r="CP2" s="1" t="e" cm="1">
        <f t="array" aca="1" ref="CP2:CP252" ca="1">INDEX(_xlfn.STOCKHISTORY("CRED", TODAY()-365, TODAY(), 0, 1), , 2)</f>
        <v>#NAME?</v>
      </c>
      <c r="CQ2" s="1" t="s">
        <v>19</v>
      </c>
    </row>
    <row r="3" spans="1:95">
      <c r="A3" s="7" t="e">
        <f ca="1"/>
        <v>#NAME?</v>
      </c>
      <c r="B3" s="2" t="e">
        <f ca="1"/>
        <v>#NAME?</v>
      </c>
      <c r="D3" s="2" t="e">
        <f ca="1"/>
        <v>#NAME?</v>
      </c>
      <c r="F3" s="2" t="e">
        <f ca="1"/>
        <v>#NAME?</v>
      </c>
      <c r="H3" s="2" t="e">
        <f ca="1"/>
        <v>#NAME?</v>
      </c>
      <c r="J3" s="2" t="e">
        <f ca="1"/>
        <v>#NAME?</v>
      </c>
      <c r="L3" s="2" t="e">
        <f ca="1"/>
        <v>#NAME?</v>
      </c>
      <c r="N3" s="2" t="e">
        <f ca="1"/>
        <v>#NAME?</v>
      </c>
      <c r="P3" s="2" t="e">
        <f ca="1"/>
        <v>#NAME?</v>
      </c>
      <c r="R3" s="2" t="e">
        <f ca="1"/>
        <v>#NAME?</v>
      </c>
      <c r="T3" s="2" t="e">
        <f ca="1"/>
        <v>#NAME?</v>
      </c>
      <c r="V3" s="2" t="e">
        <f ca="1"/>
        <v>#NAME?</v>
      </c>
      <c r="X3" s="2" t="e">
        <f ca="1"/>
        <v>#NAME?</v>
      </c>
      <c r="Z3" s="2" t="e">
        <f ca="1"/>
        <v>#NAME?</v>
      </c>
      <c r="AB3" s="2" t="e">
        <f ca="1"/>
        <v>#NAME?</v>
      </c>
      <c r="AD3" s="2" t="e">
        <f ca="1"/>
        <v>#NAME?</v>
      </c>
      <c r="AF3" s="2" t="e">
        <f ca="1"/>
        <v>#NAME?</v>
      </c>
      <c r="AH3" s="2" t="e">
        <f ca="1"/>
        <v>#NAME?</v>
      </c>
      <c r="AJ3" s="2" t="e">
        <f ca="1"/>
        <v>#NAME?</v>
      </c>
      <c r="AL3" s="2" t="e">
        <f ca="1"/>
        <v>#NAME?</v>
      </c>
      <c r="AN3" s="2" t="e">
        <f ca="1"/>
        <v>#NAME?</v>
      </c>
      <c r="AP3" s="2" t="e">
        <f ca="1"/>
        <v>#NAME?</v>
      </c>
      <c r="AR3" s="2" t="e">
        <f ca="1"/>
        <v>#NAME?</v>
      </c>
      <c r="AT3" s="2" t="e">
        <f ca="1"/>
        <v>#NAME?</v>
      </c>
      <c r="AV3" s="2" t="e">
        <f ca="1"/>
        <v>#NAME?</v>
      </c>
      <c r="AX3" s="2" t="e">
        <f ca="1"/>
        <v>#NAME?</v>
      </c>
      <c r="AZ3" s="2" t="e">
        <f ca="1"/>
        <v>#NAME?</v>
      </c>
      <c r="BB3" s="2" t="e">
        <f ca="1"/>
        <v>#NAME?</v>
      </c>
      <c r="BD3" s="2" t="e">
        <f ca="1"/>
        <v>#NAME?</v>
      </c>
      <c r="BF3" s="2" t="e">
        <f ca="1"/>
        <v>#NAME?</v>
      </c>
      <c r="BH3" s="2" t="e">
        <f ca="1"/>
        <v>#NAME?</v>
      </c>
      <c r="BJ3" s="2" t="e">
        <f ca="1"/>
        <v>#NAME?</v>
      </c>
      <c r="BL3" s="2" t="e">
        <f ca="1"/>
        <v>#NAME?</v>
      </c>
      <c r="BN3" s="2" t="e">
        <f ca="1"/>
        <v>#NAME?</v>
      </c>
      <c r="BP3" s="2" t="e">
        <f ca="1"/>
        <v>#NAME?</v>
      </c>
      <c r="BR3" s="2" t="e">
        <f ca="1"/>
        <v>#NAME?</v>
      </c>
      <c r="BT3" s="2" t="e">
        <f ca="1"/>
        <v>#NAME?</v>
      </c>
      <c r="BV3" s="2" t="e">
        <f ca="1"/>
        <v>#NAME?</v>
      </c>
      <c r="BX3" s="2" t="e">
        <f ca="1"/>
        <v>#NAME?</v>
      </c>
      <c r="BZ3" s="2" t="e">
        <f ca="1"/>
        <v>#NAME?</v>
      </c>
      <c r="CB3" s="2" t="e">
        <f ca="1"/>
        <v>#NAME?</v>
      </c>
      <c r="CD3" s="2" t="e">
        <f ca="1"/>
        <v>#NAME?</v>
      </c>
      <c r="CF3" s="2" t="e">
        <f ca="1"/>
        <v>#NAME?</v>
      </c>
      <c r="CH3" s="2" t="e">
        <f ca="1"/>
        <v>#NAME?</v>
      </c>
      <c r="CJ3" s="2" t="e">
        <f ca="1"/>
        <v>#NAME?</v>
      </c>
      <c r="CL3" s="2" t="e">
        <f ca="1"/>
        <v>#NAME?</v>
      </c>
      <c r="CN3" s="2" t="e">
        <f ca="1"/>
        <v>#NAME?</v>
      </c>
      <c r="CP3" s="2" t="e">
        <f ca="1"/>
        <v>#NAME?</v>
      </c>
    </row>
    <row r="4" spans="1:95">
      <c r="A4" s="7" t="e">
        <f ca="1"/>
        <v>#NAME?</v>
      </c>
      <c r="B4" s="2" t="e">
        <f ca="1"/>
        <v>#NAME?</v>
      </c>
      <c r="C4" s="2" t="e">
        <f ca="1">(B4-B3)/B3</f>
        <v>#NAME?</v>
      </c>
      <c r="D4" s="2" t="e">
        <f ca="1"/>
        <v>#NAME?</v>
      </c>
      <c r="E4" s="2" t="e">
        <f ca="1">(D4-D3)/D3</f>
        <v>#NAME?</v>
      </c>
      <c r="F4" s="2" t="e">
        <f ca="1"/>
        <v>#NAME?</v>
      </c>
      <c r="G4" s="2" t="e">
        <f ca="1">(F4-F3)/F3</f>
        <v>#NAME?</v>
      </c>
      <c r="H4" s="2" t="e">
        <f ca="1"/>
        <v>#NAME?</v>
      </c>
      <c r="I4" s="2" t="e">
        <f ca="1">(H4-H3)/H3</f>
        <v>#NAME?</v>
      </c>
      <c r="J4" s="2" t="e">
        <f ca="1"/>
        <v>#NAME?</v>
      </c>
      <c r="K4" s="2" t="e">
        <f ca="1">(J4-J3)/J3</f>
        <v>#NAME?</v>
      </c>
      <c r="L4" s="2" t="e">
        <f ca="1"/>
        <v>#NAME?</v>
      </c>
      <c r="M4" s="2" t="e">
        <f ca="1">(L4-L3)/L3</f>
        <v>#NAME?</v>
      </c>
      <c r="N4" s="2" t="e">
        <f ca="1"/>
        <v>#NAME?</v>
      </c>
      <c r="O4" s="2" t="e">
        <f ca="1">(N4-N3)/N3</f>
        <v>#NAME?</v>
      </c>
      <c r="P4" s="2" t="e">
        <f ca="1"/>
        <v>#NAME?</v>
      </c>
      <c r="Q4" s="2" t="e">
        <f ca="1">(P4-P3)/P3</f>
        <v>#NAME?</v>
      </c>
      <c r="R4" s="2" t="e">
        <f ca="1"/>
        <v>#NAME?</v>
      </c>
      <c r="S4" s="2" t="e">
        <f ca="1">(R4-R3)/R3</f>
        <v>#NAME?</v>
      </c>
      <c r="T4" s="2" t="e">
        <f ca="1"/>
        <v>#NAME?</v>
      </c>
      <c r="U4" s="2" t="e">
        <f ca="1">(T4-T3)/T3</f>
        <v>#NAME?</v>
      </c>
      <c r="V4" s="2" t="e">
        <f ca="1"/>
        <v>#NAME?</v>
      </c>
      <c r="W4" s="2" t="e">
        <f ca="1">(V4-V3)/V3</f>
        <v>#NAME?</v>
      </c>
      <c r="X4" s="2" t="e">
        <f ca="1"/>
        <v>#NAME?</v>
      </c>
      <c r="Y4" s="2" t="e">
        <f ca="1">(X4-X3)/X3</f>
        <v>#NAME?</v>
      </c>
      <c r="Z4" s="2" t="e">
        <f ca="1"/>
        <v>#NAME?</v>
      </c>
      <c r="AA4" s="2" t="e">
        <f ca="1">(Z4-Z3)/Z3</f>
        <v>#NAME?</v>
      </c>
      <c r="AB4" s="2" t="e">
        <f ca="1"/>
        <v>#NAME?</v>
      </c>
      <c r="AC4" s="2" t="e">
        <f ca="1">(AB4-AB3)/AB3</f>
        <v>#NAME?</v>
      </c>
      <c r="AD4" s="2" t="e">
        <f ca="1"/>
        <v>#NAME?</v>
      </c>
      <c r="AE4" s="2" t="e">
        <f ca="1">(AD4-AD3)/AD3</f>
        <v>#NAME?</v>
      </c>
      <c r="AF4" s="2" t="e">
        <f ca="1"/>
        <v>#NAME?</v>
      </c>
      <c r="AG4" s="2" t="e">
        <f ca="1">(AF4-AF3)/AF3</f>
        <v>#NAME?</v>
      </c>
      <c r="AH4" s="2" t="e">
        <f ca="1"/>
        <v>#NAME?</v>
      </c>
      <c r="AI4" s="2" t="e">
        <f ca="1">(AH4-AH3)/AH3</f>
        <v>#NAME?</v>
      </c>
      <c r="AJ4" s="2" t="e">
        <f ca="1"/>
        <v>#NAME?</v>
      </c>
      <c r="AK4" s="2" t="e">
        <f ca="1">(AJ4-AJ3)/AJ3</f>
        <v>#NAME?</v>
      </c>
      <c r="AL4" s="2" t="e">
        <f ca="1"/>
        <v>#NAME?</v>
      </c>
      <c r="AM4" s="2" t="e">
        <f ca="1">(AL4-AL3)/AL3</f>
        <v>#NAME?</v>
      </c>
      <c r="AN4" s="2" t="e">
        <f ca="1"/>
        <v>#NAME?</v>
      </c>
      <c r="AO4" s="2" t="e">
        <f ca="1">(AN4-AN3)/AN3</f>
        <v>#NAME?</v>
      </c>
      <c r="AP4" s="2" t="e">
        <f ca="1"/>
        <v>#NAME?</v>
      </c>
      <c r="AQ4" s="2" t="e">
        <f ca="1">(AP4-AP3)/AP3</f>
        <v>#NAME?</v>
      </c>
      <c r="AR4" s="2" t="e">
        <f ca="1"/>
        <v>#NAME?</v>
      </c>
      <c r="AS4" s="2" t="e">
        <f ca="1">(AR4-AR3)/AR3</f>
        <v>#NAME?</v>
      </c>
      <c r="AT4" s="2" t="e">
        <f ca="1"/>
        <v>#NAME?</v>
      </c>
      <c r="AU4" s="2" t="e">
        <f ca="1">(AT4-AT3)/AT3</f>
        <v>#NAME?</v>
      </c>
      <c r="AV4" s="2" t="e">
        <f ca="1"/>
        <v>#NAME?</v>
      </c>
      <c r="AW4" s="2" t="e">
        <f ca="1">(AV4-AV3)/AV3</f>
        <v>#NAME?</v>
      </c>
      <c r="AX4" s="2" t="e">
        <f ca="1"/>
        <v>#NAME?</v>
      </c>
      <c r="AY4" s="2" t="e">
        <f ca="1">(AX4-AX3)/AX3</f>
        <v>#NAME?</v>
      </c>
      <c r="AZ4" s="2" t="e">
        <f ca="1"/>
        <v>#NAME?</v>
      </c>
      <c r="BA4" s="2" t="e">
        <f ca="1">(AZ4-AZ3)/AZ3</f>
        <v>#NAME?</v>
      </c>
      <c r="BB4" s="2" t="e">
        <f ca="1"/>
        <v>#NAME?</v>
      </c>
      <c r="BC4" s="2" t="e">
        <f ca="1">(BB4-BB3)/BB3</f>
        <v>#NAME?</v>
      </c>
      <c r="BD4" s="2" t="e">
        <f ca="1"/>
        <v>#NAME?</v>
      </c>
      <c r="BE4" s="2" t="e">
        <f ca="1">(BD4-BD3)/BD3</f>
        <v>#NAME?</v>
      </c>
      <c r="BF4" s="2" t="e">
        <f ca="1"/>
        <v>#NAME?</v>
      </c>
      <c r="BG4" s="2" t="e">
        <f ca="1">(BF4-BF3)/BF3</f>
        <v>#NAME?</v>
      </c>
      <c r="BH4" s="2" t="e">
        <f ca="1"/>
        <v>#NAME?</v>
      </c>
      <c r="BI4" s="2" t="e">
        <f ca="1">(BH4-BH3)/BH3</f>
        <v>#NAME?</v>
      </c>
      <c r="BJ4" s="2" t="e">
        <f ca="1"/>
        <v>#NAME?</v>
      </c>
      <c r="BK4" s="2" t="e">
        <f ca="1">(BJ4-BJ3)/BJ3</f>
        <v>#NAME?</v>
      </c>
      <c r="BL4" s="2" t="e">
        <f ca="1"/>
        <v>#NAME?</v>
      </c>
      <c r="BM4" s="2" t="e">
        <f ca="1">(BL4-BL3)/BL3</f>
        <v>#NAME?</v>
      </c>
      <c r="BN4" s="2" t="e">
        <f ca="1"/>
        <v>#NAME?</v>
      </c>
      <c r="BO4" s="2" t="e">
        <f ca="1">(BN4-BN3)/BN3</f>
        <v>#NAME?</v>
      </c>
      <c r="BP4" s="2" t="e">
        <f ca="1"/>
        <v>#NAME?</v>
      </c>
      <c r="BQ4" s="2" t="e">
        <f ca="1">(BP4-BP3)/BP3</f>
        <v>#NAME?</v>
      </c>
      <c r="BR4" s="2" t="e">
        <f ca="1"/>
        <v>#NAME?</v>
      </c>
      <c r="BS4" s="2" t="e">
        <f ca="1">(BR4-BR3)/BR3</f>
        <v>#NAME?</v>
      </c>
      <c r="BT4" s="2" t="e">
        <f ca="1"/>
        <v>#NAME?</v>
      </c>
      <c r="BU4" s="2" t="e">
        <f ca="1">(BT4-BT3)/BT3</f>
        <v>#NAME?</v>
      </c>
      <c r="BV4" s="2" t="e">
        <f ca="1"/>
        <v>#NAME?</v>
      </c>
      <c r="BW4" s="2" t="e">
        <f ca="1">(BV4-BV3)/BV3</f>
        <v>#NAME?</v>
      </c>
      <c r="BX4" s="2" t="e">
        <f ca="1"/>
        <v>#NAME?</v>
      </c>
      <c r="BY4" s="2" t="e">
        <f ca="1">(BX4-BX3)/BX3</f>
        <v>#NAME?</v>
      </c>
      <c r="BZ4" s="2" t="e">
        <f ca="1"/>
        <v>#NAME?</v>
      </c>
      <c r="CA4" s="2" t="e">
        <f ca="1">(BZ4-BZ3)/BZ3</f>
        <v>#NAME?</v>
      </c>
      <c r="CB4" s="2" t="e">
        <f ca="1"/>
        <v>#NAME?</v>
      </c>
      <c r="CC4" s="2" t="e">
        <f ca="1">(CB4-CB3)/CB3</f>
        <v>#NAME?</v>
      </c>
      <c r="CD4" s="2" t="e">
        <f ca="1"/>
        <v>#NAME?</v>
      </c>
      <c r="CE4" s="2" t="e">
        <f ca="1">(CD4-CD3)/CD3</f>
        <v>#NAME?</v>
      </c>
      <c r="CF4" s="2" t="e">
        <f ca="1"/>
        <v>#NAME?</v>
      </c>
      <c r="CG4" s="2" t="e">
        <f ca="1">(CF4-CF3)/CF3</f>
        <v>#NAME?</v>
      </c>
      <c r="CH4" s="2" t="e">
        <f ca="1"/>
        <v>#NAME?</v>
      </c>
      <c r="CI4" s="2" t="e">
        <f ca="1">(CH4-CH3)/CH3</f>
        <v>#NAME?</v>
      </c>
      <c r="CJ4" s="2" t="e">
        <f ca="1"/>
        <v>#NAME?</v>
      </c>
      <c r="CK4" s="2" t="e">
        <f ca="1">(CJ4-CJ3)/CJ3</f>
        <v>#NAME?</v>
      </c>
      <c r="CL4" s="2" t="e">
        <f ca="1"/>
        <v>#NAME?</v>
      </c>
      <c r="CM4" s="2" t="e">
        <f ca="1">(CL4-CL3)/CL3</f>
        <v>#NAME?</v>
      </c>
      <c r="CN4" s="2" t="e">
        <f ca="1"/>
        <v>#NAME?</v>
      </c>
      <c r="CO4" s="2" t="e">
        <f ca="1">(CN4-CN3)/CN3</f>
        <v>#NAME?</v>
      </c>
      <c r="CP4" s="2" t="e">
        <f ca="1"/>
        <v>#NAME?</v>
      </c>
      <c r="CQ4" s="2" t="e">
        <f ca="1">(CP4-CP3)/CP3</f>
        <v>#NAME?</v>
      </c>
    </row>
    <row r="5" spans="1:95">
      <c r="A5" s="7" t="e">
        <f ca="1"/>
        <v>#NAME?</v>
      </c>
      <c r="B5" s="2" t="e">
        <f ca="1"/>
        <v>#NAME?</v>
      </c>
      <c r="C5" s="2" t="e">
        <f t="shared" ref="C5:C68" ca="1" si="0">(B5-B4)/B4</f>
        <v>#NAME?</v>
      </c>
      <c r="D5" s="2" t="e">
        <f ca="1"/>
        <v>#NAME?</v>
      </c>
      <c r="E5" s="2" t="e">
        <f t="shared" ref="E5:E68" ca="1" si="1">(D5-D4)/D4</f>
        <v>#NAME?</v>
      </c>
      <c r="F5" s="2" t="e">
        <f ca="1"/>
        <v>#NAME?</v>
      </c>
      <c r="G5" s="2" t="e">
        <f t="shared" ref="G5:G68" ca="1" si="2">(F5-F4)/F4</f>
        <v>#NAME?</v>
      </c>
      <c r="H5" s="2" t="e">
        <f ca="1"/>
        <v>#NAME?</v>
      </c>
      <c r="I5" s="2" t="e">
        <f t="shared" ref="I5:I68" ca="1" si="3">(H5-H4)/H4</f>
        <v>#NAME?</v>
      </c>
      <c r="J5" s="2" t="e">
        <f ca="1"/>
        <v>#NAME?</v>
      </c>
      <c r="K5" s="2" t="e">
        <f t="shared" ref="K5:K68" ca="1" si="4">(J5-J4)/J4</f>
        <v>#NAME?</v>
      </c>
      <c r="L5" s="2" t="e">
        <f ca="1"/>
        <v>#NAME?</v>
      </c>
      <c r="M5" s="2" t="e">
        <f t="shared" ref="M5:M68" ca="1" si="5">(L5-L4)/L4</f>
        <v>#NAME?</v>
      </c>
      <c r="N5" s="2" t="e">
        <f ca="1"/>
        <v>#NAME?</v>
      </c>
      <c r="O5" s="2" t="e">
        <f t="shared" ref="O5:O68" ca="1" si="6">(N5-N4)/N4</f>
        <v>#NAME?</v>
      </c>
      <c r="P5" s="2" t="e">
        <f ca="1"/>
        <v>#NAME?</v>
      </c>
      <c r="Q5" s="2" t="e">
        <f t="shared" ref="Q5:Q68" ca="1" si="7">(P5-P4)/P4</f>
        <v>#NAME?</v>
      </c>
      <c r="R5" s="2" t="e">
        <f ca="1"/>
        <v>#NAME?</v>
      </c>
      <c r="S5" s="2" t="e">
        <f t="shared" ref="S5:S68" ca="1" si="8">(R5-R4)/R4</f>
        <v>#NAME?</v>
      </c>
      <c r="T5" s="2" t="e">
        <f ca="1"/>
        <v>#NAME?</v>
      </c>
      <c r="U5" s="2" t="e">
        <f t="shared" ref="U5:U68" ca="1" si="9">(T5-T4)/T4</f>
        <v>#NAME?</v>
      </c>
      <c r="V5" s="2" t="e">
        <f ca="1"/>
        <v>#NAME?</v>
      </c>
      <c r="W5" s="2" t="e">
        <f t="shared" ref="W5:W68" ca="1" si="10">(V5-V4)/V4</f>
        <v>#NAME?</v>
      </c>
      <c r="X5" s="2" t="e">
        <f ca="1"/>
        <v>#NAME?</v>
      </c>
      <c r="Y5" s="2" t="e">
        <f t="shared" ref="Y5:Y68" ca="1" si="11">(X5-X4)/X4</f>
        <v>#NAME?</v>
      </c>
      <c r="Z5" s="2" t="e">
        <f ca="1"/>
        <v>#NAME?</v>
      </c>
      <c r="AA5" s="2" t="e">
        <f t="shared" ref="AA5:AA68" ca="1" si="12">(Z5-Z4)/Z4</f>
        <v>#NAME?</v>
      </c>
      <c r="AB5" s="2" t="e">
        <f ca="1"/>
        <v>#NAME?</v>
      </c>
      <c r="AC5" s="2" t="e">
        <f t="shared" ref="AC5:AC68" ca="1" si="13">(AB5-AB4)/AB4</f>
        <v>#NAME?</v>
      </c>
      <c r="AD5" s="2" t="e">
        <f ca="1"/>
        <v>#NAME?</v>
      </c>
      <c r="AE5" s="2" t="e">
        <f t="shared" ref="AE5:AE68" ca="1" si="14">(AD5-AD4)/AD4</f>
        <v>#NAME?</v>
      </c>
      <c r="AF5" s="2" t="e">
        <f ca="1"/>
        <v>#NAME?</v>
      </c>
      <c r="AG5" s="2" t="e">
        <f t="shared" ref="AG5:AG68" ca="1" si="15">(AF5-AF4)/AF4</f>
        <v>#NAME?</v>
      </c>
      <c r="AH5" s="2" t="e">
        <f ca="1"/>
        <v>#NAME?</v>
      </c>
      <c r="AI5" s="2" t="e">
        <f t="shared" ref="AI5:AI68" ca="1" si="16">(AH5-AH4)/AH4</f>
        <v>#NAME?</v>
      </c>
      <c r="AJ5" s="2" t="e">
        <f ca="1"/>
        <v>#NAME?</v>
      </c>
      <c r="AK5" s="2" t="e">
        <f t="shared" ref="AK5:AK68" ca="1" si="17">(AJ5-AJ4)/AJ4</f>
        <v>#NAME?</v>
      </c>
      <c r="AL5" s="2" t="e">
        <f ca="1"/>
        <v>#NAME?</v>
      </c>
      <c r="AM5" s="2" t="e">
        <f t="shared" ref="AM5:AM68" ca="1" si="18">(AL5-AL4)/AL4</f>
        <v>#NAME?</v>
      </c>
      <c r="AN5" s="2" t="e">
        <f ca="1"/>
        <v>#NAME?</v>
      </c>
      <c r="AO5" s="2" t="e">
        <f t="shared" ref="AO5:AO68" ca="1" si="19">(AN5-AN4)/AN4</f>
        <v>#NAME?</v>
      </c>
      <c r="AP5" s="2" t="e">
        <f ca="1"/>
        <v>#NAME?</v>
      </c>
      <c r="AQ5" s="2" t="e">
        <f t="shared" ref="AQ5:AQ68" ca="1" si="20">(AP5-AP4)/AP4</f>
        <v>#NAME?</v>
      </c>
      <c r="AR5" s="2" t="e">
        <f ca="1"/>
        <v>#NAME?</v>
      </c>
      <c r="AS5" s="2" t="e">
        <f t="shared" ref="AS5:AS68" ca="1" si="21">(AR5-AR4)/AR4</f>
        <v>#NAME?</v>
      </c>
      <c r="AT5" s="2" t="e">
        <f ca="1"/>
        <v>#NAME?</v>
      </c>
      <c r="AU5" s="2" t="e">
        <f t="shared" ref="AU5:AU68" ca="1" si="22">(AT5-AT4)/AT4</f>
        <v>#NAME?</v>
      </c>
      <c r="AV5" s="2" t="e">
        <f ca="1"/>
        <v>#NAME?</v>
      </c>
      <c r="AW5" s="2" t="e">
        <f t="shared" ref="AW5:AW68" ca="1" si="23">(AV5-AV4)/AV4</f>
        <v>#NAME?</v>
      </c>
      <c r="AX5" s="2" t="e">
        <f ca="1"/>
        <v>#NAME?</v>
      </c>
      <c r="AY5" s="2" t="e">
        <f t="shared" ref="AY5:AY68" ca="1" si="24">(AX5-AX4)/AX4</f>
        <v>#NAME?</v>
      </c>
      <c r="AZ5" s="2" t="e">
        <f ca="1"/>
        <v>#NAME?</v>
      </c>
      <c r="BA5" s="2" t="e">
        <f t="shared" ref="BA5:BA68" ca="1" si="25">(AZ5-AZ4)/AZ4</f>
        <v>#NAME?</v>
      </c>
      <c r="BB5" s="2" t="e">
        <f ca="1"/>
        <v>#NAME?</v>
      </c>
      <c r="BC5" s="2" t="e">
        <f t="shared" ref="BC5:BC68" ca="1" si="26">(BB5-BB4)/BB4</f>
        <v>#NAME?</v>
      </c>
      <c r="BD5" s="2" t="e">
        <f ca="1"/>
        <v>#NAME?</v>
      </c>
      <c r="BE5" s="2" t="e">
        <f t="shared" ref="BE5:BE68" ca="1" si="27">(BD5-BD4)/BD4</f>
        <v>#NAME?</v>
      </c>
      <c r="BF5" s="2" t="e">
        <f ca="1"/>
        <v>#NAME?</v>
      </c>
      <c r="BG5" s="2" t="e">
        <f t="shared" ref="BG5:BG68" ca="1" si="28">(BF5-BF4)/BF4</f>
        <v>#NAME?</v>
      </c>
      <c r="BH5" s="2" t="e">
        <f ca="1"/>
        <v>#NAME?</v>
      </c>
      <c r="BI5" s="2" t="e">
        <f t="shared" ref="BI5:BI68" ca="1" si="29">(BH5-BH4)/BH4</f>
        <v>#NAME?</v>
      </c>
      <c r="BJ5" s="2" t="e">
        <f ca="1"/>
        <v>#NAME?</v>
      </c>
      <c r="BK5" s="2" t="e">
        <f t="shared" ref="BK5:BK68" ca="1" si="30">(BJ5-BJ4)/BJ4</f>
        <v>#NAME?</v>
      </c>
      <c r="BL5" s="2" t="e">
        <f ca="1"/>
        <v>#NAME?</v>
      </c>
      <c r="BM5" s="2" t="e">
        <f t="shared" ref="BM5:BM68" ca="1" si="31">(BL5-BL4)/BL4</f>
        <v>#NAME?</v>
      </c>
      <c r="BN5" s="2" t="e">
        <f ca="1"/>
        <v>#NAME?</v>
      </c>
      <c r="BO5" s="2" t="e">
        <f t="shared" ref="BO5:BO68" ca="1" si="32">(BN5-BN4)/BN4</f>
        <v>#NAME?</v>
      </c>
      <c r="BP5" s="2" t="e">
        <f ca="1"/>
        <v>#NAME?</v>
      </c>
      <c r="BQ5" s="2" t="e">
        <f t="shared" ref="BQ5:BQ68" ca="1" si="33">(BP5-BP4)/BP4</f>
        <v>#NAME?</v>
      </c>
      <c r="BR5" s="2" t="e">
        <f ca="1"/>
        <v>#NAME?</v>
      </c>
      <c r="BS5" s="2" t="e">
        <f t="shared" ref="BS5:BS68" ca="1" si="34">(BR5-BR4)/BR4</f>
        <v>#NAME?</v>
      </c>
      <c r="BT5" s="2" t="e">
        <f ca="1"/>
        <v>#NAME?</v>
      </c>
      <c r="BU5" s="2" t="e">
        <f t="shared" ref="BU5:BU68" ca="1" si="35">(BT5-BT4)/BT4</f>
        <v>#NAME?</v>
      </c>
      <c r="BV5" s="2" t="e">
        <f ca="1"/>
        <v>#NAME?</v>
      </c>
      <c r="BW5" s="2" t="e">
        <f t="shared" ref="BW5:BW68" ca="1" si="36">(BV5-BV4)/BV4</f>
        <v>#NAME?</v>
      </c>
      <c r="BX5" s="2" t="e">
        <f ca="1"/>
        <v>#NAME?</v>
      </c>
      <c r="BY5" s="2" t="e">
        <f t="shared" ref="BY5:BY68" ca="1" si="37">(BX5-BX4)/BX4</f>
        <v>#NAME?</v>
      </c>
      <c r="BZ5" s="2" t="e">
        <f ca="1"/>
        <v>#NAME?</v>
      </c>
      <c r="CA5" s="2" t="e">
        <f t="shared" ref="CA5:CA68" ca="1" si="38">(BZ5-BZ4)/BZ4</f>
        <v>#NAME?</v>
      </c>
      <c r="CB5" s="2" t="e">
        <f ca="1"/>
        <v>#NAME?</v>
      </c>
      <c r="CC5" s="2" t="e">
        <f t="shared" ref="CC5:CC68" ca="1" si="39">(CB5-CB4)/CB4</f>
        <v>#NAME?</v>
      </c>
      <c r="CD5" s="2" t="e">
        <f ca="1"/>
        <v>#NAME?</v>
      </c>
      <c r="CE5" s="2" t="e">
        <f t="shared" ref="CE5:CE68" ca="1" si="40">(CD5-CD4)/CD4</f>
        <v>#NAME?</v>
      </c>
      <c r="CF5" s="2" t="e">
        <f ca="1"/>
        <v>#NAME?</v>
      </c>
      <c r="CG5" s="2" t="e">
        <f t="shared" ref="CG5:CG68" ca="1" si="41">(CF5-CF4)/CF4</f>
        <v>#NAME?</v>
      </c>
      <c r="CH5" s="2" t="e">
        <f ca="1"/>
        <v>#NAME?</v>
      </c>
      <c r="CI5" s="2" t="e">
        <f t="shared" ref="CI5:CI68" ca="1" si="42">(CH5-CH4)/CH4</f>
        <v>#NAME?</v>
      </c>
      <c r="CJ5" s="2" t="e">
        <f ca="1"/>
        <v>#NAME?</v>
      </c>
      <c r="CK5" s="2" t="e">
        <f t="shared" ref="CK5:CK68" ca="1" si="43">(CJ5-CJ4)/CJ4</f>
        <v>#NAME?</v>
      </c>
      <c r="CL5" s="2" t="e">
        <f ca="1"/>
        <v>#NAME?</v>
      </c>
      <c r="CM5" s="2" t="e">
        <f t="shared" ref="CM5:CM68" ca="1" si="44">(CL5-CL4)/CL4</f>
        <v>#NAME?</v>
      </c>
      <c r="CN5" s="2" t="e">
        <f ca="1"/>
        <v>#NAME?</v>
      </c>
      <c r="CO5" s="2" t="e">
        <f t="shared" ref="CO5:CO68" ca="1" si="45">(CN5-CN4)/CN4</f>
        <v>#NAME?</v>
      </c>
      <c r="CP5" s="2" t="e">
        <f ca="1"/>
        <v>#NAME?</v>
      </c>
      <c r="CQ5" s="2" t="e">
        <f t="shared" ref="CQ5:CQ68" ca="1" si="46">(CP5-CP4)/CP4</f>
        <v>#NAME?</v>
      </c>
    </row>
    <row r="6" spans="1:95">
      <c r="A6" s="7" t="e">
        <f ca="1"/>
        <v>#NAME?</v>
      </c>
      <c r="B6" s="2" t="e">
        <f ca="1"/>
        <v>#NAME?</v>
      </c>
      <c r="C6" s="2" t="e">
        <f t="shared" ca="1" si="0"/>
        <v>#NAME?</v>
      </c>
      <c r="D6" s="2" t="e">
        <f ca="1"/>
        <v>#NAME?</v>
      </c>
      <c r="E6" s="2" t="e">
        <f t="shared" ca="1" si="1"/>
        <v>#NAME?</v>
      </c>
      <c r="F6" s="2" t="e">
        <f ca="1"/>
        <v>#NAME?</v>
      </c>
      <c r="G6" s="2" t="e">
        <f t="shared" ca="1" si="2"/>
        <v>#NAME?</v>
      </c>
      <c r="H6" s="2" t="e">
        <f ca="1"/>
        <v>#NAME?</v>
      </c>
      <c r="I6" s="2" t="e">
        <f t="shared" ca="1" si="3"/>
        <v>#NAME?</v>
      </c>
      <c r="J6" s="2" t="e">
        <f ca="1"/>
        <v>#NAME?</v>
      </c>
      <c r="K6" s="2" t="e">
        <f t="shared" ca="1" si="4"/>
        <v>#NAME?</v>
      </c>
      <c r="L6" s="2" t="e">
        <f ca="1"/>
        <v>#NAME?</v>
      </c>
      <c r="M6" s="2" t="e">
        <f t="shared" ca="1" si="5"/>
        <v>#NAME?</v>
      </c>
      <c r="N6" s="2" t="e">
        <f ca="1"/>
        <v>#NAME?</v>
      </c>
      <c r="O6" s="2" t="e">
        <f t="shared" ca="1" si="6"/>
        <v>#NAME?</v>
      </c>
      <c r="P6" s="2" t="e">
        <f ca="1"/>
        <v>#NAME?</v>
      </c>
      <c r="Q6" s="2" t="e">
        <f t="shared" ca="1" si="7"/>
        <v>#NAME?</v>
      </c>
      <c r="R6" s="2" t="e">
        <f ca="1"/>
        <v>#NAME?</v>
      </c>
      <c r="S6" s="2" t="e">
        <f t="shared" ca="1" si="8"/>
        <v>#NAME?</v>
      </c>
      <c r="T6" s="2" t="e">
        <f ca="1"/>
        <v>#NAME?</v>
      </c>
      <c r="U6" s="2" t="e">
        <f t="shared" ca="1" si="9"/>
        <v>#NAME?</v>
      </c>
      <c r="V6" s="2" t="e">
        <f ca="1"/>
        <v>#NAME?</v>
      </c>
      <c r="W6" s="2" t="e">
        <f t="shared" ca="1" si="10"/>
        <v>#NAME?</v>
      </c>
      <c r="X6" s="2" t="e">
        <f ca="1"/>
        <v>#NAME?</v>
      </c>
      <c r="Y6" s="2" t="e">
        <f t="shared" ca="1" si="11"/>
        <v>#NAME?</v>
      </c>
      <c r="Z6" s="2" t="e">
        <f ca="1"/>
        <v>#NAME?</v>
      </c>
      <c r="AA6" s="2" t="e">
        <f t="shared" ca="1" si="12"/>
        <v>#NAME?</v>
      </c>
      <c r="AB6" s="2" t="e">
        <f ca="1"/>
        <v>#NAME?</v>
      </c>
      <c r="AC6" s="2" t="e">
        <f t="shared" ca="1" si="13"/>
        <v>#NAME?</v>
      </c>
      <c r="AD6" s="2" t="e">
        <f ca="1"/>
        <v>#NAME?</v>
      </c>
      <c r="AE6" s="2" t="e">
        <f t="shared" ca="1" si="14"/>
        <v>#NAME?</v>
      </c>
      <c r="AF6" s="2" t="e">
        <f ca="1"/>
        <v>#NAME?</v>
      </c>
      <c r="AG6" s="2" t="e">
        <f t="shared" ca="1" si="15"/>
        <v>#NAME?</v>
      </c>
      <c r="AH6" s="2" t="e">
        <f ca="1"/>
        <v>#NAME?</v>
      </c>
      <c r="AI6" s="2" t="e">
        <f t="shared" ca="1" si="16"/>
        <v>#NAME?</v>
      </c>
      <c r="AJ6" s="2" t="e">
        <f ca="1"/>
        <v>#NAME?</v>
      </c>
      <c r="AK6" s="2" t="e">
        <f t="shared" ca="1" si="17"/>
        <v>#NAME?</v>
      </c>
      <c r="AL6" s="2" t="e">
        <f ca="1"/>
        <v>#NAME?</v>
      </c>
      <c r="AM6" s="2" t="e">
        <f t="shared" ca="1" si="18"/>
        <v>#NAME?</v>
      </c>
      <c r="AN6" s="2" t="e">
        <f ca="1"/>
        <v>#NAME?</v>
      </c>
      <c r="AO6" s="2" t="e">
        <f t="shared" ca="1" si="19"/>
        <v>#NAME?</v>
      </c>
      <c r="AP6" s="2" t="e">
        <f ca="1"/>
        <v>#NAME?</v>
      </c>
      <c r="AQ6" s="2" t="e">
        <f t="shared" ca="1" si="20"/>
        <v>#NAME?</v>
      </c>
      <c r="AR6" s="2" t="e">
        <f ca="1"/>
        <v>#NAME?</v>
      </c>
      <c r="AS6" s="2" t="e">
        <f t="shared" ca="1" si="21"/>
        <v>#NAME?</v>
      </c>
      <c r="AT6" s="2" t="e">
        <f ca="1"/>
        <v>#NAME?</v>
      </c>
      <c r="AU6" s="2" t="e">
        <f t="shared" ca="1" si="22"/>
        <v>#NAME?</v>
      </c>
      <c r="AV6" s="2" t="e">
        <f ca="1"/>
        <v>#NAME?</v>
      </c>
      <c r="AW6" s="2" t="e">
        <f t="shared" ca="1" si="23"/>
        <v>#NAME?</v>
      </c>
      <c r="AX6" s="2" t="e">
        <f ca="1"/>
        <v>#NAME?</v>
      </c>
      <c r="AY6" s="2" t="e">
        <f t="shared" ca="1" si="24"/>
        <v>#NAME?</v>
      </c>
      <c r="AZ6" s="2" t="e">
        <f ca="1"/>
        <v>#NAME?</v>
      </c>
      <c r="BA6" s="2" t="e">
        <f t="shared" ca="1" si="25"/>
        <v>#NAME?</v>
      </c>
      <c r="BB6" s="2" t="e">
        <f ca="1"/>
        <v>#NAME?</v>
      </c>
      <c r="BC6" s="2" t="e">
        <f t="shared" ca="1" si="26"/>
        <v>#NAME?</v>
      </c>
      <c r="BD6" s="2" t="e">
        <f ca="1"/>
        <v>#NAME?</v>
      </c>
      <c r="BE6" s="2" t="e">
        <f t="shared" ca="1" si="27"/>
        <v>#NAME?</v>
      </c>
      <c r="BF6" s="2" t="e">
        <f ca="1"/>
        <v>#NAME?</v>
      </c>
      <c r="BG6" s="2" t="e">
        <f t="shared" ca="1" si="28"/>
        <v>#NAME?</v>
      </c>
      <c r="BH6" s="2" t="e">
        <f ca="1"/>
        <v>#NAME?</v>
      </c>
      <c r="BI6" s="2" t="e">
        <f t="shared" ca="1" si="29"/>
        <v>#NAME?</v>
      </c>
      <c r="BJ6" s="2" t="e">
        <f ca="1"/>
        <v>#NAME?</v>
      </c>
      <c r="BK6" s="2" t="e">
        <f t="shared" ca="1" si="30"/>
        <v>#NAME?</v>
      </c>
      <c r="BL6" s="2" t="e">
        <f ca="1"/>
        <v>#NAME?</v>
      </c>
      <c r="BM6" s="2" t="e">
        <f t="shared" ca="1" si="31"/>
        <v>#NAME?</v>
      </c>
      <c r="BN6" s="2" t="e">
        <f ca="1"/>
        <v>#NAME?</v>
      </c>
      <c r="BO6" s="2" t="e">
        <f t="shared" ca="1" si="32"/>
        <v>#NAME?</v>
      </c>
      <c r="BP6" s="2" t="e">
        <f ca="1"/>
        <v>#NAME?</v>
      </c>
      <c r="BQ6" s="2" t="e">
        <f t="shared" ca="1" si="33"/>
        <v>#NAME?</v>
      </c>
      <c r="BR6" s="2" t="e">
        <f ca="1"/>
        <v>#NAME?</v>
      </c>
      <c r="BS6" s="2" t="e">
        <f t="shared" ca="1" si="34"/>
        <v>#NAME?</v>
      </c>
      <c r="BT6" s="2" t="e">
        <f ca="1"/>
        <v>#NAME?</v>
      </c>
      <c r="BU6" s="2" t="e">
        <f t="shared" ca="1" si="35"/>
        <v>#NAME?</v>
      </c>
      <c r="BV6" s="2" t="e">
        <f ca="1"/>
        <v>#NAME?</v>
      </c>
      <c r="BW6" s="2" t="e">
        <f t="shared" ca="1" si="36"/>
        <v>#NAME?</v>
      </c>
      <c r="BX6" s="2" t="e">
        <f ca="1"/>
        <v>#NAME?</v>
      </c>
      <c r="BY6" s="2" t="e">
        <f t="shared" ca="1" si="37"/>
        <v>#NAME?</v>
      </c>
      <c r="BZ6" s="2" t="e">
        <f ca="1"/>
        <v>#NAME?</v>
      </c>
      <c r="CA6" s="2" t="e">
        <f t="shared" ca="1" si="38"/>
        <v>#NAME?</v>
      </c>
      <c r="CB6" s="2" t="e">
        <f ca="1"/>
        <v>#NAME?</v>
      </c>
      <c r="CC6" s="2" t="e">
        <f t="shared" ca="1" si="39"/>
        <v>#NAME?</v>
      </c>
      <c r="CD6" s="2" t="e">
        <f ca="1"/>
        <v>#NAME?</v>
      </c>
      <c r="CE6" s="2" t="e">
        <f t="shared" ca="1" si="40"/>
        <v>#NAME?</v>
      </c>
      <c r="CF6" s="2" t="e">
        <f ca="1"/>
        <v>#NAME?</v>
      </c>
      <c r="CG6" s="2" t="e">
        <f t="shared" ca="1" si="41"/>
        <v>#NAME?</v>
      </c>
      <c r="CH6" s="2" t="e">
        <f ca="1"/>
        <v>#NAME?</v>
      </c>
      <c r="CI6" s="2" t="e">
        <f t="shared" ca="1" si="42"/>
        <v>#NAME?</v>
      </c>
      <c r="CJ6" s="2" t="e">
        <f ca="1"/>
        <v>#NAME?</v>
      </c>
      <c r="CK6" s="2" t="e">
        <f t="shared" ca="1" si="43"/>
        <v>#NAME?</v>
      </c>
      <c r="CL6" s="2" t="e">
        <f ca="1"/>
        <v>#NAME?</v>
      </c>
      <c r="CM6" s="2" t="e">
        <f t="shared" ca="1" si="44"/>
        <v>#NAME?</v>
      </c>
      <c r="CN6" s="2" t="e">
        <f ca="1"/>
        <v>#NAME?</v>
      </c>
      <c r="CO6" s="2" t="e">
        <f t="shared" ca="1" si="45"/>
        <v>#NAME?</v>
      </c>
      <c r="CP6" s="2" t="e">
        <f ca="1"/>
        <v>#NAME?</v>
      </c>
      <c r="CQ6" s="2" t="e">
        <f t="shared" ca="1" si="46"/>
        <v>#NAME?</v>
      </c>
    </row>
    <row r="7" spans="1:95">
      <c r="A7" s="7" t="e">
        <f ca="1"/>
        <v>#NAME?</v>
      </c>
      <c r="B7" s="2" t="e">
        <f ca="1"/>
        <v>#NAME?</v>
      </c>
      <c r="C7" s="2" t="e">
        <f t="shared" ca="1" si="0"/>
        <v>#NAME?</v>
      </c>
      <c r="D7" s="2" t="e">
        <f ca="1"/>
        <v>#NAME?</v>
      </c>
      <c r="E7" s="2" t="e">
        <f t="shared" ca="1" si="1"/>
        <v>#NAME?</v>
      </c>
      <c r="F7" s="2" t="e">
        <f ca="1"/>
        <v>#NAME?</v>
      </c>
      <c r="G7" s="2" t="e">
        <f t="shared" ca="1" si="2"/>
        <v>#NAME?</v>
      </c>
      <c r="H7" s="2" t="e">
        <f ca="1"/>
        <v>#NAME?</v>
      </c>
      <c r="I7" s="2" t="e">
        <f t="shared" ca="1" si="3"/>
        <v>#NAME?</v>
      </c>
      <c r="J7" s="2" t="e">
        <f ca="1"/>
        <v>#NAME?</v>
      </c>
      <c r="K7" s="2" t="e">
        <f t="shared" ca="1" si="4"/>
        <v>#NAME?</v>
      </c>
      <c r="L7" s="2" t="e">
        <f ca="1"/>
        <v>#NAME?</v>
      </c>
      <c r="M7" s="2" t="e">
        <f t="shared" ca="1" si="5"/>
        <v>#NAME?</v>
      </c>
      <c r="N7" s="2" t="e">
        <f ca="1"/>
        <v>#NAME?</v>
      </c>
      <c r="O7" s="2" t="e">
        <f t="shared" ca="1" si="6"/>
        <v>#NAME?</v>
      </c>
      <c r="P7" s="2" t="e">
        <f ca="1"/>
        <v>#NAME?</v>
      </c>
      <c r="Q7" s="2" t="e">
        <f t="shared" ca="1" si="7"/>
        <v>#NAME?</v>
      </c>
      <c r="R7" s="2" t="e">
        <f ca="1"/>
        <v>#NAME?</v>
      </c>
      <c r="S7" s="2" t="e">
        <f t="shared" ca="1" si="8"/>
        <v>#NAME?</v>
      </c>
      <c r="T7" s="2" t="e">
        <f ca="1"/>
        <v>#NAME?</v>
      </c>
      <c r="U7" s="2" t="e">
        <f t="shared" ca="1" si="9"/>
        <v>#NAME?</v>
      </c>
      <c r="V7" s="2" t="e">
        <f ca="1"/>
        <v>#NAME?</v>
      </c>
      <c r="W7" s="2" t="e">
        <f t="shared" ca="1" si="10"/>
        <v>#NAME?</v>
      </c>
      <c r="X7" s="2" t="e">
        <f ca="1"/>
        <v>#NAME?</v>
      </c>
      <c r="Y7" s="2" t="e">
        <f t="shared" ca="1" si="11"/>
        <v>#NAME?</v>
      </c>
      <c r="Z7" s="2" t="e">
        <f ca="1"/>
        <v>#NAME?</v>
      </c>
      <c r="AA7" s="2" t="e">
        <f t="shared" ca="1" si="12"/>
        <v>#NAME?</v>
      </c>
      <c r="AB7" s="2" t="e">
        <f ca="1"/>
        <v>#NAME?</v>
      </c>
      <c r="AC7" s="2" t="e">
        <f t="shared" ca="1" si="13"/>
        <v>#NAME?</v>
      </c>
      <c r="AD7" s="2" t="e">
        <f ca="1"/>
        <v>#NAME?</v>
      </c>
      <c r="AE7" s="2" t="e">
        <f t="shared" ca="1" si="14"/>
        <v>#NAME?</v>
      </c>
      <c r="AF7" s="2" t="e">
        <f ca="1"/>
        <v>#NAME?</v>
      </c>
      <c r="AG7" s="2" t="e">
        <f t="shared" ca="1" si="15"/>
        <v>#NAME?</v>
      </c>
      <c r="AH7" s="2" t="e">
        <f ca="1"/>
        <v>#NAME?</v>
      </c>
      <c r="AI7" s="2" t="e">
        <f t="shared" ca="1" si="16"/>
        <v>#NAME?</v>
      </c>
      <c r="AJ7" s="2" t="e">
        <f ca="1"/>
        <v>#NAME?</v>
      </c>
      <c r="AK7" s="2" t="e">
        <f t="shared" ca="1" si="17"/>
        <v>#NAME?</v>
      </c>
      <c r="AL7" s="2" t="e">
        <f ca="1"/>
        <v>#NAME?</v>
      </c>
      <c r="AM7" s="2" t="e">
        <f t="shared" ca="1" si="18"/>
        <v>#NAME?</v>
      </c>
      <c r="AN7" s="2" t="e">
        <f ca="1"/>
        <v>#NAME?</v>
      </c>
      <c r="AO7" s="2" t="e">
        <f t="shared" ca="1" si="19"/>
        <v>#NAME?</v>
      </c>
      <c r="AP7" s="2" t="e">
        <f ca="1"/>
        <v>#NAME?</v>
      </c>
      <c r="AQ7" s="2" t="e">
        <f t="shared" ca="1" si="20"/>
        <v>#NAME?</v>
      </c>
      <c r="AR7" s="2" t="e">
        <f ca="1"/>
        <v>#NAME?</v>
      </c>
      <c r="AS7" s="2" t="e">
        <f t="shared" ca="1" si="21"/>
        <v>#NAME?</v>
      </c>
      <c r="AT7" s="2" t="e">
        <f ca="1"/>
        <v>#NAME?</v>
      </c>
      <c r="AU7" s="2" t="e">
        <f t="shared" ca="1" si="22"/>
        <v>#NAME?</v>
      </c>
      <c r="AV7" s="2" t="e">
        <f ca="1"/>
        <v>#NAME?</v>
      </c>
      <c r="AW7" s="2" t="e">
        <f t="shared" ca="1" si="23"/>
        <v>#NAME?</v>
      </c>
      <c r="AX7" s="2" t="e">
        <f ca="1"/>
        <v>#NAME?</v>
      </c>
      <c r="AY7" s="2" t="e">
        <f t="shared" ca="1" si="24"/>
        <v>#NAME?</v>
      </c>
      <c r="AZ7" s="2" t="e">
        <f ca="1"/>
        <v>#NAME?</v>
      </c>
      <c r="BA7" s="2" t="e">
        <f t="shared" ca="1" si="25"/>
        <v>#NAME?</v>
      </c>
      <c r="BB7" s="2" t="e">
        <f ca="1"/>
        <v>#NAME?</v>
      </c>
      <c r="BC7" s="2" t="e">
        <f t="shared" ca="1" si="26"/>
        <v>#NAME?</v>
      </c>
      <c r="BD7" s="2" t="e">
        <f ca="1"/>
        <v>#NAME?</v>
      </c>
      <c r="BE7" s="2" t="e">
        <f t="shared" ca="1" si="27"/>
        <v>#NAME?</v>
      </c>
      <c r="BF7" s="2" t="e">
        <f ca="1"/>
        <v>#NAME?</v>
      </c>
      <c r="BG7" s="2" t="e">
        <f t="shared" ca="1" si="28"/>
        <v>#NAME?</v>
      </c>
      <c r="BH7" s="2" t="e">
        <f ca="1"/>
        <v>#NAME?</v>
      </c>
      <c r="BI7" s="2" t="e">
        <f t="shared" ca="1" si="29"/>
        <v>#NAME?</v>
      </c>
      <c r="BJ7" s="2" t="e">
        <f ca="1"/>
        <v>#NAME?</v>
      </c>
      <c r="BK7" s="2" t="e">
        <f t="shared" ca="1" si="30"/>
        <v>#NAME?</v>
      </c>
      <c r="BL7" s="2" t="e">
        <f ca="1"/>
        <v>#NAME?</v>
      </c>
      <c r="BM7" s="2" t="e">
        <f t="shared" ca="1" si="31"/>
        <v>#NAME?</v>
      </c>
      <c r="BN7" s="2" t="e">
        <f ca="1"/>
        <v>#NAME?</v>
      </c>
      <c r="BO7" s="2" t="e">
        <f t="shared" ca="1" si="32"/>
        <v>#NAME?</v>
      </c>
      <c r="BP7" s="2" t="e">
        <f ca="1"/>
        <v>#NAME?</v>
      </c>
      <c r="BQ7" s="2" t="e">
        <f t="shared" ca="1" si="33"/>
        <v>#NAME?</v>
      </c>
      <c r="BR7" s="2" t="e">
        <f ca="1"/>
        <v>#NAME?</v>
      </c>
      <c r="BS7" s="2" t="e">
        <f t="shared" ca="1" si="34"/>
        <v>#NAME?</v>
      </c>
      <c r="BT7" s="2" t="e">
        <f ca="1"/>
        <v>#NAME?</v>
      </c>
      <c r="BU7" s="2" t="e">
        <f t="shared" ca="1" si="35"/>
        <v>#NAME?</v>
      </c>
      <c r="BV7" s="2" t="e">
        <f ca="1"/>
        <v>#NAME?</v>
      </c>
      <c r="BW7" s="2" t="e">
        <f t="shared" ca="1" si="36"/>
        <v>#NAME?</v>
      </c>
      <c r="BX7" s="2" t="e">
        <f ca="1"/>
        <v>#NAME?</v>
      </c>
      <c r="BY7" s="2" t="e">
        <f t="shared" ca="1" si="37"/>
        <v>#NAME?</v>
      </c>
      <c r="BZ7" s="2" t="e">
        <f ca="1"/>
        <v>#NAME?</v>
      </c>
      <c r="CA7" s="2" t="e">
        <f t="shared" ca="1" si="38"/>
        <v>#NAME?</v>
      </c>
      <c r="CB7" s="2" t="e">
        <f ca="1"/>
        <v>#NAME?</v>
      </c>
      <c r="CC7" s="2" t="e">
        <f t="shared" ca="1" si="39"/>
        <v>#NAME?</v>
      </c>
      <c r="CD7" s="2" t="e">
        <f ca="1"/>
        <v>#NAME?</v>
      </c>
      <c r="CE7" s="2" t="e">
        <f t="shared" ca="1" si="40"/>
        <v>#NAME?</v>
      </c>
      <c r="CF7" s="2" t="e">
        <f ca="1"/>
        <v>#NAME?</v>
      </c>
      <c r="CG7" s="2" t="e">
        <f t="shared" ca="1" si="41"/>
        <v>#NAME?</v>
      </c>
      <c r="CH7" s="2" t="e">
        <f ca="1"/>
        <v>#NAME?</v>
      </c>
      <c r="CI7" s="2" t="e">
        <f t="shared" ca="1" si="42"/>
        <v>#NAME?</v>
      </c>
      <c r="CJ7" s="2" t="e">
        <f ca="1"/>
        <v>#NAME?</v>
      </c>
      <c r="CK7" s="2" t="e">
        <f t="shared" ca="1" si="43"/>
        <v>#NAME?</v>
      </c>
      <c r="CL7" s="2" t="e">
        <f ca="1"/>
        <v>#NAME?</v>
      </c>
      <c r="CM7" s="2" t="e">
        <f t="shared" ca="1" si="44"/>
        <v>#NAME?</v>
      </c>
      <c r="CN7" s="2" t="e">
        <f ca="1"/>
        <v>#NAME?</v>
      </c>
      <c r="CO7" s="2" t="e">
        <f t="shared" ca="1" si="45"/>
        <v>#NAME?</v>
      </c>
      <c r="CP7" s="2" t="e">
        <f ca="1"/>
        <v>#NAME?</v>
      </c>
      <c r="CQ7" s="2" t="e">
        <f t="shared" ca="1" si="46"/>
        <v>#NAME?</v>
      </c>
    </row>
    <row r="8" spans="1:95">
      <c r="A8" s="7" t="e">
        <f ca="1"/>
        <v>#NAME?</v>
      </c>
      <c r="B8" s="2" t="e">
        <f ca="1"/>
        <v>#NAME?</v>
      </c>
      <c r="C8" s="2" t="e">
        <f t="shared" ca="1" si="0"/>
        <v>#NAME?</v>
      </c>
      <c r="D8" s="2" t="e">
        <f ca="1"/>
        <v>#NAME?</v>
      </c>
      <c r="E8" s="2" t="e">
        <f t="shared" ca="1" si="1"/>
        <v>#NAME?</v>
      </c>
      <c r="F8" s="2" t="e">
        <f ca="1"/>
        <v>#NAME?</v>
      </c>
      <c r="G8" s="2" t="e">
        <f t="shared" ca="1" si="2"/>
        <v>#NAME?</v>
      </c>
      <c r="H8" s="2" t="e">
        <f ca="1"/>
        <v>#NAME?</v>
      </c>
      <c r="I8" s="2" t="e">
        <f t="shared" ca="1" si="3"/>
        <v>#NAME?</v>
      </c>
      <c r="J8" s="2" t="e">
        <f ca="1"/>
        <v>#NAME?</v>
      </c>
      <c r="K8" s="2" t="e">
        <f t="shared" ca="1" si="4"/>
        <v>#NAME?</v>
      </c>
      <c r="L8" s="2" t="e">
        <f ca="1"/>
        <v>#NAME?</v>
      </c>
      <c r="M8" s="2" t="e">
        <f t="shared" ca="1" si="5"/>
        <v>#NAME?</v>
      </c>
      <c r="N8" s="2" t="e">
        <f ca="1"/>
        <v>#NAME?</v>
      </c>
      <c r="O8" s="2" t="e">
        <f t="shared" ca="1" si="6"/>
        <v>#NAME?</v>
      </c>
      <c r="P8" s="2" t="e">
        <f ca="1"/>
        <v>#NAME?</v>
      </c>
      <c r="Q8" s="2" t="e">
        <f t="shared" ca="1" si="7"/>
        <v>#NAME?</v>
      </c>
      <c r="R8" s="2" t="e">
        <f ca="1"/>
        <v>#NAME?</v>
      </c>
      <c r="S8" s="2" t="e">
        <f t="shared" ca="1" si="8"/>
        <v>#NAME?</v>
      </c>
      <c r="T8" s="2" t="e">
        <f ca="1"/>
        <v>#NAME?</v>
      </c>
      <c r="U8" s="2" t="e">
        <f t="shared" ca="1" si="9"/>
        <v>#NAME?</v>
      </c>
      <c r="V8" s="2" t="e">
        <f ca="1"/>
        <v>#NAME?</v>
      </c>
      <c r="W8" s="2" t="e">
        <f t="shared" ca="1" si="10"/>
        <v>#NAME?</v>
      </c>
      <c r="X8" s="2" t="e">
        <f ca="1"/>
        <v>#NAME?</v>
      </c>
      <c r="Y8" s="2" t="e">
        <f t="shared" ca="1" si="11"/>
        <v>#NAME?</v>
      </c>
      <c r="Z8" s="2" t="e">
        <f ca="1"/>
        <v>#NAME?</v>
      </c>
      <c r="AA8" s="2" t="e">
        <f t="shared" ca="1" si="12"/>
        <v>#NAME?</v>
      </c>
      <c r="AB8" s="2" t="e">
        <f ca="1"/>
        <v>#NAME?</v>
      </c>
      <c r="AC8" s="2" t="e">
        <f t="shared" ca="1" si="13"/>
        <v>#NAME?</v>
      </c>
      <c r="AD8" s="2" t="e">
        <f ca="1"/>
        <v>#NAME?</v>
      </c>
      <c r="AE8" s="2" t="e">
        <f t="shared" ca="1" si="14"/>
        <v>#NAME?</v>
      </c>
      <c r="AF8" s="2" t="e">
        <f ca="1"/>
        <v>#NAME?</v>
      </c>
      <c r="AG8" s="2" t="e">
        <f t="shared" ca="1" si="15"/>
        <v>#NAME?</v>
      </c>
      <c r="AH8" s="2" t="e">
        <f ca="1"/>
        <v>#NAME?</v>
      </c>
      <c r="AI8" s="2" t="e">
        <f t="shared" ca="1" si="16"/>
        <v>#NAME?</v>
      </c>
      <c r="AJ8" s="2" t="e">
        <f ca="1"/>
        <v>#NAME?</v>
      </c>
      <c r="AK8" s="2" t="e">
        <f t="shared" ca="1" si="17"/>
        <v>#NAME?</v>
      </c>
      <c r="AL8" s="2" t="e">
        <f ca="1"/>
        <v>#NAME?</v>
      </c>
      <c r="AM8" s="2" t="e">
        <f t="shared" ca="1" si="18"/>
        <v>#NAME?</v>
      </c>
      <c r="AN8" s="2" t="e">
        <f ca="1"/>
        <v>#NAME?</v>
      </c>
      <c r="AO8" s="2" t="e">
        <f t="shared" ca="1" si="19"/>
        <v>#NAME?</v>
      </c>
      <c r="AP8" s="2" t="e">
        <f ca="1"/>
        <v>#NAME?</v>
      </c>
      <c r="AQ8" s="2" t="e">
        <f t="shared" ca="1" si="20"/>
        <v>#NAME?</v>
      </c>
      <c r="AR8" s="2" t="e">
        <f ca="1"/>
        <v>#NAME?</v>
      </c>
      <c r="AS8" s="2" t="e">
        <f t="shared" ca="1" si="21"/>
        <v>#NAME?</v>
      </c>
      <c r="AT8" s="2" t="e">
        <f ca="1"/>
        <v>#NAME?</v>
      </c>
      <c r="AU8" s="2" t="e">
        <f t="shared" ca="1" si="22"/>
        <v>#NAME?</v>
      </c>
      <c r="AV8" s="2" t="e">
        <f ca="1"/>
        <v>#NAME?</v>
      </c>
      <c r="AW8" s="2" t="e">
        <f t="shared" ca="1" si="23"/>
        <v>#NAME?</v>
      </c>
      <c r="AX8" s="2" t="e">
        <f ca="1"/>
        <v>#NAME?</v>
      </c>
      <c r="AY8" s="2" t="e">
        <f t="shared" ca="1" si="24"/>
        <v>#NAME?</v>
      </c>
      <c r="AZ8" s="2" t="e">
        <f ca="1"/>
        <v>#NAME?</v>
      </c>
      <c r="BA8" s="2" t="e">
        <f t="shared" ca="1" si="25"/>
        <v>#NAME?</v>
      </c>
      <c r="BB8" s="2" t="e">
        <f ca="1"/>
        <v>#NAME?</v>
      </c>
      <c r="BC8" s="2" t="e">
        <f t="shared" ca="1" si="26"/>
        <v>#NAME?</v>
      </c>
      <c r="BD8" s="2" t="e">
        <f ca="1"/>
        <v>#NAME?</v>
      </c>
      <c r="BE8" s="2" t="e">
        <f t="shared" ca="1" si="27"/>
        <v>#NAME?</v>
      </c>
      <c r="BF8" s="2" t="e">
        <f ca="1"/>
        <v>#NAME?</v>
      </c>
      <c r="BG8" s="2" t="e">
        <f t="shared" ca="1" si="28"/>
        <v>#NAME?</v>
      </c>
      <c r="BH8" s="2" t="e">
        <f ca="1"/>
        <v>#NAME?</v>
      </c>
      <c r="BI8" s="2" t="e">
        <f t="shared" ca="1" si="29"/>
        <v>#NAME?</v>
      </c>
      <c r="BJ8" s="2" t="e">
        <f ca="1"/>
        <v>#NAME?</v>
      </c>
      <c r="BK8" s="2" t="e">
        <f t="shared" ca="1" si="30"/>
        <v>#NAME?</v>
      </c>
      <c r="BL8" s="2" t="e">
        <f ca="1"/>
        <v>#NAME?</v>
      </c>
      <c r="BM8" s="2" t="e">
        <f t="shared" ca="1" si="31"/>
        <v>#NAME?</v>
      </c>
      <c r="BN8" s="2" t="e">
        <f ca="1"/>
        <v>#NAME?</v>
      </c>
      <c r="BO8" s="2" t="e">
        <f t="shared" ca="1" si="32"/>
        <v>#NAME?</v>
      </c>
      <c r="BP8" s="2" t="e">
        <f ca="1"/>
        <v>#NAME?</v>
      </c>
      <c r="BQ8" s="2" t="e">
        <f t="shared" ca="1" si="33"/>
        <v>#NAME?</v>
      </c>
      <c r="BR8" s="2" t="e">
        <f ca="1"/>
        <v>#NAME?</v>
      </c>
      <c r="BS8" s="2" t="e">
        <f t="shared" ca="1" si="34"/>
        <v>#NAME?</v>
      </c>
      <c r="BT8" s="2" t="e">
        <f ca="1"/>
        <v>#NAME?</v>
      </c>
      <c r="BU8" s="2" t="e">
        <f t="shared" ca="1" si="35"/>
        <v>#NAME?</v>
      </c>
      <c r="BV8" s="2" t="e">
        <f ca="1"/>
        <v>#NAME?</v>
      </c>
      <c r="BW8" s="2" t="e">
        <f t="shared" ca="1" si="36"/>
        <v>#NAME?</v>
      </c>
      <c r="BX8" s="2" t="e">
        <f ca="1"/>
        <v>#NAME?</v>
      </c>
      <c r="BY8" s="2" t="e">
        <f t="shared" ca="1" si="37"/>
        <v>#NAME?</v>
      </c>
      <c r="BZ8" s="2" t="e">
        <f ca="1"/>
        <v>#NAME?</v>
      </c>
      <c r="CA8" s="2" t="e">
        <f t="shared" ca="1" si="38"/>
        <v>#NAME?</v>
      </c>
      <c r="CB8" s="2" t="e">
        <f ca="1"/>
        <v>#NAME?</v>
      </c>
      <c r="CC8" s="2" t="e">
        <f t="shared" ca="1" si="39"/>
        <v>#NAME?</v>
      </c>
      <c r="CD8" s="2" t="e">
        <f ca="1"/>
        <v>#NAME?</v>
      </c>
      <c r="CE8" s="2" t="e">
        <f t="shared" ca="1" si="40"/>
        <v>#NAME?</v>
      </c>
      <c r="CF8" s="2" t="e">
        <f ca="1"/>
        <v>#NAME?</v>
      </c>
      <c r="CG8" s="2" t="e">
        <f t="shared" ca="1" si="41"/>
        <v>#NAME?</v>
      </c>
      <c r="CH8" s="2" t="e">
        <f ca="1"/>
        <v>#NAME?</v>
      </c>
      <c r="CI8" s="2" t="e">
        <f t="shared" ca="1" si="42"/>
        <v>#NAME?</v>
      </c>
      <c r="CJ8" s="2" t="e">
        <f ca="1"/>
        <v>#NAME?</v>
      </c>
      <c r="CK8" s="2" t="e">
        <f t="shared" ca="1" si="43"/>
        <v>#NAME?</v>
      </c>
      <c r="CL8" s="2" t="e">
        <f ca="1"/>
        <v>#NAME?</v>
      </c>
      <c r="CM8" s="2" t="e">
        <f t="shared" ca="1" si="44"/>
        <v>#NAME?</v>
      </c>
      <c r="CN8" s="2" t="e">
        <f ca="1"/>
        <v>#NAME?</v>
      </c>
      <c r="CO8" s="2" t="e">
        <f t="shared" ca="1" si="45"/>
        <v>#NAME?</v>
      </c>
      <c r="CP8" s="2" t="e">
        <f ca="1"/>
        <v>#NAME?</v>
      </c>
      <c r="CQ8" s="2" t="e">
        <f t="shared" ca="1" si="46"/>
        <v>#NAME?</v>
      </c>
    </row>
    <row r="9" spans="1:95">
      <c r="A9" s="7" t="e">
        <f ca="1"/>
        <v>#NAME?</v>
      </c>
      <c r="B9" s="2" t="e">
        <f ca="1"/>
        <v>#NAME?</v>
      </c>
      <c r="C9" s="2" t="e">
        <f t="shared" ca="1" si="0"/>
        <v>#NAME?</v>
      </c>
      <c r="D9" s="2" t="e">
        <f ca="1"/>
        <v>#NAME?</v>
      </c>
      <c r="E9" s="2" t="e">
        <f t="shared" ca="1" si="1"/>
        <v>#NAME?</v>
      </c>
      <c r="F9" s="2" t="e">
        <f ca="1"/>
        <v>#NAME?</v>
      </c>
      <c r="G9" s="2" t="e">
        <f t="shared" ca="1" si="2"/>
        <v>#NAME?</v>
      </c>
      <c r="H9" s="2" t="e">
        <f ca="1"/>
        <v>#NAME?</v>
      </c>
      <c r="I9" s="2" t="e">
        <f t="shared" ca="1" si="3"/>
        <v>#NAME?</v>
      </c>
      <c r="J9" s="2" t="e">
        <f ca="1"/>
        <v>#NAME?</v>
      </c>
      <c r="K9" s="2" t="e">
        <f t="shared" ca="1" si="4"/>
        <v>#NAME?</v>
      </c>
      <c r="L9" s="2" t="e">
        <f ca="1"/>
        <v>#NAME?</v>
      </c>
      <c r="M9" s="2" t="e">
        <f t="shared" ca="1" si="5"/>
        <v>#NAME?</v>
      </c>
      <c r="N9" s="2" t="e">
        <f ca="1"/>
        <v>#NAME?</v>
      </c>
      <c r="O9" s="2" t="e">
        <f t="shared" ca="1" si="6"/>
        <v>#NAME?</v>
      </c>
      <c r="P9" s="2" t="e">
        <f ca="1"/>
        <v>#NAME?</v>
      </c>
      <c r="Q9" s="2" t="e">
        <f t="shared" ca="1" si="7"/>
        <v>#NAME?</v>
      </c>
      <c r="R9" s="2" t="e">
        <f ca="1"/>
        <v>#NAME?</v>
      </c>
      <c r="S9" s="2" t="e">
        <f t="shared" ca="1" si="8"/>
        <v>#NAME?</v>
      </c>
      <c r="T9" s="2" t="e">
        <f ca="1"/>
        <v>#NAME?</v>
      </c>
      <c r="U9" s="2" t="e">
        <f t="shared" ca="1" si="9"/>
        <v>#NAME?</v>
      </c>
      <c r="V9" s="2" t="e">
        <f ca="1"/>
        <v>#NAME?</v>
      </c>
      <c r="W9" s="2" t="e">
        <f t="shared" ca="1" si="10"/>
        <v>#NAME?</v>
      </c>
      <c r="X9" s="2" t="e">
        <f ca="1"/>
        <v>#NAME?</v>
      </c>
      <c r="Y9" s="2" t="e">
        <f t="shared" ca="1" si="11"/>
        <v>#NAME?</v>
      </c>
      <c r="Z9" s="2" t="e">
        <f ca="1"/>
        <v>#NAME?</v>
      </c>
      <c r="AA9" s="2" t="e">
        <f t="shared" ca="1" si="12"/>
        <v>#NAME?</v>
      </c>
      <c r="AB9" s="2" t="e">
        <f ca="1"/>
        <v>#NAME?</v>
      </c>
      <c r="AC9" s="2" t="e">
        <f t="shared" ca="1" si="13"/>
        <v>#NAME?</v>
      </c>
      <c r="AD9" s="2" t="e">
        <f ca="1"/>
        <v>#NAME?</v>
      </c>
      <c r="AE9" s="2" t="e">
        <f t="shared" ca="1" si="14"/>
        <v>#NAME?</v>
      </c>
      <c r="AF9" s="2" t="e">
        <f ca="1"/>
        <v>#NAME?</v>
      </c>
      <c r="AG9" s="2" t="e">
        <f t="shared" ca="1" si="15"/>
        <v>#NAME?</v>
      </c>
      <c r="AH9" s="2" t="e">
        <f ca="1"/>
        <v>#NAME?</v>
      </c>
      <c r="AI9" s="2" t="e">
        <f t="shared" ca="1" si="16"/>
        <v>#NAME?</v>
      </c>
      <c r="AJ9" s="2" t="e">
        <f ca="1"/>
        <v>#NAME?</v>
      </c>
      <c r="AK9" s="2" t="e">
        <f t="shared" ca="1" si="17"/>
        <v>#NAME?</v>
      </c>
      <c r="AL9" s="2" t="e">
        <f ca="1"/>
        <v>#NAME?</v>
      </c>
      <c r="AM9" s="2" t="e">
        <f t="shared" ca="1" si="18"/>
        <v>#NAME?</v>
      </c>
      <c r="AN9" s="2" t="e">
        <f ca="1"/>
        <v>#NAME?</v>
      </c>
      <c r="AO9" s="2" t="e">
        <f t="shared" ca="1" si="19"/>
        <v>#NAME?</v>
      </c>
      <c r="AP9" s="2" t="e">
        <f ca="1"/>
        <v>#NAME?</v>
      </c>
      <c r="AQ9" s="2" t="e">
        <f t="shared" ca="1" si="20"/>
        <v>#NAME?</v>
      </c>
      <c r="AR9" s="2" t="e">
        <f ca="1"/>
        <v>#NAME?</v>
      </c>
      <c r="AS9" s="2" t="e">
        <f t="shared" ca="1" si="21"/>
        <v>#NAME?</v>
      </c>
      <c r="AT9" s="2" t="e">
        <f ca="1"/>
        <v>#NAME?</v>
      </c>
      <c r="AU9" s="2" t="e">
        <f t="shared" ca="1" si="22"/>
        <v>#NAME?</v>
      </c>
      <c r="AV9" s="2" t="e">
        <f ca="1"/>
        <v>#NAME?</v>
      </c>
      <c r="AW9" s="2" t="e">
        <f t="shared" ca="1" si="23"/>
        <v>#NAME?</v>
      </c>
      <c r="AX9" s="2" t="e">
        <f ca="1"/>
        <v>#NAME?</v>
      </c>
      <c r="AY9" s="2" t="e">
        <f t="shared" ca="1" si="24"/>
        <v>#NAME?</v>
      </c>
      <c r="AZ9" s="2" t="e">
        <f ca="1"/>
        <v>#NAME?</v>
      </c>
      <c r="BA9" s="2" t="e">
        <f t="shared" ca="1" si="25"/>
        <v>#NAME?</v>
      </c>
      <c r="BB9" s="2" t="e">
        <f ca="1"/>
        <v>#NAME?</v>
      </c>
      <c r="BC9" s="2" t="e">
        <f t="shared" ca="1" si="26"/>
        <v>#NAME?</v>
      </c>
      <c r="BD9" s="2" t="e">
        <f ca="1"/>
        <v>#NAME?</v>
      </c>
      <c r="BE9" s="2" t="e">
        <f t="shared" ca="1" si="27"/>
        <v>#NAME?</v>
      </c>
      <c r="BF9" s="2" t="e">
        <f ca="1"/>
        <v>#NAME?</v>
      </c>
      <c r="BG9" s="2" t="e">
        <f t="shared" ca="1" si="28"/>
        <v>#NAME?</v>
      </c>
      <c r="BH9" s="2" t="e">
        <f ca="1"/>
        <v>#NAME?</v>
      </c>
      <c r="BI9" s="2" t="e">
        <f t="shared" ca="1" si="29"/>
        <v>#NAME?</v>
      </c>
      <c r="BJ9" s="2" t="e">
        <f ca="1"/>
        <v>#NAME?</v>
      </c>
      <c r="BK9" s="2" t="e">
        <f t="shared" ca="1" si="30"/>
        <v>#NAME?</v>
      </c>
      <c r="BL9" s="2" t="e">
        <f ca="1"/>
        <v>#NAME?</v>
      </c>
      <c r="BM9" s="2" t="e">
        <f t="shared" ca="1" si="31"/>
        <v>#NAME?</v>
      </c>
      <c r="BN9" s="2" t="e">
        <f ca="1"/>
        <v>#NAME?</v>
      </c>
      <c r="BO9" s="2" t="e">
        <f t="shared" ca="1" si="32"/>
        <v>#NAME?</v>
      </c>
      <c r="BP9" s="2" t="e">
        <f ca="1"/>
        <v>#NAME?</v>
      </c>
      <c r="BQ9" s="2" t="e">
        <f t="shared" ca="1" si="33"/>
        <v>#NAME?</v>
      </c>
      <c r="BR9" s="2" t="e">
        <f ca="1"/>
        <v>#NAME?</v>
      </c>
      <c r="BS9" s="2" t="e">
        <f t="shared" ca="1" si="34"/>
        <v>#NAME?</v>
      </c>
      <c r="BT9" s="2" t="e">
        <f ca="1"/>
        <v>#NAME?</v>
      </c>
      <c r="BU9" s="2" t="e">
        <f t="shared" ca="1" si="35"/>
        <v>#NAME?</v>
      </c>
      <c r="BV9" s="2" t="e">
        <f ca="1"/>
        <v>#NAME?</v>
      </c>
      <c r="BW9" s="2" t="e">
        <f t="shared" ca="1" si="36"/>
        <v>#NAME?</v>
      </c>
      <c r="BX9" s="2" t="e">
        <f ca="1"/>
        <v>#NAME?</v>
      </c>
      <c r="BY9" s="2" t="e">
        <f t="shared" ca="1" si="37"/>
        <v>#NAME?</v>
      </c>
      <c r="BZ9" s="2" t="e">
        <f ca="1"/>
        <v>#NAME?</v>
      </c>
      <c r="CA9" s="2" t="e">
        <f t="shared" ca="1" si="38"/>
        <v>#NAME?</v>
      </c>
      <c r="CB9" s="2" t="e">
        <f ca="1"/>
        <v>#NAME?</v>
      </c>
      <c r="CC9" s="2" t="e">
        <f t="shared" ca="1" si="39"/>
        <v>#NAME?</v>
      </c>
      <c r="CD9" s="2" t="e">
        <f ca="1"/>
        <v>#NAME?</v>
      </c>
      <c r="CE9" s="2" t="e">
        <f t="shared" ca="1" si="40"/>
        <v>#NAME?</v>
      </c>
      <c r="CF9" s="2" t="e">
        <f ca="1"/>
        <v>#NAME?</v>
      </c>
      <c r="CG9" s="2" t="e">
        <f t="shared" ca="1" si="41"/>
        <v>#NAME?</v>
      </c>
      <c r="CH9" s="2" t="e">
        <f ca="1"/>
        <v>#NAME?</v>
      </c>
      <c r="CI9" s="2" t="e">
        <f t="shared" ca="1" si="42"/>
        <v>#NAME?</v>
      </c>
      <c r="CJ9" s="2" t="e">
        <f ca="1"/>
        <v>#NAME?</v>
      </c>
      <c r="CK9" s="2" t="e">
        <f t="shared" ca="1" si="43"/>
        <v>#NAME?</v>
      </c>
      <c r="CL9" s="2" t="e">
        <f ca="1"/>
        <v>#NAME?</v>
      </c>
      <c r="CM9" s="2" t="e">
        <f t="shared" ca="1" si="44"/>
        <v>#NAME?</v>
      </c>
      <c r="CN9" s="2" t="e">
        <f ca="1"/>
        <v>#NAME?</v>
      </c>
      <c r="CO9" s="2" t="e">
        <f t="shared" ca="1" si="45"/>
        <v>#NAME?</v>
      </c>
      <c r="CP9" s="2" t="e">
        <f ca="1"/>
        <v>#NAME?</v>
      </c>
      <c r="CQ9" s="2" t="e">
        <f t="shared" ca="1" si="46"/>
        <v>#NAME?</v>
      </c>
    </row>
    <row r="10" spans="1:95">
      <c r="A10" s="7" t="e">
        <f ca="1"/>
        <v>#NAME?</v>
      </c>
      <c r="B10" s="2" t="e">
        <f ca="1"/>
        <v>#NAME?</v>
      </c>
      <c r="C10" s="2" t="e">
        <f t="shared" ca="1" si="0"/>
        <v>#NAME?</v>
      </c>
      <c r="D10" s="2" t="e">
        <f ca="1"/>
        <v>#NAME?</v>
      </c>
      <c r="E10" s="2" t="e">
        <f t="shared" ca="1" si="1"/>
        <v>#NAME?</v>
      </c>
      <c r="F10" s="2" t="e">
        <f ca="1"/>
        <v>#NAME?</v>
      </c>
      <c r="G10" s="2" t="e">
        <f t="shared" ca="1" si="2"/>
        <v>#NAME?</v>
      </c>
      <c r="H10" s="2" t="e">
        <f ca="1"/>
        <v>#NAME?</v>
      </c>
      <c r="I10" s="2" t="e">
        <f t="shared" ca="1" si="3"/>
        <v>#NAME?</v>
      </c>
      <c r="J10" s="2" t="e">
        <f ca="1"/>
        <v>#NAME?</v>
      </c>
      <c r="K10" s="2" t="e">
        <f t="shared" ca="1" si="4"/>
        <v>#NAME?</v>
      </c>
      <c r="L10" s="2" t="e">
        <f ca="1"/>
        <v>#NAME?</v>
      </c>
      <c r="M10" s="2" t="e">
        <f t="shared" ca="1" si="5"/>
        <v>#NAME?</v>
      </c>
      <c r="N10" s="2" t="e">
        <f ca="1"/>
        <v>#NAME?</v>
      </c>
      <c r="O10" s="2" t="e">
        <f t="shared" ca="1" si="6"/>
        <v>#NAME?</v>
      </c>
      <c r="P10" s="2" t="e">
        <f ca="1"/>
        <v>#NAME?</v>
      </c>
      <c r="Q10" s="2" t="e">
        <f t="shared" ca="1" si="7"/>
        <v>#NAME?</v>
      </c>
      <c r="R10" s="2" t="e">
        <f ca="1"/>
        <v>#NAME?</v>
      </c>
      <c r="S10" s="2" t="e">
        <f t="shared" ca="1" si="8"/>
        <v>#NAME?</v>
      </c>
      <c r="T10" s="2" t="e">
        <f ca="1"/>
        <v>#NAME?</v>
      </c>
      <c r="U10" s="2" t="e">
        <f t="shared" ca="1" si="9"/>
        <v>#NAME?</v>
      </c>
      <c r="V10" s="2" t="e">
        <f ca="1"/>
        <v>#NAME?</v>
      </c>
      <c r="W10" s="2" t="e">
        <f t="shared" ca="1" si="10"/>
        <v>#NAME?</v>
      </c>
      <c r="X10" s="2" t="e">
        <f ca="1"/>
        <v>#NAME?</v>
      </c>
      <c r="Y10" s="2" t="e">
        <f t="shared" ca="1" si="11"/>
        <v>#NAME?</v>
      </c>
      <c r="Z10" s="2" t="e">
        <f ca="1"/>
        <v>#NAME?</v>
      </c>
      <c r="AA10" s="2" t="e">
        <f t="shared" ca="1" si="12"/>
        <v>#NAME?</v>
      </c>
      <c r="AB10" s="2" t="e">
        <f ca="1"/>
        <v>#NAME?</v>
      </c>
      <c r="AC10" s="2" t="e">
        <f t="shared" ca="1" si="13"/>
        <v>#NAME?</v>
      </c>
      <c r="AD10" s="2" t="e">
        <f ca="1"/>
        <v>#NAME?</v>
      </c>
      <c r="AE10" s="2" t="e">
        <f t="shared" ca="1" si="14"/>
        <v>#NAME?</v>
      </c>
      <c r="AF10" s="2" t="e">
        <f ca="1"/>
        <v>#NAME?</v>
      </c>
      <c r="AG10" s="2" t="e">
        <f t="shared" ca="1" si="15"/>
        <v>#NAME?</v>
      </c>
      <c r="AH10" s="2" t="e">
        <f ca="1"/>
        <v>#NAME?</v>
      </c>
      <c r="AI10" s="2" t="e">
        <f t="shared" ca="1" si="16"/>
        <v>#NAME?</v>
      </c>
      <c r="AJ10" s="2" t="e">
        <f ca="1"/>
        <v>#NAME?</v>
      </c>
      <c r="AK10" s="2" t="e">
        <f t="shared" ca="1" si="17"/>
        <v>#NAME?</v>
      </c>
      <c r="AL10" s="2" t="e">
        <f ca="1"/>
        <v>#NAME?</v>
      </c>
      <c r="AM10" s="2" t="e">
        <f t="shared" ca="1" si="18"/>
        <v>#NAME?</v>
      </c>
      <c r="AN10" s="2" t="e">
        <f ca="1"/>
        <v>#NAME?</v>
      </c>
      <c r="AO10" s="2" t="e">
        <f t="shared" ca="1" si="19"/>
        <v>#NAME?</v>
      </c>
      <c r="AP10" s="2" t="e">
        <f ca="1"/>
        <v>#NAME?</v>
      </c>
      <c r="AQ10" s="2" t="e">
        <f t="shared" ca="1" si="20"/>
        <v>#NAME?</v>
      </c>
      <c r="AR10" s="2" t="e">
        <f ca="1"/>
        <v>#NAME?</v>
      </c>
      <c r="AS10" s="2" t="e">
        <f t="shared" ca="1" si="21"/>
        <v>#NAME?</v>
      </c>
      <c r="AT10" s="2" t="e">
        <f ca="1"/>
        <v>#NAME?</v>
      </c>
      <c r="AU10" s="2" t="e">
        <f t="shared" ca="1" si="22"/>
        <v>#NAME?</v>
      </c>
      <c r="AV10" s="2" t="e">
        <f ca="1"/>
        <v>#NAME?</v>
      </c>
      <c r="AW10" s="2" t="e">
        <f t="shared" ca="1" si="23"/>
        <v>#NAME?</v>
      </c>
      <c r="AX10" s="2" t="e">
        <f ca="1"/>
        <v>#NAME?</v>
      </c>
      <c r="AY10" s="2" t="e">
        <f t="shared" ca="1" si="24"/>
        <v>#NAME?</v>
      </c>
      <c r="AZ10" s="2" t="e">
        <f ca="1"/>
        <v>#NAME?</v>
      </c>
      <c r="BA10" s="2" t="e">
        <f t="shared" ca="1" si="25"/>
        <v>#NAME?</v>
      </c>
      <c r="BB10" s="2" t="e">
        <f ca="1"/>
        <v>#NAME?</v>
      </c>
      <c r="BC10" s="2" t="e">
        <f t="shared" ca="1" si="26"/>
        <v>#NAME?</v>
      </c>
      <c r="BD10" s="2" t="e">
        <f ca="1"/>
        <v>#NAME?</v>
      </c>
      <c r="BE10" s="2" t="e">
        <f t="shared" ca="1" si="27"/>
        <v>#NAME?</v>
      </c>
      <c r="BF10" s="2" t="e">
        <f ca="1"/>
        <v>#NAME?</v>
      </c>
      <c r="BG10" s="2" t="e">
        <f t="shared" ca="1" si="28"/>
        <v>#NAME?</v>
      </c>
      <c r="BH10" s="2" t="e">
        <f ca="1"/>
        <v>#NAME?</v>
      </c>
      <c r="BI10" s="2" t="e">
        <f t="shared" ca="1" si="29"/>
        <v>#NAME?</v>
      </c>
      <c r="BJ10" s="2" t="e">
        <f ca="1"/>
        <v>#NAME?</v>
      </c>
      <c r="BK10" s="2" t="e">
        <f t="shared" ca="1" si="30"/>
        <v>#NAME?</v>
      </c>
      <c r="BL10" s="2" t="e">
        <f ca="1"/>
        <v>#NAME?</v>
      </c>
      <c r="BM10" s="2" t="e">
        <f t="shared" ca="1" si="31"/>
        <v>#NAME?</v>
      </c>
      <c r="BN10" s="2" t="e">
        <f ca="1"/>
        <v>#NAME?</v>
      </c>
      <c r="BO10" s="2" t="e">
        <f t="shared" ca="1" si="32"/>
        <v>#NAME?</v>
      </c>
      <c r="BP10" s="2" t="e">
        <f ca="1"/>
        <v>#NAME?</v>
      </c>
      <c r="BQ10" s="2" t="e">
        <f t="shared" ca="1" si="33"/>
        <v>#NAME?</v>
      </c>
      <c r="BR10" s="2" t="e">
        <f ca="1"/>
        <v>#NAME?</v>
      </c>
      <c r="BS10" s="2" t="e">
        <f t="shared" ca="1" si="34"/>
        <v>#NAME?</v>
      </c>
      <c r="BT10" s="2" t="e">
        <f ca="1"/>
        <v>#NAME?</v>
      </c>
      <c r="BU10" s="2" t="e">
        <f t="shared" ca="1" si="35"/>
        <v>#NAME?</v>
      </c>
      <c r="BV10" s="2" t="e">
        <f ca="1"/>
        <v>#NAME?</v>
      </c>
      <c r="BW10" s="2" t="e">
        <f t="shared" ca="1" si="36"/>
        <v>#NAME?</v>
      </c>
      <c r="BX10" s="2" t="e">
        <f ca="1"/>
        <v>#NAME?</v>
      </c>
      <c r="BY10" s="2" t="e">
        <f t="shared" ca="1" si="37"/>
        <v>#NAME?</v>
      </c>
      <c r="BZ10" s="2" t="e">
        <f ca="1"/>
        <v>#NAME?</v>
      </c>
      <c r="CA10" s="2" t="e">
        <f t="shared" ca="1" si="38"/>
        <v>#NAME?</v>
      </c>
      <c r="CB10" s="2" t="e">
        <f ca="1"/>
        <v>#NAME?</v>
      </c>
      <c r="CC10" s="2" t="e">
        <f t="shared" ca="1" si="39"/>
        <v>#NAME?</v>
      </c>
      <c r="CD10" s="2" t="e">
        <f ca="1"/>
        <v>#NAME?</v>
      </c>
      <c r="CE10" s="2" t="e">
        <f t="shared" ca="1" si="40"/>
        <v>#NAME?</v>
      </c>
      <c r="CF10" s="2" t="e">
        <f ca="1"/>
        <v>#NAME?</v>
      </c>
      <c r="CG10" s="2" t="e">
        <f t="shared" ca="1" si="41"/>
        <v>#NAME?</v>
      </c>
      <c r="CH10" s="2" t="e">
        <f ca="1"/>
        <v>#NAME?</v>
      </c>
      <c r="CI10" s="2" t="e">
        <f t="shared" ca="1" si="42"/>
        <v>#NAME?</v>
      </c>
      <c r="CJ10" s="2" t="e">
        <f ca="1"/>
        <v>#NAME?</v>
      </c>
      <c r="CK10" s="2" t="e">
        <f t="shared" ca="1" si="43"/>
        <v>#NAME?</v>
      </c>
      <c r="CL10" s="2" t="e">
        <f ca="1"/>
        <v>#NAME?</v>
      </c>
      <c r="CM10" s="2" t="e">
        <f t="shared" ca="1" si="44"/>
        <v>#NAME?</v>
      </c>
      <c r="CN10" s="2" t="e">
        <f ca="1"/>
        <v>#NAME?</v>
      </c>
      <c r="CO10" s="2" t="e">
        <f t="shared" ca="1" si="45"/>
        <v>#NAME?</v>
      </c>
      <c r="CP10" s="2" t="e">
        <f ca="1"/>
        <v>#NAME?</v>
      </c>
      <c r="CQ10" s="2" t="e">
        <f t="shared" ca="1" si="46"/>
        <v>#NAME?</v>
      </c>
    </row>
    <row r="11" spans="1:95">
      <c r="A11" s="7" t="e">
        <f ca="1"/>
        <v>#NAME?</v>
      </c>
      <c r="B11" s="2" t="e">
        <f ca="1"/>
        <v>#NAME?</v>
      </c>
      <c r="C11" s="2" t="e">
        <f t="shared" ca="1" si="0"/>
        <v>#NAME?</v>
      </c>
      <c r="D11" s="2" t="e">
        <f ca="1"/>
        <v>#NAME?</v>
      </c>
      <c r="E11" s="2" t="e">
        <f t="shared" ca="1" si="1"/>
        <v>#NAME?</v>
      </c>
      <c r="F11" s="2" t="e">
        <f ca="1"/>
        <v>#NAME?</v>
      </c>
      <c r="G11" s="2" t="e">
        <f t="shared" ca="1" si="2"/>
        <v>#NAME?</v>
      </c>
      <c r="H11" s="2" t="e">
        <f ca="1"/>
        <v>#NAME?</v>
      </c>
      <c r="I11" s="2" t="e">
        <f t="shared" ca="1" si="3"/>
        <v>#NAME?</v>
      </c>
      <c r="J11" s="2" t="e">
        <f ca="1"/>
        <v>#NAME?</v>
      </c>
      <c r="K11" s="2" t="e">
        <f t="shared" ca="1" si="4"/>
        <v>#NAME?</v>
      </c>
      <c r="L11" s="2" t="e">
        <f ca="1"/>
        <v>#NAME?</v>
      </c>
      <c r="M11" s="2" t="e">
        <f t="shared" ca="1" si="5"/>
        <v>#NAME?</v>
      </c>
      <c r="N11" s="2" t="e">
        <f ca="1"/>
        <v>#NAME?</v>
      </c>
      <c r="O11" s="2" t="e">
        <f t="shared" ca="1" si="6"/>
        <v>#NAME?</v>
      </c>
      <c r="P11" s="2" t="e">
        <f ca="1"/>
        <v>#NAME?</v>
      </c>
      <c r="Q11" s="2" t="e">
        <f t="shared" ca="1" si="7"/>
        <v>#NAME?</v>
      </c>
      <c r="R11" s="2" t="e">
        <f ca="1"/>
        <v>#NAME?</v>
      </c>
      <c r="S11" s="2" t="e">
        <f t="shared" ca="1" si="8"/>
        <v>#NAME?</v>
      </c>
      <c r="T11" s="2" t="e">
        <f ca="1"/>
        <v>#NAME?</v>
      </c>
      <c r="U11" s="2" t="e">
        <f t="shared" ca="1" si="9"/>
        <v>#NAME?</v>
      </c>
      <c r="V11" s="2" t="e">
        <f ca="1"/>
        <v>#NAME?</v>
      </c>
      <c r="W11" s="2" t="e">
        <f t="shared" ca="1" si="10"/>
        <v>#NAME?</v>
      </c>
      <c r="X11" s="2" t="e">
        <f ca="1"/>
        <v>#NAME?</v>
      </c>
      <c r="Y11" s="2" t="e">
        <f t="shared" ca="1" si="11"/>
        <v>#NAME?</v>
      </c>
      <c r="Z11" s="2" t="e">
        <f ca="1"/>
        <v>#NAME?</v>
      </c>
      <c r="AA11" s="2" t="e">
        <f t="shared" ca="1" si="12"/>
        <v>#NAME?</v>
      </c>
      <c r="AB11" s="2" t="e">
        <f ca="1"/>
        <v>#NAME?</v>
      </c>
      <c r="AC11" s="2" t="e">
        <f t="shared" ca="1" si="13"/>
        <v>#NAME?</v>
      </c>
      <c r="AD11" s="2" t="e">
        <f ca="1"/>
        <v>#NAME?</v>
      </c>
      <c r="AE11" s="2" t="e">
        <f t="shared" ca="1" si="14"/>
        <v>#NAME?</v>
      </c>
      <c r="AF11" s="2" t="e">
        <f ca="1"/>
        <v>#NAME?</v>
      </c>
      <c r="AG11" s="2" t="e">
        <f t="shared" ca="1" si="15"/>
        <v>#NAME?</v>
      </c>
      <c r="AH11" s="2" t="e">
        <f ca="1"/>
        <v>#NAME?</v>
      </c>
      <c r="AI11" s="2" t="e">
        <f t="shared" ca="1" si="16"/>
        <v>#NAME?</v>
      </c>
      <c r="AJ11" s="2" t="e">
        <f ca="1"/>
        <v>#NAME?</v>
      </c>
      <c r="AK11" s="2" t="e">
        <f t="shared" ca="1" si="17"/>
        <v>#NAME?</v>
      </c>
      <c r="AL11" s="2" t="e">
        <f ca="1"/>
        <v>#NAME?</v>
      </c>
      <c r="AM11" s="2" t="e">
        <f t="shared" ca="1" si="18"/>
        <v>#NAME?</v>
      </c>
      <c r="AN11" s="2" t="e">
        <f ca="1"/>
        <v>#NAME?</v>
      </c>
      <c r="AO11" s="2" t="e">
        <f t="shared" ca="1" si="19"/>
        <v>#NAME?</v>
      </c>
      <c r="AP11" s="2" t="e">
        <f ca="1"/>
        <v>#NAME?</v>
      </c>
      <c r="AQ11" s="2" t="e">
        <f t="shared" ca="1" si="20"/>
        <v>#NAME?</v>
      </c>
      <c r="AR11" s="2" t="e">
        <f ca="1"/>
        <v>#NAME?</v>
      </c>
      <c r="AS11" s="2" t="e">
        <f t="shared" ca="1" si="21"/>
        <v>#NAME?</v>
      </c>
      <c r="AT11" s="2" t="e">
        <f ca="1"/>
        <v>#NAME?</v>
      </c>
      <c r="AU11" s="2" t="e">
        <f t="shared" ca="1" si="22"/>
        <v>#NAME?</v>
      </c>
      <c r="AV11" s="2" t="e">
        <f ca="1"/>
        <v>#NAME?</v>
      </c>
      <c r="AW11" s="2" t="e">
        <f t="shared" ca="1" si="23"/>
        <v>#NAME?</v>
      </c>
      <c r="AX11" s="2" t="e">
        <f ca="1"/>
        <v>#NAME?</v>
      </c>
      <c r="AY11" s="2" t="e">
        <f t="shared" ca="1" si="24"/>
        <v>#NAME?</v>
      </c>
      <c r="AZ11" s="2" t="e">
        <f ca="1"/>
        <v>#NAME?</v>
      </c>
      <c r="BA11" s="2" t="e">
        <f t="shared" ca="1" si="25"/>
        <v>#NAME?</v>
      </c>
      <c r="BB11" s="2" t="e">
        <f ca="1"/>
        <v>#NAME?</v>
      </c>
      <c r="BC11" s="2" t="e">
        <f t="shared" ca="1" si="26"/>
        <v>#NAME?</v>
      </c>
      <c r="BD11" s="2" t="e">
        <f ca="1"/>
        <v>#NAME?</v>
      </c>
      <c r="BE11" s="2" t="e">
        <f t="shared" ca="1" si="27"/>
        <v>#NAME?</v>
      </c>
      <c r="BF11" s="2" t="e">
        <f ca="1"/>
        <v>#NAME?</v>
      </c>
      <c r="BG11" s="2" t="e">
        <f t="shared" ca="1" si="28"/>
        <v>#NAME?</v>
      </c>
      <c r="BH11" s="2" t="e">
        <f ca="1"/>
        <v>#NAME?</v>
      </c>
      <c r="BI11" s="2" t="e">
        <f t="shared" ca="1" si="29"/>
        <v>#NAME?</v>
      </c>
      <c r="BJ11" s="2" t="e">
        <f ca="1"/>
        <v>#NAME?</v>
      </c>
      <c r="BK11" s="2" t="e">
        <f t="shared" ca="1" si="30"/>
        <v>#NAME?</v>
      </c>
      <c r="BL11" s="2" t="e">
        <f ca="1"/>
        <v>#NAME?</v>
      </c>
      <c r="BM11" s="2" t="e">
        <f t="shared" ca="1" si="31"/>
        <v>#NAME?</v>
      </c>
      <c r="BN11" s="2" t="e">
        <f ca="1"/>
        <v>#NAME?</v>
      </c>
      <c r="BO11" s="2" t="e">
        <f t="shared" ca="1" si="32"/>
        <v>#NAME?</v>
      </c>
      <c r="BP11" s="2" t="e">
        <f ca="1"/>
        <v>#NAME?</v>
      </c>
      <c r="BQ11" s="2" t="e">
        <f t="shared" ca="1" si="33"/>
        <v>#NAME?</v>
      </c>
      <c r="BR11" s="2" t="e">
        <f ca="1"/>
        <v>#NAME?</v>
      </c>
      <c r="BS11" s="2" t="e">
        <f t="shared" ca="1" si="34"/>
        <v>#NAME?</v>
      </c>
      <c r="BT11" s="2" t="e">
        <f ca="1"/>
        <v>#NAME?</v>
      </c>
      <c r="BU11" s="2" t="e">
        <f t="shared" ca="1" si="35"/>
        <v>#NAME?</v>
      </c>
      <c r="BV11" s="2" t="e">
        <f ca="1"/>
        <v>#NAME?</v>
      </c>
      <c r="BW11" s="2" t="e">
        <f t="shared" ca="1" si="36"/>
        <v>#NAME?</v>
      </c>
      <c r="BX11" s="2" t="e">
        <f ca="1"/>
        <v>#NAME?</v>
      </c>
      <c r="BY11" s="2" t="e">
        <f t="shared" ca="1" si="37"/>
        <v>#NAME?</v>
      </c>
      <c r="BZ11" s="2" t="e">
        <f ca="1"/>
        <v>#NAME?</v>
      </c>
      <c r="CA11" s="2" t="e">
        <f t="shared" ca="1" si="38"/>
        <v>#NAME?</v>
      </c>
      <c r="CB11" s="2" t="e">
        <f ca="1"/>
        <v>#NAME?</v>
      </c>
      <c r="CC11" s="2" t="e">
        <f t="shared" ca="1" si="39"/>
        <v>#NAME?</v>
      </c>
      <c r="CD11" s="2" t="e">
        <f ca="1"/>
        <v>#NAME?</v>
      </c>
      <c r="CE11" s="2" t="e">
        <f t="shared" ca="1" si="40"/>
        <v>#NAME?</v>
      </c>
      <c r="CF11" s="2" t="e">
        <f ca="1"/>
        <v>#NAME?</v>
      </c>
      <c r="CG11" s="2" t="e">
        <f t="shared" ca="1" si="41"/>
        <v>#NAME?</v>
      </c>
      <c r="CH11" s="2" t="e">
        <f ca="1"/>
        <v>#NAME?</v>
      </c>
      <c r="CI11" s="2" t="e">
        <f t="shared" ca="1" si="42"/>
        <v>#NAME?</v>
      </c>
      <c r="CJ11" s="2" t="e">
        <f ca="1"/>
        <v>#NAME?</v>
      </c>
      <c r="CK11" s="2" t="e">
        <f t="shared" ca="1" si="43"/>
        <v>#NAME?</v>
      </c>
      <c r="CL11" s="2" t="e">
        <f ca="1"/>
        <v>#NAME?</v>
      </c>
      <c r="CM11" s="2" t="e">
        <f t="shared" ca="1" si="44"/>
        <v>#NAME?</v>
      </c>
      <c r="CN11" s="2" t="e">
        <f ca="1"/>
        <v>#NAME?</v>
      </c>
      <c r="CO11" s="2" t="e">
        <f t="shared" ca="1" si="45"/>
        <v>#NAME?</v>
      </c>
      <c r="CP11" s="2" t="e">
        <f ca="1"/>
        <v>#NAME?</v>
      </c>
      <c r="CQ11" s="2" t="e">
        <f t="shared" ca="1" si="46"/>
        <v>#NAME?</v>
      </c>
    </row>
    <row r="12" spans="1:95">
      <c r="A12" s="7" t="e">
        <f ca="1"/>
        <v>#NAME?</v>
      </c>
      <c r="B12" s="2" t="e">
        <f ca="1"/>
        <v>#NAME?</v>
      </c>
      <c r="C12" s="2" t="e">
        <f t="shared" ca="1" si="0"/>
        <v>#NAME?</v>
      </c>
      <c r="D12" s="2" t="e">
        <f ca="1"/>
        <v>#NAME?</v>
      </c>
      <c r="E12" s="2" t="e">
        <f t="shared" ca="1" si="1"/>
        <v>#NAME?</v>
      </c>
      <c r="F12" s="2" t="e">
        <f ca="1"/>
        <v>#NAME?</v>
      </c>
      <c r="G12" s="2" t="e">
        <f t="shared" ca="1" si="2"/>
        <v>#NAME?</v>
      </c>
      <c r="H12" s="2" t="e">
        <f ca="1"/>
        <v>#NAME?</v>
      </c>
      <c r="I12" s="2" t="e">
        <f t="shared" ca="1" si="3"/>
        <v>#NAME?</v>
      </c>
      <c r="J12" s="2" t="e">
        <f ca="1"/>
        <v>#NAME?</v>
      </c>
      <c r="K12" s="2" t="e">
        <f t="shared" ca="1" si="4"/>
        <v>#NAME?</v>
      </c>
      <c r="L12" s="2" t="e">
        <f ca="1"/>
        <v>#NAME?</v>
      </c>
      <c r="M12" s="2" t="e">
        <f t="shared" ca="1" si="5"/>
        <v>#NAME?</v>
      </c>
      <c r="N12" s="2" t="e">
        <f ca="1"/>
        <v>#NAME?</v>
      </c>
      <c r="O12" s="2" t="e">
        <f t="shared" ca="1" si="6"/>
        <v>#NAME?</v>
      </c>
      <c r="P12" s="2" t="e">
        <f ca="1"/>
        <v>#NAME?</v>
      </c>
      <c r="Q12" s="2" t="e">
        <f t="shared" ca="1" si="7"/>
        <v>#NAME?</v>
      </c>
      <c r="R12" s="2" t="e">
        <f ca="1"/>
        <v>#NAME?</v>
      </c>
      <c r="S12" s="2" t="e">
        <f t="shared" ca="1" si="8"/>
        <v>#NAME?</v>
      </c>
      <c r="T12" s="2" t="e">
        <f ca="1"/>
        <v>#NAME?</v>
      </c>
      <c r="U12" s="2" t="e">
        <f t="shared" ca="1" si="9"/>
        <v>#NAME?</v>
      </c>
      <c r="V12" s="2" t="e">
        <f ca="1"/>
        <v>#NAME?</v>
      </c>
      <c r="W12" s="2" t="e">
        <f t="shared" ca="1" si="10"/>
        <v>#NAME?</v>
      </c>
      <c r="X12" s="2" t="e">
        <f ca="1"/>
        <v>#NAME?</v>
      </c>
      <c r="Y12" s="2" t="e">
        <f t="shared" ca="1" si="11"/>
        <v>#NAME?</v>
      </c>
      <c r="Z12" s="2" t="e">
        <f ca="1"/>
        <v>#NAME?</v>
      </c>
      <c r="AA12" s="2" t="e">
        <f t="shared" ca="1" si="12"/>
        <v>#NAME?</v>
      </c>
      <c r="AB12" s="2" t="e">
        <f ca="1"/>
        <v>#NAME?</v>
      </c>
      <c r="AC12" s="2" t="e">
        <f t="shared" ca="1" si="13"/>
        <v>#NAME?</v>
      </c>
      <c r="AD12" s="2" t="e">
        <f ca="1"/>
        <v>#NAME?</v>
      </c>
      <c r="AE12" s="2" t="e">
        <f t="shared" ca="1" si="14"/>
        <v>#NAME?</v>
      </c>
      <c r="AF12" s="2" t="e">
        <f ca="1"/>
        <v>#NAME?</v>
      </c>
      <c r="AG12" s="2" t="e">
        <f t="shared" ca="1" si="15"/>
        <v>#NAME?</v>
      </c>
      <c r="AH12" s="2" t="e">
        <f ca="1"/>
        <v>#NAME?</v>
      </c>
      <c r="AI12" s="2" t="e">
        <f t="shared" ca="1" si="16"/>
        <v>#NAME?</v>
      </c>
      <c r="AJ12" s="2" t="e">
        <f ca="1"/>
        <v>#NAME?</v>
      </c>
      <c r="AK12" s="2" t="e">
        <f t="shared" ca="1" si="17"/>
        <v>#NAME?</v>
      </c>
      <c r="AL12" s="2" t="e">
        <f ca="1"/>
        <v>#NAME?</v>
      </c>
      <c r="AM12" s="2" t="e">
        <f t="shared" ca="1" si="18"/>
        <v>#NAME?</v>
      </c>
      <c r="AN12" s="2" t="e">
        <f ca="1"/>
        <v>#NAME?</v>
      </c>
      <c r="AO12" s="2" t="e">
        <f t="shared" ca="1" si="19"/>
        <v>#NAME?</v>
      </c>
      <c r="AP12" s="2" t="e">
        <f ca="1"/>
        <v>#NAME?</v>
      </c>
      <c r="AQ12" s="2" t="e">
        <f t="shared" ca="1" si="20"/>
        <v>#NAME?</v>
      </c>
      <c r="AR12" s="2" t="e">
        <f ca="1"/>
        <v>#NAME?</v>
      </c>
      <c r="AS12" s="2" t="e">
        <f t="shared" ca="1" si="21"/>
        <v>#NAME?</v>
      </c>
      <c r="AT12" s="2" t="e">
        <f ca="1"/>
        <v>#NAME?</v>
      </c>
      <c r="AU12" s="2" t="e">
        <f t="shared" ca="1" si="22"/>
        <v>#NAME?</v>
      </c>
      <c r="AV12" s="2" t="e">
        <f ca="1"/>
        <v>#NAME?</v>
      </c>
      <c r="AW12" s="2" t="e">
        <f t="shared" ca="1" si="23"/>
        <v>#NAME?</v>
      </c>
      <c r="AX12" s="2" t="e">
        <f ca="1"/>
        <v>#NAME?</v>
      </c>
      <c r="AY12" s="2" t="e">
        <f t="shared" ca="1" si="24"/>
        <v>#NAME?</v>
      </c>
      <c r="AZ12" s="2" t="e">
        <f ca="1"/>
        <v>#NAME?</v>
      </c>
      <c r="BA12" s="2" t="e">
        <f t="shared" ca="1" si="25"/>
        <v>#NAME?</v>
      </c>
      <c r="BB12" s="2" t="e">
        <f ca="1"/>
        <v>#NAME?</v>
      </c>
      <c r="BC12" s="2" t="e">
        <f t="shared" ca="1" si="26"/>
        <v>#NAME?</v>
      </c>
      <c r="BD12" s="2" t="e">
        <f ca="1"/>
        <v>#NAME?</v>
      </c>
      <c r="BE12" s="2" t="e">
        <f t="shared" ca="1" si="27"/>
        <v>#NAME?</v>
      </c>
      <c r="BF12" s="2" t="e">
        <f ca="1"/>
        <v>#NAME?</v>
      </c>
      <c r="BG12" s="2" t="e">
        <f t="shared" ca="1" si="28"/>
        <v>#NAME?</v>
      </c>
      <c r="BH12" s="2" t="e">
        <f ca="1"/>
        <v>#NAME?</v>
      </c>
      <c r="BI12" s="2" t="e">
        <f t="shared" ca="1" si="29"/>
        <v>#NAME?</v>
      </c>
      <c r="BJ12" s="2" t="e">
        <f ca="1"/>
        <v>#NAME?</v>
      </c>
      <c r="BK12" s="2" t="e">
        <f t="shared" ca="1" si="30"/>
        <v>#NAME?</v>
      </c>
      <c r="BL12" s="2" t="e">
        <f ca="1"/>
        <v>#NAME?</v>
      </c>
      <c r="BM12" s="2" t="e">
        <f t="shared" ca="1" si="31"/>
        <v>#NAME?</v>
      </c>
      <c r="BN12" s="2" t="e">
        <f ca="1"/>
        <v>#NAME?</v>
      </c>
      <c r="BO12" s="2" t="e">
        <f t="shared" ca="1" si="32"/>
        <v>#NAME?</v>
      </c>
      <c r="BP12" s="2" t="e">
        <f ca="1"/>
        <v>#NAME?</v>
      </c>
      <c r="BQ12" s="2" t="e">
        <f t="shared" ca="1" si="33"/>
        <v>#NAME?</v>
      </c>
      <c r="BR12" s="2" t="e">
        <f ca="1"/>
        <v>#NAME?</v>
      </c>
      <c r="BS12" s="2" t="e">
        <f t="shared" ca="1" si="34"/>
        <v>#NAME?</v>
      </c>
      <c r="BT12" s="2" t="e">
        <f ca="1"/>
        <v>#NAME?</v>
      </c>
      <c r="BU12" s="2" t="e">
        <f t="shared" ca="1" si="35"/>
        <v>#NAME?</v>
      </c>
      <c r="BV12" s="2" t="e">
        <f ca="1"/>
        <v>#NAME?</v>
      </c>
      <c r="BW12" s="2" t="e">
        <f t="shared" ca="1" si="36"/>
        <v>#NAME?</v>
      </c>
      <c r="BX12" s="2" t="e">
        <f ca="1"/>
        <v>#NAME?</v>
      </c>
      <c r="BY12" s="2" t="e">
        <f t="shared" ca="1" si="37"/>
        <v>#NAME?</v>
      </c>
      <c r="BZ12" s="2" t="e">
        <f ca="1"/>
        <v>#NAME?</v>
      </c>
      <c r="CA12" s="2" t="e">
        <f t="shared" ca="1" si="38"/>
        <v>#NAME?</v>
      </c>
      <c r="CB12" s="2" t="e">
        <f ca="1"/>
        <v>#NAME?</v>
      </c>
      <c r="CC12" s="2" t="e">
        <f t="shared" ca="1" si="39"/>
        <v>#NAME?</v>
      </c>
      <c r="CD12" s="2" t="e">
        <f ca="1"/>
        <v>#NAME?</v>
      </c>
      <c r="CE12" s="2" t="e">
        <f t="shared" ca="1" si="40"/>
        <v>#NAME?</v>
      </c>
      <c r="CF12" s="2" t="e">
        <f ca="1"/>
        <v>#NAME?</v>
      </c>
      <c r="CG12" s="2" t="e">
        <f t="shared" ca="1" si="41"/>
        <v>#NAME?</v>
      </c>
      <c r="CH12" s="2" t="e">
        <f ca="1"/>
        <v>#NAME?</v>
      </c>
      <c r="CI12" s="2" t="e">
        <f t="shared" ca="1" si="42"/>
        <v>#NAME?</v>
      </c>
      <c r="CJ12" s="2" t="e">
        <f ca="1"/>
        <v>#NAME?</v>
      </c>
      <c r="CK12" s="2" t="e">
        <f t="shared" ca="1" si="43"/>
        <v>#NAME?</v>
      </c>
      <c r="CL12" s="2" t="e">
        <f ca="1"/>
        <v>#NAME?</v>
      </c>
      <c r="CM12" s="2" t="e">
        <f t="shared" ca="1" si="44"/>
        <v>#NAME?</v>
      </c>
      <c r="CN12" s="2" t="e">
        <f ca="1"/>
        <v>#NAME?</v>
      </c>
      <c r="CO12" s="2" t="e">
        <f t="shared" ca="1" si="45"/>
        <v>#NAME?</v>
      </c>
      <c r="CP12" s="2" t="e">
        <f ca="1"/>
        <v>#NAME?</v>
      </c>
      <c r="CQ12" s="2" t="e">
        <f t="shared" ca="1" si="46"/>
        <v>#NAME?</v>
      </c>
    </row>
    <row r="13" spans="1:95">
      <c r="A13" s="7" t="e">
        <f ca="1"/>
        <v>#NAME?</v>
      </c>
      <c r="B13" s="2" t="e">
        <f ca="1"/>
        <v>#NAME?</v>
      </c>
      <c r="C13" s="2" t="e">
        <f t="shared" ca="1" si="0"/>
        <v>#NAME?</v>
      </c>
      <c r="D13" s="2" t="e">
        <f ca="1"/>
        <v>#NAME?</v>
      </c>
      <c r="E13" s="2" t="e">
        <f t="shared" ca="1" si="1"/>
        <v>#NAME?</v>
      </c>
      <c r="F13" s="2" t="e">
        <f ca="1"/>
        <v>#NAME?</v>
      </c>
      <c r="G13" s="2" t="e">
        <f t="shared" ca="1" si="2"/>
        <v>#NAME?</v>
      </c>
      <c r="H13" s="2" t="e">
        <f ca="1"/>
        <v>#NAME?</v>
      </c>
      <c r="I13" s="2" t="e">
        <f t="shared" ca="1" si="3"/>
        <v>#NAME?</v>
      </c>
      <c r="J13" s="2" t="e">
        <f ca="1"/>
        <v>#NAME?</v>
      </c>
      <c r="K13" s="2" t="e">
        <f t="shared" ca="1" si="4"/>
        <v>#NAME?</v>
      </c>
      <c r="L13" s="2" t="e">
        <f ca="1"/>
        <v>#NAME?</v>
      </c>
      <c r="M13" s="2" t="e">
        <f t="shared" ca="1" si="5"/>
        <v>#NAME?</v>
      </c>
      <c r="N13" s="2" t="e">
        <f ca="1"/>
        <v>#NAME?</v>
      </c>
      <c r="O13" s="2" t="e">
        <f t="shared" ca="1" si="6"/>
        <v>#NAME?</v>
      </c>
      <c r="P13" s="2" t="e">
        <f ca="1"/>
        <v>#NAME?</v>
      </c>
      <c r="Q13" s="2" t="e">
        <f t="shared" ca="1" si="7"/>
        <v>#NAME?</v>
      </c>
      <c r="R13" s="2" t="e">
        <f ca="1"/>
        <v>#NAME?</v>
      </c>
      <c r="S13" s="2" t="e">
        <f t="shared" ca="1" si="8"/>
        <v>#NAME?</v>
      </c>
      <c r="T13" s="2" t="e">
        <f ca="1"/>
        <v>#NAME?</v>
      </c>
      <c r="U13" s="2" t="e">
        <f t="shared" ca="1" si="9"/>
        <v>#NAME?</v>
      </c>
      <c r="V13" s="2" t="e">
        <f ca="1"/>
        <v>#NAME?</v>
      </c>
      <c r="W13" s="2" t="e">
        <f t="shared" ca="1" si="10"/>
        <v>#NAME?</v>
      </c>
      <c r="X13" s="2" t="e">
        <f ca="1"/>
        <v>#NAME?</v>
      </c>
      <c r="Y13" s="2" t="e">
        <f t="shared" ca="1" si="11"/>
        <v>#NAME?</v>
      </c>
      <c r="Z13" s="2" t="e">
        <f ca="1"/>
        <v>#NAME?</v>
      </c>
      <c r="AA13" s="2" t="e">
        <f t="shared" ca="1" si="12"/>
        <v>#NAME?</v>
      </c>
      <c r="AB13" s="2" t="e">
        <f ca="1"/>
        <v>#NAME?</v>
      </c>
      <c r="AC13" s="2" t="e">
        <f t="shared" ca="1" si="13"/>
        <v>#NAME?</v>
      </c>
      <c r="AD13" s="2" t="e">
        <f ca="1"/>
        <v>#NAME?</v>
      </c>
      <c r="AE13" s="2" t="e">
        <f t="shared" ca="1" si="14"/>
        <v>#NAME?</v>
      </c>
      <c r="AF13" s="2" t="e">
        <f ca="1"/>
        <v>#NAME?</v>
      </c>
      <c r="AG13" s="2" t="e">
        <f t="shared" ca="1" si="15"/>
        <v>#NAME?</v>
      </c>
      <c r="AH13" s="2" t="e">
        <f ca="1"/>
        <v>#NAME?</v>
      </c>
      <c r="AI13" s="2" t="e">
        <f t="shared" ca="1" si="16"/>
        <v>#NAME?</v>
      </c>
      <c r="AJ13" s="2" t="e">
        <f ca="1"/>
        <v>#NAME?</v>
      </c>
      <c r="AK13" s="2" t="e">
        <f t="shared" ca="1" si="17"/>
        <v>#NAME?</v>
      </c>
      <c r="AL13" s="2" t="e">
        <f ca="1"/>
        <v>#NAME?</v>
      </c>
      <c r="AM13" s="2" t="e">
        <f t="shared" ca="1" si="18"/>
        <v>#NAME?</v>
      </c>
      <c r="AN13" s="2" t="e">
        <f ca="1"/>
        <v>#NAME?</v>
      </c>
      <c r="AO13" s="2" t="e">
        <f t="shared" ca="1" si="19"/>
        <v>#NAME?</v>
      </c>
      <c r="AP13" s="2" t="e">
        <f ca="1"/>
        <v>#NAME?</v>
      </c>
      <c r="AQ13" s="2" t="e">
        <f t="shared" ca="1" si="20"/>
        <v>#NAME?</v>
      </c>
      <c r="AR13" s="2" t="e">
        <f ca="1"/>
        <v>#NAME?</v>
      </c>
      <c r="AS13" s="2" t="e">
        <f t="shared" ca="1" si="21"/>
        <v>#NAME?</v>
      </c>
      <c r="AT13" s="2" t="e">
        <f ca="1"/>
        <v>#NAME?</v>
      </c>
      <c r="AU13" s="2" t="e">
        <f t="shared" ca="1" si="22"/>
        <v>#NAME?</v>
      </c>
      <c r="AV13" s="2" t="e">
        <f ca="1"/>
        <v>#NAME?</v>
      </c>
      <c r="AW13" s="2" t="e">
        <f t="shared" ca="1" si="23"/>
        <v>#NAME?</v>
      </c>
      <c r="AX13" s="2" t="e">
        <f ca="1"/>
        <v>#NAME?</v>
      </c>
      <c r="AY13" s="2" t="e">
        <f t="shared" ca="1" si="24"/>
        <v>#NAME?</v>
      </c>
      <c r="AZ13" s="2" t="e">
        <f ca="1"/>
        <v>#NAME?</v>
      </c>
      <c r="BA13" s="2" t="e">
        <f t="shared" ca="1" si="25"/>
        <v>#NAME?</v>
      </c>
      <c r="BB13" s="2" t="e">
        <f ca="1"/>
        <v>#NAME?</v>
      </c>
      <c r="BC13" s="2" t="e">
        <f t="shared" ca="1" si="26"/>
        <v>#NAME?</v>
      </c>
      <c r="BD13" s="2" t="e">
        <f ca="1"/>
        <v>#NAME?</v>
      </c>
      <c r="BE13" s="2" t="e">
        <f t="shared" ca="1" si="27"/>
        <v>#NAME?</v>
      </c>
      <c r="BF13" s="2" t="e">
        <f ca="1"/>
        <v>#NAME?</v>
      </c>
      <c r="BG13" s="2" t="e">
        <f t="shared" ca="1" si="28"/>
        <v>#NAME?</v>
      </c>
      <c r="BH13" s="2" t="e">
        <f ca="1"/>
        <v>#NAME?</v>
      </c>
      <c r="BI13" s="2" t="e">
        <f t="shared" ca="1" si="29"/>
        <v>#NAME?</v>
      </c>
      <c r="BJ13" s="2" t="e">
        <f ca="1"/>
        <v>#NAME?</v>
      </c>
      <c r="BK13" s="2" t="e">
        <f t="shared" ca="1" si="30"/>
        <v>#NAME?</v>
      </c>
      <c r="BL13" s="2" t="e">
        <f ca="1"/>
        <v>#NAME?</v>
      </c>
      <c r="BM13" s="2" t="e">
        <f t="shared" ca="1" si="31"/>
        <v>#NAME?</v>
      </c>
      <c r="BN13" s="2" t="e">
        <f ca="1"/>
        <v>#NAME?</v>
      </c>
      <c r="BO13" s="2" t="e">
        <f t="shared" ca="1" si="32"/>
        <v>#NAME?</v>
      </c>
      <c r="BP13" s="2" t="e">
        <f ca="1"/>
        <v>#NAME?</v>
      </c>
      <c r="BQ13" s="2" t="e">
        <f t="shared" ca="1" si="33"/>
        <v>#NAME?</v>
      </c>
      <c r="BR13" s="2" t="e">
        <f ca="1"/>
        <v>#NAME?</v>
      </c>
      <c r="BS13" s="2" t="e">
        <f t="shared" ca="1" si="34"/>
        <v>#NAME?</v>
      </c>
      <c r="BT13" s="2" t="e">
        <f ca="1"/>
        <v>#NAME?</v>
      </c>
      <c r="BU13" s="2" t="e">
        <f t="shared" ca="1" si="35"/>
        <v>#NAME?</v>
      </c>
      <c r="BV13" s="2" t="e">
        <f ca="1"/>
        <v>#NAME?</v>
      </c>
      <c r="BW13" s="2" t="e">
        <f t="shared" ca="1" si="36"/>
        <v>#NAME?</v>
      </c>
      <c r="BX13" s="2" t="e">
        <f ca="1"/>
        <v>#NAME?</v>
      </c>
      <c r="BY13" s="2" t="e">
        <f t="shared" ca="1" si="37"/>
        <v>#NAME?</v>
      </c>
      <c r="BZ13" s="2" t="e">
        <f ca="1"/>
        <v>#NAME?</v>
      </c>
      <c r="CA13" s="2" t="e">
        <f t="shared" ca="1" si="38"/>
        <v>#NAME?</v>
      </c>
      <c r="CB13" s="2" t="e">
        <f ca="1"/>
        <v>#NAME?</v>
      </c>
      <c r="CC13" s="2" t="e">
        <f t="shared" ca="1" si="39"/>
        <v>#NAME?</v>
      </c>
      <c r="CD13" s="2" t="e">
        <f ca="1"/>
        <v>#NAME?</v>
      </c>
      <c r="CE13" s="2" t="e">
        <f t="shared" ca="1" si="40"/>
        <v>#NAME?</v>
      </c>
      <c r="CF13" s="2" t="e">
        <f ca="1"/>
        <v>#NAME?</v>
      </c>
      <c r="CG13" s="2" t="e">
        <f t="shared" ca="1" si="41"/>
        <v>#NAME?</v>
      </c>
      <c r="CH13" s="2" t="e">
        <f ca="1"/>
        <v>#NAME?</v>
      </c>
      <c r="CI13" s="2" t="e">
        <f t="shared" ca="1" si="42"/>
        <v>#NAME?</v>
      </c>
      <c r="CJ13" s="2" t="e">
        <f ca="1"/>
        <v>#NAME?</v>
      </c>
      <c r="CK13" s="2" t="e">
        <f t="shared" ca="1" si="43"/>
        <v>#NAME?</v>
      </c>
      <c r="CL13" s="2" t="e">
        <f ca="1"/>
        <v>#NAME?</v>
      </c>
      <c r="CM13" s="2" t="e">
        <f t="shared" ca="1" si="44"/>
        <v>#NAME?</v>
      </c>
      <c r="CN13" s="2" t="e">
        <f ca="1"/>
        <v>#NAME?</v>
      </c>
      <c r="CO13" s="2" t="e">
        <f t="shared" ca="1" si="45"/>
        <v>#NAME?</v>
      </c>
      <c r="CP13" s="2" t="e">
        <f ca="1"/>
        <v>#NAME?</v>
      </c>
      <c r="CQ13" s="2" t="e">
        <f t="shared" ca="1" si="46"/>
        <v>#NAME?</v>
      </c>
    </row>
    <row r="14" spans="1:95">
      <c r="A14" s="7" t="e">
        <f ca="1"/>
        <v>#NAME?</v>
      </c>
      <c r="B14" s="2" t="e">
        <f ca="1"/>
        <v>#NAME?</v>
      </c>
      <c r="C14" s="2" t="e">
        <f t="shared" ca="1" si="0"/>
        <v>#NAME?</v>
      </c>
      <c r="D14" s="2" t="e">
        <f ca="1"/>
        <v>#NAME?</v>
      </c>
      <c r="E14" s="2" t="e">
        <f t="shared" ca="1" si="1"/>
        <v>#NAME?</v>
      </c>
      <c r="F14" s="2" t="e">
        <f ca="1"/>
        <v>#NAME?</v>
      </c>
      <c r="G14" s="2" t="e">
        <f t="shared" ca="1" si="2"/>
        <v>#NAME?</v>
      </c>
      <c r="H14" s="2" t="e">
        <f ca="1"/>
        <v>#NAME?</v>
      </c>
      <c r="I14" s="2" t="e">
        <f t="shared" ca="1" si="3"/>
        <v>#NAME?</v>
      </c>
      <c r="J14" s="2" t="e">
        <f ca="1"/>
        <v>#NAME?</v>
      </c>
      <c r="K14" s="2" t="e">
        <f t="shared" ca="1" si="4"/>
        <v>#NAME?</v>
      </c>
      <c r="L14" s="2" t="e">
        <f ca="1"/>
        <v>#NAME?</v>
      </c>
      <c r="M14" s="2" t="e">
        <f t="shared" ca="1" si="5"/>
        <v>#NAME?</v>
      </c>
      <c r="N14" s="2" t="e">
        <f ca="1"/>
        <v>#NAME?</v>
      </c>
      <c r="O14" s="2" t="e">
        <f t="shared" ca="1" si="6"/>
        <v>#NAME?</v>
      </c>
      <c r="P14" s="2" t="e">
        <f ca="1"/>
        <v>#NAME?</v>
      </c>
      <c r="Q14" s="2" t="e">
        <f t="shared" ca="1" si="7"/>
        <v>#NAME?</v>
      </c>
      <c r="R14" s="2" t="e">
        <f ca="1"/>
        <v>#NAME?</v>
      </c>
      <c r="S14" s="2" t="e">
        <f t="shared" ca="1" si="8"/>
        <v>#NAME?</v>
      </c>
      <c r="T14" s="2" t="e">
        <f ca="1"/>
        <v>#NAME?</v>
      </c>
      <c r="U14" s="2" t="e">
        <f t="shared" ca="1" si="9"/>
        <v>#NAME?</v>
      </c>
      <c r="V14" s="2" t="e">
        <f ca="1"/>
        <v>#NAME?</v>
      </c>
      <c r="W14" s="2" t="e">
        <f t="shared" ca="1" si="10"/>
        <v>#NAME?</v>
      </c>
      <c r="X14" s="2" t="e">
        <f ca="1"/>
        <v>#NAME?</v>
      </c>
      <c r="Y14" s="2" t="e">
        <f t="shared" ca="1" si="11"/>
        <v>#NAME?</v>
      </c>
      <c r="Z14" s="2" t="e">
        <f ca="1"/>
        <v>#NAME?</v>
      </c>
      <c r="AA14" s="2" t="e">
        <f t="shared" ca="1" si="12"/>
        <v>#NAME?</v>
      </c>
      <c r="AB14" s="2" t="e">
        <f ca="1"/>
        <v>#NAME?</v>
      </c>
      <c r="AC14" s="2" t="e">
        <f t="shared" ca="1" si="13"/>
        <v>#NAME?</v>
      </c>
      <c r="AD14" s="2" t="e">
        <f ca="1"/>
        <v>#NAME?</v>
      </c>
      <c r="AE14" s="2" t="e">
        <f t="shared" ca="1" si="14"/>
        <v>#NAME?</v>
      </c>
      <c r="AF14" s="2" t="e">
        <f ca="1"/>
        <v>#NAME?</v>
      </c>
      <c r="AG14" s="2" t="e">
        <f t="shared" ca="1" si="15"/>
        <v>#NAME?</v>
      </c>
      <c r="AH14" s="2" t="e">
        <f ca="1"/>
        <v>#NAME?</v>
      </c>
      <c r="AI14" s="2" t="e">
        <f t="shared" ca="1" si="16"/>
        <v>#NAME?</v>
      </c>
      <c r="AJ14" s="2" t="e">
        <f ca="1"/>
        <v>#NAME?</v>
      </c>
      <c r="AK14" s="2" t="e">
        <f t="shared" ca="1" si="17"/>
        <v>#NAME?</v>
      </c>
      <c r="AL14" s="2" t="e">
        <f ca="1"/>
        <v>#NAME?</v>
      </c>
      <c r="AM14" s="2" t="e">
        <f t="shared" ca="1" si="18"/>
        <v>#NAME?</v>
      </c>
      <c r="AN14" s="2" t="e">
        <f ca="1"/>
        <v>#NAME?</v>
      </c>
      <c r="AO14" s="2" t="e">
        <f t="shared" ca="1" si="19"/>
        <v>#NAME?</v>
      </c>
      <c r="AP14" s="2" t="e">
        <f ca="1"/>
        <v>#NAME?</v>
      </c>
      <c r="AQ14" s="2" t="e">
        <f t="shared" ca="1" si="20"/>
        <v>#NAME?</v>
      </c>
      <c r="AR14" s="2" t="e">
        <f ca="1"/>
        <v>#NAME?</v>
      </c>
      <c r="AS14" s="2" t="e">
        <f t="shared" ca="1" si="21"/>
        <v>#NAME?</v>
      </c>
      <c r="AT14" s="2" t="e">
        <f ca="1"/>
        <v>#NAME?</v>
      </c>
      <c r="AU14" s="2" t="e">
        <f t="shared" ca="1" si="22"/>
        <v>#NAME?</v>
      </c>
      <c r="AV14" s="2" t="e">
        <f ca="1"/>
        <v>#NAME?</v>
      </c>
      <c r="AW14" s="2" t="e">
        <f t="shared" ca="1" si="23"/>
        <v>#NAME?</v>
      </c>
      <c r="AX14" s="2" t="e">
        <f ca="1"/>
        <v>#NAME?</v>
      </c>
      <c r="AY14" s="2" t="e">
        <f t="shared" ca="1" si="24"/>
        <v>#NAME?</v>
      </c>
      <c r="AZ14" s="2" t="e">
        <f ca="1"/>
        <v>#NAME?</v>
      </c>
      <c r="BA14" s="2" t="e">
        <f t="shared" ca="1" si="25"/>
        <v>#NAME?</v>
      </c>
      <c r="BB14" s="2" t="e">
        <f ca="1"/>
        <v>#NAME?</v>
      </c>
      <c r="BC14" s="2" t="e">
        <f t="shared" ca="1" si="26"/>
        <v>#NAME?</v>
      </c>
      <c r="BD14" s="2" t="e">
        <f ca="1"/>
        <v>#NAME?</v>
      </c>
      <c r="BE14" s="2" t="e">
        <f t="shared" ca="1" si="27"/>
        <v>#NAME?</v>
      </c>
      <c r="BF14" s="2" t="e">
        <f ca="1"/>
        <v>#NAME?</v>
      </c>
      <c r="BG14" s="2" t="e">
        <f t="shared" ca="1" si="28"/>
        <v>#NAME?</v>
      </c>
      <c r="BH14" s="2" t="e">
        <f ca="1"/>
        <v>#NAME?</v>
      </c>
      <c r="BI14" s="2" t="e">
        <f t="shared" ca="1" si="29"/>
        <v>#NAME?</v>
      </c>
      <c r="BJ14" s="2" t="e">
        <f ca="1"/>
        <v>#NAME?</v>
      </c>
      <c r="BK14" s="2" t="e">
        <f t="shared" ca="1" si="30"/>
        <v>#NAME?</v>
      </c>
      <c r="BL14" s="2" t="e">
        <f ca="1"/>
        <v>#NAME?</v>
      </c>
      <c r="BM14" s="2" t="e">
        <f t="shared" ca="1" si="31"/>
        <v>#NAME?</v>
      </c>
      <c r="BN14" s="2" t="e">
        <f ca="1"/>
        <v>#NAME?</v>
      </c>
      <c r="BO14" s="2" t="e">
        <f t="shared" ca="1" si="32"/>
        <v>#NAME?</v>
      </c>
      <c r="BP14" s="2" t="e">
        <f ca="1"/>
        <v>#NAME?</v>
      </c>
      <c r="BQ14" s="2" t="e">
        <f t="shared" ca="1" si="33"/>
        <v>#NAME?</v>
      </c>
      <c r="BR14" s="2" t="e">
        <f ca="1"/>
        <v>#NAME?</v>
      </c>
      <c r="BS14" s="2" t="e">
        <f t="shared" ca="1" si="34"/>
        <v>#NAME?</v>
      </c>
      <c r="BT14" s="2" t="e">
        <f ca="1"/>
        <v>#NAME?</v>
      </c>
      <c r="BU14" s="2" t="e">
        <f t="shared" ca="1" si="35"/>
        <v>#NAME?</v>
      </c>
      <c r="BV14" s="2" t="e">
        <f ca="1"/>
        <v>#NAME?</v>
      </c>
      <c r="BW14" s="2" t="e">
        <f t="shared" ca="1" si="36"/>
        <v>#NAME?</v>
      </c>
      <c r="BX14" s="2" t="e">
        <f ca="1"/>
        <v>#NAME?</v>
      </c>
      <c r="BY14" s="2" t="e">
        <f t="shared" ca="1" si="37"/>
        <v>#NAME?</v>
      </c>
      <c r="BZ14" s="2" t="e">
        <f ca="1"/>
        <v>#NAME?</v>
      </c>
      <c r="CA14" s="2" t="e">
        <f t="shared" ca="1" si="38"/>
        <v>#NAME?</v>
      </c>
      <c r="CB14" s="2" t="e">
        <f ca="1"/>
        <v>#NAME?</v>
      </c>
      <c r="CC14" s="2" t="e">
        <f t="shared" ca="1" si="39"/>
        <v>#NAME?</v>
      </c>
      <c r="CD14" s="2" t="e">
        <f ca="1"/>
        <v>#NAME?</v>
      </c>
      <c r="CE14" s="2" t="e">
        <f t="shared" ca="1" si="40"/>
        <v>#NAME?</v>
      </c>
      <c r="CF14" s="2" t="e">
        <f ca="1"/>
        <v>#NAME?</v>
      </c>
      <c r="CG14" s="2" t="e">
        <f t="shared" ca="1" si="41"/>
        <v>#NAME?</v>
      </c>
      <c r="CH14" s="2" t="e">
        <f ca="1"/>
        <v>#NAME?</v>
      </c>
      <c r="CI14" s="2" t="e">
        <f t="shared" ca="1" si="42"/>
        <v>#NAME?</v>
      </c>
      <c r="CJ14" s="2" t="e">
        <f ca="1"/>
        <v>#NAME?</v>
      </c>
      <c r="CK14" s="2" t="e">
        <f t="shared" ca="1" si="43"/>
        <v>#NAME?</v>
      </c>
      <c r="CL14" s="2" t="e">
        <f ca="1"/>
        <v>#NAME?</v>
      </c>
      <c r="CM14" s="2" t="e">
        <f t="shared" ca="1" si="44"/>
        <v>#NAME?</v>
      </c>
      <c r="CN14" s="2" t="e">
        <f ca="1"/>
        <v>#NAME?</v>
      </c>
      <c r="CO14" s="2" t="e">
        <f t="shared" ca="1" si="45"/>
        <v>#NAME?</v>
      </c>
      <c r="CP14" s="2" t="e">
        <f ca="1"/>
        <v>#NAME?</v>
      </c>
      <c r="CQ14" s="2" t="e">
        <f t="shared" ca="1" si="46"/>
        <v>#NAME?</v>
      </c>
    </row>
    <row r="15" spans="1:95">
      <c r="A15" s="7" t="e">
        <f ca="1"/>
        <v>#NAME?</v>
      </c>
      <c r="B15" s="2" t="e">
        <f ca="1"/>
        <v>#NAME?</v>
      </c>
      <c r="C15" s="2" t="e">
        <f t="shared" ca="1" si="0"/>
        <v>#NAME?</v>
      </c>
      <c r="D15" s="2" t="e">
        <f ca="1"/>
        <v>#NAME?</v>
      </c>
      <c r="E15" s="2" t="e">
        <f t="shared" ca="1" si="1"/>
        <v>#NAME?</v>
      </c>
      <c r="F15" s="2" t="e">
        <f ca="1"/>
        <v>#NAME?</v>
      </c>
      <c r="G15" s="2" t="e">
        <f t="shared" ca="1" si="2"/>
        <v>#NAME?</v>
      </c>
      <c r="H15" s="2" t="e">
        <f ca="1"/>
        <v>#NAME?</v>
      </c>
      <c r="I15" s="2" t="e">
        <f t="shared" ca="1" si="3"/>
        <v>#NAME?</v>
      </c>
      <c r="J15" s="2" t="e">
        <f ca="1"/>
        <v>#NAME?</v>
      </c>
      <c r="K15" s="2" t="e">
        <f t="shared" ca="1" si="4"/>
        <v>#NAME?</v>
      </c>
      <c r="L15" s="2" t="e">
        <f ca="1"/>
        <v>#NAME?</v>
      </c>
      <c r="M15" s="2" t="e">
        <f t="shared" ca="1" si="5"/>
        <v>#NAME?</v>
      </c>
      <c r="N15" s="2" t="e">
        <f ca="1"/>
        <v>#NAME?</v>
      </c>
      <c r="O15" s="2" t="e">
        <f t="shared" ca="1" si="6"/>
        <v>#NAME?</v>
      </c>
      <c r="P15" s="2" t="e">
        <f ca="1"/>
        <v>#NAME?</v>
      </c>
      <c r="Q15" s="2" t="e">
        <f t="shared" ca="1" si="7"/>
        <v>#NAME?</v>
      </c>
      <c r="R15" s="2" t="e">
        <f ca="1"/>
        <v>#NAME?</v>
      </c>
      <c r="S15" s="2" t="e">
        <f t="shared" ca="1" si="8"/>
        <v>#NAME?</v>
      </c>
      <c r="T15" s="2" t="e">
        <f ca="1"/>
        <v>#NAME?</v>
      </c>
      <c r="U15" s="2" t="e">
        <f t="shared" ca="1" si="9"/>
        <v>#NAME?</v>
      </c>
      <c r="V15" s="2" t="e">
        <f ca="1"/>
        <v>#NAME?</v>
      </c>
      <c r="W15" s="2" t="e">
        <f t="shared" ca="1" si="10"/>
        <v>#NAME?</v>
      </c>
      <c r="X15" s="2" t="e">
        <f ca="1"/>
        <v>#NAME?</v>
      </c>
      <c r="Y15" s="2" t="e">
        <f t="shared" ca="1" si="11"/>
        <v>#NAME?</v>
      </c>
      <c r="Z15" s="2" t="e">
        <f ca="1"/>
        <v>#NAME?</v>
      </c>
      <c r="AA15" s="2" t="e">
        <f t="shared" ca="1" si="12"/>
        <v>#NAME?</v>
      </c>
      <c r="AB15" s="2" t="e">
        <f ca="1"/>
        <v>#NAME?</v>
      </c>
      <c r="AC15" s="2" t="e">
        <f t="shared" ca="1" si="13"/>
        <v>#NAME?</v>
      </c>
      <c r="AD15" s="2" t="e">
        <f ca="1"/>
        <v>#NAME?</v>
      </c>
      <c r="AE15" s="2" t="e">
        <f t="shared" ca="1" si="14"/>
        <v>#NAME?</v>
      </c>
      <c r="AF15" s="2" t="e">
        <f ca="1"/>
        <v>#NAME?</v>
      </c>
      <c r="AG15" s="2" t="e">
        <f t="shared" ca="1" si="15"/>
        <v>#NAME?</v>
      </c>
      <c r="AH15" s="2" t="e">
        <f ca="1"/>
        <v>#NAME?</v>
      </c>
      <c r="AI15" s="2" t="e">
        <f t="shared" ca="1" si="16"/>
        <v>#NAME?</v>
      </c>
      <c r="AJ15" s="2" t="e">
        <f ca="1"/>
        <v>#NAME?</v>
      </c>
      <c r="AK15" s="2" t="e">
        <f t="shared" ca="1" si="17"/>
        <v>#NAME?</v>
      </c>
      <c r="AL15" s="2" t="e">
        <f ca="1"/>
        <v>#NAME?</v>
      </c>
      <c r="AM15" s="2" t="e">
        <f t="shared" ca="1" si="18"/>
        <v>#NAME?</v>
      </c>
      <c r="AN15" s="2" t="e">
        <f ca="1"/>
        <v>#NAME?</v>
      </c>
      <c r="AO15" s="2" t="e">
        <f t="shared" ca="1" si="19"/>
        <v>#NAME?</v>
      </c>
      <c r="AP15" s="2" t="e">
        <f ca="1"/>
        <v>#NAME?</v>
      </c>
      <c r="AQ15" s="2" t="e">
        <f t="shared" ca="1" si="20"/>
        <v>#NAME?</v>
      </c>
      <c r="AR15" s="2" t="e">
        <f ca="1"/>
        <v>#NAME?</v>
      </c>
      <c r="AS15" s="2" t="e">
        <f t="shared" ca="1" si="21"/>
        <v>#NAME?</v>
      </c>
      <c r="AT15" s="2" t="e">
        <f ca="1"/>
        <v>#NAME?</v>
      </c>
      <c r="AU15" s="2" t="e">
        <f t="shared" ca="1" si="22"/>
        <v>#NAME?</v>
      </c>
      <c r="AV15" s="2" t="e">
        <f ca="1"/>
        <v>#NAME?</v>
      </c>
      <c r="AW15" s="2" t="e">
        <f t="shared" ca="1" si="23"/>
        <v>#NAME?</v>
      </c>
      <c r="AX15" s="2" t="e">
        <f ca="1"/>
        <v>#NAME?</v>
      </c>
      <c r="AY15" s="2" t="e">
        <f t="shared" ca="1" si="24"/>
        <v>#NAME?</v>
      </c>
      <c r="AZ15" s="2" t="e">
        <f ca="1"/>
        <v>#NAME?</v>
      </c>
      <c r="BA15" s="2" t="e">
        <f t="shared" ca="1" si="25"/>
        <v>#NAME?</v>
      </c>
      <c r="BB15" s="2" t="e">
        <f ca="1"/>
        <v>#NAME?</v>
      </c>
      <c r="BC15" s="2" t="e">
        <f t="shared" ca="1" si="26"/>
        <v>#NAME?</v>
      </c>
      <c r="BD15" s="2" t="e">
        <f ca="1"/>
        <v>#NAME?</v>
      </c>
      <c r="BE15" s="2" t="e">
        <f t="shared" ca="1" si="27"/>
        <v>#NAME?</v>
      </c>
      <c r="BF15" s="2" t="e">
        <f ca="1"/>
        <v>#NAME?</v>
      </c>
      <c r="BG15" s="2" t="e">
        <f t="shared" ca="1" si="28"/>
        <v>#NAME?</v>
      </c>
      <c r="BH15" s="2" t="e">
        <f ca="1"/>
        <v>#NAME?</v>
      </c>
      <c r="BI15" s="2" t="e">
        <f t="shared" ca="1" si="29"/>
        <v>#NAME?</v>
      </c>
      <c r="BJ15" s="2" t="e">
        <f ca="1"/>
        <v>#NAME?</v>
      </c>
      <c r="BK15" s="2" t="e">
        <f t="shared" ca="1" si="30"/>
        <v>#NAME?</v>
      </c>
      <c r="BL15" s="2" t="e">
        <f ca="1"/>
        <v>#NAME?</v>
      </c>
      <c r="BM15" s="2" t="e">
        <f t="shared" ca="1" si="31"/>
        <v>#NAME?</v>
      </c>
      <c r="BN15" s="2" t="e">
        <f ca="1"/>
        <v>#NAME?</v>
      </c>
      <c r="BO15" s="2" t="e">
        <f t="shared" ca="1" si="32"/>
        <v>#NAME?</v>
      </c>
      <c r="BP15" s="2" t="e">
        <f ca="1"/>
        <v>#NAME?</v>
      </c>
      <c r="BQ15" s="2" t="e">
        <f t="shared" ca="1" si="33"/>
        <v>#NAME?</v>
      </c>
      <c r="BR15" s="2" t="e">
        <f ca="1"/>
        <v>#NAME?</v>
      </c>
      <c r="BS15" s="2" t="e">
        <f t="shared" ca="1" si="34"/>
        <v>#NAME?</v>
      </c>
      <c r="BT15" s="2" t="e">
        <f ca="1"/>
        <v>#NAME?</v>
      </c>
      <c r="BU15" s="2" t="e">
        <f t="shared" ca="1" si="35"/>
        <v>#NAME?</v>
      </c>
      <c r="BV15" s="2" t="e">
        <f ca="1"/>
        <v>#NAME?</v>
      </c>
      <c r="BW15" s="2" t="e">
        <f t="shared" ca="1" si="36"/>
        <v>#NAME?</v>
      </c>
      <c r="BX15" s="2" t="e">
        <f ca="1"/>
        <v>#NAME?</v>
      </c>
      <c r="BY15" s="2" t="e">
        <f t="shared" ca="1" si="37"/>
        <v>#NAME?</v>
      </c>
      <c r="BZ15" s="2" t="e">
        <f ca="1"/>
        <v>#NAME?</v>
      </c>
      <c r="CA15" s="2" t="e">
        <f t="shared" ca="1" si="38"/>
        <v>#NAME?</v>
      </c>
      <c r="CB15" s="2" t="e">
        <f ca="1"/>
        <v>#NAME?</v>
      </c>
      <c r="CC15" s="2" t="e">
        <f t="shared" ca="1" si="39"/>
        <v>#NAME?</v>
      </c>
      <c r="CD15" s="2" t="e">
        <f ca="1"/>
        <v>#NAME?</v>
      </c>
      <c r="CE15" s="2" t="e">
        <f t="shared" ca="1" si="40"/>
        <v>#NAME?</v>
      </c>
      <c r="CF15" s="2" t="e">
        <f ca="1"/>
        <v>#NAME?</v>
      </c>
      <c r="CG15" s="2" t="e">
        <f t="shared" ca="1" si="41"/>
        <v>#NAME?</v>
      </c>
      <c r="CH15" s="2" t="e">
        <f ca="1"/>
        <v>#NAME?</v>
      </c>
      <c r="CI15" s="2" t="e">
        <f t="shared" ca="1" si="42"/>
        <v>#NAME?</v>
      </c>
      <c r="CJ15" s="2" t="e">
        <f ca="1"/>
        <v>#NAME?</v>
      </c>
      <c r="CK15" s="2" t="e">
        <f t="shared" ca="1" si="43"/>
        <v>#NAME?</v>
      </c>
      <c r="CL15" s="2" t="e">
        <f ca="1"/>
        <v>#NAME?</v>
      </c>
      <c r="CM15" s="2" t="e">
        <f t="shared" ca="1" si="44"/>
        <v>#NAME?</v>
      </c>
      <c r="CN15" s="2" t="e">
        <f ca="1"/>
        <v>#NAME?</v>
      </c>
      <c r="CO15" s="2" t="e">
        <f t="shared" ca="1" si="45"/>
        <v>#NAME?</v>
      </c>
      <c r="CP15" s="2" t="e">
        <f ca="1"/>
        <v>#NAME?</v>
      </c>
      <c r="CQ15" s="2" t="e">
        <f t="shared" ca="1" si="46"/>
        <v>#NAME?</v>
      </c>
    </row>
    <row r="16" spans="1:95">
      <c r="A16" s="7" t="e">
        <f ca="1"/>
        <v>#NAME?</v>
      </c>
      <c r="B16" s="2" t="e">
        <f ca="1"/>
        <v>#NAME?</v>
      </c>
      <c r="C16" s="2" t="e">
        <f t="shared" ca="1" si="0"/>
        <v>#NAME?</v>
      </c>
      <c r="D16" s="2" t="e">
        <f ca="1"/>
        <v>#NAME?</v>
      </c>
      <c r="E16" s="2" t="e">
        <f t="shared" ca="1" si="1"/>
        <v>#NAME?</v>
      </c>
      <c r="F16" s="2" t="e">
        <f ca="1"/>
        <v>#NAME?</v>
      </c>
      <c r="G16" s="2" t="e">
        <f t="shared" ca="1" si="2"/>
        <v>#NAME?</v>
      </c>
      <c r="H16" s="2" t="e">
        <f ca="1"/>
        <v>#NAME?</v>
      </c>
      <c r="I16" s="2" t="e">
        <f t="shared" ca="1" si="3"/>
        <v>#NAME?</v>
      </c>
      <c r="J16" s="2" t="e">
        <f ca="1"/>
        <v>#NAME?</v>
      </c>
      <c r="K16" s="2" t="e">
        <f t="shared" ca="1" si="4"/>
        <v>#NAME?</v>
      </c>
      <c r="L16" s="2" t="e">
        <f ca="1"/>
        <v>#NAME?</v>
      </c>
      <c r="M16" s="2" t="e">
        <f t="shared" ca="1" si="5"/>
        <v>#NAME?</v>
      </c>
      <c r="N16" s="2" t="e">
        <f ca="1"/>
        <v>#NAME?</v>
      </c>
      <c r="O16" s="2" t="e">
        <f t="shared" ca="1" si="6"/>
        <v>#NAME?</v>
      </c>
      <c r="P16" s="2" t="e">
        <f ca="1"/>
        <v>#NAME?</v>
      </c>
      <c r="Q16" s="2" t="e">
        <f t="shared" ca="1" si="7"/>
        <v>#NAME?</v>
      </c>
      <c r="R16" s="2" t="e">
        <f ca="1"/>
        <v>#NAME?</v>
      </c>
      <c r="S16" s="2" t="e">
        <f t="shared" ca="1" si="8"/>
        <v>#NAME?</v>
      </c>
      <c r="T16" s="2" t="e">
        <f ca="1"/>
        <v>#NAME?</v>
      </c>
      <c r="U16" s="2" t="e">
        <f t="shared" ca="1" si="9"/>
        <v>#NAME?</v>
      </c>
      <c r="V16" s="2" t="e">
        <f ca="1"/>
        <v>#NAME?</v>
      </c>
      <c r="W16" s="2" t="e">
        <f t="shared" ca="1" si="10"/>
        <v>#NAME?</v>
      </c>
      <c r="X16" s="2" t="e">
        <f ca="1"/>
        <v>#NAME?</v>
      </c>
      <c r="Y16" s="2" t="e">
        <f t="shared" ca="1" si="11"/>
        <v>#NAME?</v>
      </c>
      <c r="Z16" s="2" t="e">
        <f ca="1"/>
        <v>#NAME?</v>
      </c>
      <c r="AA16" s="2" t="e">
        <f t="shared" ca="1" si="12"/>
        <v>#NAME?</v>
      </c>
      <c r="AB16" s="2" t="e">
        <f ca="1"/>
        <v>#NAME?</v>
      </c>
      <c r="AC16" s="2" t="e">
        <f t="shared" ca="1" si="13"/>
        <v>#NAME?</v>
      </c>
      <c r="AD16" s="2" t="e">
        <f ca="1"/>
        <v>#NAME?</v>
      </c>
      <c r="AE16" s="2" t="e">
        <f t="shared" ca="1" si="14"/>
        <v>#NAME?</v>
      </c>
      <c r="AF16" s="2" t="e">
        <f ca="1"/>
        <v>#NAME?</v>
      </c>
      <c r="AG16" s="2" t="e">
        <f t="shared" ca="1" si="15"/>
        <v>#NAME?</v>
      </c>
      <c r="AH16" s="2" t="e">
        <f ca="1"/>
        <v>#NAME?</v>
      </c>
      <c r="AI16" s="2" t="e">
        <f t="shared" ca="1" si="16"/>
        <v>#NAME?</v>
      </c>
      <c r="AJ16" s="2" t="e">
        <f ca="1"/>
        <v>#NAME?</v>
      </c>
      <c r="AK16" s="2" t="e">
        <f t="shared" ca="1" si="17"/>
        <v>#NAME?</v>
      </c>
      <c r="AL16" s="2" t="e">
        <f ca="1"/>
        <v>#NAME?</v>
      </c>
      <c r="AM16" s="2" t="e">
        <f t="shared" ca="1" si="18"/>
        <v>#NAME?</v>
      </c>
      <c r="AN16" s="2" t="e">
        <f ca="1"/>
        <v>#NAME?</v>
      </c>
      <c r="AO16" s="2" t="e">
        <f t="shared" ca="1" si="19"/>
        <v>#NAME?</v>
      </c>
      <c r="AP16" s="2" t="e">
        <f ca="1"/>
        <v>#NAME?</v>
      </c>
      <c r="AQ16" s="2" t="e">
        <f t="shared" ca="1" si="20"/>
        <v>#NAME?</v>
      </c>
      <c r="AR16" s="2" t="e">
        <f ca="1"/>
        <v>#NAME?</v>
      </c>
      <c r="AS16" s="2" t="e">
        <f t="shared" ca="1" si="21"/>
        <v>#NAME?</v>
      </c>
      <c r="AT16" s="2" t="e">
        <f ca="1"/>
        <v>#NAME?</v>
      </c>
      <c r="AU16" s="2" t="e">
        <f t="shared" ca="1" si="22"/>
        <v>#NAME?</v>
      </c>
      <c r="AV16" s="2" t="e">
        <f ca="1"/>
        <v>#NAME?</v>
      </c>
      <c r="AW16" s="2" t="e">
        <f t="shared" ca="1" si="23"/>
        <v>#NAME?</v>
      </c>
      <c r="AX16" s="2" t="e">
        <f ca="1"/>
        <v>#NAME?</v>
      </c>
      <c r="AY16" s="2" t="e">
        <f t="shared" ca="1" si="24"/>
        <v>#NAME?</v>
      </c>
      <c r="AZ16" s="2" t="e">
        <f ca="1"/>
        <v>#NAME?</v>
      </c>
      <c r="BA16" s="2" t="e">
        <f t="shared" ca="1" si="25"/>
        <v>#NAME?</v>
      </c>
      <c r="BB16" s="2" t="e">
        <f ca="1"/>
        <v>#NAME?</v>
      </c>
      <c r="BC16" s="2" t="e">
        <f t="shared" ca="1" si="26"/>
        <v>#NAME?</v>
      </c>
      <c r="BD16" s="2" t="e">
        <f ca="1"/>
        <v>#NAME?</v>
      </c>
      <c r="BE16" s="2" t="e">
        <f t="shared" ca="1" si="27"/>
        <v>#NAME?</v>
      </c>
      <c r="BF16" s="2" t="e">
        <f ca="1"/>
        <v>#NAME?</v>
      </c>
      <c r="BG16" s="2" t="e">
        <f t="shared" ca="1" si="28"/>
        <v>#NAME?</v>
      </c>
      <c r="BH16" s="2" t="e">
        <f ca="1"/>
        <v>#NAME?</v>
      </c>
      <c r="BI16" s="2" t="e">
        <f t="shared" ca="1" si="29"/>
        <v>#NAME?</v>
      </c>
      <c r="BJ16" s="2" t="e">
        <f ca="1"/>
        <v>#NAME?</v>
      </c>
      <c r="BK16" s="2" t="e">
        <f t="shared" ca="1" si="30"/>
        <v>#NAME?</v>
      </c>
      <c r="BL16" s="2" t="e">
        <f ca="1"/>
        <v>#NAME?</v>
      </c>
      <c r="BM16" s="2" t="e">
        <f t="shared" ca="1" si="31"/>
        <v>#NAME?</v>
      </c>
      <c r="BN16" s="2" t="e">
        <f ca="1"/>
        <v>#NAME?</v>
      </c>
      <c r="BO16" s="2" t="e">
        <f t="shared" ca="1" si="32"/>
        <v>#NAME?</v>
      </c>
      <c r="BP16" s="2" t="e">
        <f ca="1"/>
        <v>#NAME?</v>
      </c>
      <c r="BQ16" s="2" t="e">
        <f t="shared" ca="1" si="33"/>
        <v>#NAME?</v>
      </c>
      <c r="BR16" s="2" t="e">
        <f ca="1"/>
        <v>#NAME?</v>
      </c>
      <c r="BS16" s="2" t="e">
        <f t="shared" ca="1" si="34"/>
        <v>#NAME?</v>
      </c>
      <c r="BT16" s="2" t="e">
        <f ca="1"/>
        <v>#NAME?</v>
      </c>
      <c r="BU16" s="2" t="e">
        <f t="shared" ca="1" si="35"/>
        <v>#NAME?</v>
      </c>
      <c r="BV16" s="2" t="e">
        <f ca="1"/>
        <v>#NAME?</v>
      </c>
      <c r="BW16" s="2" t="e">
        <f t="shared" ca="1" si="36"/>
        <v>#NAME?</v>
      </c>
      <c r="BX16" s="2" t="e">
        <f ca="1"/>
        <v>#NAME?</v>
      </c>
      <c r="BY16" s="2" t="e">
        <f t="shared" ca="1" si="37"/>
        <v>#NAME?</v>
      </c>
      <c r="BZ16" s="2" t="e">
        <f ca="1"/>
        <v>#NAME?</v>
      </c>
      <c r="CA16" s="2" t="e">
        <f t="shared" ca="1" si="38"/>
        <v>#NAME?</v>
      </c>
      <c r="CB16" s="2" t="e">
        <f ca="1"/>
        <v>#NAME?</v>
      </c>
      <c r="CC16" s="2" t="e">
        <f t="shared" ca="1" si="39"/>
        <v>#NAME?</v>
      </c>
      <c r="CD16" s="2" t="e">
        <f ca="1"/>
        <v>#NAME?</v>
      </c>
      <c r="CE16" s="2" t="e">
        <f t="shared" ca="1" si="40"/>
        <v>#NAME?</v>
      </c>
      <c r="CF16" s="2" t="e">
        <f ca="1"/>
        <v>#NAME?</v>
      </c>
      <c r="CG16" s="2" t="e">
        <f t="shared" ca="1" si="41"/>
        <v>#NAME?</v>
      </c>
      <c r="CH16" s="2" t="e">
        <f ca="1"/>
        <v>#NAME?</v>
      </c>
      <c r="CI16" s="2" t="e">
        <f t="shared" ca="1" si="42"/>
        <v>#NAME?</v>
      </c>
      <c r="CJ16" s="2" t="e">
        <f ca="1"/>
        <v>#NAME?</v>
      </c>
      <c r="CK16" s="2" t="e">
        <f t="shared" ca="1" si="43"/>
        <v>#NAME?</v>
      </c>
      <c r="CL16" s="2" t="e">
        <f ca="1"/>
        <v>#NAME?</v>
      </c>
      <c r="CM16" s="2" t="e">
        <f t="shared" ca="1" si="44"/>
        <v>#NAME?</v>
      </c>
      <c r="CN16" s="2" t="e">
        <f ca="1"/>
        <v>#NAME?</v>
      </c>
      <c r="CO16" s="2" t="e">
        <f t="shared" ca="1" si="45"/>
        <v>#NAME?</v>
      </c>
      <c r="CP16" s="2" t="e">
        <f ca="1"/>
        <v>#NAME?</v>
      </c>
      <c r="CQ16" s="2" t="e">
        <f t="shared" ca="1" si="46"/>
        <v>#NAME?</v>
      </c>
    </row>
    <row r="17" spans="1:95">
      <c r="A17" s="7" t="e">
        <f ca="1"/>
        <v>#NAME?</v>
      </c>
      <c r="B17" s="2" t="e">
        <f ca="1"/>
        <v>#NAME?</v>
      </c>
      <c r="C17" s="2" t="e">
        <f t="shared" ca="1" si="0"/>
        <v>#NAME?</v>
      </c>
      <c r="D17" s="2" t="e">
        <f ca="1"/>
        <v>#NAME?</v>
      </c>
      <c r="E17" s="2" t="e">
        <f t="shared" ca="1" si="1"/>
        <v>#NAME?</v>
      </c>
      <c r="F17" s="2" t="e">
        <f ca="1"/>
        <v>#NAME?</v>
      </c>
      <c r="G17" s="2" t="e">
        <f t="shared" ca="1" si="2"/>
        <v>#NAME?</v>
      </c>
      <c r="H17" s="2" t="e">
        <f ca="1"/>
        <v>#NAME?</v>
      </c>
      <c r="I17" s="2" t="e">
        <f t="shared" ca="1" si="3"/>
        <v>#NAME?</v>
      </c>
      <c r="J17" s="2" t="e">
        <f ca="1"/>
        <v>#NAME?</v>
      </c>
      <c r="K17" s="2" t="e">
        <f t="shared" ca="1" si="4"/>
        <v>#NAME?</v>
      </c>
      <c r="L17" s="2" t="e">
        <f ca="1"/>
        <v>#NAME?</v>
      </c>
      <c r="M17" s="2" t="e">
        <f t="shared" ca="1" si="5"/>
        <v>#NAME?</v>
      </c>
      <c r="N17" s="2" t="e">
        <f ca="1"/>
        <v>#NAME?</v>
      </c>
      <c r="O17" s="2" t="e">
        <f t="shared" ca="1" si="6"/>
        <v>#NAME?</v>
      </c>
      <c r="P17" s="2" t="e">
        <f ca="1"/>
        <v>#NAME?</v>
      </c>
      <c r="Q17" s="2" t="e">
        <f t="shared" ca="1" si="7"/>
        <v>#NAME?</v>
      </c>
      <c r="R17" s="2" t="e">
        <f ca="1"/>
        <v>#NAME?</v>
      </c>
      <c r="S17" s="2" t="e">
        <f t="shared" ca="1" si="8"/>
        <v>#NAME?</v>
      </c>
      <c r="T17" s="2" t="e">
        <f ca="1"/>
        <v>#NAME?</v>
      </c>
      <c r="U17" s="2" t="e">
        <f t="shared" ca="1" si="9"/>
        <v>#NAME?</v>
      </c>
      <c r="V17" s="2" t="e">
        <f ca="1"/>
        <v>#NAME?</v>
      </c>
      <c r="W17" s="2" t="e">
        <f t="shared" ca="1" si="10"/>
        <v>#NAME?</v>
      </c>
      <c r="X17" s="2" t="e">
        <f ca="1"/>
        <v>#NAME?</v>
      </c>
      <c r="Y17" s="2" t="e">
        <f t="shared" ca="1" si="11"/>
        <v>#NAME?</v>
      </c>
      <c r="Z17" s="2" t="e">
        <f ca="1"/>
        <v>#NAME?</v>
      </c>
      <c r="AA17" s="2" t="e">
        <f t="shared" ca="1" si="12"/>
        <v>#NAME?</v>
      </c>
      <c r="AB17" s="2" t="e">
        <f ca="1"/>
        <v>#NAME?</v>
      </c>
      <c r="AC17" s="2" t="e">
        <f t="shared" ca="1" si="13"/>
        <v>#NAME?</v>
      </c>
      <c r="AD17" s="2" t="e">
        <f ca="1"/>
        <v>#NAME?</v>
      </c>
      <c r="AE17" s="2" t="e">
        <f t="shared" ca="1" si="14"/>
        <v>#NAME?</v>
      </c>
      <c r="AF17" s="2" t="e">
        <f ca="1"/>
        <v>#NAME?</v>
      </c>
      <c r="AG17" s="2" t="e">
        <f t="shared" ca="1" si="15"/>
        <v>#NAME?</v>
      </c>
      <c r="AH17" s="2" t="e">
        <f ca="1"/>
        <v>#NAME?</v>
      </c>
      <c r="AI17" s="2" t="e">
        <f t="shared" ca="1" si="16"/>
        <v>#NAME?</v>
      </c>
      <c r="AJ17" s="2" t="e">
        <f ca="1"/>
        <v>#NAME?</v>
      </c>
      <c r="AK17" s="2" t="e">
        <f t="shared" ca="1" si="17"/>
        <v>#NAME?</v>
      </c>
      <c r="AL17" s="2" t="e">
        <f ca="1"/>
        <v>#NAME?</v>
      </c>
      <c r="AM17" s="2" t="e">
        <f t="shared" ca="1" si="18"/>
        <v>#NAME?</v>
      </c>
      <c r="AN17" s="2" t="e">
        <f ca="1"/>
        <v>#NAME?</v>
      </c>
      <c r="AO17" s="2" t="e">
        <f t="shared" ca="1" si="19"/>
        <v>#NAME?</v>
      </c>
      <c r="AP17" s="2" t="e">
        <f ca="1"/>
        <v>#NAME?</v>
      </c>
      <c r="AQ17" s="2" t="e">
        <f t="shared" ca="1" si="20"/>
        <v>#NAME?</v>
      </c>
      <c r="AR17" s="2" t="e">
        <f ca="1"/>
        <v>#NAME?</v>
      </c>
      <c r="AS17" s="2" t="e">
        <f t="shared" ca="1" si="21"/>
        <v>#NAME?</v>
      </c>
      <c r="AT17" s="2" t="e">
        <f ca="1"/>
        <v>#NAME?</v>
      </c>
      <c r="AU17" s="2" t="e">
        <f t="shared" ca="1" si="22"/>
        <v>#NAME?</v>
      </c>
      <c r="AV17" s="2" t="e">
        <f ca="1"/>
        <v>#NAME?</v>
      </c>
      <c r="AW17" s="2" t="e">
        <f t="shared" ca="1" si="23"/>
        <v>#NAME?</v>
      </c>
      <c r="AX17" s="2" t="e">
        <f ca="1"/>
        <v>#NAME?</v>
      </c>
      <c r="AY17" s="2" t="e">
        <f t="shared" ca="1" si="24"/>
        <v>#NAME?</v>
      </c>
      <c r="AZ17" s="2" t="e">
        <f ca="1"/>
        <v>#NAME?</v>
      </c>
      <c r="BA17" s="2" t="e">
        <f t="shared" ca="1" si="25"/>
        <v>#NAME?</v>
      </c>
      <c r="BB17" s="2" t="e">
        <f ca="1"/>
        <v>#NAME?</v>
      </c>
      <c r="BC17" s="2" t="e">
        <f t="shared" ca="1" si="26"/>
        <v>#NAME?</v>
      </c>
      <c r="BD17" s="2" t="e">
        <f ca="1"/>
        <v>#NAME?</v>
      </c>
      <c r="BE17" s="2" t="e">
        <f t="shared" ca="1" si="27"/>
        <v>#NAME?</v>
      </c>
      <c r="BF17" s="2" t="e">
        <f ca="1"/>
        <v>#NAME?</v>
      </c>
      <c r="BG17" s="2" t="e">
        <f t="shared" ca="1" si="28"/>
        <v>#NAME?</v>
      </c>
      <c r="BH17" s="2" t="e">
        <f ca="1"/>
        <v>#NAME?</v>
      </c>
      <c r="BI17" s="2" t="e">
        <f t="shared" ca="1" si="29"/>
        <v>#NAME?</v>
      </c>
      <c r="BJ17" s="2" t="e">
        <f ca="1"/>
        <v>#NAME?</v>
      </c>
      <c r="BK17" s="2" t="e">
        <f t="shared" ca="1" si="30"/>
        <v>#NAME?</v>
      </c>
      <c r="BL17" s="2" t="e">
        <f ca="1"/>
        <v>#NAME?</v>
      </c>
      <c r="BM17" s="2" t="e">
        <f t="shared" ca="1" si="31"/>
        <v>#NAME?</v>
      </c>
      <c r="BN17" s="2" t="e">
        <f ca="1"/>
        <v>#NAME?</v>
      </c>
      <c r="BO17" s="2" t="e">
        <f t="shared" ca="1" si="32"/>
        <v>#NAME?</v>
      </c>
      <c r="BP17" s="2" t="e">
        <f ca="1"/>
        <v>#NAME?</v>
      </c>
      <c r="BQ17" s="2" t="e">
        <f t="shared" ca="1" si="33"/>
        <v>#NAME?</v>
      </c>
      <c r="BR17" s="2" t="e">
        <f ca="1"/>
        <v>#NAME?</v>
      </c>
      <c r="BS17" s="2" t="e">
        <f t="shared" ca="1" si="34"/>
        <v>#NAME?</v>
      </c>
      <c r="BT17" s="2" t="e">
        <f ca="1"/>
        <v>#NAME?</v>
      </c>
      <c r="BU17" s="2" t="e">
        <f t="shared" ca="1" si="35"/>
        <v>#NAME?</v>
      </c>
      <c r="BV17" s="2" t="e">
        <f ca="1"/>
        <v>#NAME?</v>
      </c>
      <c r="BW17" s="2" t="e">
        <f t="shared" ca="1" si="36"/>
        <v>#NAME?</v>
      </c>
      <c r="BX17" s="2" t="e">
        <f ca="1"/>
        <v>#NAME?</v>
      </c>
      <c r="BY17" s="2" t="e">
        <f t="shared" ca="1" si="37"/>
        <v>#NAME?</v>
      </c>
      <c r="BZ17" s="2" t="e">
        <f ca="1"/>
        <v>#NAME?</v>
      </c>
      <c r="CA17" s="2" t="e">
        <f t="shared" ca="1" si="38"/>
        <v>#NAME?</v>
      </c>
      <c r="CB17" s="2" t="e">
        <f ca="1"/>
        <v>#NAME?</v>
      </c>
      <c r="CC17" s="2" t="e">
        <f t="shared" ca="1" si="39"/>
        <v>#NAME?</v>
      </c>
      <c r="CD17" s="2" t="e">
        <f ca="1"/>
        <v>#NAME?</v>
      </c>
      <c r="CE17" s="2" t="e">
        <f t="shared" ca="1" si="40"/>
        <v>#NAME?</v>
      </c>
      <c r="CF17" s="2" t="e">
        <f ca="1"/>
        <v>#NAME?</v>
      </c>
      <c r="CG17" s="2" t="e">
        <f t="shared" ca="1" si="41"/>
        <v>#NAME?</v>
      </c>
      <c r="CH17" s="2" t="e">
        <f ca="1"/>
        <v>#NAME?</v>
      </c>
      <c r="CI17" s="2" t="e">
        <f t="shared" ca="1" si="42"/>
        <v>#NAME?</v>
      </c>
      <c r="CJ17" s="2" t="e">
        <f ca="1"/>
        <v>#NAME?</v>
      </c>
      <c r="CK17" s="2" t="e">
        <f t="shared" ca="1" si="43"/>
        <v>#NAME?</v>
      </c>
      <c r="CL17" s="2" t="e">
        <f ca="1"/>
        <v>#NAME?</v>
      </c>
      <c r="CM17" s="2" t="e">
        <f t="shared" ca="1" si="44"/>
        <v>#NAME?</v>
      </c>
      <c r="CN17" s="2" t="e">
        <f ca="1"/>
        <v>#NAME?</v>
      </c>
      <c r="CO17" s="2" t="e">
        <f t="shared" ca="1" si="45"/>
        <v>#NAME?</v>
      </c>
      <c r="CP17" s="2" t="e">
        <f ca="1"/>
        <v>#NAME?</v>
      </c>
      <c r="CQ17" s="2" t="e">
        <f t="shared" ca="1" si="46"/>
        <v>#NAME?</v>
      </c>
    </row>
    <row r="18" spans="1:95">
      <c r="A18" s="7" t="e">
        <f ca="1"/>
        <v>#NAME?</v>
      </c>
      <c r="B18" s="2" t="e">
        <f ca="1"/>
        <v>#NAME?</v>
      </c>
      <c r="C18" s="2" t="e">
        <f t="shared" ca="1" si="0"/>
        <v>#NAME?</v>
      </c>
      <c r="D18" s="2" t="e">
        <f ca="1"/>
        <v>#NAME?</v>
      </c>
      <c r="E18" s="2" t="e">
        <f t="shared" ca="1" si="1"/>
        <v>#NAME?</v>
      </c>
      <c r="F18" s="2" t="e">
        <f ca="1"/>
        <v>#NAME?</v>
      </c>
      <c r="G18" s="2" t="e">
        <f t="shared" ca="1" si="2"/>
        <v>#NAME?</v>
      </c>
      <c r="H18" s="2" t="e">
        <f ca="1"/>
        <v>#NAME?</v>
      </c>
      <c r="I18" s="2" t="e">
        <f t="shared" ca="1" si="3"/>
        <v>#NAME?</v>
      </c>
      <c r="J18" s="2" t="e">
        <f ca="1"/>
        <v>#NAME?</v>
      </c>
      <c r="K18" s="2" t="e">
        <f t="shared" ca="1" si="4"/>
        <v>#NAME?</v>
      </c>
      <c r="L18" s="2" t="e">
        <f ca="1"/>
        <v>#NAME?</v>
      </c>
      <c r="M18" s="2" t="e">
        <f t="shared" ca="1" si="5"/>
        <v>#NAME?</v>
      </c>
      <c r="N18" s="2" t="e">
        <f ca="1"/>
        <v>#NAME?</v>
      </c>
      <c r="O18" s="2" t="e">
        <f t="shared" ca="1" si="6"/>
        <v>#NAME?</v>
      </c>
      <c r="P18" s="2" t="e">
        <f ca="1"/>
        <v>#NAME?</v>
      </c>
      <c r="Q18" s="2" t="e">
        <f t="shared" ca="1" si="7"/>
        <v>#NAME?</v>
      </c>
      <c r="R18" s="2" t="e">
        <f ca="1"/>
        <v>#NAME?</v>
      </c>
      <c r="S18" s="2" t="e">
        <f t="shared" ca="1" si="8"/>
        <v>#NAME?</v>
      </c>
      <c r="T18" s="2" t="e">
        <f ca="1"/>
        <v>#NAME?</v>
      </c>
      <c r="U18" s="2" t="e">
        <f t="shared" ca="1" si="9"/>
        <v>#NAME?</v>
      </c>
      <c r="V18" s="2" t="e">
        <f ca="1"/>
        <v>#NAME?</v>
      </c>
      <c r="W18" s="2" t="e">
        <f t="shared" ca="1" si="10"/>
        <v>#NAME?</v>
      </c>
      <c r="X18" s="2" t="e">
        <f ca="1"/>
        <v>#NAME?</v>
      </c>
      <c r="Y18" s="2" t="e">
        <f t="shared" ca="1" si="11"/>
        <v>#NAME?</v>
      </c>
      <c r="Z18" s="2" t="e">
        <f ca="1"/>
        <v>#NAME?</v>
      </c>
      <c r="AA18" s="2" t="e">
        <f t="shared" ca="1" si="12"/>
        <v>#NAME?</v>
      </c>
      <c r="AB18" s="2" t="e">
        <f ca="1"/>
        <v>#NAME?</v>
      </c>
      <c r="AC18" s="2" t="e">
        <f t="shared" ca="1" si="13"/>
        <v>#NAME?</v>
      </c>
      <c r="AD18" s="2" t="e">
        <f ca="1"/>
        <v>#NAME?</v>
      </c>
      <c r="AE18" s="2" t="e">
        <f t="shared" ca="1" si="14"/>
        <v>#NAME?</v>
      </c>
      <c r="AF18" s="2" t="e">
        <f ca="1"/>
        <v>#NAME?</v>
      </c>
      <c r="AG18" s="2" t="e">
        <f t="shared" ca="1" si="15"/>
        <v>#NAME?</v>
      </c>
      <c r="AH18" s="2" t="e">
        <f ca="1"/>
        <v>#NAME?</v>
      </c>
      <c r="AI18" s="2" t="e">
        <f t="shared" ca="1" si="16"/>
        <v>#NAME?</v>
      </c>
      <c r="AJ18" s="2" t="e">
        <f ca="1"/>
        <v>#NAME?</v>
      </c>
      <c r="AK18" s="2" t="e">
        <f t="shared" ca="1" si="17"/>
        <v>#NAME?</v>
      </c>
      <c r="AL18" s="2" t="e">
        <f ca="1"/>
        <v>#NAME?</v>
      </c>
      <c r="AM18" s="2" t="e">
        <f t="shared" ca="1" si="18"/>
        <v>#NAME?</v>
      </c>
      <c r="AN18" s="2" t="e">
        <f ca="1"/>
        <v>#NAME?</v>
      </c>
      <c r="AO18" s="2" t="e">
        <f t="shared" ca="1" si="19"/>
        <v>#NAME?</v>
      </c>
      <c r="AP18" s="2" t="e">
        <f ca="1"/>
        <v>#NAME?</v>
      </c>
      <c r="AQ18" s="2" t="e">
        <f t="shared" ca="1" si="20"/>
        <v>#NAME?</v>
      </c>
      <c r="AR18" s="2" t="e">
        <f ca="1"/>
        <v>#NAME?</v>
      </c>
      <c r="AS18" s="2" t="e">
        <f t="shared" ca="1" si="21"/>
        <v>#NAME?</v>
      </c>
      <c r="AT18" s="2" t="e">
        <f ca="1"/>
        <v>#NAME?</v>
      </c>
      <c r="AU18" s="2" t="e">
        <f t="shared" ca="1" si="22"/>
        <v>#NAME?</v>
      </c>
      <c r="AV18" s="2" t="e">
        <f ca="1"/>
        <v>#NAME?</v>
      </c>
      <c r="AW18" s="2" t="e">
        <f t="shared" ca="1" si="23"/>
        <v>#NAME?</v>
      </c>
      <c r="AX18" s="2" t="e">
        <f ca="1"/>
        <v>#NAME?</v>
      </c>
      <c r="AY18" s="2" t="e">
        <f t="shared" ca="1" si="24"/>
        <v>#NAME?</v>
      </c>
      <c r="AZ18" s="2" t="e">
        <f ca="1"/>
        <v>#NAME?</v>
      </c>
      <c r="BA18" s="2" t="e">
        <f t="shared" ca="1" si="25"/>
        <v>#NAME?</v>
      </c>
      <c r="BB18" s="2" t="e">
        <f ca="1"/>
        <v>#NAME?</v>
      </c>
      <c r="BC18" s="2" t="e">
        <f t="shared" ca="1" si="26"/>
        <v>#NAME?</v>
      </c>
      <c r="BD18" s="2" t="e">
        <f ca="1"/>
        <v>#NAME?</v>
      </c>
      <c r="BE18" s="2" t="e">
        <f t="shared" ca="1" si="27"/>
        <v>#NAME?</v>
      </c>
      <c r="BF18" s="2" t="e">
        <f ca="1"/>
        <v>#NAME?</v>
      </c>
      <c r="BG18" s="2" t="e">
        <f t="shared" ca="1" si="28"/>
        <v>#NAME?</v>
      </c>
      <c r="BH18" s="2" t="e">
        <f ca="1"/>
        <v>#NAME?</v>
      </c>
      <c r="BI18" s="2" t="e">
        <f t="shared" ca="1" si="29"/>
        <v>#NAME?</v>
      </c>
      <c r="BJ18" s="2" t="e">
        <f ca="1"/>
        <v>#NAME?</v>
      </c>
      <c r="BK18" s="2" t="e">
        <f t="shared" ca="1" si="30"/>
        <v>#NAME?</v>
      </c>
      <c r="BL18" s="2" t="e">
        <f ca="1"/>
        <v>#NAME?</v>
      </c>
      <c r="BM18" s="2" t="e">
        <f t="shared" ca="1" si="31"/>
        <v>#NAME?</v>
      </c>
      <c r="BN18" s="2" t="e">
        <f ca="1"/>
        <v>#NAME?</v>
      </c>
      <c r="BO18" s="2" t="e">
        <f t="shared" ca="1" si="32"/>
        <v>#NAME?</v>
      </c>
      <c r="BP18" s="2" t="e">
        <f ca="1"/>
        <v>#NAME?</v>
      </c>
      <c r="BQ18" s="2" t="e">
        <f t="shared" ca="1" si="33"/>
        <v>#NAME?</v>
      </c>
      <c r="BR18" s="2" t="e">
        <f ca="1"/>
        <v>#NAME?</v>
      </c>
      <c r="BS18" s="2" t="e">
        <f t="shared" ca="1" si="34"/>
        <v>#NAME?</v>
      </c>
      <c r="BT18" s="2" t="e">
        <f ca="1"/>
        <v>#NAME?</v>
      </c>
      <c r="BU18" s="2" t="e">
        <f t="shared" ca="1" si="35"/>
        <v>#NAME?</v>
      </c>
      <c r="BV18" s="2" t="e">
        <f ca="1"/>
        <v>#NAME?</v>
      </c>
      <c r="BW18" s="2" t="e">
        <f t="shared" ca="1" si="36"/>
        <v>#NAME?</v>
      </c>
      <c r="BX18" s="2" t="e">
        <f ca="1"/>
        <v>#NAME?</v>
      </c>
      <c r="BY18" s="2" t="e">
        <f t="shared" ca="1" si="37"/>
        <v>#NAME?</v>
      </c>
      <c r="BZ18" s="2" t="e">
        <f ca="1"/>
        <v>#NAME?</v>
      </c>
      <c r="CA18" s="2" t="e">
        <f t="shared" ca="1" si="38"/>
        <v>#NAME?</v>
      </c>
      <c r="CB18" s="2" t="e">
        <f ca="1"/>
        <v>#NAME?</v>
      </c>
      <c r="CC18" s="2" t="e">
        <f t="shared" ca="1" si="39"/>
        <v>#NAME?</v>
      </c>
      <c r="CD18" s="2" t="e">
        <f ca="1"/>
        <v>#NAME?</v>
      </c>
      <c r="CE18" s="2" t="e">
        <f t="shared" ca="1" si="40"/>
        <v>#NAME?</v>
      </c>
      <c r="CF18" s="2" t="e">
        <f ca="1"/>
        <v>#NAME?</v>
      </c>
      <c r="CG18" s="2" t="e">
        <f t="shared" ca="1" si="41"/>
        <v>#NAME?</v>
      </c>
      <c r="CH18" s="2" t="e">
        <f ca="1"/>
        <v>#NAME?</v>
      </c>
      <c r="CI18" s="2" t="e">
        <f t="shared" ca="1" si="42"/>
        <v>#NAME?</v>
      </c>
      <c r="CJ18" s="2" t="e">
        <f ca="1"/>
        <v>#NAME?</v>
      </c>
      <c r="CK18" s="2" t="e">
        <f t="shared" ca="1" si="43"/>
        <v>#NAME?</v>
      </c>
      <c r="CL18" s="2" t="e">
        <f ca="1"/>
        <v>#NAME?</v>
      </c>
      <c r="CM18" s="2" t="e">
        <f t="shared" ca="1" si="44"/>
        <v>#NAME?</v>
      </c>
      <c r="CN18" s="2" t="e">
        <f ca="1"/>
        <v>#NAME?</v>
      </c>
      <c r="CO18" s="2" t="e">
        <f t="shared" ca="1" si="45"/>
        <v>#NAME?</v>
      </c>
      <c r="CP18" s="2" t="e">
        <f ca="1"/>
        <v>#NAME?</v>
      </c>
      <c r="CQ18" s="2" t="e">
        <f t="shared" ca="1" si="46"/>
        <v>#NAME?</v>
      </c>
    </row>
    <row r="19" spans="1:95">
      <c r="A19" s="7" t="e">
        <f ca="1"/>
        <v>#NAME?</v>
      </c>
      <c r="B19" s="2" t="e">
        <f ca="1"/>
        <v>#NAME?</v>
      </c>
      <c r="C19" s="2" t="e">
        <f t="shared" ca="1" si="0"/>
        <v>#NAME?</v>
      </c>
      <c r="D19" s="2" t="e">
        <f ca="1"/>
        <v>#NAME?</v>
      </c>
      <c r="E19" s="2" t="e">
        <f t="shared" ca="1" si="1"/>
        <v>#NAME?</v>
      </c>
      <c r="F19" s="2" t="e">
        <f ca="1"/>
        <v>#NAME?</v>
      </c>
      <c r="G19" s="2" t="e">
        <f t="shared" ca="1" si="2"/>
        <v>#NAME?</v>
      </c>
      <c r="H19" s="2" t="e">
        <f ca="1"/>
        <v>#NAME?</v>
      </c>
      <c r="I19" s="2" t="e">
        <f t="shared" ca="1" si="3"/>
        <v>#NAME?</v>
      </c>
      <c r="J19" s="2" t="e">
        <f ca="1"/>
        <v>#NAME?</v>
      </c>
      <c r="K19" s="2" t="e">
        <f t="shared" ca="1" si="4"/>
        <v>#NAME?</v>
      </c>
      <c r="L19" s="2" t="e">
        <f ca="1"/>
        <v>#NAME?</v>
      </c>
      <c r="M19" s="2" t="e">
        <f t="shared" ca="1" si="5"/>
        <v>#NAME?</v>
      </c>
      <c r="N19" s="2" t="e">
        <f ca="1"/>
        <v>#NAME?</v>
      </c>
      <c r="O19" s="2" t="e">
        <f t="shared" ca="1" si="6"/>
        <v>#NAME?</v>
      </c>
      <c r="P19" s="2" t="e">
        <f ca="1"/>
        <v>#NAME?</v>
      </c>
      <c r="Q19" s="2" t="e">
        <f t="shared" ca="1" si="7"/>
        <v>#NAME?</v>
      </c>
      <c r="R19" s="2" t="e">
        <f ca="1"/>
        <v>#NAME?</v>
      </c>
      <c r="S19" s="2" t="e">
        <f t="shared" ca="1" si="8"/>
        <v>#NAME?</v>
      </c>
      <c r="T19" s="2" t="e">
        <f ca="1"/>
        <v>#NAME?</v>
      </c>
      <c r="U19" s="2" t="e">
        <f t="shared" ca="1" si="9"/>
        <v>#NAME?</v>
      </c>
      <c r="V19" s="2" t="e">
        <f ca="1"/>
        <v>#NAME?</v>
      </c>
      <c r="W19" s="2" t="e">
        <f t="shared" ca="1" si="10"/>
        <v>#NAME?</v>
      </c>
      <c r="X19" s="2" t="e">
        <f ca="1"/>
        <v>#NAME?</v>
      </c>
      <c r="Y19" s="2" t="e">
        <f t="shared" ca="1" si="11"/>
        <v>#NAME?</v>
      </c>
      <c r="Z19" s="2" t="e">
        <f ca="1"/>
        <v>#NAME?</v>
      </c>
      <c r="AA19" s="2" t="e">
        <f t="shared" ca="1" si="12"/>
        <v>#NAME?</v>
      </c>
      <c r="AB19" s="2" t="e">
        <f ca="1"/>
        <v>#NAME?</v>
      </c>
      <c r="AC19" s="2" t="e">
        <f t="shared" ca="1" si="13"/>
        <v>#NAME?</v>
      </c>
      <c r="AD19" s="2" t="e">
        <f ca="1"/>
        <v>#NAME?</v>
      </c>
      <c r="AE19" s="2" t="e">
        <f t="shared" ca="1" si="14"/>
        <v>#NAME?</v>
      </c>
      <c r="AF19" s="2" t="e">
        <f ca="1"/>
        <v>#NAME?</v>
      </c>
      <c r="AG19" s="2" t="e">
        <f t="shared" ca="1" si="15"/>
        <v>#NAME?</v>
      </c>
      <c r="AH19" s="2" t="e">
        <f ca="1"/>
        <v>#NAME?</v>
      </c>
      <c r="AI19" s="2" t="e">
        <f t="shared" ca="1" si="16"/>
        <v>#NAME?</v>
      </c>
      <c r="AJ19" s="2" t="e">
        <f ca="1"/>
        <v>#NAME?</v>
      </c>
      <c r="AK19" s="2" t="e">
        <f t="shared" ca="1" si="17"/>
        <v>#NAME?</v>
      </c>
      <c r="AL19" s="2" t="e">
        <f ca="1"/>
        <v>#NAME?</v>
      </c>
      <c r="AM19" s="2" t="e">
        <f t="shared" ca="1" si="18"/>
        <v>#NAME?</v>
      </c>
      <c r="AN19" s="2" t="e">
        <f ca="1"/>
        <v>#NAME?</v>
      </c>
      <c r="AO19" s="2" t="e">
        <f t="shared" ca="1" si="19"/>
        <v>#NAME?</v>
      </c>
      <c r="AP19" s="2" t="e">
        <f ca="1"/>
        <v>#NAME?</v>
      </c>
      <c r="AQ19" s="2" t="e">
        <f t="shared" ca="1" si="20"/>
        <v>#NAME?</v>
      </c>
      <c r="AR19" s="2" t="e">
        <f ca="1"/>
        <v>#NAME?</v>
      </c>
      <c r="AS19" s="2" t="e">
        <f t="shared" ca="1" si="21"/>
        <v>#NAME?</v>
      </c>
      <c r="AT19" s="2" t="e">
        <f ca="1"/>
        <v>#NAME?</v>
      </c>
      <c r="AU19" s="2" t="e">
        <f t="shared" ca="1" si="22"/>
        <v>#NAME?</v>
      </c>
      <c r="AV19" s="2" t="e">
        <f ca="1"/>
        <v>#NAME?</v>
      </c>
      <c r="AW19" s="2" t="e">
        <f t="shared" ca="1" si="23"/>
        <v>#NAME?</v>
      </c>
      <c r="AX19" s="2" t="e">
        <f ca="1"/>
        <v>#NAME?</v>
      </c>
      <c r="AY19" s="2" t="e">
        <f t="shared" ca="1" si="24"/>
        <v>#NAME?</v>
      </c>
      <c r="AZ19" s="2" t="e">
        <f ca="1"/>
        <v>#NAME?</v>
      </c>
      <c r="BA19" s="2" t="e">
        <f t="shared" ca="1" si="25"/>
        <v>#NAME?</v>
      </c>
      <c r="BB19" s="2" t="e">
        <f ca="1"/>
        <v>#NAME?</v>
      </c>
      <c r="BC19" s="2" t="e">
        <f t="shared" ca="1" si="26"/>
        <v>#NAME?</v>
      </c>
      <c r="BD19" s="2" t="e">
        <f ca="1"/>
        <v>#NAME?</v>
      </c>
      <c r="BE19" s="2" t="e">
        <f t="shared" ca="1" si="27"/>
        <v>#NAME?</v>
      </c>
      <c r="BF19" s="2" t="e">
        <f ca="1"/>
        <v>#NAME?</v>
      </c>
      <c r="BG19" s="2" t="e">
        <f t="shared" ca="1" si="28"/>
        <v>#NAME?</v>
      </c>
      <c r="BH19" s="2" t="e">
        <f ca="1"/>
        <v>#NAME?</v>
      </c>
      <c r="BI19" s="2" t="e">
        <f t="shared" ca="1" si="29"/>
        <v>#NAME?</v>
      </c>
      <c r="BJ19" s="2" t="e">
        <f ca="1"/>
        <v>#NAME?</v>
      </c>
      <c r="BK19" s="2" t="e">
        <f t="shared" ca="1" si="30"/>
        <v>#NAME?</v>
      </c>
      <c r="BL19" s="2" t="e">
        <f ca="1"/>
        <v>#NAME?</v>
      </c>
      <c r="BM19" s="2" t="e">
        <f t="shared" ca="1" si="31"/>
        <v>#NAME?</v>
      </c>
      <c r="BN19" s="2" t="e">
        <f ca="1"/>
        <v>#NAME?</v>
      </c>
      <c r="BO19" s="2" t="e">
        <f t="shared" ca="1" si="32"/>
        <v>#NAME?</v>
      </c>
      <c r="BP19" s="2" t="e">
        <f ca="1"/>
        <v>#NAME?</v>
      </c>
      <c r="BQ19" s="2" t="e">
        <f t="shared" ca="1" si="33"/>
        <v>#NAME?</v>
      </c>
      <c r="BR19" s="2" t="e">
        <f ca="1"/>
        <v>#NAME?</v>
      </c>
      <c r="BS19" s="2" t="e">
        <f t="shared" ca="1" si="34"/>
        <v>#NAME?</v>
      </c>
      <c r="BT19" s="2" t="e">
        <f ca="1"/>
        <v>#NAME?</v>
      </c>
      <c r="BU19" s="2" t="e">
        <f t="shared" ca="1" si="35"/>
        <v>#NAME?</v>
      </c>
      <c r="BV19" s="2" t="e">
        <f ca="1"/>
        <v>#NAME?</v>
      </c>
      <c r="BW19" s="2" t="e">
        <f t="shared" ca="1" si="36"/>
        <v>#NAME?</v>
      </c>
      <c r="BX19" s="2" t="e">
        <f ca="1"/>
        <v>#NAME?</v>
      </c>
      <c r="BY19" s="2" t="e">
        <f t="shared" ca="1" si="37"/>
        <v>#NAME?</v>
      </c>
      <c r="BZ19" s="2" t="e">
        <f ca="1"/>
        <v>#NAME?</v>
      </c>
      <c r="CA19" s="2" t="e">
        <f t="shared" ca="1" si="38"/>
        <v>#NAME?</v>
      </c>
      <c r="CB19" s="2" t="e">
        <f ca="1"/>
        <v>#NAME?</v>
      </c>
      <c r="CC19" s="2" t="e">
        <f t="shared" ca="1" si="39"/>
        <v>#NAME?</v>
      </c>
      <c r="CD19" s="2" t="e">
        <f ca="1"/>
        <v>#NAME?</v>
      </c>
      <c r="CE19" s="2" t="e">
        <f t="shared" ca="1" si="40"/>
        <v>#NAME?</v>
      </c>
      <c r="CF19" s="2" t="e">
        <f ca="1"/>
        <v>#NAME?</v>
      </c>
      <c r="CG19" s="2" t="e">
        <f t="shared" ca="1" si="41"/>
        <v>#NAME?</v>
      </c>
      <c r="CH19" s="2" t="e">
        <f ca="1"/>
        <v>#NAME?</v>
      </c>
      <c r="CI19" s="2" t="e">
        <f t="shared" ca="1" si="42"/>
        <v>#NAME?</v>
      </c>
      <c r="CJ19" s="2" t="e">
        <f ca="1"/>
        <v>#NAME?</v>
      </c>
      <c r="CK19" s="2" t="e">
        <f t="shared" ca="1" si="43"/>
        <v>#NAME?</v>
      </c>
      <c r="CL19" s="2" t="e">
        <f ca="1"/>
        <v>#NAME?</v>
      </c>
      <c r="CM19" s="2" t="e">
        <f t="shared" ca="1" si="44"/>
        <v>#NAME?</v>
      </c>
      <c r="CN19" s="2" t="e">
        <f ca="1"/>
        <v>#NAME?</v>
      </c>
      <c r="CO19" s="2" t="e">
        <f t="shared" ca="1" si="45"/>
        <v>#NAME?</v>
      </c>
      <c r="CP19" s="2" t="e">
        <f ca="1"/>
        <v>#NAME?</v>
      </c>
      <c r="CQ19" s="2" t="e">
        <f t="shared" ca="1" si="46"/>
        <v>#NAME?</v>
      </c>
    </row>
    <row r="20" spans="1:95">
      <c r="A20" s="7" t="e">
        <f ca="1"/>
        <v>#NAME?</v>
      </c>
      <c r="B20" s="2" t="e">
        <f ca="1"/>
        <v>#NAME?</v>
      </c>
      <c r="C20" s="2" t="e">
        <f t="shared" ca="1" si="0"/>
        <v>#NAME?</v>
      </c>
      <c r="D20" s="2" t="e">
        <f ca="1"/>
        <v>#NAME?</v>
      </c>
      <c r="E20" s="2" t="e">
        <f t="shared" ca="1" si="1"/>
        <v>#NAME?</v>
      </c>
      <c r="F20" s="2" t="e">
        <f ca="1"/>
        <v>#NAME?</v>
      </c>
      <c r="G20" s="2" t="e">
        <f t="shared" ca="1" si="2"/>
        <v>#NAME?</v>
      </c>
      <c r="H20" s="2" t="e">
        <f ca="1"/>
        <v>#NAME?</v>
      </c>
      <c r="I20" s="2" t="e">
        <f t="shared" ca="1" si="3"/>
        <v>#NAME?</v>
      </c>
      <c r="J20" s="2" t="e">
        <f ca="1"/>
        <v>#NAME?</v>
      </c>
      <c r="K20" s="2" t="e">
        <f t="shared" ca="1" si="4"/>
        <v>#NAME?</v>
      </c>
      <c r="L20" s="2" t="e">
        <f ca="1"/>
        <v>#NAME?</v>
      </c>
      <c r="M20" s="2" t="e">
        <f t="shared" ca="1" si="5"/>
        <v>#NAME?</v>
      </c>
      <c r="N20" s="2" t="e">
        <f ca="1"/>
        <v>#NAME?</v>
      </c>
      <c r="O20" s="2" t="e">
        <f t="shared" ca="1" si="6"/>
        <v>#NAME?</v>
      </c>
      <c r="P20" s="2" t="e">
        <f ca="1"/>
        <v>#NAME?</v>
      </c>
      <c r="Q20" s="2" t="e">
        <f t="shared" ca="1" si="7"/>
        <v>#NAME?</v>
      </c>
      <c r="R20" s="2" t="e">
        <f ca="1"/>
        <v>#NAME?</v>
      </c>
      <c r="S20" s="2" t="e">
        <f t="shared" ca="1" si="8"/>
        <v>#NAME?</v>
      </c>
      <c r="T20" s="2" t="e">
        <f ca="1"/>
        <v>#NAME?</v>
      </c>
      <c r="U20" s="2" t="e">
        <f t="shared" ca="1" si="9"/>
        <v>#NAME?</v>
      </c>
      <c r="V20" s="2" t="e">
        <f ca="1"/>
        <v>#NAME?</v>
      </c>
      <c r="W20" s="2" t="e">
        <f t="shared" ca="1" si="10"/>
        <v>#NAME?</v>
      </c>
      <c r="X20" s="2" t="e">
        <f ca="1"/>
        <v>#NAME?</v>
      </c>
      <c r="Y20" s="2" t="e">
        <f t="shared" ca="1" si="11"/>
        <v>#NAME?</v>
      </c>
      <c r="Z20" s="2" t="e">
        <f ca="1"/>
        <v>#NAME?</v>
      </c>
      <c r="AA20" s="2" t="e">
        <f t="shared" ca="1" si="12"/>
        <v>#NAME?</v>
      </c>
      <c r="AB20" s="2" t="e">
        <f ca="1"/>
        <v>#NAME?</v>
      </c>
      <c r="AC20" s="2" t="e">
        <f t="shared" ca="1" si="13"/>
        <v>#NAME?</v>
      </c>
      <c r="AD20" s="2" t="e">
        <f ca="1"/>
        <v>#NAME?</v>
      </c>
      <c r="AE20" s="2" t="e">
        <f t="shared" ca="1" si="14"/>
        <v>#NAME?</v>
      </c>
      <c r="AF20" s="2" t="e">
        <f ca="1"/>
        <v>#NAME?</v>
      </c>
      <c r="AG20" s="2" t="e">
        <f t="shared" ca="1" si="15"/>
        <v>#NAME?</v>
      </c>
      <c r="AH20" s="2" t="e">
        <f ca="1"/>
        <v>#NAME?</v>
      </c>
      <c r="AI20" s="2" t="e">
        <f t="shared" ca="1" si="16"/>
        <v>#NAME?</v>
      </c>
      <c r="AJ20" s="2" t="e">
        <f ca="1"/>
        <v>#NAME?</v>
      </c>
      <c r="AK20" s="2" t="e">
        <f t="shared" ca="1" si="17"/>
        <v>#NAME?</v>
      </c>
      <c r="AL20" s="2" t="e">
        <f ca="1"/>
        <v>#NAME?</v>
      </c>
      <c r="AM20" s="2" t="e">
        <f t="shared" ca="1" si="18"/>
        <v>#NAME?</v>
      </c>
      <c r="AN20" s="2" t="e">
        <f ca="1"/>
        <v>#NAME?</v>
      </c>
      <c r="AO20" s="2" t="e">
        <f t="shared" ca="1" si="19"/>
        <v>#NAME?</v>
      </c>
      <c r="AP20" s="2" t="e">
        <f ca="1"/>
        <v>#NAME?</v>
      </c>
      <c r="AQ20" s="2" t="e">
        <f t="shared" ca="1" si="20"/>
        <v>#NAME?</v>
      </c>
      <c r="AR20" s="2" t="e">
        <f ca="1"/>
        <v>#NAME?</v>
      </c>
      <c r="AS20" s="2" t="e">
        <f t="shared" ca="1" si="21"/>
        <v>#NAME?</v>
      </c>
      <c r="AT20" s="2" t="e">
        <f ca="1"/>
        <v>#NAME?</v>
      </c>
      <c r="AU20" s="2" t="e">
        <f t="shared" ca="1" si="22"/>
        <v>#NAME?</v>
      </c>
      <c r="AV20" s="2" t="e">
        <f ca="1"/>
        <v>#NAME?</v>
      </c>
      <c r="AW20" s="2" t="e">
        <f t="shared" ca="1" si="23"/>
        <v>#NAME?</v>
      </c>
      <c r="AX20" s="2" t="e">
        <f ca="1"/>
        <v>#NAME?</v>
      </c>
      <c r="AY20" s="2" t="e">
        <f t="shared" ca="1" si="24"/>
        <v>#NAME?</v>
      </c>
      <c r="AZ20" s="2" t="e">
        <f ca="1"/>
        <v>#NAME?</v>
      </c>
      <c r="BA20" s="2" t="e">
        <f t="shared" ca="1" si="25"/>
        <v>#NAME?</v>
      </c>
      <c r="BB20" s="2" t="e">
        <f ca="1"/>
        <v>#NAME?</v>
      </c>
      <c r="BC20" s="2" t="e">
        <f t="shared" ca="1" si="26"/>
        <v>#NAME?</v>
      </c>
      <c r="BD20" s="2" t="e">
        <f ca="1"/>
        <v>#NAME?</v>
      </c>
      <c r="BE20" s="2" t="e">
        <f t="shared" ca="1" si="27"/>
        <v>#NAME?</v>
      </c>
      <c r="BF20" s="2" t="e">
        <f ca="1"/>
        <v>#NAME?</v>
      </c>
      <c r="BG20" s="2" t="e">
        <f t="shared" ca="1" si="28"/>
        <v>#NAME?</v>
      </c>
      <c r="BH20" s="2" t="e">
        <f ca="1"/>
        <v>#NAME?</v>
      </c>
      <c r="BI20" s="2" t="e">
        <f t="shared" ca="1" si="29"/>
        <v>#NAME?</v>
      </c>
      <c r="BJ20" s="2" t="e">
        <f ca="1"/>
        <v>#NAME?</v>
      </c>
      <c r="BK20" s="2" t="e">
        <f t="shared" ca="1" si="30"/>
        <v>#NAME?</v>
      </c>
      <c r="BL20" s="2" t="e">
        <f ca="1"/>
        <v>#NAME?</v>
      </c>
      <c r="BM20" s="2" t="e">
        <f t="shared" ca="1" si="31"/>
        <v>#NAME?</v>
      </c>
      <c r="BN20" s="2" t="e">
        <f ca="1"/>
        <v>#NAME?</v>
      </c>
      <c r="BO20" s="2" t="e">
        <f t="shared" ca="1" si="32"/>
        <v>#NAME?</v>
      </c>
      <c r="BP20" s="2" t="e">
        <f ca="1"/>
        <v>#NAME?</v>
      </c>
      <c r="BQ20" s="2" t="e">
        <f t="shared" ca="1" si="33"/>
        <v>#NAME?</v>
      </c>
      <c r="BR20" s="2" t="e">
        <f ca="1"/>
        <v>#NAME?</v>
      </c>
      <c r="BS20" s="2" t="e">
        <f t="shared" ca="1" si="34"/>
        <v>#NAME?</v>
      </c>
      <c r="BT20" s="2" t="e">
        <f ca="1"/>
        <v>#NAME?</v>
      </c>
      <c r="BU20" s="2" t="e">
        <f t="shared" ca="1" si="35"/>
        <v>#NAME?</v>
      </c>
      <c r="BV20" s="2" t="e">
        <f ca="1"/>
        <v>#NAME?</v>
      </c>
      <c r="BW20" s="2" t="e">
        <f t="shared" ca="1" si="36"/>
        <v>#NAME?</v>
      </c>
      <c r="BX20" s="2" t="e">
        <f ca="1"/>
        <v>#NAME?</v>
      </c>
      <c r="BY20" s="2" t="e">
        <f t="shared" ca="1" si="37"/>
        <v>#NAME?</v>
      </c>
      <c r="BZ20" s="2" t="e">
        <f ca="1"/>
        <v>#NAME?</v>
      </c>
      <c r="CA20" s="2" t="e">
        <f t="shared" ca="1" si="38"/>
        <v>#NAME?</v>
      </c>
      <c r="CB20" s="2" t="e">
        <f ca="1"/>
        <v>#NAME?</v>
      </c>
      <c r="CC20" s="2" t="e">
        <f t="shared" ca="1" si="39"/>
        <v>#NAME?</v>
      </c>
      <c r="CD20" s="2" t="e">
        <f ca="1"/>
        <v>#NAME?</v>
      </c>
      <c r="CE20" s="2" t="e">
        <f t="shared" ca="1" si="40"/>
        <v>#NAME?</v>
      </c>
      <c r="CF20" s="2" t="e">
        <f ca="1"/>
        <v>#NAME?</v>
      </c>
      <c r="CG20" s="2" t="e">
        <f t="shared" ca="1" si="41"/>
        <v>#NAME?</v>
      </c>
      <c r="CH20" s="2" t="e">
        <f ca="1"/>
        <v>#NAME?</v>
      </c>
      <c r="CI20" s="2" t="e">
        <f t="shared" ca="1" si="42"/>
        <v>#NAME?</v>
      </c>
      <c r="CJ20" s="2" t="e">
        <f ca="1"/>
        <v>#NAME?</v>
      </c>
      <c r="CK20" s="2" t="e">
        <f t="shared" ca="1" si="43"/>
        <v>#NAME?</v>
      </c>
      <c r="CL20" s="2" t="e">
        <f ca="1"/>
        <v>#NAME?</v>
      </c>
      <c r="CM20" s="2" t="e">
        <f t="shared" ca="1" si="44"/>
        <v>#NAME?</v>
      </c>
      <c r="CN20" s="2" t="e">
        <f ca="1"/>
        <v>#NAME?</v>
      </c>
      <c r="CO20" s="2" t="e">
        <f t="shared" ca="1" si="45"/>
        <v>#NAME?</v>
      </c>
      <c r="CP20" s="2" t="e">
        <f ca="1"/>
        <v>#NAME?</v>
      </c>
      <c r="CQ20" s="2" t="e">
        <f t="shared" ca="1" si="46"/>
        <v>#NAME?</v>
      </c>
    </row>
    <row r="21" spans="1:95">
      <c r="A21" s="7" t="e">
        <f ca="1"/>
        <v>#NAME?</v>
      </c>
      <c r="B21" s="2" t="e">
        <f ca="1"/>
        <v>#NAME?</v>
      </c>
      <c r="C21" s="2" t="e">
        <f t="shared" ca="1" si="0"/>
        <v>#NAME?</v>
      </c>
      <c r="D21" s="2" t="e">
        <f ca="1"/>
        <v>#NAME?</v>
      </c>
      <c r="E21" s="2" t="e">
        <f t="shared" ca="1" si="1"/>
        <v>#NAME?</v>
      </c>
      <c r="F21" s="2" t="e">
        <f ca="1"/>
        <v>#NAME?</v>
      </c>
      <c r="G21" s="2" t="e">
        <f t="shared" ca="1" si="2"/>
        <v>#NAME?</v>
      </c>
      <c r="H21" s="2" t="e">
        <f ca="1"/>
        <v>#NAME?</v>
      </c>
      <c r="I21" s="2" t="e">
        <f t="shared" ca="1" si="3"/>
        <v>#NAME?</v>
      </c>
      <c r="J21" s="2" t="e">
        <f ca="1"/>
        <v>#NAME?</v>
      </c>
      <c r="K21" s="2" t="e">
        <f t="shared" ca="1" si="4"/>
        <v>#NAME?</v>
      </c>
      <c r="L21" s="2" t="e">
        <f ca="1"/>
        <v>#NAME?</v>
      </c>
      <c r="M21" s="2" t="e">
        <f t="shared" ca="1" si="5"/>
        <v>#NAME?</v>
      </c>
      <c r="N21" s="2" t="e">
        <f ca="1"/>
        <v>#NAME?</v>
      </c>
      <c r="O21" s="2" t="e">
        <f t="shared" ca="1" si="6"/>
        <v>#NAME?</v>
      </c>
      <c r="P21" s="2" t="e">
        <f ca="1"/>
        <v>#NAME?</v>
      </c>
      <c r="Q21" s="2" t="e">
        <f t="shared" ca="1" si="7"/>
        <v>#NAME?</v>
      </c>
      <c r="R21" s="2" t="e">
        <f ca="1"/>
        <v>#NAME?</v>
      </c>
      <c r="S21" s="2" t="e">
        <f t="shared" ca="1" si="8"/>
        <v>#NAME?</v>
      </c>
      <c r="T21" s="2" t="e">
        <f ca="1"/>
        <v>#NAME?</v>
      </c>
      <c r="U21" s="2" t="e">
        <f t="shared" ca="1" si="9"/>
        <v>#NAME?</v>
      </c>
      <c r="V21" s="2" t="e">
        <f ca="1"/>
        <v>#NAME?</v>
      </c>
      <c r="W21" s="2" t="e">
        <f t="shared" ca="1" si="10"/>
        <v>#NAME?</v>
      </c>
      <c r="X21" s="2" t="e">
        <f ca="1"/>
        <v>#NAME?</v>
      </c>
      <c r="Y21" s="2" t="e">
        <f t="shared" ca="1" si="11"/>
        <v>#NAME?</v>
      </c>
      <c r="Z21" s="2" t="e">
        <f ca="1"/>
        <v>#NAME?</v>
      </c>
      <c r="AA21" s="2" t="e">
        <f t="shared" ca="1" si="12"/>
        <v>#NAME?</v>
      </c>
      <c r="AB21" s="2" t="e">
        <f ca="1"/>
        <v>#NAME?</v>
      </c>
      <c r="AC21" s="2" t="e">
        <f t="shared" ca="1" si="13"/>
        <v>#NAME?</v>
      </c>
      <c r="AD21" s="2" t="e">
        <f ca="1"/>
        <v>#NAME?</v>
      </c>
      <c r="AE21" s="2" t="e">
        <f t="shared" ca="1" si="14"/>
        <v>#NAME?</v>
      </c>
      <c r="AF21" s="2" t="e">
        <f ca="1"/>
        <v>#NAME?</v>
      </c>
      <c r="AG21" s="2" t="e">
        <f t="shared" ca="1" si="15"/>
        <v>#NAME?</v>
      </c>
      <c r="AH21" s="2" t="e">
        <f ca="1"/>
        <v>#NAME?</v>
      </c>
      <c r="AI21" s="2" t="e">
        <f t="shared" ca="1" si="16"/>
        <v>#NAME?</v>
      </c>
      <c r="AJ21" s="2" t="e">
        <f ca="1"/>
        <v>#NAME?</v>
      </c>
      <c r="AK21" s="2" t="e">
        <f t="shared" ca="1" si="17"/>
        <v>#NAME?</v>
      </c>
      <c r="AL21" s="2" t="e">
        <f ca="1"/>
        <v>#NAME?</v>
      </c>
      <c r="AM21" s="2" t="e">
        <f t="shared" ca="1" si="18"/>
        <v>#NAME?</v>
      </c>
      <c r="AN21" s="2" t="e">
        <f ca="1"/>
        <v>#NAME?</v>
      </c>
      <c r="AO21" s="2" t="e">
        <f t="shared" ca="1" si="19"/>
        <v>#NAME?</v>
      </c>
      <c r="AP21" s="2" t="e">
        <f ca="1"/>
        <v>#NAME?</v>
      </c>
      <c r="AQ21" s="2" t="e">
        <f t="shared" ca="1" si="20"/>
        <v>#NAME?</v>
      </c>
      <c r="AR21" s="2" t="e">
        <f ca="1"/>
        <v>#NAME?</v>
      </c>
      <c r="AS21" s="2" t="e">
        <f t="shared" ca="1" si="21"/>
        <v>#NAME?</v>
      </c>
      <c r="AT21" s="2" t="e">
        <f ca="1"/>
        <v>#NAME?</v>
      </c>
      <c r="AU21" s="2" t="e">
        <f t="shared" ca="1" si="22"/>
        <v>#NAME?</v>
      </c>
      <c r="AV21" s="2" t="e">
        <f ca="1"/>
        <v>#NAME?</v>
      </c>
      <c r="AW21" s="2" t="e">
        <f t="shared" ca="1" si="23"/>
        <v>#NAME?</v>
      </c>
      <c r="AX21" s="2" t="e">
        <f ca="1"/>
        <v>#NAME?</v>
      </c>
      <c r="AY21" s="2" t="e">
        <f t="shared" ca="1" si="24"/>
        <v>#NAME?</v>
      </c>
      <c r="AZ21" s="2" t="e">
        <f ca="1"/>
        <v>#NAME?</v>
      </c>
      <c r="BA21" s="2" t="e">
        <f t="shared" ca="1" si="25"/>
        <v>#NAME?</v>
      </c>
      <c r="BB21" s="2" t="e">
        <f ca="1"/>
        <v>#NAME?</v>
      </c>
      <c r="BC21" s="2" t="e">
        <f t="shared" ca="1" si="26"/>
        <v>#NAME?</v>
      </c>
      <c r="BD21" s="2" t="e">
        <f ca="1"/>
        <v>#NAME?</v>
      </c>
      <c r="BE21" s="2" t="e">
        <f t="shared" ca="1" si="27"/>
        <v>#NAME?</v>
      </c>
      <c r="BF21" s="2" t="e">
        <f ca="1"/>
        <v>#NAME?</v>
      </c>
      <c r="BG21" s="2" t="e">
        <f t="shared" ca="1" si="28"/>
        <v>#NAME?</v>
      </c>
      <c r="BH21" s="2" t="e">
        <f ca="1"/>
        <v>#NAME?</v>
      </c>
      <c r="BI21" s="2" t="e">
        <f t="shared" ca="1" si="29"/>
        <v>#NAME?</v>
      </c>
      <c r="BJ21" s="2" t="e">
        <f ca="1"/>
        <v>#NAME?</v>
      </c>
      <c r="BK21" s="2" t="e">
        <f t="shared" ca="1" si="30"/>
        <v>#NAME?</v>
      </c>
      <c r="BL21" s="2" t="e">
        <f ca="1"/>
        <v>#NAME?</v>
      </c>
      <c r="BM21" s="2" t="e">
        <f t="shared" ca="1" si="31"/>
        <v>#NAME?</v>
      </c>
      <c r="BN21" s="2" t="e">
        <f ca="1"/>
        <v>#NAME?</v>
      </c>
      <c r="BO21" s="2" t="e">
        <f t="shared" ca="1" si="32"/>
        <v>#NAME?</v>
      </c>
      <c r="BP21" s="2" t="e">
        <f ca="1"/>
        <v>#NAME?</v>
      </c>
      <c r="BQ21" s="2" t="e">
        <f t="shared" ca="1" si="33"/>
        <v>#NAME?</v>
      </c>
      <c r="BR21" s="2" t="e">
        <f ca="1"/>
        <v>#NAME?</v>
      </c>
      <c r="BS21" s="2" t="e">
        <f t="shared" ca="1" si="34"/>
        <v>#NAME?</v>
      </c>
      <c r="BT21" s="2" t="e">
        <f ca="1"/>
        <v>#NAME?</v>
      </c>
      <c r="BU21" s="2" t="e">
        <f t="shared" ca="1" si="35"/>
        <v>#NAME?</v>
      </c>
      <c r="BV21" s="2" t="e">
        <f ca="1"/>
        <v>#NAME?</v>
      </c>
      <c r="BW21" s="2" t="e">
        <f t="shared" ca="1" si="36"/>
        <v>#NAME?</v>
      </c>
      <c r="BX21" s="2" t="e">
        <f ca="1"/>
        <v>#NAME?</v>
      </c>
      <c r="BY21" s="2" t="e">
        <f t="shared" ca="1" si="37"/>
        <v>#NAME?</v>
      </c>
      <c r="BZ21" s="2" t="e">
        <f ca="1"/>
        <v>#NAME?</v>
      </c>
      <c r="CA21" s="2" t="e">
        <f t="shared" ca="1" si="38"/>
        <v>#NAME?</v>
      </c>
      <c r="CB21" s="2" t="e">
        <f ca="1"/>
        <v>#NAME?</v>
      </c>
      <c r="CC21" s="2" t="e">
        <f t="shared" ca="1" si="39"/>
        <v>#NAME?</v>
      </c>
      <c r="CD21" s="2" t="e">
        <f ca="1"/>
        <v>#NAME?</v>
      </c>
      <c r="CE21" s="2" t="e">
        <f t="shared" ca="1" si="40"/>
        <v>#NAME?</v>
      </c>
      <c r="CF21" s="2" t="e">
        <f ca="1"/>
        <v>#NAME?</v>
      </c>
      <c r="CG21" s="2" t="e">
        <f t="shared" ca="1" si="41"/>
        <v>#NAME?</v>
      </c>
      <c r="CH21" s="2" t="e">
        <f ca="1"/>
        <v>#NAME?</v>
      </c>
      <c r="CI21" s="2" t="e">
        <f t="shared" ca="1" si="42"/>
        <v>#NAME?</v>
      </c>
      <c r="CJ21" s="2" t="e">
        <f ca="1"/>
        <v>#NAME?</v>
      </c>
      <c r="CK21" s="2" t="e">
        <f t="shared" ca="1" si="43"/>
        <v>#NAME?</v>
      </c>
      <c r="CL21" s="2" t="e">
        <f ca="1"/>
        <v>#NAME?</v>
      </c>
      <c r="CM21" s="2" t="e">
        <f t="shared" ca="1" si="44"/>
        <v>#NAME?</v>
      </c>
      <c r="CN21" s="2" t="e">
        <f ca="1"/>
        <v>#NAME?</v>
      </c>
      <c r="CO21" s="2" t="e">
        <f t="shared" ca="1" si="45"/>
        <v>#NAME?</v>
      </c>
      <c r="CP21" s="2" t="e">
        <f ca="1"/>
        <v>#NAME?</v>
      </c>
      <c r="CQ21" s="2" t="e">
        <f t="shared" ca="1" si="46"/>
        <v>#NAME?</v>
      </c>
    </row>
    <row r="22" spans="1:95">
      <c r="A22" s="7" t="e">
        <f ca="1"/>
        <v>#NAME?</v>
      </c>
      <c r="B22" s="2" t="e">
        <f ca="1"/>
        <v>#NAME?</v>
      </c>
      <c r="C22" s="2" t="e">
        <f t="shared" ca="1" si="0"/>
        <v>#NAME?</v>
      </c>
      <c r="D22" s="2" t="e">
        <f ca="1"/>
        <v>#NAME?</v>
      </c>
      <c r="E22" s="2" t="e">
        <f t="shared" ca="1" si="1"/>
        <v>#NAME?</v>
      </c>
      <c r="F22" s="2" t="e">
        <f ca="1"/>
        <v>#NAME?</v>
      </c>
      <c r="G22" s="2" t="e">
        <f t="shared" ca="1" si="2"/>
        <v>#NAME?</v>
      </c>
      <c r="H22" s="2" t="e">
        <f ca="1"/>
        <v>#NAME?</v>
      </c>
      <c r="I22" s="2" t="e">
        <f t="shared" ca="1" si="3"/>
        <v>#NAME?</v>
      </c>
      <c r="J22" s="2" t="e">
        <f ca="1"/>
        <v>#NAME?</v>
      </c>
      <c r="K22" s="2" t="e">
        <f t="shared" ca="1" si="4"/>
        <v>#NAME?</v>
      </c>
      <c r="L22" s="2" t="e">
        <f ca="1"/>
        <v>#NAME?</v>
      </c>
      <c r="M22" s="2" t="e">
        <f t="shared" ca="1" si="5"/>
        <v>#NAME?</v>
      </c>
      <c r="N22" s="2" t="e">
        <f ca="1"/>
        <v>#NAME?</v>
      </c>
      <c r="O22" s="2" t="e">
        <f t="shared" ca="1" si="6"/>
        <v>#NAME?</v>
      </c>
      <c r="P22" s="2" t="e">
        <f ca="1"/>
        <v>#NAME?</v>
      </c>
      <c r="Q22" s="2" t="e">
        <f t="shared" ca="1" si="7"/>
        <v>#NAME?</v>
      </c>
      <c r="R22" s="2" t="e">
        <f ca="1"/>
        <v>#NAME?</v>
      </c>
      <c r="S22" s="2" t="e">
        <f t="shared" ca="1" si="8"/>
        <v>#NAME?</v>
      </c>
      <c r="T22" s="2" t="e">
        <f ca="1"/>
        <v>#NAME?</v>
      </c>
      <c r="U22" s="2" t="e">
        <f t="shared" ca="1" si="9"/>
        <v>#NAME?</v>
      </c>
      <c r="V22" s="2" t="e">
        <f ca="1"/>
        <v>#NAME?</v>
      </c>
      <c r="W22" s="2" t="e">
        <f t="shared" ca="1" si="10"/>
        <v>#NAME?</v>
      </c>
      <c r="X22" s="2" t="e">
        <f ca="1"/>
        <v>#NAME?</v>
      </c>
      <c r="Y22" s="2" t="e">
        <f t="shared" ca="1" si="11"/>
        <v>#NAME?</v>
      </c>
      <c r="Z22" s="2" t="e">
        <f ca="1"/>
        <v>#NAME?</v>
      </c>
      <c r="AA22" s="2" t="e">
        <f t="shared" ca="1" si="12"/>
        <v>#NAME?</v>
      </c>
      <c r="AB22" s="2" t="e">
        <f ca="1"/>
        <v>#NAME?</v>
      </c>
      <c r="AC22" s="2" t="e">
        <f t="shared" ca="1" si="13"/>
        <v>#NAME?</v>
      </c>
      <c r="AD22" s="2" t="e">
        <f ca="1"/>
        <v>#NAME?</v>
      </c>
      <c r="AE22" s="2" t="e">
        <f t="shared" ca="1" si="14"/>
        <v>#NAME?</v>
      </c>
      <c r="AF22" s="2" t="e">
        <f ca="1"/>
        <v>#NAME?</v>
      </c>
      <c r="AG22" s="2" t="e">
        <f t="shared" ca="1" si="15"/>
        <v>#NAME?</v>
      </c>
      <c r="AH22" s="2" t="e">
        <f ca="1"/>
        <v>#NAME?</v>
      </c>
      <c r="AI22" s="2" t="e">
        <f t="shared" ca="1" si="16"/>
        <v>#NAME?</v>
      </c>
      <c r="AJ22" s="2" t="e">
        <f ca="1"/>
        <v>#NAME?</v>
      </c>
      <c r="AK22" s="2" t="e">
        <f t="shared" ca="1" si="17"/>
        <v>#NAME?</v>
      </c>
      <c r="AL22" s="2" t="e">
        <f ca="1"/>
        <v>#NAME?</v>
      </c>
      <c r="AM22" s="2" t="e">
        <f t="shared" ca="1" si="18"/>
        <v>#NAME?</v>
      </c>
      <c r="AN22" s="2" t="e">
        <f ca="1"/>
        <v>#NAME?</v>
      </c>
      <c r="AO22" s="2" t="e">
        <f t="shared" ca="1" si="19"/>
        <v>#NAME?</v>
      </c>
      <c r="AP22" s="2" t="e">
        <f ca="1"/>
        <v>#NAME?</v>
      </c>
      <c r="AQ22" s="2" t="e">
        <f t="shared" ca="1" si="20"/>
        <v>#NAME?</v>
      </c>
      <c r="AR22" s="2" t="e">
        <f ca="1"/>
        <v>#NAME?</v>
      </c>
      <c r="AS22" s="2" t="e">
        <f t="shared" ca="1" si="21"/>
        <v>#NAME?</v>
      </c>
      <c r="AT22" s="2" t="e">
        <f ca="1"/>
        <v>#NAME?</v>
      </c>
      <c r="AU22" s="2" t="e">
        <f t="shared" ca="1" si="22"/>
        <v>#NAME?</v>
      </c>
      <c r="AV22" s="2" t="e">
        <f ca="1"/>
        <v>#NAME?</v>
      </c>
      <c r="AW22" s="2" t="e">
        <f t="shared" ca="1" si="23"/>
        <v>#NAME?</v>
      </c>
      <c r="AX22" s="2" t="e">
        <f ca="1"/>
        <v>#NAME?</v>
      </c>
      <c r="AY22" s="2" t="e">
        <f t="shared" ca="1" si="24"/>
        <v>#NAME?</v>
      </c>
      <c r="AZ22" s="2" t="e">
        <f ca="1"/>
        <v>#NAME?</v>
      </c>
      <c r="BA22" s="2" t="e">
        <f t="shared" ca="1" si="25"/>
        <v>#NAME?</v>
      </c>
      <c r="BB22" s="2" t="e">
        <f ca="1"/>
        <v>#NAME?</v>
      </c>
      <c r="BC22" s="2" t="e">
        <f t="shared" ca="1" si="26"/>
        <v>#NAME?</v>
      </c>
      <c r="BD22" s="2" t="e">
        <f ca="1"/>
        <v>#NAME?</v>
      </c>
      <c r="BE22" s="2" t="e">
        <f t="shared" ca="1" si="27"/>
        <v>#NAME?</v>
      </c>
      <c r="BF22" s="2" t="e">
        <f ca="1"/>
        <v>#NAME?</v>
      </c>
      <c r="BG22" s="2" t="e">
        <f t="shared" ca="1" si="28"/>
        <v>#NAME?</v>
      </c>
      <c r="BH22" s="2" t="e">
        <f ca="1"/>
        <v>#NAME?</v>
      </c>
      <c r="BI22" s="2" t="e">
        <f t="shared" ca="1" si="29"/>
        <v>#NAME?</v>
      </c>
      <c r="BJ22" s="2" t="e">
        <f ca="1"/>
        <v>#NAME?</v>
      </c>
      <c r="BK22" s="2" t="e">
        <f t="shared" ca="1" si="30"/>
        <v>#NAME?</v>
      </c>
      <c r="BL22" s="2" t="e">
        <f ca="1"/>
        <v>#NAME?</v>
      </c>
      <c r="BM22" s="2" t="e">
        <f t="shared" ca="1" si="31"/>
        <v>#NAME?</v>
      </c>
      <c r="BN22" s="2" t="e">
        <f ca="1"/>
        <v>#NAME?</v>
      </c>
      <c r="BO22" s="2" t="e">
        <f t="shared" ca="1" si="32"/>
        <v>#NAME?</v>
      </c>
      <c r="BP22" s="2" t="e">
        <f ca="1"/>
        <v>#NAME?</v>
      </c>
      <c r="BQ22" s="2" t="e">
        <f t="shared" ca="1" si="33"/>
        <v>#NAME?</v>
      </c>
      <c r="BR22" s="2" t="e">
        <f ca="1"/>
        <v>#NAME?</v>
      </c>
      <c r="BS22" s="2" t="e">
        <f t="shared" ca="1" si="34"/>
        <v>#NAME?</v>
      </c>
      <c r="BT22" s="2" t="e">
        <f ca="1"/>
        <v>#NAME?</v>
      </c>
      <c r="BU22" s="2" t="e">
        <f t="shared" ca="1" si="35"/>
        <v>#NAME?</v>
      </c>
      <c r="BV22" s="2" t="e">
        <f ca="1"/>
        <v>#NAME?</v>
      </c>
      <c r="BW22" s="2" t="e">
        <f t="shared" ca="1" si="36"/>
        <v>#NAME?</v>
      </c>
      <c r="BX22" s="2" t="e">
        <f ca="1"/>
        <v>#NAME?</v>
      </c>
      <c r="BY22" s="2" t="e">
        <f t="shared" ca="1" si="37"/>
        <v>#NAME?</v>
      </c>
      <c r="BZ22" s="2" t="e">
        <f ca="1"/>
        <v>#NAME?</v>
      </c>
      <c r="CA22" s="2" t="e">
        <f t="shared" ca="1" si="38"/>
        <v>#NAME?</v>
      </c>
      <c r="CB22" s="2" t="e">
        <f ca="1"/>
        <v>#NAME?</v>
      </c>
      <c r="CC22" s="2" t="e">
        <f t="shared" ca="1" si="39"/>
        <v>#NAME?</v>
      </c>
      <c r="CD22" s="2" t="e">
        <f ca="1"/>
        <v>#NAME?</v>
      </c>
      <c r="CE22" s="2" t="e">
        <f t="shared" ca="1" si="40"/>
        <v>#NAME?</v>
      </c>
      <c r="CF22" s="2" t="e">
        <f ca="1"/>
        <v>#NAME?</v>
      </c>
      <c r="CG22" s="2" t="e">
        <f t="shared" ca="1" si="41"/>
        <v>#NAME?</v>
      </c>
      <c r="CH22" s="2" t="e">
        <f ca="1"/>
        <v>#NAME?</v>
      </c>
      <c r="CI22" s="2" t="e">
        <f t="shared" ca="1" si="42"/>
        <v>#NAME?</v>
      </c>
      <c r="CJ22" s="2" t="e">
        <f ca="1"/>
        <v>#NAME?</v>
      </c>
      <c r="CK22" s="2" t="e">
        <f t="shared" ca="1" si="43"/>
        <v>#NAME?</v>
      </c>
      <c r="CL22" s="2" t="e">
        <f ca="1"/>
        <v>#NAME?</v>
      </c>
      <c r="CM22" s="2" t="e">
        <f t="shared" ca="1" si="44"/>
        <v>#NAME?</v>
      </c>
      <c r="CN22" s="2" t="e">
        <f ca="1"/>
        <v>#NAME?</v>
      </c>
      <c r="CO22" s="2" t="e">
        <f t="shared" ca="1" si="45"/>
        <v>#NAME?</v>
      </c>
      <c r="CP22" s="2" t="e">
        <f ca="1"/>
        <v>#NAME?</v>
      </c>
      <c r="CQ22" s="2" t="e">
        <f t="shared" ca="1" si="46"/>
        <v>#NAME?</v>
      </c>
    </row>
    <row r="23" spans="1:95">
      <c r="A23" s="7" t="e">
        <f ca="1"/>
        <v>#NAME?</v>
      </c>
      <c r="B23" s="2" t="e">
        <f ca="1"/>
        <v>#NAME?</v>
      </c>
      <c r="C23" s="2" t="e">
        <f t="shared" ca="1" si="0"/>
        <v>#NAME?</v>
      </c>
      <c r="D23" s="2" t="e">
        <f ca="1"/>
        <v>#NAME?</v>
      </c>
      <c r="E23" s="2" t="e">
        <f t="shared" ca="1" si="1"/>
        <v>#NAME?</v>
      </c>
      <c r="F23" s="2" t="e">
        <f ca="1"/>
        <v>#NAME?</v>
      </c>
      <c r="G23" s="2" t="e">
        <f t="shared" ca="1" si="2"/>
        <v>#NAME?</v>
      </c>
      <c r="H23" s="2" t="e">
        <f ca="1"/>
        <v>#NAME?</v>
      </c>
      <c r="I23" s="2" t="e">
        <f t="shared" ca="1" si="3"/>
        <v>#NAME?</v>
      </c>
      <c r="J23" s="2" t="e">
        <f ca="1"/>
        <v>#NAME?</v>
      </c>
      <c r="K23" s="2" t="e">
        <f t="shared" ca="1" si="4"/>
        <v>#NAME?</v>
      </c>
      <c r="L23" s="2" t="e">
        <f ca="1"/>
        <v>#NAME?</v>
      </c>
      <c r="M23" s="2" t="e">
        <f t="shared" ca="1" si="5"/>
        <v>#NAME?</v>
      </c>
      <c r="N23" s="2" t="e">
        <f ca="1"/>
        <v>#NAME?</v>
      </c>
      <c r="O23" s="2" t="e">
        <f t="shared" ca="1" si="6"/>
        <v>#NAME?</v>
      </c>
      <c r="P23" s="2" t="e">
        <f ca="1"/>
        <v>#NAME?</v>
      </c>
      <c r="Q23" s="2" t="e">
        <f t="shared" ca="1" si="7"/>
        <v>#NAME?</v>
      </c>
      <c r="R23" s="2" t="e">
        <f ca="1"/>
        <v>#NAME?</v>
      </c>
      <c r="S23" s="2" t="e">
        <f t="shared" ca="1" si="8"/>
        <v>#NAME?</v>
      </c>
      <c r="T23" s="2" t="e">
        <f ca="1"/>
        <v>#NAME?</v>
      </c>
      <c r="U23" s="2" t="e">
        <f t="shared" ca="1" si="9"/>
        <v>#NAME?</v>
      </c>
      <c r="V23" s="2" t="e">
        <f ca="1"/>
        <v>#NAME?</v>
      </c>
      <c r="W23" s="2" t="e">
        <f t="shared" ca="1" si="10"/>
        <v>#NAME?</v>
      </c>
      <c r="X23" s="2" t="e">
        <f ca="1"/>
        <v>#NAME?</v>
      </c>
      <c r="Y23" s="2" t="e">
        <f t="shared" ca="1" si="11"/>
        <v>#NAME?</v>
      </c>
      <c r="Z23" s="2" t="e">
        <f ca="1"/>
        <v>#NAME?</v>
      </c>
      <c r="AA23" s="2" t="e">
        <f t="shared" ca="1" si="12"/>
        <v>#NAME?</v>
      </c>
      <c r="AB23" s="2" t="e">
        <f ca="1"/>
        <v>#NAME?</v>
      </c>
      <c r="AC23" s="2" t="e">
        <f t="shared" ca="1" si="13"/>
        <v>#NAME?</v>
      </c>
      <c r="AD23" s="2" t="e">
        <f ca="1"/>
        <v>#NAME?</v>
      </c>
      <c r="AE23" s="2" t="e">
        <f t="shared" ca="1" si="14"/>
        <v>#NAME?</v>
      </c>
      <c r="AF23" s="2" t="e">
        <f ca="1"/>
        <v>#NAME?</v>
      </c>
      <c r="AG23" s="2" t="e">
        <f t="shared" ca="1" si="15"/>
        <v>#NAME?</v>
      </c>
      <c r="AH23" s="2" t="e">
        <f ca="1"/>
        <v>#NAME?</v>
      </c>
      <c r="AI23" s="2" t="e">
        <f t="shared" ca="1" si="16"/>
        <v>#NAME?</v>
      </c>
      <c r="AJ23" s="2" t="e">
        <f ca="1"/>
        <v>#NAME?</v>
      </c>
      <c r="AK23" s="2" t="e">
        <f t="shared" ca="1" si="17"/>
        <v>#NAME?</v>
      </c>
      <c r="AL23" s="2" t="e">
        <f ca="1"/>
        <v>#NAME?</v>
      </c>
      <c r="AM23" s="2" t="e">
        <f t="shared" ca="1" si="18"/>
        <v>#NAME?</v>
      </c>
      <c r="AN23" s="2" t="e">
        <f ca="1"/>
        <v>#NAME?</v>
      </c>
      <c r="AO23" s="2" t="e">
        <f t="shared" ca="1" si="19"/>
        <v>#NAME?</v>
      </c>
      <c r="AP23" s="2" t="e">
        <f ca="1"/>
        <v>#NAME?</v>
      </c>
      <c r="AQ23" s="2" t="e">
        <f t="shared" ca="1" si="20"/>
        <v>#NAME?</v>
      </c>
      <c r="AR23" s="2" t="e">
        <f ca="1"/>
        <v>#NAME?</v>
      </c>
      <c r="AS23" s="2" t="e">
        <f t="shared" ca="1" si="21"/>
        <v>#NAME?</v>
      </c>
      <c r="AT23" s="2" t="e">
        <f ca="1"/>
        <v>#NAME?</v>
      </c>
      <c r="AU23" s="2" t="e">
        <f t="shared" ca="1" si="22"/>
        <v>#NAME?</v>
      </c>
      <c r="AV23" s="2" t="e">
        <f ca="1"/>
        <v>#NAME?</v>
      </c>
      <c r="AW23" s="2" t="e">
        <f t="shared" ca="1" si="23"/>
        <v>#NAME?</v>
      </c>
      <c r="AX23" s="2" t="e">
        <f ca="1"/>
        <v>#NAME?</v>
      </c>
      <c r="AY23" s="2" t="e">
        <f t="shared" ca="1" si="24"/>
        <v>#NAME?</v>
      </c>
      <c r="AZ23" s="2" t="e">
        <f ca="1"/>
        <v>#NAME?</v>
      </c>
      <c r="BA23" s="2" t="e">
        <f t="shared" ca="1" si="25"/>
        <v>#NAME?</v>
      </c>
      <c r="BB23" s="2" t="e">
        <f ca="1"/>
        <v>#NAME?</v>
      </c>
      <c r="BC23" s="2" t="e">
        <f t="shared" ca="1" si="26"/>
        <v>#NAME?</v>
      </c>
      <c r="BD23" s="2" t="e">
        <f ca="1"/>
        <v>#NAME?</v>
      </c>
      <c r="BE23" s="2" t="e">
        <f t="shared" ca="1" si="27"/>
        <v>#NAME?</v>
      </c>
      <c r="BF23" s="2" t="e">
        <f ca="1"/>
        <v>#NAME?</v>
      </c>
      <c r="BG23" s="2" t="e">
        <f t="shared" ca="1" si="28"/>
        <v>#NAME?</v>
      </c>
      <c r="BH23" s="2" t="e">
        <f ca="1"/>
        <v>#NAME?</v>
      </c>
      <c r="BI23" s="2" t="e">
        <f t="shared" ca="1" si="29"/>
        <v>#NAME?</v>
      </c>
      <c r="BJ23" s="2" t="e">
        <f ca="1"/>
        <v>#NAME?</v>
      </c>
      <c r="BK23" s="2" t="e">
        <f t="shared" ca="1" si="30"/>
        <v>#NAME?</v>
      </c>
      <c r="BL23" s="2" t="e">
        <f ca="1"/>
        <v>#NAME?</v>
      </c>
      <c r="BM23" s="2" t="e">
        <f t="shared" ca="1" si="31"/>
        <v>#NAME?</v>
      </c>
      <c r="BN23" s="2" t="e">
        <f ca="1"/>
        <v>#NAME?</v>
      </c>
      <c r="BO23" s="2" t="e">
        <f t="shared" ca="1" si="32"/>
        <v>#NAME?</v>
      </c>
      <c r="BP23" s="2" t="e">
        <f ca="1"/>
        <v>#NAME?</v>
      </c>
      <c r="BQ23" s="2" t="e">
        <f t="shared" ca="1" si="33"/>
        <v>#NAME?</v>
      </c>
      <c r="BR23" s="2" t="e">
        <f ca="1"/>
        <v>#NAME?</v>
      </c>
      <c r="BS23" s="2" t="e">
        <f t="shared" ca="1" si="34"/>
        <v>#NAME?</v>
      </c>
      <c r="BT23" s="2" t="e">
        <f ca="1"/>
        <v>#NAME?</v>
      </c>
      <c r="BU23" s="2" t="e">
        <f t="shared" ca="1" si="35"/>
        <v>#NAME?</v>
      </c>
      <c r="BV23" s="2" t="e">
        <f ca="1"/>
        <v>#NAME?</v>
      </c>
      <c r="BW23" s="2" t="e">
        <f t="shared" ca="1" si="36"/>
        <v>#NAME?</v>
      </c>
      <c r="BX23" s="2" t="e">
        <f ca="1"/>
        <v>#NAME?</v>
      </c>
      <c r="BY23" s="2" t="e">
        <f t="shared" ca="1" si="37"/>
        <v>#NAME?</v>
      </c>
      <c r="BZ23" s="2" t="e">
        <f ca="1"/>
        <v>#NAME?</v>
      </c>
      <c r="CA23" s="2" t="e">
        <f t="shared" ca="1" si="38"/>
        <v>#NAME?</v>
      </c>
      <c r="CB23" s="2" t="e">
        <f ca="1"/>
        <v>#NAME?</v>
      </c>
      <c r="CC23" s="2" t="e">
        <f t="shared" ca="1" si="39"/>
        <v>#NAME?</v>
      </c>
      <c r="CD23" s="2" t="e">
        <f ca="1"/>
        <v>#NAME?</v>
      </c>
      <c r="CE23" s="2" t="e">
        <f t="shared" ca="1" si="40"/>
        <v>#NAME?</v>
      </c>
      <c r="CF23" s="2" t="e">
        <f ca="1"/>
        <v>#NAME?</v>
      </c>
      <c r="CG23" s="2" t="e">
        <f t="shared" ca="1" si="41"/>
        <v>#NAME?</v>
      </c>
      <c r="CH23" s="2" t="e">
        <f ca="1"/>
        <v>#NAME?</v>
      </c>
      <c r="CI23" s="2" t="e">
        <f t="shared" ca="1" si="42"/>
        <v>#NAME?</v>
      </c>
      <c r="CJ23" s="2" t="e">
        <f ca="1"/>
        <v>#NAME?</v>
      </c>
      <c r="CK23" s="2" t="e">
        <f t="shared" ca="1" si="43"/>
        <v>#NAME?</v>
      </c>
      <c r="CL23" s="2" t="e">
        <f ca="1"/>
        <v>#NAME?</v>
      </c>
      <c r="CM23" s="2" t="e">
        <f t="shared" ca="1" si="44"/>
        <v>#NAME?</v>
      </c>
      <c r="CN23" s="2" t="e">
        <f ca="1"/>
        <v>#NAME?</v>
      </c>
      <c r="CO23" s="2" t="e">
        <f t="shared" ca="1" si="45"/>
        <v>#NAME?</v>
      </c>
      <c r="CP23" s="2" t="e">
        <f ca="1"/>
        <v>#NAME?</v>
      </c>
      <c r="CQ23" s="2" t="e">
        <f t="shared" ca="1" si="46"/>
        <v>#NAME?</v>
      </c>
    </row>
    <row r="24" spans="1:95">
      <c r="A24" s="7" t="e">
        <f ca="1"/>
        <v>#NAME?</v>
      </c>
      <c r="B24" s="2" t="e">
        <f ca="1"/>
        <v>#NAME?</v>
      </c>
      <c r="C24" s="2" t="e">
        <f t="shared" ca="1" si="0"/>
        <v>#NAME?</v>
      </c>
      <c r="D24" s="2" t="e">
        <f ca="1"/>
        <v>#NAME?</v>
      </c>
      <c r="E24" s="2" t="e">
        <f t="shared" ca="1" si="1"/>
        <v>#NAME?</v>
      </c>
      <c r="F24" s="2" t="e">
        <f ca="1"/>
        <v>#NAME?</v>
      </c>
      <c r="G24" s="2" t="e">
        <f t="shared" ca="1" si="2"/>
        <v>#NAME?</v>
      </c>
      <c r="H24" s="2" t="e">
        <f ca="1"/>
        <v>#NAME?</v>
      </c>
      <c r="I24" s="2" t="e">
        <f t="shared" ca="1" si="3"/>
        <v>#NAME?</v>
      </c>
      <c r="J24" s="2" t="e">
        <f ca="1"/>
        <v>#NAME?</v>
      </c>
      <c r="K24" s="2" t="e">
        <f t="shared" ca="1" si="4"/>
        <v>#NAME?</v>
      </c>
      <c r="L24" s="2" t="e">
        <f ca="1"/>
        <v>#NAME?</v>
      </c>
      <c r="M24" s="2" t="e">
        <f t="shared" ca="1" si="5"/>
        <v>#NAME?</v>
      </c>
      <c r="N24" s="2" t="e">
        <f ca="1"/>
        <v>#NAME?</v>
      </c>
      <c r="O24" s="2" t="e">
        <f t="shared" ca="1" si="6"/>
        <v>#NAME?</v>
      </c>
      <c r="P24" s="2" t="e">
        <f ca="1"/>
        <v>#NAME?</v>
      </c>
      <c r="Q24" s="2" t="e">
        <f t="shared" ca="1" si="7"/>
        <v>#NAME?</v>
      </c>
      <c r="R24" s="2" t="e">
        <f ca="1"/>
        <v>#NAME?</v>
      </c>
      <c r="S24" s="2" t="e">
        <f t="shared" ca="1" si="8"/>
        <v>#NAME?</v>
      </c>
      <c r="T24" s="2" t="e">
        <f ca="1"/>
        <v>#NAME?</v>
      </c>
      <c r="U24" s="2" t="e">
        <f t="shared" ca="1" si="9"/>
        <v>#NAME?</v>
      </c>
      <c r="V24" s="2" t="e">
        <f ca="1"/>
        <v>#NAME?</v>
      </c>
      <c r="W24" s="2" t="e">
        <f t="shared" ca="1" si="10"/>
        <v>#NAME?</v>
      </c>
      <c r="X24" s="2" t="e">
        <f ca="1"/>
        <v>#NAME?</v>
      </c>
      <c r="Y24" s="2" t="e">
        <f t="shared" ca="1" si="11"/>
        <v>#NAME?</v>
      </c>
      <c r="Z24" s="2" t="e">
        <f ca="1"/>
        <v>#NAME?</v>
      </c>
      <c r="AA24" s="2" t="e">
        <f t="shared" ca="1" si="12"/>
        <v>#NAME?</v>
      </c>
      <c r="AB24" s="2" t="e">
        <f ca="1"/>
        <v>#NAME?</v>
      </c>
      <c r="AC24" s="2" t="e">
        <f t="shared" ca="1" si="13"/>
        <v>#NAME?</v>
      </c>
      <c r="AD24" s="2" t="e">
        <f ca="1"/>
        <v>#NAME?</v>
      </c>
      <c r="AE24" s="2" t="e">
        <f t="shared" ca="1" si="14"/>
        <v>#NAME?</v>
      </c>
      <c r="AF24" s="2" t="e">
        <f ca="1"/>
        <v>#NAME?</v>
      </c>
      <c r="AG24" s="2" t="e">
        <f t="shared" ca="1" si="15"/>
        <v>#NAME?</v>
      </c>
      <c r="AH24" s="2" t="e">
        <f ca="1"/>
        <v>#NAME?</v>
      </c>
      <c r="AI24" s="2" t="e">
        <f t="shared" ca="1" si="16"/>
        <v>#NAME?</v>
      </c>
      <c r="AJ24" s="2" t="e">
        <f ca="1"/>
        <v>#NAME?</v>
      </c>
      <c r="AK24" s="2" t="e">
        <f t="shared" ca="1" si="17"/>
        <v>#NAME?</v>
      </c>
      <c r="AL24" s="2" t="e">
        <f ca="1"/>
        <v>#NAME?</v>
      </c>
      <c r="AM24" s="2" t="e">
        <f t="shared" ca="1" si="18"/>
        <v>#NAME?</v>
      </c>
      <c r="AN24" s="2" t="e">
        <f ca="1"/>
        <v>#NAME?</v>
      </c>
      <c r="AO24" s="2" t="e">
        <f t="shared" ca="1" si="19"/>
        <v>#NAME?</v>
      </c>
      <c r="AP24" s="2" t="e">
        <f ca="1"/>
        <v>#NAME?</v>
      </c>
      <c r="AQ24" s="2" t="e">
        <f t="shared" ca="1" si="20"/>
        <v>#NAME?</v>
      </c>
      <c r="AR24" s="2" t="e">
        <f ca="1"/>
        <v>#NAME?</v>
      </c>
      <c r="AS24" s="2" t="e">
        <f t="shared" ca="1" si="21"/>
        <v>#NAME?</v>
      </c>
      <c r="AT24" s="2" t="e">
        <f ca="1"/>
        <v>#NAME?</v>
      </c>
      <c r="AU24" s="2" t="e">
        <f t="shared" ca="1" si="22"/>
        <v>#NAME?</v>
      </c>
      <c r="AV24" s="2" t="e">
        <f ca="1"/>
        <v>#NAME?</v>
      </c>
      <c r="AW24" s="2" t="e">
        <f t="shared" ca="1" si="23"/>
        <v>#NAME?</v>
      </c>
      <c r="AX24" s="2" t="e">
        <f ca="1"/>
        <v>#NAME?</v>
      </c>
      <c r="AY24" s="2" t="e">
        <f t="shared" ca="1" si="24"/>
        <v>#NAME?</v>
      </c>
      <c r="AZ24" s="2" t="e">
        <f ca="1"/>
        <v>#NAME?</v>
      </c>
      <c r="BA24" s="2" t="e">
        <f t="shared" ca="1" si="25"/>
        <v>#NAME?</v>
      </c>
      <c r="BB24" s="2" t="e">
        <f ca="1"/>
        <v>#NAME?</v>
      </c>
      <c r="BC24" s="2" t="e">
        <f t="shared" ca="1" si="26"/>
        <v>#NAME?</v>
      </c>
      <c r="BD24" s="2" t="e">
        <f ca="1"/>
        <v>#NAME?</v>
      </c>
      <c r="BE24" s="2" t="e">
        <f t="shared" ca="1" si="27"/>
        <v>#NAME?</v>
      </c>
      <c r="BF24" s="2" t="e">
        <f ca="1"/>
        <v>#NAME?</v>
      </c>
      <c r="BG24" s="2" t="e">
        <f t="shared" ca="1" si="28"/>
        <v>#NAME?</v>
      </c>
      <c r="BH24" s="2" t="e">
        <f ca="1"/>
        <v>#NAME?</v>
      </c>
      <c r="BI24" s="2" t="e">
        <f t="shared" ca="1" si="29"/>
        <v>#NAME?</v>
      </c>
      <c r="BJ24" s="2" t="e">
        <f ca="1"/>
        <v>#NAME?</v>
      </c>
      <c r="BK24" s="2" t="e">
        <f t="shared" ca="1" si="30"/>
        <v>#NAME?</v>
      </c>
      <c r="BL24" s="2" t="e">
        <f ca="1"/>
        <v>#NAME?</v>
      </c>
      <c r="BM24" s="2" t="e">
        <f t="shared" ca="1" si="31"/>
        <v>#NAME?</v>
      </c>
      <c r="BN24" s="2" t="e">
        <f ca="1"/>
        <v>#NAME?</v>
      </c>
      <c r="BO24" s="2" t="e">
        <f t="shared" ca="1" si="32"/>
        <v>#NAME?</v>
      </c>
      <c r="BP24" s="2" t="e">
        <f ca="1"/>
        <v>#NAME?</v>
      </c>
      <c r="BQ24" s="2" t="e">
        <f t="shared" ca="1" si="33"/>
        <v>#NAME?</v>
      </c>
      <c r="BR24" s="2" t="e">
        <f ca="1"/>
        <v>#NAME?</v>
      </c>
      <c r="BS24" s="2" t="e">
        <f t="shared" ca="1" si="34"/>
        <v>#NAME?</v>
      </c>
      <c r="BT24" s="2" t="e">
        <f ca="1"/>
        <v>#NAME?</v>
      </c>
      <c r="BU24" s="2" t="e">
        <f t="shared" ca="1" si="35"/>
        <v>#NAME?</v>
      </c>
      <c r="BV24" s="2" t="e">
        <f ca="1"/>
        <v>#NAME?</v>
      </c>
      <c r="BW24" s="2" t="e">
        <f t="shared" ca="1" si="36"/>
        <v>#NAME?</v>
      </c>
      <c r="BX24" s="2" t="e">
        <f ca="1"/>
        <v>#NAME?</v>
      </c>
      <c r="BY24" s="2" t="e">
        <f t="shared" ca="1" si="37"/>
        <v>#NAME?</v>
      </c>
      <c r="BZ24" s="2" t="e">
        <f ca="1"/>
        <v>#NAME?</v>
      </c>
      <c r="CA24" s="2" t="e">
        <f t="shared" ca="1" si="38"/>
        <v>#NAME?</v>
      </c>
      <c r="CB24" s="2" t="e">
        <f ca="1"/>
        <v>#NAME?</v>
      </c>
      <c r="CC24" s="2" t="e">
        <f t="shared" ca="1" si="39"/>
        <v>#NAME?</v>
      </c>
      <c r="CD24" s="2" t="e">
        <f ca="1"/>
        <v>#NAME?</v>
      </c>
      <c r="CE24" s="2" t="e">
        <f t="shared" ca="1" si="40"/>
        <v>#NAME?</v>
      </c>
      <c r="CF24" s="2" t="e">
        <f ca="1"/>
        <v>#NAME?</v>
      </c>
      <c r="CG24" s="2" t="e">
        <f t="shared" ca="1" si="41"/>
        <v>#NAME?</v>
      </c>
      <c r="CH24" s="2" t="e">
        <f ca="1"/>
        <v>#NAME?</v>
      </c>
      <c r="CI24" s="2" t="e">
        <f t="shared" ca="1" si="42"/>
        <v>#NAME?</v>
      </c>
      <c r="CJ24" s="2" t="e">
        <f ca="1"/>
        <v>#NAME?</v>
      </c>
      <c r="CK24" s="2" t="e">
        <f t="shared" ca="1" si="43"/>
        <v>#NAME?</v>
      </c>
      <c r="CL24" s="2" t="e">
        <f ca="1"/>
        <v>#NAME?</v>
      </c>
      <c r="CM24" s="2" t="e">
        <f t="shared" ca="1" si="44"/>
        <v>#NAME?</v>
      </c>
      <c r="CN24" s="2" t="e">
        <f ca="1"/>
        <v>#NAME?</v>
      </c>
      <c r="CO24" s="2" t="e">
        <f t="shared" ca="1" si="45"/>
        <v>#NAME?</v>
      </c>
      <c r="CP24" s="2" t="e">
        <f ca="1"/>
        <v>#NAME?</v>
      </c>
      <c r="CQ24" s="2" t="e">
        <f t="shared" ca="1" si="46"/>
        <v>#NAME?</v>
      </c>
    </row>
    <row r="25" spans="1:95">
      <c r="A25" s="7" t="e">
        <f ca="1"/>
        <v>#NAME?</v>
      </c>
      <c r="B25" s="2" t="e">
        <f ca="1"/>
        <v>#NAME?</v>
      </c>
      <c r="C25" s="2" t="e">
        <f t="shared" ca="1" si="0"/>
        <v>#NAME?</v>
      </c>
      <c r="D25" s="2" t="e">
        <f ca="1"/>
        <v>#NAME?</v>
      </c>
      <c r="E25" s="2" t="e">
        <f t="shared" ca="1" si="1"/>
        <v>#NAME?</v>
      </c>
      <c r="F25" s="2" t="e">
        <f ca="1"/>
        <v>#NAME?</v>
      </c>
      <c r="G25" s="2" t="e">
        <f t="shared" ca="1" si="2"/>
        <v>#NAME?</v>
      </c>
      <c r="H25" s="2" t="e">
        <f ca="1"/>
        <v>#NAME?</v>
      </c>
      <c r="I25" s="2" t="e">
        <f t="shared" ca="1" si="3"/>
        <v>#NAME?</v>
      </c>
      <c r="J25" s="2" t="e">
        <f ca="1"/>
        <v>#NAME?</v>
      </c>
      <c r="K25" s="2" t="e">
        <f t="shared" ca="1" si="4"/>
        <v>#NAME?</v>
      </c>
      <c r="L25" s="2" t="e">
        <f ca="1"/>
        <v>#NAME?</v>
      </c>
      <c r="M25" s="2" t="e">
        <f t="shared" ca="1" si="5"/>
        <v>#NAME?</v>
      </c>
      <c r="N25" s="2" t="e">
        <f ca="1"/>
        <v>#NAME?</v>
      </c>
      <c r="O25" s="2" t="e">
        <f t="shared" ca="1" si="6"/>
        <v>#NAME?</v>
      </c>
      <c r="P25" s="2" t="e">
        <f ca="1"/>
        <v>#NAME?</v>
      </c>
      <c r="Q25" s="2" t="e">
        <f t="shared" ca="1" si="7"/>
        <v>#NAME?</v>
      </c>
      <c r="R25" s="2" t="e">
        <f ca="1"/>
        <v>#NAME?</v>
      </c>
      <c r="S25" s="2" t="e">
        <f t="shared" ca="1" si="8"/>
        <v>#NAME?</v>
      </c>
      <c r="T25" s="2" t="e">
        <f ca="1"/>
        <v>#NAME?</v>
      </c>
      <c r="U25" s="2" t="e">
        <f t="shared" ca="1" si="9"/>
        <v>#NAME?</v>
      </c>
      <c r="V25" s="2" t="e">
        <f ca="1"/>
        <v>#NAME?</v>
      </c>
      <c r="W25" s="2" t="e">
        <f t="shared" ca="1" si="10"/>
        <v>#NAME?</v>
      </c>
      <c r="X25" s="2" t="e">
        <f ca="1"/>
        <v>#NAME?</v>
      </c>
      <c r="Y25" s="2" t="e">
        <f t="shared" ca="1" si="11"/>
        <v>#NAME?</v>
      </c>
      <c r="Z25" s="2" t="e">
        <f ca="1"/>
        <v>#NAME?</v>
      </c>
      <c r="AA25" s="2" t="e">
        <f t="shared" ca="1" si="12"/>
        <v>#NAME?</v>
      </c>
      <c r="AB25" s="2" t="e">
        <f ca="1"/>
        <v>#NAME?</v>
      </c>
      <c r="AC25" s="2" t="e">
        <f t="shared" ca="1" si="13"/>
        <v>#NAME?</v>
      </c>
      <c r="AD25" s="2" t="e">
        <f ca="1"/>
        <v>#NAME?</v>
      </c>
      <c r="AE25" s="2" t="e">
        <f t="shared" ca="1" si="14"/>
        <v>#NAME?</v>
      </c>
      <c r="AF25" s="2" t="e">
        <f ca="1"/>
        <v>#NAME?</v>
      </c>
      <c r="AG25" s="2" t="e">
        <f t="shared" ca="1" si="15"/>
        <v>#NAME?</v>
      </c>
      <c r="AH25" s="2" t="e">
        <f ca="1"/>
        <v>#NAME?</v>
      </c>
      <c r="AI25" s="2" t="e">
        <f t="shared" ca="1" si="16"/>
        <v>#NAME?</v>
      </c>
      <c r="AJ25" s="2" t="e">
        <f ca="1"/>
        <v>#NAME?</v>
      </c>
      <c r="AK25" s="2" t="e">
        <f t="shared" ca="1" si="17"/>
        <v>#NAME?</v>
      </c>
      <c r="AL25" s="2" t="e">
        <f ca="1"/>
        <v>#NAME?</v>
      </c>
      <c r="AM25" s="2" t="e">
        <f t="shared" ca="1" si="18"/>
        <v>#NAME?</v>
      </c>
      <c r="AN25" s="2" t="e">
        <f ca="1"/>
        <v>#NAME?</v>
      </c>
      <c r="AO25" s="2" t="e">
        <f t="shared" ca="1" si="19"/>
        <v>#NAME?</v>
      </c>
      <c r="AP25" s="2" t="e">
        <f ca="1"/>
        <v>#NAME?</v>
      </c>
      <c r="AQ25" s="2" t="e">
        <f t="shared" ca="1" si="20"/>
        <v>#NAME?</v>
      </c>
      <c r="AR25" s="2" t="e">
        <f ca="1"/>
        <v>#NAME?</v>
      </c>
      <c r="AS25" s="2" t="e">
        <f t="shared" ca="1" si="21"/>
        <v>#NAME?</v>
      </c>
      <c r="AT25" s="2" t="e">
        <f ca="1"/>
        <v>#NAME?</v>
      </c>
      <c r="AU25" s="2" t="e">
        <f t="shared" ca="1" si="22"/>
        <v>#NAME?</v>
      </c>
      <c r="AV25" s="2" t="e">
        <f ca="1"/>
        <v>#NAME?</v>
      </c>
      <c r="AW25" s="2" t="e">
        <f t="shared" ca="1" si="23"/>
        <v>#NAME?</v>
      </c>
      <c r="AX25" s="2" t="e">
        <f ca="1"/>
        <v>#NAME?</v>
      </c>
      <c r="AY25" s="2" t="e">
        <f t="shared" ca="1" si="24"/>
        <v>#NAME?</v>
      </c>
      <c r="AZ25" s="2" t="e">
        <f ca="1"/>
        <v>#NAME?</v>
      </c>
      <c r="BA25" s="2" t="e">
        <f t="shared" ca="1" si="25"/>
        <v>#NAME?</v>
      </c>
      <c r="BB25" s="2" t="e">
        <f ca="1"/>
        <v>#NAME?</v>
      </c>
      <c r="BC25" s="2" t="e">
        <f t="shared" ca="1" si="26"/>
        <v>#NAME?</v>
      </c>
      <c r="BD25" s="2" t="e">
        <f ca="1"/>
        <v>#NAME?</v>
      </c>
      <c r="BE25" s="2" t="e">
        <f t="shared" ca="1" si="27"/>
        <v>#NAME?</v>
      </c>
      <c r="BF25" s="2" t="e">
        <f ca="1"/>
        <v>#NAME?</v>
      </c>
      <c r="BG25" s="2" t="e">
        <f t="shared" ca="1" si="28"/>
        <v>#NAME?</v>
      </c>
      <c r="BH25" s="2" t="e">
        <f ca="1"/>
        <v>#NAME?</v>
      </c>
      <c r="BI25" s="2" t="e">
        <f t="shared" ca="1" si="29"/>
        <v>#NAME?</v>
      </c>
      <c r="BJ25" s="2" t="e">
        <f ca="1"/>
        <v>#NAME?</v>
      </c>
      <c r="BK25" s="2" t="e">
        <f t="shared" ca="1" si="30"/>
        <v>#NAME?</v>
      </c>
      <c r="BL25" s="2" t="e">
        <f ca="1"/>
        <v>#NAME?</v>
      </c>
      <c r="BM25" s="2" t="e">
        <f t="shared" ca="1" si="31"/>
        <v>#NAME?</v>
      </c>
      <c r="BN25" s="2" t="e">
        <f ca="1"/>
        <v>#NAME?</v>
      </c>
      <c r="BO25" s="2" t="e">
        <f t="shared" ca="1" si="32"/>
        <v>#NAME?</v>
      </c>
      <c r="BP25" s="2" t="e">
        <f ca="1"/>
        <v>#NAME?</v>
      </c>
      <c r="BQ25" s="2" t="e">
        <f t="shared" ca="1" si="33"/>
        <v>#NAME?</v>
      </c>
      <c r="BR25" s="2" t="e">
        <f ca="1"/>
        <v>#NAME?</v>
      </c>
      <c r="BS25" s="2" t="e">
        <f t="shared" ca="1" si="34"/>
        <v>#NAME?</v>
      </c>
      <c r="BT25" s="2" t="e">
        <f ca="1"/>
        <v>#NAME?</v>
      </c>
      <c r="BU25" s="2" t="e">
        <f t="shared" ca="1" si="35"/>
        <v>#NAME?</v>
      </c>
      <c r="BV25" s="2" t="e">
        <f ca="1"/>
        <v>#NAME?</v>
      </c>
      <c r="BW25" s="2" t="e">
        <f t="shared" ca="1" si="36"/>
        <v>#NAME?</v>
      </c>
      <c r="BX25" s="2" t="e">
        <f ca="1"/>
        <v>#NAME?</v>
      </c>
      <c r="BY25" s="2" t="e">
        <f t="shared" ca="1" si="37"/>
        <v>#NAME?</v>
      </c>
      <c r="BZ25" s="2" t="e">
        <f ca="1"/>
        <v>#NAME?</v>
      </c>
      <c r="CA25" s="2" t="e">
        <f t="shared" ca="1" si="38"/>
        <v>#NAME?</v>
      </c>
      <c r="CB25" s="2" t="e">
        <f ca="1"/>
        <v>#NAME?</v>
      </c>
      <c r="CC25" s="2" t="e">
        <f t="shared" ca="1" si="39"/>
        <v>#NAME?</v>
      </c>
      <c r="CD25" s="2" t="e">
        <f ca="1"/>
        <v>#NAME?</v>
      </c>
      <c r="CE25" s="2" t="e">
        <f t="shared" ca="1" si="40"/>
        <v>#NAME?</v>
      </c>
      <c r="CF25" s="2" t="e">
        <f ca="1"/>
        <v>#NAME?</v>
      </c>
      <c r="CG25" s="2" t="e">
        <f t="shared" ca="1" si="41"/>
        <v>#NAME?</v>
      </c>
      <c r="CH25" s="2" t="e">
        <f ca="1"/>
        <v>#NAME?</v>
      </c>
      <c r="CI25" s="2" t="e">
        <f t="shared" ca="1" si="42"/>
        <v>#NAME?</v>
      </c>
      <c r="CJ25" s="2" t="e">
        <f ca="1"/>
        <v>#NAME?</v>
      </c>
      <c r="CK25" s="2" t="e">
        <f t="shared" ca="1" si="43"/>
        <v>#NAME?</v>
      </c>
      <c r="CL25" s="2" t="e">
        <f ca="1"/>
        <v>#NAME?</v>
      </c>
      <c r="CM25" s="2" t="e">
        <f t="shared" ca="1" si="44"/>
        <v>#NAME?</v>
      </c>
      <c r="CN25" s="2" t="e">
        <f ca="1"/>
        <v>#NAME?</v>
      </c>
      <c r="CO25" s="2" t="e">
        <f t="shared" ca="1" si="45"/>
        <v>#NAME?</v>
      </c>
      <c r="CP25" s="2" t="e">
        <f ca="1"/>
        <v>#NAME?</v>
      </c>
      <c r="CQ25" s="2" t="e">
        <f t="shared" ca="1" si="46"/>
        <v>#NAME?</v>
      </c>
    </row>
    <row r="26" spans="1:95">
      <c r="A26" s="7" t="e">
        <f ca="1"/>
        <v>#NAME?</v>
      </c>
      <c r="B26" s="2" t="e">
        <f ca="1"/>
        <v>#NAME?</v>
      </c>
      <c r="C26" s="2" t="e">
        <f t="shared" ca="1" si="0"/>
        <v>#NAME?</v>
      </c>
      <c r="D26" s="2" t="e">
        <f ca="1"/>
        <v>#NAME?</v>
      </c>
      <c r="E26" s="2" t="e">
        <f t="shared" ca="1" si="1"/>
        <v>#NAME?</v>
      </c>
      <c r="F26" s="2" t="e">
        <f ca="1"/>
        <v>#NAME?</v>
      </c>
      <c r="G26" s="2" t="e">
        <f t="shared" ca="1" si="2"/>
        <v>#NAME?</v>
      </c>
      <c r="H26" s="2" t="e">
        <f ca="1"/>
        <v>#NAME?</v>
      </c>
      <c r="I26" s="2" t="e">
        <f t="shared" ca="1" si="3"/>
        <v>#NAME?</v>
      </c>
      <c r="J26" s="2" t="e">
        <f ca="1"/>
        <v>#NAME?</v>
      </c>
      <c r="K26" s="2" t="e">
        <f t="shared" ca="1" si="4"/>
        <v>#NAME?</v>
      </c>
      <c r="L26" s="2" t="e">
        <f ca="1"/>
        <v>#NAME?</v>
      </c>
      <c r="M26" s="2" t="e">
        <f t="shared" ca="1" si="5"/>
        <v>#NAME?</v>
      </c>
      <c r="N26" s="2" t="e">
        <f ca="1"/>
        <v>#NAME?</v>
      </c>
      <c r="O26" s="2" t="e">
        <f t="shared" ca="1" si="6"/>
        <v>#NAME?</v>
      </c>
      <c r="P26" s="2" t="e">
        <f ca="1"/>
        <v>#NAME?</v>
      </c>
      <c r="Q26" s="2" t="e">
        <f t="shared" ca="1" si="7"/>
        <v>#NAME?</v>
      </c>
      <c r="R26" s="2" t="e">
        <f ca="1"/>
        <v>#NAME?</v>
      </c>
      <c r="S26" s="2" t="e">
        <f t="shared" ca="1" si="8"/>
        <v>#NAME?</v>
      </c>
      <c r="T26" s="2" t="e">
        <f ca="1"/>
        <v>#NAME?</v>
      </c>
      <c r="U26" s="2" t="e">
        <f t="shared" ca="1" si="9"/>
        <v>#NAME?</v>
      </c>
      <c r="V26" s="2" t="e">
        <f ca="1"/>
        <v>#NAME?</v>
      </c>
      <c r="W26" s="2" t="e">
        <f t="shared" ca="1" si="10"/>
        <v>#NAME?</v>
      </c>
      <c r="X26" s="2" t="e">
        <f ca="1"/>
        <v>#NAME?</v>
      </c>
      <c r="Y26" s="2" t="e">
        <f t="shared" ca="1" si="11"/>
        <v>#NAME?</v>
      </c>
      <c r="Z26" s="2" t="e">
        <f ca="1"/>
        <v>#NAME?</v>
      </c>
      <c r="AA26" s="2" t="e">
        <f t="shared" ca="1" si="12"/>
        <v>#NAME?</v>
      </c>
      <c r="AB26" s="2" t="e">
        <f ca="1"/>
        <v>#NAME?</v>
      </c>
      <c r="AC26" s="2" t="e">
        <f t="shared" ca="1" si="13"/>
        <v>#NAME?</v>
      </c>
      <c r="AD26" s="2" t="e">
        <f ca="1"/>
        <v>#NAME?</v>
      </c>
      <c r="AE26" s="2" t="e">
        <f t="shared" ca="1" si="14"/>
        <v>#NAME?</v>
      </c>
      <c r="AF26" s="2" t="e">
        <f ca="1"/>
        <v>#NAME?</v>
      </c>
      <c r="AG26" s="2" t="e">
        <f t="shared" ca="1" si="15"/>
        <v>#NAME?</v>
      </c>
      <c r="AH26" s="2" t="e">
        <f ca="1"/>
        <v>#NAME?</v>
      </c>
      <c r="AI26" s="2" t="e">
        <f t="shared" ca="1" si="16"/>
        <v>#NAME?</v>
      </c>
      <c r="AJ26" s="2" t="e">
        <f ca="1"/>
        <v>#NAME?</v>
      </c>
      <c r="AK26" s="2" t="e">
        <f t="shared" ca="1" si="17"/>
        <v>#NAME?</v>
      </c>
      <c r="AL26" s="2" t="e">
        <f ca="1"/>
        <v>#NAME?</v>
      </c>
      <c r="AM26" s="2" t="e">
        <f t="shared" ca="1" si="18"/>
        <v>#NAME?</v>
      </c>
      <c r="AN26" s="2" t="e">
        <f ca="1"/>
        <v>#NAME?</v>
      </c>
      <c r="AO26" s="2" t="e">
        <f t="shared" ca="1" si="19"/>
        <v>#NAME?</v>
      </c>
      <c r="AP26" s="2" t="e">
        <f ca="1"/>
        <v>#NAME?</v>
      </c>
      <c r="AQ26" s="2" t="e">
        <f t="shared" ca="1" si="20"/>
        <v>#NAME?</v>
      </c>
      <c r="AR26" s="2" t="e">
        <f ca="1"/>
        <v>#NAME?</v>
      </c>
      <c r="AS26" s="2" t="e">
        <f t="shared" ca="1" si="21"/>
        <v>#NAME?</v>
      </c>
      <c r="AT26" s="2" t="e">
        <f ca="1"/>
        <v>#NAME?</v>
      </c>
      <c r="AU26" s="2" t="e">
        <f t="shared" ca="1" si="22"/>
        <v>#NAME?</v>
      </c>
      <c r="AV26" s="2" t="e">
        <f ca="1"/>
        <v>#NAME?</v>
      </c>
      <c r="AW26" s="2" t="e">
        <f t="shared" ca="1" si="23"/>
        <v>#NAME?</v>
      </c>
      <c r="AX26" s="2" t="e">
        <f ca="1"/>
        <v>#NAME?</v>
      </c>
      <c r="AY26" s="2" t="e">
        <f t="shared" ca="1" si="24"/>
        <v>#NAME?</v>
      </c>
      <c r="AZ26" s="2" t="e">
        <f ca="1"/>
        <v>#NAME?</v>
      </c>
      <c r="BA26" s="2" t="e">
        <f t="shared" ca="1" si="25"/>
        <v>#NAME?</v>
      </c>
      <c r="BB26" s="2" t="e">
        <f ca="1"/>
        <v>#NAME?</v>
      </c>
      <c r="BC26" s="2" t="e">
        <f t="shared" ca="1" si="26"/>
        <v>#NAME?</v>
      </c>
      <c r="BD26" s="2" t="e">
        <f ca="1"/>
        <v>#NAME?</v>
      </c>
      <c r="BE26" s="2" t="e">
        <f t="shared" ca="1" si="27"/>
        <v>#NAME?</v>
      </c>
      <c r="BF26" s="2" t="e">
        <f ca="1"/>
        <v>#NAME?</v>
      </c>
      <c r="BG26" s="2" t="e">
        <f t="shared" ca="1" si="28"/>
        <v>#NAME?</v>
      </c>
      <c r="BH26" s="2" t="e">
        <f ca="1"/>
        <v>#NAME?</v>
      </c>
      <c r="BI26" s="2" t="e">
        <f t="shared" ca="1" si="29"/>
        <v>#NAME?</v>
      </c>
      <c r="BJ26" s="2" t="e">
        <f ca="1"/>
        <v>#NAME?</v>
      </c>
      <c r="BK26" s="2" t="e">
        <f t="shared" ca="1" si="30"/>
        <v>#NAME?</v>
      </c>
      <c r="BL26" s="2" t="e">
        <f ca="1"/>
        <v>#NAME?</v>
      </c>
      <c r="BM26" s="2" t="e">
        <f t="shared" ca="1" si="31"/>
        <v>#NAME?</v>
      </c>
      <c r="BN26" s="2" t="e">
        <f ca="1"/>
        <v>#NAME?</v>
      </c>
      <c r="BO26" s="2" t="e">
        <f t="shared" ca="1" si="32"/>
        <v>#NAME?</v>
      </c>
      <c r="BP26" s="2" t="e">
        <f ca="1"/>
        <v>#NAME?</v>
      </c>
      <c r="BQ26" s="2" t="e">
        <f t="shared" ca="1" si="33"/>
        <v>#NAME?</v>
      </c>
      <c r="BR26" s="2" t="e">
        <f ca="1"/>
        <v>#NAME?</v>
      </c>
      <c r="BS26" s="2" t="e">
        <f t="shared" ca="1" si="34"/>
        <v>#NAME?</v>
      </c>
      <c r="BT26" s="2" t="e">
        <f ca="1"/>
        <v>#NAME?</v>
      </c>
      <c r="BU26" s="2" t="e">
        <f t="shared" ca="1" si="35"/>
        <v>#NAME?</v>
      </c>
      <c r="BV26" s="2" t="e">
        <f ca="1"/>
        <v>#NAME?</v>
      </c>
      <c r="BW26" s="2" t="e">
        <f t="shared" ca="1" si="36"/>
        <v>#NAME?</v>
      </c>
      <c r="BX26" s="2" t="e">
        <f ca="1"/>
        <v>#NAME?</v>
      </c>
      <c r="BY26" s="2" t="e">
        <f t="shared" ca="1" si="37"/>
        <v>#NAME?</v>
      </c>
      <c r="BZ26" s="2" t="e">
        <f ca="1"/>
        <v>#NAME?</v>
      </c>
      <c r="CA26" s="2" t="e">
        <f t="shared" ca="1" si="38"/>
        <v>#NAME?</v>
      </c>
      <c r="CB26" s="2" t="e">
        <f ca="1"/>
        <v>#NAME?</v>
      </c>
      <c r="CC26" s="2" t="e">
        <f t="shared" ca="1" si="39"/>
        <v>#NAME?</v>
      </c>
      <c r="CD26" s="2" t="e">
        <f ca="1"/>
        <v>#NAME?</v>
      </c>
      <c r="CE26" s="2" t="e">
        <f t="shared" ca="1" si="40"/>
        <v>#NAME?</v>
      </c>
      <c r="CF26" s="2" t="e">
        <f ca="1"/>
        <v>#NAME?</v>
      </c>
      <c r="CG26" s="2" t="e">
        <f t="shared" ca="1" si="41"/>
        <v>#NAME?</v>
      </c>
      <c r="CH26" s="2" t="e">
        <f ca="1"/>
        <v>#NAME?</v>
      </c>
      <c r="CI26" s="2" t="e">
        <f t="shared" ca="1" si="42"/>
        <v>#NAME?</v>
      </c>
      <c r="CJ26" s="2" t="e">
        <f ca="1"/>
        <v>#NAME?</v>
      </c>
      <c r="CK26" s="2" t="e">
        <f t="shared" ca="1" si="43"/>
        <v>#NAME?</v>
      </c>
      <c r="CL26" s="2" t="e">
        <f ca="1"/>
        <v>#NAME?</v>
      </c>
      <c r="CM26" s="2" t="e">
        <f t="shared" ca="1" si="44"/>
        <v>#NAME?</v>
      </c>
      <c r="CN26" s="2" t="e">
        <f ca="1"/>
        <v>#NAME?</v>
      </c>
      <c r="CO26" s="2" t="e">
        <f t="shared" ca="1" si="45"/>
        <v>#NAME?</v>
      </c>
      <c r="CP26" s="2" t="e">
        <f ca="1"/>
        <v>#NAME?</v>
      </c>
      <c r="CQ26" s="2" t="e">
        <f t="shared" ca="1" si="46"/>
        <v>#NAME?</v>
      </c>
    </row>
    <row r="27" spans="1:95">
      <c r="A27" s="7" t="e">
        <f ca="1"/>
        <v>#NAME?</v>
      </c>
      <c r="B27" s="2" t="e">
        <f ca="1"/>
        <v>#NAME?</v>
      </c>
      <c r="C27" s="2" t="e">
        <f t="shared" ca="1" si="0"/>
        <v>#NAME?</v>
      </c>
      <c r="D27" s="2" t="e">
        <f ca="1"/>
        <v>#NAME?</v>
      </c>
      <c r="E27" s="2" t="e">
        <f t="shared" ca="1" si="1"/>
        <v>#NAME?</v>
      </c>
      <c r="F27" s="2" t="e">
        <f ca="1"/>
        <v>#NAME?</v>
      </c>
      <c r="G27" s="2" t="e">
        <f t="shared" ca="1" si="2"/>
        <v>#NAME?</v>
      </c>
      <c r="H27" s="2" t="e">
        <f ca="1"/>
        <v>#NAME?</v>
      </c>
      <c r="I27" s="2" t="e">
        <f t="shared" ca="1" si="3"/>
        <v>#NAME?</v>
      </c>
      <c r="J27" s="2" t="e">
        <f ca="1"/>
        <v>#NAME?</v>
      </c>
      <c r="K27" s="2" t="e">
        <f t="shared" ca="1" si="4"/>
        <v>#NAME?</v>
      </c>
      <c r="L27" s="2" t="e">
        <f ca="1"/>
        <v>#NAME?</v>
      </c>
      <c r="M27" s="2" t="e">
        <f t="shared" ca="1" si="5"/>
        <v>#NAME?</v>
      </c>
      <c r="N27" s="2" t="e">
        <f ca="1"/>
        <v>#NAME?</v>
      </c>
      <c r="O27" s="2" t="e">
        <f t="shared" ca="1" si="6"/>
        <v>#NAME?</v>
      </c>
      <c r="P27" s="2" t="e">
        <f ca="1"/>
        <v>#NAME?</v>
      </c>
      <c r="Q27" s="2" t="e">
        <f t="shared" ca="1" si="7"/>
        <v>#NAME?</v>
      </c>
      <c r="R27" s="2" t="e">
        <f ca="1"/>
        <v>#NAME?</v>
      </c>
      <c r="S27" s="2" t="e">
        <f t="shared" ca="1" si="8"/>
        <v>#NAME?</v>
      </c>
      <c r="T27" s="2" t="e">
        <f ca="1"/>
        <v>#NAME?</v>
      </c>
      <c r="U27" s="2" t="e">
        <f t="shared" ca="1" si="9"/>
        <v>#NAME?</v>
      </c>
      <c r="V27" s="2" t="e">
        <f ca="1"/>
        <v>#NAME?</v>
      </c>
      <c r="W27" s="2" t="e">
        <f t="shared" ca="1" si="10"/>
        <v>#NAME?</v>
      </c>
      <c r="X27" s="2" t="e">
        <f ca="1"/>
        <v>#NAME?</v>
      </c>
      <c r="Y27" s="2" t="e">
        <f t="shared" ca="1" si="11"/>
        <v>#NAME?</v>
      </c>
      <c r="Z27" s="2" t="e">
        <f ca="1"/>
        <v>#NAME?</v>
      </c>
      <c r="AA27" s="2" t="e">
        <f t="shared" ca="1" si="12"/>
        <v>#NAME?</v>
      </c>
      <c r="AB27" s="2" t="e">
        <f ca="1"/>
        <v>#NAME?</v>
      </c>
      <c r="AC27" s="2" t="e">
        <f t="shared" ca="1" si="13"/>
        <v>#NAME?</v>
      </c>
      <c r="AD27" s="2" t="e">
        <f ca="1"/>
        <v>#NAME?</v>
      </c>
      <c r="AE27" s="2" t="e">
        <f t="shared" ca="1" si="14"/>
        <v>#NAME?</v>
      </c>
      <c r="AF27" s="2" t="e">
        <f ca="1"/>
        <v>#NAME?</v>
      </c>
      <c r="AG27" s="2" t="e">
        <f t="shared" ca="1" si="15"/>
        <v>#NAME?</v>
      </c>
      <c r="AH27" s="2" t="e">
        <f ca="1"/>
        <v>#NAME?</v>
      </c>
      <c r="AI27" s="2" t="e">
        <f t="shared" ca="1" si="16"/>
        <v>#NAME?</v>
      </c>
      <c r="AJ27" s="2" t="e">
        <f ca="1"/>
        <v>#NAME?</v>
      </c>
      <c r="AK27" s="2" t="e">
        <f t="shared" ca="1" si="17"/>
        <v>#NAME?</v>
      </c>
      <c r="AL27" s="2" t="e">
        <f ca="1"/>
        <v>#NAME?</v>
      </c>
      <c r="AM27" s="2" t="e">
        <f t="shared" ca="1" si="18"/>
        <v>#NAME?</v>
      </c>
      <c r="AN27" s="2" t="e">
        <f ca="1"/>
        <v>#NAME?</v>
      </c>
      <c r="AO27" s="2" t="e">
        <f t="shared" ca="1" si="19"/>
        <v>#NAME?</v>
      </c>
      <c r="AP27" s="2" t="e">
        <f ca="1"/>
        <v>#NAME?</v>
      </c>
      <c r="AQ27" s="2" t="e">
        <f t="shared" ca="1" si="20"/>
        <v>#NAME?</v>
      </c>
      <c r="AR27" s="2" t="e">
        <f ca="1"/>
        <v>#NAME?</v>
      </c>
      <c r="AS27" s="2" t="e">
        <f t="shared" ca="1" si="21"/>
        <v>#NAME?</v>
      </c>
      <c r="AT27" s="2" t="e">
        <f ca="1"/>
        <v>#NAME?</v>
      </c>
      <c r="AU27" s="2" t="e">
        <f t="shared" ca="1" si="22"/>
        <v>#NAME?</v>
      </c>
      <c r="AV27" s="2" t="e">
        <f ca="1"/>
        <v>#NAME?</v>
      </c>
      <c r="AW27" s="2" t="e">
        <f t="shared" ca="1" si="23"/>
        <v>#NAME?</v>
      </c>
      <c r="AX27" s="2" t="e">
        <f ca="1"/>
        <v>#NAME?</v>
      </c>
      <c r="AY27" s="2" t="e">
        <f t="shared" ca="1" si="24"/>
        <v>#NAME?</v>
      </c>
      <c r="AZ27" s="2" t="e">
        <f ca="1"/>
        <v>#NAME?</v>
      </c>
      <c r="BA27" s="2" t="e">
        <f t="shared" ca="1" si="25"/>
        <v>#NAME?</v>
      </c>
      <c r="BB27" s="2" t="e">
        <f ca="1"/>
        <v>#NAME?</v>
      </c>
      <c r="BC27" s="2" t="e">
        <f t="shared" ca="1" si="26"/>
        <v>#NAME?</v>
      </c>
      <c r="BD27" s="2" t="e">
        <f ca="1"/>
        <v>#NAME?</v>
      </c>
      <c r="BE27" s="2" t="e">
        <f t="shared" ca="1" si="27"/>
        <v>#NAME?</v>
      </c>
      <c r="BF27" s="2" t="e">
        <f ca="1"/>
        <v>#NAME?</v>
      </c>
      <c r="BG27" s="2" t="e">
        <f t="shared" ca="1" si="28"/>
        <v>#NAME?</v>
      </c>
      <c r="BH27" s="2" t="e">
        <f ca="1"/>
        <v>#NAME?</v>
      </c>
      <c r="BI27" s="2" t="e">
        <f t="shared" ca="1" si="29"/>
        <v>#NAME?</v>
      </c>
      <c r="BJ27" s="2" t="e">
        <f ca="1"/>
        <v>#NAME?</v>
      </c>
      <c r="BK27" s="2" t="e">
        <f t="shared" ca="1" si="30"/>
        <v>#NAME?</v>
      </c>
      <c r="BL27" s="2" t="e">
        <f ca="1"/>
        <v>#NAME?</v>
      </c>
      <c r="BM27" s="2" t="e">
        <f t="shared" ca="1" si="31"/>
        <v>#NAME?</v>
      </c>
      <c r="BN27" s="2" t="e">
        <f ca="1"/>
        <v>#NAME?</v>
      </c>
      <c r="BO27" s="2" t="e">
        <f t="shared" ca="1" si="32"/>
        <v>#NAME?</v>
      </c>
      <c r="BP27" s="2" t="e">
        <f ca="1"/>
        <v>#NAME?</v>
      </c>
      <c r="BQ27" s="2" t="e">
        <f t="shared" ca="1" si="33"/>
        <v>#NAME?</v>
      </c>
      <c r="BR27" s="2" t="e">
        <f ca="1"/>
        <v>#NAME?</v>
      </c>
      <c r="BS27" s="2" t="e">
        <f t="shared" ca="1" si="34"/>
        <v>#NAME?</v>
      </c>
      <c r="BT27" s="2" t="e">
        <f ca="1"/>
        <v>#NAME?</v>
      </c>
      <c r="BU27" s="2" t="e">
        <f t="shared" ca="1" si="35"/>
        <v>#NAME?</v>
      </c>
      <c r="BV27" s="2" t="e">
        <f ca="1"/>
        <v>#NAME?</v>
      </c>
      <c r="BW27" s="2" t="e">
        <f t="shared" ca="1" si="36"/>
        <v>#NAME?</v>
      </c>
      <c r="BX27" s="2" t="e">
        <f ca="1"/>
        <v>#NAME?</v>
      </c>
      <c r="BY27" s="2" t="e">
        <f t="shared" ca="1" si="37"/>
        <v>#NAME?</v>
      </c>
      <c r="BZ27" s="2" t="e">
        <f ca="1"/>
        <v>#NAME?</v>
      </c>
      <c r="CA27" s="2" t="e">
        <f t="shared" ca="1" si="38"/>
        <v>#NAME?</v>
      </c>
      <c r="CB27" s="2" t="e">
        <f ca="1"/>
        <v>#NAME?</v>
      </c>
      <c r="CC27" s="2" t="e">
        <f t="shared" ca="1" si="39"/>
        <v>#NAME?</v>
      </c>
      <c r="CD27" s="2" t="e">
        <f ca="1"/>
        <v>#NAME?</v>
      </c>
      <c r="CE27" s="2" t="e">
        <f t="shared" ca="1" si="40"/>
        <v>#NAME?</v>
      </c>
      <c r="CF27" s="2" t="e">
        <f ca="1"/>
        <v>#NAME?</v>
      </c>
      <c r="CG27" s="2" t="e">
        <f t="shared" ca="1" si="41"/>
        <v>#NAME?</v>
      </c>
      <c r="CH27" s="2" t="e">
        <f ca="1"/>
        <v>#NAME?</v>
      </c>
      <c r="CI27" s="2" t="e">
        <f t="shared" ca="1" si="42"/>
        <v>#NAME?</v>
      </c>
      <c r="CJ27" s="2" t="e">
        <f ca="1"/>
        <v>#NAME?</v>
      </c>
      <c r="CK27" s="2" t="e">
        <f t="shared" ca="1" si="43"/>
        <v>#NAME?</v>
      </c>
      <c r="CL27" s="2" t="e">
        <f ca="1"/>
        <v>#NAME?</v>
      </c>
      <c r="CM27" s="2" t="e">
        <f t="shared" ca="1" si="44"/>
        <v>#NAME?</v>
      </c>
      <c r="CN27" s="2" t="e">
        <f ca="1"/>
        <v>#NAME?</v>
      </c>
      <c r="CO27" s="2" t="e">
        <f t="shared" ca="1" si="45"/>
        <v>#NAME?</v>
      </c>
      <c r="CP27" s="2" t="e">
        <f ca="1"/>
        <v>#NAME?</v>
      </c>
      <c r="CQ27" s="2" t="e">
        <f t="shared" ca="1" si="46"/>
        <v>#NAME?</v>
      </c>
    </row>
    <row r="28" spans="1:95">
      <c r="A28" s="7" t="e">
        <f ca="1"/>
        <v>#NAME?</v>
      </c>
      <c r="B28" s="2" t="e">
        <f ca="1"/>
        <v>#NAME?</v>
      </c>
      <c r="C28" s="2" t="e">
        <f t="shared" ca="1" si="0"/>
        <v>#NAME?</v>
      </c>
      <c r="D28" s="2" t="e">
        <f ca="1"/>
        <v>#NAME?</v>
      </c>
      <c r="E28" s="2" t="e">
        <f t="shared" ca="1" si="1"/>
        <v>#NAME?</v>
      </c>
      <c r="F28" s="2" t="e">
        <f ca="1"/>
        <v>#NAME?</v>
      </c>
      <c r="G28" s="2" t="e">
        <f t="shared" ca="1" si="2"/>
        <v>#NAME?</v>
      </c>
      <c r="H28" s="2" t="e">
        <f ca="1"/>
        <v>#NAME?</v>
      </c>
      <c r="I28" s="2" t="e">
        <f t="shared" ca="1" si="3"/>
        <v>#NAME?</v>
      </c>
      <c r="J28" s="2" t="e">
        <f ca="1"/>
        <v>#NAME?</v>
      </c>
      <c r="K28" s="2" t="e">
        <f t="shared" ca="1" si="4"/>
        <v>#NAME?</v>
      </c>
      <c r="L28" s="2" t="e">
        <f ca="1"/>
        <v>#NAME?</v>
      </c>
      <c r="M28" s="2" t="e">
        <f t="shared" ca="1" si="5"/>
        <v>#NAME?</v>
      </c>
      <c r="N28" s="2" t="e">
        <f ca="1"/>
        <v>#NAME?</v>
      </c>
      <c r="O28" s="2" t="e">
        <f t="shared" ca="1" si="6"/>
        <v>#NAME?</v>
      </c>
      <c r="P28" s="2" t="e">
        <f ca="1"/>
        <v>#NAME?</v>
      </c>
      <c r="Q28" s="2" t="e">
        <f t="shared" ca="1" si="7"/>
        <v>#NAME?</v>
      </c>
      <c r="R28" s="2" t="e">
        <f ca="1"/>
        <v>#NAME?</v>
      </c>
      <c r="S28" s="2" t="e">
        <f t="shared" ca="1" si="8"/>
        <v>#NAME?</v>
      </c>
      <c r="T28" s="2" t="e">
        <f ca="1"/>
        <v>#NAME?</v>
      </c>
      <c r="U28" s="2" t="e">
        <f t="shared" ca="1" si="9"/>
        <v>#NAME?</v>
      </c>
      <c r="V28" s="2" t="e">
        <f ca="1"/>
        <v>#NAME?</v>
      </c>
      <c r="W28" s="2" t="e">
        <f t="shared" ca="1" si="10"/>
        <v>#NAME?</v>
      </c>
      <c r="X28" s="2" t="e">
        <f ca="1"/>
        <v>#NAME?</v>
      </c>
      <c r="Y28" s="2" t="e">
        <f t="shared" ca="1" si="11"/>
        <v>#NAME?</v>
      </c>
      <c r="Z28" s="2" t="e">
        <f ca="1"/>
        <v>#NAME?</v>
      </c>
      <c r="AA28" s="2" t="e">
        <f t="shared" ca="1" si="12"/>
        <v>#NAME?</v>
      </c>
      <c r="AB28" s="2" t="e">
        <f ca="1"/>
        <v>#NAME?</v>
      </c>
      <c r="AC28" s="2" t="e">
        <f t="shared" ca="1" si="13"/>
        <v>#NAME?</v>
      </c>
      <c r="AD28" s="2" t="e">
        <f ca="1"/>
        <v>#NAME?</v>
      </c>
      <c r="AE28" s="2" t="e">
        <f t="shared" ca="1" si="14"/>
        <v>#NAME?</v>
      </c>
      <c r="AF28" s="2" t="e">
        <f ca="1"/>
        <v>#NAME?</v>
      </c>
      <c r="AG28" s="2" t="e">
        <f t="shared" ca="1" si="15"/>
        <v>#NAME?</v>
      </c>
      <c r="AH28" s="2" t="e">
        <f ca="1"/>
        <v>#NAME?</v>
      </c>
      <c r="AI28" s="2" t="e">
        <f t="shared" ca="1" si="16"/>
        <v>#NAME?</v>
      </c>
      <c r="AJ28" s="2" t="e">
        <f ca="1"/>
        <v>#NAME?</v>
      </c>
      <c r="AK28" s="2" t="e">
        <f t="shared" ca="1" si="17"/>
        <v>#NAME?</v>
      </c>
      <c r="AL28" s="2" t="e">
        <f ca="1"/>
        <v>#NAME?</v>
      </c>
      <c r="AM28" s="2" t="e">
        <f t="shared" ca="1" si="18"/>
        <v>#NAME?</v>
      </c>
      <c r="AN28" s="2" t="e">
        <f ca="1"/>
        <v>#NAME?</v>
      </c>
      <c r="AO28" s="2" t="e">
        <f t="shared" ca="1" si="19"/>
        <v>#NAME?</v>
      </c>
      <c r="AP28" s="2" t="e">
        <f ca="1"/>
        <v>#NAME?</v>
      </c>
      <c r="AQ28" s="2" t="e">
        <f t="shared" ca="1" si="20"/>
        <v>#NAME?</v>
      </c>
      <c r="AR28" s="2" t="e">
        <f ca="1"/>
        <v>#NAME?</v>
      </c>
      <c r="AS28" s="2" t="e">
        <f t="shared" ca="1" si="21"/>
        <v>#NAME?</v>
      </c>
      <c r="AT28" s="2" t="e">
        <f ca="1"/>
        <v>#NAME?</v>
      </c>
      <c r="AU28" s="2" t="e">
        <f t="shared" ca="1" si="22"/>
        <v>#NAME?</v>
      </c>
      <c r="AV28" s="2" t="e">
        <f ca="1"/>
        <v>#NAME?</v>
      </c>
      <c r="AW28" s="2" t="e">
        <f t="shared" ca="1" si="23"/>
        <v>#NAME?</v>
      </c>
      <c r="AX28" s="2" t="e">
        <f ca="1"/>
        <v>#NAME?</v>
      </c>
      <c r="AY28" s="2" t="e">
        <f t="shared" ca="1" si="24"/>
        <v>#NAME?</v>
      </c>
      <c r="AZ28" s="2" t="e">
        <f ca="1"/>
        <v>#NAME?</v>
      </c>
      <c r="BA28" s="2" t="e">
        <f t="shared" ca="1" si="25"/>
        <v>#NAME?</v>
      </c>
      <c r="BB28" s="2" t="e">
        <f ca="1"/>
        <v>#NAME?</v>
      </c>
      <c r="BC28" s="2" t="e">
        <f t="shared" ca="1" si="26"/>
        <v>#NAME?</v>
      </c>
      <c r="BD28" s="2" t="e">
        <f ca="1"/>
        <v>#NAME?</v>
      </c>
      <c r="BE28" s="2" t="e">
        <f t="shared" ca="1" si="27"/>
        <v>#NAME?</v>
      </c>
      <c r="BF28" s="2" t="e">
        <f ca="1"/>
        <v>#NAME?</v>
      </c>
      <c r="BG28" s="2" t="e">
        <f t="shared" ca="1" si="28"/>
        <v>#NAME?</v>
      </c>
      <c r="BH28" s="2" t="e">
        <f ca="1"/>
        <v>#NAME?</v>
      </c>
      <c r="BI28" s="2" t="e">
        <f t="shared" ca="1" si="29"/>
        <v>#NAME?</v>
      </c>
      <c r="BJ28" s="2" t="e">
        <f ca="1"/>
        <v>#NAME?</v>
      </c>
      <c r="BK28" s="2" t="e">
        <f t="shared" ca="1" si="30"/>
        <v>#NAME?</v>
      </c>
      <c r="BL28" s="2" t="e">
        <f ca="1"/>
        <v>#NAME?</v>
      </c>
      <c r="BM28" s="2" t="e">
        <f t="shared" ca="1" si="31"/>
        <v>#NAME?</v>
      </c>
      <c r="BN28" s="2" t="e">
        <f ca="1"/>
        <v>#NAME?</v>
      </c>
      <c r="BO28" s="2" t="e">
        <f t="shared" ca="1" si="32"/>
        <v>#NAME?</v>
      </c>
      <c r="BP28" s="2" t="e">
        <f ca="1"/>
        <v>#NAME?</v>
      </c>
      <c r="BQ28" s="2" t="e">
        <f t="shared" ca="1" si="33"/>
        <v>#NAME?</v>
      </c>
      <c r="BR28" s="2" t="e">
        <f ca="1"/>
        <v>#NAME?</v>
      </c>
      <c r="BS28" s="2" t="e">
        <f t="shared" ca="1" si="34"/>
        <v>#NAME?</v>
      </c>
      <c r="BT28" s="2" t="e">
        <f ca="1"/>
        <v>#NAME?</v>
      </c>
      <c r="BU28" s="2" t="e">
        <f t="shared" ca="1" si="35"/>
        <v>#NAME?</v>
      </c>
      <c r="BV28" s="2" t="e">
        <f ca="1"/>
        <v>#NAME?</v>
      </c>
      <c r="BW28" s="2" t="e">
        <f t="shared" ca="1" si="36"/>
        <v>#NAME?</v>
      </c>
      <c r="BX28" s="2" t="e">
        <f ca="1"/>
        <v>#NAME?</v>
      </c>
      <c r="BY28" s="2" t="e">
        <f t="shared" ca="1" si="37"/>
        <v>#NAME?</v>
      </c>
      <c r="BZ28" s="2" t="e">
        <f ca="1"/>
        <v>#NAME?</v>
      </c>
      <c r="CA28" s="2" t="e">
        <f t="shared" ca="1" si="38"/>
        <v>#NAME?</v>
      </c>
      <c r="CB28" s="2" t="e">
        <f ca="1"/>
        <v>#NAME?</v>
      </c>
      <c r="CC28" s="2" t="e">
        <f t="shared" ca="1" si="39"/>
        <v>#NAME?</v>
      </c>
      <c r="CD28" s="2" t="e">
        <f ca="1"/>
        <v>#NAME?</v>
      </c>
      <c r="CE28" s="2" t="e">
        <f t="shared" ca="1" si="40"/>
        <v>#NAME?</v>
      </c>
      <c r="CF28" s="2" t="e">
        <f ca="1"/>
        <v>#NAME?</v>
      </c>
      <c r="CG28" s="2" t="e">
        <f t="shared" ca="1" si="41"/>
        <v>#NAME?</v>
      </c>
      <c r="CH28" s="2" t="e">
        <f ca="1"/>
        <v>#NAME?</v>
      </c>
      <c r="CI28" s="2" t="e">
        <f t="shared" ca="1" si="42"/>
        <v>#NAME?</v>
      </c>
      <c r="CJ28" s="2" t="e">
        <f ca="1"/>
        <v>#NAME?</v>
      </c>
      <c r="CK28" s="2" t="e">
        <f t="shared" ca="1" si="43"/>
        <v>#NAME?</v>
      </c>
      <c r="CL28" s="2" t="e">
        <f ca="1"/>
        <v>#NAME?</v>
      </c>
      <c r="CM28" s="2" t="e">
        <f t="shared" ca="1" si="44"/>
        <v>#NAME?</v>
      </c>
      <c r="CN28" s="2" t="e">
        <f ca="1"/>
        <v>#NAME?</v>
      </c>
      <c r="CO28" s="2" t="e">
        <f t="shared" ca="1" si="45"/>
        <v>#NAME?</v>
      </c>
      <c r="CP28" s="2" t="e">
        <f ca="1"/>
        <v>#NAME?</v>
      </c>
      <c r="CQ28" s="2" t="e">
        <f t="shared" ca="1" si="46"/>
        <v>#NAME?</v>
      </c>
    </row>
    <row r="29" spans="1:95">
      <c r="A29" s="7" t="e">
        <f ca="1"/>
        <v>#NAME?</v>
      </c>
      <c r="B29" s="2" t="e">
        <f ca="1"/>
        <v>#NAME?</v>
      </c>
      <c r="C29" s="2" t="e">
        <f t="shared" ca="1" si="0"/>
        <v>#NAME?</v>
      </c>
      <c r="D29" s="2" t="e">
        <f ca="1"/>
        <v>#NAME?</v>
      </c>
      <c r="E29" s="2" t="e">
        <f t="shared" ca="1" si="1"/>
        <v>#NAME?</v>
      </c>
      <c r="F29" s="2" t="e">
        <f ca="1"/>
        <v>#NAME?</v>
      </c>
      <c r="G29" s="2" t="e">
        <f t="shared" ca="1" si="2"/>
        <v>#NAME?</v>
      </c>
      <c r="H29" s="2" t="e">
        <f ca="1"/>
        <v>#NAME?</v>
      </c>
      <c r="I29" s="2" t="e">
        <f t="shared" ca="1" si="3"/>
        <v>#NAME?</v>
      </c>
      <c r="J29" s="2" t="e">
        <f ca="1"/>
        <v>#NAME?</v>
      </c>
      <c r="K29" s="2" t="e">
        <f t="shared" ca="1" si="4"/>
        <v>#NAME?</v>
      </c>
      <c r="L29" s="2" t="e">
        <f ca="1"/>
        <v>#NAME?</v>
      </c>
      <c r="M29" s="2" t="e">
        <f t="shared" ca="1" si="5"/>
        <v>#NAME?</v>
      </c>
      <c r="N29" s="2" t="e">
        <f ca="1"/>
        <v>#NAME?</v>
      </c>
      <c r="O29" s="2" t="e">
        <f t="shared" ca="1" si="6"/>
        <v>#NAME?</v>
      </c>
      <c r="P29" s="2" t="e">
        <f ca="1"/>
        <v>#NAME?</v>
      </c>
      <c r="Q29" s="2" t="e">
        <f t="shared" ca="1" si="7"/>
        <v>#NAME?</v>
      </c>
      <c r="R29" s="2" t="e">
        <f ca="1"/>
        <v>#NAME?</v>
      </c>
      <c r="S29" s="2" t="e">
        <f t="shared" ca="1" si="8"/>
        <v>#NAME?</v>
      </c>
      <c r="T29" s="2" t="e">
        <f ca="1"/>
        <v>#NAME?</v>
      </c>
      <c r="U29" s="2" t="e">
        <f t="shared" ca="1" si="9"/>
        <v>#NAME?</v>
      </c>
      <c r="V29" s="2" t="e">
        <f ca="1"/>
        <v>#NAME?</v>
      </c>
      <c r="W29" s="2" t="e">
        <f t="shared" ca="1" si="10"/>
        <v>#NAME?</v>
      </c>
      <c r="X29" s="2" t="e">
        <f ca="1"/>
        <v>#NAME?</v>
      </c>
      <c r="Y29" s="2" t="e">
        <f t="shared" ca="1" si="11"/>
        <v>#NAME?</v>
      </c>
      <c r="Z29" s="2" t="e">
        <f ca="1"/>
        <v>#NAME?</v>
      </c>
      <c r="AA29" s="2" t="e">
        <f t="shared" ca="1" si="12"/>
        <v>#NAME?</v>
      </c>
      <c r="AB29" s="2" t="e">
        <f ca="1"/>
        <v>#NAME?</v>
      </c>
      <c r="AC29" s="2" t="e">
        <f t="shared" ca="1" si="13"/>
        <v>#NAME?</v>
      </c>
      <c r="AD29" s="2" t="e">
        <f ca="1"/>
        <v>#NAME?</v>
      </c>
      <c r="AE29" s="2" t="e">
        <f t="shared" ca="1" si="14"/>
        <v>#NAME?</v>
      </c>
      <c r="AF29" s="2" t="e">
        <f ca="1"/>
        <v>#NAME?</v>
      </c>
      <c r="AG29" s="2" t="e">
        <f t="shared" ca="1" si="15"/>
        <v>#NAME?</v>
      </c>
      <c r="AH29" s="2" t="e">
        <f ca="1"/>
        <v>#NAME?</v>
      </c>
      <c r="AI29" s="2" t="e">
        <f t="shared" ca="1" si="16"/>
        <v>#NAME?</v>
      </c>
      <c r="AJ29" s="2" t="e">
        <f ca="1"/>
        <v>#NAME?</v>
      </c>
      <c r="AK29" s="2" t="e">
        <f t="shared" ca="1" si="17"/>
        <v>#NAME?</v>
      </c>
      <c r="AL29" s="2" t="e">
        <f ca="1"/>
        <v>#NAME?</v>
      </c>
      <c r="AM29" s="2" t="e">
        <f t="shared" ca="1" si="18"/>
        <v>#NAME?</v>
      </c>
      <c r="AN29" s="2" t="e">
        <f ca="1"/>
        <v>#NAME?</v>
      </c>
      <c r="AO29" s="2" t="e">
        <f t="shared" ca="1" si="19"/>
        <v>#NAME?</v>
      </c>
      <c r="AP29" s="2" t="e">
        <f ca="1"/>
        <v>#NAME?</v>
      </c>
      <c r="AQ29" s="2" t="e">
        <f t="shared" ca="1" si="20"/>
        <v>#NAME?</v>
      </c>
      <c r="AR29" s="2" t="e">
        <f ca="1"/>
        <v>#NAME?</v>
      </c>
      <c r="AS29" s="2" t="e">
        <f t="shared" ca="1" si="21"/>
        <v>#NAME?</v>
      </c>
      <c r="AT29" s="2" t="e">
        <f ca="1"/>
        <v>#NAME?</v>
      </c>
      <c r="AU29" s="2" t="e">
        <f t="shared" ca="1" si="22"/>
        <v>#NAME?</v>
      </c>
      <c r="AV29" s="2" t="e">
        <f ca="1"/>
        <v>#NAME?</v>
      </c>
      <c r="AW29" s="2" t="e">
        <f t="shared" ca="1" si="23"/>
        <v>#NAME?</v>
      </c>
      <c r="AX29" s="2" t="e">
        <f ca="1"/>
        <v>#NAME?</v>
      </c>
      <c r="AY29" s="2" t="e">
        <f t="shared" ca="1" si="24"/>
        <v>#NAME?</v>
      </c>
      <c r="AZ29" s="2" t="e">
        <f ca="1"/>
        <v>#NAME?</v>
      </c>
      <c r="BA29" s="2" t="e">
        <f t="shared" ca="1" si="25"/>
        <v>#NAME?</v>
      </c>
      <c r="BB29" s="2" t="e">
        <f ca="1"/>
        <v>#NAME?</v>
      </c>
      <c r="BC29" s="2" t="e">
        <f t="shared" ca="1" si="26"/>
        <v>#NAME?</v>
      </c>
      <c r="BD29" s="2" t="e">
        <f ca="1"/>
        <v>#NAME?</v>
      </c>
      <c r="BE29" s="2" t="e">
        <f t="shared" ca="1" si="27"/>
        <v>#NAME?</v>
      </c>
      <c r="BF29" s="2" t="e">
        <f ca="1"/>
        <v>#NAME?</v>
      </c>
      <c r="BG29" s="2" t="e">
        <f t="shared" ca="1" si="28"/>
        <v>#NAME?</v>
      </c>
      <c r="BH29" s="2" t="e">
        <f ca="1"/>
        <v>#NAME?</v>
      </c>
      <c r="BI29" s="2" t="e">
        <f t="shared" ca="1" si="29"/>
        <v>#NAME?</v>
      </c>
      <c r="BJ29" s="2" t="e">
        <f ca="1"/>
        <v>#NAME?</v>
      </c>
      <c r="BK29" s="2" t="e">
        <f t="shared" ca="1" si="30"/>
        <v>#NAME?</v>
      </c>
      <c r="BL29" s="2" t="e">
        <f ca="1"/>
        <v>#NAME?</v>
      </c>
      <c r="BM29" s="2" t="e">
        <f t="shared" ca="1" si="31"/>
        <v>#NAME?</v>
      </c>
      <c r="BN29" s="2" t="e">
        <f ca="1"/>
        <v>#NAME?</v>
      </c>
      <c r="BO29" s="2" t="e">
        <f t="shared" ca="1" si="32"/>
        <v>#NAME?</v>
      </c>
      <c r="BP29" s="2" t="e">
        <f ca="1"/>
        <v>#NAME?</v>
      </c>
      <c r="BQ29" s="2" t="e">
        <f t="shared" ca="1" si="33"/>
        <v>#NAME?</v>
      </c>
      <c r="BR29" s="2" t="e">
        <f ca="1"/>
        <v>#NAME?</v>
      </c>
      <c r="BS29" s="2" t="e">
        <f t="shared" ca="1" si="34"/>
        <v>#NAME?</v>
      </c>
      <c r="BT29" s="2" t="e">
        <f ca="1"/>
        <v>#NAME?</v>
      </c>
      <c r="BU29" s="2" t="e">
        <f t="shared" ca="1" si="35"/>
        <v>#NAME?</v>
      </c>
      <c r="BV29" s="2" t="e">
        <f ca="1"/>
        <v>#NAME?</v>
      </c>
      <c r="BW29" s="2" t="e">
        <f t="shared" ca="1" si="36"/>
        <v>#NAME?</v>
      </c>
      <c r="BX29" s="2" t="e">
        <f ca="1"/>
        <v>#NAME?</v>
      </c>
      <c r="BY29" s="2" t="e">
        <f t="shared" ca="1" si="37"/>
        <v>#NAME?</v>
      </c>
      <c r="BZ29" s="2" t="e">
        <f ca="1"/>
        <v>#NAME?</v>
      </c>
      <c r="CA29" s="2" t="e">
        <f t="shared" ca="1" si="38"/>
        <v>#NAME?</v>
      </c>
      <c r="CB29" s="2" t="e">
        <f ca="1"/>
        <v>#NAME?</v>
      </c>
      <c r="CC29" s="2" t="e">
        <f t="shared" ca="1" si="39"/>
        <v>#NAME?</v>
      </c>
      <c r="CD29" s="2" t="e">
        <f ca="1"/>
        <v>#NAME?</v>
      </c>
      <c r="CE29" s="2" t="e">
        <f t="shared" ca="1" si="40"/>
        <v>#NAME?</v>
      </c>
      <c r="CF29" s="2" t="e">
        <f ca="1"/>
        <v>#NAME?</v>
      </c>
      <c r="CG29" s="2" t="e">
        <f t="shared" ca="1" si="41"/>
        <v>#NAME?</v>
      </c>
      <c r="CH29" s="2" t="e">
        <f ca="1"/>
        <v>#NAME?</v>
      </c>
      <c r="CI29" s="2" t="e">
        <f t="shared" ca="1" si="42"/>
        <v>#NAME?</v>
      </c>
      <c r="CJ29" s="2" t="e">
        <f ca="1"/>
        <v>#NAME?</v>
      </c>
      <c r="CK29" s="2" t="e">
        <f t="shared" ca="1" si="43"/>
        <v>#NAME?</v>
      </c>
      <c r="CL29" s="2" t="e">
        <f ca="1"/>
        <v>#NAME?</v>
      </c>
      <c r="CM29" s="2" t="e">
        <f t="shared" ca="1" si="44"/>
        <v>#NAME?</v>
      </c>
      <c r="CN29" s="2" t="e">
        <f ca="1"/>
        <v>#NAME?</v>
      </c>
      <c r="CO29" s="2" t="e">
        <f t="shared" ca="1" si="45"/>
        <v>#NAME?</v>
      </c>
      <c r="CP29" s="2" t="e">
        <f ca="1"/>
        <v>#NAME?</v>
      </c>
      <c r="CQ29" s="2" t="e">
        <f t="shared" ca="1" si="46"/>
        <v>#NAME?</v>
      </c>
    </row>
    <row r="30" spans="1:95">
      <c r="A30" s="7" t="e">
        <f ca="1"/>
        <v>#NAME?</v>
      </c>
      <c r="B30" s="2" t="e">
        <f ca="1"/>
        <v>#NAME?</v>
      </c>
      <c r="C30" s="2" t="e">
        <f t="shared" ca="1" si="0"/>
        <v>#NAME?</v>
      </c>
      <c r="D30" s="2" t="e">
        <f ca="1"/>
        <v>#NAME?</v>
      </c>
      <c r="E30" s="2" t="e">
        <f t="shared" ca="1" si="1"/>
        <v>#NAME?</v>
      </c>
      <c r="F30" s="2" t="e">
        <f ca="1"/>
        <v>#NAME?</v>
      </c>
      <c r="G30" s="2" t="e">
        <f t="shared" ca="1" si="2"/>
        <v>#NAME?</v>
      </c>
      <c r="H30" s="2" t="e">
        <f ca="1"/>
        <v>#NAME?</v>
      </c>
      <c r="I30" s="2" t="e">
        <f t="shared" ca="1" si="3"/>
        <v>#NAME?</v>
      </c>
      <c r="J30" s="2" t="e">
        <f ca="1"/>
        <v>#NAME?</v>
      </c>
      <c r="K30" s="2" t="e">
        <f t="shared" ca="1" si="4"/>
        <v>#NAME?</v>
      </c>
      <c r="L30" s="2" t="e">
        <f ca="1"/>
        <v>#NAME?</v>
      </c>
      <c r="M30" s="2" t="e">
        <f t="shared" ca="1" si="5"/>
        <v>#NAME?</v>
      </c>
      <c r="N30" s="2" t="e">
        <f ca="1"/>
        <v>#NAME?</v>
      </c>
      <c r="O30" s="2" t="e">
        <f t="shared" ca="1" si="6"/>
        <v>#NAME?</v>
      </c>
      <c r="P30" s="2" t="e">
        <f ca="1"/>
        <v>#NAME?</v>
      </c>
      <c r="Q30" s="2" t="e">
        <f t="shared" ca="1" si="7"/>
        <v>#NAME?</v>
      </c>
      <c r="R30" s="2" t="e">
        <f ca="1"/>
        <v>#NAME?</v>
      </c>
      <c r="S30" s="2" t="e">
        <f t="shared" ca="1" si="8"/>
        <v>#NAME?</v>
      </c>
      <c r="T30" s="2" t="e">
        <f ca="1"/>
        <v>#NAME?</v>
      </c>
      <c r="U30" s="2" t="e">
        <f t="shared" ca="1" si="9"/>
        <v>#NAME?</v>
      </c>
      <c r="V30" s="2" t="e">
        <f ca="1"/>
        <v>#NAME?</v>
      </c>
      <c r="W30" s="2" t="e">
        <f t="shared" ca="1" si="10"/>
        <v>#NAME?</v>
      </c>
      <c r="X30" s="2" t="e">
        <f ca="1"/>
        <v>#NAME?</v>
      </c>
      <c r="Y30" s="2" t="e">
        <f t="shared" ca="1" si="11"/>
        <v>#NAME?</v>
      </c>
      <c r="Z30" s="2" t="e">
        <f ca="1"/>
        <v>#NAME?</v>
      </c>
      <c r="AA30" s="2" t="e">
        <f t="shared" ca="1" si="12"/>
        <v>#NAME?</v>
      </c>
      <c r="AB30" s="2" t="e">
        <f ca="1"/>
        <v>#NAME?</v>
      </c>
      <c r="AC30" s="2" t="e">
        <f t="shared" ca="1" si="13"/>
        <v>#NAME?</v>
      </c>
      <c r="AD30" s="2" t="e">
        <f ca="1"/>
        <v>#NAME?</v>
      </c>
      <c r="AE30" s="2" t="e">
        <f t="shared" ca="1" si="14"/>
        <v>#NAME?</v>
      </c>
      <c r="AF30" s="2" t="e">
        <f ca="1"/>
        <v>#NAME?</v>
      </c>
      <c r="AG30" s="2" t="e">
        <f t="shared" ca="1" si="15"/>
        <v>#NAME?</v>
      </c>
      <c r="AH30" s="2" t="e">
        <f ca="1"/>
        <v>#NAME?</v>
      </c>
      <c r="AI30" s="2" t="e">
        <f t="shared" ca="1" si="16"/>
        <v>#NAME?</v>
      </c>
      <c r="AJ30" s="2" t="e">
        <f ca="1"/>
        <v>#NAME?</v>
      </c>
      <c r="AK30" s="2" t="e">
        <f t="shared" ca="1" si="17"/>
        <v>#NAME?</v>
      </c>
      <c r="AL30" s="2" t="e">
        <f ca="1"/>
        <v>#NAME?</v>
      </c>
      <c r="AM30" s="2" t="e">
        <f t="shared" ca="1" si="18"/>
        <v>#NAME?</v>
      </c>
      <c r="AN30" s="2" t="e">
        <f ca="1"/>
        <v>#NAME?</v>
      </c>
      <c r="AO30" s="2" t="e">
        <f t="shared" ca="1" si="19"/>
        <v>#NAME?</v>
      </c>
      <c r="AP30" s="2" t="e">
        <f ca="1"/>
        <v>#NAME?</v>
      </c>
      <c r="AQ30" s="2" t="e">
        <f t="shared" ca="1" si="20"/>
        <v>#NAME?</v>
      </c>
      <c r="AR30" s="2" t="e">
        <f ca="1"/>
        <v>#NAME?</v>
      </c>
      <c r="AS30" s="2" t="e">
        <f t="shared" ca="1" si="21"/>
        <v>#NAME?</v>
      </c>
      <c r="AT30" s="2" t="e">
        <f ca="1"/>
        <v>#NAME?</v>
      </c>
      <c r="AU30" s="2" t="e">
        <f t="shared" ca="1" si="22"/>
        <v>#NAME?</v>
      </c>
      <c r="AV30" s="2" t="e">
        <f ca="1"/>
        <v>#NAME?</v>
      </c>
      <c r="AW30" s="2" t="e">
        <f t="shared" ca="1" si="23"/>
        <v>#NAME?</v>
      </c>
      <c r="AX30" s="2" t="e">
        <f ca="1"/>
        <v>#NAME?</v>
      </c>
      <c r="AY30" s="2" t="e">
        <f t="shared" ca="1" si="24"/>
        <v>#NAME?</v>
      </c>
      <c r="AZ30" s="2" t="e">
        <f ca="1"/>
        <v>#NAME?</v>
      </c>
      <c r="BA30" s="2" t="e">
        <f t="shared" ca="1" si="25"/>
        <v>#NAME?</v>
      </c>
      <c r="BB30" s="2" t="e">
        <f ca="1"/>
        <v>#NAME?</v>
      </c>
      <c r="BC30" s="2" t="e">
        <f t="shared" ca="1" si="26"/>
        <v>#NAME?</v>
      </c>
      <c r="BD30" s="2" t="e">
        <f ca="1"/>
        <v>#NAME?</v>
      </c>
      <c r="BE30" s="2" t="e">
        <f t="shared" ca="1" si="27"/>
        <v>#NAME?</v>
      </c>
      <c r="BF30" s="2" t="e">
        <f ca="1"/>
        <v>#NAME?</v>
      </c>
      <c r="BG30" s="2" t="e">
        <f t="shared" ca="1" si="28"/>
        <v>#NAME?</v>
      </c>
      <c r="BH30" s="2" t="e">
        <f ca="1"/>
        <v>#NAME?</v>
      </c>
      <c r="BI30" s="2" t="e">
        <f t="shared" ca="1" si="29"/>
        <v>#NAME?</v>
      </c>
      <c r="BJ30" s="2" t="e">
        <f ca="1"/>
        <v>#NAME?</v>
      </c>
      <c r="BK30" s="2" t="e">
        <f t="shared" ca="1" si="30"/>
        <v>#NAME?</v>
      </c>
      <c r="BL30" s="2" t="e">
        <f ca="1"/>
        <v>#NAME?</v>
      </c>
      <c r="BM30" s="2" t="e">
        <f t="shared" ca="1" si="31"/>
        <v>#NAME?</v>
      </c>
      <c r="BN30" s="2" t="e">
        <f ca="1"/>
        <v>#NAME?</v>
      </c>
      <c r="BO30" s="2" t="e">
        <f t="shared" ca="1" si="32"/>
        <v>#NAME?</v>
      </c>
      <c r="BP30" s="2" t="e">
        <f ca="1"/>
        <v>#NAME?</v>
      </c>
      <c r="BQ30" s="2" t="e">
        <f t="shared" ca="1" si="33"/>
        <v>#NAME?</v>
      </c>
      <c r="BR30" s="2" t="e">
        <f ca="1"/>
        <v>#NAME?</v>
      </c>
      <c r="BS30" s="2" t="e">
        <f t="shared" ca="1" si="34"/>
        <v>#NAME?</v>
      </c>
      <c r="BT30" s="2" t="e">
        <f ca="1"/>
        <v>#NAME?</v>
      </c>
      <c r="BU30" s="2" t="e">
        <f t="shared" ca="1" si="35"/>
        <v>#NAME?</v>
      </c>
      <c r="BV30" s="2" t="e">
        <f ca="1"/>
        <v>#NAME?</v>
      </c>
      <c r="BW30" s="2" t="e">
        <f t="shared" ca="1" si="36"/>
        <v>#NAME?</v>
      </c>
      <c r="BX30" s="2" t="e">
        <f ca="1"/>
        <v>#NAME?</v>
      </c>
      <c r="BY30" s="2" t="e">
        <f t="shared" ca="1" si="37"/>
        <v>#NAME?</v>
      </c>
      <c r="BZ30" s="2" t="e">
        <f ca="1"/>
        <v>#NAME?</v>
      </c>
      <c r="CA30" s="2" t="e">
        <f t="shared" ca="1" si="38"/>
        <v>#NAME?</v>
      </c>
      <c r="CB30" s="2" t="e">
        <f ca="1"/>
        <v>#NAME?</v>
      </c>
      <c r="CC30" s="2" t="e">
        <f t="shared" ca="1" si="39"/>
        <v>#NAME?</v>
      </c>
      <c r="CD30" s="2" t="e">
        <f ca="1"/>
        <v>#NAME?</v>
      </c>
      <c r="CE30" s="2" t="e">
        <f t="shared" ca="1" si="40"/>
        <v>#NAME?</v>
      </c>
      <c r="CF30" s="2" t="e">
        <f ca="1"/>
        <v>#NAME?</v>
      </c>
      <c r="CG30" s="2" t="e">
        <f t="shared" ca="1" si="41"/>
        <v>#NAME?</v>
      </c>
      <c r="CH30" s="2" t="e">
        <f ca="1"/>
        <v>#NAME?</v>
      </c>
      <c r="CI30" s="2" t="e">
        <f t="shared" ca="1" si="42"/>
        <v>#NAME?</v>
      </c>
      <c r="CJ30" s="2" t="e">
        <f ca="1"/>
        <v>#NAME?</v>
      </c>
      <c r="CK30" s="2" t="e">
        <f t="shared" ca="1" si="43"/>
        <v>#NAME?</v>
      </c>
      <c r="CL30" s="2" t="e">
        <f ca="1"/>
        <v>#NAME?</v>
      </c>
      <c r="CM30" s="2" t="e">
        <f t="shared" ca="1" si="44"/>
        <v>#NAME?</v>
      </c>
      <c r="CN30" s="2" t="e">
        <f ca="1"/>
        <v>#NAME?</v>
      </c>
      <c r="CO30" s="2" t="e">
        <f t="shared" ca="1" si="45"/>
        <v>#NAME?</v>
      </c>
      <c r="CP30" s="2" t="e">
        <f ca="1"/>
        <v>#NAME?</v>
      </c>
      <c r="CQ30" s="2" t="e">
        <f t="shared" ca="1" si="46"/>
        <v>#NAME?</v>
      </c>
    </row>
    <row r="31" spans="1:95">
      <c r="A31" s="7" t="e">
        <f ca="1"/>
        <v>#NAME?</v>
      </c>
      <c r="B31" s="2" t="e">
        <f ca="1"/>
        <v>#NAME?</v>
      </c>
      <c r="C31" s="2" t="e">
        <f t="shared" ca="1" si="0"/>
        <v>#NAME?</v>
      </c>
      <c r="D31" s="2" t="e">
        <f ca="1"/>
        <v>#NAME?</v>
      </c>
      <c r="E31" s="2" t="e">
        <f t="shared" ca="1" si="1"/>
        <v>#NAME?</v>
      </c>
      <c r="F31" s="2" t="e">
        <f ca="1"/>
        <v>#NAME?</v>
      </c>
      <c r="G31" s="2" t="e">
        <f t="shared" ca="1" si="2"/>
        <v>#NAME?</v>
      </c>
      <c r="H31" s="2" t="e">
        <f ca="1"/>
        <v>#NAME?</v>
      </c>
      <c r="I31" s="2" t="e">
        <f t="shared" ca="1" si="3"/>
        <v>#NAME?</v>
      </c>
      <c r="J31" s="2" t="e">
        <f ca="1"/>
        <v>#NAME?</v>
      </c>
      <c r="K31" s="2" t="e">
        <f t="shared" ca="1" si="4"/>
        <v>#NAME?</v>
      </c>
      <c r="L31" s="2" t="e">
        <f ca="1"/>
        <v>#NAME?</v>
      </c>
      <c r="M31" s="2" t="e">
        <f t="shared" ca="1" si="5"/>
        <v>#NAME?</v>
      </c>
      <c r="N31" s="2" t="e">
        <f ca="1"/>
        <v>#NAME?</v>
      </c>
      <c r="O31" s="2" t="e">
        <f t="shared" ca="1" si="6"/>
        <v>#NAME?</v>
      </c>
      <c r="P31" s="2" t="e">
        <f ca="1"/>
        <v>#NAME?</v>
      </c>
      <c r="Q31" s="2" t="e">
        <f t="shared" ca="1" si="7"/>
        <v>#NAME?</v>
      </c>
      <c r="R31" s="2" t="e">
        <f ca="1"/>
        <v>#NAME?</v>
      </c>
      <c r="S31" s="2" t="e">
        <f t="shared" ca="1" si="8"/>
        <v>#NAME?</v>
      </c>
      <c r="T31" s="2" t="e">
        <f ca="1"/>
        <v>#NAME?</v>
      </c>
      <c r="U31" s="2" t="e">
        <f t="shared" ca="1" si="9"/>
        <v>#NAME?</v>
      </c>
      <c r="V31" s="2" t="e">
        <f ca="1"/>
        <v>#NAME?</v>
      </c>
      <c r="W31" s="2" t="e">
        <f t="shared" ca="1" si="10"/>
        <v>#NAME?</v>
      </c>
      <c r="X31" s="2" t="e">
        <f ca="1"/>
        <v>#NAME?</v>
      </c>
      <c r="Y31" s="2" t="e">
        <f t="shared" ca="1" si="11"/>
        <v>#NAME?</v>
      </c>
      <c r="Z31" s="2" t="e">
        <f ca="1"/>
        <v>#NAME?</v>
      </c>
      <c r="AA31" s="2" t="e">
        <f t="shared" ca="1" si="12"/>
        <v>#NAME?</v>
      </c>
      <c r="AB31" s="2" t="e">
        <f ca="1"/>
        <v>#NAME?</v>
      </c>
      <c r="AC31" s="2" t="e">
        <f t="shared" ca="1" si="13"/>
        <v>#NAME?</v>
      </c>
      <c r="AD31" s="2" t="e">
        <f ca="1"/>
        <v>#NAME?</v>
      </c>
      <c r="AE31" s="2" t="e">
        <f t="shared" ca="1" si="14"/>
        <v>#NAME?</v>
      </c>
      <c r="AF31" s="2" t="e">
        <f ca="1"/>
        <v>#NAME?</v>
      </c>
      <c r="AG31" s="2" t="e">
        <f t="shared" ca="1" si="15"/>
        <v>#NAME?</v>
      </c>
      <c r="AH31" s="2" t="e">
        <f ca="1"/>
        <v>#NAME?</v>
      </c>
      <c r="AI31" s="2" t="e">
        <f t="shared" ca="1" si="16"/>
        <v>#NAME?</v>
      </c>
      <c r="AJ31" s="2" t="e">
        <f ca="1"/>
        <v>#NAME?</v>
      </c>
      <c r="AK31" s="2" t="e">
        <f t="shared" ca="1" si="17"/>
        <v>#NAME?</v>
      </c>
      <c r="AL31" s="2" t="e">
        <f ca="1"/>
        <v>#NAME?</v>
      </c>
      <c r="AM31" s="2" t="e">
        <f t="shared" ca="1" si="18"/>
        <v>#NAME?</v>
      </c>
      <c r="AN31" s="2" t="e">
        <f ca="1"/>
        <v>#NAME?</v>
      </c>
      <c r="AO31" s="2" t="e">
        <f t="shared" ca="1" si="19"/>
        <v>#NAME?</v>
      </c>
      <c r="AP31" s="2" t="e">
        <f ca="1"/>
        <v>#NAME?</v>
      </c>
      <c r="AQ31" s="2" t="e">
        <f t="shared" ca="1" si="20"/>
        <v>#NAME?</v>
      </c>
      <c r="AR31" s="2" t="e">
        <f ca="1"/>
        <v>#NAME?</v>
      </c>
      <c r="AS31" s="2" t="e">
        <f t="shared" ca="1" si="21"/>
        <v>#NAME?</v>
      </c>
      <c r="AT31" s="2" t="e">
        <f ca="1"/>
        <v>#NAME?</v>
      </c>
      <c r="AU31" s="2" t="e">
        <f t="shared" ca="1" si="22"/>
        <v>#NAME?</v>
      </c>
      <c r="AV31" s="2" t="e">
        <f ca="1"/>
        <v>#NAME?</v>
      </c>
      <c r="AW31" s="2" t="e">
        <f t="shared" ca="1" si="23"/>
        <v>#NAME?</v>
      </c>
      <c r="AX31" s="2" t="e">
        <f ca="1"/>
        <v>#NAME?</v>
      </c>
      <c r="AY31" s="2" t="e">
        <f t="shared" ca="1" si="24"/>
        <v>#NAME?</v>
      </c>
      <c r="AZ31" s="2" t="e">
        <f ca="1"/>
        <v>#NAME?</v>
      </c>
      <c r="BA31" s="2" t="e">
        <f t="shared" ca="1" si="25"/>
        <v>#NAME?</v>
      </c>
      <c r="BB31" s="2" t="e">
        <f ca="1"/>
        <v>#NAME?</v>
      </c>
      <c r="BC31" s="2" t="e">
        <f t="shared" ca="1" si="26"/>
        <v>#NAME?</v>
      </c>
      <c r="BD31" s="2" t="e">
        <f ca="1"/>
        <v>#NAME?</v>
      </c>
      <c r="BE31" s="2" t="e">
        <f t="shared" ca="1" si="27"/>
        <v>#NAME?</v>
      </c>
      <c r="BF31" s="2" t="e">
        <f ca="1"/>
        <v>#NAME?</v>
      </c>
      <c r="BG31" s="2" t="e">
        <f t="shared" ca="1" si="28"/>
        <v>#NAME?</v>
      </c>
      <c r="BH31" s="2" t="e">
        <f ca="1"/>
        <v>#NAME?</v>
      </c>
      <c r="BI31" s="2" t="e">
        <f t="shared" ca="1" si="29"/>
        <v>#NAME?</v>
      </c>
      <c r="BJ31" s="2" t="e">
        <f ca="1"/>
        <v>#NAME?</v>
      </c>
      <c r="BK31" s="2" t="e">
        <f t="shared" ca="1" si="30"/>
        <v>#NAME?</v>
      </c>
      <c r="BL31" s="2" t="e">
        <f ca="1"/>
        <v>#NAME?</v>
      </c>
      <c r="BM31" s="2" t="e">
        <f t="shared" ca="1" si="31"/>
        <v>#NAME?</v>
      </c>
      <c r="BN31" s="2" t="e">
        <f ca="1"/>
        <v>#NAME?</v>
      </c>
      <c r="BO31" s="2" t="e">
        <f t="shared" ca="1" si="32"/>
        <v>#NAME?</v>
      </c>
      <c r="BP31" s="2" t="e">
        <f ca="1"/>
        <v>#NAME?</v>
      </c>
      <c r="BQ31" s="2" t="e">
        <f t="shared" ca="1" si="33"/>
        <v>#NAME?</v>
      </c>
      <c r="BR31" s="2" t="e">
        <f ca="1"/>
        <v>#NAME?</v>
      </c>
      <c r="BS31" s="2" t="e">
        <f t="shared" ca="1" si="34"/>
        <v>#NAME?</v>
      </c>
      <c r="BT31" s="2" t="e">
        <f ca="1"/>
        <v>#NAME?</v>
      </c>
      <c r="BU31" s="2" t="e">
        <f t="shared" ca="1" si="35"/>
        <v>#NAME?</v>
      </c>
      <c r="BV31" s="2" t="e">
        <f ca="1"/>
        <v>#NAME?</v>
      </c>
      <c r="BW31" s="2" t="e">
        <f t="shared" ca="1" si="36"/>
        <v>#NAME?</v>
      </c>
      <c r="BX31" s="2" t="e">
        <f ca="1"/>
        <v>#NAME?</v>
      </c>
      <c r="BY31" s="2" t="e">
        <f t="shared" ca="1" si="37"/>
        <v>#NAME?</v>
      </c>
      <c r="BZ31" s="2" t="e">
        <f ca="1"/>
        <v>#NAME?</v>
      </c>
      <c r="CA31" s="2" t="e">
        <f t="shared" ca="1" si="38"/>
        <v>#NAME?</v>
      </c>
      <c r="CB31" s="2" t="e">
        <f ca="1"/>
        <v>#NAME?</v>
      </c>
      <c r="CC31" s="2" t="e">
        <f t="shared" ca="1" si="39"/>
        <v>#NAME?</v>
      </c>
      <c r="CD31" s="2" t="e">
        <f ca="1"/>
        <v>#NAME?</v>
      </c>
      <c r="CE31" s="2" t="e">
        <f t="shared" ca="1" si="40"/>
        <v>#NAME?</v>
      </c>
      <c r="CF31" s="2" t="e">
        <f ca="1"/>
        <v>#NAME?</v>
      </c>
      <c r="CG31" s="2" t="e">
        <f t="shared" ca="1" si="41"/>
        <v>#NAME?</v>
      </c>
      <c r="CH31" s="2" t="e">
        <f ca="1"/>
        <v>#NAME?</v>
      </c>
      <c r="CI31" s="2" t="e">
        <f t="shared" ca="1" si="42"/>
        <v>#NAME?</v>
      </c>
      <c r="CJ31" s="2" t="e">
        <f ca="1"/>
        <v>#NAME?</v>
      </c>
      <c r="CK31" s="2" t="e">
        <f t="shared" ca="1" si="43"/>
        <v>#NAME?</v>
      </c>
      <c r="CL31" s="2" t="e">
        <f ca="1"/>
        <v>#NAME?</v>
      </c>
      <c r="CM31" s="2" t="e">
        <f t="shared" ca="1" si="44"/>
        <v>#NAME?</v>
      </c>
      <c r="CN31" s="2" t="e">
        <f ca="1"/>
        <v>#NAME?</v>
      </c>
      <c r="CO31" s="2" t="e">
        <f t="shared" ca="1" si="45"/>
        <v>#NAME?</v>
      </c>
      <c r="CP31" s="2" t="e">
        <f ca="1"/>
        <v>#NAME?</v>
      </c>
      <c r="CQ31" s="2" t="e">
        <f t="shared" ca="1" si="46"/>
        <v>#NAME?</v>
      </c>
    </row>
    <row r="32" spans="1:95">
      <c r="A32" s="7" t="e">
        <f ca="1"/>
        <v>#NAME?</v>
      </c>
      <c r="B32" s="2" t="e">
        <f ca="1"/>
        <v>#NAME?</v>
      </c>
      <c r="C32" s="2" t="e">
        <f t="shared" ca="1" si="0"/>
        <v>#NAME?</v>
      </c>
      <c r="D32" s="2" t="e">
        <f ca="1"/>
        <v>#NAME?</v>
      </c>
      <c r="E32" s="2" t="e">
        <f t="shared" ca="1" si="1"/>
        <v>#NAME?</v>
      </c>
      <c r="F32" s="2" t="e">
        <f ca="1"/>
        <v>#NAME?</v>
      </c>
      <c r="G32" s="2" t="e">
        <f t="shared" ca="1" si="2"/>
        <v>#NAME?</v>
      </c>
      <c r="H32" s="2" t="e">
        <f ca="1"/>
        <v>#NAME?</v>
      </c>
      <c r="I32" s="2" t="e">
        <f t="shared" ca="1" si="3"/>
        <v>#NAME?</v>
      </c>
      <c r="J32" s="2" t="e">
        <f ca="1"/>
        <v>#NAME?</v>
      </c>
      <c r="K32" s="2" t="e">
        <f t="shared" ca="1" si="4"/>
        <v>#NAME?</v>
      </c>
      <c r="L32" s="2" t="e">
        <f ca="1"/>
        <v>#NAME?</v>
      </c>
      <c r="M32" s="2" t="e">
        <f t="shared" ca="1" si="5"/>
        <v>#NAME?</v>
      </c>
      <c r="N32" s="2" t="e">
        <f ca="1"/>
        <v>#NAME?</v>
      </c>
      <c r="O32" s="2" t="e">
        <f t="shared" ca="1" si="6"/>
        <v>#NAME?</v>
      </c>
      <c r="P32" s="2" t="e">
        <f ca="1"/>
        <v>#NAME?</v>
      </c>
      <c r="Q32" s="2" t="e">
        <f t="shared" ca="1" si="7"/>
        <v>#NAME?</v>
      </c>
      <c r="R32" s="2" t="e">
        <f ca="1"/>
        <v>#NAME?</v>
      </c>
      <c r="S32" s="2" t="e">
        <f t="shared" ca="1" si="8"/>
        <v>#NAME?</v>
      </c>
      <c r="T32" s="2" t="e">
        <f ca="1"/>
        <v>#NAME?</v>
      </c>
      <c r="U32" s="2" t="e">
        <f t="shared" ca="1" si="9"/>
        <v>#NAME?</v>
      </c>
      <c r="V32" s="2" t="e">
        <f ca="1"/>
        <v>#NAME?</v>
      </c>
      <c r="W32" s="2" t="e">
        <f t="shared" ca="1" si="10"/>
        <v>#NAME?</v>
      </c>
      <c r="X32" s="2" t="e">
        <f ca="1"/>
        <v>#NAME?</v>
      </c>
      <c r="Y32" s="2" t="e">
        <f t="shared" ca="1" si="11"/>
        <v>#NAME?</v>
      </c>
      <c r="Z32" s="2" t="e">
        <f ca="1"/>
        <v>#NAME?</v>
      </c>
      <c r="AA32" s="2" t="e">
        <f t="shared" ca="1" si="12"/>
        <v>#NAME?</v>
      </c>
      <c r="AB32" s="2" t="e">
        <f ca="1"/>
        <v>#NAME?</v>
      </c>
      <c r="AC32" s="2" t="e">
        <f t="shared" ca="1" si="13"/>
        <v>#NAME?</v>
      </c>
      <c r="AD32" s="2" t="e">
        <f ca="1"/>
        <v>#NAME?</v>
      </c>
      <c r="AE32" s="2" t="e">
        <f t="shared" ca="1" si="14"/>
        <v>#NAME?</v>
      </c>
      <c r="AF32" s="2" t="e">
        <f ca="1"/>
        <v>#NAME?</v>
      </c>
      <c r="AG32" s="2" t="e">
        <f t="shared" ca="1" si="15"/>
        <v>#NAME?</v>
      </c>
      <c r="AH32" s="2" t="e">
        <f ca="1"/>
        <v>#NAME?</v>
      </c>
      <c r="AI32" s="2" t="e">
        <f t="shared" ca="1" si="16"/>
        <v>#NAME?</v>
      </c>
      <c r="AJ32" s="2" t="e">
        <f ca="1"/>
        <v>#NAME?</v>
      </c>
      <c r="AK32" s="2" t="e">
        <f t="shared" ca="1" si="17"/>
        <v>#NAME?</v>
      </c>
      <c r="AL32" s="2" t="e">
        <f ca="1"/>
        <v>#NAME?</v>
      </c>
      <c r="AM32" s="2" t="e">
        <f t="shared" ca="1" si="18"/>
        <v>#NAME?</v>
      </c>
      <c r="AN32" s="2" t="e">
        <f ca="1"/>
        <v>#NAME?</v>
      </c>
      <c r="AO32" s="2" t="e">
        <f t="shared" ca="1" si="19"/>
        <v>#NAME?</v>
      </c>
      <c r="AP32" s="2" t="e">
        <f ca="1"/>
        <v>#NAME?</v>
      </c>
      <c r="AQ32" s="2" t="e">
        <f t="shared" ca="1" si="20"/>
        <v>#NAME?</v>
      </c>
      <c r="AR32" s="2" t="e">
        <f ca="1"/>
        <v>#NAME?</v>
      </c>
      <c r="AS32" s="2" t="e">
        <f t="shared" ca="1" si="21"/>
        <v>#NAME?</v>
      </c>
      <c r="AT32" s="2" t="e">
        <f ca="1"/>
        <v>#NAME?</v>
      </c>
      <c r="AU32" s="2" t="e">
        <f t="shared" ca="1" si="22"/>
        <v>#NAME?</v>
      </c>
      <c r="AV32" s="2" t="e">
        <f ca="1"/>
        <v>#NAME?</v>
      </c>
      <c r="AW32" s="2" t="e">
        <f t="shared" ca="1" si="23"/>
        <v>#NAME?</v>
      </c>
      <c r="AX32" s="2" t="e">
        <f ca="1"/>
        <v>#NAME?</v>
      </c>
      <c r="AY32" s="2" t="e">
        <f t="shared" ca="1" si="24"/>
        <v>#NAME?</v>
      </c>
      <c r="AZ32" s="2" t="e">
        <f ca="1"/>
        <v>#NAME?</v>
      </c>
      <c r="BA32" s="2" t="e">
        <f t="shared" ca="1" si="25"/>
        <v>#NAME?</v>
      </c>
      <c r="BB32" s="2" t="e">
        <f ca="1"/>
        <v>#NAME?</v>
      </c>
      <c r="BC32" s="2" t="e">
        <f t="shared" ca="1" si="26"/>
        <v>#NAME?</v>
      </c>
      <c r="BD32" s="2" t="e">
        <f ca="1"/>
        <v>#NAME?</v>
      </c>
      <c r="BE32" s="2" t="e">
        <f t="shared" ca="1" si="27"/>
        <v>#NAME?</v>
      </c>
      <c r="BF32" s="2" t="e">
        <f ca="1"/>
        <v>#NAME?</v>
      </c>
      <c r="BG32" s="2" t="e">
        <f t="shared" ca="1" si="28"/>
        <v>#NAME?</v>
      </c>
      <c r="BH32" s="2" t="e">
        <f ca="1"/>
        <v>#NAME?</v>
      </c>
      <c r="BI32" s="2" t="e">
        <f t="shared" ca="1" si="29"/>
        <v>#NAME?</v>
      </c>
      <c r="BJ32" s="2" t="e">
        <f ca="1"/>
        <v>#NAME?</v>
      </c>
      <c r="BK32" s="2" t="e">
        <f t="shared" ca="1" si="30"/>
        <v>#NAME?</v>
      </c>
      <c r="BL32" s="2" t="e">
        <f ca="1"/>
        <v>#NAME?</v>
      </c>
      <c r="BM32" s="2" t="e">
        <f t="shared" ca="1" si="31"/>
        <v>#NAME?</v>
      </c>
      <c r="BN32" s="2" t="e">
        <f ca="1"/>
        <v>#NAME?</v>
      </c>
      <c r="BO32" s="2" t="e">
        <f t="shared" ca="1" si="32"/>
        <v>#NAME?</v>
      </c>
      <c r="BP32" s="2" t="e">
        <f ca="1"/>
        <v>#NAME?</v>
      </c>
      <c r="BQ32" s="2" t="e">
        <f t="shared" ca="1" si="33"/>
        <v>#NAME?</v>
      </c>
      <c r="BR32" s="2" t="e">
        <f ca="1"/>
        <v>#NAME?</v>
      </c>
      <c r="BS32" s="2" t="e">
        <f t="shared" ca="1" si="34"/>
        <v>#NAME?</v>
      </c>
      <c r="BT32" s="2" t="e">
        <f ca="1"/>
        <v>#NAME?</v>
      </c>
      <c r="BU32" s="2" t="e">
        <f t="shared" ca="1" si="35"/>
        <v>#NAME?</v>
      </c>
      <c r="BV32" s="2" t="e">
        <f ca="1"/>
        <v>#NAME?</v>
      </c>
      <c r="BW32" s="2" t="e">
        <f t="shared" ca="1" si="36"/>
        <v>#NAME?</v>
      </c>
      <c r="BX32" s="2" t="e">
        <f ca="1"/>
        <v>#NAME?</v>
      </c>
      <c r="BY32" s="2" t="e">
        <f t="shared" ca="1" si="37"/>
        <v>#NAME?</v>
      </c>
      <c r="BZ32" s="2" t="e">
        <f ca="1"/>
        <v>#NAME?</v>
      </c>
      <c r="CA32" s="2" t="e">
        <f t="shared" ca="1" si="38"/>
        <v>#NAME?</v>
      </c>
      <c r="CB32" s="2" t="e">
        <f ca="1"/>
        <v>#NAME?</v>
      </c>
      <c r="CC32" s="2" t="e">
        <f t="shared" ca="1" si="39"/>
        <v>#NAME?</v>
      </c>
      <c r="CD32" s="2" t="e">
        <f ca="1"/>
        <v>#NAME?</v>
      </c>
      <c r="CE32" s="2" t="e">
        <f t="shared" ca="1" si="40"/>
        <v>#NAME?</v>
      </c>
      <c r="CF32" s="2" t="e">
        <f ca="1"/>
        <v>#NAME?</v>
      </c>
      <c r="CG32" s="2" t="e">
        <f t="shared" ca="1" si="41"/>
        <v>#NAME?</v>
      </c>
      <c r="CH32" s="2" t="e">
        <f ca="1"/>
        <v>#NAME?</v>
      </c>
      <c r="CI32" s="2" t="e">
        <f t="shared" ca="1" si="42"/>
        <v>#NAME?</v>
      </c>
      <c r="CJ32" s="2" t="e">
        <f ca="1"/>
        <v>#NAME?</v>
      </c>
      <c r="CK32" s="2" t="e">
        <f t="shared" ca="1" si="43"/>
        <v>#NAME?</v>
      </c>
      <c r="CL32" s="2" t="e">
        <f ca="1"/>
        <v>#NAME?</v>
      </c>
      <c r="CM32" s="2" t="e">
        <f t="shared" ca="1" si="44"/>
        <v>#NAME?</v>
      </c>
      <c r="CN32" s="2" t="e">
        <f ca="1"/>
        <v>#NAME?</v>
      </c>
      <c r="CO32" s="2" t="e">
        <f t="shared" ca="1" si="45"/>
        <v>#NAME?</v>
      </c>
      <c r="CP32" s="2" t="e">
        <f ca="1"/>
        <v>#NAME?</v>
      </c>
      <c r="CQ32" s="2" t="e">
        <f t="shared" ca="1" si="46"/>
        <v>#NAME?</v>
      </c>
    </row>
    <row r="33" spans="1:95">
      <c r="A33" s="7" t="e">
        <f ca="1"/>
        <v>#NAME?</v>
      </c>
      <c r="B33" s="2" t="e">
        <f ca="1"/>
        <v>#NAME?</v>
      </c>
      <c r="C33" s="2" t="e">
        <f t="shared" ca="1" si="0"/>
        <v>#NAME?</v>
      </c>
      <c r="D33" s="2" t="e">
        <f ca="1"/>
        <v>#NAME?</v>
      </c>
      <c r="E33" s="2" t="e">
        <f t="shared" ca="1" si="1"/>
        <v>#NAME?</v>
      </c>
      <c r="F33" s="2" t="e">
        <f ca="1"/>
        <v>#NAME?</v>
      </c>
      <c r="G33" s="2" t="e">
        <f t="shared" ca="1" si="2"/>
        <v>#NAME?</v>
      </c>
      <c r="H33" s="2" t="e">
        <f ca="1"/>
        <v>#NAME?</v>
      </c>
      <c r="I33" s="2" t="e">
        <f t="shared" ca="1" si="3"/>
        <v>#NAME?</v>
      </c>
      <c r="J33" s="2" t="e">
        <f ca="1"/>
        <v>#NAME?</v>
      </c>
      <c r="K33" s="2" t="e">
        <f t="shared" ca="1" si="4"/>
        <v>#NAME?</v>
      </c>
      <c r="L33" s="2" t="e">
        <f ca="1"/>
        <v>#NAME?</v>
      </c>
      <c r="M33" s="2" t="e">
        <f t="shared" ca="1" si="5"/>
        <v>#NAME?</v>
      </c>
      <c r="N33" s="2" t="e">
        <f ca="1"/>
        <v>#NAME?</v>
      </c>
      <c r="O33" s="2" t="e">
        <f t="shared" ca="1" si="6"/>
        <v>#NAME?</v>
      </c>
      <c r="P33" s="2" t="e">
        <f ca="1"/>
        <v>#NAME?</v>
      </c>
      <c r="Q33" s="2" t="e">
        <f t="shared" ca="1" si="7"/>
        <v>#NAME?</v>
      </c>
      <c r="R33" s="2" t="e">
        <f ca="1"/>
        <v>#NAME?</v>
      </c>
      <c r="S33" s="2" t="e">
        <f t="shared" ca="1" si="8"/>
        <v>#NAME?</v>
      </c>
      <c r="T33" s="2" t="e">
        <f ca="1"/>
        <v>#NAME?</v>
      </c>
      <c r="U33" s="2" t="e">
        <f t="shared" ca="1" si="9"/>
        <v>#NAME?</v>
      </c>
      <c r="V33" s="2" t="e">
        <f ca="1"/>
        <v>#NAME?</v>
      </c>
      <c r="W33" s="2" t="e">
        <f t="shared" ca="1" si="10"/>
        <v>#NAME?</v>
      </c>
      <c r="X33" s="2" t="e">
        <f ca="1"/>
        <v>#NAME?</v>
      </c>
      <c r="Y33" s="2" t="e">
        <f t="shared" ca="1" si="11"/>
        <v>#NAME?</v>
      </c>
      <c r="Z33" s="2" t="e">
        <f ca="1"/>
        <v>#NAME?</v>
      </c>
      <c r="AA33" s="2" t="e">
        <f t="shared" ca="1" si="12"/>
        <v>#NAME?</v>
      </c>
      <c r="AB33" s="2" t="e">
        <f ca="1"/>
        <v>#NAME?</v>
      </c>
      <c r="AC33" s="2" t="e">
        <f t="shared" ca="1" si="13"/>
        <v>#NAME?</v>
      </c>
      <c r="AD33" s="2" t="e">
        <f ca="1"/>
        <v>#NAME?</v>
      </c>
      <c r="AE33" s="2" t="e">
        <f t="shared" ca="1" si="14"/>
        <v>#NAME?</v>
      </c>
      <c r="AF33" s="2" t="e">
        <f ca="1"/>
        <v>#NAME?</v>
      </c>
      <c r="AG33" s="2" t="e">
        <f t="shared" ca="1" si="15"/>
        <v>#NAME?</v>
      </c>
      <c r="AH33" s="2" t="e">
        <f ca="1"/>
        <v>#NAME?</v>
      </c>
      <c r="AI33" s="2" t="e">
        <f t="shared" ca="1" si="16"/>
        <v>#NAME?</v>
      </c>
      <c r="AJ33" s="2" t="e">
        <f ca="1"/>
        <v>#NAME?</v>
      </c>
      <c r="AK33" s="2" t="e">
        <f t="shared" ca="1" si="17"/>
        <v>#NAME?</v>
      </c>
      <c r="AL33" s="2" t="e">
        <f ca="1"/>
        <v>#NAME?</v>
      </c>
      <c r="AM33" s="2" t="e">
        <f t="shared" ca="1" si="18"/>
        <v>#NAME?</v>
      </c>
      <c r="AN33" s="2" t="e">
        <f ca="1"/>
        <v>#NAME?</v>
      </c>
      <c r="AO33" s="2" t="e">
        <f t="shared" ca="1" si="19"/>
        <v>#NAME?</v>
      </c>
      <c r="AP33" s="2" t="e">
        <f ca="1"/>
        <v>#NAME?</v>
      </c>
      <c r="AQ33" s="2" t="e">
        <f t="shared" ca="1" si="20"/>
        <v>#NAME?</v>
      </c>
      <c r="AR33" s="2" t="e">
        <f ca="1"/>
        <v>#NAME?</v>
      </c>
      <c r="AS33" s="2" t="e">
        <f t="shared" ca="1" si="21"/>
        <v>#NAME?</v>
      </c>
      <c r="AT33" s="2" t="e">
        <f ca="1"/>
        <v>#NAME?</v>
      </c>
      <c r="AU33" s="2" t="e">
        <f t="shared" ca="1" si="22"/>
        <v>#NAME?</v>
      </c>
      <c r="AV33" s="2" t="e">
        <f ca="1"/>
        <v>#NAME?</v>
      </c>
      <c r="AW33" s="2" t="e">
        <f t="shared" ca="1" si="23"/>
        <v>#NAME?</v>
      </c>
      <c r="AX33" s="2" t="e">
        <f ca="1"/>
        <v>#NAME?</v>
      </c>
      <c r="AY33" s="2" t="e">
        <f t="shared" ca="1" si="24"/>
        <v>#NAME?</v>
      </c>
      <c r="AZ33" s="2" t="e">
        <f ca="1"/>
        <v>#NAME?</v>
      </c>
      <c r="BA33" s="2" t="e">
        <f t="shared" ca="1" si="25"/>
        <v>#NAME?</v>
      </c>
      <c r="BB33" s="2" t="e">
        <f ca="1"/>
        <v>#NAME?</v>
      </c>
      <c r="BC33" s="2" t="e">
        <f t="shared" ca="1" si="26"/>
        <v>#NAME?</v>
      </c>
      <c r="BD33" s="2" t="e">
        <f ca="1"/>
        <v>#NAME?</v>
      </c>
      <c r="BE33" s="2" t="e">
        <f t="shared" ca="1" si="27"/>
        <v>#NAME?</v>
      </c>
      <c r="BF33" s="2" t="e">
        <f ca="1"/>
        <v>#NAME?</v>
      </c>
      <c r="BG33" s="2" t="e">
        <f t="shared" ca="1" si="28"/>
        <v>#NAME?</v>
      </c>
      <c r="BH33" s="2" t="e">
        <f ca="1"/>
        <v>#NAME?</v>
      </c>
      <c r="BI33" s="2" t="e">
        <f t="shared" ca="1" si="29"/>
        <v>#NAME?</v>
      </c>
      <c r="BJ33" s="2" t="e">
        <f ca="1"/>
        <v>#NAME?</v>
      </c>
      <c r="BK33" s="2" t="e">
        <f t="shared" ca="1" si="30"/>
        <v>#NAME?</v>
      </c>
      <c r="BL33" s="2" t="e">
        <f ca="1"/>
        <v>#NAME?</v>
      </c>
      <c r="BM33" s="2" t="e">
        <f t="shared" ca="1" si="31"/>
        <v>#NAME?</v>
      </c>
      <c r="BN33" s="2" t="e">
        <f ca="1"/>
        <v>#NAME?</v>
      </c>
      <c r="BO33" s="2" t="e">
        <f t="shared" ca="1" si="32"/>
        <v>#NAME?</v>
      </c>
      <c r="BP33" s="2" t="e">
        <f ca="1"/>
        <v>#NAME?</v>
      </c>
      <c r="BQ33" s="2" t="e">
        <f t="shared" ca="1" si="33"/>
        <v>#NAME?</v>
      </c>
      <c r="BR33" s="2" t="e">
        <f ca="1"/>
        <v>#NAME?</v>
      </c>
      <c r="BS33" s="2" t="e">
        <f t="shared" ca="1" si="34"/>
        <v>#NAME?</v>
      </c>
      <c r="BT33" s="2" t="e">
        <f ca="1"/>
        <v>#NAME?</v>
      </c>
      <c r="BU33" s="2" t="e">
        <f t="shared" ca="1" si="35"/>
        <v>#NAME?</v>
      </c>
      <c r="BV33" s="2" t="e">
        <f ca="1"/>
        <v>#NAME?</v>
      </c>
      <c r="BW33" s="2" t="e">
        <f t="shared" ca="1" si="36"/>
        <v>#NAME?</v>
      </c>
      <c r="BX33" s="2" t="e">
        <f ca="1"/>
        <v>#NAME?</v>
      </c>
      <c r="BY33" s="2" t="e">
        <f t="shared" ca="1" si="37"/>
        <v>#NAME?</v>
      </c>
      <c r="BZ33" s="2" t="e">
        <f ca="1"/>
        <v>#NAME?</v>
      </c>
      <c r="CA33" s="2" t="e">
        <f t="shared" ca="1" si="38"/>
        <v>#NAME?</v>
      </c>
      <c r="CB33" s="2" t="e">
        <f ca="1"/>
        <v>#NAME?</v>
      </c>
      <c r="CC33" s="2" t="e">
        <f t="shared" ca="1" si="39"/>
        <v>#NAME?</v>
      </c>
      <c r="CD33" s="2" t="e">
        <f ca="1"/>
        <v>#NAME?</v>
      </c>
      <c r="CE33" s="2" t="e">
        <f t="shared" ca="1" si="40"/>
        <v>#NAME?</v>
      </c>
      <c r="CF33" s="2" t="e">
        <f ca="1"/>
        <v>#NAME?</v>
      </c>
      <c r="CG33" s="2" t="e">
        <f t="shared" ca="1" si="41"/>
        <v>#NAME?</v>
      </c>
      <c r="CH33" s="2" t="e">
        <f ca="1"/>
        <v>#NAME?</v>
      </c>
      <c r="CI33" s="2" t="e">
        <f t="shared" ca="1" si="42"/>
        <v>#NAME?</v>
      </c>
      <c r="CJ33" s="2" t="e">
        <f ca="1"/>
        <v>#NAME?</v>
      </c>
      <c r="CK33" s="2" t="e">
        <f t="shared" ca="1" si="43"/>
        <v>#NAME?</v>
      </c>
      <c r="CL33" s="2" t="e">
        <f ca="1"/>
        <v>#NAME?</v>
      </c>
      <c r="CM33" s="2" t="e">
        <f t="shared" ca="1" si="44"/>
        <v>#NAME?</v>
      </c>
      <c r="CN33" s="2" t="e">
        <f ca="1"/>
        <v>#NAME?</v>
      </c>
      <c r="CO33" s="2" t="e">
        <f t="shared" ca="1" si="45"/>
        <v>#NAME?</v>
      </c>
      <c r="CP33" s="2" t="e">
        <f ca="1"/>
        <v>#NAME?</v>
      </c>
      <c r="CQ33" s="2" t="e">
        <f t="shared" ca="1" si="46"/>
        <v>#NAME?</v>
      </c>
    </row>
    <row r="34" spans="1:95">
      <c r="A34" s="7" t="e">
        <f ca="1"/>
        <v>#NAME?</v>
      </c>
      <c r="B34" s="2" t="e">
        <f ca="1"/>
        <v>#NAME?</v>
      </c>
      <c r="C34" s="2" t="e">
        <f t="shared" ca="1" si="0"/>
        <v>#NAME?</v>
      </c>
      <c r="D34" s="2" t="e">
        <f ca="1"/>
        <v>#NAME?</v>
      </c>
      <c r="E34" s="2" t="e">
        <f t="shared" ca="1" si="1"/>
        <v>#NAME?</v>
      </c>
      <c r="F34" s="2" t="e">
        <f ca="1"/>
        <v>#NAME?</v>
      </c>
      <c r="G34" s="2" t="e">
        <f t="shared" ca="1" si="2"/>
        <v>#NAME?</v>
      </c>
      <c r="H34" s="2" t="e">
        <f ca="1"/>
        <v>#NAME?</v>
      </c>
      <c r="I34" s="2" t="e">
        <f t="shared" ca="1" si="3"/>
        <v>#NAME?</v>
      </c>
      <c r="J34" s="2" t="e">
        <f ca="1"/>
        <v>#NAME?</v>
      </c>
      <c r="K34" s="2" t="e">
        <f t="shared" ca="1" si="4"/>
        <v>#NAME?</v>
      </c>
      <c r="L34" s="2" t="e">
        <f ca="1"/>
        <v>#NAME?</v>
      </c>
      <c r="M34" s="2" t="e">
        <f t="shared" ca="1" si="5"/>
        <v>#NAME?</v>
      </c>
      <c r="N34" s="2" t="e">
        <f ca="1"/>
        <v>#NAME?</v>
      </c>
      <c r="O34" s="2" t="e">
        <f t="shared" ca="1" si="6"/>
        <v>#NAME?</v>
      </c>
      <c r="P34" s="2" t="e">
        <f ca="1"/>
        <v>#NAME?</v>
      </c>
      <c r="Q34" s="2" t="e">
        <f t="shared" ca="1" si="7"/>
        <v>#NAME?</v>
      </c>
      <c r="R34" s="2" t="e">
        <f ca="1"/>
        <v>#NAME?</v>
      </c>
      <c r="S34" s="2" t="e">
        <f t="shared" ca="1" si="8"/>
        <v>#NAME?</v>
      </c>
      <c r="T34" s="2" t="e">
        <f ca="1"/>
        <v>#NAME?</v>
      </c>
      <c r="U34" s="2" t="e">
        <f t="shared" ca="1" si="9"/>
        <v>#NAME?</v>
      </c>
      <c r="V34" s="2" t="e">
        <f ca="1"/>
        <v>#NAME?</v>
      </c>
      <c r="W34" s="2" t="e">
        <f t="shared" ca="1" si="10"/>
        <v>#NAME?</v>
      </c>
      <c r="X34" s="2" t="e">
        <f ca="1"/>
        <v>#NAME?</v>
      </c>
      <c r="Y34" s="2" t="e">
        <f t="shared" ca="1" si="11"/>
        <v>#NAME?</v>
      </c>
      <c r="Z34" s="2" t="e">
        <f ca="1"/>
        <v>#NAME?</v>
      </c>
      <c r="AA34" s="2" t="e">
        <f t="shared" ca="1" si="12"/>
        <v>#NAME?</v>
      </c>
      <c r="AB34" s="2" t="e">
        <f ca="1"/>
        <v>#NAME?</v>
      </c>
      <c r="AC34" s="2" t="e">
        <f t="shared" ca="1" si="13"/>
        <v>#NAME?</v>
      </c>
      <c r="AD34" s="2" t="e">
        <f ca="1"/>
        <v>#NAME?</v>
      </c>
      <c r="AE34" s="2" t="e">
        <f t="shared" ca="1" si="14"/>
        <v>#NAME?</v>
      </c>
      <c r="AF34" s="2" t="e">
        <f ca="1"/>
        <v>#NAME?</v>
      </c>
      <c r="AG34" s="2" t="e">
        <f t="shared" ca="1" si="15"/>
        <v>#NAME?</v>
      </c>
      <c r="AH34" s="2" t="e">
        <f ca="1"/>
        <v>#NAME?</v>
      </c>
      <c r="AI34" s="2" t="e">
        <f t="shared" ca="1" si="16"/>
        <v>#NAME?</v>
      </c>
      <c r="AJ34" s="2" t="e">
        <f ca="1"/>
        <v>#NAME?</v>
      </c>
      <c r="AK34" s="2" t="e">
        <f t="shared" ca="1" si="17"/>
        <v>#NAME?</v>
      </c>
      <c r="AL34" s="2" t="e">
        <f ca="1"/>
        <v>#NAME?</v>
      </c>
      <c r="AM34" s="2" t="e">
        <f t="shared" ca="1" si="18"/>
        <v>#NAME?</v>
      </c>
      <c r="AN34" s="2" t="e">
        <f ca="1"/>
        <v>#NAME?</v>
      </c>
      <c r="AO34" s="2" t="e">
        <f t="shared" ca="1" si="19"/>
        <v>#NAME?</v>
      </c>
      <c r="AP34" s="2" t="e">
        <f ca="1"/>
        <v>#NAME?</v>
      </c>
      <c r="AQ34" s="2" t="e">
        <f t="shared" ca="1" si="20"/>
        <v>#NAME?</v>
      </c>
      <c r="AR34" s="2" t="e">
        <f ca="1"/>
        <v>#NAME?</v>
      </c>
      <c r="AS34" s="2" t="e">
        <f t="shared" ca="1" si="21"/>
        <v>#NAME?</v>
      </c>
      <c r="AT34" s="2" t="e">
        <f ca="1"/>
        <v>#NAME?</v>
      </c>
      <c r="AU34" s="2" t="e">
        <f t="shared" ca="1" si="22"/>
        <v>#NAME?</v>
      </c>
      <c r="AV34" s="2" t="e">
        <f ca="1"/>
        <v>#NAME?</v>
      </c>
      <c r="AW34" s="2" t="e">
        <f t="shared" ca="1" si="23"/>
        <v>#NAME?</v>
      </c>
      <c r="AX34" s="2" t="e">
        <f ca="1"/>
        <v>#NAME?</v>
      </c>
      <c r="AY34" s="2" t="e">
        <f t="shared" ca="1" si="24"/>
        <v>#NAME?</v>
      </c>
      <c r="AZ34" s="2" t="e">
        <f ca="1"/>
        <v>#NAME?</v>
      </c>
      <c r="BA34" s="2" t="e">
        <f t="shared" ca="1" si="25"/>
        <v>#NAME?</v>
      </c>
      <c r="BB34" s="2" t="e">
        <f ca="1"/>
        <v>#NAME?</v>
      </c>
      <c r="BC34" s="2" t="e">
        <f t="shared" ca="1" si="26"/>
        <v>#NAME?</v>
      </c>
      <c r="BD34" s="2" t="e">
        <f ca="1"/>
        <v>#NAME?</v>
      </c>
      <c r="BE34" s="2" t="e">
        <f t="shared" ca="1" si="27"/>
        <v>#NAME?</v>
      </c>
      <c r="BF34" s="2" t="e">
        <f ca="1"/>
        <v>#NAME?</v>
      </c>
      <c r="BG34" s="2" t="e">
        <f t="shared" ca="1" si="28"/>
        <v>#NAME?</v>
      </c>
      <c r="BH34" s="2" t="e">
        <f ca="1"/>
        <v>#NAME?</v>
      </c>
      <c r="BI34" s="2" t="e">
        <f t="shared" ca="1" si="29"/>
        <v>#NAME?</v>
      </c>
      <c r="BJ34" s="2" t="e">
        <f ca="1"/>
        <v>#NAME?</v>
      </c>
      <c r="BK34" s="2" t="e">
        <f t="shared" ca="1" si="30"/>
        <v>#NAME?</v>
      </c>
      <c r="BL34" s="2" t="e">
        <f ca="1"/>
        <v>#NAME?</v>
      </c>
      <c r="BM34" s="2" t="e">
        <f t="shared" ca="1" si="31"/>
        <v>#NAME?</v>
      </c>
      <c r="BN34" s="2" t="e">
        <f ca="1"/>
        <v>#NAME?</v>
      </c>
      <c r="BO34" s="2" t="e">
        <f t="shared" ca="1" si="32"/>
        <v>#NAME?</v>
      </c>
      <c r="BP34" s="2" t="e">
        <f ca="1"/>
        <v>#NAME?</v>
      </c>
      <c r="BQ34" s="2" t="e">
        <f t="shared" ca="1" si="33"/>
        <v>#NAME?</v>
      </c>
      <c r="BR34" s="2" t="e">
        <f ca="1"/>
        <v>#NAME?</v>
      </c>
      <c r="BS34" s="2" t="e">
        <f t="shared" ca="1" si="34"/>
        <v>#NAME?</v>
      </c>
      <c r="BT34" s="2" t="e">
        <f ca="1"/>
        <v>#NAME?</v>
      </c>
      <c r="BU34" s="2" t="e">
        <f t="shared" ca="1" si="35"/>
        <v>#NAME?</v>
      </c>
      <c r="BV34" s="2" t="e">
        <f ca="1"/>
        <v>#NAME?</v>
      </c>
      <c r="BW34" s="2" t="e">
        <f t="shared" ca="1" si="36"/>
        <v>#NAME?</v>
      </c>
      <c r="BX34" s="2" t="e">
        <f ca="1"/>
        <v>#NAME?</v>
      </c>
      <c r="BY34" s="2" t="e">
        <f t="shared" ca="1" si="37"/>
        <v>#NAME?</v>
      </c>
      <c r="BZ34" s="2" t="e">
        <f ca="1"/>
        <v>#NAME?</v>
      </c>
      <c r="CA34" s="2" t="e">
        <f t="shared" ca="1" si="38"/>
        <v>#NAME?</v>
      </c>
      <c r="CB34" s="2" t="e">
        <f ca="1"/>
        <v>#NAME?</v>
      </c>
      <c r="CC34" s="2" t="e">
        <f t="shared" ca="1" si="39"/>
        <v>#NAME?</v>
      </c>
      <c r="CD34" s="2" t="e">
        <f ca="1"/>
        <v>#NAME?</v>
      </c>
      <c r="CE34" s="2" t="e">
        <f t="shared" ca="1" si="40"/>
        <v>#NAME?</v>
      </c>
      <c r="CF34" s="2" t="e">
        <f ca="1"/>
        <v>#NAME?</v>
      </c>
      <c r="CG34" s="2" t="e">
        <f t="shared" ca="1" si="41"/>
        <v>#NAME?</v>
      </c>
      <c r="CH34" s="2" t="e">
        <f ca="1"/>
        <v>#NAME?</v>
      </c>
      <c r="CI34" s="2" t="e">
        <f t="shared" ca="1" si="42"/>
        <v>#NAME?</v>
      </c>
      <c r="CJ34" s="2" t="e">
        <f ca="1"/>
        <v>#NAME?</v>
      </c>
      <c r="CK34" s="2" t="e">
        <f t="shared" ca="1" si="43"/>
        <v>#NAME?</v>
      </c>
      <c r="CL34" s="2" t="e">
        <f ca="1"/>
        <v>#NAME?</v>
      </c>
      <c r="CM34" s="2" t="e">
        <f t="shared" ca="1" si="44"/>
        <v>#NAME?</v>
      </c>
      <c r="CN34" s="2" t="e">
        <f ca="1"/>
        <v>#NAME?</v>
      </c>
      <c r="CO34" s="2" t="e">
        <f t="shared" ca="1" si="45"/>
        <v>#NAME?</v>
      </c>
      <c r="CP34" s="2" t="e">
        <f ca="1"/>
        <v>#NAME?</v>
      </c>
      <c r="CQ34" s="2" t="e">
        <f t="shared" ca="1" si="46"/>
        <v>#NAME?</v>
      </c>
    </row>
    <row r="35" spans="1:95">
      <c r="A35" s="7" t="e">
        <f ca="1"/>
        <v>#NAME?</v>
      </c>
      <c r="B35" s="2" t="e">
        <f ca="1"/>
        <v>#NAME?</v>
      </c>
      <c r="C35" s="2" t="e">
        <f t="shared" ca="1" si="0"/>
        <v>#NAME?</v>
      </c>
      <c r="D35" s="2" t="e">
        <f ca="1"/>
        <v>#NAME?</v>
      </c>
      <c r="E35" s="2" t="e">
        <f t="shared" ca="1" si="1"/>
        <v>#NAME?</v>
      </c>
      <c r="F35" s="2" t="e">
        <f ca="1"/>
        <v>#NAME?</v>
      </c>
      <c r="G35" s="2" t="e">
        <f t="shared" ca="1" si="2"/>
        <v>#NAME?</v>
      </c>
      <c r="H35" s="2" t="e">
        <f ca="1"/>
        <v>#NAME?</v>
      </c>
      <c r="I35" s="2" t="e">
        <f t="shared" ca="1" si="3"/>
        <v>#NAME?</v>
      </c>
      <c r="J35" s="2" t="e">
        <f ca="1"/>
        <v>#NAME?</v>
      </c>
      <c r="K35" s="2" t="e">
        <f t="shared" ca="1" si="4"/>
        <v>#NAME?</v>
      </c>
      <c r="L35" s="2" t="e">
        <f ca="1"/>
        <v>#NAME?</v>
      </c>
      <c r="M35" s="2" t="e">
        <f t="shared" ca="1" si="5"/>
        <v>#NAME?</v>
      </c>
      <c r="N35" s="2" t="e">
        <f ca="1"/>
        <v>#NAME?</v>
      </c>
      <c r="O35" s="2" t="e">
        <f t="shared" ca="1" si="6"/>
        <v>#NAME?</v>
      </c>
      <c r="P35" s="2" t="e">
        <f ca="1"/>
        <v>#NAME?</v>
      </c>
      <c r="Q35" s="2" t="e">
        <f t="shared" ca="1" si="7"/>
        <v>#NAME?</v>
      </c>
      <c r="R35" s="2" t="e">
        <f ca="1"/>
        <v>#NAME?</v>
      </c>
      <c r="S35" s="2" t="e">
        <f t="shared" ca="1" si="8"/>
        <v>#NAME?</v>
      </c>
      <c r="T35" s="2" t="e">
        <f ca="1"/>
        <v>#NAME?</v>
      </c>
      <c r="U35" s="2" t="e">
        <f t="shared" ca="1" si="9"/>
        <v>#NAME?</v>
      </c>
      <c r="V35" s="2" t="e">
        <f ca="1"/>
        <v>#NAME?</v>
      </c>
      <c r="W35" s="2" t="e">
        <f t="shared" ca="1" si="10"/>
        <v>#NAME?</v>
      </c>
      <c r="X35" s="2" t="e">
        <f ca="1"/>
        <v>#NAME?</v>
      </c>
      <c r="Y35" s="2" t="e">
        <f t="shared" ca="1" si="11"/>
        <v>#NAME?</v>
      </c>
      <c r="Z35" s="2" t="e">
        <f ca="1"/>
        <v>#NAME?</v>
      </c>
      <c r="AA35" s="2" t="e">
        <f t="shared" ca="1" si="12"/>
        <v>#NAME?</v>
      </c>
      <c r="AB35" s="2" t="e">
        <f ca="1"/>
        <v>#NAME?</v>
      </c>
      <c r="AC35" s="2" t="e">
        <f t="shared" ca="1" si="13"/>
        <v>#NAME?</v>
      </c>
      <c r="AD35" s="2" t="e">
        <f ca="1"/>
        <v>#NAME?</v>
      </c>
      <c r="AE35" s="2" t="e">
        <f t="shared" ca="1" si="14"/>
        <v>#NAME?</v>
      </c>
      <c r="AF35" s="2" t="e">
        <f ca="1"/>
        <v>#NAME?</v>
      </c>
      <c r="AG35" s="2" t="e">
        <f t="shared" ca="1" si="15"/>
        <v>#NAME?</v>
      </c>
      <c r="AH35" s="2" t="e">
        <f ca="1"/>
        <v>#NAME?</v>
      </c>
      <c r="AI35" s="2" t="e">
        <f t="shared" ca="1" si="16"/>
        <v>#NAME?</v>
      </c>
      <c r="AJ35" s="2" t="e">
        <f ca="1"/>
        <v>#NAME?</v>
      </c>
      <c r="AK35" s="2" t="e">
        <f t="shared" ca="1" si="17"/>
        <v>#NAME?</v>
      </c>
      <c r="AL35" s="2" t="e">
        <f ca="1"/>
        <v>#NAME?</v>
      </c>
      <c r="AM35" s="2" t="e">
        <f t="shared" ca="1" si="18"/>
        <v>#NAME?</v>
      </c>
      <c r="AN35" s="2" t="e">
        <f ca="1"/>
        <v>#NAME?</v>
      </c>
      <c r="AO35" s="2" t="e">
        <f t="shared" ca="1" si="19"/>
        <v>#NAME?</v>
      </c>
      <c r="AP35" s="2" t="e">
        <f ca="1"/>
        <v>#NAME?</v>
      </c>
      <c r="AQ35" s="2" t="e">
        <f t="shared" ca="1" si="20"/>
        <v>#NAME?</v>
      </c>
      <c r="AR35" s="2" t="e">
        <f ca="1"/>
        <v>#NAME?</v>
      </c>
      <c r="AS35" s="2" t="e">
        <f t="shared" ca="1" si="21"/>
        <v>#NAME?</v>
      </c>
      <c r="AT35" s="2" t="e">
        <f ca="1"/>
        <v>#NAME?</v>
      </c>
      <c r="AU35" s="2" t="e">
        <f t="shared" ca="1" si="22"/>
        <v>#NAME?</v>
      </c>
      <c r="AV35" s="2" t="e">
        <f ca="1"/>
        <v>#NAME?</v>
      </c>
      <c r="AW35" s="2" t="e">
        <f t="shared" ca="1" si="23"/>
        <v>#NAME?</v>
      </c>
      <c r="AX35" s="2" t="e">
        <f ca="1"/>
        <v>#NAME?</v>
      </c>
      <c r="AY35" s="2" t="e">
        <f t="shared" ca="1" si="24"/>
        <v>#NAME?</v>
      </c>
      <c r="AZ35" s="2" t="e">
        <f ca="1"/>
        <v>#NAME?</v>
      </c>
      <c r="BA35" s="2" t="e">
        <f t="shared" ca="1" si="25"/>
        <v>#NAME?</v>
      </c>
      <c r="BB35" s="2" t="e">
        <f ca="1"/>
        <v>#NAME?</v>
      </c>
      <c r="BC35" s="2" t="e">
        <f t="shared" ca="1" si="26"/>
        <v>#NAME?</v>
      </c>
      <c r="BD35" s="2" t="e">
        <f ca="1"/>
        <v>#NAME?</v>
      </c>
      <c r="BE35" s="2" t="e">
        <f t="shared" ca="1" si="27"/>
        <v>#NAME?</v>
      </c>
      <c r="BF35" s="2" t="e">
        <f ca="1"/>
        <v>#NAME?</v>
      </c>
      <c r="BG35" s="2" t="e">
        <f t="shared" ca="1" si="28"/>
        <v>#NAME?</v>
      </c>
      <c r="BH35" s="2" t="e">
        <f ca="1"/>
        <v>#NAME?</v>
      </c>
      <c r="BI35" s="2" t="e">
        <f t="shared" ca="1" si="29"/>
        <v>#NAME?</v>
      </c>
      <c r="BJ35" s="2" t="e">
        <f ca="1"/>
        <v>#NAME?</v>
      </c>
      <c r="BK35" s="2" t="e">
        <f t="shared" ca="1" si="30"/>
        <v>#NAME?</v>
      </c>
      <c r="BL35" s="2" t="e">
        <f ca="1"/>
        <v>#NAME?</v>
      </c>
      <c r="BM35" s="2" t="e">
        <f t="shared" ca="1" si="31"/>
        <v>#NAME?</v>
      </c>
      <c r="BN35" s="2" t="e">
        <f ca="1"/>
        <v>#NAME?</v>
      </c>
      <c r="BO35" s="2" t="e">
        <f t="shared" ca="1" si="32"/>
        <v>#NAME?</v>
      </c>
      <c r="BP35" s="2" t="e">
        <f ca="1"/>
        <v>#NAME?</v>
      </c>
      <c r="BQ35" s="2" t="e">
        <f t="shared" ca="1" si="33"/>
        <v>#NAME?</v>
      </c>
      <c r="BR35" s="2" t="e">
        <f ca="1"/>
        <v>#NAME?</v>
      </c>
      <c r="BS35" s="2" t="e">
        <f t="shared" ca="1" si="34"/>
        <v>#NAME?</v>
      </c>
      <c r="BT35" s="2" t="e">
        <f ca="1"/>
        <v>#NAME?</v>
      </c>
      <c r="BU35" s="2" t="e">
        <f t="shared" ca="1" si="35"/>
        <v>#NAME?</v>
      </c>
      <c r="BV35" s="2" t="e">
        <f ca="1"/>
        <v>#NAME?</v>
      </c>
      <c r="BW35" s="2" t="e">
        <f t="shared" ca="1" si="36"/>
        <v>#NAME?</v>
      </c>
      <c r="BX35" s="2" t="e">
        <f ca="1"/>
        <v>#NAME?</v>
      </c>
      <c r="BY35" s="2" t="e">
        <f t="shared" ca="1" si="37"/>
        <v>#NAME?</v>
      </c>
      <c r="BZ35" s="2" t="e">
        <f ca="1"/>
        <v>#NAME?</v>
      </c>
      <c r="CA35" s="2" t="e">
        <f t="shared" ca="1" si="38"/>
        <v>#NAME?</v>
      </c>
      <c r="CB35" s="2" t="e">
        <f ca="1"/>
        <v>#NAME?</v>
      </c>
      <c r="CC35" s="2" t="e">
        <f t="shared" ca="1" si="39"/>
        <v>#NAME?</v>
      </c>
      <c r="CD35" s="2" t="e">
        <f ca="1"/>
        <v>#NAME?</v>
      </c>
      <c r="CE35" s="2" t="e">
        <f t="shared" ca="1" si="40"/>
        <v>#NAME?</v>
      </c>
      <c r="CF35" s="2" t="e">
        <f ca="1"/>
        <v>#NAME?</v>
      </c>
      <c r="CG35" s="2" t="e">
        <f t="shared" ca="1" si="41"/>
        <v>#NAME?</v>
      </c>
      <c r="CH35" s="2" t="e">
        <f ca="1"/>
        <v>#NAME?</v>
      </c>
      <c r="CI35" s="2" t="e">
        <f t="shared" ca="1" si="42"/>
        <v>#NAME?</v>
      </c>
      <c r="CJ35" s="2" t="e">
        <f ca="1"/>
        <v>#NAME?</v>
      </c>
      <c r="CK35" s="2" t="e">
        <f t="shared" ca="1" si="43"/>
        <v>#NAME?</v>
      </c>
      <c r="CL35" s="2" t="e">
        <f ca="1"/>
        <v>#NAME?</v>
      </c>
      <c r="CM35" s="2" t="e">
        <f t="shared" ca="1" si="44"/>
        <v>#NAME?</v>
      </c>
      <c r="CN35" s="2" t="e">
        <f ca="1"/>
        <v>#NAME?</v>
      </c>
      <c r="CO35" s="2" t="e">
        <f t="shared" ca="1" si="45"/>
        <v>#NAME?</v>
      </c>
      <c r="CP35" s="2" t="e">
        <f ca="1"/>
        <v>#NAME?</v>
      </c>
      <c r="CQ35" s="2" t="e">
        <f t="shared" ca="1" si="46"/>
        <v>#NAME?</v>
      </c>
    </row>
    <row r="36" spans="1:95">
      <c r="A36" s="7" t="e">
        <f ca="1"/>
        <v>#NAME?</v>
      </c>
      <c r="B36" s="2" t="e">
        <f ca="1"/>
        <v>#NAME?</v>
      </c>
      <c r="C36" s="2" t="e">
        <f t="shared" ca="1" si="0"/>
        <v>#NAME?</v>
      </c>
      <c r="D36" s="2" t="e">
        <f ca="1"/>
        <v>#NAME?</v>
      </c>
      <c r="E36" s="2" t="e">
        <f t="shared" ca="1" si="1"/>
        <v>#NAME?</v>
      </c>
      <c r="F36" s="2" t="e">
        <f ca="1"/>
        <v>#NAME?</v>
      </c>
      <c r="G36" s="2" t="e">
        <f t="shared" ca="1" si="2"/>
        <v>#NAME?</v>
      </c>
      <c r="H36" s="2" t="e">
        <f ca="1"/>
        <v>#NAME?</v>
      </c>
      <c r="I36" s="2" t="e">
        <f t="shared" ca="1" si="3"/>
        <v>#NAME?</v>
      </c>
      <c r="J36" s="2" t="e">
        <f ca="1"/>
        <v>#NAME?</v>
      </c>
      <c r="K36" s="2" t="e">
        <f t="shared" ca="1" si="4"/>
        <v>#NAME?</v>
      </c>
      <c r="L36" s="2" t="e">
        <f ca="1"/>
        <v>#NAME?</v>
      </c>
      <c r="M36" s="2" t="e">
        <f t="shared" ca="1" si="5"/>
        <v>#NAME?</v>
      </c>
      <c r="N36" s="2" t="e">
        <f ca="1"/>
        <v>#NAME?</v>
      </c>
      <c r="O36" s="2" t="e">
        <f t="shared" ca="1" si="6"/>
        <v>#NAME?</v>
      </c>
      <c r="P36" s="2" t="e">
        <f ca="1"/>
        <v>#NAME?</v>
      </c>
      <c r="Q36" s="2" t="e">
        <f t="shared" ca="1" si="7"/>
        <v>#NAME?</v>
      </c>
      <c r="R36" s="2" t="e">
        <f ca="1"/>
        <v>#NAME?</v>
      </c>
      <c r="S36" s="2" t="e">
        <f t="shared" ca="1" si="8"/>
        <v>#NAME?</v>
      </c>
      <c r="T36" s="2" t="e">
        <f ca="1"/>
        <v>#NAME?</v>
      </c>
      <c r="U36" s="2" t="e">
        <f t="shared" ca="1" si="9"/>
        <v>#NAME?</v>
      </c>
      <c r="V36" s="2" t="e">
        <f ca="1"/>
        <v>#NAME?</v>
      </c>
      <c r="W36" s="2" t="e">
        <f t="shared" ca="1" si="10"/>
        <v>#NAME?</v>
      </c>
      <c r="X36" s="2" t="e">
        <f ca="1"/>
        <v>#NAME?</v>
      </c>
      <c r="Y36" s="2" t="e">
        <f t="shared" ca="1" si="11"/>
        <v>#NAME?</v>
      </c>
      <c r="Z36" s="2" t="e">
        <f ca="1"/>
        <v>#NAME?</v>
      </c>
      <c r="AA36" s="2" t="e">
        <f t="shared" ca="1" si="12"/>
        <v>#NAME?</v>
      </c>
      <c r="AB36" s="2" t="e">
        <f ca="1"/>
        <v>#NAME?</v>
      </c>
      <c r="AC36" s="2" t="e">
        <f t="shared" ca="1" si="13"/>
        <v>#NAME?</v>
      </c>
      <c r="AD36" s="2" t="e">
        <f ca="1"/>
        <v>#NAME?</v>
      </c>
      <c r="AE36" s="2" t="e">
        <f t="shared" ca="1" si="14"/>
        <v>#NAME?</v>
      </c>
      <c r="AF36" s="2" t="e">
        <f ca="1"/>
        <v>#NAME?</v>
      </c>
      <c r="AG36" s="2" t="e">
        <f t="shared" ca="1" si="15"/>
        <v>#NAME?</v>
      </c>
      <c r="AH36" s="2" t="e">
        <f ca="1"/>
        <v>#NAME?</v>
      </c>
      <c r="AI36" s="2" t="e">
        <f t="shared" ca="1" si="16"/>
        <v>#NAME?</v>
      </c>
      <c r="AJ36" s="2" t="e">
        <f ca="1"/>
        <v>#NAME?</v>
      </c>
      <c r="AK36" s="2" t="e">
        <f t="shared" ca="1" si="17"/>
        <v>#NAME?</v>
      </c>
      <c r="AL36" s="2" t="e">
        <f ca="1"/>
        <v>#NAME?</v>
      </c>
      <c r="AM36" s="2" t="e">
        <f t="shared" ca="1" si="18"/>
        <v>#NAME?</v>
      </c>
      <c r="AN36" s="2" t="e">
        <f ca="1"/>
        <v>#NAME?</v>
      </c>
      <c r="AO36" s="2" t="e">
        <f t="shared" ca="1" si="19"/>
        <v>#NAME?</v>
      </c>
      <c r="AP36" s="2" t="e">
        <f ca="1"/>
        <v>#NAME?</v>
      </c>
      <c r="AQ36" s="2" t="e">
        <f t="shared" ca="1" si="20"/>
        <v>#NAME?</v>
      </c>
      <c r="AR36" s="2" t="e">
        <f ca="1"/>
        <v>#NAME?</v>
      </c>
      <c r="AS36" s="2" t="e">
        <f t="shared" ca="1" si="21"/>
        <v>#NAME?</v>
      </c>
      <c r="AT36" s="2" t="e">
        <f ca="1"/>
        <v>#NAME?</v>
      </c>
      <c r="AU36" s="2" t="e">
        <f t="shared" ca="1" si="22"/>
        <v>#NAME?</v>
      </c>
      <c r="AV36" s="2" t="e">
        <f ca="1"/>
        <v>#NAME?</v>
      </c>
      <c r="AW36" s="2" t="e">
        <f t="shared" ca="1" si="23"/>
        <v>#NAME?</v>
      </c>
      <c r="AX36" s="2" t="e">
        <f ca="1"/>
        <v>#NAME?</v>
      </c>
      <c r="AY36" s="2" t="e">
        <f t="shared" ca="1" si="24"/>
        <v>#NAME?</v>
      </c>
      <c r="AZ36" s="2" t="e">
        <f ca="1"/>
        <v>#NAME?</v>
      </c>
      <c r="BA36" s="2" t="e">
        <f t="shared" ca="1" si="25"/>
        <v>#NAME?</v>
      </c>
      <c r="BB36" s="2" t="e">
        <f ca="1"/>
        <v>#NAME?</v>
      </c>
      <c r="BC36" s="2" t="e">
        <f t="shared" ca="1" si="26"/>
        <v>#NAME?</v>
      </c>
      <c r="BD36" s="2" t="e">
        <f ca="1"/>
        <v>#NAME?</v>
      </c>
      <c r="BE36" s="2" t="e">
        <f t="shared" ca="1" si="27"/>
        <v>#NAME?</v>
      </c>
      <c r="BF36" s="2" t="e">
        <f ca="1"/>
        <v>#NAME?</v>
      </c>
      <c r="BG36" s="2" t="e">
        <f t="shared" ca="1" si="28"/>
        <v>#NAME?</v>
      </c>
      <c r="BH36" s="2" t="e">
        <f ca="1"/>
        <v>#NAME?</v>
      </c>
      <c r="BI36" s="2" t="e">
        <f t="shared" ca="1" si="29"/>
        <v>#NAME?</v>
      </c>
      <c r="BJ36" s="2" t="e">
        <f ca="1"/>
        <v>#NAME?</v>
      </c>
      <c r="BK36" s="2" t="e">
        <f t="shared" ca="1" si="30"/>
        <v>#NAME?</v>
      </c>
      <c r="BL36" s="2" t="e">
        <f ca="1"/>
        <v>#NAME?</v>
      </c>
      <c r="BM36" s="2" t="e">
        <f t="shared" ca="1" si="31"/>
        <v>#NAME?</v>
      </c>
      <c r="BN36" s="2" t="e">
        <f ca="1"/>
        <v>#NAME?</v>
      </c>
      <c r="BO36" s="2" t="e">
        <f t="shared" ca="1" si="32"/>
        <v>#NAME?</v>
      </c>
      <c r="BP36" s="2" t="e">
        <f ca="1"/>
        <v>#NAME?</v>
      </c>
      <c r="BQ36" s="2" t="e">
        <f t="shared" ca="1" si="33"/>
        <v>#NAME?</v>
      </c>
      <c r="BR36" s="2" t="e">
        <f ca="1"/>
        <v>#NAME?</v>
      </c>
      <c r="BS36" s="2" t="e">
        <f t="shared" ca="1" si="34"/>
        <v>#NAME?</v>
      </c>
      <c r="BT36" s="2" t="e">
        <f ca="1"/>
        <v>#NAME?</v>
      </c>
      <c r="BU36" s="2" t="e">
        <f t="shared" ca="1" si="35"/>
        <v>#NAME?</v>
      </c>
      <c r="BV36" s="2" t="e">
        <f ca="1"/>
        <v>#NAME?</v>
      </c>
      <c r="BW36" s="2" t="e">
        <f t="shared" ca="1" si="36"/>
        <v>#NAME?</v>
      </c>
      <c r="BX36" s="2" t="e">
        <f ca="1"/>
        <v>#NAME?</v>
      </c>
      <c r="BY36" s="2" t="e">
        <f t="shared" ca="1" si="37"/>
        <v>#NAME?</v>
      </c>
      <c r="BZ36" s="2" t="e">
        <f ca="1"/>
        <v>#NAME?</v>
      </c>
      <c r="CA36" s="2" t="e">
        <f t="shared" ca="1" si="38"/>
        <v>#NAME?</v>
      </c>
      <c r="CB36" s="2" t="e">
        <f ca="1"/>
        <v>#NAME?</v>
      </c>
      <c r="CC36" s="2" t="e">
        <f t="shared" ca="1" si="39"/>
        <v>#NAME?</v>
      </c>
      <c r="CD36" s="2" t="e">
        <f ca="1"/>
        <v>#NAME?</v>
      </c>
      <c r="CE36" s="2" t="e">
        <f t="shared" ca="1" si="40"/>
        <v>#NAME?</v>
      </c>
      <c r="CF36" s="2" t="e">
        <f ca="1"/>
        <v>#NAME?</v>
      </c>
      <c r="CG36" s="2" t="e">
        <f t="shared" ca="1" si="41"/>
        <v>#NAME?</v>
      </c>
      <c r="CH36" s="2" t="e">
        <f ca="1"/>
        <v>#NAME?</v>
      </c>
      <c r="CI36" s="2" t="e">
        <f t="shared" ca="1" si="42"/>
        <v>#NAME?</v>
      </c>
      <c r="CJ36" s="2" t="e">
        <f ca="1"/>
        <v>#NAME?</v>
      </c>
      <c r="CK36" s="2" t="e">
        <f t="shared" ca="1" si="43"/>
        <v>#NAME?</v>
      </c>
      <c r="CL36" s="2" t="e">
        <f ca="1"/>
        <v>#NAME?</v>
      </c>
      <c r="CM36" s="2" t="e">
        <f t="shared" ca="1" si="44"/>
        <v>#NAME?</v>
      </c>
      <c r="CN36" s="2" t="e">
        <f ca="1"/>
        <v>#NAME?</v>
      </c>
      <c r="CO36" s="2" t="e">
        <f t="shared" ca="1" si="45"/>
        <v>#NAME?</v>
      </c>
      <c r="CP36" s="2" t="e">
        <f ca="1"/>
        <v>#NAME?</v>
      </c>
      <c r="CQ36" s="2" t="e">
        <f t="shared" ca="1" si="46"/>
        <v>#NAME?</v>
      </c>
    </row>
    <row r="37" spans="1:95">
      <c r="A37" s="7" t="e">
        <f ca="1"/>
        <v>#NAME?</v>
      </c>
      <c r="B37" s="2" t="e">
        <f ca="1"/>
        <v>#NAME?</v>
      </c>
      <c r="C37" s="2" t="e">
        <f t="shared" ca="1" si="0"/>
        <v>#NAME?</v>
      </c>
      <c r="D37" s="2" t="e">
        <f ca="1"/>
        <v>#NAME?</v>
      </c>
      <c r="E37" s="2" t="e">
        <f t="shared" ca="1" si="1"/>
        <v>#NAME?</v>
      </c>
      <c r="F37" s="2" t="e">
        <f ca="1"/>
        <v>#NAME?</v>
      </c>
      <c r="G37" s="2" t="e">
        <f t="shared" ca="1" si="2"/>
        <v>#NAME?</v>
      </c>
      <c r="H37" s="2" t="e">
        <f ca="1"/>
        <v>#NAME?</v>
      </c>
      <c r="I37" s="2" t="e">
        <f t="shared" ca="1" si="3"/>
        <v>#NAME?</v>
      </c>
      <c r="J37" s="2" t="e">
        <f ca="1"/>
        <v>#NAME?</v>
      </c>
      <c r="K37" s="2" t="e">
        <f t="shared" ca="1" si="4"/>
        <v>#NAME?</v>
      </c>
      <c r="L37" s="2" t="e">
        <f ca="1"/>
        <v>#NAME?</v>
      </c>
      <c r="M37" s="2" t="e">
        <f t="shared" ca="1" si="5"/>
        <v>#NAME?</v>
      </c>
      <c r="N37" s="2" t="e">
        <f ca="1"/>
        <v>#NAME?</v>
      </c>
      <c r="O37" s="2" t="e">
        <f t="shared" ca="1" si="6"/>
        <v>#NAME?</v>
      </c>
      <c r="P37" s="2" t="e">
        <f ca="1"/>
        <v>#NAME?</v>
      </c>
      <c r="Q37" s="2" t="e">
        <f t="shared" ca="1" si="7"/>
        <v>#NAME?</v>
      </c>
      <c r="R37" s="2" t="e">
        <f ca="1"/>
        <v>#NAME?</v>
      </c>
      <c r="S37" s="2" t="e">
        <f t="shared" ca="1" si="8"/>
        <v>#NAME?</v>
      </c>
      <c r="T37" s="2" t="e">
        <f ca="1"/>
        <v>#NAME?</v>
      </c>
      <c r="U37" s="2" t="e">
        <f t="shared" ca="1" si="9"/>
        <v>#NAME?</v>
      </c>
      <c r="V37" s="2" t="e">
        <f ca="1"/>
        <v>#NAME?</v>
      </c>
      <c r="W37" s="2" t="e">
        <f t="shared" ca="1" si="10"/>
        <v>#NAME?</v>
      </c>
      <c r="X37" s="2" t="e">
        <f ca="1"/>
        <v>#NAME?</v>
      </c>
      <c r="Y37" s="2" t="e">
        <f t="shared" ca="1" si="11"/>
        <v>#NAME?</v>
      </c>
      <c r="Z37" s="2" t="e">
        <f ca="1"/>
        <v>#NAME?</v>
      </c>
      <c r="AA37" s="2" t="e">
        <f t="shared" ca="1" si="12"/>
        <v>#NAME?</v>
      </c>
      <c r="AB37" s="2" t="e">
        <f ca="1"/>
        <v>#NAME?</v>
      </c>
      <c r="AC37" s="2" t="e">
        <f t="shared" ca="1" si="13"/>
        <v>#NAME?</v>
      </c>
      <c r="AD37" s="2" t="e">
        <f ca="1"/>
        <v>#NAME?</v>
      </c>
      <c r="AE37" s="2" t="e">
        <f t="shared" ca="1" si="14"/>
        <v>#NAME?</v>
      </c>
      <c r="AF37" s="2" t="e">
        <f ca="1"/>
        <v>#NAME?</v>
      </c>
      <c r="AG37" s="2" t="e">
        <f t="shared" ca="1" si="15"/>
        <v>#NAME?</v>
      </c>
      <c r="AH37" s="2" t="e">
        <f ca="1"/>
        <v>#NAME?</v>
      </c>
      <c r="AI37" s="2" t="e">
        <f t="shared" ca="1" si="16"/>
        <v>#NAME?</v>
      </c>
      <c r="AJ37" s="2" t="e">
        <f ca="1"/>
        <v>#NAME?</v>
      </c>
      <c r="AK37" s="2" t="e">
        <f t="shared" ca="1" si="17"/>
        <v>#NAME?</v>
      </c>
      <c r="AL37" s="2" t="e">
        <f ca="1"/>
        <v>#NAME?</v>
      </c>
      <c r="AM37" s="2" t="e">
        <f t="shared" ca="1" si="18"/>
        <v>#NAME?</v>
      </c>
      <c r="AN37" s="2" t="e">
        <f ca="1"/>
        <v>#NAME?</v>
      </c>
      <c r="AO37" s="2" t="e">
        <f t="shared" ca="1" si="19"/>
        <v>#NAME?</v>
      </c>
      <c r="AP37" s="2" t="e">
        <f ca="1"/>
        <v>#NAME?</v>
      </c>
      <c r="AQ37" s="2" t="e">
        <f t="shared" ca="1" si="20"/>
        <v>#NAME?</v>
      </c>
      <c r="AR37" s="2" t="e">
        <f ca="1"/>
        <v>#NAME?</v>
      </c>
      <c r="AS37" s="2" t="e">
        <f t="shared" ca="1" si="21"/>
        <v>#NAME?</v>
      </c>
      <c r="AT37" s="2" t="e">
        <f ca="1"/>
        <v>#NAME?</v>
      </c>
      <c r="AU37" s="2" t="e">
        <f t="shared" ca="1" si="22"/>
        <v>#NAME?</v>
      </c>
      <c r="AV37" s="2" t="e">
        <f ca="1"/>
        <v>#NAME?</v>
      </c>
      <c r="AW37" s="2" t="e">
        <f t="shared" ca="1" si="23"/>
        <v>#NAME?</v>
      </c>
      <c r="AX37" s="2" t="e">
        <f ca="1"/>
        <v>#NAME?</v>
      </c>
      <c r="AY37" s="2" t="e">
        <f t="shared" ca="1" si="24"/>
        <v>#NAME?</v>
      </c>
      <c r="AZ37" s="2" t="e">
        <f ca="1"/>
        <v>#NAME?</v>
      </c>
      <c r="BA37" s="2" t="e">
        <f t="shared" ca="1" si="25"/>
        <v>#NAME?</v>
      </c>
      <c r="BB37" s="2" t="e">
        <f ca="1"/>
        <v>#NAME?</v>
      </c>
      <c r="BC37" s="2" t="e">
        <f t="shared" ca="1" si="26"/>
        <v>#NAME?</v>
      </c>
      <c r="BD37" s="2" t="e">
        <f ca="1"/>
        <v>#NAME?</v>
      </c>
      <c r="BE37" s="2" t="e">
        <f t="shared" ca="1" si="27"/>
        <v>#NAME?</v>
      </c>
      <c r="BF37" s="2" t="e">
        <f ca="1"/>
        <v>#NAME?</v>
      </c>
      <c r="BG37" s="2" t="e">
        <f t="shared" ca="1" si="28"/>
        <v>#NAME?</v>
      </c>
      <c r="BH37" s="2" t="e">
        <f ca="1"/>
        <v>#NAME?</v>
      </c>
      <c r="BI37" s="2" t="e">
        <f t="shared" ca="1" si="29"/>
        <v>#NAME?</v>
      </c>
      <c r="BJ37" s="2" t="e">
        <f ca="1"/>
        <v>#NAME?</v>
      </c>
      <c r="BK37" s="2" t="e">
        <f t="shared" ca="1" si="30"/>
        <v>#NAME?</v>
      </c>
      <c r="BL37" s="2" t="e">
        <f ca="1"/>
        <v>#NAME?</v>
      </c>
      <c r="BM37" s="2" t="e">
        <f t="shared" ca="1" si="31"/>
        <v>#NAME?</v>
      </c>
      <c r="BN37" s="2" t="e">
        <f ca="1"/>
        <v>#NAME?</v>
      </c>
      <c r="BO37" s="2" t="e">
        <f t="shared" ca="1" si="32"/>
        <v>#NAME?</v>
      </c>
      <c r="BP37" s="2" t="e">
        <f ca="1"/>
        <v>#NAME?</v>
      </c>
      <c r="BQ37" s="2" t="e">
        <f t="shared" ca="1" si="33"/>
        <v>#NAME?</v>
      </c>
      <c r="BR37" s="2" t="e">
        <f ca="1"/>
        <v>#NAME?</v>
      </c>
      <c r="BS37" s="2" t="e">
        <f t="shared" ca="1" si="34"/>
        <v>#NAME?</v>
      </c>
      <c r="BT37" s="2" t="e">
        <f ca="1"/>
        <v>#NAME?</v>
      </c>
      <c r="BU37" s="2" t="e">
        <f t="shared" ca="1" si="35"/>
        <v>#NAME?</v>
      </c>
      <c r="BV37" s="2" t="e">
        <f ca="1"/>
        <v>#NAME?</v>
      </c>
      <c r="BW37" s="2" t="e">
        <f t="shared" ca="1" si="36"/>
        <v>#NAME?</v>
      </c>
      <c r="BX37" s="2" t="e">
        <f ca="1"/>
        <v>#NAME?</v>
      </c>
      <c r="BY37" s="2" t="e">
        <f t="shared" ca="1" si="37"/>
        <v>#NAME?</v>
      </c>
      <c r="BZ37" s="2" t="e">
        <f ca="1"/>
        <v>#NAME?</v>
      </c>
      <c r="CA37" s="2" t="e">
        <f t="shared" ca="1" si="38"/>
        <v>#NAME?</v>
      </c>
      <c r="CB37" s="2" t="e">
        <f ca="1"/>
        <v>#NAME?</v>
      </c>
      <c r="CC37" s="2" t="e">
        <f t="shared" ca="1" si="39"/>
        <v>#NAME?</v>
      </c>
      <c r="CD37" s="2" t="e">
        <f ca="1"/>
        <v>#NAME?</v>
      </c>
      <c r="CE37" s="2" t="e">
        <f t="shared" ca="1" si="40"/>
        <v>#NAME?</v>
      </c>
      <c r="CF37" s="2" t="e">
        <f ca="1"/>
        <v>#NAME?</v>
      </c>
      <c r="CG37" s="2" t="e">
        <f t="shared" ca="1" si="41"/>
        <v>#NAME?</v>
      </c>
      <c r="CH37" s="2" t="e">
        <f ca="1"/>
        <v>#NAME?</v>
      </c>
      <c r="CI37" s="2" t="e">
        <f t="shared" ca="1" si="42"/>
        <v>#NAME?</v>
      </c>
      <c r="CJ37" s="2" t="e">
        <f ca="1"/>
        <v>#NAME?</v>
      </c>
      <c r="CK37" s="2" t="e">
        <f t="shared" ca="1" si="43"/>
        <v>#NAME?</v>
      </c>
      <c r="CL37" s="2" t="e">
        <f ca="1"/>
        <v>#NAME?</v>
      </c>
      <c r="CM37" s="2" t="e">
        <f t="shared" ca="1" si="44"/>
        <v>#NAME?</v>
      </c>
      <c r="CN37" s="2" t="e">
        <f ca="1"/>
        <v>#NAME?</v>
      </c>
      <c r="CO37" s="2" t="e">
        <f t="shared" ca="1" si="45"/>
        <v>#NAME?</v>
      </c>
      <c r="CP37" s="2" t="e">
        <f ca="1"/>
        <v>#NAME?</v>
      </c>
      <c r="CQ37" s="2" t="e">
        <f t="shared" ca="1" si="46"/>
        <v>#NAME?</v>
      </c>
    </row>
    <row r="38" spans="1:95">
      <c r="A38" s="7" t="e">
        <f ca="1"/>
        <v>#NAME?</v>
      </c>
      <c r="B38" s="2" t="e">
        <f ca="1"/>
        <v>#NAME?</v>
      </c>
      <c r="C38" s="2" t="e">
        <f t="shared" ca="1" si="0"/>
        <v>#NAME?</v>
      </c>
      <c r="D38" s="2" t="e">
        <f ca="1"/>
        <v>#NAME?</v>
      </c>
      <c r="E38" s="2" t="e">
        <f t="shared" ca="1" si="1"/>
        <v>#NAME?</v>
      </c>
      <c r="F38" s="2" t="e">
        <f ca="1"/>
        <v>#NAME?</v>
      </c>
      <c r="G38" s="2" t="e">
        <f t="shared" ca="1" si="2"/>
        <v>#NAME?</v>
      </c>
      <c r="H38" s="2" t="e">
        <f ca="1"/>
        <v>#NAME?</v>
      </c>
      <c r="I38" s="2" t="e">
        <f t="shared" ca="1" si="3"/>
        <v>#NAME?</v>
      </c>
      <c r="J38" s="2" t="e">
        <f ca="1"/>
        <v>#NAME?</v>
      </c>
      <c r="K38" s="2" t="e">
        <f t="shared" ca="1" si="4"/>
        <v>#NAME?</v>
      </c>
      <c r="L38" s="2" t="e">
        <f ca="1"/>
        <v>#NAME?</v>
      </c>
      <c r="M38" s="2" t="e">
        <f t="shared" ca="1" si="5"/>
        <v>#NAME?</v>
      </c>
      <c r="N38" s="2" t="e">
        <f ca="1"/>
        <v>#NAME?</v>
      </c>
      <c r="O38" s="2" t="e">
        <f t="shared" ca="1" si="6"/>
        <v>#NAME?</v>
      </c>
      <c r="P38" s="2" t="e">
        <f ca="1"/>
        <v>#NAME?</v>
      </c>
      <c r="Q38" s="2" t="e">
        <f t="shared" ca="1" si="7"/>
        <v>#NAME?</v>
      </c>
      <c r="R38" s="2" t="e">
        <f ca="1"/>
        <v>#NAME?</v>
      </c>
      <c r="S38" s="2" t="e">
        <f t="shared" ca="1" si="8"/>
        <v>#NAME?</v>
      </c>
      <c r="T38" s="2" t="e">
        <f ca="1"/>
        <v>#NAME?</v>
      </c>
      <c r="U38" s="2" t="e">
        <f t="shared" ca="1" si="9"/>
        <v>#NAME?</v>
      </c>
      <c r="V38" s="2" t="e">
        <f ca="1"/>
        <v>#NAME?</v>
      </c>
      <c r="W38" s="2" t="e">
        <f t="shared" ca="1" si="10"/>
        <v>#NAME?</v>
      </c>
      <c r="X38" s="2" t="e">
        <f ca="1"/>
        <v>#NAME?</v>
      </c>
      <c r="Y38" s="2" t="e">
        <f t="shared" ca="1" si="11"/>
        <v>#NAME?</v>
      </c>
      <c r="Z38" s="2" t="e">
        <f ca="1"/>
        <v>#NAME?</v>
      </c>
      <c r="AA38" s="2" t="e">
        <f t="shared" ca="1" si="12"/>
        <v>#NAME?</v>
      </c>
      <c r="AB38" s="2" t="e">
        <f ca="1"/>
        <v>#NAME?</v>
      </c>
      <c r="AC38" s="2" t="e">
        <f t="shared" ca="1" si="13"/>
        <v>#NAME?</v>
      </c>
      <c r="AD38" s="2" t="e">
        <f ca="1"/>
        <v>#NAME?</v>
      </c>
      <c r="AE38" s="2" t="e">
        <f t="shared" ca="1" si="14"/>
        <v>#NAME?</v>
      </c>
      <c r="AF38" s="2" t="e">
        <f ca="1"/>
        <v>#NAME?</v>
      </c>
      <c r="AG38" s="2" t="e">
        <f t="shared" ca="1" si="15"/>
        <v>#NAME?</v>
      </c>
      <c r="AH38" s="2" t="e">
        <f ca="1"/>
        <v>#NAME?</v>
      </c>
      <c r="AI38" s="2" t="e">
        <f t="shared" ca="1" si="16"/>
        <v>#NAME?</v>
      </c>
      <c r="AJ38" s="2" t="e">
        <f ca="1"/>
        <v>#NAME?</v>
      </c>
      <c r="AK38" s="2" t="e">
        <f t="shared" ca="1" si="17"/>
        <v>#NAME?</v>
      </c>
      <c r="AL38" s="2" t="e">
        <f ca="1"/>
        <v>#NAME?</v>
      </c>
      <c r="AM38" s="2" t="e">
        <f t="shared" ca="1" si="18"/>
        <v>#NAME?</v>
      </c>
      <c r="AN38" s="2" t="e">
        <f ca="1"/>
        <v>#NAME?</v>
      </c>
      <c r="AO38" s="2" t="e">
        <f t="shared" ca="1" si="19"/>
        <v>#NAME?</v>
      </c>
      <c r="AP38" s="2" t="e">
        <f ca="1"/>
        <v>#NAME?</v>
      </c>
      <c r="AQ38" s="2" t="e">
        <f t="shared" ca="1" si="20"/>
        <v>#NAME?</v>
      </c>
      <c r="AR38" s="2" t="e">
        <f ca="1"/>
        <v>#NAME?</v>
      </c>
      <c r="AS38" s="2" t="e">
        <f t="shared" ca="1" si="21"/>
        <v>#NAME?</v>
      </c>
      <c r="AT38" s="2" t="e">
        <f ca="1"/>
        <v>#NAME?</v>
      </c>
      <c r="AU38" s="2" t="e">
        <f t="shared" ca="1" si="22"/>
        <v>#NAME?</v>
      </c>
      <c r="AV38" s="2" t="e">
        <f ca="1"/>
        <v>#NAME?</v>
      </c>
      <c r="AW38" s="2" t="e">
        <f t="shared" ca="1" si="23"/>
        <v>#NAME?</v>
      </c>
      <c r="AX38" s="2" t="e">
        <f ca="1"/>
        <v>#NAME?</v>
      </c>
      <c r="AY38" s="2" t="e">
        <f t="shared" ca="1" si="24"/>
        <v>#NAME?</v>
      </c>
      <c r="AZ38" s="2" t="e">
        <f ca="1"/>
        <v>#NAME?</v>
      </c>
      <c r="BA38" s="2" t="e">
        <f t="shared" ca="1" si="25"/>
        <v>#NAME?</v>
      </c>
      <c r="BB38" s="2" t="e">
        <f ca="1"/>
        <v>#NAME?</v>
      </c>
      <c r="BC38" s="2" t="e">
        <f t="shared" ca="1" si="26"/>
        <v>#NAME?</v>
      </c>
      <c r="BD38" s="2" t="e">
        <f ca="1"/>
        <v>#NAME?</v>
      </c>
      <c r="BE38" s="2" t="e">
        <f t="shared" ca="1" si="27"/>
        <v>#NAME?</v>
      </c>
      <c r="BF38" s="2" t="e">
        <f ca="1"/>
        <v>#NAME?</v>
      </c>
      <c r="BG38" s="2" t="e">
        <f t="shared" ca="1" si="28"/>
        <v>#NAME?</v>
      </c>
      <c r="BH38" s="2" t="e">
        <f ca="1"/>
        <v>#NAME?</v>
      </c>
      <c r="BI38" s="2" t="e">
        <f t="shared" ca="1" si="29"/>
        <v>#NAME?</v>
      </c>
      <c r="BJ38" s="2" t="e">
        <f ca="1"/>
        <v>#NAME?</v>
      </c>
      <c r="BK38" s="2" t="e">
        <f t="shared" ca="1" si="30"/>
        <v>#NAME?</v>
      </c>
      <c r="BL38" s="2" t="e">
        <f ca="1"/>
        <v>#NAME?</v>
      </c>
      <c r="BM38" s="2" t="e">
        <f t="shared" ca="1" si="31"/>
        <v>#NAME?</v>
      </c>
      <c r="BN38" s="2" t="e">
        <f ca="1"/>
        <v>#NAME?</v>
      </c>
      <c r="BO38" s="2" t="e">
        <f t="shared" ca="1" si="32"/>
        <v>#NAME?</v>
      </c>
      <c r="BP38" s="2" t="e">
        <f ca="1"/>
        <v>#NAME?</v>
      </c>
      <c r="BQ38" s="2" t="e">
        <f t="shared" ca="1" si="33"/>
        <v>#NAME?</v>
      </c>
      <c r="BR38" s="2" t="e">
        <f ca="1"/>
        <v>#NAME?</v>
      </c>
      <c r="BS38" s="2" t="e">
        <f t="shared" ca="1" si="34"/>
        <v>#NAME?</v>
      </c>
      <c r="BT38" s="2" t="e">
        <f ca="1"/>
        <v>#NAME?</v>
      </c>
      <c r="BU38" s="2" t="e">
        <f t="shared" ca="1" si="35"/>
        <v>#NAME?</v>
      </c>
      <c r="BV38" s="2" t="e">
        <f ca="1"/>
        <v>#NAME?</v>
      </c>
      <c r="BW38" s="2" t="e">
        <f t="shared" ca="1" si="36"/>
        <v>#NAME?</v>
      </c>
      <c r="BX38" s="2" t="e">
        <f ca="1"/>
        <v>#NAME?</v>
      </c>
      <c r="BY38" s="2" t="e">
        <f t="shared" ca="1" si="37"/>
        <v>#NAME?</v>
      </c>
      <c r="BZ38" s="2" t="e">
        <f ca="1"/>
        <v>#NAME?</v>
      </c>
      <c r="CA38" s="2" t="e">
        <f t="shared" ca="1" si="38"/>
        <v>#NAME?</v>
      </c>
      <c r="CB38" s="2" t="e">
        <f ca="1"/>
        <v>#NAME?</v>
      </c>
      <c r="CC38" s="2" t="e">
        <f t="shared" ca="1" si="39"/>
        <v>#NAME?</v>
      </c>
      <c r="CD38" s="2" t="e">
        <f ca="1"/>
        <v>#NAME?</v>
      </c>
      <c r="CE38" s="2" t="e">
        <f t="shared" ca="1" si="40"/>
        <v>#NAME?</v>
      </c>
      <c r="CF38" s="2" t="e">
        <f ca="1"/>
        <v>#NAME?</v>
      </c>
      <c r="CG38" s="2" t="e">
        <f t="shared" ca="1" si="41"/>
        <v>#NAME?</v>
      </c>
      <c r="CH38" s="2" t="e">
        <f ca="1"/>
        <v>#NAME?</v>
      </c>
      <c r="CI38" s="2" t="e">
        <f t="shared" ca="1" si="42"/>
        <v>#NAME?</v>
      </c>
      <c r="CJ38" s="2" t="e">
        <f ca="1"/>
        <v>#NAME?</v>
      </c>
      <c r="CK38" s="2" t="e">
        <f t="shared" ca="1" si="43"/>
        <v>#NAME?</v>
      </c>
      <c r="CL38" s="2" t="e">
        <f ca="1"/>
        <v>#NAME?</v>
      </c>
      <c r="CM38" s="2" t="e">
        <f t="shared" ca="1" si="44"/>
        <v>#NAME?</v>
      </c>
      <c r="CN38" s="2" t="e">
        <f ca="1"/>
        <v>#NAME?</v>
      </c>
      <c r="CO38" s="2" t="e">
        <f t="shared" ca="1" si="45"/>
        <v>#NAME?</v>
      </c>
      <c r="CP38" s="2" t="e">
        <f ca="1"/>
        <v>#NAME?</v>
      </c>
      <c r="CQ38" s="2" t="e">
        <f t="shared" ca="1" si="46"/>
        <v>#NAME?</v>
      </c>
    </row>
    <row r="39" spans="1:95">
      <c r="A39" s="7" t="e">
        <f ca="1"/>
        <v>#NAME?</v>
      </c>
      <c r="B39" s="2" t="e">
        <f ca="1"/>
        <v>#NAME?</v>
      </c>
      <c r="C39" s="2" t="e">
        <f t="shared" ca="1" si="0"/>
        <v>#NAME?</v>
      </c>
      <c r="D39" s="2" t="e">
        <f ca="1"/>
        <v>#NAME?</v>
      </c>
      <c r="E39" s="2" t="e">
        <f t="shared" ca="1" si="1"/>
        <v>#NAME?</v>
      </c>
      <c r="F39" s="2" t="e">
        <f ca="1"/>
        <v>#NAME?</v>
      </c>
      <c r="G39" s="2" t="e">
        <f t="shared" ca="1" si="2"/>
        <v>#NAME?</v>
      </c>
      <c r="H39" s="2" t="e">
        <f ca="1"/>
        <v>#NAME?</v>
      </c>
      <c r="I39" s="2" t="e">
        <f t="shared" ca="1" si="3"/>
        <v>#NAME?</v>
      </c>
      <c r="J39" s="2" t="e">
        <f ca="1"/>
        <v>#NAME?</v>
      </c>
      <c r="K39" s="2" t="e">
        <f t="shared" ca="1" si="4"/>
        <v>#NAME?</v>
      </c>
      <c r="L39" s="2" t="e">
        <f ca="1"/>
        <v>#NAME?</v>
      </c>
      <c r="M39" s="2" t="e">
        <f t="shared" ca="1" si="5"/>
        <v>#NAME?</v>
      </c>
      <c r="N39" s="2" t="e">
        <f ca="1"/>
        <v>#NAME?</v>
      </c>
      <c r="O39" s="2" t="e">
        <f t="shared" ca="1" si="6"/>
        <v>#NAME?</v>
      </c>
      <c r="P39" s="2" t="e">
        <f ca="1"/>
        <v>#NAME?</v>
      </c>
      <c r="Q39" s="2" t="e">
        <f t="shared" ca="1" si="7"/>
        <v>#NAME?</v>
      </c>
      <c r="R39" s="2" t="e">
        <f ca="1"/>
        <v>#NAME?</v>
      </c>
      <c r="S39" s="2" t="e">
        <f t="shared" ca="1" si="8"/>
        <v>#NAME?</v>
      </c>
      <c r="T39" s="2" t="e">
        <f ca="1"/>
        <v>#NAME?</v>
      </c>
      <c r="U39" s="2" t="e">
        <f t="shared" ca="1" si="9"/>
        <v>#NAME?</v>
      </c>
      <c r="V39" s="2" t="e">
        <f ca="1"/>
        <v>#NAME?</v>
      </c>
      <c r="W39" s="2" t="e">
        <f t="shared" ca="1" si="10"/>
        <v>#NAME?</v>
      </c>
      <c r="X39" s="2" t="e">
        <f ca="1"/>
        <v>#NAME?</v>
      </c>
      <c r="Y39" s="2" t="e">
        <f t="shared" ca="1" si="11"/>
        <v>#NAME?</v>
      </c>
      <c r="Z39" s="2" t="e">
        <f ca="1"/>
        <v>#NAME?</v>
      </c>
      <c r="AA39" s="2" t="e">
        <f t="shared" ca="1" si="12"/>
        <v>#NAME?</v>
      </c>
      <c r="AB39" s="2" t="e">
        <f ca="1"/>
        <v>#NAME?</v>
      </c>
      <c r="AC39" s="2" t="e">
        <f t="shared" ca="1" si="13"/>
        <v>#NAME?</v>
      </c>
      <c r="AD39" s="2" t="e">
        <f ca="1"/>
        <v>#NAME?</v>
      </c>
      <c r="AE39" s="2" t="e">
        <f t="shared" ca="1" si="14"/>
        <v>#NAME?</v>
      </c>
      <c r="AF39" s="2" t="e">
        <f ca="1"/>
        <v>#NAME?</v>
      </c>
      <c r="AG39" s="2" t="e">
        <f t="shared" ca="1" si="15"/>
        <v>#NAME?</v>
      </c>
      <c r="AH39" s="2" t="e">
        <f ca="1"/>
        <v>#NAME?</v>
      </c>
      <c r="AI39" s="2" t="e">
        <f t="shared" ca="1" si="16"/>
        <v>#NAME?</v>
      </c>
      <c r="AJ39" s="2" t="e">
        <f ca="1"/>
        <v>#NAME?</v>
      </c>
      <c r="AK39" s="2" t="e">
        <f t="shared" ca="1" si="17"/>
        <v>#NAME?</v>
      </c>
      <c r="AL39" s="2" t="e">
        <f ca="1"/>
        <v>#NAME?</v>
      </c>
      <c r="AM39" s="2" t="e">
        <f t="shared" ca="1" si="18"/>
        <v>#NAME?</v>
      </c>
      <c r="AN39" s="2" t="e">
        <f ca="1"/>
        <v>#NAME?</v>
      </c>
      <c r="AO39" s="2" t="e">
        <f t="shared" ca="1" si="19"/>
        <v>#NAME?</v>
      </c>
      <c r="AP39" s="2" t="e">
        <f ca="1"/>
        <v>#NAME?</v>
      </c>
      <c r="AQ39" s="2" t="e">
        <f t="shared" ca="1" si="20"/>
        <v>#NAME?</v>
      </c>
      <c r="AR39" s="2" t="e">
        <f ca="1"/>
        <v>#NAME?</v>
      </c>
      <c r="AS39" s="2" t="e">
        <f t="shared" ca="1" si="21"/>
        <v>#NAME?</v>
      </c>
      <c r="AT39" s="2" t="e">
        <f ca="1"/>
        <v>#NAME?</v>
      </c>
      <c r="AU39" s="2" t="e">
        <f t="shared" ca="1" si="22"/>
        <v>#NAME?</v>
      </c>
      <c r="AV39" s="2" t="e">
        <f ca="1"/>
        <v>#NAME?</v>
      </c>
      <c r="AW39" s="2" t="e">
        <f t="shared" ca="1" si="23"/>
        <v>#NAME?</v>
      </c>
      <c r="AX39" s="2" t="e">
        <f ca="1"/>
        <v>#NAME?</v>
      </c>
      <c r="AY39" s="2" t="e">
        <f t="shared" ca="1" si="24"/>
        <v>#NAME?</v>
      </c>
      <c r="AZ39" s="2" t="e">
        <f ca="1"/>
        <v>#NAME?</v>
      </c>
      <c r="BA39" s="2" t="e">
        <f t="shared" ca="1" si="25"/>
        <v>#NAME?</v>
      </c>
      <c r="BB39" s="2" t="e">
        <f ca="1"/>
        <v>#NAME?</v>
      </c>
      <c r="BC39" s="2" t="e">
        <f t="shared" ca="1" si="26"/>
        <v>#NAME?</v>
      </c>
      <c r="BD39" s="2" t="e">
        <f ca="1"/>
        <v>#NAME?</v>
      </c>
      <c r="BE39" s="2" t="e">
        <f t="shared" ca="1" si="27"/>
        <v>#NAME?</v>
      </c>
      <c r="BF39" s="2" t="e">
        <f ca="1"/>
        <v>#NAME?</v>
      </c>
      <c r="BG39" s="2" t="e">
        <f t="shared" ca="1" si="28"/>
        <v>#NAME?</v>
      </c>
      <c r="BH39" s="2" t="e">
        <f ca="1"/>
        <v>#NAME?</v>
      </c>
      <c r="BI39" s="2" t="e">
        <f t="shared" ca="1" si="29"/>
        <v>#NAME?</v>
      </c>
      <c r="BJ39" s="2" t="e">
        <f ca="1"/>
        <v>#NAME?</v>
      </c>
      <c r="BK39" s="2" t="e">
        <f t="shared" ca="1" si="30"/>
        <v>#NAME?</v>
      </c>
      <c r="BL39" s="2" t="e">
        <f ca="1"/>
        <v>#NAME?</v>
      </c>
      <c r="BM39" s="2" t="e">
        <f t="shared" ca="1" si="31"/>
        <v>#NAME?</v>
      </c>
      <c r="BN39" s="2" t="e">
        <f ca="1"/>
        <v>#NAME?</v>
      </c>
      <c r="BO39" s="2" t="e">
        <f t="shared" ca="1" si="32"/>
        <v>#NAME?</v>
      </c>
      <c r="BP39" s="2" t="e">
        <f ca="1"/>
        <v>#NAME?</v>
      </c>
      <c r="BQ39" s="2" t="e">
        <f t="shared" ca="1" si="33"/>
        <v>#NAME?</v>
      </c>
      <c r="BR39" s="2" t="e">
        <f ca="1"/>
        <v>#NAME?</v>
      </c>
      <c r="BS39" s="2" t="e">
        <f t="shared" ca="1" si="34"/>
        <v>#NAME?</v>
      </c>
      <c r="BT39" s="2" t="e">
        <f ca="1"/>
        <v>#NAME?</v>
      </c>
      <c r="BU39" s="2" t="e">
        <f t="shared" ca="1" si="35"/>
        <v>#NAME?</v>
      </c>
      <c r="BV39" s="2" t="e">
        <f ca="1"/>
        <v>#NAME?</v>
      </c>
      <c r="BW39" s="2" t="e">
        <f t="shared" ca="1" si="36"/>
        <v>#NAME?</v>
      </c>
      <c r="BX39" s="2" t="e">
        <f ca="1"/>
        <v>#NAME?</v>
      </c>
      <c r="BY39" s="2" t="e">
        <f t="shared" ca="1" si="37"/>
        <v>#NAME?</v>
      </c>
      <c r="BZ39" s="2" t="e">
        <f ca="1"/>
        <v>#NAME?</v>
      </c>
      <c r="CA39" s="2" t="e">
        <f t="shared" ca="1" si="38"/>
        <v>#NAME?</v>
      </c>
      <c r="CB39" s="2" t="e">
        <f ca="1"/>
        <v>#NAME?</v>
      </c>
      <c r="CC39" s="2" t="e">
        <f t="shared" ca="1" si="39"/>
        <v>#NAME?</v>
      </c>
      <c r="CD39" s="2" t="e">
        <f ca="1"/>
        <v>#NAME?</v>
      </c>
      <c r="CE39" s="2" t="e">
        <f t="shared" ca="1" si="40"/>
        <v>#NAME?</v>
      </c>
      <c r="CF39" s="2" t="e">
        <f ca="1"/>
        <v>#NAME?</v>
      </c>
      <c r="CG39" s="2" t="e">
        <f t="shared" ca="1" si="41"/>
        <v>#NAME?</v>
      </c>
      <c r="CH39" s="2" t="e">
        <f ca="1"/>
        <v>#NAME?</v>
      </c>
      <c r="CI39" s="2" t="e">
        <f t="shared" ca="1" si="42"/>
        <v>#NAME?</v>
      </c>
      <c r="CJ39" s="2" t="e">
        <f ca="1"/>
        <v>#NAME?</v>
      </c>
      <c r="CK39" s="2" t="e">
        <f t="shared" ca="1" si="43"/>
        <v>#NAME?</v>
      </c>
      <c r="CL39" s="2" t="e">
        <f ca="1"/>
        <v>#NAME?</v>
      </c>
      <c r="CM39" s="2" t="e">
        <f t="shared" ca="1" si="44"/>
        <v>#NAME?</v>
      </c>
      <c r="CN39" s="2" t="e">
        <f ca="1"/>
        <v>#NAME?</v>
      </c>
      <c r="CO39" s="2" t="e">
        <f t="shared" ca="1" si="45"/>
        <v>#NAME?</v>
      </c>
      <c r="CP39" s="2" t="e">
        <f ca="1"/>
        <v>#NAME?</v>
      </c>
      <c r="CQ39" s="2" t="e">
        <f t="shared" ca="1" si="46"/>
        <v>#NAME?</v>
      </c>
    </row>
    <row r="40" spans="1:95">
      <c r="A40" s="7" t="e">
        <f ca="1"/>
        <v>#NAME?</v>
      </c>
      <c r="B40" s="2" t="e">
        <f ca="1"/>
        <v>#NAME?</v>
      </c>
      <c r="C40" s="2" t="e">
        <f t="shared" ca="1" si="0"/>
        <v>#NAME?</v>
      </c>
      <c r="D40" s="2" t="e">
        <f ca="1"/>
        <v>#NAME?</v>
      </c>
      <c r="E40" s="2" t="e">
        <f t="shared" ca="1" si="1"/>
        <v>#NAME?</v>
      </c>
      <c r="F40" s="2" t="e">
        <f ca="1"/>
        <v>#NAME?</v>
      </c>
      <c r="G40" s="2" t="e">
        <f t="shared" ca="1" si="2"/>
        <v>#NAME?</v>
      </c>
      <c r="H40" s="2" t="e">
        <f ca="1"/>
        <v>#NAME?</v>
      </c>
      <c r="I40" s="2" t="e">
        <f t="shared" ca="1" si="3"/>
        <v>#NAME?</v>
      </c>
      <c r="J40" s="2" t="e">
        <f ca="1"/>
        <v>#NAME?</v>
      </c>
      <c r="K40" s="2" t="e">
        <f t="shared" ca="1" si="4"/>
        <v>#NAME?</v>
      </c>
      <c r="L40" s="2" t="e">
        <f ca="1"/>
        <v>#NAME?</v>
      </c>
      <c r="M40" s="2" t="e">
        <f t="shared" ca="1" si="5"/>
        <v>#NAME?</v>
      </c>
      <c r="N40" s="2" t="e">
        <f ca="1"/>
        <v>#NAME?</v>
      </c>
      <c r="O40" s="2" t="e">
        <f t="shared" ca="1" si="6"/>
        <v>#NAME?</v>
      </c>
      <c r="P40" s="2" t="e">
        <f ca="1"/>
        <v>#NAME?</v>
      </c>
      <c r="Q40" s="2" t="e">
        <f t="shared" ca="1" si="7"/>
        <v>#NAME?</v>
      </c>
      <c r="R40" s="2" t="e">
        <f ca="1"/>
        <v>#NAME?</v>
      </c>
      <c r="S40" s="2" t="e">
        <f t="shared" ca="1" si="8"/>
        <v>#NAME?</v>
      </c>
      <c r="T40" s="2" t="e">
        <f ca="1"/>
        <v>#NAME?</v>
      </c>
      <c r="U40" s="2" t="e">
        <f t="shared" ca="1" si="9"/>
        <v>#NAME?</v>
      </c>
      <c r="V40" s="2" t="e">
        <f ca="1"/>
        <v>#NAME?</v>
      </c>
      <c r="W40" s="2" t="e">
        <f t="shared" ca="1" si="10"/>
        <v>#NAME?</v>
      </c>
      <c r="X40" s="2" t="e">
        <f ca="1"/>
        <v>#NAME?</v>
      </c>
      <c r="Y40" s="2" t="e">
        <f t="shared" ca="1" si="11"/>
        <v>#NAME?</v>
      </c>
      <c r="Z40" s="2" t="e">
        <f ca="1"/>
        <v>#NAME?</v>
      </c>
      <c r="AA40" s="2" t="e">
        <f t="shared" ca="1" si="12"/>
        <v>#NAME?</v>
      </c>
      <c r="AB40" s="2" t="e">
        <f ca="1"/>
        <v>#NAME?</v>
      </c>
      <c r="AC40" s="2" t="e">
        <f t="shared" ca="1" si="13"/>
        <v>#NAME?</v>
      </c>
      <c r="AD40" s="2" t="e">
        <f ca="1"/>
        <v>#NAME?</v>
      </c>
      <c r="AE40" s="2" t="e">
        <f t="shared" ca="1" si="14"/>
        <v>#NAME?</v>
      </c>
      <c r="AF40" s="2" t="e">
        <f ca="1"/>
        <v>#NAME?</v>
      </c>
      <c r="AG40" s="2" t="e">
        <f t="shared" ca="1" si="15"/>
        <v>#NAME?</v>
      </c>
      <c r="AH40" s="2" t="e">
        <f ca="1"/>
        <v>#NAME?</v>
      </c>
      <c r="AI40" s="2" t="e">
        <f t="shared" ca="1" si="16"/>
        <v>#NAME?</v>
      </c>
      <c r="AJ40" s="2" t="e">
        <f ca="1"/>
        <v>#NAME?</v>
      </c>
      <c r="AK40" s="2" t="e">
        <f t="shared" ca="1" si="17"/>
        <v>#NAME?</v>
      </c>
      <c r="AL40" s="2" t="e">
        <f ca="1"/>
        <v>#NAME?</v>
      </c>
      <c r="AM40" s="2" t="e">
        <f t="shared" ca="1" si="18"/>
        <v>#NAME?</v>
      </c>
      <c r="AN40" s="2" t="e">
        <f ca="1"/>
        <v>#NAME?</v>
      </c>
      <c r="AO40" s="2" t="e">
        <f t="shared" ca="1" si="19"/>
        <v>#NAME?</v>
      </c>
      <c r="AP40" s="2" t="e">
        <f ca="1"/>
        <v>#NAME?</v>
      </c>
      <c r="AQ40" s="2" t="e">
        <f t="shared" ca="1" si="20"/>
        <v>#NAME?</v>
      </c>
      <c r="AR40" s="2" t="e">
        <f ca="1"/>
        <v>#NAME?</v>
      </c>
      <c r="AS40" s="2" t="e">
        <f t="shared" ca="1" si="21"/>
        <v>#NAME?</v>
      </c>
      <c r="AT40" s="2" t="e">
        <f ca="1"/>
        <v>#NAME?</v>
      </c>
      <c r="AU40" s="2" t="e">
        <f t="shared" ca="1" si="22"/>
        <v>#NAME?</v>
      </c>
      <c r="AV40" s="2" t="e">
        <f ca="1"/>
        <v>#NAME?</v>
      </c>
      <c r="AW40" s="2" t="e">
        <f t="shared" ca="1" si="23"/>
        <v>#NAME?</v>
      </c>
      <c r="AX40" s="2" t="e">
        <f ca="1"/>
        <v>#NAME?</v>
      </c>
      <c r="AY40" s="2" t="e">
        <f t="shared" ca="1" si="24"/>
        <v>#NAME?</v>
      </c>
      <c r="AZ40" s="2" t="e">
        <f ca="1"/>
        <v>#NAME?</v>
      </c>
      <c r="BA40" s="2" t="e">
        <f t="shared" ca="1" si="25"/>
        <v>#NAME?</v>
      </c>
      <c r="BB40" s="2" t="e">
        <f ca="1"/>
        <v>#NAME?</v>
      </c>
      <c r="BC40" s="2" t="e">
        <f t="shared" ca="1" si="26"/>
        <v>#NAME?</v>
      </c>
      <c r="BD40" s="2" t="e">
        <f ca="1"/>
        <v>#NAME?</v>
      </c>
      <c r="BE40" s="2" t="e">
        <f t="shared" ca="1" si="27"/>
        <v>#NAME?</v>
      </c>
      <c r="BF40" s="2" t="e">
        <f ca="1"/>
        <v>#NAME?</v>
      </c>
      <c r="BG40" s="2" t="e">
        <f t="shared" ca="1" si="28"/>
        <v>#NAME?</v>
      </c>
      <c r="BH40" s="2" t="e">
        <f ca="1"/>
        <v>#NAME?</v>
      </c>
      <c r="BI40" s="2" t="e">
        <f t="shared" ca="1" si="29"/>
        <v>#NAME?</v>
      </c>
      <c r="BJ40" s="2" t="e">
        <f ca="1"/>
        <v>#NAME?</v>
      </c>
      <c r="BK40" s="2" t="e">
        <f t="shared" ca="1" si="30"/>
        <v>#NAME?</v>
      </c>
      <c r="BL40" s="2" t="e">
        <f ca="1"/>
        <v>#NAME?</v>
      </c>
      <c r="BM40" s="2" t="e">
        <f t="shared" ca="1" si="31"/>
        <v>#NAME?</v>
      </c>
      <c r="BN40" s="2" t="e">
        <f ca="1"/>
        <v>#NAME?</v>
      </c>
      <c r="BO40" s="2" t="e">
        <f t="shared" ca="1" si="32"/>
        <v>#NAME?</v>
      </c>
      <c r="BP40" s="2" t="e">
        <f ca="1"/>
        <v>#NAME?</v>
      </c>
      <c r="BQ40" s="2" t="e">
        <f t="shared" ca="1" si="33"/>
        <v>#NAME?</v>
      </c>
      <c r="BR40" s="2" t="e">
        <f ca="1"/>
        <v>#NAME?</v>
      </c>
      <c r="BS40" s="2" t="e">
        <f t="shared" ca="1" si="34"/>
        <v>#NAME?</v>
      </c>
      <c r="BT40" s="2" t="e">
        <f ca="1"/>
        <v>#NAME?</v>
      </c>
      <c r="BU40" s="2" t="e">
        <f t="shared" ca="1" si="35"/>
        <v>#NAME?</v>
      </c>
      <c r="BV40" s="2" t="e">
        <f ca="1"/>
        <v>#NAME?</v>
      </c>
      <c r="BW40" s="2" t="e">
        <f t="shared" ca="1" si="36"/>
        <v>#NAME?</v>
      </c>
      <c r="BX40" s="2" t="e">
        <f ca="1"/>
        <v>#NAME?</v>
      </c>
      <c r="BY40" s="2" t="e">
        <f t="shared" ca="1" si="37"/>
        <v>#NAME?</v>
      </c>
      <c r="BZ40" s="2" t="e">
        <f ca="1"/>
        <v>#NAME?</v>
      </c>
      <c r="CA40" s="2" t="e">
        <f t="shared" ca="1" si="38"/>
        <v>#NAME?</v>
      </c>
      <c r="CB40" s="2" t="e">
        <f ca="1"/>
        <v>#NAME?</v>
      </c>
      <c r="CC40" s="2" t="e">
        <f t="shared" ca="1" si="39"/>
        <v>#NAME?</v>
      </c>
      <c r="CD40" s="2" t="e">
        <f ca="1"/>
        <v>#NAME?</v>
      </c>
      <c r="CE40" s="2" t="e">
        <f t="shared" ca="1" si="40"/>
        <v>#NAME?</v>
      </c>
      <c r="CF40" s="2" t="e">
        <f ca="1"/>
        <v>#NAME?</v>
      </c>
      <c r="CG40" s="2" t="e">
        <f t="shared" ca="1" si="41"/>
        <v>#NAME?</v>
      </c>
      <c r="CH40" s="2" t="e">
        <f ca="1"/>
        <v>#NAME?</v>
      </c>
      <c r="CI40" s="2" t="e">
        <f t="shared" ca="1" si="42"/>
        <v>#NAME?</v>
      </c>
      <c r="CJ40" s="2" t="e">
        <f ca="1"/>
        <v>#NAME?</v>
      </c>
      <c r="CK40" s="2" t="e">
        <f t="shared" ca="1" si="43"/>
        <v>#NAME?</v>
      </c>
      <c r="CL40" s="2" t="e">
        <f ca="1"/>
        <v>#NAME?</v>
      </c>
      <c r="CM40" s="2" t="e">
        <f t="shared" ca="1" si="44"/>
        <v>#NAME?</v>
      </c>
      <c r="CN40" s="2" t="e">
        <f ca="1"/>
        <v>#NAME?</v>
      </c>
      <c r="CO40" s="2" t="e">
        <f t="shared" ca="1" si="45"/>
        <v>#NAME?</v>
      </c>
      <c r="CP40" s="2" t="e">
        <f ca="1"/>
        <v>#NAME?</v>
      </c>
      <c r="CQ40" s="2" t="e">
        <f t="shared" ca="1" si="46"/>
        <v>#NAME?</v>
      </c>
    </row>
    <row r="41" spans="1:95">
      <c r="A41" s="7" t="e">
        <f ca="1"/>
        <v>#NAME?</v>
      </c>
      <c r="B41" s="2" t="e">
        <f ca="1"/>
        <v>#NAME?</v>
      </c>
      <c r="C41" s="2" t="e">
        <f t="shared" ca="1" si="0"/>
        <v>#NAME?</v>
      </c>
      <c r="D41" s="2" t="e">
        <f ca="1"/>
        <v>#NAME?</v>
      </c>
      <c r="E41" s="2" t="e">
        <f t="shared" ca="1" si="1"/>
        <v>#NAME?</v>
      </c>
      <c r="F41" s="2" t="e">
        <f ca="1"/>
        <v>#NAME?</v>
      </c>
      <c r="G41" s="2" t="e">
        <f t="shared" ca="1" si="2"/>
        <v>#NAME?</v>
      </c>
      <c r="H41" s="2" t="e">
        <f ca="1"/>
        <v>#NAME?</v>
      </c>
      <c r="I41" s="2" t="e">
        <f t="shared" ca="1" si="3"/>
        <v>#NAME?</v>
      </c>
      <c r="J41" s="2" t="e">
        <f ca="1"/>
        <v>#NAME?</v>
      </c>
      <c r="K41" s="2" t="e">
        <f t="shared" ca="1" si="4"/>
        <v>#NAME?</v>
      </c>
      <c r="L41" s="2" t="e">
        <f ca="1"/>
        <v>#NAME?</v>
      </c>
      <c r="M41" s="2" t="e">
        <f t="shared" ca="1" si="5"/>
        <v>#NAME?</v>
      </c>
      <c r="N41" s="2" t="e">
        <f ca="1"/>
        <v>#NAME?</v>
      </c>
      <c r="O41" s="2" t="e">
        <f t="shared" ca="1" si="6"/>
        <v>#NAME?</v>
      </c>
      <c r="P41" s="2" t="e">
        <f ca="1"/>
        <v>#NAME?</v>
      </c>
      <c r="Q41" s="2" t="e">
        <f t="shared" ca="1" si="7"/>
        <v>#NAME?</v>
      </c>
      <c r="R41" s="2" t="e">
        <f ca="1"/>
        <v>#NAME?</v>
      </c>
      <c r="S41" s="2" t="e">
        <f t="shared" ca="1" si="8"/>
        <v>#NAME?</v>
      </c>
      <c r="T41" s="2" t="e">
        <f ca="1"/>
        <v>#NAME?</v>
      </c>
      <c r="U41" s="2" t="e">
        <f t="shared" ca="1" si="9"/>
        <v>#NAME?</v>
      </c>
      <c r="V41" s="2" t="e">
        <f ca="1"/>
        <v>#NAME?</v>
      </c>
      <c r="W41" s="2" t="e">
        <f t="shared" ca="1" si="10"/>
        <v>#NAME?</v>
      </c>
      <c r="X41" s="2" t="e">
        <f ca="1"/>
        <v>#NAME?</v>
      </c>
      <c r="Y41" s="2" t="e">
        <f t="shared" ca="1" si="11"/>
        <v>#NAME?</v>
      </c>
      <c r="Z41" s="2" t="e">
        <f ca="1"/>
        <v>#NAME?</v>
      </c>
      <c r="AA41" s="2" t="e">
        <f t="shared" ca="1" si="12"/>
        <v>#NAME?</v>
      </c>
      <c r="AB41" s="2" t="e">
        <f ca="1"/>
        <v>#NAME?</v>
      </c>
      <c r="AC41" s="2" t="e">
        <f t="shared" ca="1" si="13"/>
        <v>#NAME?</v>
      </c>
      <c r="AD41" s="2" t="e">
        <f ca="1"/>
        <v>#NAME?</v>
      </c>
      <c r="AE41" s="2" t="e">
        <f t="shared" ca="1" si="14"/>
        <v>#NAME?</v>
      </c>
      <c r="AF41" s="2" t="e">
        <f ca="1"/>
        <v>#NAME?</v>
      </c>
      <c r="AG41" s="2" t="e">
        <f t="shared" ca="1" si="15"/>
        <v>#NAME?</v>
      </c>
      <c r="AH41" s="2" t="e">
        <f ca="1"/>
        <v>#NAME?</v>
      </c>
      <c r="AI41" s="2" t="e">
        <f t="shared" ca="1" si="16"/>
        <v>#NAME?</v>
      </c>
      <c r="AJ41" s="2" t="e">
        <f ca="1"/>
        <v>#NAME?</v>
      </c>
      <c r="AK41" s="2" t="e">
        <f t="shared" ca="1" si="17"/>
        <v>#NAME?</v>
      </c>
      <c r="AL41" s="2" t="e">
        <f ca="1"/>
        <v>#NAME?</v>
      </c>
      <c r="AM41" s="2" t="e">
        <f t="shared" ca="1" si="18"/>
        <v>#NAME?</v>
      </c>
      <c r="AN41" s="2" t="e">
        <f ca="1"/>
        <v>#NAME?</v>
      </c>
      <c r="AO41" s="2" t="e">
        <f t="shared" ca="1" si="19"/>
        <v>#NAME?</v>
      </c>
      <c r="AP41" s="2" t="e">
        <f ca="1"/>
        <v>#NAME?</v>
      </c>
      <c r="AQ41" s="2" t="e">
        <f t="shared" ca="1" si="20"/>
        <v>#NAME?</v>
      </c>
      <c r="AR41" s="2" t="e">
        <f ca="1"/>
        <v>#NAME?</v>
      </c>
      <c r="AS41" s="2" t="e">
        <f t="shared" ca="1" si="21"/>
        <v>#NAME?</v>
      </c>
      <c r="AT41" s="2" t="e">
        <f ca="1"/>
        <v>#NAME?</v>
      </c>
      <c r="AU41" s="2" t="e">
        <f t="shared" ca="1" si="22"/>
        <v>#NAME?</v>
      </c>
      <c r="AV41" s="2" t="e">
        <f ca="1"/>
        <v>#NAME?</v>
      </c>
      <c r="AW41" s="2" t="e">
        <f t="shared" ca="1" si="23"/>
        <v>#NAME?</v>
      </c>
      <c r="AX41" s="2" t="e">
        <f ca="1"/>
        <v>#NAME?</v>
      </c>
      <c r="AY41" s="2" t="e">
        <f t="shared" ca="1" si="24"/>
        <v>#NAME?</v>
      </c>
      <c r="AZ41" s="2" t="e">
        <f ca="1"/>
        <v>#NAME?</v>
      </c>
      <c r="BA41" s="2" t="e">
        <f t="shared" ca="1" si="25"/>
        <v>#NAME?</v>
      </c>
      <c r="BB41" s="2" t="e">
        <f ca="1"/>
        <v>#NAME?</v>
      </c>
      <c r="BC41" s="2" t="e">
        <f t="shared" ca="1" si="26"/>
        <v>#NAME?</v>
      </c>
      <c r="BD41" s="2" t="e">
        <f ca="1"/>
        <v>#NAME?</v>
      </c>
      <c r="BE41" s="2" t="e">
        <f t="shared" ca="1" si="27"/>
        <v>#NAME?</v>
      </c>
      <c r="BF41" s="2" t="e">
        <f ca="1"/>
        <v>#NAME?</v>
      </c>
      <c r="BG41" s="2" t="e">
        <f t="shared" ca="1" si="28"/>
        <v>#NAME?</v>
      </c>
      <c r="BH41" s="2" t="e">
        <f ca="1"/>
        <v>#NAME?</v>
      </c>
      <c r="BI41" s="2" t="e">
        <f t="shared" ca="1" si="29"/>
        <v>#NAME?</v>
      </c>
      <c r="BJ41" s="2" t="e">
        <f ca="1"/>
        <v>#NAME?</v>
      </c>
      <c r="BK41" s="2" t="e">
        <f t="shared" ca="1" si="30"/>
        <v>#NAME?</v>
      </c>
      <c r="BL41" s="2" t="e">
        <f ca="1"/>
        <v>#NAME?</v>
      </c>
      <c r="BM41" s="2" t="e">
        <f t="shared" ca="1" si="31"/>
        <v>#NAME?</v>
      </c>
      <c r="BN41" s="2" t="e">
        <f ca="1"/>
        <v>#NAME?</v>
      </c>
      <c r="BO41" s="2" t="e">
        <f t="shared" ca="1" si="32"/>
        <v>#NAME?</v>
      </c>
      <c r="BP41" s="2" t="e">
        <f ca="1"/>
        <v>#NAME?</v>
      </c>
      <c r="BQ41" s="2" t="e">
        <f t="shared" ca="1" si="33"/>
        <v>#NAME?</v>
      </c>
      <c r="BR41" s="2" t="e">
        <f ca="1"/>
        <v>#NAME?</v>
      </c>
      <c r="BS41" s="2" t="e">
        <f t="shared" ca="1" si="34"/>
        <v>#NAME?</v>
      </c>
      <c r="BT41" s="2" t="e">
        <f ca="1"/>
        <v>#NAME?</v>
      </c>
      <c r="BU41" s="2" t="e">
        <f t="shared" ca="1" si="35"/>
        <v>#NAME?</v>
      </c>
      <c r="BV41" s="2" t="e">
        <f ca="1"/>
        <v>#NAME?</v>
      </c>
      <c r="BW41" s="2" t="e">
        <f t="shared" ca="1" si="36"/>
        <v>#NAME?</v>
      </c>
      <c r="BX41" s="2" t="e">
        <f ca="1"/>
        <v>#NAME?</v>
      </c>
      <c r="BY41" s="2" t="e">
        <f t="shared" ca="1" si="37"/>
        <v>#NAME?</v>
      </c>
      <c r="BZ41" s="2" t="e">
        <f ca="1"/>
        <v>#NAME?</v>
      </c>
      <c r="CA41" s="2" t="e">
        <f t="shared" ca="1" si="38"/>
        <v>#NAME?</v>
      </c>
      <c r="CB41" s="2" t="e">
        <f ca="1"/>
        <v>#NAME?</v>
      </c>
      <c r="CC41" s="2" t="e">
        <f t="shared" ca="1" si="39"/>
        <v>#NAME?</v>
      </c>
      <c r="CD41" s="2" t="e">
        <f ca="1"/>
        <v>#NAME?</v>
      </c>
      <c r="CE41" s="2" t="e">
        <f t="shared" ca="1" si="40"/>
        <v>#NAME?</v>
      </c>
      <c r="CF41" s="2" t="e">
        <f ca="1"/>
        <v>#NAME?</v>
      </c>
      <c r="CG41" s="2" t="e">
        <f t="shared" ca="1" si="41"/>
        <v>#NAME?</v>
      </c>
      <c r="CH41" s="2" t="e">
        <f ca="1"/>
        <v>#NAME?</v>
      </c>
      <c r="CI41" s="2" t="e">
        <f t="shared" ca="1" si="42"/>
        <v>#NAME?</v>
      </c>
      <c r="CJ41" s="2" t="e">
        <f ca="1"/>
        <v>#NAME?</v>
      </c>
      <c r="CK41" s="2" t="e">
        <f t="shared" ca="1" si="43"/>
        <v>#NAME?</v>
      </c>
      <c r="CL41" s="2" t="e">
        <f ca="1"/>
        <v>#NAME?</v>
      </c>
      <c r="CM41" s="2" t="e">
        <f t="shared" ca="1" si="44"/>
        <v>#NAME?</v>
      </c>
      <c r="CN41" s="2" t="e">
        <f ca="1"/>
        <v>#NAME?</v>
      </c>
      <c r="CO41" s="2" t="e">
        <f t="shared" ca="1" si="45"/>
        <v>#NAME?</v>
      </c>
      <c r="CP41" s="2" t="e">
        <f ca="1"/>
        <v>#NAME?</v>
      </c>
      <c r="CQ41" s="2" t="e">
        <f t="shared" ca="1" si="46"/>
        <v>#NAME?</v>
      </c>
    </row>
    <row r="42" spans="1:95">
      <c r="A42" s="7" t="e">
        <f ca="1"/>
        <v>#NAME?</v>
      </c>
      <c r="B42" s="2" t="e">
        <f ca="1"/>
        <v>#NAME?</v>
      </c>
      <c r="C42" s="2" t="e">
        <f t="shared" ca="1" si="0"/>
        <v>#NAME?</v>
      </c>
      <c r="D42" s="2" t="e">
        <f ca="1"/>
        <v>#NAME?</v>
      </c>
      <c r="E42" s="2" t="e">
        <f t="shared" ca="1" si="1"/>
        <v>#NAME?</v>
      </c>
      <c r="F42" s="2" t="e">
        <f ca="1"/>
        <v>#NAME?</v>
      </c>
      <c r="G42" s="2" t="e">
        <f t="shared" ca="1" si="2"/>
        <v>#NAME?</v>
      </c>
      <c r="H42" s="2" t="e">
        <f ca="1"/>
        <v>#NAME?</v>
      </c>
      <c r="I42" s="2" t="e">
        <f t="shared" ca="1" si="3"/>
        <v>#NAME?</v>
      </c>
      <c r="J42" s="2" t="e">
        <f ca="1"/>
        <v>#NAME?</v>
      </c>
      <c r="K42" s="2" t="e">
        <f t="shared" ca="1" si="4"/>
        <v>#NAME?</v>
      </c>
      <c r="L42" s="2" t="e">
        <f ca="1"/>
        <v>#NAME?</v>
      </c>
      <c r="M42" s="2" t="e">
        <f t="shared" ca="1" si="5"/>
        <v>#NAME?</v>
      </c>
      <c r="N42" s="2" t="e">
        <f ca="1"/>
        <v>#NAME?</v>
      </c>
      <c r="O42" s="2" t="e">
        <f t="shared" ca="1" si="6"/>
        <v>#NAME?</v>
      </c>
      <c r="P42" s="2" t="e">
        <f ca="1"/>
        <v>#NAME?</v>
      </c>
      <c r="Q42" s="2" t="e">
        <f t="shared" ca="1" si="7"/>
        <v>#NAME?</v>
      </c>
      <c r="R42" s="2" t="e">
        <f ca="1"/>
        <v>#NAME?</v>
      </c>
      <c r="S42" s="2" t="e">
        <f t="shared" ca="1" si="8"/>
        <v>#NAME?</v>
      </c>
      <c r="T42" s="2" t="e">
        <f ca="1"/>
        <v>#NAME?</v>
      </c>
      <c r="U42" s="2" t="e">
        <f t="shared" ca="1" si="9"/>
        <v>#NAME?</v>
      </c>
      <c r="V42" s="2" t="e">
        <f ca="1"/>
        <v>#NAME?</v>
      </c>
      <c r="W42" s="2" t="e">
        <f t="shared" ca="1" si="10"/>
        <v>#NAME?</v>
      </c>
      <c r="X42" s="2" t="e">
        <f ca="1"/>
        <v>#NAME?</v>
      </c>
      <c r="Y42" s="2" t="e">
        <f t="shared" ca="1" si="11"/>
        <v>#NAME?</v>
      </c>
      <c r="Z42" s="2" t="e">
        <f ca="1"/>
        <v>#NAME?</v>
      </c>
      <c r="AA42" s="2" t="e">
        <f t="shared" ca="1" si="12"/>
        <v>#NAME?</v>
      </c>
      <c r="AB42" s="2" t="e">
        <f ca="1"/>
        <v>#NAME?</v>
      </c>
      <c r="AC42" s="2" t="e">
        <f t="shared" ca="1" si="13"/>
        <v>#NAME?</v>
      </c>
      <c r="AD42" s="2" t="e">
        <f ca="1"/>
        <v>#NAME?</v>
      </c>
      <c r="AE42" s="2" t="e">
        <f t="shared" ca="1" si="14"/>
        <v>#NAME?</v>
      </c>
      <c r="AF42" s="2" t="e">
        <f ca="1"/>
        <v>#NAME?</v>
      </c>
      <c r="AG42" s="2" t="e">
        <f t="shared" ca="1" si="15"/>
        <v>#NAME?</v>
      </c>
      <c r="AH42" s="2" t="e">
        <f ca="1"/>
        <v>#NAME?</v>
      </c>
      <c r="AI42" s="2" t="e">
        <f t="shared" ca="1" si="16"/>
        <v>#NAME?</v>
      </c>
      <c r="AJ42" s="2" t="e">
        <f ca="1"/>
        <v>#NAME?</v>
      </c>
      <c r="AK42" s="2" t="e">
        <f t="shared" ca="1" si="17"/>
        <v>#NAME?</v>
      </c>
      <c r="AL42" s="2" t="e">
        <f ca="1"/>
        <v>#NAME?</v>
      </c>
      <c r="AM42" s="2" t="e">
        <f t="shared" ca="1" si="18"/>
        <v>#NAME?</v>
      </c>
      <c r="AN42" s="2" t="e">
        <f ca="1"/>
        <v>#NAME?</v>
      </c>
      <c r="AO42" s="2" t="e">
        <f t="shared" ca="1" si="19"/>
        <v>#NAME?</v>
      </c>
      <c r="AP42" s="2" t="e">
        <f ca="1"/>
        <v>#NAME?</v>
      </c>
      <c r="AQ42" s="2" t="e">
        <f t="shared" ca="1" si="20"/>
        <v>#NAME?</v>
      </c>
      <c r="AR42" s="2" t="e">
        <f ca="1"/>
        <v>#NAME?</v>
      </c>
      <c r="AS42" s="2" t="e">
        <f t="shared" ca="1" si="21"/>
        <v>#NAME?</v>
      </c>
      <c r="AT42" s="2" t="e">
        <f ca="1"/>
        <v>#NAME?</v>
      </c>
      <c r="AU42" s="2" t="e">
        <f t="shared" ca="1" si="22"/>
        <v>#NAME?</v>
      </c>
      <c r="AV42" s="2" t="e">
        <f ca="1"/>
        <v>#NAME?</v>
      </c>
      <c r="AW42" s="2" t="e">
        <f t="shared" ca="1" si="23"/>
        <v>#NAME?</v>
      </c>
      <c r="AX42" s="2" t="e">
        <f ca="1"/>
        <v>#NAME?</v>
      </c>
      <c r="AY42" s="2" t="e">
        <f t="shared" ca="1" si="24"/>
        <v>#NAME?</v>
      </c>
      <c r="AZ42" s="2" t="e">
        <f ca="1"/>
        <v>#NAME?</v>
      </c>
      <c r="BA42" s="2" t="e">
        <f t="shared" ca="1" si="25"/>
        <v>#NAME?</v>
      </c>
      <c r="BB42" s="2" t="e">
        <f ca="1"/>
        <v>#NAME?</v>
      </c>
      <c r="BC42" s="2" t="e">
        <f t="shared" ca="1" si="26"/>
        <v>#NAME?</v>
      </c>
      <c r="BD42" s="2" t="e">
        <f ca="1"/>
        <v>#NAME?</v>
      </c>
      <c r="BE42" s="2" t="e">
        <f t="shared" ca="1" si="27"/>
        <v>#NAME?</v>
      </c>
      <c r="BF42" s="2" t="e">
        <f ca="1"/>
        <v>#NAME?</v>
      </c>
      <c r="BG42" s="2" t="e">
        <f t="shared" ca="1" si="28"/>
        <v>#NAME?</v>
      </c>
      <c r="BH42" s="2" t="e">
        <f ca="1"/>
        <v>#NAME?</v>
      </c>
      <c r="BI42" s="2" t="e">
        <f t="shared" ca="1" si="29"/>
        <v>#NAME?</v>
      </c>
      <c r="BJ42" s="2" t="e">
        <f ca="1"/>
        <v>#NAME?</v>
      </c>
      <c r="BK42" s="2" t="e">
        <f t="shared" ca="1" si="30"/>
        <v>#NAME?</v>
      </c>
      <c r="BL42" s="2" t="e">
        <f ca="1"/>
        <v>#NAME?</v>
      </c>
      <c r="BM42" s="2" t="e">
        <f t="shared" ca="1" si="31"/>
        <v>#NAME?</v>
      </c>
      <c r="BN42" s="2" t="e">
        <f ca="1"/>
        <v>#NAME?</v>
      </c>
      <c r="BO42" s="2" t="e">
        <f t="shared" ca="1" si="32"/>
        <v>#NAME?</v>
      </c>
      <c r="BP42" s="2" t="e">
        <f ca="1"/>
        <v>#NAME?</v>
      </c>
      <c r="BQ42" s="2" t="e">
        <f t="shared" ca="1" si="33"/>
        <v>#NAME?</v>
      </c>
      <c r="BR42" s="2" t="e">
        <f ca="1"/>
        <v>#NAME?</v>
      </c>
      <c r="BS42" s="2" t="e">
        <f t="shared" ca="1" si="34"/>
        <v>#NAME?</v>
      </c>
      <c r="BT42" s="2" t="e">
        <f ca="1"/>
        <v>#NAME?</v>
      </c>
      <c r="BU42" s="2" t="e">
        <f t="shared" ca="1" si="35"/>
        <v>#NAME?</v>
      </c>
      <c r="BV42" s="2" t="e">
        <f ca="1"/>
        <v>#NAME?</v>
      </c>
      <c r="BW42" s="2" t="e">
        <f t="shared" ca="1" si="36"/>
        <v>#NAME?</v>
      </c>
      <c r="BX42" s="2" t="e">
        <f ca="1"/>
        <v>#NAME?</v>
      </c>
      <c r="BY42" s="2" t="e">
        <f t="shared" ca="1" si="37"/>
        <v>#NAME?</v>
      </c>
      <c r="BZ42" s="2" t="e">
        <f ca="1"/>
        <v>#NAME?</v>
      </c>
      <c r="CA42" s="2" t="e">
        <f t="shared" ca="1" si="38"/>
        <v>#NAME?</v>
      </c>
      <c r="CB42" s="2" t="e">
        <f ca="1"/>
        <v>#NAME?</v>
      </c>
      <c r="CC42" s="2" t="e">
        <f t="shared" ca="1" si="39"/>
        <v>#NAME?</v>
      </c>
      <c r="CD42" s="2" t="e">
        <f ca="1"/>
        <v>#NAME?</v>
      </c>
      <c r="CE42" s="2" t="e">
        <f t="shared" ca="1" si="40"/>
        <v>#NAME?</v>
      </c>
      <c r="CF42" s="2" t="e">
        <f ca="1"/>
        <v>#NAME?</v>
      </c>
      <c r="CG42" s="2" t="e">
        <f t="shared" ca="1" si="41"/>
        <v>#NAME?</v>
      </c>
      <c r="CH42" s="2" t="e">
        <f ca="1"/>
        <v>#NAME?</v>
      </c>
      <c r="CI42" s="2" t="e">
        <f t="shared" ca="1" si="42"/>
        <v>#NAME?</v>
      </c>
      <c r="CJ42" s="2" t="e">
        <f ca="1"/>
        <v>#NAME?</v>
      </c>
      <c r="CK42" s="2" t="e">
        <f t="shared" ca="1" si="43"/>
        <v>#NAME?</v>
      </c>
      <c r="CL42" s="2" t="e">
        <f ca="1"/>
        <v>#NAME?</v>
      </c>
      <c r="CM42" s="2" t="e">
        <f t="shared" ca="1" si="44"/>
        <v>#NAME?</v>
      </c>
      <c r="CN42" s="2" t="e">
        <f ca="1"/>
        <v>#NAME?</v>
      </c>
      <c r="CO42" s="2" t="e">
        <f t="shared" ca="1" si="45"/>
        <v>#NAME?</v>
      </c>
      <c r="CP42" s="2" t="e">
        <f ca="1"/>
        <v>#NAME?</v>
      </c>
      <c r="CQ42" s="2" t="e">
        <f t="shared" ca="1" si="46"/>
        <v>#NAME?</v>
      </c>
    </row>
    <row r="43" spans="1:95">
      <c r="A43" s="7" t="e">
        <f ca="1"/>
        <v>#NAME?</v>
      </c>
      <c r="B43" s="2" t="e">
        <f ca="1"/>
        <v>#NAME?</v>
      </c>
      <c r="C43" s="2" t="e">
        <f t="shared" ca="1" si="0"/>
        <v>#NAME?</v>
      </c>
      <c r="D43" s="2" t="e">
        <f ca="1"/>
        <v>#NAME?</v>
      </c>
      <c r="E43" s="2" t="e">
        <f t="shared" ca="1" si="1"/>
        <v>#NAME?</v>
      </c>
      <c r="F43" s="2" t="e">
        <f ca="1"/>
        <v>#NAME?</v>
      </c>
      <c r="G43" s="2" t="e">
        <f t="shared" ca="1" si="2"/>
        <v>#NAME?</v>
      </c>
      <c r="H43" s="2" t="e">
        <f ca="1"/>
        <v>#NAME?</v>
      </c>
      <c r="I43" s="2" t="e">
        <f t="shared" ca="1" si="3"/>
        <v>#NAME?</v>
      </c>
      <c r="J43" s="2" t="e">
        <f ca="1"/>
        <v>#NAME?</v>
      </c>
      <c r="K43" s="2" t="e">
        <f t="shared" ca="1" si="4"/>
        <v>#NAME?</v>
      </c>
      <c r="L43" s="2" t="e">
        <f ca="1"/>
        <v>#NAME?</v>
      </c>
      <c r="M43" s="2" t="e">
        <f t="shared" ca="1" si="5"/>
        <v>#NAME?</v>
      </c>
      <c r="N43" s="2" t="e">
        <f ca="1"/>
        <v>#NAME?</v>
      </c>
      <c r="O43" s="2" t="e">
        <f t="shared" ca="1" si="6"/>
        <v>#NAME?</v>
      </c>
      <c r="P43" s="2" t="e">
        <f ca="1"/>
        <v>#NAME?</v>
      </c>
      <c r="Q43" s="2" t="e">
        <f t="shared" ca="1" si="7"/>
        <v>#NAME?</v>
      </c>
      <c r="R43" s="2" t="e">
        <f ca="1"/>
        <v>#NAME?</v>
      </c>
      <c r="S43" s="2" t="e">
        <f t="shared" ca="1" si="8"/>
        <v>#NAME?</v>
      </c>
      <c r="T43" s="2" t="e">
        <f ca="1"/>
        <v>#NAME?</v>
      </c>
      <c r="U43" s="2" t="e">
        <f t="shared" ca="1" si="9"/>
        <v>#NAME?</v>
      </c>
      <c r="V43" s="2" t="e">
        <f ca="1"/>
        <v>#NAME?</v>
      </c>
      <c r="W43" s="2" t="e">
        <f t="shared" ca="1" si="10"/>
        <v>#NAME?</v>
      </c>
      <c r="X43" s="2" t="e">
        <f ca="1"/>
        <v>#NAME?</v>
      </c>
      <c r="Y43" s="2" t="e">
        <f t="shared" ca="1" si="11"/>
        <v>#NAME?</v>
      </c>
      <c r="Z43" s="2" t="e">
        <f ca="1"/>
        <v>#NAME?</v>
      </c>
      <c r="AA43" s="2" t="e">
        <f t="shared" ca="1" si="12"/>
        <v>#NAME?</v>
      </c>
      <c r="AB43" s="2" t="e">
        <f ca="1"/>
        <v>#NAME?</v>
      </c>
      <c r="AC43" s="2" t="e">
        <f t="shared" ca="1" si="13"/>
        <v>#NAME?</v>
      </c>
      <c r="AD43" s="2" t="e">
        <f ca="1"/>
        <v>#NAME?</v>
      </c>
      <c r="AE43" s="2" t="e">
        <f t="shared" ca="1" si="14"/>
        <v>#NAME?</v>
      </c>
      <c r="AF43" s="2" t="e">
        <f ca="1"/>
        <v>#NAME?</v>
      </c>
      <c r="AG43" s="2" t="e">
        <f t="shared" ca="1" si="15"/>
        <v>#NAME?</v>
      </c>
      <c r="AH43" s="2" t="e">
        <f ca="1"/>
        <v>#NAME?</v>
      </c>
      <c r="AI43" s="2" t="e">
        <f t="shared" ca="1" si="16"/>
        <v>#NAME?</v>
      </c>
      <c r="AJ43" s="2" t="e">
        <f ca="1"/>
        <v>#NAME?</v>
      </c>
      <c r="AK43" s="2" t="e">
        <f t="shared" ca="1" si="17"/>
        <v>#NAME?</v>
      </c>
      <c r="AL43" s="2" t="e">
        <f ca="1"/>
        <v>#NAME?</v>
      </c>
      <c r="AM43" s="2" t="e">
        <f t="shared" ca="1" si="18"/>
        <v>#NAME?</v>
      </c>
      <c r="AN43" s="2" t="e">
        <f ca="1"/>
        <v>#NAME?</v>
      </c>
      <c r="AO43" s="2" t="e">
        <f t="shared" ca="1" si="19"/>
        <v>#NAME?</v>
      </c>
      <c r="AP43" s="2" t="e">
        <f ca="1"/>
        <v>#NAME?</v>
      </c>
      <c r="AQ43" s="2" t="e">
        <f t="shared" ca="1" si="20"/>
        <v>#NAME?</v>
      </c>
      <c r="AR43" s="2" t="e">
        <f ca="1"/>
        <v>#NAME?</v>
      </c>
      <c r="AS43" s="2" t="e">
        <f t="shared" ca="1" si="21"/>
        <v>#NAME?</v>
      </c>
      <c r="AT43" s="2" t="e">
        <f ca="1"/>
        <v>#NAME?</v>
      </c>
      <c r="AU43" s="2" t="e">
        <f t="shared" ca="1" si="22"/>
        <v>#NAME?</v>
      </c>
      <c r="AV43" s="2" t="e">
        <f ca="1"/>
        <v>#NAME?</v>
      </c>
      <c r="AW43" s="2" t="e">
        <f t="shared" ca="1" si="23"/>
        <v>#NAME?</v>
      </c>
      <c r="AX43" s="2" t="e">
        <f ca="1"/>
        <v>#NAME?</v>
      </c>
      <c r="AY43" s="2" t="e">
        <f t="shared" ca="1" si="24"/>
        <v>#NAME?</v>
      </c>
      <c r="AZ43" s="2" t="e">
        <f ca="1"/>
        <v>#NAME?</v>
      </c>
      <c r="BA43" s="2" t="e">
        <f t="shared" ca="1" si="25"/>
        <v>#NAME?</v>
      </c>
      <c r="BB43" s="2" t="e">
        <f ca="1"/>
        <v>#NAME?</v>
      </c>
      <c r="BC43" s="2" t="e">
        <f t="shared" ca="1" si="26"/>
        <v>#NAME?</v>
      </c>
      <c r="BD43" s="2" t="e">
        <f ca="1"/>
        <v>#NAME?</v>
      </c>
      <c r="BE43" s="2" t="e">
        <f t="shared" ca="1" si="27"/>
        <v>#NAME?</v>
      </c>
      <c r="BF43" s="2" t="e">
        <f ca="1"/>
        <v>#NAME?</v>
      </c>
      <c r="BG43" s="2" t="e">
        <f t="shared" ca="1" si="28"/>
        <v>#NAME?</v>
      </c>
      <c r="BH43" s="2" t="e">
        <f ca="1"/>
        <v>#NAME?</v>
      </c>
      <c r="BI43" s="2" t="e">
        <f t="shared" ca="1" si="29"/>
        <v>#NAME?</v>
      </c>
      <c r="BJ43" s="2" t="e">
        <f ca="1"/>
        <v>#NAME?</v>
      </c>
      <c r="BK43" s="2" t="e">
        <f t="shared" ca="1" si="30"/>
        <v>#NAME?</v>
      </c>
      <c r="BL43" s="2" t="e">
        <f ca="1"/>
        <v>#NAME?</v>
      </c>
      <c r="BM43" s="2" t="e">
        <f t="shared" ca="1" si="31"/>
        <v>#NAME?</v>
      </c>
      <c r="BN43" s="2" t="e">
        <f ca="1"/>
        <v>#NAME?</v>
      </c>
      <c r="BO43" s="2" t="e">
        <f t="shared" ca="1" si="32"/>
        <v>#NAME?</v>
      </c>
      <c r="BP43" s="2" t="e">
        <f ca="1"/>
        <v>#NAME?</v>
      </c>
      <c r="BQ43" s="2" t="e">
        <f t="shared" ca="1" si="33"/>
        <v>#NAME?</v>
      </c>
      <c r="BR43" s="2" t="e">
        <f ca="1"/>
        <v>#NAME?</v>
      </c>
      <c r="BS43" s="2" t="e">
        <f t="shared" ca="1" si="34"/>
        <v>#NAME?</v>
      </c>
      <c r="BT43" s="2" t="e">
        <f ca="1"/>
        <v>#NAME?</v>
      </c>
      <c r="BU43" s="2" t="e">
        <f t="shared" ca="1" si="35"/>
        <v>#NAME?</v>
      </c>
      <c r="BV43" s="2" t="e">
        <f ca="1"/>
        <v>#NAME?</v>
      </c>
      <c r="BW43" s="2" t="e">
        <f t="shared" ca="1" si="36"/>
        <v>#NAME?</v>
      </c>
      <c r="BX43" s="2" t="e">
        <f ca="1"/>
        <v>#NAME?</v>
      </c>
      <c r="BY43" s="2" t="e">
        <f t="shared" ca="1" si="37"/>
        <v>#NAME?</v>
      </c>
      <c r="BZ43" s="2" t="e">
        <f ca="1"/>
        <v>#NAME?</v>
      </c>
      <c r="CA43" s="2" t="e">
        <f t="shared" ca="1" si="38"/>
        <v>#NAME?</v>
      </c>
      <c r="CB43" s="2" t="e">
        <f ca="1"/>
        <v>#NAME?</v>
      </c>
      <c r="CC43" s="2" t="e">
        <f t="shared" ca="1" si="39"/>
        <v>#NAME?</v>
      </c>
      <c r="CD43" s="2" t="e">
        <f ca="1"/>
        <v>#NAME?</v>
      </c>
      <c r="CE43" s="2" t="e">
        <f t="shared" ca="1" si="40"/>
        <v>#NAME?</v>
      </c>
      <c r="CF43" s="2" t="e">
        <f ca="1"/>
        <v>#NAME?</v>
      </c>
      <c r="CG43" s="2" t="e">
        <f t="shared" ca="1" si="41"/>
        <v>#NAME?</v>
      </c>
      <c r="CH43" s="2" t="e">
        <f ca="1"/>
        <v>#NAME?</v>
      </c>
      <c r="CI43" s="2" t="e">
        <f t="shared" ca="1" si="42"/>
        <v>#NAME?</v>
      </c>
      <c r="CJ43" s="2" t="e">
        <f ca="1"/>
        <v>#NAME?</v>
      </c>
      <c r="CK43" s="2" t="e">
        <f t="shared" ca="1" si="43"/>
        <v>#NAME?</v>
      </c>
      <c r="CL43" s="2" t="e">
        <f ca="1"/>
        <v>#NAME?</v>
      </c>
      <c r="CM43" s="2" t="e">
        <f t="shared" ca="1" si="44"/>
        <v>#NAME?</v>
      </c>
      <c r="CN43" s="2" t="e">
        <f ca="1"/>
        <v>#NAME?</v>
      </c>
      <c r="CO43" s="2" t="e">
        <f t="shared" ca="1" si="45"/>
        <v>#NAME?</v>
      </c>
      <c r="CP43" s="2" t="e">
        <f ca="1"/>
        <v>#NAME?</v>
      </c>
      <c r="CQ43" s="2" t="e">
        <f t="shared" ca="1" si="46"/>
        <v>#NAME?</v>
      </c>
    </row>
    <row r="44" spans="1:95">
      <c r="A44" s="7" t="e">
        <f ca="1"/>
        <v>#NAME?</v>
      </c>
      <c r="B44" s="2" t="e">
        <f ca="1"/>
        <v>#NAME?</v>
      </c>
      <c r="C44" s="2" t="e">
        <f t="shared" ca="1" si="0"/>
        <v>#NAME?</v>
      </c>
      <c r="D44" s="2" t="e">
        <f ca="1"/>
        <v>#NAME?</v>
      </c>
      <c r="E44" s="2" t="e">
        <f t="shared" ca="1" si="1"/>
        <v>#NAME?</v>
      </c>
      <c r="F44" s="2" t="e">
        <f ca="1"/>
        <v>#NAME?</v>
      </c>
      <c r="G44" s="2" t="e">
        <f t="shared" ca="1" si="2"/>
        <v>#NAME?</v>
      </c>
      <c r="H44" s="2" t="e">
        <f ca="1"/>
        <v>#NAME?</v>
      </c>
      <c r="I44" s="2" t="e">
        <f t="shared" ca="1" si="3"/>
        <v>#NAME?</v>
      </c>
      <c r="J44" s="2" t="e">
        <f ca="1"/>
        <v>#NAME?</v>
      </c>
      <c r="K44" s="2" t="e">
        <f t="shared" ca="1" si="4"/>
        <v>#NAME?</v>
      </c>
      <c r="L44" s="2" t="e">
        <f ca="1"/>
        <v>#NAME?</v>
      </c>
      <c r="M44" s="2" t="e">
        <f t="shared" ca="1" si="5"/>
        <v>#NAME?</v>
      </c>
      <c r="N44" s="2" t="e">
        <f ca="1"/>
        <v>#NAME?</v>
      </c>
      <c r="O44" s="2" t="e">
        <f t="shared" ca="1" si="6"/>
        <v>#NAME?</v>
      </c>
      <c r="P44" s="2" t="e">
        <f ca="1"/>
        <v>#NAME?</v>
      </c>
      <c r="Q44" s="2" t="e">
        <f t="shared" ca="1" si="7"/>
        <v>#NAME?</v>
      </c>
      <c r="R44" s="2" t="e">
        <f ca="1"/>
        <v>#NAME?</v>
      </c>
      <c r="S44" s="2" t="e">
        <f t="shared" ca="1" si="8"/>
        <v>#NAME?</v>
      </c>
      <c r="T44" s="2" t="e">
        <f ca="1"/>
        <v>#NAME?</v>
      </c>
      <c r="U44" s="2" t="e">
        <f t="shared" ca="1" si="9"/>
        <v>#NAME?</v>
      </c>
      <c r="V44" s="2" t="e">
        <f ca="1"/>
        <v>#NAME?</v>
      </c>
      <c r="W44" s="2" t="e">
        <f t="shared" ca="1" si="10"/>
        <v>#NAME?</v>
      </c>
      <c r="X44" s="2" t="e">
        <f ca="1"/>
        <v>#NAME?</v>
      </c>
      <c r="Y44" s="2" t="e">
        <f t="shared" ca="1" si="11"/>
        <v>#NAME?</v>
      </c>
      <c r="Z44" s="2" t="e">
        <f ca="1"/>
        <v>#NAME?</v>
      </c>
      <c r="AA44" s="2" t="e">
        <f t="shared" ca="1" si="12"/>
        <v>#NAME?</v>
      </c>
      <c r="AB44" s="2" t="e">
        <f ca="1"/>
        <v>#NAME?</v>
      </c>
      <c r="AC44" s="2" t="e">
        <f t="shared" ca="1" si="13"/>
        <v>#NAME?</v>
      </c>
      <c r="AD44" s="2" t="e">
        <f ca="1"/>
        <v>#NAME?</v>
      </c>
      <c r="AE44" s="2" t="e">
        <f t="shared" ca="1" si="14"/>
        <v>#NAME?</v>
      </c>
      <c r="AF44" s="2" t="e">
        <f ca="1"/>
        <v>#NAME?</v>
      </c>
      <c r="AG44" s="2" t="e">
        <f t="shared" ca="1" si="15"/>
        <v>#NAME?</v>
      </c>
      <c r="AH44" s="2" t="e">
        <f ca="1"/>
        <v>#NAME?</v>
      </c>
      <c r="AI44" s="2" t="e">
        <f t="shared" ca="1" si="16"/>
        <v>#NAME?</v>
      </c>
      <c r="AJ44" s="2" t="e">
        <f ca="1"/>
        <v>#NAME?</v>
      </c>
      <c r="AK44" s="2" t="e">
        <f t="shared" ca="1" si="17"/>
        <v>#NAME?</v>
      </c>
      <c r="AL44" s="2" t="e">
        <f ca="1"/>
        <v>#NAME?</v>
      </c>
      <c r="AM44" s="2" t="e">
        <f t="shared" ca="1" si="18"/>
        <v>#NAME?</v>
      </c>
      <c r="AN44" s="2" t="e">
        <f ca="1"/>
        <v>#NAME?</v>
      </c>
      <c r="AO44" s="2" t="e">
        <f t="shared" ca="1" si="19"/>
        <v>#NAME?</v>
      </c>
      <c r="AP44" s="2" t="e">
        <f ca="1"/>
        <v>#NAME?</v>
      </c>
      <c r="AQ44" s="2" t="e">
        <f t="shared" ca="1" si="20"/>
        <v>#NAME?</v>
      </c>
      <c r="AR44" s="2" t="e">
        <f ca="1"/>
        <v>#NAME?</v>
      </c>
      <c r="AS44" s="2" t="e">
        <f t="shared" ca="1" si="21"/>
        <v>#NAME?</v>
      </c>
      <c r="AT44" s="2" t="e">
        <f ca="1"/>
        <v>#NAME?</v>
      </c>
      <c r="AU44" s="2" t="e">
        <f t="shared" ca="1" si="22"/>
        <v>#NAME?</v>
      </c>
      <c r="AV44" s="2" t="e">
        <f ca="1"/>
        <v>#NAME?</v>
      </c>
      <c r="AW44" s="2" t="e">
        <f t="shared" ca="1" si="23"/>
        <v>#NAME?</v>
      </c>
      <c r="AX44" s="2" t="e">
        <f ca="1"/>
        <v>#NAME?</v>
      </c>
      <c r="AY44" s="2" t="e">
        <f t="shared" ca="1" si="24"/>
        <v>#NAME?</v>
      </c>
      <c r="AZ44" s="2" t="e">
        <f ca="1"/>
        <v>#NAME?</v>
      </c>
      <c r="BA44" s="2" t="e">
        <f t="shared" ca="1" si="25"/>
        <v>#NAME?</v>
      </c>
      <c r="BB44" s="2" t="e">
        <f ca="1"/>
        <v>#NAME?</v>
      </c>
      <c r="BC44" s="2" t="e">
        <f t="shared" ca="1" si="26"/>
        <v>#NAME?</v>
      </c>
      <c r="BD44" s="2" t="e">
        <f ca="1"/>
        <v>#NAME?</v>
      </c>
      <c r="BE44" s="2" t="e">
        <f t="shared" ca="1" si="27"/>
        <v>#NAME?</v>
      </c>
      <c r="BF44" s="2" t="e">
        <f ca="1"/>
        <v>#NAME?</v>
      </c>
      <c r="BG44" s="2" t="e">
        <f t="shared" ca="1" si="28"/>
        <v>#NAME?</v>
      </c>
      <c r="BH44" s="2" t="e">
        <f ca="1"/>
        <v>#NAME?</v>
      </c>
      <c r="BI44" s="2" t="e">
        <f t="shared" ca="1" si="29"/>
        <v>#NAME?</v>
      </c>
      <c r="BJ44" s="2" t="e">
        <f ca="1"/>
        <v>#NAME?</v>
      </c>
      <c r="BK44" s="2" t="e">
        <f t="shared" ca="1" si="30"/>
        <v>#NAME?</v>
      </c>
      <c r="BL44" s="2" t="e">
        <f ca="1"/>
        <v>#NAME?</v>
      </c>
      <c r="BM44" s="2" t="e">
        <f t="shared" ca="1" si="31"/>
        <v>#NAME?</v>
      </c>
      <c r="BN44" s="2" t="e">
        <f ca="1"/>
        <v>#NAME?</v>
      </c>
      <c r="BO44" s="2" t="e">
        <f t="shared" ca="1" si="32"/>
        <v>#NAME?</v>
      </c>
      <c r="BP44" s="2" t="e">
        <f ca="1"/>
        <v>#NAME?</v>
      </c>
      <c r="BQ44" s="2" t="e">
        <f t="shared" ca="1" si="33"/>
        <v>#NAME?</v>
      </c>
      <c r="BR44" s="2" t="e">
        <f ca="1"/>
        <v>#NAME?</v>
      </c>
      <c r="BS44" s="2" t="e">
        <f t="shared" ca="1" si="34"/>
        <v>#NAME?</v>
      </c>
      <c r="BT44" s="2" t="e">
        <f ca="1"/>
        <v>#NAME?</v>
      </c>
      <c r="BU44" s="2" t="e">
        <f t="shared" ca="1" si="35"/>
        <v>#NAME?</v>
      </c>
      <c r="BV44" s="2" t="e">
        <f ca="1"/>
        <v>#NAME?</v>
      </c>
      <c r="BW44" s="2" t="e">
        <f t="shared" ca="1" si="36"/>
        <v>#NAME?</v>
      </c>
      <c r="BX44" s="2" t="e">
        <f ca="1"/>
        <v>#NAME?</v>
      </c>
      <c r="BY44" s="2" t="e">
        <f t="shared" ca="1" si="37"/>
        <v>#NAME?</v>
      </c>
      <c r="BZ44" s="2" t="e">
        <f ca="1"/>
        <v>#NAME?</v>
      </c>
      <c r="CA44" s="2" t="e">
        <f t="shared" ca="1" si="38"/>
        <v>#NAME?</v>
      </c>
      <c r="CB44" s="2" t="e">
        <f ca="1"/>
        <v>#NAME?</v>
      </c>
      <c r="CC44" s="2" t="e">
        <f t="shared" ca="1" si="39"/>
        <v>#NAME?</v>
      </c>
      <c r="CD44" s="2" t="e">
        <f ca="1"/>
        <v>#NAME?</v>
      </c>
      <c r="CE44" s="2" t="e">
        <f t="shared" ca="1" si="40"/>
        <v>#NAME?</v>
      </c>
      <c r="CF44" s="2" t="e">
        <f ca="1"/>
        <v>#NAME?</v>
      </c>
      <c r="CG44" s="2" t="e">
        <f t="shared" ca="1" si="41"/>
        <v>#NAME?</v>
      </c>
      <c r="CH44" s="2" t="e">
        <f ca="1"/>
        <v>#NAME?</v>
      </c>
      <c r="CI44" s="2" t="e">
        <f t="shared" ca="1" si="42"/>
        <v>#NAME?</v>
      </c>
      <c r="CJ44" s="2" t="e">
        <f ca="1"/>
        <v>#NAME?</v>
      </c>
      <c r="CK44" s="2" t="e">
        <f t="shared" ca="1" si="43"/>
        <v>#NAME?</v>
      </c>
      <c r="CL44" s="2" t="e">
        <f ca="1"/>
        <v>#NAME?</v>
      </c>
      <c r="CM44" s="2" t="e">
        <f t="shared" ca="1" si="44"/>
        <v>#NAME?</v>
      </c>
      <c r="CN44" s="2" t="e">
        <f ca="1"/>
        <v>#NAME?</v>
      </c>
      <c r="CO44" s="2" t="e">
        <f t="shared" ca="1" si="45"/>
        <v>#NAME?</v>
      </c>
      <c r="CP44" s="2" t="e">
        <f ca="1"/>
        <v>#NAME?</v>
      </c>
      <c r="CQ44" s="2" t="e">
        <f t="shared" ca="1" si="46"/>
        <v>#NAME?</v>
      </c>
    </row>
    <row r="45" spans="1:95">
      <c r="A45" s="7" t="e">
        <f ca="1"/>
        <v>#NAME?</v>
      </c>
      <c r="B45" s="2" t="e">
        <f ca="1"/>
        <v>#NAME?</v>
      </c>
      <c r="C45" s="2" t="e">
        <f t="shared" ca="1" si="0"/>
        <v>#NAME?</v>
      </c>
      <c r="D45" s="2" t="e">
        <f ca="1"/>
        <v>#NAME?</v>
      </c>
      <c r="E45" s="2" t="e">
        <f t="shared" ca="1" si="1"/>
        <v>#NAME?</v>
      </c>
      <c r="F45" s="2" t="e">
        <f ca="1"/>
        <v>#NAME?</v>
      </c>
      <c r="G45" s="2" t="e">
        <f t="shared" ca="1" si="2"/>
        <v>#NAME?</v>
      </c>
      <c r="H45" s="2" t="e">
        <f ca="1"/>
        <v>#NAME?</v>
      </c>
      <c r="I45" s="2" t="e">
        <f t="shared" ca="1" si="3"/>
        <v>#NAME?</v>
      </c>
      <c r="J45" s="2" t="e">
        <f ca="1"/>
        <v>#NAME?</v>
      </c>
      <c r="K45" s="2" t="e">
        <f t="shared" ca="1" si="4"/>
        <v>#NAME?</v>
      </c>
      <c r="L45" s="2" t="e">
        <f ca="1"/>
        <v>#NAME?</v>
      </c>
      <c r="M45" s="2" t="e">
        <f t="shared" ca="1" si="5"/>
        <v>#NAME?</v>
      </c>
      <c r="N45" s="2" t="e">
        <f ca="1"/>
        <v>#NAME?</v>
      </c>
      <c r="O45" s="2" t="e">
        <f t="shared" ca="1" si="6"/>
        <v>#NAME?</v>
      </c>
      <c r="P45" s="2" t="e">
        <f ca="1"/>
        <v>#NAME?</v>
      </c>
      <c r="Q45" s="2" t="e">
        <f t="shared" ca="1" si="7"/>
        <v>#NAME?</v>
      </c>
      <c r="R45" s="2" t="e">
        <f ca="1"/>
        <v>#NAME?</v>
      </c>
      <c r="S45" s="2" t="e">
        <f t="shared" ca="1" si="8"/>
        <v>#NAME?</v>
      </c>
      <c r="T45" s="2" t="e">
        <f ca="1"/>
        <v>#NAME?</v>
      </c>
      <c r="U45" s="2" t="e">
        <f t="shared" ca="1" si="9"/>
        <v>#NAME?</v>
      </c>
      <c r="V45" s="2" t="e">
        <f ca="1"/>
        <v>#NAME?</v>
      </c>
      <c r="W45" s="2" t="e">
        <f t="shared" ca="1" si="10"/>
        <v>#NAME?</v>
      </c>
      <c r="X45" s="2" t="e">
        <f ca="1"/>
        <v>#NAME?</v>
      </c>
      <c r="Y45" s="2" t="e">
        <f t="shared" ca="1" si="11"/>
        <v>#NAME?</v>
      </c>
      <c r="Z45" s="2" t="e">
        <f ca="1"/>
        <v>#NAME?</v>
      </c>
      <c r="AA45" s="2" t="e">
        <f t="shared" ca="1" si="12"/>
        <v>#NAME?</v>
      </c>
      <c r="AB45" s="2" t="e">
        <f ca="1"/>
        <v>#NAME?</v>
      </c>
      <c r="AC45" s="2" t="e">
        <f t="shared" ca="1" si="13"/>
        <v>#NAME?</v>
      </c>
      <c r="AD45" s="2" t="e">
        <f ca="1"/>
        <v>#NAME?</v>
      </c>
      <c r="AE45" s="2" t="e">
        <f t="shared" ca="1" si="14"/>
        <v>#NAME?</v>
      </c>
      <c r="AF45" s="2" t="e">
        <f ca="1"/>
        <v>#NAME?</v>
      </c>
      <c r="AG45" s="2" t="e">
        <f t="shared" ca="1" si="15"/>
        <v>#NAME?</v>
      </c>
      <c r="AH45" s="2" t="e">
        <f ca="1"/>
        <v>#NAME?</v>
      </c>
      <c r="AI45" s="2" t="e">
        <f t="shared" ca="1" si="16"/>
        <v>#NAME?</v>
      </c>
      <c r="AJ45" s="2" t="e">
        <f ca="1"/>
        <v>#NAME?</v>
      </c>
      <c r="AK45" s="2" t="e">
        <f t="shared" ca="1" si="17"/>
        <v>#NAME?</v>
      </c>
      <c r="AL45" s="2" t="e">
        <f ca="1"/>
        <v>#NAME?</v>
      </c>
      <c r="AM45" s="2" t="e">
        <f t="shared" ca="1" si="18"/>
        <v>#NAME?</v>
      </c>
      <c r="AN45" s="2" t="e">
        <f ca="1"/>
        <v>#NAME?</v>
      </c>
      <c r="AO45" s="2" t="e">
        <f t="shared" ca="1" si="19"/>
        <v>#NAME?</v>
      </c>
      <c r="AP45" s="2" t="e">
        <f ca="1"/>
        <v>#NAME?</v>
      </c>
      <c r="AQ45" s="2" t="e">
        <f t="shared" ca="1" si="20"/>
        <v>#NAME?</v>
      </c>
      <c r="AR45" s="2" t="e">
        <f ca="1"/>
        <v>#NAME?</v>
      </c>
      <c r="AS45" s="2" t="e">
        <f t="shared" ca="1" si="21"/>
        <v>#NAME?</v>
      </c>
      <c r="AT45" s="2" t="e">
        <f ca="1"/>
        <v>#NAME?</v>
      </c>
      <c r="AU45" s="2" t="e">
        <f t="shared" ca="1" si="22"/>
        <v>#NAME?</v>
      </c>
      <c r="AV45" s="2" t="e">
        <f ca="1"/>
        <v>#NAME?</v>
      </c>
      <c r="AW45" s="2" t="e">
        <f t="shared" ca="1" si="23"/>
        <v>#NAME?</v>
      </c>
      <c r="AX45" s="2" t="e">
        <f ca="1"/>
        <v>#NAME?</v>
      </c>
      <c r="AY45" s="2" t="e">
        <f t="shared" ca="1" si="24"/>
        <v>#NAME?</v>
      </c>
      <c r="AZ45" s="2" t="e">
        <f ca="1"/>
        <v>#NAME?</v>
      </c>
      <c r="BA45" s="2" t="e">
        <f t="shared" ca="1" si="25"/>
        <v>#NAME?</v>
      </c>
      <c r="BB45" s="2" t="e">
        <f ca="1"/>
        <v>#NAME?</v>
      </c>
      <c r="BC45" s="2" t="e">
        <f t="shared" ca="1" si="26"/>
        <v>#NAME?</v>
      </c>
      <c r="BD45" s="2" t="e">
        <f ca="1"/>
        <v>#NAME?</v>
      </c>
      <c r="BE45" s="2" t="e">
        <f t="shared" ca="1" si="27"/>
        <v>#NAME?</v>
      </c>
      <c r="BF45" s="2" t="e">
        <f ca="1"/>
        <v>#NAME?</v>
      </c>
      <c r="BG45" s="2" t="e">
        <f t="shared" ca="1" si="28"/>
        <v>#NAME?</v>
      </c>
      <c r="BH45" s="2" t="e">
        <f ca="1"/>
        <v>#NAME?</v>
      </c>
      <c r="BI45" s="2" t="e">
        <f t="shared" ca="1" si="29"/>
        <v>#NAME?</v>
      </c>
      <c r="BJ45" s="2" t="e">
        <f ca="1"/>
        <v>#NAME?</v>
      </c>
      <c r="BK45" s="2" t="e">
        <f t="shared" ca="1" si="30"/>
        <v>#NAME?</v>
      </c>
      <c r="BL45" s="2" t="e">
        <f ca="1"/>
        <v>#NAME?</v>
      </c>
      <c r="BM45" s="2" t="e">
        <f t="shared" ca="1" si="31"/>
        <v>#NAME?</v>
      </c>
      <c r="BN45" s="2" t="e">
        <f ca="1"/>
        <v>#NAME?</v>
      </c>
      <c r="BO45" s="2" t="e">
        <f t="shared" ca="1" si="32"/>
        <v>#NAME?</v>
      </c>
      <c r="BP45" s="2" t="e">
        <f ca="1"/>
        <v>#NAME?</v>
      </c>
      <c r="BQ45" s="2" t="e">
        <f t="shared" ca="1" si="33"/>
        <v>#NAME?</v>
      </c>
      <c r="BR45" s="2" t="e">
        <f ca="1"/>
        <v>#NAME?</v>
      </c>
      <c r="BS45" s="2" t="e">
        <f t="shared" ca="1" si="34"/>
        <v>#NAME?</v>
      </c>
      <c r="BT45" s="2" t="e">
        <f ca="1"/>
        <v>#NAME?</v>
      </c>
      <c r="BU45" s="2" t="e">
        <f t="shared" ca="1" si="35"/>
        <v>#NAME?</v>
      </c>
      <c r="BV45" s="2" t="e">
        <f ca="1"/>
        <v>#NAME?</v>
      </c>
      <c r="BW45" s="2" t="e">
        <f t="shared" ca="1" si="36"/>
        <v>#NAME?</v>
      </c>
      <c r="BX45" s="2" t="e">
        <f ca="1"/>
        <v>#NAME?</v>
      </c>
      <c r="BY45" s="2" t="e">
        <f t="shared" ca="1" si="37"/>
        <v>#NAME?</v>
      </c>
      <c r="BZ45" s="2" t="e">
        <f ca="1"/>
        <v>#NAME?</v>
      </c>
      <c r="CA45" s="2" t="e">
        <f t="shared" ca="1" si="38"/>
        <v>#NAME?</v>
      </c>
      <c r="CB45" s="2" t="e">
        <f ca="1"/>
        <v>#NAME?</v>
      </c>
      <c r="CC45" s="2" t="e">
        <f t="shared" ca="1" si="39"/>
        <v>#NAME?</v>
      </c>
      <c r="CD45" s="2" t="e">
        <f ca="1"/>
        <v>#NAME?</v>
      </c>
      <c r="CE45" s="2" t="e">
        <f t="shared" ca="1" si="40"/>
        <v>#NAME?</v>
      </c>
      <c r="CF45" s="2" t="e">
        <f ca="1"/>
        <v>#NAME?</v>
      </c>
      <c r="CG45" s="2" t="e">
        <f t="shared" ca="1" si="41"/>
        <v>#NAME?</v>
      </c>
      <c r="CH45" s="2" t="e">
        <f ca="1"/>
        <v>#NAME?</v>
      </c>
      <c r="CI45" s="2" t="e">
        <f t="shared" ca="1" si="42"/>
        <v>#NAME?</v>
      </c>
      <c r="CJ45" s="2" t="e">
        <f ca="1"/>
        <v>#NAME?</v>
      </c>
      <c r="CK45" s="2" t="e">
        <f t="shared" ca="1" si="43"/>
        <v>#NAME?</v>
      </c>
      <c r="CL45" s="2" t="e">
        <f ca="1"/>
        <v>#NAME?</v>
      </c>
      <c r="CM45" s="2" t="e">
        <f t="shared" ca="1" si="44"/>
        <v>#NAME?</v>
      </c>
      <c r="CN45" s="2" t="e">
        <f ca="1"/>
        <v>#NAME?</v>
      </c>
      <c r="CO45" s="2" t="e">
        <f t="shared" ca="1" si="45"/>
        <v>#NAME?</v>
      </c>
      <c r="CP45" s="2" t="e">
        <f ca="1"/>
        <v>#NAME?</v>
      </c>
      <c r="CQ45" s="2" t="e">
        <f t="shared" ca="1" si="46"/>
        <v>#NAME?</v>
      </c>
    </row>
    <row r="46" spans="1:95">
      <c r="A46" s="7" t="e">
        <f ca="1"/>
        <v>#NAME?</v>
      </c>
      <c r="B46" s="2" t="e">
        <f ca="1"/>
        <v>#NAME?</v>
      </c>
      <c r="C46" s="2" t="e">
        <f t="shared" ca="1" si="0"/>
        <v>#NAME?</v>
      </c>
      <c r="D46" s="2" t="e">
        <f ca="1"/>
        <v>#NAME?</v>
      </c>
      <c r="E46" s="2" t="e">
        <f t="shared" ca="1" si="1"/>
        <v>#NAME?</v>
      </c>
      <c r="F46" s="2" t="e">
        <f ca="1"/>
        <v>#NAME?</v>
      </c>
      <c r="G46" s="2" t="e">
        <f t="shared" ca="1" si="2"/>
        <v>#NAME?</v>
      </c>
      <c r="H46" s="2" t="e">
        <f ca="1"/>
        <v>#NAME?</v>
      </c>
      <c r="I46" s="2" t="e">
        <f t="shared" ca="1" si="3"/>
        <v>#NAME?</v>
      </c>
      <c r="J46" s="2" t="e">
        <f ca="1"/>
        <v>#NAME?</v>
      </c>
      <c r="K46" s="2" t="e">
        <f t="shared" ca="1" si="4"/>
        <v>#NAME?</v>
      </c>
      <c r="L46" s="2" t="e">
        <f ca="1"/>
        <v>#NAME?</v>
      </c>
      <c r="M46" s="2" t="e">
        <f t="shared" ca="1" si="5"/>
        <v>#NAME?</v>
      </c>
      <c r="N46" s="2" t="e">
        <f ca="1"/>
        <v>#NAME?</v>
      </c>
      <c r="O46" s="2" t="e">
        <f t="shared" ca="1" si="6"/>
        <v>#NAME?</v>
      </c>
      <c r="P46" s="2" t="e">
        <f ca="1"/>
        <v>#NAME?</v>
      </c>
      <c r="Q46" s="2" t="e">
        <f t="shared" ca="1" si="7"/>
        <v>#NAME?</v>
      </c>
      <c r="R46" s="2" t="e">
        <f ca="1"/>
        <v>#NAME?</v>
      </c>
      <c r="S46" s="2" t="e">
        <f t="shared" ca="1" si="8"/>
        <v>#NAME?</v>
      </c>
      <c r="T46" s="2" t="e">
        <f ca="1"/>
        <v>#NAME?</v>
      </c>
      <c r="U46" s="2" t="e">
        <f t="shared" ca="1" si="9"/>
        <v>#NAME?</v>
      </c>
      <c r="V46" s="2" t="e">
        <f ca="1"/>
        <v>#NAME?</v>
      </c>
      <c r="W46" s="2" t="e">
        <f t="shared" ca="1" si="10"/>
        <v>#NAME?</v>
      </c>
      <c r="X46" s="2" t="e">
        <f ca="1"/>
        <v>#NAME?</v>
      </c>
      <c r="Y46" s="2" t="e">
        <f t="shared" ca="1" si="11"/>
        <v>#NAME?</v>
      </c>
      <c r="Z46" s="2" t="e">
        <f ca="1"/>
        <v>#NAME?</v>
      </c>
      <c r="AA46" s="2" t="e">
        <f t="shared" ca="1" si="12"/>
        <v>#NAME?</v>
      </c>
      <c r="AB46" s="2" t="e">
        <f ca="1"/>
        <v>#NAME?</v>
      </c>
      <c r="AC46" s="2" t="e">
        <f t="shared" ca="1" si="13"/>
        <v>#NAME?</v>
      </c>
      <c r="AD46" s="2" t="e">
        <f ca="1"/>
        <v>#NAME?</v>
      </c>
      <c r="AE46" s="2" t="e">
        <f t="shared" ca="1" si="14"/>
        <v>#NAME?</v>
      </c>
      <c r="AF46" s="2" t="e">
        <f ca="1"/>
        <v>#NAME?</v>
      </c>
      <c r="AG46" s="2" t="e">
        <f t="shared" ca="1" si="15"/>
        <v>#NAME?</v>
      </c>
      <c r="AH46" s="2" t="e">
        <f ca="1"/>
        <v>#NAME?</v>
      </c>
      <c r="AI46" s="2" t="e">
        <f t="shared" ca="1" si="16"/>
        <v>#NAME?</v>
      </c>
      <c r="AJ46" s="2" t="e">
        <f ca="1"/>
        <v>#NAME?</v>
      </c>
      <c r="AK46" s="2" t="e">
        <f t="shared" ca="1" si="17"/>
        <v>#NAME?</v>
      </c>
      <c r="AL46" s="2" t="e">
        <f ca="1"/>
        <v>#NAME?</v>
      </c>
      <c r="AM46" s="2" t="e">
        <f t="shared" ca="1" si="18"/>
        <v>#NAME?</v>
      </c>
      <c r="AN46" s="2" t="e">
        <f ca="1"/>
        <v>#NAME?</v>
      </c>
      <c r="AO46" s="2" t="e">
        <f t="shared" ca="1" si="19"/>
        <v>#NAME?</v>
      </c>
      <c r="AP46" s="2" t="e">
        <f ca="1"/>
        <v>#NAME?</v>
      </c>
      <c r="AQ46" s="2" t="e">
        <f t="shared" ca="1" si="20"/>
        <v>#NAME?</v>
      </c>
      <c r="AR46" s="2" t="e">
        <f ca="1"/>
        <v>#NAME?</v>
      </c>
      <c r="AS46" s="2" t="e">
        <f t="shared" ca="1" si="21"/>
        <v>#NAME?</v>
      </c>
      <c r="AT46" s="2" t="e">
        <f ca="1"/>
        <v>#NAME?</v>
      </c>
      <c r="AU46" s="2" t="e">
        <f t="shared" ca="1" si="22"/>
        <v>#NAME?</v>
      </c>
      <c r="AV46" s="2" t="e">
        <f ca="1"/>
        <v>#NAME?</v>
      </c>
      <c r="AW46" s="2" t="e">
        <f t="shared" ca="1" si="23"/>
        <v>#NAME?</v>
      </c>
      <c r="AX46" s="2" t="e">
        <f ca="1"/>
        <v>#NAME?</v>
      </c>
      <c r="AY46" s="2" t="e">
        <f t="shared" ca="1" si="24"/>
        <v>#NAME?</v>
      </c>
      <c r="AZ46" s="2" t="e">
        <f ca="1"/>
        <v>#NAME?</v>
      </c>
      <c r="BA46" s="2" t="e">
        <f t="shared" ca="1" si="25"/>
        <v>#NAME?</v>
      </c>
      <c r="BB46" s="2" t="e">
        <f ca="1"/>
        <v>#NAME?</v>
      </c>
      <c r="BC46" s="2" t="e">
        <f t="shared" ca="1" si="26"/>
        <v>#NAME?</v>
      </c>
      <c r="BD46" s="2" t="e">
        <f ca="1"/>
        <v>#NAME?</v>
      </c>
      <c r="BE46" s="2" t="e">
        <f t="shared" ca="1" si="27"/>
        <v>#NAME?</v>
      </c>
      <c r="BF46" s="2" t="e">
        <f ca="1"/>
        <v>#NAME?</v>
      </c>
      <c r="BG46" s="2" t="e">
        <f t="shared" ca="1" si="28"/>
        <v>#NAME?</v>
      </c>
      <c r="BH46" s="2" t="e">
        <f ca="1"/>
        <v>#NAME?</v>
      </c>
      <c r="BI46" s="2" t="e">
        <f t="shared" ca="1" si="29"/>
        <v>#NAME?</v>
      </c>
      <c r="BJ46" s="2" t="e">
        <f ca="1"/>
        <v>#NAME?</v>
      </c>
      <c r="BK46" s="2" t="e">
        <f t="shared" ca="1" si="30"/>
        <v>#NAME?</v>
      </c>
      <c r="BL46" s="2" t="e">
        <f ca="1"/>
        <v>#NAME?</v>
      </c>
      <c r="BM46" s="2" t="e">
        <f t="shared" ca="1" si="31"/>
        <v>#NAME?</v>
      </c>
      <c r="BN46" s="2" t="e">
        <f ca="1"/>
        <v>#NAME?</v>
      </c>
      <c r="BO46" s="2" t="e">
        <f t="shared" ca="1" si="32"/>
        <v>#NAME?</v>
      </c>
      <c r="BP46" s="2" t="e">
        <f ca="1"/>
        <v>#NAME?</v>
      </c>
      <c r="BQ46" s="2" t="e">
        <f t="shared" ca="1" si="33"/>
        <v>#NAME?</v>
      </c>
      <c r="BR46" s="2" t="e">
        <f ca="1"/>
        <v>#NAME?</v>
      </c>
      <c r="BS46" s="2" t="e">
        <f t="shared" ca="1" si="34"/>
        <v>#NAME?</v>
      </c>
      <c r="BT46" s="2" t="e">
        <f ca="1"/>
        <v>#NAME?</v>
      </c>
      <c r="BU46" s="2" t="e">
        <f t="shared" ca="1" si="35"/>
        <v>#NAME?</v>
      </c>
      <c r="BV46" s="2" t="e">
        <f ca="1"/>
        <v>#NAME?</v>
      </c>
      <c r="BW46" s="2" t="e">
        <f t="shared" ca="1" si="36"/>
        <v>#NAME?</v>
      </c>
      <c r="BX46" s="2" t="e">
        <f ca="1"/>
        <v>#NAME?</v>
      </c>
      <c r="BY46" s="2" t="e">
        <f t="shared" ca="1" si="37"/>
        <v>#NAME?</v>
      </c>
      <c r="BZ46" s="2" t="e">
        <f ca="1"/>
        <v>#NAME?</v>
      </c>
      <c r="CA46" s="2" t="e">
        <f t="shared" ca="1" si="38"/>
        <v>#NAME?</v>
      </c>
      <c r="CB46" s="2" t="e">
        <f ca="1"/>
        <v>#NAME?</v>
      </c>
      <c r="CC46" s="2" t="e">
        <f t="shared" ca="1" si="39"/>
        <v>#NAME?</v>
      </c>
      <c r="CD46" s="2" t="e">
        <f ca="1"/>
        <v>#NAME?</v>
      </c>
      <c r="CE46" s="2" t="e">
        <f t="shared" ca="1" si="40"/>
        <v>#NAME?</v>
      </c>
      <c r="CF46" s="2" t="e">
        <f ca="1"/>
        <v>#NAME?</v>
      </c>
      <c r="CG46" s="2" t="e">
        <f t="shared" ca="1" si="41"/>
        <v>#NAME?</v>
      </c>
      <c r="CH46" s="2" t="e">
        <f ca="1"/>
        <v>#NAME?</v>
      </c>
      <c r="CI46" s="2" t="e">
        <f t="shared" ca="1" si="42"/>
        <v>#NAME?</v>
      </c>
      <c r="CJ46" s="2" t="e">
        <f ca="1"/>
        <v>#NAME?</v>
      </c>
      <c r="CK46" s="2" t="e">
        <f t="shared" ca="1" si="43"/>
        <v>#NAME?</v>
      </c>
      <c r="CL46" s="2" t="e">
        <f ca="1"/>
        <v>#NAME?</v>
      </c>
      <c r="CM46" s="2" t="e">
        <f t="shared" ca="1" si="44"/>
        <v>#NAME?</v>
      </c>
      <c r="CN46" s="2" t="e">
        <f ca="1"/>
        <v>#NAME?</v>
      </c>
      <c r="CO46" s="2" t="e">
        <f t="shared" ca="1" si="45"/>
        <v>#NAME?</v>
      </c>
      <c r="CP46" s="2" t="e">
        <f ca="1"/>
        <v>#NAME?</v>
      </c>
      <c r="CQ46" s="2" t="e">
        <f t="shared" ca="1" si="46"/>
        <v>#NAME?</v>
      </c>
    </row>
    <row r="47" spans="1:95">
      <c r="A47" s="7" t="e">
        <f ca="1"/>
        <v>#NAME?</v>
      </c>
      <c r="B47" s="2" t="e">
        <f ca="1"/>
        <v>#NAME?</v>
      </c>
      <c r="C47" s="2" t="e">
        <f t="shared" ca="1" si="0"/>
        <v>#NAME?</v>
      </c>
      <c r="D47" s="2" t="e">
        <f ca="1"/>
        <v>#NAME?</v>
      </c>
      <c r="E47" s="2" t="e">
        <f t="shared" ca="1" si="1"/>
        <v>#NAME?</v>
      </c>
      <c r="F47" s="2" t="e">
        <f ca="1"/>
        <v>#NAME?</v>
      </c>
      <c r="G47" s="2" t="e">
        <f t="shared" ca="1" si="2"/>
        <v>#NAME?</v>
      </c>
      <c r="H47" s="2" t="e">
        <f ca="1"/>
        <v>#NAME?</v>
      </c>
      <c r="I47" s="2" t="e">
        <f t="shared" ca="1" si="3"/>
        <v>#NAME?</v>
      </c>
      <c r="J47" s="2" t="e">
        <f ca="1"/>
        <v>#NAME?</v>
      </c>
      <c r="K47" s="2" t="e">
        <f t="shared" ca="1" si="4"/>
        <v>#NAME?</v>
      </c>
      <c r="L47" s="2" t="e">
        <f ca="1"/>
        <v>#NAME?</v>
      </c>
      <c r="M47" s="2" t="e">
        <f t="shared" ca="1" si="5"/>
        <v>#NAME?</v>
      </c>
      <c r="N47" s="2" t="e">
        <f ca="1"/>
        <v>#NAME?</v>
      </c>
      <c r="O47" s="2" t="e">
        <f t="shared" ca="1" si="6"/>
        <v>#NAME?</v>
      </c>
      <c r="P47" s="2" t="e">
        <f ca="1"/>
        <v>#NAME?</v>
      </c>
      <c r="Q47" s="2" t="e">
        <f t="shared" ca="1" si="7"/>
        <v>#NAME?</v>
      </c>
      <c r="R47" s="2" t="e">
        <f ca="1"/>
        <v>#NAME?</v>
      </c>
      <c r="S47" s="2" t="e">
        <f t="shared" ca="1" si="8"/>
        <v>#NAME?</v>
      </c>
      <c r="T47" s="2" t="e">
        <f ca="1"/>
        <v>#NAME?</v>
      </c>
      <c r="U47" s="2" t="e">
        <f t="shared" ca="1" si="9"/>
        <v>#NAME?</v>
      </c>
      <c r="V47" s="2" t="e">
        <f ca="1"/>
        <v>#NAME?</v>
      </c>
      <c r="W47" s="2" t="e">
        <f t="shared" ca="1" si="10"/>
        <v>#NAME?</v>
      </c>
      <c r="X47" s="2" t="e">
        <f ca="1"/>
        <v>#NAME?</v>
      </c>
      <c r="Y47" s="2" t="e">
        <f t="shared" ca="1" si="11"/>
        <v>#NAME?</v>
      </c>
      <c r="Z47" s="2" t="e">
        <f ca="1"/>
        <v>#NAME?</v>
      </c>
      <c r="AA47" s="2" t="e">
        <f t="shared" ca="1" si="12"/>
        <v>#NAME?</v>
      </c>
      <c r="AB47" s="2" t="e">
        <f ca="1"/>
        <v>#NAME?</v>
      </c>
      <c r="AC47" s="2" t="e">
        <f t="shared" ca="1" si="13"/>
        <v>#NAME?</v>
      </c>
      <c r="AD47" s="2" t="e">
        <f ca="1"/>
        <v>#NAME?</v>
      </c>
      <c r="AE47" s="2" t="e">
        <f t="shared" ca="1" si="14"/>
        <v>#NAME?</v>
      </c>
      <c r="AF47" s="2" t="e">
        <f ca="1"/>
        <v>#NAME?</v>
      </c>
      <c r="AG47" s="2" t="e">
        <f t="shared" ca="1" si="15"/>
        <v>#NAME?</v>
      </c>
      <c r="AH47" s="2" t="e">
        <f ca="1"/>
        <v>#NAME?</v>
      </c>
      <c r="AI47" s="2" t="e">
        <f t="shared" ca="1" si="16"/>
        <v>#NAME?</v>
      </c>
      <c r="AJ47" s="2" t="e">
        <f ca="1"/>
        <v>#NAME?</v>
      </c>
      <c r="AK47" s="2" t="e">
        <f t="shared" ca="1" si="17"/>
        <v>#NAME?</v>
      </c>
      <c r="AL47" s="2" t="e">
        <f ca="1"/>
        <v>#NAME?</v>
      </c>
      <c r="AM47" s="2" t="e">
        <f t="shared" ca="1" si="18"/>
        <v>#NAME?</v>
      </c>
      <c r="AN47" s="2" t="e">
        <f ca="1"/>
        <v>#NAME?</v>
      </c>
      <c r="AO47" s="2" t="e">
        <f t="shared" ca="1" si="19"/>
        <v>#NAME?</v>
      </c>
      <c r="AP47" s="2" t="e">
        <f ca="1"/>
        <v>#NAME?</v>
      </c>
      <c r="AQ47" s="2" t="e">
        <f t="shared" ca="1" si="20"/>
        <v>#NAME?</v>
      </c>
      <c r="AR47" s="2" t="e">
        <f ca="1"/>
        <v>#NAME?</v>
      </c>
      <c r="AS47" s="2" t="e">
        <f t="shared" ca="1" si="21"/>
        <v>#NAME?</v>
      </c>
      <c r="AT47" s="2" t="e">
        <f ca="1"/>
        <v>#NAME?</v>
      </c>
      <c r="AU47" s="2" t="e">
        <f t="shared" ca="1" si="22"/>
        <v>#NAME?</v>
      </c>
      <c r="AV47" s="2" t="e">
        <f ca="1"/>
        <v>#NAME?</v>
      </c>
      <c r="AW47" s="2" t="e">
        <f t="shared" ca="1" si="23"/>
        <v>#NAME?</v>
      </c>
      <c r="AX47" s="2" t="e">
        <f ca="1"/>
        <v>#NAME?</v>
      </c>
      <c r="AY47" s="2" t="e">
        <f t="shared" ca="1" si="24"/>
        <v>#NAME?</v>
      </c>
      <c r="AZ47" s="2" t="e">
        <f ca="1"/>
        <v>#NAME?</v>
      </c>
      <c r="BA47" s="2" t="e">
        <f t="shared" ca="1" si="25"/>
        <v>#NAME?</v>
      </c>
      <c r="BB47" s="2" t="e">
        <f ca="1"/>
        <v>#NAME?</v>
      </c>
      <c r="BC47" s="2" t="e">
        <f t="shared" ca="1" si="26"/>
        <v>#NAME?</v>
      </c>
      <c r="BD47" s="2" t="e">
        <f ca="1"/>
        <v>#NAME?</v>
      </c>
      <c r="BE47" s="2" t="e">
        <f t="shared" ca="1" si="27"/>
        <v>#NAME?</v>
      </c>
      <c r="BF47" s="2" t="e">
        <f ca="1"/>
        <v>#NAME?</v>
      </c>
      <c r="BG47" s="2" t="e">
        <f t="shared" ca="1" si="28"/>
        <v>#NAME?</v>
      </c>
      <c r="BH47" s="2" t="e">
        <f ca="1"/>
        <v>#NAME?</v>
      </c>
      <c r="BI47" s="2" t="e">
        <f t="shared" ca="1" si="29"/>
        <v>#NAME?</v>
      </c>
      <c r="BJ47" s="2" t="e">
        <f ca="1"/>
        <v>#NAME?</v>
      </c>
      <c r="BK47" s="2" t="e">
        <f t="shared" ca="1" si="30"/>
        <v>#NAME?</v>
      </c>
      <c r="BL47" s="2" t="e">
        <f ca="1"/>
        <v>#NAME?</v>
      </c>
      <c r="BM47" s="2" t="e">
        <f t="shared" ca="1" si="31"/>
        <v>#NAME?</v>
      </c>
      <c r="BN47" s="2" t="e">
        <f ca="1"/>
        <v>#NAME?</v>
      </c>
      <c r="BO47" s="2" t="e">
        <f t="shared" ca="1" si="32"/>
        <v>#NAME?</v>
      </c>
      <c r="BP47" s="2" t="e">
        <f ca="1"/>
        <v>#NAME?</v>
      </c>
      <c r="BQ47" s="2" t="e">
        <f t="shared" ca="1" si="33"/>
        <v>#NAME?</v>
      </c>
      <c r="BR47" s="2" t="e">
        <f ca="1"/>
        <v>#NAME?</v>
      </c>
      <c r="BS47" s="2" t="e">
        <f t="shared" ca="1" si="34"/>
        <v>#NAME?</v>
      </c>
      <c r="BT47" s="2" t="e">
        <f ca="1"/>
        <v>#NAME?</v>
      </c>
      <c r="BU47" s="2" t="e">
        <f t="shared" ca="1" si="35"/>
        <v>#NAME?</v>
      </c>
      <c r="BV47" s="2" t="e">
        <f ca="1"/>
        <v>#NAME?</v>
      </c>
      <c r="BW47" s="2" t="e">
        <f t="shared" ca="1" si="36"/>
        <v>#NAME?</v>
      </c>
      <c r="BX47" s="2" t="e">
        <f ca="1"/>
        <v>#NAME?</v>
      </c>
      <c r="BY47" s="2" t="e">
        <f t="shared" ca="1" si="37"/>
        <v>#NAME?</v>
      </c>
      <c r="BZ47" s="2" t="e">
        <f ca="1"/>
        <v>#NAME?</v>
      </c>
      <c r="CA47" s="2" t="e">
        <f t="shared" ca="1" si="38"/>
        <v>#NAME?</v>
      </c>
      <c r="CB47" s="2" t="e">
        <f ca="1"/>
        <v>#NAME?</v>
      </c>
      <c r="CC47" s="2" t="e">
        <f t="shared" ca="1" si="39"/>
        <v>#NAME?</v>
      </c>
      <c r="CD47" s="2" t="e">
        <f ca="1"/>
        <v>#NAME?</v>
      </c>
      <c r="CE47" s="2" t="e">
        <f t="shared" ca="1" si="40"/>
        <v>#NAME?</v>
      </c>
      <c r="CF47" s="2" t="e">
        <f ca="1"/>
        <v>#NAME?</v>
      </c>
      <c r="CG47" s="2" t="e">
        <f t="shared" ca="1" si="41"/>
        <v>#NAME?</v>
      </c>
      <c r="CH47" s="2" t="e">
        <f ca="1"/>
        <v>#NAME?</v>
      </c>
      <c r="CI47" s="2" t="e">
        <f t="shared" ca="1" si="42"/>
        <v>#NAME?</v>
      </c>
      <c r="CJ47" s="2" t="e">
        <f ca="1"/>
        <v>#NAME?</v>
      </c>
      <c r="CK47" s="2" t="e">
        <f t="shared" ca="1" si="43"/>
        <v>#NAME?</v>
      </c>
      <c r="CL47" s="2" t="e">
        <f ca="1"/>
        <v>#NAME?</v>
      </c>
      <c r="CM47" s="2" t="e">
        <f t="shared" ca="1" si="44"/>
        <v>#NAME?</v>
      </c>
      <c r="CN47" s="2" t="e">
        <f ca="1"/>
        <v>#NAME?</v>
      </c>
      <c r="CO47" s="2" t="e">
        <f t="shared" ca="1" si="45"/>
        <v>#NAME?</v>
      </c>
      <c r="CP47" s="2" t="e">
        <f ca="1"/>
        <v>#NAME?</v>
      </c>
      <c r="CQ47" s="2" t="e">
        <f t="shared" ca="1" si="46"/>
        <v>#NAME?</v>
      </c>
    </row>
    <row r="48" spans="1:95">
      <c r="A48" s="7" t="e">
        <f ca="1"/>
        <v>#NAME?</v>
      </c>
      <c r="B48" s="2" t="e">
        <f ca="1"/>
        <v>#NAME?</v>
      </c>
      <c r="C48" s="2" t="e">
        <f t="shared" ca="1" si="0"/>
        <v>#NAME?</v>
      </c>
      <c r="D48" s="2" t="e">
        <f ca="1"/>
        <v>#NAME?</v>
      </c>
      <c r="E48" s="2" t="e">
        <f t="shared" ca="1" si="1"/>
        <v>#NAME?</v>
      </c>
      <c r="F48" s="2" t="e">
        <f ca="1"/>
        <v>#NAME?</v>
      </c>
      <c r="G48" s="2" t="e">
        <f t="shared" ca="1" si="2"/>
        <v>#NAME?</v>
      </c>
      <c r="H48" s="2" t="e">
        <f ca="1"/>
        <v>#NAME?</v>
      </c>
      <c r="I48" s="2" t="e">
        <f t="shared" ca="1" si="3"/>
        <v>#NAME?</v>
      </c>
      <c r="J48" s="2" t="e">
        <f ca="1"/>
        <v>#NAME?</v>
      </c>
      <c r="K48" s="2" t="e">
        <f t="shared" ca="1" si="4"/>
        <v>#NAME?</v>
      </c>
      <c r="L48" s="2" t="e">
        <f ca="1"/>
        <v>#NAME?</v>
      </c>
      <c r="M48" s="2" t="e">
        <f t="shared" ca="1" si="5"/>
        <v>#NAME?</v>
      </c>
      <c r="N48" s="2" t="e">
        <f ca="1"/>
        <v>#NAME?</v>
      </c>
      <c r="O48" s="2" t="e">
        <f t="shared" ca="1" si="6"/>
        <v>#NAME?</v>
      </c>
      <c r="P48" s="2" t="e">
        <f ca="1"/>
        <v>#NAME?</v>
      </c>
      <c r="Q48" s="2" t="e">
        <f t="shared" ca="1" si="7"/>
        <v>#NAME?</v>
      </c>
      <c r="R48" s="2" t="e">
        <f ca="1"/>
        <v>#NAME?</v>
      </c>
      <c r="S48" s="2" t="e">
        <f t="shared" ca="1" si="8"/>
        <v>#NAME?</v>
      </c>
      <c r="T48" s="2" t="e">
        <f ca="1"/>
        <v>#NAME?</v>
      </c>
      <c r="U48" s="2" t="e">
        <f t="shared" ca="1" si="9"/>
        <v>#NAME?</v>
      </c>
      <c r="V48" s="2" t="e">
        <f ca="1"/>
        <v>#NAME?</v>
      </c>
      <c r="W48" s="2" t="e">
        <f t="shared" ca="1" si="10"/>
        <v>#NAME?</v>
      </c>
      <c r="X48" s="2" t="e">
        <f ca="1"/>
        <v>#NAME?</v>
      </c>
      <c r="Y48" s="2" t="e">
        <f t="shared" ca="1" si="11"/>
        <v>#NAME?</v>
      </c>
      <c r="Z48" s="2" t="e">
        <f ca="1"/>
        <v>#NAME?</v>
      </c>
      <c r="AA48" s="2" t="e">
        <f t="shared" ca="1" si="12"/>
        <v>#NAME?</v>
      </c>
      <c r="AB48" s="2" t="e">
        <f ca="1"/>
        <v>#NAME?</v>
      </c>
      <c r="AC48" s="2" t="e">
        <f t="shared" ca="1" si="13"/>
        <v>#NAME?</v>
      </c>
      <c r="AD48" s="2" t="e">
        <f ca="1"/>
        <v>#NAME?</v>
      </c>
      <c r="AE48" s="2" t="e">
        <f t="shared" ca="1" si="14"/>
        <v>#NAME?</v>
      </c>
      <c r="AF48" s="2" t="e">
        <f ca="1"/>
        <v>#NAME?</v>
      </c>
      <c r="AG48" s="2" t="e">
        <f t="shared" ca="1" si="15"/>
        <v>#NAME?</v>
      </c>
      <c r="AH48" s="2" t="e">
        <f ca="1"/>
        <v>#NAME?</v>
      </c>
      <c r="AI48" s="2" t="e">
        <f t="shared" ca="1" si="16"/>
        <v>#NAME?</v>
      </c>
      <c r="AJ48" s="2" t="e">
        <f ca="1"/>
        <v>#NAME?</v>
      </c>
      <c r="AK48" s="2" t="e">
        <f t="shared" ca="1" si="17"/>
        <v>#NAME?</v>
      </c>
      <c r="AL48" s="2" t="e">
        <f ca="1"/>
        <v>#NAME?</v>
      </c>
      <c r="AM48" s="2" t="e">
        <f t="shared" ca="1" si="18"/>
        <v>#NAME?</v>
      </c>
      <c r="AN48" s="2" t="e">
        <f ca="1"/>
        <v>#NAME?</v>
      </c>
      <c r="AO48" s="2" t="e">
        <f t="shared" ca="1" si="19"/>
        <v>#NAME?</v>
      </c>
      <c r="AP48" s="2" t="e">
        <f ca="1"/>
        <v>#NAME?</v>
      </c>
      <c r="AQ48" s="2" t="e">
        <f t="shared" ca="1" si="20"/>
        <v>#NAME?</v>
      </c>
      <c r="AR48" s="2" t="e">
        <f ca="1"/>
        <v>#NAME?</v>
      </c>
      <c r="AS48" s="2" t="e">
        <f t="shared" ca="1" si="21"/>
        <v>#NAME?</v>
      </c>
      <c r="AT48" s="2" t="e">
        <f ca="1"/>
        <v>#NAME?</v>
      </c>
      <c r="AU48" s="2" t="e">
        <f t="shared" ca="1" si="22"/>
        <v>#NAME?</v>
      </c>
      <c r="AV48" s="2" t="e">
        <f ca="1"/>
        <v>#NAME?</v>
      </c>
      <c r="AW48" s="2" t="e">
        <f t="shared" ca="1" si="23"/>
        <v>#NAME?</v>
      </c>
      <c r="AX48" s="2" t="e">
        <f ca="1"/>
        <v>#NAME?</v>
      </c>
      <c r="AY48" s="2" t="e">
        <f t="shared" ca="1" si="24"/>
        <v>#NAME?</v>
      </c>
      <c r="AZ48" s="2" t="e">
        <f ca="1"/>
        <v>#NAME?</v>
      </c>
      <c r="BA48" s="2" t="e">
        <f t="shared" ca="1" si="25"/>
        <v>#NAME?</v>
      </c>
      <c r="BB48" s="2" t="e">
        <f ca="1"/>
        <v>#NAME?</v>
      </c>
      <c r="BC48" s="2" t="e">
        <f t="shared" ca="1" si="26"/>
        <v>#NAME?</v>
      </c>
      <c r="BD48" s="2" t="e">
        <f ca="1"/>
        <v>#NAME?</v>
      </c>
      <c r="BE48" s="2" t="e">
        <f t="shared" ca="1" si="27"/>
        <v>#NAME?</v>
      </c>
      <c r="BF48" s="2" t="e">
        <f ca="1"/>
        <v>#NAME?</v>
      </c>
      <c r="BG48" s="2" t="e">
        <f t="shared" ca="1" si="28"/>
        <v>#NAME?</v>
      </c>
      <c r="BH48" s="2" t="e">
        <f ca="1"/>
        <v>#NAME?</v>
      </c>
      <c r="BI48" s="2" t="e">
        <f t="shared" ca="1" si="29"/>
        <v>#NAME?</v>
      </c>
      <c r="BJ48" s="2" t="e">
        <f ca="1"/>
        <v>#NAME?</v>
      </c>
      <c r="BK48" s="2" t="e">
        <f t="shared" ca="1" si="30"/>
        <v>#NAME?</v>
      </c>
      <c r="BL48" s="2" t="e">
        <f ca="1"/>
        <v>#NAME?</v>
      </c>
      <c r="BM48" s="2" t="e">
        <f t="shared" ca="1" si="31"/>
        <v>#NAME?</v>
      </c>
      <c r="BN48" s="2" t="e">
        <f ca="1"/>
        <v>#NAME?</v>
      </c>
      <c r="BO48" s="2" t="e">
        <f t="shared" ca="1" si="32"/>
        <v>#NAME?</v>
      </c>
      <c r="BP48" s="2" t="e">
        <f ca="1"/>
        <v>#NAME?</v>
      </c>
      <c r="BQ48" s="2" t="e">
        <f t="shared" ca="1" si="33"/>
        <v>#NAME?</v>
      </c>
      <c r="BR48" s="2" t="e">
        <f ca="1"/>
        <v>#NAME?</v>
      </c>
      <c r="BS48" s="2" t="e">
        <f t="shared" ca="1" si="34"/>
        <v>#NAME?</v>
      </c>
      <c r="BT48" s="2" t="e">
        <f ca="1"/>
        <v>#NAME?</v>
      </c>
      <c r="BU48" s="2" t="e">
        <f t="shared" ca="1" si="35"/>
        <v>#NAME?</v>
      </c>
      <c r="BV48" s="2" t="e">
        <f ca="1"/>
        <v>#NAME?</v>
      </c>
      <c r="BW48" s="2" t="e">
        <f t="shared" ca="1" si="36"/>
        <v>#NAME?</v>
      </c>
      <c r="BX48" s="2" t="e">
        <f ca="1"/>
        <v>#NAME?</v>
      </c>
      <c r="BY48" s="2" t="e">
        <f t="shared" ca="1" si="37"/>
        <v>#NAME?</v>
      </c>
      <c r="BZ48" s="2" t="e">
        <f ca="1"/>
        <v>#NAME?</v>
      </c>
      <c r="CA48" s="2" t="e">
        <f t="shared" ca="1" si="38"/>
        <v>#NAME?</v>
      </c>
      <c r="CB48" s="2" t="e">
        <f ca="1"/>
        <v>#NAME?</v>
      </c>
      <c r="CC48" s="2" t="e">
        <f t="shared" ca="1" si="39"/>
        <v>#NAME?</v>
      </c>
      <c r="CD48" s="2" t="e">
        <f ca="1"/>
        <v>#NAME?</v>
      </c>
      <c r="CE48" s="2" t="e">
        <f t="shared" ca="1" si="40"/>
        <v>#NAME?</v>
      </c>
      <c r="CF48" s="2" t="e">
        <f ca="1"/>
        <v>#NAME?</v>
      </c>
      <c r="CG48" s="2" t="e">
        <f t="shared" ca="1" si="41"/>
        <v>#NAME?</v>
      </c>
      <c r="CH48" s="2" t="e">
        <f ca="1"/>
        <v>#NAME?</v>
      </c>
      <c r="CI48" s="2" t="e">
        <f t="shared" ca="1" si="42"/>
        <v>#NAME?</v>
      </c>
      <c r="CJ48" s="2" t="e">
        <f ca="1"/>
        <v>#NAME?</v>
      </c>
      <c r="CK48" s="2" t="e">
        <f t="shared" ca="1" si="43"/>
        <v>#NAME?</v>
      </c>
      <c r="CL48" s="2" t="e">
        <f ca="1"/>
        <v>#NAME?</v>
      </c>
      <c r="CM48" s="2" t="e">
        <f t="shared" ca="1" si="44"/>
        <v>#NAME?</v>
      </c>
      <c r="CN48" s="2" t="e">
        <f ca="1"/>
        <v>#NAME?</v>
      </c>
      <c r="CO48" s="2" t="e">
        <f t="shared" ca="1" si="45"/>
        <v>#NAME?</v>
      </c>
      <c r="CP48" s="2" t="e">
        <f ca="1"/>
        <v>#NAME?</v>
      </c>
      <c r="CQ48" s="2" t="e">
        <f t="shared" ca="1" si="46"/>
        <v>#NAME?</v>
      </c>
    </row>
    <row r="49" spans="1:95">
      <c r="A49" s="7" t="e">
        <f ca="1"/>
        <v>#NAME?</v>
      </c>
      <c r="B49" s="2" t="e">
        <f ca="1"/>
        <v>#NAME?</v>
      </c>
      <c r="C49" s="2" t="e">
        <f t="shared" ca="1" si="0"/>
        <v>#NAME?</v>
      </c>
      <c r="D49" s="2" t="e">
        <f ca="1"/>
        <v>#NAME?</v>
      </c>
      <c r="E49" s="2" t="e">
        <f t="shared" ca="1" si="1"/>
        <v>#NAME?</v>
      </c>
      <c r="F49" s="2" t="e">
        <f ca="1"/>
        <v>#NAME?</v>
      </c>
      <c r="G49" s="2" t="e">
        <f t="shared" ca="1" si="2"/>
        <v>#NAME?</v>
      </c>
      <c r="H49" s="2" t="e">
        <f ca="1"/>
        <v>#NAME?</v>
      </c>
      <c r="I49" s="2" t="e">
        <f t="shared" ca="1" si="3"/>
        <v>#NAME?</v>
      </c>
      <c r="J49" s="2" t="e">
        <f ca="1"/>
        <v>#NAME?</v>
      </c>
      <c r="K49" s="2" t="e">
        <f t="shared" ca="1" si="4"/>
        <v>#NAME?</v>
      </c>
      <c r="L49" s="2" t="e">
        <f ca="1"/>
        <v>#NAME?</v>
      </c>
      <c r="M49" s="2" t="e">
        <f t="shared" ca="1" si="5"/>
        <v>#NAME?</v>
      </c>
      <c r="N49" s="2" t="e">
        <f ca="1"/>
        <v>#NAME?</v>
      </c>
      <c r="O49" s="2" t="e">
        <f t="shared" ca="1" si="6"/>
        <v>#NAME?</v>
      </c>
      <c r="P49" s="2" t="e">
        <f ca="1"/>
        <v>#NAME?</v>
      </c>
      <c r="Q49" s="2" t="e">
        <f t="shared" ca="1" si="7"/>
        <v>#NAME?</v>
      </c>
      <c r="R49" s="2" t="e">
        <f ca="1"/>
        <v>#NAME?</v>
      </c>
      <c r="S49" s="2" t="e">
        <f t="shared" ca="1" si="8"/>
        <v>#NAME?</v>
      </c>
      <c r="T49" s="2" t="e">
        <f ca="1"/>
        <v>#NAME?</v>
      </c>
      <c r="U49" s="2" t="e">
        <f t="shared" ca="1" si="9"/>
        <v>#NAME?</v>
      </c>
      <c r="V49" s="2" t="e">
        <f ca="1"/>
        <v>#NAME?</v>
      </c>
      <c r="W49" s="2" t="e">
        <f t="shared" ca="1" si="10"/>
        <v>#NAME?</v>
      </c>
      <c r="X49" s="2" t="e">
        <f ca="1"/>
        <v>#NAME?</v>
      </c>
      <c r="Y49" s="2" t="e">
        <f t="shared" ca="1" si="11"/>
        <v>#NAME?</v>
      </c>
      <c r="Z49" s="2" t="e">
        <f ca="1"/>
        <v>#NAME?</v>
      </c>
      <c r="AA49" s="2" t="e">
        <f t="shared" ca="1" si="12"/>
        <v>#NAME?</v>
      </c>
      <c r="AB49" s="2" t="e">
        <f ca="1"/>
        <v>#NAME?</v>
      </c>
      <c r="AC49" s="2" t="e">
        <f t="shared" ca="1" si="13"/>
        <v>#NAME?</v>
      </c>
      <c r="AD49" s="2" t="e">
        <f ca="1"/>
        <v>#NAME?</v>
      </c>
      <c r="AE49" s="2" t="e">
        <f t="shared" ca="1" si="14"/>
        <v>#NAME?</v>
      </c>
      <c r="AF49" s="2" t="e">
        <f ca="1"/>
        <v>#NAME?</v>
      </c>
      <c r="AG49" s="2" t="e">
        <f t="shared" ca="1" si="15"/>
        <v>#NAME?</v>
      </c>
      <c r="AH49" s="2" t="e">
        <f ca="1"/>
        <v>#NAME?</v>
      </c>
      <c r="AI49" s="2" t="e">
        <f t="shared" ca="1" si="16"/>
        <v>#NAME?</v>
      </c>
      <c r="AJ49" s="2" t="e">
        <f ca="1"/>
        <v>#NAME?</v>
      </c>
      <c r="AK49" s="2" t="e">
        <f t="shared" ca="1" si="17"/>
        <v>#NAME?</v>
      </c>
      <c r="AL49" s="2" t="e">
        <f ca="1"/>
        <v>#NAME?</v>
      </c>
      <c r="AM49" s="2" t="e">
        <f t="shared" ca="1" si="18"/>
        <v>#NAME?</v>
      </c>
      <c r="AN49" s="2" t="e">
        <f ca="1"/>
        <v>#NAME?</v>
      </c>
      <c r="AO49" s="2" t="e">
        <f t="shared" ca="1" si="19"/>
        <v>#NAME?</v>
      </c>
      <c r="AP49" s="2" t="e">
        <f ca="1"/>
        <v>#NAME?</v>
      </c>
      <c r="AQ49" s="2" t="e">
        <f t="shared" ca="1" si="20"/>
        <v>#NAME?</v>
      </c>
      <c r="AR49" s="2" t="e">
        <f ca="1"/>
        <v>#NAME?</v>
      </c>
      <c r="AS49" s="2" t="e">
        <f t="shared" ca="1" si="21"/>
        <v>#NAME?</v>
      </c>
      <c r="AT49" s="2" t="e">
        <f ca="1"/>
        <v>#NAME?</v>
      </c>
      <c r="AU49" s="2" t="e">
        <f t="shared" ca="1" si="22"/>
        <v>#NAME?</v>
      </c>
      <c r="AV49" s="2" t="e">
        <f ca="1"/>
        <v>#NAME?</v>
      </c>
      <c r="AW49" s="2" t="e">
        <f t="shared" ca="1" si="23"/>
        <v>#NAME?</v>
      </c>
      <c r="AX49" s="2" t="e">
        <f ca="1"/>
        <v>#NAME?</v>
      </c>
      <c r="AY49" s="2" t="e">
        <f t="shared" ca="1" si="24"/>
        <v>#NAME?</v>
      </c>
      <c r="AZ49" s="2" t="e">
        <f ca="1"/>
        <v>#NAME?</v>
      </c>
      <c r="BA49" s="2" t="e">
        <f t="shared" ca="1" si="25"/>
        <v>#NAME?</v>
      </c>
      <c r="BB49" s="2" t="e">
        <f ca="1"/>
        <v>#NAME?</v>
      </c>
      <c r="BC49" s="2" t="e">
        <f t="shared" ca="1" si="26"/>
        <v>#NAME?</v>
      </c>
      <c r="BD49" s="2" t="e">
        <f ca="1"/>
        <v>#NAME?</v>
      </c>
      <c r="BE49" s="2" t="e">
        <f t="shared" ca="1" si="27"/>
        <v>#NAME?</v>
      </c>
      <c r="BF49" s="2" t="e">
        <f ca="1"/>
        <v>#NAME?</v>
      </c>
      <c r="BG49" s="2" t="e">
        <f t="shared" ca="1" si="28"/>
        <v>#NAME?</v>
      </c>
      <c r="BH49" s="2" t="e">
        <f ca="1"/>
        <v>#NAME?</v>
      </c>
      <c r="BI49" s="2" t="e">
        <f t="shared" ca="1" si="29"/>
        <v>#NAME?</v>
      </c>
      <c r="BJ49" s="2" t="e">
        <f ca="1"/>
        <v>#NAME?</v>
      </c>
      <c r="BK49" s="2" t="e">
        <f t="shared" ca="1" si="30"/>
        <v>#NAME?</v>
      </c>
      <c r="BL49" s="2" t="e">
        <f ca="1"/>
        <v>#NAME?</v>
      </c>
      <c r="BM49" s="2" t="e">
        <f t="shared" ca="1" si="31"/>
        <v>#NAME?</v>
      </c>
      <c r="BN49" s="2" t="e">
        <f ca="1"/>
        <v>#NAME?</v>
      </c>
      <c r="BO49" s="2" t="e">
        <f t="shared" ca="1" si="32"/>
        <v>#NAME?</v>
      </c>
      <c r="BP49" s="2" t="e">
        <f ca="1"/>
        <v>#NAME?</v>
      </c>
      <c r="BQ49" s="2" t="e">
        <f t="shared" ca="1" si="33"/>
        <v>#NAME?</v>
      </c>
      <c r="BR49" s="2" t="e">
        <f ca="1"/>
        <v>#NAME?</v>
      </c>
      <c r="BS49" s="2" t="e">
        <f t="shared" ca="1" si="34"/>
        <v>#NAME?</v>
      </c>
      <c r="BT49" s="2" t="e">
        <f ca="1"/>
        <v>#NAME?</v>
      </c>
      <c r="BU49" s="2" t="e">
        <f t="shared" ca="1" si="35"/>
        <v>#NAME?</v>
      </c>
      <c r="BV49" s="2" t="e">
        <f ca="1"/>
        <v>#NAME?</v>
      </c>
      <c r="BW49" s="2" t="e">
        <f t="shared" ca="1" si="36"/>
        <v>#NAME?</v>
      </c>
      <c r="BX49" s="2" t="e">
        <f ca="1"/>
        <v>#NAME?</v>
      </c>
      <c r="BY49" s="2" t="e">
        <f t="shared" ca="1" si="37"/>
        <v>#NAME?</v>
      </c>
      <c r="BZ49" s="2" t="e">
        <f ca="1"/>
        <v>#NAME?</v>
      </c>
      <c r="CA49" s="2" t="e">
        <f t="shared" ca="1" si="38"/>
        <v>#NAME?</v>
      </c>
      <c r="CB49" s="2" t="e">
        <f ca="1"/>
        <v>#NAME?</v>
      </c>
      <c r="CC49" s="2" t="e">
        <f t="shared" ca="1" si="39"/>
        <v>#NAME?</v>
      </c>
      <c r="CD49" s="2" t="e">
        <f ca="1"/>
        <v>#NAME?</v>
      </c>
      <c r="CE49" s="2" t="e">
        <f t="shared" ca="1" si="40"/>
        <v>#NAME?</v>
      </c>
      <c r="CF49" s="2" t="e">
        <f ca="1"/>
        <v>#NAME?</v>
      </c>
      <c r="CG49" s="2" t="e">
        <f t="shared" ca="1" si="41"/>
        <v>#NAME?</v>
      </c>
      <c r="CH49" s="2" t="e">
        <f ca="1"/>
        <v>#NAME?</v>
      </c>
      <c r="CI49" s="2" t="e">
        <f t="shared" ca="1" si="42"/>
        <v>#NAME?</v>
      </c>
      <c r="CJ49" s="2" t="e">
        <f ca="1"/>
        <v>#NAME?</v>
      </c>
      <c r="CK49" s="2" t="e">
        <f t="shared" ca="1" si="43"/>
        <v>#NAME?</v>
      </c>
      <c r="CL49" s="2" t="e">
        <f ca="1"/>
        <v>#NAME?</v>
      </c>
      <c r="CM49" s="2" t="e">
        <f t="shared" ca="1" si="44"/>
        <v>#NAME?</v>
      </c>
      <c r="CN49" s="2" t="e">
        <f ca="1"/>
        <v>#NAME?</v>
      </c>
      <c r="CO49" s="2" t="e">
        <f t="shared" ca="1" si="45"/>
        <v>#NAME?</v>
      </c>
      <c r="CP49" s="2" t="e">
        <f ca="1"/>
        <v>#NAME?</v>
      </c>
      <c r="CQ49" s="2" t="e">
        <f t="shared" ca="1" si="46"/>
        <v>#NAME?</v>
      </c>
    </row>
    <row r="50" spans="1:95">
      <c r="A50" s="7" t="e">
        <f ca="1"/>
        <v>#NAME?</v>
      </c>
      <c r="B50" s="2" t="e">
        <f ca="1"/>
        <v>#NAME?</v>
      </c>
      <c r="C50" s="2" t="e">
        <f t="shared" ca="1" si="0"/>
        <v>#NAME?</v>
      </c>
      <c r="D50" s="2" t="e">
        <f ca="1"/>
        <v>#NAME?</v>
      </c>
      <c r="E50" s="2" t="e">
        <f t="shared" ca="1" si="1"/>
        <v>#NAME?</v>
      </c>
      <c r="F50" s="2" t="e">
        <f ca="1"/>
        <v>#NAME?</v>
      </c>
      <c r="G50" s="2" t="e">
        <f t="shared" ca="1" si="2"/>
        <v>#NAME?</v>
      </c>
      <c r="H50" s="2" t="e">
        <f ca="1"/>
        <v>#NAME?</v>
      </c>
      <c r="I50" s="2" t="e">
        <f t="shared" ca="1" si="3"/>
        <v>#NAME?</v>
      </c>
      <c r="J50" s="2" t="e">
        <f ca="1"/>
        <v>#NAME?</v>
      </c>
      <c r="K50" s="2" t="e">
        <f t="shared" ca="1" si="4"/>
        <v>#NAME?</v>
      </c>
      <c r="L50" s="2" t="e">
        <f ca="1"/>
        <v>#NAME?</v>
      </c>
      <c r="M50" s="2" t="e">
        <f t="shared" ca="1" si="5"/>
        <v>#NAME?</v>
      </c>
      <c r="N50" s="2" t="e">
        <f ca="1"/>
        <v>#NAME?</v>
      </c>
      <c r="O50" s="2" t="e">
        <f t="shared" ca="1" si="6"/>
        <v>#NAME?</v>
      </c>
      <c r="P50" s="2" t="e">
        <f ca="1"/>
        <v>#NAME?</v>
      </c>
      <c r="Q50" s="2" t="e">
        <f t="shared" ca="1" si="7"/>
        <v>#NAME?</v>
      </c>
      <c r="R50" s="2" t="e">
        <f ca="1"/>
        <v>#NAME?</v>
      </c>
      <c r="S50" s="2" t="e">
        <f t="shared" ca="1" si="8"/>
        <v>#NAME?</v>
      </c>
      <c r="T50" s="2" t="e">
        <f ca="1"/>
        <v>#NAME?</v>
      </c>
      <c r="U50" s="2" t="e">
        <f t="shared" ca="1" si="9"/>
        <v>#NAME?</v>
      </c>
      <c r="V50" s="2" t="e">
        <f ca="1"/>
        <v>#NAME?</v>
      </c>
      <c r="W50" s="2" t="e">
        <f t="shared" ca="1" si="10"/>
        <v>#NAME?</v>
      </c>
      <c r="X50" s="2" t="e">
        <f ca="1"/>
        <v>#NAME?</v>
      </c>
      <c r="Y50" s="2" t="e">
        <f t="shared" ca="1" si="11"/>
        <v>#NAME?</v>
      </c>
      <c r="Z50" s="2" t="e">
        <f ca="1"/>
        <v>#NAME?</v>
      </c>
      <c r="AA50" s="2" t="e">
        <f t="shared" ca="1" si="12"/>
        <v>#NAME?</v>
      </c>
      <c r="AB50" s="2" t="e">
        <f ca="1"/>
        <v>#NAME?</v>
      </c>
      <c r="AC50" s="2" t="e">
        <f t="shared" ca="1" si="13"/>
        <v>#NAME?</v>
      </c>
      <c r="AD50" s="2" t="e">
        <f ca="1"/>
        <v>#NAME?</v>
      </c>
      <c r="AE50" s="2" t="e">
        <f t="shared" ca="1" si="14"/>
        <v>#NAME?</v>
      </c>
      <c r="AF50" s="2" t="e">
        <f ca="1"/>
        <v>#NAME?</v>
      </c>
      <c r="AG50" s="2" t="e">
        <f t="shared" ca="1" si="15"/>
        <v>#NAME?</v>
      </c>
      <c r="AH50" s="2" t="e">
        <f ca="1"/>
        <v>#NAME?</v>
      </c>
      <c r="AI50" s="2" t="e">
        <f t="shared" ca="1" si="16"/>
        <v>#NAME?</v>
      </c>
      <c r="AJ50" s="2" t="e">
        <f ca="1"/>
        <v>#NAME?</v>
      </c>
      <c r="AK50" s="2" t="e">
        <f t="shared" ca="1" si="17"/>
        <v>#NAME?</v>
      </c>
      <c r="AL50" s="2" t="e">
        <f ca="1"/>
        <v>#NAME?</v>
      </c>
      <c r="AM50" s="2" t="e">
        <f t="shared" ca="1" si="18"/>
        <v>#NAME?</v>
      </c>
      <c r="AN50" s="2" t="e">
        <f ca="1"/>
        <v>#NAME?</v>
      </c>
      <c r="AO50" s="2" t="e">
        <f t="shared" ca="1" si="19"/>
        <v>#NAME?</v>
      </c>
      <c r="AP50" s="2" t="e">
        <f ca="1"/>
        <v>#NAME?</v>
      </c>
      <c r="AQ50" s="2" t="e">
        <f t="shared" ca="1" si="20"/>
        <v>#NAME?</v>
      </c>
      <c r="AR50" s="2" t="e">
        <f ca="1"/>
        <v>#NAME?</v>
      </c>
      <c r="AS50" s="2" t="e">
        <f t="shared" ca="1" si="21"/>
        <v>#NAME?</v>
      </c>
      <c r="AT50" s="2" t="e">
        <f ca="1"/>
        <v>#NAME?</v>
      </c>
      <c r="AU50" s="2" t="e">
        <f t="shared" ca="1" si="22"/>
        <v>#NAME?</v>
      </c>
      <c r="AV50" s="2" t="e">
        <f ca="1"/>
        <v>#NAME?</v>
      </c>
      <c r="AW50" s="2" t="e">
        <f t="shared" ca="1" si="23"/>
        <v>#NAME?</v>
      </c>
      <c r="AX50" s="2" t="e">
        <f ca="1"/>
        <v>#NAME?</v>
      </c>
      <c r="AY50" s="2" t="e">
        <f t="shared" ca="1" si="24"/>
        <v>#NAME?</v>
      </c>
      <c r="AZ50" s="2" t="e">
        <f ca="1"/>
        <v>#NAME?</v>
      </c>
      <c r="BA50" s="2" t="e">
        <f t="shared" ca="1" si="25"/>
        <v>#NAME?</v>
      </c>
      <c r="BB50" s="2" t="e">
        <f ca="1"/>
        <v>#NAME?</v>
      </c>
      <c r="BC50" s="2" t="e">
        <f t="shared" ca="1" si="26"/>
        <v>#NAME?</v>
      </c>
      <c r="BD50" s="2" t="e">
        <f ca="1"/>
        <v>#NAME?</v>
      </c>
      <c r="BE50" s="2" t="e">
        <f t="shared" ca="1" si="27"/>
        <v>#NAME?</v>
      </c>
      <c r="BF50" s="2" t="e">
        <f ca="1"/>
        <v>#NAME?</v>
      </c>
      <c r="BG50" s="2" t="e">
        <f t="shared" ca="1" si="28"/>
        <v>#NAME?</v>
      </c>
      <c r="BH50" s="2" t="e">
        <f ca="1"/>
        <v>#NAME?</v>
      </c>
      <c r="BI50" s="2" t="e">
        <f t="shared" ca="1" si="29"/>
        <v>#NAME?</v>
      </c>
      <c r="BJ50" s="2" t="e">
        <f ca="1"/>
        <v>#NAME?</v>
      </c>
      <c r="BK50" s="2" t="e">
        <f t="shared" ca="1" si="30"/>
        <v>#NAME?</v>
      </c>
      <c r="BL50" s="2" t="e">
        <f ca="1"/>
        <v>#NAME?</v>
      </c>
      <c r="BM50" s="2" t="e">
        <f t="shared" ca="1" si="31"/>
        <v>#NAME?</v>
      </c>
      <c r="BN50" s="2" t="e">
        <f ca="1"/>
        <v>#NAME?</v>
      </c>
      <c r="BO50" s="2" t="e">
        <f t="shared" ca="1" si="32"/>
        <v>#NAME?</v>
      </c>
      <c r="BP50" s="2" t="e">
        <f ca="1"/>
        <v>#NAME?</v>
      </c>
      <c r="BQ50" s="2" t="e">
        <f t="shared" ca="1" si="33"/>
        <v>#NAME?</v>
      </c>
      <c r="BR50" s="2" t="e">
        <f ca="1"/>
        <v>#NAME?</v>
      </c>
      <c r="BS50" s="2" t="e">
        <f t="shared" ca="1" si="34"/>
        <v>#NAME?</v>
      </c>
      <c r="BT50" s="2" t="e">
        <f ca="1"/>
        <v>#NAME?</v>
      </c>
      <c r="BU50" s="2" t="e">
        <f t="shared" ca="1" si="35"/>
        <v>#NAME?</v>
      </c>
      <c r="BV50" s="2" t="e">
        <f ca="1"/>
        <v>#NAME?</v>
      </c>
      <c r="BW50" s="2" t="e">
        <f t="shared" ca="1" si="36"/>
        <v>#NAME?</v>
      </c>
      <c r="BX50" s="2" t="e">
        <f ca="1"/>
        <v>#NAME?</v>
      </c>
      <c r="BY50" s="2" t="e">
        <f t="shared" ca="1" si="37"/>
        <v>#NAME?</v>
      </c>
      <c r="BZ50" s="2" t="e">
        <f ca="1"/>
        <v>#NAME?</v>
      </c>
      <c r="CA50" s="2" t="e">
        <f t="shared" ca="1" si="38"/>
        <v>#NAME?</v>
      </c>
      <c r="CB50" s="2" t="e">
        <f ca="1"/>
        <v>#NAME?</v>
      </c>
      <c r="CC50" s="2" t="e">
        <f t="shared" ca="1" si="39"/>
        <v>#NAME?</v>
      </c>
      <c r="CD50" s="2" t="e">
        <f ca="1"/>
        <v>#NAME?</v>
      </c>
      <c r="CE50" s="2" t="e">
        <f t="shared" ca="1" si="40"/>
        <v>#NAME?</v>
      </c>
      <c r="CF50" s="2" t="e">
        <f ca="1"/>
        <v>#NAME?</v>
      </c>
      <c r="CG50" s="2" t="e">
        <f t="shared" ca="1" si="41"/>
        <v>#NAME?</v>
      </c>
      <c r="CH50" s="2" t="e">
        <f ca="1"/>
        <v>#NAME?</v>
      </c>
      <c r="CI50" s="2" t="e">
        <f t="shared" ca="1" si="42"/>
        <v>#NAME?</v>
      </c>
      <c r="CJ50" s="2" t="e">
        <f ca="1"/>
        <v>#NAME?</v>
      </c>
      <c r="CK50" s="2" t="e">
        <f t="shared" ca="1" si="43"/>
        <v>#NAME?</v>
      </c>
      <c r="CL50" s="2" t="e">
        <f ca="1"/>
        <v>#NAME?</v>
      </c>
      <c r="CM50" s="2" t="e">
        <f t="shared" ca="1" si="44"/>
        <v>#NAME?</v>
      </c>
      <c r="CN50" s="2" t="e">
        <f ca="1"/>
        <v>#NAME?</v>
      </c>
      <c r="CO50" s="2" t="e">
        <f t="shared" ca="1" si="45"/>
        <v>#NAME?</v>
      </c>
      <c r="CP50" s="2" t="e">
        <f ca="1"/>
        <v>#NAME?</v>
      </c>
      <c r="CQ50" s="2" t="e">
        <f t="shared" ca="1" si="46"/>
        <v>#NAME?</v>
      </c>
    </row>
    <row r="51" spans="1:95">
      <c r="A51" s="7" t="e">
        <f ca="1"/>
        <v>#NAME?</v>
      </c>
      <c r="B51" s="2" t="e">
        <f ca="1"/>
        <v>#NAME?</v>
      </c>
      <c r="C51" s="2" t="e">
        <f t="shared" ca="1" si="0"/>
        <v>#NAME?</v>
      </c>
      <c r="D51" s="2" t="e">
        <f ca="1"/>
        <v>#NAME?</v>
      </c>
      <c r="E51" s="2" t="e">
        <f t="shared" ca="1" si="1"/>
        <v>#NAME?</v>
      </c>
      <c r="F51" s="2" t="e">
        <f ca="1"/>
        <v>#NAME?</v>
      </c>
      <c r="G51" s="2" t="e">
        <f t="shared" ca="1" si="2"/>
        <v>#NAME?</v>
      </c>
      <c r="H51" s="2" t="e">
        <f ca="1"/>
        <v>#NAME?</v>
      </c>
      <c r="I51" s="2" t="e">
        <f t="shared" ca="1" si="3"/>
        <v>#NAME?</v>
      </c>
      <c r="J51" s="2" t="e">
        <f ca="1"/>
        <v>#NAME?</v>
      </c>
      <c r="K51" s="2" t="e">
        <f t="shared" ca="1" si="4"/>
        <v>#NAME?</v>
      </c>
      <c r="L51" s="2" t="e">
        <f ca="1"/>
        <v>#NAME?</v>
      </c>
      <c r="M51" s="2" t="e">
        <f t="shared" ca="1" si="5"/>
        <v>#NAME?</v>
      </c>
      <c r="N51" s="2" t="e">
        <f ca="1"/>
        <v>#NAME?</v>
      </c>
      <c r="O51" s="2" t="e">
        <f t="shared" ca="1" si="6"/>
        <v>#NAME?</v>
      </c>
      <c r="P51" s="2" t="e">
        <f ca="1"/>
        <v>#NAME?</v>
      </c>
      <c r="Q51" s="2" t="e">
        <f t="shared" ca="1" si="7"/>
        <v>#NAME?</v>
      </c>
      <c r="R51" s="2" t="e">
        <f ca="1"/>
        <v>#NAME?</v>
      </c>
      <c r="S51" s="2" t="e">
        <f t="shared" ca="1" si="8"/>
        <v>#NAME?</v>
      </c>
      <c r="T51" s="2" t="e">
        <f ca="1"/>
        <v>#NAME?</v>
      </c>
      <c r="U51" s="2" t="e">
        <f t="shared" ca="1" si="9"/>
        <v>#NAME?</v>
      </c>
      <c r="V51" s="2" t="e">
        <f ca="1"/>
        <v>#NAME?</v>
      </c>
      <c r="W51" s="2" t="e">
        <f t="shared" ca="1" si="10"/>
        <v>#NAME?</v>
      </c>
      <c r="X51" s="2" t="e">
        <f ca="1"/>
        <v>#NAME?</v>
      </c>
      <c r="Y51" s="2" t="e">
        <f t="shared" ca="1" si="11"/>
        <v>#NAME?</v>
      </c>
      <c r="Z51" s="2" t="e">
        <f ca="1"/>
        <v>#NAME?</v>
      </c>
      <c r="AA51" s="2" t="e">
        <f t="shared" ca="1" si="12"/>
        <v>#NAME?</v>
      </c>
      <c r="AB51" s="2" t="e">
        <f ca="1"/>
        <v>#NAME?</v>
      </c>
      <c r="AC51" s="2" t="e">
        <f t="shared" ca="1" si="13"/>
        <v>#NAME?</v>
      </c>
      <c r="AD51" s="2" t="e">
        <f ca="1"/>
        <v>#NAME?</v>
      </c>
      <c r="AE51" s="2" t="e">
        <f t="shared" ca="1" si="14"/>
        <v>#NAME?</v>
      </c>
      <c r="AF51" s="2" t="e">
        <f ca="1"/>
        <v>#NAME?</v>
      </c>
      <c r="AG51" s="2" t="e">
        <f t="shared" ca="1" si="15"/>
        <v>#NAME?</v>
      </c>
      <c r="AH51" s="2" t="e">
        <f ca="1"/>
        <v>#NAME?</v>
      </c>
      <c r="AI51" s="2" t="e">
        <f t="shared" ca="1" si="16"/>
        <v>#NAME?</v>
      </c>
      <c r="AJ51" s="2" t="e">
        <f ca="1"/>
        <v>#NAME?</v>
      </c>
      <c r="AK51" s="2" t="e">
        <f t="shared" ca="1" si="17"/>
        <v>#NAME?</v>
      </c>
      <c r="AL51" s="2" t="e">
        <f ca="1"/>
        <v>#NAME?</v>
      </c>
      <c r="AM51" s="2" t="e">
        <f t="shared" ca="1" si="18"/>
        <v>#NAME?</v>
      </c>
      <c r="AN51" s="2" t="e">
        <f ca="1"/>
        <v>#NAME?</v>
      </c>
      <c r="AO51" s="2" t="e">
        <f t="shared" ca="1" si="19"/>
        <v>#NAME?</v>
      </c>
      <c r="AP51" s="2" t="e">
        <f ca="1"/>
        <v>#NAME?</v>
      </c>
      <c r="AQ51" s="2" t="e">
        <f t="shared" ca="1" si="20"/>
        <v>#NAME?</v>
      </c>
      <c r="AR51" s="2" t="e">
        <f ca="1"/>
        <v>#NAME?</v>
      </c>
      <c r="AS51" s="2" t="e">
        <f t="shared" ca="1" si="21"/>
        <v>#NAME?</v>
      </c>
      <c r="AT51" s="2" t="e">
        <f ca="1"/>
        <v>#NAME?</v>
      </c>
      <c r="AU51" s="2" t="e">
        <f t="shared" ca="1" si="22"/>
        <v>#NAME?</v>
      </c>
      <c r="AV51" s="2" t="e">
        <f ca="1"/>
        <v>#NAME?</v>
      </c>
      <c r="AW51" s="2" t="e">
        <f t="shared" ca="1" si="23"/>
        <v>#NAME?</v>
      </c>
      <c r="AX51" s="2" t="e">
        <f ca="1"/>
        <v>#NAME?</v>
      </c>
      <c r="AY51" s="2" t="e">
        <f t="shared" ca="1" si="24"/>
        <v>#NAME?</v>
      </c>
      <c r="AZ51" s="2" t="e">
        <f ca="1"/>
        <v>#NAME?</v>
      </c>
      <c r="BA51" s="2" t="e">
        <f t="shared" ca="1" si="25"/>
        <v>#NAME?</v>
      </c>
      <c r="BB51" s="2" t="e">
        <f ca="1"/>
        <v>#NAME?</v>
      </c>
      <c r="BC51" s="2" t="e">
        <f t="shared" ca="1" si="26"/>
        <v>#NAME?</v>
      </c>
      <c r="BD51" s="2" t="e">
        <f ca="1"/>
        <v>#NAME?</v>
      </c>
      <c r="BE51" s="2" t="e">
        <f t="shared" ca="1" si="27"/>
        <v>#NAME?</v>
      </c>
      <c r="BF51" s="2" t="e">
        <f ca="1"/>
        <v>#NAME?</v>
      </c>
      <c r="BG51" s="2" t="e">
        <f t="shared" ca="1" si="28"/>
        <v>#NAME?</v>
      </c>
      <c r="BH51" s="2" t="e">
        <f ca="1"/>
        <v>#NAME?</v>
      </c>
      <c r="BI51" s="2" t="e">
        <f t="shared" ca="1" si="29"/>
        <v>#NAME?</v>
      </c>
      <c r="BJ51" s="2" t="e">
        <f ca="1"/>
        <v>#NAME?</v>
      </c>
      <c r="BK51" s="2" t="e">
        <f t="shared" ca="1" si="30"/>
        <v>#NAME?</v>
      </c>
      <c r="BL51" s="2" t="e">
        <f ca="1"/>
        <v>#NAME?</v>
      </c>
      <c r="BM51" s="2" t="e">
        <f t="shared" ca="1" si="31"/>
        <v>#NAME?</v>
      </c>
      <c r="BN51" s="2" t="e">
        <f ca="1"/>
        <v>#NAME?</v>
      </c>
      <c r="BO51" s="2" t="e">
        <f t="shared" ca="1" si="32"/>
        <v>#NAME?</v>
      </c>
      <c r="BP51" s="2" t="e">
        <f ca="1"/>
        <v>#NAME?</v>
      </c>
      <c r="BQ51" s="2" t="e">
        <f t="shared" ca="1" si="33"/>
        <v>#NAME?</v>
      </c>
      <c r="BR51" s="2" t="e">
        <f ca="1"/>
        <v>#NAME?</v>
      </c>
      <c r="BS51" s="2" t="e">
        <f t="shared" ca="1" si="34"/>
        <v>#NAME?</v>
      </c>
      <c r="BT51" s="2" t="e">
        <f ca="1"/>
        <v>#NAME?</v>
      </c>
      <c r="BU51" s="2" t="e">
        <f t="shared" ca="1" si="35"/>
        <v>#NAME?</v>
      </c>
      <c r="BV51" s="2" t="e">
        <f ca="1"/>
        <v>#NAME?</v>
      </c>
      <c r="BW51" s="2" t="e">
        <f t="shared" ca="1" si="36"/>
        <v>#NAME?</v>
      </c>
      <c r="BX51" s="2" t="e">
        <f ca="1"/>
        <v>#NAME?</v>
      </c>
      <c r="BY51" s="2" t="e">
        <f t="shared" ca="1" si="37"/>
        <v>#NAME?</v>
      </c>
      <c r="BZ51" s="2" t="e">
        <f ca="1"/>
        <v>#NAME?</v>
      </c>
      <c r="CA51" s="2" t="e">
        <f t="shared" ca="1" si="38"/>
        <v>#NAME?</v>
      </c>
      <c r="CB51" s="2" t="e">
        <f ca="1"/>
        <v>#NAME?</v>
      </c>
      <c r="CC51" s="2" t="e">
        <f t="shared" ca="1" si="39"/>
        <v>#NAME?</v>
      </c>
      <c r="CD51" s="2" t="e">
        <f ca="1"/>
        <v>#NAME?</v>
      </c>
      <c r="CE51" s="2" t="e">
        <f t="shared" ca="1" si="40"/>
        <v>#NAME?</v>
      </c>
      <c r="CF51" s="2" t="e">
        <f ca="1"/>
        <v>#NAME?</v>
      </c>
      <c r="CG51" s="2" t="e">
        <f t="shared" ca="1" si="41"/>
        <v>#NAME?</v>
      </c>
      <c r="CH51" s="2" t="e">
        <f ca="1"/>
        <v>#NAME?</v>
      </c>
      <c r="CI51" s="2" t="e">
        <f t="shared" ca="1" si="42"/>
        <v>#NAME?</v>
      </c>
      <c r="CJ51" s="2" t="e">
        <f ca="1"/>
        <v>#NAME?</v>
      </c>
      <c r="CK51" s="2" t="e">
        <f t="shared" ca="1" si="43"/>
        <v>#NAME?</v>
      </c>
      <c r="CL51" s="2" t="e">
        <f ca="1"/>
        <v>#NAME?</v>
      </c>
      <c r="CM51" s="2" t="e">
        <f t="shared" ca="1" si="44"/>
        <v>#NAME?</v>
      </c>
      <c r="CN51" s="2" t="e">
        <f ca="1"/>
        <v>#NAME?</v>
      </c>
      <c r="CO51" s="2" t="e">
        <f t="shared" ca="1" si="45"/>
        <v>#NAME?</v>
      </c>
      <c r="CP51" s="2" t="e">
        <f ca="1"/>
        <v>#NAME?</v>
      </c>
      <c r="CQ51" s="2" t="e">
        <f t="shared" ca="1" si="46"/>
        <v>#NAME?</v>
      </c>
    </row>
    <row r="52" spans="1:95">
      <c r="A52" s="7" t="e">
        <f ca="1"/>
        <v>#NAME?</v>
      </c>
      <c r="B52" s="2" t="e">
        <f ca="1"/>
        <v>#NAME?</v>
      </c>
      <c r="C52" s="2" t="e">
        <f t="shared" ca="1" si="0"/>
        <v>#NAME?</v>
      </c>
      <c r="D52" s="2" t="e">
        <f ca="1"/>
        <v>#NAME?</v>
      </c>
      <c r="E52" s="2" t="e">
        <f t="shared" ca="1" si="1"/>
        <v>#NAME?</v>
      </c>
      <c r="F52" s="2" t="e">
        <f ca="1"/>
        <v>#NAME?</v>
      </c>
      <c r="G52" s="2" t="e">
        <f t="shared" ca="1" si="2"/>
        <v>#NAME?</v>
      </c>
      <c r="H52" s="2" t="e">
        <f ca="1"/>
        <v>#NAME?</v>
      </c>
      <c r="I52" s="2" t="e">
        <f t="shared" ca="1" si="3"/>
        <v>#NAME?</v>
      </c>
      <c r="J52" s="2" t="e">
        <f ca="1"/>
        <v>#NAME?</v>
      </c>
      <c r="K52" s="2" t="e">
        <f t="shared" ca="1" si="4"/>
        <v>#NAME?</v>
      </c>
      <c r="L52" s="2" t="e">
        <f ca="1"/>
        <v>#NAME?</v>
      </c>
      <c r="M52" s="2" t="e">
        <f t="shared" ca="1" si="5"/>
        <v>#NAME?</v>
      </c>
      <c r="N52" s="2" t="e">
        <f ca="1"/>
        <v>#NAME?</v>
      </c>
      <c r="O52" s="2" t="e">
        <f t="shared" ca="1" si="6"/>
        <v>#NAME?</v>
      </c>
      <c r="P52" s="2" t="e">
        <f ca="1"/>
        <v>#NAME?</v>
      </c>
      <c r="Q52" s="2" t="e">
        <f t="shared" ca="1" si="7"/>
        <v>#NAME?</v>
      </c>
      <c r="R52" s="2" t="e">
        <f ca="1"/>
        <v>#NAME?</v>
      </c>
      <c r="S52" s="2" t="e">
        <f t="shared" ca="1" si="8"/>
        <v>#NAME?</v>
      </c>
      <c r="T52" s="2" t="e">
        <f ca="1"/>
        <v>#NAME?</v>
      </c>
      <c r="U52" s="2" t="e">
        <f t="shared" ca="1" si="9"/>
        <v>#NAME?</v>
      </c>
      <c r="V52" s="2" t="e">
        <f ca="1"/>
        <v>#NAME?</v>
      </c>
      <c r="W52" s="2" t="e">
        <f t="shared" ca="1" si="10"/>
        <v>#NAME?</v>
      </c>
      <c r="X52" s="2" t="e">
        <f ca="1"/>
        <v>#NAME?</v>
      </c>
      <c r="Y52" s="2" t="e">
        <f t="shared" ca="1" si="11"/>
        <v>#NAME?</v>
      </c>
      <c r="Z52" s="2" t="e">
        <f ca="1"/>
        <v>#NAME?</v>
      </c>
      <c r="AA52" s="2" t="e">
        <f t="shared" ca="1" si="12"/>
        <v>#NAME?</v>
      </c>
      <c r="AB52" s="2" t="e">
        <f ca="1"/>
        <v>#NAME?</v>
      </c>
      <c r="AC52" s="2" t="e">
        <f t="shared" ca="1" si="13"/>
        <v>#NAME?</v>
      </c>
      <c r="AD52" s="2" t="e">
        <f ca="1"/>
        <v>#NAME?</v>
      </c>
      <c r="AE52" s="2" t="e">
        <f t="shared" ca="1" si="14"/>
        <v>#NAME?</v>
      </c>
      <c r="AF52" s="2" t="e">
        <f ca="1"/>
        <v>#NAME?</v>
      </c>
      <c r="AG52" s="2" t="e">
        <f t="shared" ca="1" si="15"/>
        <v>#NAME?</v>
      </c>
      <c r="AH52" s="2" t="e">
        <f ca="1"/>
        <v>#NAME?</v>
      </c>
      <c r="AI52" s="2" t="e">
        <f t="shared" ca="1" si="16"/>
        <v>#NAME?</v>
      </c>
      <c r="AJ52" s="2" t="e">
        <f ca="1"/>
        <v>#NAME?</v>
      </c>
      <c r="AK52" s="2" t="e">
        <f t="shared" ca="1" si="17"/>
        <v>#NAME?</v>
      </c>
      <c r="AL52" s="2" t="e">
        <f ca="1"/>
        <v>#NAME?</v>
      </c>
      <c r="AM52" s="2" t="e">
        <f t="shared" ca="1" si="18"/>
        <v>#NAME?</v>
      </c>
      <c r="AN52" s="2" t="e">
        <f ca="1"/>
        <v>#NAME?</v>
      </c>
      <c r="AO52" s="2" t="e">
        <f t="shared" ca="1" si="19"/>
        <v>#NAME?</v>
      </c>
      <c r="AP52" s="2" t="e">
        <f ca="1"/>
        <v>#NAME?</v>
      </c>
      <c r="AQ52" s="2" t="e">
        <f t="shared" ca="1" si="20"/>
        <v>#NAME?</v>
      </c>
      <c r="AR52" s="2" t="e">
        <f ca="1"/>
        <v>#NAME?</v>
      </c>
      <c r="AS52" s="2" t="e">
        <f t="shared" ca="1" si="21"/>
        <v>#NAME?</v>
      </c>
      <c r="AT52" s="2" t="e">
        <f ca="1"/>
        <v>#NAME?</v>
      </c>
      <c r="AU52" s="2" t="e">
        <f t="shared" ca="1" si="22"/>
        <v>#NAME?</v>
      </c>
      <c r="AV52" s="2" t="e">
        <f ca="1"/>
        <v>#NAME?</v>
      </c>
      <c r="AW52" s="2" t="e">
        <f t="shared" ca="1" si="23"/>
        <v>#NAME?</v>
      </c>
      <c r="AX52" s="2" t="e">
        <f ca="1"/>
        <v>#NAME?</v>
      </c>
      <c r="AY52" s="2" t="e">
        <f t="shared" ca="1" si="24"/>
        <v>#NAME?</v>
      </c>
      <c r="AZ52" s="2" t="e">
        <f ca="1"/>
        <v>#NAME?</v>
      </c>
      <c r="BA52" s="2" t="e">
        <f t="shared" ca="1" si="25"/>
        <v>#NAME?</v>
      </c>
      <c r="BB52" s="2" t="e">
        <f ca="1"/>
        <v>#NAME?</v>
      </c>
      <c r="BC52" s="2" t="e">
        <f t="shared" ca="1" si="26"/>
        <v>#NAME?</v>
      </c>
      <c r="BD52" s="2" t="e">
        <f ca="1"/>
        <v>#NAME?</v>
      </c>
      <c r="BE52" s="2" t="e">
        <f t="shared" ca="1" si="27"/>
        <v>#NAME?</v>
      </c>
      <c r="BF52" s="2" t="e">
        <f ca="1"/>
        <v>#NAME?</v>
      </c>
      <c r="BG52" s="2" t="e">
        <f t="shared" ca="1" si="28"/>
        <v>#NAME?</v>
      </c>
      <c r="BH52" s="2" t="e">
        <f ca="1"/>
        <v>#NAME?</v>
      </c>
      <c r="BI52" s="2" t="e">
        <f t="shared" ca="1" si="29"/>
        <v>#NAME?</v>
      </c>
      <c r="BJ52" s="2" t="e">
        <f ca="1"/>
        <v>#NAME?</v>
      </c>
      <c r="BK52" s="2" t="e">
        <f t="shared" ca="1" si="30"/>
        <v>#NAME?</v>
      </c>
      <c r="BL52" s="2" t="e">
        <f ca="1"/>
        <v>#NAME?</v>
      </c>
      <c r="BM52" s="2" t="e">
        <f t="shared" ca="1" si="31"/>
        <v>#NAME?</v>
      </c>
      <c r="BN52" s="2" t="e">
        <f ca="1"/>
        <v>#NAME?</v>
      </c>
      <c r="BO52" s="2" t="e">
        <f t="shared" ca="1" si="32"/>
        <v>#NAME?</v>
      </c>
      <c r="BP52" s="2" t="e">
        <f ca="1"/>
        <v>#NAME?</v>
      </c>
      <c r="BQ52" s="2" t="e">
        <f t="shared" ca="1" si="33"/>
        <v>#NAME?</v>
      </c>
      <c r="BR52" s="2" t="e">
        <f ca="1"/>
        <v>#NAME?</v>
      </c>
      <c r="BS52" s="2" t="e">
        <f t="shared" ca="1" si="34"/>
        <v>#NAME?</v>
      </c>
      <c r="BT52" s="2" t="e">
        <f ca="1"/>
        <v>#NAME?</v>
      </c>
      <c r="BU52" s="2" t="e">
        <f t="shared" ca="1" si="35"/>
        <v>#NAME?</v>
      </c>
      <c r="BV52" s="2" t="e">
        <f ca="1"/>
        <v>#NAME?</v>
      </c>
      <c r="BW52" s="2" t="e">
        <f t="shared" ca="1" si="36"/>
        <v>#NAME?</v>
      </c>
      <c r="BX52" s="2" t="e">
        <f ca="1"/>
        <v>#NAME?</v>
      </c>
      <c r="BY52" s="2" t="e">
        <f t="shared" ca="1" si="37"/>
        <v>#NAME?</v>
      </c>
      <c r="BZ52" s="2" t="e">
        <f ca="1"/>
        <v>#NAME?</v>
      </c>
      <c r="CA52" s="2" t="e">
        <f t="shared" ca="1" si="38"/>
        <v>#NAME?</v>
      </c>
      <c r="CB52" s="2" t="e">
        <f ca="1"/>
        <v>#NAME?</v>
      </c>
      <c r="CC52" s="2" t="e">
        <f t="shared" ca="1" si="39"/>
        <v>#NAME?</v>
      </c>
      <c r="CD52" s="2" t="e">
        <f ca="1"/>
        <v>#NAME?</v>
      </c>
      <c r="CE52" s="2" t="e">
        <f t="shared" ca="1" si="40"/>
        <v>#NAME?</v>
      </c>
      <c r="CF52" s="2" t="e">
        <f ca="1"/>
        <v>#NAME?</v>
      </c>
      <c r="CG52" s="2" t="e">
        <f t="shared" ca="1" si="41"/>
        <v>#NAME?</v>
      </c>
      <c r="CH52" s="2" t="e">
        <f ca="1"/>
        <v>#NAME?</v>
      </c>
      <c r="CI52" s="2" t="e">
        <f t="shared" ca="1" si="42"/>
        <v>#NAME?</v>
      </c>
      <c r="CJ52" s="2" t="e">
        <f ca="1"/>
        <v>#NAME?</v>
      </c>
      <c r="CK52" s="2" t="e">
        <f t="shared" ca="1" si="43"/>
        <v>#NAME?</v>
      </c>
      <c r="CL52" s="2" t="e">
        <f ca="1"/>
        <v>#NAME?</v>
      </c>
      <c r="CM52" s="2" t="e">
        <f t="shared" ca="1" si="44"/>
        <v>#NAME?</v>
      </c>
      <c r="CN52" s="2" t="e">
        <f ca="1"/>
        <v>#NAME?</v>
      </c>
      <c r="CO52" s="2" t="e">
        <f t="shared" ca="1" si="45"/>
        <v>#NAME?</v>
      </c>
      <c r="CP52" s="2" t="e">
        <f ca="1"/>
        <v>#NAME?</v>
      </c>
      <c r="CQ52" s="2" t="e">
        <f t="shared" ca="1" si="46"/>
        <v>#NAME?</v>
      </c>
    </row>
    <row r="53" spans="1:95">
      <c r="A53" s="7" t="e">
        <f ca="1"/>
        <v>#NAME?</v>
      </c>
      <c r="B53" s="2" t="e">
        <f ca="1"/>
        <v>#NAME?</v>
      </c>
      <c r="C53" s="2" t="e">
        <f t="shared" ca="1" si="0"/>
        <v>#NAME?</v>
      </c>
      <c r="D53" s="2" t="e">
        <f ca="1"/>
        <v>#NAME?</v>
      </c>
      <c r="E53" s="2" t="e">
        <f t="shared" ca="1" si="1"/>
        <v>#NAME?</v>
      </c>
      <c r="F53" s="2" t="e">
        <f ca="1"/>
        <v>#NAME?</v>
      </c>
      <c r="G53" s="2" t="e">
        <f t="shared" ca="1" si="2"/>
        <v>#NAME?</v>
      </c>
      <c r="H53" s="2" t="e">
        <f ca="1"/>
        <v>#NAME?</v>
      </c>
      <c r="I53" s="2" t="e">
        <f t="shared" ca="1" si="3"/>
        <v>#NAME?</v>
      </c>
      <c r="J53" s="2" t="e">
        <f ca="1"/>
        <v>#NAME?</v>
      </c>
      <c r="K53" s="2" t="e">
        <f t="shared" ca="1" si="4"/>
        <v>#NAME?</v>
      </c>
      <c r="L53" s="2" t="e">
        <f ca="1"/>
        <v>#NAME?</v>
      </c>
      <c r="M53" s="2" t="e">
        <f t="shared" ca="1" si="5"/>
        <v>#NAME?</v>
      </c>
      <c r="N53" s="2" t="e">
        <f ca="1"/>
        <v>#NAME?</v>
      </c>
      <c r="O53" s="2" t="e">
        <f t="shared" ca="1" si="6"/>
        <v>#NAME?</v>
      </c>
      <c r="P53" s="2" t="e">
        <f ca="1"/>
        <v>#NAME?</v>
      </c>
      <c r="Q53" s="2" t="e">
        <f t="shared" ca="1" si="7"/>
        <v>#NAME?</v>
      </c>
      <c r="R53" s="2" t="e">
        <f ca="1"/>
        <v>#NAME?</v>
      </c>
      <c r="S53" s="2" t="e">
        <f t="shared" ca="1" si="8"/>
        <v>#NAME?</v>
      </c>
      <c r="T53" s="2" t="e">
        <f ca="1"/>
        <v>#NAME?</v>
      </c>
      <c r="U53" s="2" t="e">
        <f t="shared" ca="1" si="9"/>
        <v>#NAME?</v>
      </c>
      <c r="V53" s="2" t="e">
        <f ca="1"/>
        <v>#NAME?</v>
      </c>
      <c r="W53" s="2" t="e">
        <f t="shared" ca="1" si="10"/>
        <v>#NAME?</v>
      </c>
      <c r="X53" s="2" t="e">
        <f ca="1"/>
        <v>#NAME?</v>
      </c>
      <c r="Y53" s="2" t="e">
        <f t="shared" ca="1" si="11"/>
        <v>#NAME?</v>
      </c>
      <c r="Z53" s="2" t="e">
        <f ca="1"/>
        <v>#NAME?</v>
      </c>
      <c r="AA53" s="2" t="e">
        <f t="shared" ca="1" si="12"/>
        <v>#NAME?</v>
      </c>
      <c r="AB53" s="2" t="e">
        <f ca="1"/>
        <v>#NAME?</v>
      </c>
      <c r="AC53" s="2" t="e">
        <f t="shared" ca="1" si="13"/>
        <v>#NAME?</v>
      </c>
      <c r="AD53" s="2" t="e">
        <f ca="1"/>
        <v>#NAME?</v>
      </c>
      <c r="AE53" s="2" t="e">
        <f t="shared" ca="1" si="14"/>
        <v>#NAME?</v>
      </c>
      <c r="AF53" s="2" t="e">
        <f ca="1"/>
        <v>#NAME?</v>
      </c>
      <c r="AG53" s="2" t="e">
        <f t="shared" ca="1" si="15"/>
        <v>#NAME?</v>
      </c>
      <c r="AH53" s="2" t="e">
        <f ca="1"/>
        <v>#NAME?</v>
      </c>
      <c r="AI53" s="2" t="e">
        <f t="shared" ca="1" si="16"/>
        <v>#NAME?</v>
      </c>
      <c r="AJ53" s="2" t="e">
        <f ca="1"/>
        <v>#NAME?</v>
      </c>
      <c r="AK53" s="2" t="e">
        <f t="shared" ca="1" si="17"/>
        <v>#NAME?</v>
      </c>
      <c r="AL53" s="2" t="e">
        <f ca="1"/>
        <v>#NAME?</v>
      </c>
      <c r="AM53" s="2" t="e">
        <f t="shared" ca="1" si="18"/>
        <v>#NAME?</v>
      </c>
      <c r="AN53" s="2" t="e">
        <f ca="1"/>
        <v>#NAME?</v>
      </c>
      <c r="AO53" s="2" t="e">
        <f t="shared" ca="1" si="19"/>
        <v>#NAME?</v>
      </c>
      <c r="AP53" s="2" t="e">
        <f ca="1"/>
        <v>#NAME?</v>
      </c>
      <c r="AQ53" s="2" t="e">
        <f t="shared" ca="1" si="20"/>
        <v>#NAME?</v>
      </c>
      <c r="AR53" s="2" t="e">
        <f ca="1"/>
        <v>#NAME?</v>
      </c>
      <c r="AS53" s="2" t="e">
        <f t="shared" ca="1" si="21"/>
        <v>#NAME?</v>
      </c>
      <c r="AT53" s="2" t="e">
        <f ca="1"/>
        <v>#NAME?</v>
      </c>
      <c r="AU53" s="2" t="e">
        <f t="shared" ca="1" si="22"/>
        <v>#NAME?</v>
      </c>
      <c r="AV53" s="2" t="e">
        <f ca="1"/>
        <v>#NAME?</v>
      </c>
      <c r="AW53" s="2" t="e">
        <f t="shared" ca="1" si="23"/>
        <v>#NAME?</v>
      </c>
      <c r="AX53" s="2" t="e">
        <f ca="1"/>
        <v>#NAME?</v>
      </c>
      <c r="AY53" s="2" t="e">
        <f t="shared" ca="1" si="24"/>
        <v>#NAME?</v>
      </c>
      <c r="AZ53" s="2" t="e">
        <f ca="1"/>
        <v>#NAME?</v>
      </c>
      <c r="BA53" s="2" t="e">
        <f t="shared" ca="1" si="25"/>
        <v>#NAME?</v>
      </c>
      <c r="BB53" s="2" t="e">
        <f ca="1"/>
        <v>#NAME?</v>
      </c>
      <c r="BC53" s="2" t="e">
        <f t="shared" ca="1" si="26"/>
        <v>#NAME?</v>
      </c>
      <c r="BD53" s="2" t="e">
        <f ca="1"/>
        <v>#NAME?</v>
      </c>
      <c r="BE53" s="2" t="e">
        <f t="shared" ca="1" si="27"/>
        <v>#NAME?</v>
      </c>
      <c r="BF53" s="2" t="e">
        <f ca="1"/>
        <v>#NAME?</v>
      </c>
      <c r="BG53" s="2" t="e">
        <f t="shared" ca="1" si="28"/>
        <v>#NAME?</v>
      </c>
      <c r="BH53" s="2" t="e">
        <f ca="1"/>
        <v>#NAME?</v>
      </c>
      <c r="BI53" s="2" t="e">
        <f t="shared" ca="1" si="29"/>
        <v>#NAME?</v>
      </c>
      <c r="BJ53" s="2" t="e">
        <f ca="1"/>
        <v>#NAME?</v>
      </c>
      <c r="BK53" s="2" t="e">
        <f t="shared" ca="1" si="30"/>
        <v>#NAME?</v>
      </c>
      <c r="BL53" s="2" t="e">
        <f ca="1"/>
        <v>#NAME?</v>
      </c>
      <c r="BM53" s="2" t="e">
        <f t="shared" ca="1" si="31"/>
        <v>#NAME?</v>
      </c>
      <c r="BN53" s="2" t="e">
        <f ca="1"/>
        <v>#NAME?</v>
      </c>
      <c r="BO53" s="2" t="e">
        <f t="shared" ca="1" si="32"/>
        <v>#NAME?</v>
      </c>
      <c r="BP53" s="2" t="e">
        <f ca="1"/>
        <v>#NAME?</v>
      </c>
      <c r="BQ53" s="2" t="e">
        <f t="shared" ca="1" si="33"/>
        <v>#NAME?</v>
      </c>
      <c r="BR53" s="2" t="e">
        <f ca="1"/>
        <v>#NAME?</v>
      </c>
      <c r="BS53" s="2" t="e">
        <f t="shared" ca="1" si="34"/>
        <v>#NAME?</v>
      </c>
      <c r="BT53" s="2" t="e">
        <f ca="1"/>
        <v>#NAME?</v>
      </c>
      <c r="BU53" s="2" t="e">
        <f t="shared" ca="1" si="35"/>
        <v>#NAME?</v>
      </c>
      <c r="BV53" s="2" t="e">
        <f ca="1"/>
        <v>#NAME?</v>
      </c>
      <c r="BW53" s="2" t="e">
        <f t="shared" ca="1" si="36"/>
        <v>#NAME?</v>
      </c>
      <c r="BX53" s="2" t="e">
        <f ca="1"/>
        <v>#NAME?</v>
      </c>
      <c r="BY53" s="2" t="e">
        <f t="shared" ca="1" si="37"/>
        <v>#NAME?</v>
      </c>
      <c r="BZ53" s="2" t="e">
        <f ca="1"/>
        <v>#NAME?</v>
      </c>
      <c r="CA53" s="2" t="e">
        <f t="shared" ca="1" si="38"/>
        <v>#NAME?</v>
      </c>
      <c r="CB53" s="2" t="e">
        <f ca="1"/>
        <v>#NAME?</v>
      </c>
      <c r="CC53" s="2" t="e">
        <f t="shared" ca="1" si="39"/>
        <v>#NAME?</v>
      </c>
      <c r="CD53" s="2" t="e">
        <f ca="1"/>
        <v>#NAME?</v>
      </c>
      <c r="CE53" s="2" t="e">
        <f t="shared" ca="1" si="40"/>
        <v>#NAME?</v>
      </c>
      <c r="CF53" s="2" t="e">
        <f ca="1"/>
        <v>#NAME?</v>
      </c>
      <c r="CG53" s="2" t="e">
        <f t="shared" ca="1" si="41"/>
        <v>#NAME?</v>
      </c>
      <c r="CH53" s="2" t="e">
        <f ca="1"/>
        <v>#NAME?</v>
      </c>
      <c r="CI53" s="2" t="e">
        <f t="shared" ca="1" si="42"/>
        <v>#NAME?</v>
      </c>
      <c r="CJ53" s="2" t="e">
        <f ca="1"/>
        <v>#NAME?</v>
      </c>
      <c r="CK53" s="2" t="e">
        <f t="shared" ca="1" si="43"/>
        <v>#NAME?</v>
      </c>
      <c r="CL53" s="2" t="e">
        <f ca="1"/>
        <v>#NAME?</v>
      </c>
      <c r="CM53" s="2" t="e">
        <f t="shared" ca="1" si="44"/>
        <v>#NAME?</v>
      </c>
      <c r="CN53" s="2" t="e">
        <f ca="1"/>
        <v>#NAME?</v>
      </c>
      <c r="CO53" s="2" t="e">
        <f t="shared" ca="1" si="45"/>
        <v>#NAME?</v>
      </c>
      <c r="CP53" s="2" t="e">
        <f ca="1"/>
        <v>#NAME?</v>
      </c>
      <c r="CQ53" s="2" t="e">
        <f t="shared" ca="1" si="46"/>
        <v>#NAME?</v>
      </c>
    </row>
    <row r="54" spans="1:95">
      <c r="A54" s="7" t="e">
        <f ca="1"/>
        <v>#NAME?</v>
      </c>
      <c r="B54" s="2" t="e">
        <f ca="1"/>
        <v>#NAME?</v>
      </c>
      <c r="C54" s="2" t="e">
        <f t="shared" ca="1" si="0"/>
        <v>#NAME?</v>
      </c>
      <c r="D54" s="2" t="e">
        <f ca="1"/>
        <v>#NAME?</v>
      </c>
      <c r="E54" s="2" t="e">
        <f t="shared" ca="1" si="1"/>
        <v>#NAME?</v>
      </c>
      <c r="F54" s="2" t="e">
        <f ca="1"/>
        <v>#NAME?</v>
      </c>
      <c r="G54" s="2" t="e">
        <f t="shared" ca="1" si="2"/>
        <v>#NAME?</v>
      </c>
      <c r="H54" s="2" t="e">
        <f ca="1"/>
        <v>#NAME?</v>
      </c>
      <c r="I54" s="2" t="e">
        <f t="shared" ca="1" si="3"/>
        <v>#NAME?</v>
      </c>
      <c r="J54" s="2" t="e">
        <f ca="1"/>
        <v>#NAME?</v>
      </c>
      <c r="K54" s="2" t="e">
        <f t="shared" ca="1" si="4"/>
        <v>#NAME?</v>
      </c>
      <c r="L54" s="2" t="e">
        <f ca="1"/>
        <v>#NAME?</v>
      </c>
      <c r="M54" s="2" t="e">
        <f t="shared" ca="1" si="5"/>
        <v>#NAME?</v>
      </c>
      <c r="N54" s="2" t="e">
        <f ca="1"/>
        <v>#NAME?</v>
      </c>
      <c r="O54" s="2" t="e">
        <f t="shared" ca="1" si="6"/>
        <v>#NAME?</v>
      </c>
      <c r="P54" s="2" t="e">
        <f ca="1"/>
        <v>#NAME?</v>
      </c>
      <c r="Q54" s="2" t="e">
        <f t="shared" ca="1" si="7"/>
        <v>#NAME?</v>
      </c>
      <c r="R54" s="2" t="e">
        <f ca="1"/>
        <v>#NAME?</v>
      </c>
      <c r="S54" s="2" t="e">
        <f t="shared" ca="1" si="8"/>
        <v>#NAME?</v>
      </c>
      <c r="T54" s="2" t="e">
        <f ca="1"/>
        <v>#NAME?</v>
      </c>
      <c r="U54" s="2" t="e">
        <f t="shared" ca="1" si="9"/>
        <v>#NAME?</v>
      </c>
      <c r="V54" s="2" t="e">
        <f ca="1"/>
        <v>#NAME?</v>
      </c>
      <c r="W54" s="2" t="e">
        <f t="shared" ca="1" si="10"/>
        <v>#NAME?</v>
      </c>
      <c r="X54" s="2" t="e">
        <f ca="1"/>
        <v>#NAME?</v>
      </c>
      <c r="Y54" s="2" t="e">
        <f t="shared" ca="1" si="11"/>
        <v>#NAME?</v>
      </c>
      <c r="Z54" s="2" t="e">
        <f ca="1"/>
        <v>#NAME?</v>
      </c>
      <c r="AA54" s="2" t="e">
        <f t="shared" ca="1" si="12"/>
        <v>#NAME?</v>
      </c>
      <c r="AB54" s="2" t="e">
        <f ca="1"/>
        <v>#NAME?</v>
      </c>
      <c r="AC54" s="2" t="e">
        <f t="shared" ca="1" si="13"/>
        <v>#NAME?</v>
      </c>
      <c r="AD54" s="2" t="e">
        <f ca="1"/>
        <v>#NAME?</v>
      </c>
      <c r="AE54" s="2" t="e">
        <f t="shared" ca="1" si="14"/>
        <v>#NAME?</v>
      </c>
      <c r="AF54" s="2" t="e">
        <f ca="1"/>
        <v>#NAME?</v>
      </c>
      <c r="AG54" s="2" t="e">
        <f t="shared" ca="1" si="15"/>
        <v>#NAME?</v>
      </c>
      <c r="AH54" s="2" t="e">
        <f ca="1"/>
        <v>#NAME?</v>
      </c>
      <c r="AI54" s="2" t="e">
        <f t="shared" ca="1" si="16"/>
        <v>#NAME?</v>
      </c>
      <c r="AJ54" s="2" t="e">
        <f ca="1"/>
        <v>#NAME?</v>
      </c>
      <c r="AK54" s="2" t="e">
        <f t="shared" ca="1" si="17"/>
        <v>#NAME?</v>
      </c>
      <c r="AL54" s="2" t="e">
        <f ca="1"/>
        <v>#NAME?</v>
      </c>
      <c r="AM54" s="2" t="e">
        <f t="shared" ca="1" si="18"/>
        <v>#NAME?</v>
      </c>
      <c r="AN54" s="2" t="e">
        <f ca="1"/>
        <v>#NAME?</v>
      </c>
      <c r="AO54" s="2" t="e">
        <f t="shared" ca="1" si="19"/>
        <v>#NAME?</v>
      </c>
      <c r="AP54" s="2" t="e">
        <f ca="1"/>
        <v>#NAME?</v>
      </c>
      <c r="AQ54" s="2" t="e">
        <f t="shared" ca="1" si="20"/>
        <v>#NAME?</v>
      </c>
      <c r="AR54" s="2" t="e">
        <f ca="1"/>
        <v>#NAME?</v>
      </c>
      <c r="AS54" s="2" t="e">
        <f t="shared" ca="1" si="21"/>
        <v>#NAME?</v>
      </c>
      <c r="AT54" s="2" t="e">
        <f ca="1"/>
        <v>#NAME?</v>
      </c>
      <c r="AU54" s="2" t="e">
        <f t="shared" ca="1" si="22"/>
        <v>#NAME?</v>
      </c>
      <c r="AV54" s="2" t="e">
        <f ca="1"/>
        <v>#NAME?</v>
      </c>
      <c r="AW54" s="2" t="e">
        <f t="shared" ca="1" si="23"/>
        <v>#NAME?</v>
      </c>
      <c r="AX54" s="2" t="e">
        <f ca="1"/>
        <v>#NAME?</v>
      </c>
      <c r="AY54" s="2" t="e">
        <f t="shared" ca="1" si="24"/>
        <v>#NAME?</v>
      </c>
      <c r="AZ54" s="2" t="e">
        <f ca="1"/>
        <v>#NAME?</v>
      </c>
      <c r="BA54" s="2" t="e">
        <f t="shared" ca="1" si="25"/>
        <v>#NAME?</v>
      </c>
      <c r="BB54" s="2" t="e">
        <f ca="1"/>
        <v>#NAME?</v>
      </c>
      <c r="BC54" s="2" t="e">
        <f t="shared" ca="1" si="26"/>
        <v>#NAME?</v>
      </c>
      <c r="BD54" s="2" t="e">
        <f ca="1"/>
        <v>#NAME?</v>
      </c>
      <c r="BE54" s="2" t="e">
        <f t="shared" ca="1" si="27"/>
        <v>#NAME?</v>
      </c>
      <c r="BF54" s="2" t="e">
        <f ca="1"/>
        <v>#NAME?</v>
      </c>
      <c r="BG54" s="2" t="e">
        <f t="shared" ca="1" si="28"/>
        <v>#NAME?</v>
      </c>
      <c r="BH54" s="2" t="e">
        <f ca="1"/>
        <v>#NAME?</v>
      </c>
      <c r="BI54" s="2" t="e">
        <f t="shared" ca="1" si="29"/>
        <v>#NAME?</v>
      </c>
      <c r="BJ54" s="2" t="e">
        <f ca="1"/>
        <v>#NAME?</v>
      </c>
      <c r="BK54" s="2" t="e">
        <f t="shared" ca="1" si="30"/>
        <v>#NAME?</v>
      </c>
      <c r="BL54" s="2" t="e">
        <f ca="1"/>
        <v>#NAME?</v>
      </c>
      <c r="BM54" s="2" t="e">
        <f t="shared" ca="1" si="31"/>
        <v>#NAME?</v>
      </c>
      <c r="BN54" s="2" t="e">
        <f ca="1"/>
        <v>#NAME?</v>
      </c>
      <c r="BO54" s="2" t="e">
        <f t="shared" ca="1" si="32"/>
        <v>#NAME?</v>
      </c>
      <c r="BP54" s="2" t="e">
        <f ca="1"/>
        <v>#NAME?</v>
      </c>
      <c r="BQ54" s="2" t="e">
        <f t="shared" ca="1" si="33"/>
        <v>#NAME?</v>
      </c>
      <c r="BR54" s="2" t="e">
        <f ca="1"/>
        <v>#NAME?</v>
      </c>
      <c r="BS54" s="2" t="e">
        <f t="shared" ca="1" si="34"/>
        <v>#NAME?</v>
      </c>
      <c r="BT54" s="2" t="e">
        <f ca="1"/>
        <v>#NAME?</v>
      </c>
      <c r="BU54" s="2" t="e">
        <f t="shared" ca="1" si="35"/>
        <v>#NAME?</v>
      </c>
      <c r="BV54" s="2" t="e">
        <f ca="1"/>
        <v>#NAME?</v>
      </c>
      <c r="BW54" s="2" t="e">
        <f t="shared" ca="1" si="36"/>
        <v>#NAME?</v>
      </c>
      <c r="BX54" s="2" t="e">
        <f ca="1"/>
        <v>#NAME?</v>
      </c>
      <c r="BY54" s="2" t="e">
        <f t="shared" ca="1" si="37"/>
        <v>#NAME?</v>
      </c>
      <c r="BZ54" s="2" t="e">
        <f ca="1"/>
        <v>#NAME?</v>
      </c>
      <c r="CA54" s="2" t="e">
        <f t="shared" ca="1" si="38"/>
        <v>#NAME?</v>
      </c>
      <c r="CB54" s="2" t="e">
        <f ca="1"/>
        <v>#NAME?</v>
      </c>
      <c r="CC54" s="2" t="e">
        <f t="shared" ca="1" si="39"/>
        <v>#NAME?</v>
      </c>
      <c r="CD54" s="2" t="e">
        <f ca="1"/>
        <v>#NAME?</v>
      </c>
      <c r="CE54" s="2" t="e">
        <f t="shared" ca="1" si="40"/>
        <v>#NAME?</v>
      </c>
      <c r="CF54" s="2" t="e">
        <f ca="1"/>
        <v>#NAME?</v>
      </c>
      <c r="CG54" s="2" t="e">
        <f t="shared" ca="1" si="41"/>
        <v>#NAME?</v>
      </c>
      <c r="CH54" s="2" t="e">
        <f ca="1"/>
        <v>#NAME?</v>
      </c>
      <c r="CI54" s="2" t="e">
        <f t="shared" ca="1" si="42"/>
        <v>#NAME?</v>
      </c>
      <c r="CJ54" s="2" t="e">
        <f ca="1"/>
        <v>#NAME?</v>
      </c>
      <c r="CK54" s="2" t="e">
        <f t="shared" ca="1" si="43"/>
        <v>#NAME?</v>
      </c>
      <c r="CL54" s="2" t="e">
        <f ca="1"/>
        <v>#NAME?</v>
      </c>
      <c r="CM54" s="2" t="e">
        <f t="shared" ca="1" si="44"/>
        <v>#NAME?</v>
      </c>
      <c r="CN54" s="2" t="e">
        <f ca="1"/>
        <v>#NAME?</v>
      </c>
      <c r="CO54" s="2" t="e">
        <f t="shared" ca="1" si="45"/>
        <v>#NAME?</v>
      </c>
      <c r="CP54" s="2" t="e">
        <f ca="1"/>
        <v>#NAME?</v>
      </c>
      <c r="CQ54" s="2" t="e">
        <f t="shared" ca="1" si="46"/>
        <v>#NAME?</v>
      </c>
    </row>
    <row r="55" spans="1:95">
      <c r="A55" s="7" t="e">
        <f ca="1"/>
        <v>#NAME?</v>
      </c>
      <c r="B55" s="2" t="e">
        <f ca="1"/>
        <v>#NAME?</v>
      </c>
      <c r="C55" s="2" t="e">
        <f t="shared" ca="1" si="0"/>
        <v>#NAME?</v>
      </c>
      <c r="D55" s="2" t="e">
        <f ca="1"/>
        <v>#NAME?</v>
      </c>
      <c r="E55" s="2" t="e">
        <f t="shared" ca="1" si="1"/>
        <v>#NAME?</v>
      </c>
      <c r="F55" s="2" t="e">
        <f ca="1"/>
        <v>#NAME?</v>
      </c>
      <c r="G55" s="2" t="e">
        <f t="shared" ca="1" si="2"/>
        <v>#NAME?</v>
      </c>
      <c r="H55" s="2" t="e">
        <f ca="1"/>
        <v>#NAME?</v>
      </c>
      <c r="I55" s="2" t="e">
        <f t="shared" ca="1" si="3"/>
        <v>#NAME?</v>
      </c>
      <c r="J55" s="2" t="e">
        <f ca="1"/>
        <v>#NAME?</v>
      </c>
      <c r="K55" s="2" t="e">
        <f t="shared" ca="1" si="4"/>
        <v>#NAME?</v>
      </c>
      <c r="L55" s="2" t="e">
        <f ca="1"/>
        <v>#NAME?</v>
      </c>
      <c r="M55" s="2" t="e">
        <f t="shared" ca="1" si="5"/>
        <v>#NAME?</v>
      </c>
      <c r="N55" s="2" t="e">
        <f ca="1"/>
        <v>#NAME?</v>
      </c>
      <c r="O55" s="2" t="e">
        <f t="shared" ca="1" si="6"/>
        <v>#NAME?</v>
      </c>
      <c r="P55" s="2" t="e">
        <f ca="1"/>
        <v>#NAME?</v>
      </c>
      <c r="Q55" s="2" t="e">
        <f t="shared" ca="1" si="7"/>
        <v>#NAME?</v>
      </c>
      <c r="R55" s="2" t="e">
        <f ca="1"/>
        <v>#NAME?</v>
      </c>
      <c r="S55" s="2" t="e">
        <f t="shared" ca="1" si="8"/>
        <v>#NAME?</v>
      </c>
      <c r="T55" s="2" t="e">
        <f ca="1"/>
        <v>#NAME?</v>
      </c>
      <c r="U55" s="2" t="e">
        <f t="shared" ca="1" si="9"/>
        <v>#NAME?</v>
      </c>
      <c r="V55" s="2" t="e">
        <f ca="1"/>
        <v>#NAME?</v>
      </c>
      <c r="W55" s="2" t="e">
        <f t="shared" ca="1" si="10"/>
        <v>#NAME?</v>
      </c>
      <c r="X55" s="2" t="e">
        <f ca="1"/>
        <v>#NAME?</v>
      </c>
      <c r="Y55" s="2" t="e">
        <f t="shared" ca="1" si="11"/>
        <v>#NAME?</v>
      </c>
      <c r="Z55" s="2" t="e">
        <f ca="1"/>
        <v>#NAME?</v>
      </c>
      <c r="AA55" s="2" t="e">
        <f t="shared" ca="1" si="12"/>
        <v>#NAME?</v>
      </c>
      <c r="AB55" s="2" t="e">
        <f ca="1"/>
        <v>#NAME?</v>
      </c>
      <c r="AC55" s="2" t="e">
        <f t="shared" ca="1" si="13"/>
        <v>#NAME?</v>
      </c>
      <c r="AD55" s="2" t="e">
        <f ca="1"/>
        <v>#NAME?</v>
      </c>
      <c r="AE55" s="2" t="e">
        <f t="shared" ca="1" si="14"/>
        <v>#NAME?</v>
      </c>
      <c r="AF55" s="2" t="e">
        <f ca="1"/>
        <v>#NAME?</v>
      </c>
      <c r="AG55" s="2" t="e">
        <f t="shared" ca="1" si="15"/>
        <v>#NAME?</v>
      </c>
      <c r="AH55" s="2" t="e">
        <f ca="1"/>
        <v>#NAME?</v>
      </c>
      <c r="AI55" s="2" t="e">
        <f t="shared" ca="1" si="16"/>
        <v>#NAME?</v>
      </c>
      <c r="AJ55" s="2" t="e">
        <f ca="1"/>
        <v>#NAME?</v>
      </c>
      <c r="AK55" s="2" t="e">
        <f t="shared" ca="1" si="17"/>
        <v>#NAME?</v>
      </c>
      <c r="AL55" s="2" t="e">
        <f ca="1"/>
        <v>#NAME?</v>
      </c>
      <c r="AM55" s="2" t="e">
        <f t="shared" ca="1" si="18"/>
        <v>#NAME?</v>
      </c>
      <c r="AN55" s="2" t="e">
        <f ca="1"/>
        <v>#NAME?</v>
      </c>
      <c r="AO55" s="2" t="e">
        <f t="shared" ca="1" si="19"/>
        <v>#NAME?</v>
      </c>
      <c r="AP55" s="2" t="e">
        <f ca="1"/>
        <v>#NAME?</v>
      </c>
      <c r="AQ55" s="2" t="e">
        <f t="shared" ca="1" si="20"/>
        <v>#NAME?</v>
      </c>
      <c r="AR55" s="2" t="e">
        <f ca="1"/>
        <v>#NAME?</v>
      </c>
      <c r="AS55" s="2" t="e">
        <f t="shared" ca="1" si="21"/>
        <v>#NAME?</v>
      </c>
      <c r="AT55" s="2" t="e">
        <f ca="1"/>
        <v>#NAME?</v>
      </c>
      <c r="AU55" s="2" t="e">
        <f t="shared" ca="1" si="22"/>
        <v>#NAME?</v>
      </c>
      <c r="AV55" s="2" t="e">
        <f ca="1"/>
        <v>#NAME?</v>
      </c>
      <c r="AW55" s="2" t="e">
        <f t="shared" ca="1" si="23"/>
        <v>#NAME?</v>
      </c>
      <c r="AX55" s="2" t="e">
        <f ca="1"/>
        <v>#NAME?</v>
      </c>
      <c r="AY55" s="2" t="e">
        <f t="shared" ca="1" si="24"/>
        <v>#NAME?</v>
      </c>
      <c r="AZ55" s="2" t="e">
        <f ca="1"/>
        <v>#NAME?</v>
      </c>
      <c r="BA55" s="2" t="e">
        <f t="shared" ca="1" si="25"/>
        <v>#NAME?</v>
      </c>
      <c r="BB55" s="2" t="e">
        <f ca="1"/>
        <v>#NAME?</v>
      </c>
      <c r="BC55" s="2" t="e">
        <f t="shared" ca="1" si="26"/>
        <v>#NAME?</v>
      </c>
      <c r="BD55" s="2" t="e">
        <f ca="1"/>
        <v>#NAME?</v>
      </c>
      <c r="BE55" s="2" t="e">
        <f t="shared" ca="1" si="27"/>
        <v>#NAME?</v>
      </c>
      <c r="BF55" s="2" t="e">
        <f ca="1"/>
        <v>#NAME?</v>
      </c>
      <c r="BG55" s="2" t="e">
        <f t="shared" ca="1" si="28"/>
        <v>#NAME?</v>
      </c>
      <c r="BH55" s="2" t="e">
        <f ca="1"/>
        <v>#NAME?</v>
      </c>
      <c r="BI55" s="2" t="e">
        <f t="shared" ca="1" si="29"/>
        <v>#NAME?</v>
      </c>
      <c r="BJ55" s="2" t="e">
        <f ca="1"/>
        <v>#NAME?</v>
      </c>
      <c r="BK55" s="2" t="e">
        <f t="shared" ca="1" si="30"/>
        <v>#NAME?</v>
      </c>
      <c r="BL55" s="2" t="e">
        <f ca="1"/>
        <v>#NAME?</v>
      </c>
      <c r="BM55" s="2" t="e">
        <f t="shared" ca="1" si="31"/>
        <v>#NAME?</v>
      </c>
      <c r="BN55" s="2" t="e">
        <f ca="1"/>
        <v>#NAME?</v>
      </c>
      <c r="BO55" s="2" t="e">
        <f t="shared" ca="1" si="32"/>
        <v>#NAME?</v>
      </c>
      <c r="BP55" s="2" t="e">
        <f ca="1"/>
        <v>#NAME?</v>
      </c>
      <c r="BQ55" s="2" t="e">
        <f t="shared" ca="1" si="33"/>
        <v>#NAME?</v>
      </c>
      <c r="BR55" s="2" t="e">
        <f ca="1"/>
        <v>#NAME?</v>
      </c>
      <c r="BS55" s="2" t="e">
        <f t="shared" ca="1" si="34"/>
        <v>#NAME?</v>
      </c>
      <c r="BT55" s="2" t="e">
        <f ca="1"/>
        <v>#NAME?</v>
      </c>
      <c r="BU55" s="2" t="e">
        <f t="shared" ca="1" si="35"/>
        <v>#NAME?</v>
      </c>
      <c r="BV55" s="2" t="e">
        <f ca="1"/>
        <v>#NAME?</v>
      </c>
      <c r="BW55" s="2" t="e">
        <f t="shared" ca="1" si="36"/>
        <v>#NAME?</v>
      </c>
      <c r="BX55" s="2" t="e">
        <f ca="1"/>
        <v>#NAME?</v>
      </c>
      <c r="BY55" s="2" t="e">
        <f t="shared" ca="1" si="37"/>
        <v>#NAME?</v>
      </c>
      <c r="BZ55" s="2" t="e">
        <f ca="1"/>
        <v>#NAME?</v>
      </c>
      <c r="CA55" s="2" t="e">
        <f t="shared" ca="1" si="38"/>
        <v>#NAME?</v>
      </c>
      <c r="CB55" s="2" t="e">
        <f ca="1"/>
        <v>#NAME?</v>
      </c>
      <c r="CC55" s="2" t="e">
        <f t="shared" ca="1" si="39"/>
        <v>#NAME?</v>
      </c>
      <c r="CD55" s="2" t="e">
        <f ca="1"/>
        <v>#NAME?</v>
      </c>
      <c r="CE55" s="2" t="e">
        <f t="shared" ca="1" si="40"/>
        <v>#NAME?</v>
      </c>
      <c r="CF55" s="2" t="e">
        <f ca="1"/>
        <v>#NAME?</v>
      </c>
      <c r="CG55" s="2" t="e">
        <f t="shared" ca="1" si="41"/>
        <v>#NAME?</v>
      </c>
      <c r="CH55" s="2" t="e">
        <f ca="1"/>
        <v>#NAME?</v>
      </c>
      <c r="CI55" s="2" t="e">
        <f t="shared" ca="1" si="42"/>
        <v>#NAME?</v>
      </c>
      <c r="CJ55" s="2" t="e">
        <f ca="1"/>
        <v>#NAME?</v>
      </c>
      <c r="CK55" s="2" t="e">
        <f t="shared" ca="1" si="43"/>
        <v>#NAME?</v>
      </c>
      <c r="CL55" s="2" t="e">
        <f ca="1"/>
        <v>#NAME?</v>
      </c>
      <c r="CM55" s="2" t="e">
        <f t="shared" ca="1" si="44"/>
        <v>#NAME?</v>
      </c>
      <c r="CN55" s="2" t="e">
        <f ca="1"/>
        <v>#NAME?</v>
      </c>
      <c r="CO55" s="2" t="e">
        <f t="shared" ca="1" si="45"/>
        <v>#NAME?</v>
      </c>
      <c r="CP55" s="2" t="e">
        <f ca="1"/>
        <v>#NAME?</v>
      </c>
      <c r="CQ55" s="2" t="e">
        <f t="shared" ca="1" si="46"/>
        <v>#NAME?</v>
      </c>
    </row>
    <row r="56" spans="1:95">
      <c r="A56" s="7" t="e">
        <f ca="1"/>
        <v>#NAME?</v>
      </c>
      <c r="B56" s="2" t="e">
        <f ca="1"/>
        <v>#NAME?</v>
      </c>
      <c r="C56" s="2" t="e">
        <f t="shared" ca="1" si="0"/>
        <v>#NAME?</v>
      </c>
      <c r="D56" s="2" t="e">
        <f ca="1"/>
        <v>#NAME?</v>
      </c>
      <c r="E56" s="2" t="e">
        <f t="shared" ca="1" si="1"/>
        <v>#NAME?</v>
      </c>
      <c r="F56" s="2" t="e">
        <f ca="1"/>
        <v>#NAME?</v>
      </c>
      <c r="G56" s="2" t="e">
        <f t="shared" ca="1" si="2"/>
        <v>#NAME?</v>
      </c>
      <c r="H56" s="2" t="e">
        <f ca="1"/>
        <v>#NAME?</v>
      </c>
      <c r="I56" s="2" t="e">
        <f t="shared" ca="1" si="3"/>
        <v>#NAME?</v>
      </c>
      <c r="J56" s="2" t="e">
        <f ca="1"/>
        <v>#NAME?</v>
      </c>
      <c r="K56" s="2" t="e">
        <f t="shared" ca="1" si="4"/>
        <v>#NAME?</v>
      </c>
      <c r="L56" s="2" t="e">
        <f ca="1"/>
        <v>#NAME?</v>
      </c>
      <c r="M56" s="2" t="e">
        <f t="shared" ca="1" si="5"/>
        <v>#NAME?</v>
      </c>
      <c r="N56" s="2" t="e">
        <f ca="1"/>
        <v>#NAME?</v>
      </c>
      <c r="O56" s="2" t="e">
        <f t="shared" ca="1" si="6"/>
        <v>#NAME?</v>
      </c>
      <c r="P56" s="2" t="e">
        <f ca="1"/>
        <v>#NAME?</v>
      </c>
      <c r="Q56" s="2" t="e">
        <f t="shared" ca="1" si="7"/>
        <v>#NAME?</v>
      </c>
      <c r="R56" s="2" t="e">
        <f ca="1"/>
        <v>#NAME?</v>
      </c>
      <c r="S56" s="2" t="e">
        <f t="shared" ca="1" si="8"/>
        <v>#NAME?</v>
      </c>
      <c r="T56" s="2" t="e">
        <f ca="1"/>
        <v>#NAME?</v>
      </c>
      <c r="U56" s="2" t="e">
        <f t="shared" ca="1" si="9"/>
        <v>#NAME?</v>
      </c>
      <c r="V56" s="2" t="e">
        <f ca="1"/>
        <v>#NAME?</v>
      </c>
      <c r="W56" s="2" t="e">
        <f t="shared" ca="1" si="10"/>
        <v>#NAME?</v>
      </c>
      <c r="X56" s="2" t="e">
        <f ca="1"/>
        <v>#NAME?</v>
      </c>
      <c r="Y56" s="2" t="e">
        <f t="shared" ca="1" si="11"/>
        <v>#NAME?</v>
      </c>
      <c r="Z56" s="2" t="e">
        <f ca="1"/>
        <v>#NAME?</v>
      </c>
      <c r="AA56" s="2" t="e">
        <f t="shared" ca="1" si="12"/>
        <v>#NAME?</v>
      </c>
      <c r="AB56" s="2" t="e">
        <f ca="1"/>
        <v>#NAME?</v>
      </c>
      <c r="AC56" s="2" t="e">
        <f t="shared" ca="1" si="13"/>
        <v>#NAME?</v>
      </c>
      <c r="AD56" s="2" t="e">
        <f ca="1"/>
        <v>#NAME?</v>
      </c>
      <c r="AE56" s="2" t="e">
        <f t="shared" ca="1" si="14"/>
        <v>#NAME?</v>
      </c>
      <c r="AF56" s="2" t="e">
        <f ca="1"/>
        <v>#NAME?</v>
      </c>
      <c r="AG56" s="2" t="e">
        <f t="shared" ca="1" si="15"/>
        <v>#NAME?</v>
      </c>
      <c r="AH56" s="2" t="e">
        <f ca="1"/>
        <v>#NAME?</v>
      </c>
      <c r="AI56" s="2" t="e">
        <f t="shared" ca="1" si="16"/>
        <v>#NAME?</v>
      </c>
      <c r="AJ56" s="2" t="e">
        <f ca="1"/>
        <v>#NAME?</v>
      </c>
      <c r="AK56" s="2" t="e">
        <f t="shared" ca="1" si="17"/>
        <v>#NAME?</v>
      </c>
      <c r="AL56" s="2" t="e">
        <f ca="1"/>
        <v>#NAME?</v>
      </c>
      <c r="AM56" s="2" t="e">
        <f t="shared" ca="1" si="18"/>
        <v>#NAME?</v>
      </c>
      <c r="AN56" s="2" t="e">
        <f ca="1"/>
        <v>#NAME?</v>
      </c>
      <c r="AO56" s="2" t="e">
        <f t="shared" ca="1" si="19"/>
        <v>#NAME?</v>
      </c>
      <c r="AP56" s="2" t="e">
        <f ca="1"/>
        <v>#NAME?</v>
      </c>
      <c r="AQ56" s="2" t="e">
        <f t="shared" ca="1" si="20"/>
        <v>#NAME?</v>
      </c>
      <c r="AR56" s="2" t="e">
        <f ca="1"/>
        <v>#NAME?</v>
      </c>
      <c r="AS56" s="2" t="e">
        <f t="shared" ca="1" si="21"/>
        <v>#NAME?</v>
      </c>
      <c r="AT56" s="2" t="e">
        <f ca="1"/>
        <v>#NAME?</v>
      </c>
      <c r="AU56" s="2" t="e">
        <f t="shared" ca="1" si="22"/>
        <v>#NAME?</v>
      </c>
      <c r="AV56" s="2" t="e">
        <f ca="1"/>
        <v>#NAME?</v>
      </c>
      <c r="AW56" s="2" t="e">
        <f t="shared" ca="1" si="23"/>
        <v>#NAME?</v>
      </c>
      <c r="AX56" s="2" t="e">
        <f ca="1"/>
        <v>#NAME?</v>
      </c>
      <c r="AY56" s="2" t="e">
        <f t="shared" ca="1" si="24"/>
        <v>#NAME?</v>
      </c>
      <c r="AZ56" s="2" t="e">
        <f ca="1"/>
        <v>#NAME?</v>
      </c>
      <c r="BA56" s="2" t="e">
        <f t="shared" ca="1" si="25"/>
        <v>#NAME?</v>
      </c>
      <c r="BB56" s="2" t="e">
        <f ca="1"/>
        <v>#NAME?</v>
      </c>
      <c r="BC56" s="2" t="e">
        <f t="shared" ca="1" si="26"/>
        <v>#NAME?</v>
      </c>
      <c r="BD56" s="2" t="e">
        <f ca="1"/>
        <v>#NAME?</v>
      </c>
      <c r="BE56" s="2" t="e">
        <f t="shared" ca="1" si="27"/>
        <v>#NAME?</v>
      </c>
      <c r="BF56" s="2" t="e">
        <f ca="1"/>
        <v>#NAME?</v>
      </c>
      <c r="BG56" s="2" t="e">
        <f t="shared" ca="1" si="28"/>
        <v>#NAME?</v>
      </c>
      <c r="BH56" s="2" t="e">
        <f ca="1"/>
        <v>#NAME?</v>
      </c>
      <c r="BI56" s="2" t="e">
        <f t="shared" ca="1" si="29"/>
        <v>#NAME?</v>
      </c>
      <c r="BJ56" s="2" t="e">
        <f ca="1"/>
        <v>#NAME?</v>
      </c>
      <c r="BK56" s="2" t="e">
        <f t="shared" ca="1" si="30"/>
        <v>#NAME?</v>
      </c>
      <c r="BL56" s="2" t="e">
        <f ca="1"/>
        <v>#NAME?</v>
      </c>
      <c r="BM56" s="2" t="e">
        <f t="shared" ca="1" si="31"/>
        <v>#NAME?</v>
      </c>
      <c r="BN56" s="2" t="e">
        <f ca="1"/>
        <v>#NAME?</v>
      </c>
      <c r="BO56" s="2" t="e">
        <f t="shared" ca="1" si="32"/>
        <v>#NAME?</v>
      </c>
      <c r="BP56" s="2" t="e">
        <f ca="1"/>
        <v>#NAME?</v>
      </c>
      <c r="BQ56" s="2" t="e">
        <f t="shared" ca="1" si="33"/>
        <v>#NAME?</v>
      </c>
      <c r="BR56" s="2" t="e">
        <f ca="1"/>
        <v>#NAME?</v>
      </c>
      <c r="BS56" s="2" t="e">
        <f t="shared" ca="1" si="34"/>
        <v>#NAME?</v>
      </c>
      <c r="BT56" s="2" t="e">
        <f ca="1"/>
        <v>#NAME?</v>
      </c>
      <c r="BU56" s="2" t="e">
        <f t="shared" ca="1" si="35"/>
        <v>#NAME?</v>
      </c>
      <c r="BV56" s="2" t="e">
        <f ca="1"/>
        <v>#NAME?</v>
      </c>
      <c r="BW56" s="2" t="e">
        <f t="shared" ca="1" si="36"/>
        <v>#NAME?</v>
      </c>
      <c r="BX56" s="2" t="e">
        <f ca="1"/>
        <v>#NAME?</v>
      </c>
      <c r="BY56" s="2" t="e">
        <f t="shared" ca="1" si="37"/>
        <v>#NAME?</v>
      </c>
      <c r="BZ56" s="2" t="e">
        <f ca="1"/>
        <v>#NAME?</v>
      </c>
      <c r="CA56" s="2" t="e">
        <f t="shared" ca="1" si="38"/>
        <v>#NAME?</v>
      </c>
      <c r="CB56" s="2" t="e">
        <f ca="1"/>
        <v>#NAME?</v>
      </c>
      <c r="CC56" s="2" t="e">
        <f t="shared" ca="1" si="39"/>
        <v>#NAME?</v>
      </c>
      <c r="CD56" s="2" t="e">
        <f ca="1"/>
        <v>#NAME?</v>
      </c>
      <c r="CE56" s="2" t="e">
        <f t="shared" ca="1" si="40"/>
        <v>#NAME?</v>
      </c>
      <c r="CF56" s="2" t="e">
        <f ca="1"/>
        <v>#NAME?</v>
      </c>
      <c r="CG56" s="2" t="e">
        <f t="shared" ca="1" si="41"/>
        <v>#NAME?</v>
      </c>
      <c r="CH56" s="2" t="e">
        <f ca="1"/>
        <v>#NAME?</v>
      </c>
      <c r="CI56" s="2" t="e">
        <f t="shared" ca="1" si="42"/>
        <v>#NAME?</v>
      </c>
      <c r="CJ56" s="2" t="e">
        <f ca="1"/>
        <v>#NAME?</v>
      </c>
      <c r="CK56" s="2" t="e">
        <f t="shared" ca="1" si="43"/>
        <v>#NAME?</v>
      </c>
      <c r="CL56" s="2" t="e">
        <f ca="1"/>
        <v>#NAME?</v>
      </c>
      <c r="CM56" s="2" t="e">
        <f t="shared" ca="1" si="44"/>
        <v>#NAME?</v>
      </c>
      <c r="CN56" s="2" t="e">
        <f ca="1"/>
        <v>#NAME?</v>
      </c>
      <c r="CO56" s="2" t="e">
        <f t="shared" ca="1" si="45"/>
        <v>#NAME?</v>
      </c>
      <c r="CP56" s="2" t="e">
        <f ca="1"/>
        <v>#NAME?</v>
      </c>
      <c r="CQ56" s="2" t="e">
        <f t="shared" ca="1" si="46"/>
        <v>#NAME?</v>
      </c>
    </row>
    <row r="57" spans="1:95">
      <c r="A57" s="7" t="e">
        <f ca="1"/>
        <v>#NAME?</v>
      </c>
      <c r="B57" s="2" t="e">
        <f ca="1"/>
        <v>#NAME?</v>
      </c>
      <c r="C57" s="2" t="e">
        <f t="shared" ca="1" si="0"/>
        <v>#NAME?</v>
      </c>
      <c r="D57" s="2" t="e">
        <f ca="1"/>
        <v>#NAME?</v>
      </c>
      <c r="E57" s="2" t="e">
        <f t="shared" ca="1" si="1"/>
        <v>#NAME?</v>
      </c>
      <c r="F57" s="2" t="e">
        <f ca="1"/>
        <v>#NAME?</v>
      </c>
      <c r="G57" s="2" t="e">
        <f t="shared" ca="1" si="2"/>
        <v>#NAME?</v>
      </c>
      <c r="H57" s="2" t="e">
        <f ca="1"/>
        <v>#NAME?</v>
      </c>
      <c r="I57" s="2" t="e">
        <f t="shared" ca="1" si="3"/>
        <v>#NAME?</v>
      </c>
      <c r="J57" s="2" t="e">
        <f ca="1"/>
        <v>#NAME?</v>
      </c>
      <c r="K57" s="2" t="e">
        <f t="shared" ca="1" si="4"/>
        <v>#NAME?</v>
      </c>
      <c r="L57" s="2" t="e">
        <f ca="1"/>
        <v>#NAME?</v>
      </c>
      <c r="M57" s="2" t="e">
        <f t="shared" ca="1" si="5"/>
        <v>#NAME?</v>
      </c>
      <c r="N57" s="2" t="e">
        <f ca="1"/>
        <v>#NAME?</v>
      </c>
      <c r="O57" s="2" t="e">
        <f t="shared" ca="1" si="6"/>
        <v>#NAME?</v>
      </c>
      <c r="P57" s="2" t="e">
        <f ca="1"/>
        <v>#NAME?</v>
      </c>
      <c r="Q57" s="2" t="e">
        <f t="shared" ca="1" si="7"/>
        <v>#NAME?</v>
      </c>
      <c r="R57" s="2" t="e">
        <f ca="1"/>
        <v>#NAME?</v>
      </c>
      <c r="S57" s="2" t="e">
        <f t="shared" ca="1" si="8"/>
        <v>#NAME?</v>
      </c>
      <c r="T57" s="2" t="e">
        <f ca="1"/>
        <v>#NAME?</v>
      </c>
      <c r="U57" s="2" t="e">
        <f t="shared" ca="1" si="9"/>
        <v>#NAME?</v>
      </c>
      <c r="V57" s="2" t="e">
        <f ca="1"/>
        <v>#NAME?</v>
      </c>
      <c r="W57" s="2" t="e">
        <f t="shared" ca="1" si="10"/>
        <v>#NAME?</v>
      </c>
      <c r="X57" s="2" t="e">
        <f ca="1"/>
        <v>#NAME?</v>
      </c>
      <c r="Y57" s="2" t="e">
        <f t="shared" ca="1" si="11"/>
        <v>#NAME?</v>
      </c>
      <c r="Z57" s="2" t="e">
        <f ca="1"/>
        <v>#NAME?</v>
      </c>
      <c r="AA57" s="2" t="e">
        <f t="shared" ca="1" si="12"/>
        <v>#NAME?</v>
      </c>
      <c r="AB57" s="2" t="e">
        <f ca="1"/>
        <v>#NAME?</v>
      </c>
      <c r="AC57" s="2" t="e">
        <f t="shared" ca="1" si="13"/>
        <v>#NAME?</v>
      </c>
      <c r="AD57" s="2" t="e">
        <f ca="1"/>
        <v>#NAME?</v>
      </c>
      <c r="AE57" s="2" t="e">
        <f t="shared" ca="1" si="14"/>
        <v>#NAME?</v>
      </c>
      <c r="AF57" s="2" t="e">
        <f ca="1"/>
        <v>#NAME?</v>
      </c>
      <c r="AG57" s="2" t="e">
        <f t="shared" ca="1" si="15"/>
        <v>#NAME?</v>
      </c>
      <c r="AH57" s="2" t="e">
        <f ca="1"/>
        <v>#NAME?</v>
      </c>
      <c r="AI57" s="2" t="e">
        <f t="shared" ca="1" si="16"/>
        <v>#NAME?</v>
      </c>
      <c r="AJ57" s="2" t="e">
        <f ca="1"/>
        <v>#NAME?</v>
      </c>
      <c r="AK57" s="2" t="e">
        <f t="shared" ca="1" si="17"/>
        <v>#NAME?</v>
      </c>
      <c r="AL57" s="2" t="e">
        <f ca="1"/>
        <v>#NAME?</v>
      </c>
      <c r="AM57" s="2" t="e">
        <f t="shared" ca="1" si="18"/>
        <v>#NAME?</v>
      </c>
      <c r="AN57" s="2" t="e">
        <f ca="1"/>
        <v>#NAME?</v>
      </c>
      <c r="AO57" s="2" t="e">
        <f t="shared" ca="1" si="19"/>
        <v>#NAME?</v>
      </c>
      <c r="AP57" s="2" t="e">
        <f ca="1"/>
        <v>#NAME?</v>
      </c>
      <c r="AQ57" s="2" t="e">
        <f t="shared" ca="1" si="20"/>
        <v>#NAME?</v>
      </c>
      <c r="AR57" s="2" t="e">
        <f ca="1"/>
        <v>#NAME?</v>
      </c>
      <c r="AS57" s="2" t="e">
        <f t="shared" ca="1" si="21"/>
        <v>#NAME?</v>
      </c>
      <c r="AT57" s="2" t="e">
        <f ca="1"/>
        <v>#NAME?</v>
      </c>
      <c r="AU57" s="2" t="e">
        <f t="shared" ca="1" si="22"/>
        <v>#NAME?</v>
      </c>
      <c r="AV57" s="2" t="e">
        <f ca="1"/>
        <v>#NAME?</v>
      </c>
      <c r="AW57" s="2" t="e">
        <f t="shared" ca="1" si="23"/>
        <v>#NAME?</v>
      </c>
      <c r="AX57" s="2" t="e">
        <f ca="1"/>
        <v>#NAME?</v>
      </c>
      <c r="AY57" s="2" t="e">
        <f t="shared" ca="1" si="24"/>
        <v>#NAME?</v>
      </c>
      <c r="AZ57" s="2" t="e">
        <f ca="1"/>
        <v>#NAME?</v>
      </c>
      <c r="BA57" s="2" t="e">
        <f t="shared" ca="1" si="25"/>
        <v>#NAME?</v>
      </c>
      <c r="BB57" s="2" t="e">
        <f ca="1"/>
        <v>#NAME?</v>
      </c>
      <c r="BC57" s="2" t="e">
        <f t="shared" ca="1" si="26"/>
        <v>#NAME?</v>
      </c>
      <c r="BD57" s="2" t="e">
        <f ca="1"/>
        <v>#NAME?</v>
      </c>
      <c r="BE57" s="2" t="e">
        <f t="shared" ca="1" si="27"/>
        <v>#NAME?</v>
      </c>
      <c r="BF57" s="2" t="e">
        <f ca="1"/>
        <v>#NAME?</v>
      </c>
      <c r="BG57" s="2" t="e">
        <f t="shared" ca="1" si="28"/>
        <v>#NAME?</v>
      </c>
      <c r="BH57" s="2" t="e">
        <f ca="1"/>
        <v>#NAME?</v>
      </c>
      <c r="BI57" s="2" t="e">
        <f t="shared" ca="1" si="29"/>
        <v>#NAME?</v>
      </c>
      <c r="BJ57" s="2" t="e">
        <f ca="1"/>
        <v>#NAME?</v>
      </c>
      <c r="BK57" s="2" t="e">
        <f t="shared" ca="1" si="30"/>
        <v>#NAME?</v>
      </c>
      <c r="BL57" s="2" t="e">
        <f ca="1"/>
        <v>#NAME?</v>
      </c>
      <c r="BM57" s="2" t="e">
        <f t="shared" ca="1" si="31"/>
        <v>#NAME?</v>
      </c>
      <c r="BN57" s="2" t="e">
        <f ca="1"/>
        <v>#NAME?</v>
      </c>
      <c r="BO57" s="2" t="e">
        <f t="shared" ca="1" si="32"/>
        <v>#NAME?</v>
      </c>
      <c r="BP57" s="2" t="e">
        <f ca="1"/>
        <v>#NAME?</v>
      </c>
      <c r="BQ57" s="2" t="e">
        <f t="shared" ca="1" si="33"/>
        <v>#NAME?</v>
      </c>
      <c r="BR57" s="2" t="e">
        <f ca="1"/>
        <v>#NAME?</v>
      </c>
      <c r="BS57" s="2" t="e">
        <f t="shared" ca="1" si="34"/>
        <v>#NAME?</v>
      </c>
      <c r="BT57" s="2" t="e">
        <f ca="1"/>
        <v>#NAME?</v>
      </c>
      <c r="BU57" s="2" t="e">
        <f t="shared" ca="1" si="35"/>
        <v>#NAME?</v>
      </c>
      <c r="BV57" s="2" t="e">
        <f ca="1"/>
        <v>#NAME?</v>
      </c>
      <c r="BW57" s="2" t="e">
        <f t="shared" ca="1" si="36"/>
        <v>#NAME?</v>
      </c>
      <c r="BX57" s="2" t="e">
        <f ca="1"/>
        <v>#NAME?</v>
      </c>
      <c r="BY57" s="2" t="e">
        <f t="shared" ca="1" si="37"/>
        <v>#NAME?</v>
      </c>
      <c r="BZ57" s="2" t="e">
        <f ca="1"/>
        <v>#NAME?</v>
      </c>
      <c r="CA57" s="2" t="e">
        <f t="shared" ca="1" si="38"/>
        <v>#NAME?</v>
      </c>
      <c r="CB57" s="2" t="e">
        <f ca="1"/>
        <v>#NAME?</v>
      </c>
      <c r="CC57" s="2" t="e">
        <f t="shared" ca="1" si="39"/>
        <v>#NAME?</v>
      </c>
      <c r="CD57" s="2" t="e">
        <f ca="1"/>
        <v>#NAME?</v>
      </c>
      <c r="CE57" s="2" t="e">
        <f t="shared" ca="1" si="40"/>
        <v>#NAME?</v>
      </c>
      <c r="CF57" s="2" t="e">
        <f ca="1"/>
        <v>#NAME?</v>
      </c>
      <c r="CG57" s="2" t="e">
        <f t="shared" ca="1" si="41"/>
        <v>#NAME?</v>
      </c>
      <c r="CH57" s="2" t="e">
        <f ca="1"/>
        <v>#NAME?</v>
      </c>
      <c r="CI57" s="2" t="e">
        <f t="shared" ca="1" si="42"/>
        <v>#NAME?</v>
      </c>
      <c r="CJ57" s="2" t="e">
        <f ca="1"/>
        <v>#NAME?</v>
      </c>
      <c r="CK57" s="2" t="e">
        <f t="shared" ca="1" si="43"/>
        <v>#NAME?</v>
      </c>
      <c r="CL57" s="2" t="e">
        <f ca="1"/>
        <v>#NAME?</v>
      </c>
      <c r="CM57" s="2" t="e">
        <f t="shared" ca="1" si="44"/>
        <v>#NAME?</v>
      </c>
      <c r="CN57" s="2" t="e">
        <f ca="1"/>
        <v>#NAME?</v>
      </c>
      <c r="CO57" s="2" t="e">
        <f t="shared" ca="1" si="45"/>
        <v>#NAME?</v>
      </c>
      <c r="CP57" s="2" t="e">
        <f ca="1"/>
        <v>#NAME?</v>
      </c>
      <c r="CQ57" s="2" t="e">
        <f t="shared" ca="1" si="46"/>
        <v>#NAME?</v>
      </c>
    </row>
    <row r="58" spans="1:95">
      <c r="A58" s="7" t="e">
        <f ca="1"/>
        <v>#NAME?</v>
      </c>
      <c r="B58" s="2" t="e">
        <f ca="1"/>
        <v>#NAME?</v>
      </c>
      <c r="C58" s="2" t="e">
        <f t="shared" ca="1" si="0"/>
        <v>#NAME?</v>
      </c>
      <c r="D58" s="2" t="e">
        <f ca="1"/>
        <v>#NAME?</v>
      </c>
      <c r="E58" s="2" t="e">
        <f t="shared" ca="1" si="1"/>
        <v>#NAME?</v>
      </c>
      <c r="F58" s="2" t="e">
        <f ca="1"/>
        <v>#NAME?</v>
      </c>
      <c r="G58" s="2" t="e">
        <f t="shared" ca="1" si="2"/>
        <v>#NAME?</v>
      </c>
      <c r="H58" s="2" t="e">
        <f ca="1"/>
        <v>#NAME?</v>
      </c>
      <c r="I58" s="2" t="e">
        <f t="shared" ca="1" si="3"/>
        <v>#NAME?</v>
      </c>
      <c r="J58" s="2" t="e">
        <f ca="1"/>
        <v>#NAME?</v>
      </c>
      <c r="K58" s="2" t="e">
        <f t="shared" ca="1" si="4"/>
        <v>#NAME?</v>
      </c>
      <c r="L58" s="2" t="e">
        <f ca="1"/>
        <v>#NAME?</v>
      </c>
      <c r="M58" s="2" t="e">
        <f t="shared" ca="1" si="5"/>
        <v>#NAME?</v>
      </c>
      <c r="N58" s="2" t="e">
        <f ca="1"/>
        <v>#NAME?</v>
      </c>
      <c r="O58" s="2" t="e">
        <f t="shared" ca="1" si="6"/>
        <v>#NAME?</v>
      </c>
      <c r="P58" s="2" t="e">
        <f ca="1"/>
        <v>#NAME?</v>
      </c>
      <c r="Q58" s="2" t="e">
        <f t="shared" ca="1" si="7"/>
        <v>#NAME?</v>
      </c>
      <c r="R58" s="2" t="e">
        <f ca="1"/>
        <v>#NAME?</v>
      </c>
      <c r="S58" s="2" t="e">
        <f t="shared" ca="1" si="8"/>
        <v>#NAME?</v>
      </c>
      <c r="T58" s="2" t="e">
        <f ca="1"/>
        <v>#NAME?</v>
      </c>
      <c r="U58" s="2" t="e">
        <f t="shared" ca="1" si="9"/>
        <v>#NAME?</v>
      </c>
      <c r="V58" s="2" t="e">
        <f ca="1"/>
        <v>#NAME?</v>
      </c>
      <c r="W58" s="2" t="e">
        <f t="shared" ca="1" si="10"/>
        <v>#NAME?</v>
      </c>
      <c r="X58" s="2" t="e">
        <f ca="1"/>
        <v>#NAME?</v>
      </c>
      <c r="Y58" s="2" t="e">
        <f t="shared" ca="1" si="11"/>
        <v>#NAME?</v>
      </c>
      <c r="Z58" s="2" t="e">
        <f ca="1"/>
        <v>#NAME?</v>
      </c>
      <c r="AA58" s="2" t="e">
        <f t="shared" ca="1" si="12"/>
        <v>#NAME?</v>
      </c>
      <c r="AB58" s="2" t="e">
        <f ca="1"/>
        <v>#NAME?</v>
      </c>
      <c r="AC58" s="2" t="e">
        <f t="shared" ca="1" si="13"/>
        <v>#NAME?</v>
      </c>
      <c r="AD58" s="2" t="e">
        <f ca="1"/>
        <v>#NAME?</v>
      </c>
      <c r="AE58" s="2" t="e">
        <f t="shared" ca="1" si="14"/>
        <v>#NAME?</v>
      </c>
      <c r="AF58" s="2" t="e">
        <f ca="1"/>
        <v>#NAME?</v>
      </c>
      <c r="AG58" s="2" t="e">
        <f t="shared" ca="1" si="15"/>
        <v>#NAME?</v>
      </c>
      <c r="AH58" s="2" t="e">
        <f ca="1"/>
        <v>#NAME?</v>
      </c>
      <c r="AI58" s="2" t="e">
        <f t="shared" ca="1" si="16"/>
        <v>#NAME?</v>
      </c>
      <c r="AJ58" s="2" t="e">
        <f ca="1"/>
        <v>#NAME?</v>
      </c>
      <c r="AK58" s="2" t="e">
        <f t="shared" ca="1" si="17"/>
        <v>#NAME?</v>
      </c>
      <c r="AL58" s="2" t="e">
        <f ca="1"/>
        <v>#NAME?</v>
      </c>
      <c r="AM58" s="2" t="e">
        <f t="shared" ca="1" si="18"/>
        <v>#NAME?</v>
      </c>
      <c r="AN58" s="2" t="e">
        <f ca="1"/>
        <v>#NAME?</v>
      </c>
      <c r="AO58" s="2" t="e">
        <f t="shared" ca="1" si="19"/>
        <v>#NAME?</v>
      </c>
      <c r="AP58" s="2" t="e">
        <f ca="1"/>
        <v>#NAME?</v>
      </c>
      <c r="AQ58" s="2" t="e">
        <f t="shared" ca="1" si="20"/>
        <v>#NAME?</v>
      </c>
      <c r="AR58" s="2" t="e">
        <f ca="1"/>
        <v>#NAME?</v>
      </c>
      <c r="AS58" s="2" t="e">
        <f t="shared" ca="1" si="21"/>
        <v>#NAME?</v>
      </c>
      <c r="AT58" s="2" t="e">
        <f ca="1"/>
        <v>#NAME?</v>
      </c>
      <c r="AU58" s="2" t="e">
        <f t="shared" ca="1" si="22"/>
        <v>#NAME?</v>
      </c>
      <c r="AV58" s="2" t="e">
        <f ca="1"/>
        <v>#NAME?</v>
      </c>
      <c r="AW58" s="2" t="e">
        <f t="shared" ca="1" si="23"/>
        <v>#NAME?</v>
      </c>
      <c r="AX58" s="2" t="e">
        <f ca="1"/>
        <v>#NAME?</v>
      </c>
      <c r="AY58" s="2" t="e">
        <f t="shared" ca="1" si="24"/>
        <v>#NAME?</v>
      </c>
      <c r="AZ58" s="2" t="e">
        <f ca="1"/>
        <v>#NAME?</v>
      </c>
      <c r="BA58" s="2" t="e">
        <f t="shared" ca="1" si="25"/>
        <v>#NAME?</v>
      </c>
      <c r="BB58" s="2" t="e">
        <f ca="1"/>
        <v>#NAME?</v>
      </c>
      <c r="BC58" s="2" t="e">
        <f t="shared" ca="1" si="26"/>
        <v>#NAME?</v>
      </c>
      <c r="BD58" s="2" t="e">
        <f ca="1"/>
        <v>#NAME?</v>
      </c>
      <c r="BE58" s="2" t="e">
        <f t="shared" ca="1" si="27"/>
        <v>#NAME?</v>
      </c>
      <c r="BF58" s="2" t="e">
        <f ca="1"/>
        <v>#NAME?</v>
      </c>
      <c r="BG58" s="2" t="e">
        <f t="shared" ca="1" si="28"/>
        <v>#NAME?</v>
      </c>
      <c r="BH58" s="2" t="e">
        <f ca="1"/>
        <v>#NAME?</v>
      </c>
      <c r="BI58" s="2" t="e">
        <f t="shared" ca="1" si="29"/>
        <v>#NAME?</v>
      </c>
      <c r="BJ58" s="2" t="e">
        <f ca="1"/>
        <v>#NAME?</v>
      </c>
      <c r="BK58" s="2" t="e">
        <f t="shared" ca="1" si="30"/>
        <v>#NAME?</v>
      </c>
      <c r="BL58" s="2" t="e">
        <f ca="1"/>
        <v>#NAME?</v>
      </c>
      <c r="BM58" s="2" t="e">
        <f t="shared" ca="1" si="31"/>
        <v>#NAME?</v>
      </c>
      <c r="BN58" s="2" t="e">
        <f ca="1"/>
        <v>#NAME?</v>
      </c>
      <c r="BO58" s="2" t="e">
        <f t="shared" ca="1" si="32"/>
        <v>#NAME?</v>
      </c>
      <c r="BP58" s="2" t="e">
        <f ca="1"/>
        <v>#NAME?</v>
      </c>
      <c r="BQ58" s="2" t="e">
        <f t="shared" ca="1" si="33"/>
        <v>#NAME?</v>
      </c>
      <c r="BR58" s="2" t="e">
        <f ca="1"/>
        <v>#NAME?</v>
      </c>
      <c r="BS58" s="2" t="e">
        <f t="shared" ca="1" si="34"/>
        <v>#NAME?</v>
      </c>
      <c r="BT58" s="2" t="e">
        <f ca="1"/>
        <v>#NAME?</v>
      </c>
      <c r="BU58" s="2" t="e">
        <f t="shared" ca="1" si="35"/>
        <v>#NAME?</v>
      </c>
      <c r="BV58" s="2" t="e">
        <f ca="1"/>
        <v>#NAME?</v>
      </c>
      <c r="BW58" s="2" t="e">
        <f t="shared" ca="1" si="36"/>
        <v>#NAME?</v>
      </c>
      <c r="BX58" s="2" t="e">
        <f ca="1"/>
        <v>#NAME?</v>
      </c>
      <c r="BY58" s="2" t="e">
        <f t="shared" ca="1" si="37"/>
        <v>#NAME?</v>
      </c>
      <c r="BZ58" s="2" t="e">
        <f ca="1"/>
        <v>#NAME?</v>
      </c>
      <c r="CA58" s="2" t="e">
        <f t="shared" ca="1" si="38"/>
        <v>#NAME?</v>
      </c>
      <c r="CB58" s="2" t="e">
        <f ca="1"/>
        <v>#NAME?</v>
      </c>
      <c r="CC58" s="2" t="e">
        <f t="shared" ca="1" si="39"/>
        <v>#NAME?</v>
      </c>
      <c r="CD58" s="2" t="e">
        <f ca="1"/>
        <v>#NAME?</v>
      </c>
      <c r="CE58" s="2" t="e">
        <f t="shared" ca="1" si="40"/>
        <v>#NAME?</v>
      </c>
      <c r="CF58" s="2" t="e">
        <f ca="1"/>
        <v>#NAME?</v>
      </c>
      <c r="CG58" s="2" t="e">
        <f t="shared" ca="1" si="41"/>
        <v>#NAME?</v>
      </c>
      <c r="CH58" s="2" t="e">
        <f ca="1"/>
        <v>#NAME?</v>
      </c>
      <c r="CI58" s="2" t="e">
        <f t="shared" ca="1" si="42"/>
        <v>#NAME?</v>
      </c>
      <c r="CJ58" s="2" t="e">
        <f ca="1"/>
        <v>#NAME?</v>
      </c>
      <c r="CK58" s="2" t="e">
        <f t="shared" ca="1" si="43"/>
        <v>#NAME?</v>
      </c>
      <c r="CL58" s="2" t="e">
        <f ca="1"/>
        <v>#NAME?</v>
      </c>
      <c r="CM58" s="2" t="e">
        <f t="shared" ca="1" si="44"/>
        <v>#NAME?</v>
      </c>
      <c r="CN58" s="2" t="e">
        <f ca="1"/>
        <v>#NAME?</v>
      </c>
      <c r="CO58" s="2" t="e">
        <f t="shared" ca="1" si="45"/>
        <v>#NAME?</v>
      </c>
      <c r="CP58" s="2" t="e">
        <f ca="1"/>
        <v>#NAME?</v>
      </c>
      <c r="CQ58" s="2" t="e">
        <f t="shared" ca="1" si="46"/>
        <v>#NAME?</v>
      </c>
    </row>
    <row r="59" spans="1:95">
      <c r="A59" s="7" t="e">
        <f ca="1"/>
        <v>#NAME?</v>
      </c>
      <c r="B59" s="2" t="e">
        <f ca="1"/>
        <v>#NAME?</v>
      </c>
      <c r="C59" s="2" t="e">
        <f t="shared" ca="1" si="0"/>
        <v>#NAME?</v>
      </c>
      <c r="D59" s="2" t="e">
        <f ca="1"/>
        <v>#NAME?</v>
      </c>
      <c r="E59" s="2" t="e">
        <f t="shared" ca="1" si="1"/>
        <v>#NAME?</v>
      </c>
      <c r="F59" s="2" t="e">
        <f ca="1"/>
        <v>#NAME?</v>
      </c>
      <c r="G59" s="2" t="e">
        <f t="shared" ca="1" si="2"/>
        <v>#NAME?</v>
      </c>
      <c r="H59" s="2" t="e">
        <f ca="1"/>
        <v>#NAME?</v>
      </c>
      <c r="I59" s="2" t="e">
        <f t="shared" ca="1" si="3"/>
        <v>#NAME?</v>
      </c>
      <c r="J59" s="2" t="e">
        <f ca="1"/>
        <v>#NAME?</v>
      </c>
      <c r="K59" s="2" t="e">
        <f t="shared" ca="1" si="4"/>
        <v>#NAME?</v>
      </c>
      <c r="L59" s="2" t="e">
        <f ca="1"/>
        <v>#NAME?</v>
      </c>
      <c r="M59" s="2" t="e">
        <f t="shared" ca="1" si="5"/>
        <v>#NAME?</v>
      </c>
      <c r="N59" s="2" t="e">
        <f ca="1"/>
        <v>#NAME?</v>
      </c>
      <c r="O59" s="2" t="e">
        <f t="shared" ca="1" si="6"/>
        <v>#NAME?</v>
      </c>
      <c r="P59" s="2" t="e">
        <f ca="1"/>
        <v>#NAME?</v>
      </c>
      <c r="Q59" s="2" t="e">
        <f t="shared" ca="1" si="7"/>
        <v>#NAME?</v>
      </c>
      <c r="R59" s="2" t="e">
        <f ca="1"/>
        <v>#NAME?</v>
      </c>
      <c r="S59" s="2" t="e">
        <f t="shared" ca="1" si="8"/>
        <v>#NAME?</v>
      </c>
      <c r="T59" s="2" t="e">
        <f ca="1"/>
        <v>#NAME?</v>
      </c>
      <c r="U59" s="2" t="e">
        <f t="shared" ca="1" si="9"/>
        <v>#NAME?</v>
      </c>
      <c r="V59" s="2" t="e">
        <f ca="1"/>
        <v>#NAME?</v>
      </c>
      <c r="W59" s="2" t="e">
        <f t="shared" ca="1" si="10"/>
        <v>#NAME?</v>
      </c>
      <c r="X59" s="2" t="e">
        <f ca="1"/>
        <v>#NAME?</v>
      </c>
      <c r="Y59" s="2" t="e">
        <f t="shared" ca="1" si="11"/>
        <v>#NAME?</v>
      </c>
      <c r="Z59" s="2" t="e">
        <f ca="1"/>
        <v>#NAME?</v>
      </c>
      <c r="AA59" s="2" t="e">
        <f t="shared" ca="1" si="12"/>
        <v>#NAME?</v>
      </c>
      <c r="AB59" s="2" t="e">
        <f ca="1"/>
        <v>#NAME?</v>
      </c>
      <c r="AC59" s="2" t="e">
        <f t="shared" ca="1" si="13"/>
        <v>#NAME?</v>
      </c>
      <c r="AD59" s="2" t="e">
        <f ca="1"/>
        <v>#NAME?</v>
      </c>
      <c r="AE59" s="2" t="e">
        <f t="shared" ca="1" si="14"/>
        <v>#NAME?</v>
      </c>
      <c r="AF59" s="2" t="e">
        <f ca="1"/>
        <v>#NAME?</v>
      </c>
      <c r="AG59" s="2" t="e">
        <f t="shared" ca="1" si="15"/>
        <v>#NAME?</v>
      </c>
      <c r="AH59" s="2" t="e">
        <f ca="1"/>
        <v>#NAME?</v>
      </c>
      <c r="AI59" s="2" t="e">
        <f t="shared" ca="1" si="16"/>
        <v>#NAME?</v>
      </c>
      <c r="AJ59" s="2" t="e">
        <f ca="1"/>
        <v>#NAME?</v>
      </c>
      <c r="AK59" s="2" t="e">
        <f t="shared" ca="1" si="17"/>
        <v>#NAME?</v>
      </c>
      <c r="AL59" s="2" t="e">
        <f ca="1"/>
        <v>#NAME?</v>
      </c>
      <c r="AM59" s="2" t="e">
        <f t="shared" ca="1" si="18"/>
        <v>#NAME?</v>
      </c>
      <c r="AN59" s="2" t="e">
        <f ca="1"/>
        <v>#NAME?</v>
      </c>
      <c r="AO59" s="2" t="e">
        <f t="shared" ca="1" si="19"/>
        <v>#NAME?</v>
      </c>
      <c r="AP59" s="2" t="e">
        <f ca="1"/>
        <v>#NAME?</v>
      </c>
      <c r="AQ59" s="2" t="e">
        <f t="shared" ca="1" si="20"/>
        <v>#NAME?</v>
      </c>
      <c r="AR59" s="2" t="e">
        <f ca="1"/>
        <v>#NAME?</v>
      </c>
      <c r="AS59" s="2" t="e">
        <f t="shared" ca="1" si="21"/>
        <v>#NAME?</v>
      </c>
      <c r="AT59" s="2" t="e">
        <f ca="1"/>
        <v>#NAME?</v>
      </c>
      <c r="AU59" s="2" t="e">
        <f t="shared" ca="1" si="22"/>
        <v>#NAME?</v>
      </c>
      <c r="AV59" s="2" t="e">
        <f ca="1"/>
        <v>#NAME?</v>
      </c>
      <c r="AW59" s="2" t="e">
        <f t="shared" ca="1" si="23"/>
        <v>#NAME?</v>
      </c>
      <c r="AX59" s="2" t="e">
        <f ca="1"/>
        <v>#NAME?</v>
      </c>
      <c r="AY59" s="2" t="e">
        <f t="shared" ca="1" si="24"/>
        <v>#NAME?</v>
      </c>
      <c r="AZ59" s="2" t="e">
        <f ca="1"/>
        <v>#NAME?</v>
      </c>
      <c r="BA59" s="2" t="e">
        <f t="shared" ca="1" si="25"/>
        <v>#NAME?</v>
      </c>
      <c r="BB59" s="2" t="e">
        <f ca="1"/>
        <v>#NAME?</v>
      </c>
      <c r="BC59" s="2" t="e">
        <f t="shared" ca="1" si="26"/>
        <v>#NAME?</v>
      </c>
      <c r="BD59" s="2" t="e">
        <f ca="1"/>
        <v>#NAME?</v>
      </c>
      <c r="BE59" s="2" t="e">
        <f t="shared" ca="1" si="27"/>
        <v>#NAME?</v>
      </c>
      <c r="BF59" s="2" t="e">
        <f ca="1"/>
        <v>#NAME?</v>
      </c>
      <c r="BG59" s="2" t="e">
        <f t="shared" ca="1" si="28"/>
        <v>#NAME?</v>
      </c>
      <c r="BH59" s="2" t="e">
        <f ca="1"/>
        <v>#NAME?</v>
      </c>
      <c r="BI59" s="2" t="e">
        <f t="shared" ca="1" si="29"/>
        <v>#NAME?</v>
      </c>
      <c r="BJ59" s="2" t="e">
        <f ca="1"/>
        <v>#NAME?</v>
      </c>
      <c r="BK59" s="2" t="e">
        <f t="shared" ca="1" si="30"/>
        <v>#NAME?</v>
      </c>
      <c r="BL59" s="2" t="e">
        <f ca="1"/>
        <v>#NAME?</v>
      </c>
      <c r="BM59" s="2" t="e">
        <f t="shared" ca="1" si="31"/>
        <v>#NAME?</v>
      </c>
      <c r="BN59" s="2" t="e">
        <f ca="1"/>
        <v>#NAME?</v>
      </c>
      <c r="BO59" s="2" t="e">
        <f t="shared" ca="1" si="32"/>
        <v>#NAME?</v>
      </c>
      <c r="BP59" s="2" t="e">
        <f ca="1"/>
        <v>#NAME?</v>
      </c>
      <c r="BQ59" s="2" t="e">
        <f t="shared" ca="1" si="33"/>
        <v>#NAME?</v>
      </c>
      <c r="BR59" s="2" t="e">
        <f ca="1"/>
        <v>#NAME?</v>
      </c>
      <c r="BS59" s="2" t="e">
        <f t="shared" ca="1" si="34"/>
        <v>#NAME?</v>
      </c>
      <c r="BT59" s="2" t="e">
        <f ca="1"/>
        <v>#NAME?</v>
      </c>
      <c r="BU59" s="2" t="e">
        <f t="shared" ca="1" si="35"/>
        <v>#NAME?</v>
      </c>
      <c r="BV59" s="2" t="e">
        <f ca="1"/>
        <v>#NAME?</v>
      </c>
      <c r="BW59" s="2" t="e">
        <f t="shared" ca="1" si="36"/>
        <v>#NAME?</v>
      </c>
      <c r="BX59" s="2" t="e">
        <f ca="1"/>
        <v>#NAME?</v>
      </c>
      <c r="BY59" s="2" t="e">
        <f t="shared" ca="1" si="37"/>
        <v>#NAME?</v>
      </c>
      <c r="BZ59" s="2" t="e">
        <f ca="1"/>
        <v>#NAME?</v>
      </c>
      <c r="CA59" s="2" t="e">
        <f t="shared" ca="1" si="38"/>
        <v>#NAME?</v>
      </c>
      <c r="CB59" s="2" t="e">
        <f ca="1"/>
        <v>#NAME?</v>
      </c>
      <c r="CC59" s="2" t="e">
        <f t="shared" ca="1" si="39"/>
        <v>#NAME?</v>
      </c>
      <c r="CD59" s="2" t="e">
        <f ca="1"/>
        <v>#NAME?</v>
      </c>
      <c r="CE59" s="2" t="e">
        <f t="shared" ca="1" si="40"/>
        <v>#NAME?</v>
      </c>
      <c r="CF59" s="2" t="e">
        <f ca="1"/>
        <v>#NAME?</v>
      </c>
      <c r="CG59" s="2" t="e">
        <f t="shared" ca="1" si="41"/>
        <v>#NAME?</v>
      </c>
      <c r="CH59" s="2" t="e">
        <f ca="1"/>
        <v>#NAME?</v>
      </c>
      <c r="CI59" s="2" t="e">
        <f t="shared" ca="1" si="42"/>
        <v>#NAME?</v>
      </c>
      <c r="CJ59" s="2" t="e">
        <f ca="1"/>
        <v>#NAME?</v>
      </c>
      <c r="CK59" s="2" t="e">
        <f t="shared" ca="1" si="43"/>
        <v>#NAME?</v>
      </c>
      <c r="CL59" s="2" t="e">
        <f ca="1"/>
        <v>#NAME?</v>
      </c>
      <c r="CM59" s="2" t="e">
        <f t="shared" ca="1" si="44"/>
        <v>#NAME?</v>
      </c>
      <c r="CN59" s="2" t="e">
        <f ca="1"/>
        <v>#NAME?</v>
      </c>
      <c r="CO59" s="2" t="e">
        <f t="shared" ca="1" si="45"/>
        <v>#NAME?</v>
      </c>
      <c r="CP59" s="2" t="e">
        <f ca="1"/>
        <v>#NAME?</v>
      </c>
      <c r="CQ59" s="2" t="e">
        <f t="shared" ca="1" si="46"/>
        <v>#NAME?</v>
      </c>
    </row>
    <row r="60" spans="1:95">
      <c r="A60" s="7" t="e">
        <f ca="1"/>
        <v>#NAME?</v>
      </c>
      <c r="B60" s="2" t="e">
        <f ca="1"/>
        <v>#NAME?</v>
      </c>
      <c r="C60" s="2" t="e">
        <f t="shared" ca="1" si="0"/>
        <v>#NAME?</v>
      </c>
      <c r="D60" s="2" t="e">
        <f ca="1"/>
        <v>#NAME?</v>
      </c>
      <c r="E60" s="2" t="e">
        <f t="shared" ca="1" si="1"/>
        <v>#NAME?</v>
      </c>
      <c r="F60" s="2" t="e">
        <f ca="1"/>
        <v>#NAME?</v>
      </c>
      <c r="G60" s="2" t="e">
        <f t="shared" ca="1" si="2"/>
        <v>#NAME?</v>
      </c>
      <c r="H60" s="2" t="e">
        <f ca="1"/>
        <v>#NAME?</v>
      </c>
      <c r="I60" s="2" t="e">
        <f t="shared" ca="1" si="3"/>
        <v>#NAME?</v>
      </c>
      <c r="J60" s="2" t="e">
        <f ca="1"/>
        <v>#NAME?</v>
      </c>
      <c r="K60" s="2" t="e">
        <f t="shared" ca="1" si="4"/>
        <v>#NAME?</v>
      </c>
      <c r="L60" s="2" t="e">
        <f ca="1"/>
        <v>#NAME?</v>
      </c>
      <c r="M60" s="2" t="e">
        <f t="shared" ca="1" si="5"/>
        <v>#NAME?</v>
      </c>
      <c r="N60" s="2" t="e">
        <f ca="1"/>
        <v>#NAME?</v>
      </c>
      <c r="O60" s="2" t="e">
        <f t="shared" ca="1" si="6"/>
        <v>#NAME?</v>
      </c>
      <c r="P60" s="2" t="e">
        <f ca="1"/>
        <v>#NAME?</v>
      </c>
      <c r="Q60" s="2" t="e">
        <f t="shared" ca="1" si="7"/>
        <v>#NAME?</v>
      </c>
      <c r="R60" s="2" t="e">
        <f ca="1"/>
        <v>#NAME?</v>
      </c>
      <c r="S60" s="2" t="e">
        <f t="shared" ca="1" si="8"/>
        <v>#NAME?</v>
      </c>
      <c r="T60" s="2" t="e">
        <f ca="1"/>
        <v>#NAME?</v>
      </c>
      <c r="U60" s="2" t="e">
        <f t="shared" ca="1" si="9"/>
        <v>#NAME?</v>
      </c>
      <c r="V60" s="2" t="e">
        <f ca="1"/>
        <v>#NAME?</v>
      </c>
      <c r="W60" s="2" t="e">
        <f t="shared" ca="1" si="10"/>
        <v>#NAME?</v>
      </c>
      <c r="X60" s="2" t="e">
        <f ca="1"/>
        <v>#NAME?</v>
      </c>
      <c r="Y60" s="2" t="e">
        <f t="shared" ca="1" si="11"/>
        <v>#NAME?</v>
      </c>
      <c r="Z60" s="2" t="e">
        <f ca="1"/>
        <v>#NAME?</v>
      </c>
      <c r="AA60" s="2" t="e">
        <f t="shared" ca="1" si="12"/>
        <v>#NAME?</v>
      </c>
      <c r="AB60" s="2" t="e">
        <f ca="1"/>
        <v>#NAME?</v>
      </c>
      <c r="AC60" s="2" t="e">
        <f t="shared" ca="1" si="13"/>
        <v>#NAME?</v>
      </c>
      <c r="AD60" s="2" t="e">
        <f ca="1"/>
        <v>#NAME?</v>
      </c>
      <c r="AE60" s="2" t="e">
        <f t="shared" ca="1" si="14"/>
        <v>#NAME?</v>
      </c>
      <c r="AF60" s="2" t="e">
        <f ca="1"/>
        <v>#NAME?</v>
      </c>
      <c r="AG60" s="2" t="e">
        <f t="shared" ca="1" si="15"/>
        <v>#NAME?</v>
      </c>
      <c r="AH60" s="2" t="e">
        <f ca="1"/>
        <v>#NAME?</v>
      </c>
      <c r="AI60" s="2" t="e">
        <f t="shared" ca="1" si="16"/>
        <v>#NAME?</v>
      </c>
      <c r="AJ60" s="2" t="e">
        <f ca="1"/>
        <v>#NAME?</v>
      </c>
      <c r="AK60" s="2" t="e">
        <f t="shared" ca="1" si="17"/>
        <v>#NAME?</v>
      </c>
      <c r="AL60" s="2" t="e">
        <f ca="1"/>
        <v>#NAME?</v>
      </c>
      <c r="AM60" s="2" t="e">
        <f t="shared" ca="1" si="18"/>
        <v>#NAME?</v>
      </c>
      <c r="AN60" s="2" t="e">
        <f ca="1"/>
        <v>#NAME?</v>
      </c>
      <c r="AO60" s="2" t="e">
        <f t="shared" ca="1" si="19"/>
        <v>#NAME?</v>
      </c>
      <c r="AP60" s="2" t="e">
        <f ca="1"/>
        <v>#NAME?</v>
      </c>
      <c r="AQ60" s="2" t="e">
        <f t="shared" ca="1" si="20"/>
        <v>#NAME?</v>
      </c>
      <c r="AR60" s="2" t="e">
        <f ca="1"/>
        <v>#NAME?</v>
      </c>
      <c r="AS60" s="2" t="e">
        <f t="shared" ca="1" si="21"/>
        <v>#NAME?</v>
      </c>
      <c r="AT60" s="2" t="e">
        <f ca="1"/>
        <v>#NAME?</v>
      </c>
      <c r="AU60" s="2" t="e">
        <f t="shared" ca="1" si="22"/>
        <v>#NAME?</v>
      </c>
      <c r="AV60" s="2" t="e">
        <f ca="1"/>
        <v>#NAME?</v>
      </c>
      <c r="AW60" s="2" t="e">
        <f t="shared" ca="1" si="23"/>
        <v>#NAME?</v>
      </c>
      <c r="AX60" s="2" t="e">
        <f ca="1"/>
        <v>#NAME?</v>
      </c>
      <c r="AY60" s="2" t="e">
        <f t="shared" ca="1" si="24"/>
        <v>#NAME?</v>
      </c>
      <c r="AZ60" s="2" t="e">
        <f ca="1"/>
        <v>#NAME?</v>
      </c>
      <c r="BA60" s="2" t="e">
        <f t="shared" ca="1" si="25"/>
        <v>#NAME?</v>
      </c>
      <c r="BB60" s="2" t="e">
        <f ca="1"/>
        <v>#NAME?</v>
      </c>
      <c r="BC60" s="2" t="e">
        <f t="shared" ca="1" si="26"/>
        <v>#NAME?</v>
      </c>
      <c r="BD60" s="2" t="e">
        <f ca="1"/>
        <v>#NAME?</v>
      </c>
      <c r="BE60" s="2" t="e">
        <f t="shared" ca="1" si="27"/>
        <v>#NAME?</v>
      </c>
      <c r="BF60" s="2" t="e">
        <f ca="1"/>
        <v>#NAME?</v>
      </c>
      <c r="BG60" s="2" t="e">
        <f t="shared" ca="1" si="28"/>
        <v>#NAME?</v>
      </c>
      <c r="BH60" s="2" t="e">
        <f ca="1"/>
        <v>#NAME?</v>
      </c>
      <c r="BI60" s="2" t="e">
        <f t="shared" ca="1" si="29"/>
        <v>#NAME?</v>
      </c>
      <c r="BJ60" s="2" t="e">
        <f ca="1"/>
        <v>#NAME?</v>
      </c>
      <c r="BK60" s="2" t="e">
        <f t="shared" ca="1" si="30"/>
        <v>#NAME?</v>
      </c>
      <c r="BL60" s="2" t="e">
        <f ca="1"/>
        <v>#NAME?</v>
      </c>
      <c r="BM60" s="2" t="e">
        <f t="shared" ca="1" si="31"/>
        <v>#NAME?</v>
      </c>
      <c r="BN60" s="2" t="e">
        <f ca="1"/>
        <v>#NAME?</v>
      </c>
      <c r="BO60" s="2" t="e">
        <f t="shared" ca="1" si="32"/>
        <v>#NAME?</v>
      </c>
      <c r="BP60" s="2" t="e">
        <f ca="1"/>
        <v>#NAME?</v>
      </c>
      <c r="BQ60" s="2" t="e">
        <f t="shared" ca="1" si="33"/>
        <v>#NAME?</v>
      </c>
      <c r="BR60" s="2" t="e">
        <f ca="1"/>
        <v>#NAME?</v>
      </c>
      <c r="BS60" s="2" t="e">
        <f t="shared" ca="1" si="34"/>
        <v>#NAME?</v>
      </c>
      <c r="BT60" s="2" t="e">
        <f ca="1"/>
        <v>#NAME?</v>
      </c>
      <c r="BU60" s="2" t="e">
        <f t="shared" ca="1" si="35"/>
        <v>#NAME?</v>
      </c>
      <c r="BV60" s="2" t="e">
        <f ca="1"/>
        <v>#NAME?</v>
      </c>
      <c r="BW60" s="2" t="e">
        <f t="shared" ca="1" si="36"/>
        <v>#NAME?</v>
      </c>
      <c r="BX60" s="2" t="e">
        <f ca="1"/>
        <v>#NAME?</v>
      </c>
      <c r="BY60" s="2" t="e">
        <f t="shared" ca="1" si="37"/>
        <v>#NAME?</v>
      </c>
      <c r="BZ60" s="2" t="e">
        <f ca="1"/>
        <v>#NAME?</v>
      </c>
      <c r="CA60" s="2" t="e">
        <f t="shared" ca="1" si="38"/>
        <v>#NAME?</v>
      </c>
      <c r="CB60" s="2" t="e">
        <f ca="1"/>
        <v>#NAME?</v>
      </c>
      <c r="CC60" s="2" t="e">
        <f t="shared" ca="1" si="39"/>
        <v>#NAME?</v>
      </c>
      <c r="CD60" s="2" t="e">
        <f ca="1"/>
        <v>#NAME?</v>
      </c>
      <c r="CE60" s="2" t="e">
        <f t="shared" ca="1" si="40"/>
        <v>#NAME?</v>
      </c>
      <c r="CF60" s="2" t="e">
        <f ca="1"/>
        <v>#NAME?</v>
      </c>
      <c r="CG60" s="2" t="e">
        <f t="shared" ca="1" si="41"/>
        <v>#NAME?</v>
      </c>
      <c r="CH60" s="2" t="e">
        <f ca="1"/>
        <v>#NAME?</v>
      </c>
      <c r="CI60" s="2" t="e">
        <f t="shared" ca="1" si="42"/>
        <v>#NAME?</v>
      </c>
      <c r="CJ60" s="2" t="e">
        <f ca="1"/>
        <v>#NAME?</v>
      </c>
      <c r="CK60" s="2" t="e">
        <f t="shared" ca="1" si="43"/>
        <v>#NAME?</v>
      </c>
      <c r="CL60" s="2" t="e">
        <f ca="1"/>
        <v>#NAME?</v>
      </c>
      <c r="CM60" s="2" t="e">
        <f t="shared" ca="1" si="44"/>
        <v>#NAME?</v>
      </c>
      <c r="CN60" s="2" t="e">
        <f ca="1"/>
        <v>#NAME?</v>
      </c>
      <c r="CO60" s="2" t="e">
        <f t="shared" ca="1" si="45"/>
        <v>#NAME?</v>
      </c>
      <c r="CP60" s="2" t="e">
        <f ca="1"/>
        <v>#NAME?</v>
      </c>
      <c r="CQ60" s="2" t="e">
        <f t="shared" ca="1" si="46"/>
        <v>#NAME?</v>
      </c>
    </row>
    <row r="61" spans="1:95">
      <c r="A61" s="7" t="e">
        <f ca="1"/>
        <v>#NAME?</v>
      </c>
      <c r="B61" s="2" t="e">
        <f ca="1"/>
        <v>#NAME?</v>
      </c>
      <c r="C61" s="2" t="e">
        <f t="shared" ca="1" si="0"/>
        <v>#NAME?</v>
      </c>
      <c r="D61" s="2" t="e">
        <f ca="1"/>
        <v>#NAME?</v>
      </c>
      <c r="E61" s="2" t="e">
        <f t="shared" ca="1" si="1"/>
        <v>#NAME?</v>
      </c>
      <c r="F61" s="2" t="e">
        <f ca="1"/>
        <v>#NAME?</v>
      </c>
      <c r="G61" s="2" t="e">
        <f t="shared" ca="1" si="2"/>
        <v>#NAME?</v>
      </c>
      <c r="H61" s="2" t="e">
        <f ca="1"/>
        <v>#NAME?</v>
      </c>
      <c r="I61" s="2" t="e">
        <f t="shared" ca="1" si="3"/>
        <v>#NAME?</v>
      </c>
      <c r="J61" s="2" t="e">
        <f ca="1"/>
        <v>#NAME?</v>
      </c>
      <c r="K61" s="2" t="e">
        <f t="shared" ca="1" si="4"/>
        <v>#NAME?</v>
      </c>
      <c r="L61" s="2" t="e">
        <f ca="1"/>
        <v>#NAME?</v>
      </c>
      <c r="M61" s="2" t="e">
        <f t="shared" ca="1" si="5"/>
        <v>#NAME?</v>
      </c>
      <c r="N61" s="2" t="e">
        <f ca="1"/>
        <v>#NAME?</v>
      </c>
      <c r="O61" s="2" t="e">
        <f t="shared" ca="1" si="6"/>
        <v>#NAME?</v>
      </c>
      <c r="P61" s="2" t="e">
        <f ca="1"/>
        <v>#NAME?</v>
      </c>
      <c r="Q61" s="2" t="e">
        <f t="shared" ca="1" si="7"/>
        <v>#NAME?</v>
      </c>
      <c r="R61" s="2" t="e">
        <f ca="1"/>
        <v>#NAME?</v>
      </c>
      <c r="S61" s="2" t="e">
        <f t="shared" ca="1" si="8"/>
        <v>#NAME?</v>
      </c>
      <c r="T61" s="2" t="e">
        <f ca="1"/>
        <v>#NAME?</v>
      </c>
      <c r="U61" s="2" t="e">
        <f t="shared" ca="1" si="9"/>
        <v>#NAME?</v>
      </c>
      <c r="V61" s="2" t="e">
        <f ca="1"/>
        <v>#NAME?</v>
      </c>
      <c r="W61" s="2" t="e">
        <f t="shared" ca="1" si="10"/>
        <v>#NAME?</v>
      </c>
      <c r="X61" s="2" t="e">
        <f ca="1"/>
        <v>#NAME?</v>
      </c>
      <c r="Y61" s="2" t="e">
        <f t="shared" ca="1" si="11"/>
        <v>#NAME?</v>
      </c>
      <c r="Z61" s="2" t="e">
        <f ca="1"/>
        <v>#NAME?</v>
      </c>
      <c r="AA61" s="2" t="e">
        <f t="shared" ca="1" si="12"/>
        <v>#NAME?</v>
      </c>
      <c r="AB61" s="2" t="e">
        <f ca="1"/>
        <v>#NAME?</v>
      </c>
      <c r="AC61" s="2" t="e">
        <f t="shared" ca="1" si="13"/>
        <v>#NAME?</v>
      </c>
      <c r="AD61" s="2" t="e">
        <f ca="1"/>
        <v>#NAME?</v>
      </c>
      <c r="AE61" s="2" t="e">
        <f t="shared" ca="1" si="14"/>
        <v>#NAME?</v>
      </c>
      <c r="AF61" s="2" t="e">
        <f ca="1"/>
        <v>#NAME?</v>
      </c>
      <c r="AG61" s="2" t="e">
        <f t="shared" ca="1" si="15"/>
        <v>#NAME?</v>
      </c>
      <c r="AH61" s="2" t="e">
        <f ca="1"/>
        <v>#NAME?</v>
      </c>
      <c r="AI61" s="2" t="e">
        <f t="shared" ca="1" si="16"/>
        <v>#NAME?</v>
      </c>
      <c r="AJ61" s="2" t="e">
        <f ca="1"/>
        <v>#NAME?</v>
      </c>
      <c r="AK61" s="2" t="e">
        <f t="shared" ca="1" si="17"/>
        <v>#NAME?</v>
      </c>
      <c r="AL61" s="2" t="e">
        <f ca="1"/>
        <v>#NAME?</v>
      </c>
      <c r="AM61" s="2" t="e">
        <f t="shared" ca="1" si="18"/>
        <v>#NAME?</v>
      </c>
      <c r="AN61" s="2" t="e">
        <f ca="1"/>
        <v>#NAME?</v>
      </c>
      <c r="AO61" s="2" t="e">
        <f t="shared" ca="1" si="19"/>
        <v>#NAME?</v>
      </c>
      <c r="AP61" s="2" t="e">
        <f ca="1"/>
        <v>#NAME?</v>
      </c>
      <c r="AQ61" s="2" t="e">
        <f t="shared" ca="1" si="20"/>
        <v>#NAME?</v>
      </c>
      <c r="AR61" s="2" t="e">
        <f ca="1"/>
        <v>#NAME?</v>
      </c>
      <c r="AS61" s="2" t="e">
        <f t="shared" ca="1" si="21"/>
        <v>#NAME?</v>
      </c>
      <c r="AT61" s="2" t="e">
        <f ca="1"/>
        <v>#NAME?</v>
      </c>
      <c r="AU61" s="2" t="e">
        <f t="shared" ca="1" si="22"/>
        <v>#NAME?</v>
      </c>
      <c r="AV61" s="2" t="e">
        <f ca="1"/>
        <v>#NAME?</v>
      </c>
      <c r="AW61" s="2" t="e">
        <f t="shared" ca="1" si="23"/>
        <v>#NAME?</v>
      </c>
      <c r="AX61" s="2" t="e">
        <f ca="1"/>
        <v>#NAME?</v>
      </c>
      <c r="AY61" s="2" t="e">
        <f t="shared" ca="1" si="24"/>
        <v>#NAME?</v>
      </c>
      <c r="AZ61" s="2" t="e">
        <f ca="1"/>
        <v>#NAME?</v>
      </c>
      <c r="BA61" s="2" t="e">
        <f t="shared" ca="1" si="25"/>
        <v>#NAME?</v>
      </c>
      <c r="BB61" s="2" t="e">
        <f ca="1"/>
        <v>#NAME?</v>
      </c>
      <c r="BC61" s="2" t="e">
        <f t="shared" ca="1" si="26"/>
        <v>#NAME?</v>
      </c>
      <c r="BD61" s="2" t="e">
        <f ca="1"/>
        <v>#NAME?</v>
      </c>
      <c r="BE61" s="2" t="e">
        <f t="shared" ca="1" si="27"/>
        <v>#NAME?</v>
      </c>
      <c r="BF61" s="2" t="e">
        <f ca="1"/>
        <v>#NAME?</v>
      </c>
      <c r="BG61" s="2" t="e">
        <f t="shared" ca="1" si="28"/>
        <v>#NAME?</v>
      </c>
      <c r="BH61" s="2" t="e">
        <f ca="1"/>
        <v>#NAME?</v>
      </c>
      <c r="BI61" s="2" t="e">
        <f t="shared" ca="1" si="29"/>
        <v>#NAME?</v>
      </c>
      <c r="BJ61" s="2" t="e">
        <f ca="1"/>
        <v>#NAME?</v>
      </c>
      <c r="BK61" s="2" t="e">
        <f t="shared" ca="1" si="30"/>
        <v>#NAME?</v>
      </c>
      <c r="BL61" s="2" t="e">
        <f ca="1"/>
        <v>#NAME?</v>
      </c>
      <c r="BM61" s="2" t="e">
        <f t="shared" ca="1" si="31"/>
        <v>#NAME?</v>
      </c>
      <c r="BN61" s="2" t="e">
        <f ca="1"/>
        <v>#NAME?</v>
      </c>
      <c r="BO61" s="2" t="e">
        <f t="shared" ca="1" si="32"/>
        <v>#NAME?</v>
      </c>
      <c r="BP61" s="2" t="e">
        <f ca="1"/>
        <v>#NAME?</v>
      </c>
      <c r="BQ61" s="2" t="e">
        <f t="shared" ca="1" si="33"/>
        <v>#NAME?</v>
      </c>
      <c r="BR61" s="2" t="e">
        <f ca="1"/>
        <v>#NAME?</v>
      </c>
      <c r="BS61" s="2" t="e">
        <f t="shared" ca="1" si="34"/>
        <v>#NAME?</v>
      </c>
      <c r="BT61" s="2" t="e">
        <f ca="1"/>
        <v>#NAME?</v>
      </c>
      <c r="BU61" s="2" t="e">
        <f t="shared" ca="1" si="35"/>
        <v>#NAME?</v>
      </c>
      <c r="BV61" s="2" t="e">
        <f ca="1"/>
        <v>#NAME?</v>
      </c>
      <c r="BW61" s="2" t="e">
        <f t="shared" ca="1" si="36"/>
        <v>#NAME?</v>
      </c>
      <c r="BX61" s="2" t="e">
        <f ca="1"/>
        <v>#NAME?</v>
      </c>
      <c r="BY61" s="2" t="e">
        <f t="shared" ca="1" si="37"/>
        <v>#NAME?</v>
      </c>
      <c r="BZ61" s="2" t="e">
        <f ca="1"/>
        <v>#NAME?</v>
      </c>
      <c r="CA61" s="2" t="e">
        <f t="shared" ca="1" si="38"/>
        <v>#NAME?</v>
      </c>
      <c r="CB61" s="2" t="e">
        <f ca="1"/>
        <v>#NAME?</v>
      </c>
      <c r="CC61" s="2" t="e">
        <f t="shared" ca="1" si="39"/>
        <v>#NAME?</v>
      </c>
      <c r="CD61" s="2" t="e">
        <f ca="1"/>
        <v>#NAME?</v>
      </c>
      <c r="CE61" s="2" t="e">
        <f t="shared" ca="1" si="40"/>
        <v>#NAME?</v>
      </c>
      <c r="CF61" s="2" t="e">
        <f ca="1"/>
        <v>#NAME?</v>
      </c>
      <c r="CG61" s="2" t="e">
        <f t="shared" ca="1" si="41"/>
        <v>#NAME?</v>
      </c>
      <c r="CH61" s="2" t="e">
        <f ca="1"/>
        <v>#NAME?</v>
      </c>
      <c r="CI61" s="2" t="e">
        <f t="shared" ca="1" si="42"/>
        <v>#NAME?</v>
      </c>
      <c r="CJ61" s="2" t="e">
        <f ca="1"/>
        <v>#NAME?</v>
      </c>
      <c r="CK61" s="2" t="e">
        <f t="shared" ca="1" si="43"/>
        <v>#NAME?</v>
      </c>
      <c r="CL61" s="2" t="e">
        <f ca="1"/>
        <v>#NAME?</v>
      </c>
      <c r="CM61" s="2" t="e">
        <f t="shared" ca="1" si="44"/>
        <v>#NAME?</v>
      </c>
      <c r="CN61" s="2" t="e">
        <f ca="1"/>
        <v>#NAME?</v>
      </c>
      <c r="CO61" s="2" t="e">
        <f t="shared" ca="1" si="45"/>
        <v>#NAME?</v>
      </c>
      <c r="CP61" s="2" t="e">
        <f ca="1"/>
        <v>#NAME?</v>
      </c>
      <c r="CQ61" s="2" t="e">
        <f t="shared" ca="1" si="46"/>
        <v>#NAME?</v>
      </c>
    </row>
    <row r="62" spans="1:95">
      <c r="A62" s="7" t="e">
        <f ca="1"/>
        <v>#NAME?</v>
      </c>
      <c r="B62" s="2" t="e">
        <f ca="1"/>
        <v>#NAME?</v>
      </c>
      <c r="C62" s="2" t="e">
        <f t="shared" ca="1" si="0"/>
        <v>#NAME?</v>
      </c>
      <c r="D62" s="2" t="e">
        <f ca="1"/>
        <v>#NAME?</v>
      </c>
      <c r="E62" s="2" t="e">
        <f t="shared" ca="1" si="1"/>
        <v>#NAME?</v>
      </c>
      <c r="F62" s="2" t="e">
        <f ca="1"/>
        <v>#NAME?</v>
      </c>
      <c r="G62" s="2" t="e">
        <f t="shared" ca="1" si="2"/>
        <v>#NAME?</v>
      </c>
      <c r="H62" s="2" t="e">
        <f ca="1"/>
        <v>#NAME?</v>
      </c>
      <c r="I62" s="2" t="e">
        <f t="shared" ca="1" si="3"/>
        <v>#NAME?</v>
      </c>
      <c r="J62" s="2" t="e">
        <f ca="1"/>
        <v>#NAME?</v>
      </c>
      <c r="K62" s="2" t="e">
        <f t="shared" ca="1" si="4"/>
        <v>#NAME?</v>
      </c>
      <c r="L62" s="2" t="e">
        <f ca="1"/>
        <v>#NAME?</v>
      </c>
      <c r="M62" s="2" t="e">
        <f t="shared" ca="1" si="5"/>
        <v>#NAME?</v>
      </c>
      <c r="N62" s="2" t="e">
        <f ca="1"/>
        <v>#NAME?</v>
      </c>
      <c r="O62" s="2" t="e">
        <f t="shared" ca="1" si="6"/>
        <v>#NAME?</v>
      </c>
      <c r="P62" s="2" t="e">
        <f ca="1"/>
        <v>#NAME?</v>
      </c>
      <c r="Q62" s="2" t="e">
        <f t="shared" ca="1" si="7"/>
        <v>#NAME?</v>
      </c>
      <c r="R62" s="2" t="e">
        <f ca="1"/>
        <v>#NAME?</v>
      </c>
      <c r="S62" s="2" t="e">
        <f t="shared" ca="1" si="8"/>
        <v>#NAME?</v>
      </c>
      <c r="T62" s="2" t="e">
        <f ca="1"/>
        <v>#NAME?</v>
      </c>
      <c r="U62" s="2" t="e">
        <f t="shared" ca="1" si="9"/>
        <v>#NAME?</v>
      </c>
      <c r="V62" s="2" t="e">
        <f ca="1"/>
        <v>#NAME?</v>
      </c>
      <c r="W62" s="2" t="e">
        <f t="shared" ca="1" si="10"/>
        <v>#NAME?</v>
      </c>
      <c r="X62" s="2" t="e">
        <f ca="1"/>
        <v>#NAME?</v>
      </c>
      <c r="Y62" s="2" t="e">
        <f t="shared" ca="1" si="11"/>
        <v>#NAME?</v>
      </c>
      <c r="Z62" s="2" t="e">
        <f ca="1"/>
        <v>#NAME?</v>
      </c>
      <c r="AA62" s="2" t="e">
        <f t="shared" ca="1" si="12"/>
        <v>#NAME?</v>
      </c>
      <c r="AB62" s="2" t="e">
        <f ca="1"/>
        <v>#NAME?</v>
      </c>
      <c r="AC62" s="2" t="e">
        <f t="shared" ca="1" si="13"/>
        <v>#NAME?</v>
      </c>
      <c r="AD62" s="2" t="e">
        <f ca="1"/>
        <v>#NAME?</v>
      </c>
      <c r="AE62" s="2" t="e">
        <f t="shared" ca="1" si="14"/>
        <v>#NAME?</v>
      </c>
      <c r="AF62" s="2" t="e">
        <f ca="1"/>
        <v>#NAME?</v>
      </c>
      <c r="AG62" s="2" t="e">
        <f t="shared" ca="1" si="15"/>
        <v>#NAME?</v>
      </c>
      <c r="AH62" s="2" t="e">
        <f ca="1"/>
        <v>#NAME?</v>
      </c>
      <c r="AI62" s="2" t="e">
        <f t="shared" ca="1" si="16"/>
        <v>#NAME?</v>
      </c>
      <c r="AJ62" s="2" t="e">
        <f ca="1"/>
        <v>#NAME?</v>
      </c>
      <c r="AK62" s="2" t="e">
        <f t="shared" ca="1" si="17"/>
        <v>#NAME?</v>
      </c>
      <c r="AL62" s="2" t="e">
        <f ca="1"/>
        <v>#NAME?</v>
      </c>
      <c r="AM62" s="2" t="e">
        <f t="shared" ca="1" si="18"/>
        <v>#NAME?</v>
      </c>
      <c r="AN62" s="2" t="e">
        <f ca="1"/>
        <v>#NAME?</v>
      </c>
      <c r="AO62" s="2" t="e">
        <f t="shared" ca="1" si="19"/>
        <v>#NAME?</v>
      </c>
      <c r="AP62" s="2" t="e">
        <f ca="1"/>
        <v>#NAME?</v>
      </c>
      <c r="AQ62" s="2" t="e">
        <f t="shared" ca="1" si="20"/>
        <v>#NAME?</v>
      </c>
      <c r="AR62" s="2" t="e">
        <f ca="1"/>
        <v>#NAME?</v>
      </c>
      <c r="AS62" s="2" t="e">
        <f t="shared" ca="1" si="21"/>
        <v>#NAME?</v>
      </c>
      <c r="AT62" s="2" t="e">
        <f ca="1"/>
        <v>#NAME?</v>
      </c>
      <c r="AU62" s="2" t="e">
        <f t="shared" ca="1" si="22"/>
        <v>#NAME?</v>
      </c>
      <c r="AV62" s="2" t="e">
        <f ca="1"/>
        <v>#NAME?</v>
      </c>
      <c r="AW62" s="2" t="e">
        <f t="shared" ca="1" si="23"/>
        <v>#NAME?</v>
      </c>
      <c r="AX62" s="2" t="e">
        <f ca="1"/>
        <v>#NAME?</v>
      </c>
      <c r="AY62" s="2" t="e">
        <f t="shared" ca="1" si="24"/>
        <v>#NAME?</v>
      </c>
      <c r="AZ62" s="2" t="e">
        <f ca="1"/>
        <v>#NAME?</v>
      </c>
      <c r="BA62" s="2" t="e">
        <f t="shared" ca="1" si="25"/>
        <v>#NAME?</v>
      </c>
      <c r="BB62" s="2" t="e">
        <f ca="1"/>
        <v>#NAME?</v>
      </c>
      <c r="BC62" s="2" t="e">
        <f t="shared" ca="1" si="26"/>
        <v>#NAME?</v>
      </c>
      <c r="BD62" s="2" t="e">
        <f ca="1"/>
        <v>#NAME?</v>
      </c>
      <c r="BE62" s="2" t="e">
        <f t="shared" ca="1" si="27"/>
        <v>#NAME?</v>
      </c>
      <c r="BF62" s="2" t="e">
        <f ca="1"/>
        <v>#NAME?</v>
      </c>
      <c r="BG62" s="2" t="e">
        <f t="shared" ca="1" si="28"/>
        <v>#NAME?</v>
      </c>
      <c r="BH62" s="2" t="e">
        <f ca="1"/>
        <v>#NAME?</v>
      </c>
      <c r="BI62" s="2" t="e">
        <f t="shared" ca="1" si="29"/>
        <v>#NAME?</v>
      </c>
      <c r="BJ62" s="2" t="e">
        <f ca="1"/>
        <v>#NAME?</v>
      </c>
      <c r="BK62" s="2" t="e">
        <f t="shared" ca="1" si="30"/>
        <v>#NAME?</v>
      </c>
      <c r="BL62" s="2" t="e">
        <f ca="1"/>
        <v>#NAME?</v>
      </c>
      <c r="BM62" s="2" t="e">
        <f t="shared" ca="1" si="31"/>
        <v>#NAME?</v>
      </c>
      <c r="BN62" s="2" t="e">
        <f ca="1"/>
        <v>#NAME?</v>
      </c>
      <c r="BO62" s="2" t="e">
        <f t="shared" ca="1" si="32"/>
        <v>#NAME?</v>
      </c>
      <c r="BP62" s="2" t="e">
        <f ca="1"/>
        <v>#NAME?</v>
      </c>
      <c r="BQ62" s="2" t="e">
        <f t="shared" ca="1" si="33"/>
        <v>#NAME?</v>
      </c>
      <c r="BR62" s="2" t="e">
        <f ca="1"/>
        <v>#NAME?</v>
      </c>
      <c r="BS62" s="2" t="e">
        <f t="shared" ca="1" si="34"/>
        <v>#NAME?</v>
      </c>
      <c r="BT62" s="2" t="e">
        <f ca="1"/>
        <v>#NAME?</v>
      </c>
      <c r="BU62" s="2" t="e">
        <f t="shared" ca="1" si="35"/>
        <v>#NAME?</v>
      </c>
      <c r="BV62" s="2" t="e">
        <f ca="1"/>
        <v>#NAME?</v>
      </c>
      <c r="BW62" s="2" t="e">
        <f t="shared" ca="1" si="36"/>
        <v>#NAME?</v>
      </c>
      <c r="BX62" s="2" t="e">
        <f ca="1"/>
        <v>#NAME?</v>
      </c>
      <c r="BY62" s="2" t="e">
        <f t="shared" ca="1" si="37"/>
        <v>#NAME?</v>
      </c>
      <c r="BZ62" s="2" t="e">
        <f ca="1"/>
        <v>#NAME?</v>
      </c>
      <c r="CA62" s="2" t="e">
        <f t="shared" ca="1" si="38"/>
        <v>#NAME?</v>
      </c>
      <c r="CB62" s="2" t="e">
        <f ca="1"/>
        <v>#NAME?</v>
      </c>
      <c r="CC62" s="2" t="e">
        <f t="shared" ca="1" si="39"/>
        <v>#NAME?</v>
      </c>
      <c r="CD62" s="2" t="e">
        <f ca="1"/>
        <v>#NAME?</v>
      </c>
      <c r="CE62" s="2" t="e">
        <f t="shared" ca="1" si="40"/>
        <v>#NAME?</v>
      </c>
      <c r="CF62" s="2" t="e">
        <f ca="1"/>
        <v>#NAME?</v>
      </c>
      <c r="CG62" s="2" t="e">
        <f t="shared" ca="1" si="41"/>
        <v>#NAME?</v>
      </c>
      <c r="CH62" s="2" t="e">
        <f ca="1"/>
        <v>#NAME?</v>
      </c>
      <c r="CI62" s="2" t="e">
        <f t="shared" ca="1" si="42"/>
        <v>#NAME?</v>
      </c>
      <c r="CJ62" s="2" t="e">
        <f ca="1"/>
        <v>#NAME?</v>
      </c>
      <c r="CK62" s="2" t="e">
        <f t="shared" ca="1" si="43"/>
        <v>#NAME?</v>
      </c>
      <c r="CL62" s="2" t="e">
        <f ca="1"/>
        <v>#NAME?</v>
      </c>
      <c r="CM62" s="2" t="e">
        <f t="shared" ca="1" si="44"/>
        <v>#NAME?</v>
      </c>
      <c r="CN62" s="2" t="e">
        <f ca="1"/>
        <v>#NAME?</v>
      </c>
      <c r="CO62" s="2" t="e">
        <f t="shared" ca="1" si="45"/>
        <v>#NAME?</v>
      </c>
      <c r="CP62" s="2" t="e">
        <f ca="1"/>
        <v>#NAME?</v>
      </c>
      <c r="CQ62" s="2" t="e">
        <f t="shared" ca="1" si="46"/>
        <v>#NAME?</v>
      </c>
    </row>
    <row r="63" spans="1:95">
      <c r="A63" s="7" t="e">
        <f ca="1"/>
        <v>#NAME?</v>
      </c>
      <c r="B63" s="2" t="e">
        <f ca="1"/>
        <v>#NAME?</v>
      </c>
      <c r="C63" s="2" t="e">
        <f t="shared" ca="1" si="0"/>
        <v>#NAME?</v>
      </c>
      <c r="D63" s="2" t="e">
        <f ca="1"/>
        <v>#NAME?</v>
      </c>
      <c r="E63" s="2" t="e">
        <f t="shared" ca="1" si="1"/>
        <v>#NAME?</v>
      </c>
      <c r="F63" s="2" t="e">
        <f ca="1"/>
        <v>#NAME?</v>
      </c>
      <c r="G63" s="2" t="e">
        <f t="shared" ca="1" si="2"/>
        <v>#NAME?</v>
      </c>
      <c r="H63" s="2" t="e">
        <f ca="1"/>
        <v>#NAME?</v>
      </c>
      <c r="I63" s="2" t="e">
        <f t="shared" ca="1" si="3"/>
        <v>#NAME?</v>
      </c>
      <c r="J63" s="2" t="e">
        <f ca="1"/>
        <v>#NAME?</v>
      </c>
      <c r="K63" s="2" t="e">
        <f t="shared" ca="1" si="4"/>
        <v>#NAME?</v>
      </c>
      <c r="L63" s="2" t="e">
        <f ca="1"/>
        <v>#NAME?</v>
      </c>
      <c r="M63" s="2" t="e">
        <f t="shared" ca="1" si="5"/>
        <v>#NAME?</v>
      </c>
      <c r="N63" s="2" t="e">
        <f ca="1"/>
        <v>#NAME?</v>
      </c>
      <c r="O63" s="2" t="e">
        <f t="shared" ca="1" si="6"/>
        <v>#NAME?</v>
      </c>
      <c r="P63" s="2" t="e">
        <f ca="1"/>
        <v>#NAME?</v>
      </c>
      <c r="Q63" s="2" t="e">
        <f t="shared" ca="1" si="7"/>
        <v>#NAME?</v>
      </c>
      <c r="R63" s="2" t="e">
        <f ca="1"/>
        <v>#NAME?</v>
      </c>
      <c r="S63" s="2" t="e">
        <f t="shared" ca="1" si="8"/>
        <v>#NAME?</v>
      </c>
      <c r="T63" s="2" t="e">
        <f ca="1"/>
        <v>#NAME?</v>
      </c>
      <c r="U63" s="2" t="e">
        <f t="shared" ca="1" si="9"/>
        <v>#NAME?</v>
      </c>
      <c r="V63" s="2" t="e">
        <f ca="1"/>
        <v>#NAME?</v>
      </c>
      <c r="W63" s="2" t="e">
        <f t="shared" ca="1" si="10"/>
        <v>#NAME?</v>
      </c>
      <c r="X63" s="2" t="e">
        <f ca="1"/>
        <v>#NAME?</v>
      </c>
      <c r="Y63" s="2" t="e">
        <f t="shared" ca="1" si="11"/>
        <v>#NAME?</v>
      </c>
      <c r="Z63" s="2" t="e">
        <f ca="1"/>
        <v>#NAME?</v>
      </c>
      <c r="AA63" s="2" t="e">
        <f t="shared" ca="1" si="12"/>
        <v>#NAME?</v>
      </c>
      <c r="AB63" s="2" t="e">
        <f ca="1"/>
        <v>#NAME?</v>
      </c>
      <c r="AC63" s="2" t="e">
        <f t="shared" ca="1" si="13"/>
        <v>#NAME?</v>
      </c>
      <c r="AD63" s="2" t="e">
        <f ca="1"/>
        <v>#NAME?</v>
      </c>
      <c r="AE63" s="2" t="e">
        <f t="shared" ca="1" si="14"/>
        <v>#NAME?</v>
      </c>
      <c r="AF63" s="2" t="e">
        <f ca="1"/>
        <v>#NAME?</v>
      </c>
      <c r="AG63" s="2" t="e">
        <f t="shared" ca="1" si="15"/>
        <v>#NAME?</v>
      </c>
      <c r="AH63" s="2" t="e">
        <f ca="1"/>
        <v>#NAME?</v>
      </c>
      <c r="AI63" s="2" t="e">
        <f t="shared" ca="1" si="16"/>
        <v>#NAME?</v>
      </c>
      <c r="AJ63" s="2" t="e">
        <f ca="1"/>
        <v>#NAME?</v>
      </c>
      <c r="AK63" s="2" t="e">
        <f t="shared" ca="1" si="17"/>
        <v>#NAME?</v>
      </c>
      <c r="AL63" s="2" t="e">
        <f ca="1"/>
        <v>#NAME?</v>
      </c>
      <c r="AM63" s="2" t="e">
        <f t="shared" ca="1" si="18"/>
        <v>#NAME?</v>
      </c>
      <c r="AN63" s="2" t="e">
        <f ca="1"/>
        <v>#NAME?</v>
      </c>
      <c r="AO63" s="2" t="e">
        <f t="shared" ca="1" si="19"/>
        <v>#NAME?</v>
      </c>
      <c r="AP63" s="2" t="e">
        <f ca="1"/>
        <v>#NAME?</v>
      </c>
      <c r="AQ63" s="2" t="e">
        <f t="shared" ca="1" si="20"/>
        <v>#NAME?</v>
      </c>
      <c r="AR63" s="2" t="e">
        <f ca="1"/>
        <v>#NAME?</v>
      </c>
      <c r="AS63" s="2" t="e">
        <f t="shared" ca="1" si="21"/>
        <v>#NAME?</v>
      </c>
      <c r="AT63" s="2" t="e">
        <f ca="1"/>
        <v>#NAME?</v>
      </c>
      <c r="AU63" s="2" t="e">
        <f t="shared" ca="1" si="22"/>
        <v>#NAME?</v>
      </c>
      <c r="AV63" s="2" t="e">
        <f ca="1"/>
        <v>#NAME?</v>
      </c>
      <c r="AW63" s="2" t="e">
        <f t="shared" ca="1" si="23"/>
        <v>#NAME?</v>
      </c>
      <c r="AX63" s="2" t="e">
        <f ca="1"/>
        <v>#NAME?</v>
      </c>
      <c r="AY63" s="2" t="e">
        <f t="shared" ca="1" si="24"/>
        <v>#NAME?</v>
      </c>
      <c r="AZ63" s="2" t="e">
        <f ca="1"/>
        <v>#NAME?</v>
      </c>
      <c r="BA63" s="2" t="e">
        <f t="shared" ca="1" si="25"/>
        <v>#NAME?</v>
      </c>
      <c r="BB63" s="2" t="e">
        <f ca="1"/>
        <v>#NAME?</v>
      </c>
      <c r="BC63" s="2" t="e">
        <f t="shared" ca="1" si="26"/>
        <v>#NAME?</v>
      </c>
      <c r="BD63" s="2" t="e">
        <f ca="1"/>
        <v>#NAME?</v>
      </c>
      <c r="BE63" s="2" t="e">
        <f t="shared" ca="1" si="27"/>
        <v>#NAME?</v>
      </c>
      <c r="BF63" s="2" t="e">
        <f ca="1"/>
        <v>#NAME?</v>
      </c>
      <c r="BG63" s="2" t="e">
        <f t="shared" ca="1" si="28"/>
        <v>#NAME?</v>
      </c>
      <c r="BH63" s="2" t="e">
        <f ca="1"/>
        <v>#NAME?</v>
      </c>
      <c r="BI63" s="2" t="e">
        <f t="shared" ca="1" si="29"/>
        <v>#NAME?</v>
      </c>
      <c r="BJ63" s="2" t="e">
        <f ca="1"/>
        <v>#NAME?</v>
      </c>
      <c r="BK63" s="2" t="e">
        <f t="shared" ca="1" si="30"/>
        <v>#NAME?</v>
      </c>
      <c r="BL63" s="2" t="e">
        <f ca="1"/>
        <v>#NAME?</v>
      </c>
      <c r="BM63" s="2" t="e">
        <f t="shared" ca="1" si="31"/>
        <v>#NAME?</v>
      </c>
      <c r="BN63" s="2" t="e">
        <f ca="1"/>
        <v>#NAME?</v>
      </c>
      <c r="BO63" s="2" t="e">
        <f t="shared" ca="1" si="32"/>
        <v>#NAME?</v>
      </c>
      <c r="BP63" s="2" t="e">
        <f ca="1"/>
        <v>#NAME?</v>
      </c>
      <c r="BQ63" s="2" t="e">
        <f t="shared" ca="1" si="33"/>
        <v>#NAME?</v>
      </c>
      <c r="BR63" s="2" t="e">
        <f ca="1"/>
        <v>#NAME?</v>
      </c>
      <c r="BS63" s="2" t="e">
        <f t="shared" ca="1" si="34"/>
        <v>#NAME?</v>
      </c>
      <c r="BT63" s="2" t="e">
        <f ca="1"/>
        <v>#NAME?</v>
      </c>
      <c r="BU63" s="2" t="e">
        <f t="shared" ca="1" si="35"/>
        <v>#NAME?</v>
      </c>
      <c r="BV63" s="2" t="e">
        <f ca="1"/>
        <v>#NAME?</v>
      </c>
      <c r="BW63" s="2" t="e">
        <f t="shared" ca="1" si="36"/>
        <v>#NAME?</v>
      </c>
      <c r="BX63" s="2" t="e">
        <f ca="1"/>
        <v>#NAME?</v>
      </c>
      <c r="BY63" s="2" t="e">
        <f t="shared" ca="1" si="37"/>
        <v>#NAME?</v>
      </c>
      <c r="BZ63" s="2" t="e">
        <f ca="1"/>
        <v>#NAME?</v>
      </c>
      <c r="CA63" s="2" t="e">
        <f t="shared" ca="1" si="38"/>
        <v>#NAME?</v>
      </c>
      <c r="CB63" s="2" t="e">
        <f ca="1"/>
        <v>#NAME?</v>
      </c>
      <c r="CC63" s="2" t="e">
        <f t="shared" ca="1" si="39"/>
        <v>#NAME?</v>
      </c>
      <c r="CD63" s="2" t="e">
        <f ca="1"/>
        <v>#NAME?</v>
      </c>
      <c r="CE63" s="2" t="e">
        <f t="shared" ca="1" si="40"/>
        <v>#NAME?</v>
      </c>
      <c r="CF63" s="2" t="e">
        <f ca="1"/>
        <v>#NAME?</v>
      </c>
      <c r="CG63" s="2" t="e">
        <f t="shared" ca="1" si="41"/>
        <v>#NAME?</v>
      </c>
      <c r="CH63" s="2" t="e">
        <f ca="1"/>
        <v>#NAME?</v>
      </c>
      <c r="CI63" s="2" t="e">
        <f t="shared" ca="1" si="42"/>
        <v>#NAME?</v>
      </c>
      <c r="CJ63" s="2" t="e">
        <f ca="1"/>
        <v>#NAME?</v>
      </c>
      <c r="CK63" s="2" t="e">
        <f t="shared" ca="1" si="43"/>
        <v>#NAME?</v>
      </c>
      <c r="CL63" s="2" t="e">
        <f ca="1"/>
        <v>#NAME?</v>
      </c>
      <c r="CM63" s="2" t="e">
        <f t="shared" ca="1" si="44"/>
        <v>#NAME?</v>
      </c>
      <c r="CN63" s="2" t="e">
        <f ca="1"/>
        <v>#NAME?</v>
      </c>
      <c r="CO63" s="2" t="e">
        <f t="shared" ca="1" si="45"/>
        <v>#NAME?</v>
      </c>
      <c r="CP63" s="2" t="e">
        <f ca="1"/>
        <v>#NAME?</v>
      </c>
      <c r="CQ63" s="2" t="e">
        <f t="shared" ca="1" si="46"/>
        <v>#NAME?</v>
      </c>
    </row>
    <row r="64" spans="1:95">
      <c r="A64" s="7" t="e">
        <f ca="1"/>
        <v>#NAME?</v>
      </c>
      <c r="B64" s="2" t="e">
        <f ca="1"/>
        <v>#NAME?</v>
      </c>
      <c r="C64" s="2" t="e">
        <f t="shared" ca="1" si="0"/>
        <v>#NAME?</v>
      </c>
      <c r="D64" s="2" t="e">
        <f ca="1"/>
        <v>#NAME?</v>
      </c>
      <c r="E64" s="2" t="e">
        <f t="shared" ca="1" si="1"/>
        <v>#NAME?</v>
      </c>
      <c r="F64" s="2" t="e">
        <f ca="1"/>
        <v>#NAME?</v>
      </c>
      <c r="G64" s="2" t="e">
        <f t="shared" ca="1" si="2"/>
        <v>#NAME?</v>
      </c>
      <c r="H64" s="2" t="e">
        <f ca="1"/>
        <v>#NAME?</v>
      </c>
      <c r="I64" s="2" t="e">
        <f t="shared" ca="1" si="3"/>
        <v>#NAME?</v>
      </c>
      <c r="J64" s="2" t="e">
        <f ca="1"/>
        <v>#NAME?</v>
      </c>
      <c r="K64" s="2" t="e">
        <f t="shared" ca="1" si="4"/>
        <v>#NAME?</v>
      </c>
      <c r="L64" s="2" t="e">
        <f ca="1"/>
        <v>#NAME?</v>
      </c>
      <c r="M64" s="2" t="e">
        <f t="shared" ca="1" si="5"/>
        <v>#NAME?</v>
      </c>
      <c r="N64" s="2" t="e">
        <f ca="1"/>
        <v>#NAME?</v>
      </c>
      <c r="O64" s="2" t="e">
        <f t="shared" ca="1" si="6"/>
        <v>#NAME?</v>
      </c>
      <c r="P64" s="2" t="e">
        <f ca="1"/>
        <v>#NAME?</v>
      </c>
      <c r="Q64" s="2" t="e">
        <f t="shared" ca="1" si="7"/>
        <v>#NAME?</v>
      </c>
      <c r="R64" s="2" t="e">
        <f ca="1"/>
        <v>#NAME?</v>
      </c>
      <c r="S64" s="2" t="e">
        <f t="shared" ca="1" si="8"/>
        <v>#NAME?</v>
      </c>
      <c r="T64" s="2" t="e">
        <f ca="1"/>
        <v>#NAME?</v>
      </c>
      <c r="U64" s="2" t="e">
        <f t="shared" ca="1" si="9"/>
        <v>#NAME?</v>
      </c>
      <c r="V64" s="2" t="e">
        <f ca="1"/>
        <v>#NAME?</v>
      </c>
      <c r="W64" s="2" t="e">
        <f t="shared" ca="1" si="10"/>
        <v>#NAME?</v>
      </c>
      <c r="X64" s="2" t="e">
        <f ca="1"/>
        <v>#NAME?</v>
      </c>
      <c r="Y64" s="2" t="e">
        <f t="shared" ca="1" si="11"/>
        <v>#NAME?</v>
      </c>
      <c r="Z64" s="2" t="e">
        <f ca="1"/>
        <v>#NAME?</v>
      </c>
      <c r="AA64" s="2" t="e">
        <f t="shared" ca="1" si="12"/>
        <v>#NAME?</v>
      </c>
      <c r="AB64" s="2" t="e">
        <f ca="1"/>
        <v>#NAME?</v>
      </c>
      <c r="AC64" s="2" t="e">
        <f t="shared" ca="1" si="13"/>
        <v>#NAME?</v>
      </c>
      <c r="AD64" s="2" t="e">
        <f ca="1"/>
        <v>#NAME?</v>
      </c>
      <c r="AE64" s="2" t="e">
        <f t="shared" ca="1" si="14"/>
        <v>#NAME?</v>
      </c>
      <c r="AF64" s="2" t="e">
        <f ca="1"/>
        <v>#NAME?</v>
      </c>
      <c r="AG64" s="2" t="e">
        <f t="shared" ca="1" si="15"/>
        <v>#NAME?</v>
      </c>
      <c r="AH64" s="2" t="e">
        <f ca="1"/>
        <v>#NAME?</v>
      </c>
      <c r="AI64" s="2" t="e">
        <f t="shared" ca="1" si="16"/>
        <v>#NAME?</v>
      </c>
      <c r="AJ64" s="2" t="e">
        <f ca="1"/>
        <v>#NAME?</v>
      </c>
      <c r="AK64" s="2" t="e">
        <f t="shared" ca="1" si="17"/>
        <v>#NAME?</v>
      </c>
      <c r="AL64" s="2" t="e">
        <f ca="1"/>
        <v>#NAME?</v>
      </c>
      <c r="AM64" s="2" t="e">
        <f t="shared" ca="1" si="18"/>
        <v>#NAME?</v>
      </c>
      <c r="AN64" s="2" t="e">
        <f ca="1"/>
        <v>#NAME?</v>
      </c>
      <c r="AO64" s="2" t="e">
        <f t="shared" ca="1" si="19"/>
        <v>#NAME?</v>
      </c>
      <c r="AP64" s="2" t="e">
        <f ca="1"/>
        <v>#NAME?</v>
      </c>
      <c r="AQ64" s="2" t="e">
        <f t="shared" ca="1" si="20"/>
        <v>#NAME?</v>
      </c>
      <c r="AR64" s="2" t="e">
        <f ca="1"/>
        <v>#NAME?</v>
      </c>
      <c r="AS64" s="2" t="e">
        <f t="shared" ca="1" si="21"/>
        <v>#NAME?</v>
      </c>
      <c r="AT64" s="2" t="e">
        <f ca="1"/>
        <v>#NAME?</v>
      </c>
      <c r="AU64" s="2" t="e">
        <f t="shared" ca="1" si="22"/>
        <v>#NAME?</v>
      </c>
      <c r="AV64" s="2" t="e">
        <f ca="1"/>
        <v>#NAME?</v>
      </c>
      <c r="AW64" s="2" t="e">
        <f t="shared" ca="1" si="23"/>
        <v>#NAME?</v>
      </c>
      <c r="AX64" s="2" t="e">
        <f ca="1"/>
        <v>#NAME?</v>
      </c>
      <c r="AY64" s="2" t="e">
        <f t="shared" ca="1" si="24"/>
        <v>#NAME?</v>
      </c>
      <c r="AZ64" s="2" t="e">
        <f ca="1"/>
        <v>#NAME?</v>
      </c>
      <c r="BA64" s="2" t="e">
        <f t="shared" ca="1" si="25"/>
        <v>#NAME?</v>
      </c>
      <c r="BB64" s="2" t="e">
        <f ca="1"/>
        <v>#NAME?</v>
      </c>
      <c r="BC64" s="2" t="e">
        <f t="shared" ca="1" si="26"/>
        <v>#NAME?</v>
      </c>
      <c r="BD64" s="2" t="e">
        <f ca="1"/>
        <v>#NAME?</v>
      </c>
      <c r="BE64" s="2" t="e">
        <f t="shared" ca="1" si="27"/>
        <v>#NAME?</v>
      </c>
      <c r="BF64" s="2" t="e">
        <f ca="1"/>
        <v>#NAME?</v>
      </c>
      <c r="BG64" s="2" t="e">
        <f t="shared" ca="1" si="28"/>
        <v>#NAME?</v>
      </c>
      <c r="BH64" s="2" t="e">
        <f ca="1"/>
        <v>#NAME?</v>
      </c>
      <c r="BI64" s="2" t="e">
        <f t="shared" ca="1" si="29"/>
        <v>#NAME?</v>
      </c>
      <c r="BJ64" s="2" t="e">
        <f ca="1"/>
        <v>#NAME?</v>
      </c>
      <c r="BK64" s="2" t="e">
        <f t="shared" ca="1" si="30"/>
        <v>#NAME?</v>
      </c>
      <c r="BL64" s="2" t="e">
        <f ca="1"/>
        <v>#NAME?</v>
      </c>
      <c r="BM64" s="2" t="e">
        <f t="shared" ca="1" si="31"/>
        <v>#NAME?</v>
      </c>
      <c r="BN64" s="2" t="e">
        <f ca="1"/>
        <v>#NAME?</v>
      </c>
      <c r="BO64" s="2" t="e">
        <f t="shared" ca="1" si="32"/>
        <v>#NAME?</v>
      </c>
      <c r="BP64" s="2" t="e">
        <f ca="1"/>
        <v>#NAME?</v>
      </c>
      <c r="BQ64" s="2" t="e">
        <f t="shared" ca="1" si="33"/>
        <v>#NAME?</v>
      </c>
      <c r="BR64" s="2" t="e">
        <f ca="1"/>
        <v>#NAME?</v>
      </c>
      <c r="BS64" s="2" t="e">
        <f t="shared" ca="1" si="34"/>
        <v>#NAME?</v>
      </c>
      <c r="BT64" s="2" t="e">
        <f ca="1"/>
        <v>#NAME?</v>
      </c>
      <c r="BU64" s="2" t="e">
        <f t="shared" ca="1" si="35"/>
        <v>#NAME?</v>
      </c>
      <c r="BV64" s="2" t="e">
        <f ca="1"/>
        <v>#NAME?</v>
      </c>
      <c r="BW64" s="2" t="e">
        <f t="shared" ca="1" si="36"/>
        <v>#NAME?</v>
      </c>
      <c r="BX64" s="2" t="e">
        <f ca="1"/>
        <v>#NAME?</v>
      </c>
      <c r="BY64" s="2" t="e">
        <f t="shared" ca="1" si="37"/>
        <v>#NAME?</v>
      </c>
      <c r="BZ64" s="2" t="e">
        <f ca="1"/>
        <v>#NAME?</v>
      </c>
      <c r="CA64" s="2" t="e">
        <f t="shared" ca="1" si="38"/>
        <v>#NAME?</v>
      </c>
      <c r="CB64" s="2" t="e">
        <f ca="1"/>
        <v>#NAME?</v>
      </c>
      <c r="CC64" s="2" t="e">
        <f t="shared" ca="1" si="39"/>
        <v>#NAME?</v>
      </c>
      <c r="CD64" s="2" t="e">
        <f ca="1"/>
        <v>#NAME?</v>
      </c>
      <c r="CE64" s="2" t="e">
        <f t="shared" ca="1" si="40"/>
        <v>#NAME?</v>
      </c>
      <c r="CF64" s="2" t="e">
        <f ca="1"/>
        <v>#NAME?</v>
      </c>
      <c r="CG64" s="2" t="e">
        <f t="shared" ca="1" si="41"/>
        <v>#NAME?</v>
      </c>
      <c r="CH64" s="2" t="e">
        <f ca="1"/>
        <v>#NAME?</v>
      </c>
      <c r="CI64" s="2" t="e">
        <f t="shared" ca="1" si="42"/>
        <v>#NAME?</v>
      </c>
      <c r="CJ64" s="2" t="e">
        <f ca="1"/>
        <v>#NAME?</v>
      </c>
      <c r="CK64" s="2" t="e">
        <f t="shared" ca="1" si="43"/>
        <v>#NAME?</v>
      </c>
      <c r="CL64" s="2" t="e">
        <f ca="1"/>
        <v>#NAME?</v>
      </c>
      <c r="CM64" s="2" t="e">
        <f t="shared" ca="1" si="44"/>
        <v>#NAME?</v>
      </c>
      <c r="CN64" s="2" t="e">
        <f ca="1"/>
        <v>#NAME?</v>
      </c>
      <c r="CO64" s="2" t="e">
        <f t="shared" ca="1" si="45"/>
        <v>#NAME?</v>
      </c>
      <c r="CP64" s="2" t="e">
        <f ca="1"/>
        <v>#NAME?</v>
      </c>
      <c r="CQ64" s="2" t="e">
        <f t="shared" ca="1" si="46"/>
        <v>#NAME?</v>
      </c>
    </row>
    <row r="65" spans="1:95">
      <c r="A65" s="7" t="e">
        <f ca="1"/>
        <v>#NAME?</v>
      </c>
      <c r="B65" s="2" t="e">
        <f ca="1"/>
        <v>#NAME?</v>
      </c>
      <c r="C65" s="2" t="e">
        <f t="shared" ca="1" si="0"/>
        <v>#NAME?</v>
      </c>
      <c r="D65" s="2" t="e">
        <f ca="1"/>
        <v>#NAME?</v>
      </c>
      <c r="E65" s="2" t="e">
        <f t="shared" ca="1" si="1"/>
        <v>#NAME?</v>
      </c>
      <c r="F65" s="2" t="e">
        <f ca="1"/>
        <v>#NAME?</v>
      </c>
      <c r="G65" s="2" t="e">
        <f t="shared" ca="1" si="2"/>
        <v>#NAME?</v>
      </c>
      <c r="H65" s="2" t="e">
        <f ca="1"/>
        <v>#NAME?</v>
      </c>
      <c r="I65" s="2" t="e">
        <f t="shared" ca="1" si="3"/>
        <v>#NAME?</v>
      </c>
      <c r="J65" s="2" t="e">
        <f ca="1"/>
        <v>#NAME?</v>
      </c>
      <c r="K65" s="2" t="e">
        <f t="shared" ca="1" si="4"/>
        <v>#NAME?</v>
      </c>
      <c r="L65" s="2" t="e">
        <f ca="1"/>
        <v>#NAME?</v>
      </c>
      <c r="M65" s="2" t="e">
        <f t="shared" ca="1" si="5"/>
        <v>#NAME?</v>
      </c>
      <c r="N65" s="2" t="e">
        <f ca="1"/>
        <v>#NAME?</v>
      </c>
      <c r="O65" s="2" t="e">
        <f t="shared" ca="1" si="6"/>
        <v>#NAME?</v>
      </c>
      <c r="P65" s="2" t="e">
        <f ca="1"/>
        <v>#NAME?</v>
      </c>
      <c r="Q65" s="2" t="e">
        <f t="shared" ca="1" si="7"/>
        <v>#NAME?</v>
      </c>
      <c r="R65" s="2" t="e">
        <f ca="1"/>
        <v>#NAME?</v>
      </c>
      <c r="S65" s="2" t="e">
        <f t="shared" ca="1" si="8"/>
        <v>#NAME?</v>
      </c>
      <c r="T65" s="2" t="e">
        <f ca="1"/>
        <v>#NAME?</v>
      </c>
      <c r="U65" s="2" t="e">
        <f t="shared" ca="1" si="9"/>
        <v>#NAME?</v>
      </c>
      <c r="V65" s="2" t="e">
        <f ca="1"/>
        <v>#NAME?</v>
      </c>
      <c r="W65" s="2" t="e">
        <f t="shared" ca="1" si="10"/>
        <v>#NAME?</v>
      </c>
      <c r="X65" s="2" t="e">
        <f ca="1"/>
        <v>#NAME?</v>
      </c>
      <c r="Y65" s="2" t="e">
        <f t="shared" ca="1" si="11"/>
        <v>#NAME?</v>
      </c>
      <c r="Z65" s="2" t="e">
        <f ca="1"/>
        <v>#NAME?</v>
      </c>
      <c r="AA65" s="2" t="e">
        <f t="shared" ca="1" si="12"/>
        <v>#NAME?</v>
      </c>
      <c r="AB65" s="2" t="e">
        <f ca="1"/>
        <v>#NAME?</v>
      </c>
      <c r="AC65" s="2" t="e">
        <f t="shared" ca="1" si="13"/>
        <v>#NAME?</v>
      </c>
      <c r="AD65" s="2" t="e">
        <f ca="1"/>
        <v>#NAME?</v>
      </c>
      <c r="AE65" s="2" t="e">
        <f t="shared" ca="1" si="14"/>
        <v>#NAME?</v>
      </c>
      <c r="AF65" s="2" t="e">
        <f ca="1"/>
        <v>#NAME?</v>
      </c>
      <c r="AG65" s="2" t="e">
        <f t="shared" ca="1" si="15"/>
        <v>#NAME?</v>
      </c>
      <c r="AH65" s="2" t="e">
        <f ca="1"/>
        <v>#NAME?</v>
      </c>
      <c r="AI65" s="2" t="e">
        <f t="shared" ca="1" si="16"/>
        <v>#NAME?</v>
      </c>
      <c r="AJ65" s="2" t="e">
        <f ca="1"/>
        <v>#NAME?</v>
      </c>
      <c r="AK65" s="2" t="e">
        <f t="shared" ca="1" si="17"/>
        <v>#NAME?</v>
      </c>
      <c r="AL65" s="2" t="e">
        <f ca="1"/>
        <v>#NAME?</v>
      </c>
      <c r="AM65" s="2" t="e">
        <f t="shared" ca="1" si="18"/>
        <v>#NAME?</v>
      </c>
      <c r="AN65" s="2" t="e">
        <f ca="1"/>
        <v>#NAME?</v>
      </c>
      <c r="AO65" s="2" t="e">
        <f t="shared" ca="1" si="19"/>
        <v>#NAME?</v>
      </c>
      <c r="AP65" s="2" t="e">
        <f ca="1"/>
        <v>#NAME?</v>
      </c>
      <c r="AQ65" s="2" t="e">
        <f t="shared" ca="1" si="20"/>
        <v>#NAME?</v>
      </c>
      <c r="AR65" s="2" t="e">
        <f ca="1"/>
        <v>#NAME?</v>
      </c>
      <c r="AS65" s="2" t="e">
        <f t="shared" ca="1" si="21"/>
        <v>#NAME?</v>
      </c>
      <c r="AT65" s="2" t="e">
        <f ca="1"/>
        <v>#NAME?</v>
      </c>
      <c r="AU65" s="2" t="e">
        <f t="shared" ca="1" si="22"/>
        <v>#NAME?</v>
      </c>
      <c r="AV65" s="2" t="e">
        <f ca="1"/>
        <v>#NAME?</v>
      </c>
      <c r="AW65" s="2" t="e">
        <f t="shared" ca="1" si="23"/>
        <v>#NAME?</v>
      </c>
      <c r="AX65" s="2" t="e">
        <f ca="1"/>
        <v>#NAME?</v>
      </c>
      <c r="AY65" s="2" t="e">
        <f t="shared" ca="1" si="24"/>
        <v>#NAME?</v>
      </c>
      <c r="AZ65" s="2" t="e">
        <f ca="1"/>
        <v>#NAME?</v>
      </c>
      <c r="BA65" s="2" t="e">
        <f t="shared" ca="1" si="25"/>
        <v>#NAME?</v>
      </c>
      <c r="BB65" s="2" t="e">
        <f ca="1"/>
        <v>#NAME?</v>
      </c>
      <c r="BC65" s="2" t="e">
        <f t="shared" ca="1" si="26"/>
        <v>#NAME?</v>
      </c>
      <c r="BD65" s="2" t="e">
        <f ca="1"/>
        <v>#NAME?</v>
      </c>
      <c r="BE65" s="2" t="e">
        <f t="shared" ca="1" si="27"/>
        <v>#NAME?</v>
      </c>
      <c r="BF65" s="2" t="e">
        <f ca="1"/>
        <v>#NAME?</v>
      </c>
      <c r="BG65" s="2" t="e">
        <f t="shared" ca="1" si="28"/>
        <v>#NAME?</v>
      </c>
      <c r="BH65" s="2" t="e">
        <f ca="1"/>
        <v>#NAME?</v>
      </c>
      <c r="BI65" s="2" t="e">
        <f t="shared" ca="1" si="29"/>
        <v>#NAME?</v>
      </c>
      <c r="BJ65" s="2" t="e">
        <f ca="1"/>
        <v>#NAME?</v>
      </c>
      <c r="BK65" s="2" t="e">
        <f t="shared" ca="1" si="30"/>
        <v>#NAME?</v>
      </c>
      <c r="BL65" s="2" t="e">
        <f ca="1"/>
        <v>#NAME?</v>
      </c>
      <c r="BM65" s="2" t="e">
        <f t="shared" ca="1" si="31"/>
        <v>#NAME?</v>
      </c>
      <c r="BN65" s="2" t="e">
        <f ca="1"/>
        <v>#NAME?</v>
      </c>
      <c r="BO65" s="2" t="e">
        <f t="shared" ca="1" si="32"/>
        <v>#NAME?</v>
      </c>
      <c r="BP65" s="2" t="e">
        <f ca="1"/>
        <v>#NAME?</v>
      </c>
      <c r="BQ65" s="2" t="e">
        <f t="shared" ca="1" si="33"/>
        <v>#NAME?</v>
      </c>
      <c r="BR65" s="2" t="e">
        <f ca="1"/>
        <v>#NAME?</v>
      </c>
      <c r="BS65" s="2" t="e">
        <f t="shared" ca="1" si="34"/>
        <v>#NAME?</v>
      </c>
      <c r="BT65" s="2" t="e">
        <f ca="1"/>
        <v>#NAME?</v>
      </c>
      <c r="BU65" s="2" t="e">
        <f t="shared" ca="1" si="35"/>
        <v>#NAME?</v>
      </c>
      <c r="BV65" s="2" t="e">
        <f ca="1"/>
        <v>#NAME?</v>
      </c>
      <c r="BW65" s="2" t="e">
        <f t="shared" ca="1" si="36"/>
        <v>#NAME?</v>
      </c>
      <c r="BX65" s="2" t="e">
        <f ca="1"/>
        <v>#NAME?</v>
      </c>
      <c r="BY65" s="2" t="e">
        <f t="shared" ca="1" si="37"/>
        <v>#NAME?</v>
      </c>
      <c r="BZ65" s="2" t="e">
        <f ca="1"/>
        <v>#NAME?</v>
      </c>
      <c r="CA65" s="2" t="e">
        <f t="shared" ca="1" si="38"/>
        <v>#NAME?</v>
      </c>
      <c r="CB65" s="2" t="e">
        <f ca="1"/>
        <v>#NAME?</v>
      </c>
      <c r="CC65" s="2" t="e">
        <f t="shared" ca="1" si="39"/>
        <v>#NAME?</v>
      </c>
      <c r="CD65" s="2" t="e">
        <f ca="1"/>
        <v>#NAME?</v>
      </c>
      <c r="CE65" s="2" t="e">
        <f t="shared" ca="1" si="40"/>
        <v>#NAME?</v>
      </c>
      <c r="CF65" s="2" t="e">
        <f ca="1"/>
        <v>#NAME?</v>
      </c>
      <c r="CG65" s="2" t="e">
        <f t="shared" ca="1" si="41"/>
        <v>#NAME?</v>
      </c>
      <c r="CH65" s="2" t="e">
        <f ca="1"/>
        <v>#NAME?</v>
      </c>
      <c r="CI65" s="2" t="e">
        <f t="shared" ca="1" si="42"/>
        <v>#NAME?</v>
      </c>
      <c r="CJ65" s="2" t="e">
        <f ca="1"/>
        <v>#NAME?</v>
      </c>
      <c r="CK65" s="2" t="e">
        <f t="shared" ca="1" si="43"/>
        <v>#NAME?</v>
      </c>
      <c r="CL65" s="2" t="e">
        <f ca="1"/>
        <v>#NAME?</v>
      </c>
      <c r="CM65" s="2" t="e">
        <f t="shared" ca="1" si="44"/>
        <v>#NAME?</v>
      </c>
      <c r="CN65" s="2" t="e">
        <f ca="1"/>
        <v>#NAME?</v>
      </c>
      <c r="CO65" s="2" t="e">
        <f t="shared" ca="1" si="45"/>
        <v>#NAME?</v>
      </c>
      <c r="CP65" s="2" t="e">
        <f ca="1"/>
        <v>#NAME?</v>
      </c>
      <c r="CQ65" s="2" t="e">
        <f t="shared" ca="1" si="46"/>
        <v>#NAME?</v>
      </c>
    </row>
    <row r="66" spans="1:95">
      <c r="A66" s="7" t="e">
        <f ca="1"/>
        <v>#NAME?</v>
      </c>
      <c r="B66" s="2" t="e">
        <f ca="1"/>
        <v>#NAME?</v>
      </c>
      <c r="C66" s="2" t="e">
        <f t="shared" ca="1" si="0"/>
        <v>#NAME?</v>
      </c>
      <c r="D66" s="2" t="e">
        <f ca="1"/>
        <v>#NAME?</v>
      </c>
      <c r="E66" s="2" t="e">
        <f t="shared" ca="1" si="1"/>
        <v>#NAME?</v>
      </c>
      <c r="F66" s="2" t="e">
        <f ca="1"/>
        <v>#NAME?</v>
      </c>
      <c r="G66" s="2" t="e">
        <f t="shared" ca="1" si="2"/>
        <v>#NAME?</v>
      </c>
      <c r="H66" s="2" t="e">
        <f ca="1"/>
        <v>#NAME?</v>
      </c>
      <c r="I66" s="2" t="e">
        <f t="shared" ca="1" si="3"/>
        <v>#NAME?</v>
      </c>
      <c r="J66" s="2" t="e">
        <f ca="1"/>
        <v>#NAME?</v>
      </c>
      <c r="K66" s="2" t="e">
        <f t="shared" ca="1" si="4"/>
        <v>#NAME?</v>
      </c>
      <c r="L66" s="2" t="e">
        <f ca="1"/>
        <v>#NAME?</v>
      </c>
      <c r="M66" s="2" t="e">
        <f t="shared" ca="1" si="5"/>
        <v>#NAME?</v>
      </c>
      <c r="N66" s="2" t="e">
        <f ca="1"/>
        <v>#NAME?</v>
      </c>
      <c r="O66" s="2" t="e">
        <f t="shared" ca="1" si="6"/>
        <v>#NAME?</v>
      </c>
      <c r="P66" s="2" t="e">
        <f ca="1"/>
        <v>#NAME?</v>
      </c>
      <c r="Q66" s="2" t="e">
        <f t="shared" ca="1" si="7"/>
        <v>#NAME?</v>
      </c>
      <c r="R66" s="2" t="e">
        <f ca="1"/>
        <v>#NAME?</v>
      </c>
      <c r="S66" s="2" t="e">
        <f t="shared" ca="1" si="8"/>
        <v>#NAME?</v>
      </c>
      <c r="T66" s="2" t="e">
        <f ca="1"/>
        <v>#NAME?</v>
      </c>
      <c r="U66" s="2" t="e">
        <f t="shared" ca="1" si="9"/>
        <v>#NAME?</v>
      </c>
      <c r="V66" s="2" t="e">
        <f ca="1"/>
        <v>#NAME?</v>
      </c>
      <c r="W66" s="2" t="e">
        <f t="shared" ca="1" si="10"/>
        <v>#NAME?</v>
      </c>
      <c r="X66" s="2" t="e">
        <f ca="1"/>
        <v>#NAME?</v>
      </c>
      <c r="Y66" s="2" t="e">
        <f t="shared" ca="1" si="11"/>
        <v>#NAME?</v>
      </c>
      <c r="Z66" s="2" t="e">
        <f ca="1"/>
        <v>#NAME?</v>
      </c>
      <c r="AA66" s="2" t="e">
        <f t="shared" ca="1" si="12"/>
        <v>#NAME?</v>
      </c>
      <c r="AB66" s="2" t="e">
        <f ca="1"/>
        <v>#NAME?</v>
      </c>
      <c r="AC66" s="2" t="e">
        <f t="shared" ca="1" si="13"/>
        <v>#NAME?</v>
      </c>
      <c r="AD66" s="2" t="e">
        <f ca="1"/>
        <v>#NAME?</v>
      </c>
      <c r="AE66" s="2" t="e">
        <f t="shared" ca="1" si="14"/>
        <v>#NAME?</v>
      </c>
      <c r="AF66" s="2" t="e">
        <f ca="1"/>
        <v>#NAME?</v>
      </c>
      <c r="AG66" s="2" t="e">
        <f t="shared" ca="1" si="15"/>
        <v>#NAME?</v>
      </c>
      <c r="AH66" s="2" t="e">
        <f ca="1"/>
        <v>#NAME?</v>
      </c>
      <c r="AI66" s="2" t="e">
        <f t="shared" ca="1" si="16"/>
        <v>#NAME?</v>
      </c>
      <c r="AJ66" s="2" t="e">
        <f ca="1"/>
        <v>#NAME?</v>
      </c>
      <c r="AK66" s="2" t="e">
        <f t="shared" ca="1" si="17"/>
        <v>#NAME?</v>
      </c>
      <c r="AL66" s="2" t="e">
        <f ca="1"/>
        <v>#NAME?</v>
      </c>
      <c r="AM66" s="2" t="e">
        <f t="shared" ca="1" si="18"/>
        <v>#NAME?</v>
      </c>
      <c r="AN66" s="2" t="e">
        <f ca="1"/>
        <v>#NAME?</v>
      </c>
      <c r="AO66" s="2" t="e">
        <f t="shared" ca="1" si="19"/>
        <v>#NAME?</v>
      </c>
      <c r="AP66" s="2" t="e">
        <f ca="1"/>
        <v>#NAME?</v>
      </c>
      <c r="AQ66" s="2" t="e">
        <f t="shared" ca="1" si="20"/>
        <v>#NAME?</v>
      </c>
      <c r="AR66" s="2" t="e">
        <f ca="1"/>
        <v>#NAME?</v>
      </c>
      <c r="AS66" s="2" t="e">
        <f t="shared" ca="1" si="21"/>
        <v>#NAME?</v>
      </c>
      <c r="AT66" s="2" t="e">
        <f ca="1"/>
        <v>#NAME?</v>
      </c>
      <c r="AU66" s="2" t="e">
        <f t="shared" ca="1" si="22"/>
        <v>#NAME?</v>
      </c>
      <c r="AV66" s="2" t="e">
        <f ca="1"/>
        <v>#NAME?</v>
      </c>
      <c r="AW66" s="2" t="e">
        <f t="shared" ca="1" si="23"/>
        <v>#NAME?</v>
      </c>
      <c r="AX66" s="2" t="e">
        <f ca="1"/>
        <v>#NAME?</v>
      </c>
      <c r="AY66" s="2" t="e">
        <f t="shared" ca="1" si="24"/>
        <v>#NAME?</v>
      </c>
      <c r="AZ66" s="2" t="e">
        <f ca="1"/>
        <v>#NAME?</v>
      </c>
      <c r="BA66" s="2" t="e">
        <f t="shared" ca="1" si="25"/>
        <v>#NAME?</v>
      </c>
      <c r="BB66" s="2" t="e">
        <f ca="1"/>
        <v>#NAME?</v>
      </c>
      <c r="BC66" s="2" t="e">
        <f t="shared" ca="1" si="26"/>
        <v>#NAME?</v>
      </c>
      <c r="BD66" s="2" t="e">
        <f ca="1"/>
        <v>#NAME?</v>
      </c>
      <c r="BE66" s="2" t="e">
        <f t="shared" ca="1" si="27"/>
        <v>#NAME?</v>
      </c>
      <c r="BF66" s="2" t="e">
        <f ca="1"/>
        <v>#NAME?</v>
      </c>
      <c r="BG66" s="2" t="e">
        <f t="shared" ca="1" si="28"/>
        <v>#NAME?</v>
      </c>
      <c r="BH66" s="2" t="e">
        <f ca="1"/>
        <v>#NAME?</v>
      </c>
      <c r="BI66" s="2" t="e">
        <f t="shared" ca="1" si="29"/>
        <v>#NAME?</v>
      </c>
      <c r="BJ66" s="2" t="e">
        <f ca="1"/>
        <v>#NAME?</v>
      </c>
      <c r="BK66" s="2" t="e">
        <f t="shared" ca="1" si="30"/>
        <v>#NAME?</v>
      </c>
      <c r="BL66" s="2" t="e">
        <f ca="1"/>
        <v>#NAME?</v>
      </c>
      <c r="BM66" s="2" t="e">
        <f t="shared" ca="1" si="31"/>
        <v>#NAME?</v>
      </c>
      <c r="BN66" s="2" t="e">
        <f ca="1"/>
        <v>#NAME?</v>
      </c>
      <c r="BO66" s="2" t="e">
        <f t="shared" ca="1" si="32"/>
        <v>#NAME?</v>
      </c>
      <c r="BP66" s="2" t="e">
        <f ca="1"/>
        <v>#NAME?</v>
      </c>
      <c r="BQ66" s="2" t="e">
        <f t="shared" ca="1" si="33"/>
        <v>#NAME?</v>
      </c>
      <c r="BR66" s="2" t="e">
        <f ca="1"/>
        <v>#NAME?</v>
      </c>
      <c r="BS66" s="2" t="e">
        <f t="shared" ca="1" si="34"/>
        <v>#NAME?</v>
      </c>
      <c r="BT66" s="2" t="e">
        <f ca="1"/>
        <v>#NAME?</v>
      </c>
      <c r="BU66" s="2" t="e">
        <f t="shared" ca="1" si="35"/>
        <v>#NAME?</v>
      </c>
      <c r="BV66" s="2" t="e">
        <f ca="1"/>
        <v>#NAME?</v>
      </c>
      <c r="BW66" s="2" t="e">
        <f t="shared" ca="1" si="36"/>
        <v>#NAME?</v>
      </c>
      <c r="BX66" s="2" t="e">
        <f ca="1"/>
        <v>#NAME?</v>
      </c>
      <c r="BY66" s="2" t="e">
        <f t="shared" ca="1" si="37"/>
        <v>#NAME?</v>
      </c>
      <c r="BZ66" s="2" t="e">
        <f ca="1"/>
        <v>#NAME?</v>
      </c>
      <c r="CA66" s="2" t="e">
        <f t="shared" ca="1" si="38"/>
        <v>#NAME?</v>
      </c>
      <c r="CB66" s="2" t="e">
        <f ca="1"/>
        <v>#NAME?</v>
      </c>
      <c r="CC66" s="2" t="e">
        <f t="shared" ca="1" si="39"/>
        <v>#NAME?</v>
      </c>
      <c r="CD66" s="2" t="e">
        <f ca="1"/>
        <v>#NAME?</v>
      </c>
      <c r="CE66" s="2" t="e">
        <f t="shared" ca="1" si="40"/>
        <v>#NAME?</v>
      </c>
      <c r="CF66" s="2" t="e">
        <f ca="1"/>
        <v>#NAME?</v>
      </c>
      <c r="CG66" s="2" t="e">
        <f t="shared" ca="1" si="41"/>
        <v>#NAME?</v>
      </c>
      <c r="CH66" s="2" t="e">
        <f ca="1"/>
        <v>#NAME?</v>
      </c>
      <c r="CI66" s="2" t="e">
        <f t="shared" ca="1" si="42"/>
        <v>#NAME?</v>
      </c>
      <c r="CJ66" s="2" t="e">
        <f ca="1"/>
        <v>#NAME?</v>
      </c>
      <c r="CK66" s="2" t="e">
        <f t="shared" ca="1" si="43"/>
        <v>#NAME?</v>
      </c>
      <c r="CL66" s="2" t="e">
        <f ca="1"/>
        <v>#NAME?</v>
      </c>
      <c r="CM66" s="2" t="e">
        <f t="shared" ca="1" si="44"/>
        <v>#NAME?</v>
      </c>
      <c r="CN66" s="2" t="e">
        <f ca="1"/>
        <v>#NAME?</v>
      </c>
      <c r="CO66" s="2" t="e">
        <f t="shared" ca="1" si="45"/>
        <v>#NAME?</v>
      </c>
      <c r="CP66" s="2" t="e">
        <f ca="1"/>
        <v>#NAME?</v>
      </c>
      <c r="CQ66" s="2" t="e">
        <f t="shared" ca="1" si="46"/>
        <v>#NAME?</v>
      </c>
    </row>
    <row r="67" spans="1:95">
      <c r="A67" s="7" t="e">
        <f ca="1"/>
        <v>#NAME?</v>
      </c>
      <c r="B67" s="2" t="e">
        <f ca="1"/>
        <v>#NAME?</v>
      </c>
      <c r="C67" s="2" t="e">
        <f t="shared" ca="1" si="0"/>
        <v>#NAME?</v>
      </c>
      <c r="D67" s="2" t="e">
        <f ca="1"/>
        <v>#NAME?</v>
      </c>
      <c r="E67" s="2" t="e">
        <f t="shared" ca="1" si="1"/>
        <v>#NAME?</v>
      </c>
      <c r="F67" s="2" t="e">
        <f ca="1"/>
        <v>#NAME?</v>
      </c>
      <c r="G67" s="2" t="e">
        <f t="shared" ca="1" si="2"/>
        <v>#NAME?</v>
      </c>
      <c r="H67" s="2" t="e">
        <f ca="1"/>
        <v>#NAME?</v>
      </c>
      <c r="I67" s="2" t="e">
        <f t="shared" ca="1" si="3"/>
        <v>#NAME?</v>
      </c>
      <c r="J67" s="2" t="e">
        <f ca="1"/>
        <v>#NAME?</v>
      </c>
      <c r="K67" s="2" t="e">
        <f t="shared" ca="1" si="4"/>
        <v>#NAME?</v>
      </c>
      <c r="L67" s="2" t="e">
        <f ca="1"/>
        <v>#NAME?</v>
      </c>
      <c r="M67" s="2" t="e">
        <f t="shared" ca="1" si="5"/>
        <v>#NAME?</v>
      </c>
      <c r="N67" s="2" t="e">
        <f ca="1"/>
        <v>#NAME?</v>
      </c>
      <c r="O67" s="2" t="e">
        <f t="shared" ca="1" si="6"/>
        <v>#NAME?</v>
      </c>
      <c r="P67" s="2" t="e">
        <f ca="1"/>
        <v>#NAME?</v>
      </c>
      <c r="Q67" s="2" t="e">
        <f t="shared" ca="1" si="7"/>
        <v>#NAME?</v>
      </c>
      <c r="R67" s="2" t="e">
        <f ca="1"/>
        <v>#NAME?</v>
      </c>
      <c r="S67" s="2" t="e">
        <f t="shared" ca="1" si="8"/>
        <v>#NAME?</v>
      </c>
      <c r="T67" s="2" t="e">
        <f ca="1"/>
        <v>#NAME?</v>
      </c>
      <c r="U67" s="2" t="e">
        <f t="shared" ca="1" si="9"/>
        <v>#NAME?</v>
      </c>
      <c r="V67" s="2" t="e">
        <f ca="1"/>
        <v>#NAME?</v>
      </c>
      <c r="W67" s="2" t="e">
        <f t="shared" ca="1" si="10"/>
        <v>#NAME?</v>
      </c>
      <c r="X67" s="2" t="e">
        <f ca="1"/>
        <v>#NAME?</v>
      </c>
      <c r="Y67" s="2" t="e">
        <f t="shared" ca="1" si="11"/>
        <v>#NAME?</v>
      </c>
      <c r="Z67" s="2" t="e">
        <f ca="1"/>
        <v>#NAME?</v>
      </c>
      <c r="AA67" s="2" t="e">
        <f t="shared" ca="1" si="12"/>
        <v>#NAME?</v>
      </c>
      <c r="AB67" s="2" t="e">
        <f ca="1"/>
        <v>#NAME?</v>
      </c>
      <c r="AC67" s="2" t="e">
        <f t="shared" ca="1" si="13"/>
        <v>#NAME?</v>
      </c>
      <c r="AD67" s="2" t="e">
        <f ca="1"/>
        <v>#NAME?</v>
      </c>
      <c r="AE67" s="2" t="e">
        <f t="shared" ca="1" si="14"/>
        <v>#NAME?</v>
      </c>
      <c r="AF67" s="2" t="e">
        <f ca="1"/>
        <v>#NAME?</v>
      </c>
      <c r="AG67" s="2" t="e">
        <f t="shared" ca="1" si="15"/>
        <v>#NAME?</v>
      </c>
      <c r="AH67" s="2" t="e">
        <f ca="1"/>
        <v>#NAME?</v>
      </c>
      <c r="AI67" s="2" t="e">
        <f t="shared" ca="1" si="16"/>
        <v>#NAME?</v>
      </c>
      <c r="AJ67" s="2" t="e">
        <f ca="1"/>
        <v>#NAME?</v>
      </c>
      <c r="AK67" s="2" t="e">
        <f t="shared" ca="1" si="17"/>
        <v>#NAME?</v>
      </c>
      <c r="AL67" s="2" t="e">
        <f ca="1"/>
        <v>#NAME?</v>
      </c>
      <c r="AM67" s="2" t="e">
        <f t="shared" ca="1" si="18"/>
        <v>#NAME?</v>
      </c>
      <c r="AN67" s="2" t="e">
        <f ca="1"/>
        <v>#NAME?</v>
      </c>
      <c r="AO67" s="2" t="e">
        <f t="shared" ca="1" si="19"/>
        <v>#NAME?</v>
      </c>
      <c r="AP67" s="2" t="e">
        <f ca="1"/>
        <v>#NAME?</v>
      </c>
      <c r="AQ67" s="2" t="e">
        <f t="shared" ca="1" si="20"/>
        <v>#NAME?</v>
      </c>
      <c r="AR67" s="2" t="e">
        <f ca="1"/>
        <v>#NAME?</v>
      </c>
      <c r="AS67" s="2" t="e">
        <f t="shared" ca="1" si="21"/>
        <v>#NAME?</v>
      </c>
      <c r="AT67" s="2" t="e">
        <f ca="1"/>
        <v>#NAME?</v>
      </c>
      <c r="AU67" s="2" t="e">
        <f t="shared" ca="1" si="22"/>
        <v>#NAME?</v>
      </c>
      <c r="AV67" s="2" t="e">
        <f ca="1"/>
        <v>#NAME?</v>
      </c>
      <c r="AW67" s="2" t="e">
        <f t="shared" ca="1" si="23"/>
        <v>#NAME?</v>
      </c>
      <c r="AX67" s="2" t="e">
        <f ca="1"/>
        <v>#NAME?</v>
      </c>
      <c r="AY67" s="2" t="e">
        <f t="shared" ca="1" si="24"/>
        <v>#NAME?</v>
      </c>
      <c r="AZ67" s="2" t="e">
        <f ca="1"/>
        <v>#NAME?</v>
      </c>
      <c r="BA67" s="2" t="e">
        <f t="shared" ca="1" si="25"/>
        <v>#NAME?</v>
      </c>
      <c r="BB67" s="2" t="e">
        <f ca="1"/>
        <v>#NAME?</v>
      </c>
      <c r="BC67" s="2" t="e">
        <f t="shared" ca="1" si="26"/>
        <v>#NAME?</v>
      </c>
      <c r="BD67" s="2" t="e">
        <f ca="1"/>
        <v>#NAME?</v>
      </c>
      <c r="BE67" s="2" t="e">
        <f t="shared" ca="1" si="27"/>
        <v>#NAME?</v>
      </c>
      <c r="BF67" s="2" t="e">
        <f ca="1"/>
        <v>#NAME?</v>
      </c>
      <c r="BG67" s="2" t="e">
        <f t="shared" ca="1" si="28"/>
        <v>#NAME?</v>
      </c>
      <c r="BH67" s="2" t="e">
        <f ca="1"/>
        <v>#NAME?</v>
      </c>
      <c r="BI67" s="2" t="e">
        <f t="shared" ca="1" si="29"/>
        <v>#NAME?</v>
      </c>
      <c r="BJ67" s="2" t="e">
        <f ca="1"/>
        <v>#NAME?</v>
      </c>
      <c r="BK67" s="2" t="e">
        <f t="shared" ca="1" si="30"/>
        <v>#NAME?</v>
      </c>
      <c r="BL67" s="2" t="e">
        <f ca="1"/>
        <v>#NAME?</v>
      </c>
      <c r="BM67" s="2" t="e">
        <f t="shared" ca="1" si="31"/>
        <v>#NAME?</v>
      </c>
      <c r="BN67" s="2" t="e">
        <f ca="1"/>
        <v>#NAME?</v>
      </c>
      <c r="BO67" s="2" t="e">
        <f t="shared" ca="1" si="32"/>
        <v>#NAME?</v>
      </c>
      <c r="BP67" s="2" t="e">
        <f ca="1"/>
        <v>#NAME?</v>
      </c>
      <c r="BQ67" s="2" t="e">
        <f t="shared" ca="1" si="33"/>
        <v>#NAME?</v>
      </c>
      <c r="BR67" s="2" t="e">
        <f ca="1"/>
        <v>#NAME?</v>
      </c>
      <c r="BS67" s="2" t="e">
        <f t="shared" ca="1" si="34"/>
        <v>#NAME?</v>
      </c>
      <c r="BT67" s="2" t="e">
        <f ca="1"/>
        <v>#NAME?</v>
      </c>
      <c r="BU67" s="2" t="e">
        <f t="shared" ca="1" si="35"/>
        <v>#NAME?</v>
      </c>
      <c r="BV67" s="2" t="e">
        <f ca="1"/>
        <v>#NAME?</v>
      </c>
      <c r="BW67" s="2" t="e">
        <f t="shared" ca="1" si="36"/>
        <v>#NAME?</v>
      </c>
      <c r="BX67" s="2" t="e">
        <f ca="1"/>
        <v>#NAME?</v>
      </c>
      <c r="BY67" s="2" t="e">
        <f t="shared" ca="1" si="37"/>
        <v>#NAME?</v>
      </c>
      <c r="BZ67" s="2" t="e">
        <f ca="1"/>
        <v>#NAME?</v>
      </c>
      <c r="CA67" s="2" t="e">
        <f t="shared" ca="1" si="38"/>
        <v>#NAME?</v>
      </c>
      <c r="CB67" s="2" t="e">
        <f ca="1"/>
        <v>#NAME?</v>
      </c>
      <c r="CC67" s="2" t="e">
        <f t="shared" ca="1" si="39"/>
        <v>#NAME?</v>
      </c>
      <c r="CD67" s="2" t="e">
        <f ca="1"/>
        <v>#NAME?</v>
      </c>
      <c r="CE67" s="2" t="e">
        <f t="shared" ca="1" si="40"/>
        <v>#NAME?</v>
      </c>
      <c r="CF67" s="2" t="e">
        <f ca="1"/>
        <v>#NAME?</v>
      </c>
      <c r="CG67" s="2" t="e">
        <f t="shared" ca="1" si="41"/>
        <v>#NAME?</v>
      </c>
      <c r="CH67" s="2" t="e">
        <f ca="1"/>
        <v>#NAME?</v>
      </c>
      <c r="CI67" s="2" t="e">
        <f t="shared" ca="1" si="42"/>
        <v>#NAME?</v>
      </c>
      <c r="CJ67" s="2" t="e">
        <f ca="1"/>
        <v>#NAME?</v>
      </c>
      <c r="CK67" s="2" t="e">
        <f t="shared" ca="1" si="43"/>
        <v>#NAME?</v>
      </c>
      <c r="CL67" s="2" t="e">
        <f ca="1"/>
        <v>#NAME?</v>
      </c>
      <c r="CM67" s="2" t="e">
        <f t="shared" ca="1" si="44"/>
        <v>#NAME?</v>
      </c>
      <c r="CN67" s="2" t="e">
        <f ca="1"/>
        <v>#NAME?</v>
      </c>
      <c r="CO67" s="2" t="e">
        <f t="shared" ca="1" si="45"/>
        <v>#NAME?</v>
      </c>
      <c r="CP67" s="2" t="e">
        <f ca="1"/>
        <v>#NAME?</v>
      </c>
      <c r="CQ67" s="2" t="e">
        <f t="shared" ca="1" si="46"/>
        <v>#NAME?</v>
      </c>
    </row>
    <row r="68" spans="1:95">
      <c r="A68" s="7" t="e">
        <f ca="1"/>
        <v>#NAME?</v>
      </c>
      <c r="B68" s="2" t="e">
        <f ca="1"/>
        <v>#NAME?</v>
      </c>
      <c r="C68" s="2" t="e">
        <f t="shared" ca="1" si="0"/>
        <v>#NAME?</v>
      </c>
      <c r="D68" s="2" t="e">
        <f ca="1"/>
        <v>#NAME?</v>
      </c>
      <c r="E68" s="2" t="e">
        <f t="shared" ca="1" si="1"/>
        <v>#NAME?</v>
      </c>
      <c r="F68" s="2" t="e">
        <f ca="1"/>
        <v>#NAME?</v>
      </c>
      <c r="G68" s="2" t="e">
        <f t="shared" ca="1" si="2"/>
        <v>#NAME?</v>
      </c>
      <c r="H68" s="2" t="e">
        <f ca="1"/>
        <v>#NAME?</v>
      </c>
      <c r="I68" s="2" t="e">
        <f t="shared" ca="1" si="3"/>
        <v>#NAME?</v>
      </c>
      <c r="J68" s="2" t="e">
        <f ca="1"/>
        <v>#NAME?</v>
      </c>
      <c r="K68" s="2" t="e">
        <f t="shared" ca="1" si="4"/>
        <v>#NAME?</v>
      </c>
      <c r="L68" s="2" t="e">
        <f ca="1"/>
        <v>#NAME?</v>
      </c>
      <c r="M68" s="2" t="e">
        <f t="shared" ca="1" si="5"/>
        <v>#NAME?</v>
      </c>
      <c r="N68" s="2" t="e">
        <f ca="1"/>
        <v>#NAME?</v>
      </c>
      <c r="O68" s="2" t="e">
        <f t="shared" ca="1" si="6"/>
        <v>#NAME?</v>
      </c>
      <c r="P68" s="2" t="e">
        <f ca="1"/>
        <v>#NAME?</v>
      </c>
      <c r="Q68" s="2" t="e">
        <f t="shared" ca="1" si="7"/>
        <v>#NAME?</v>
      </c>
      <c r="R68" s="2" t="e">
        <f ca="1"/>
        <v>#NAME?</v>
      </c>
      <c r="S68" s="2" t="e">
        <f t="shared" ca="1" si="8"/>
        <v>#NAME?</v>
      </c>
      <c r="T68" s="2" t="e">
        <f ca="1"/>
        <v>#NAME?</v>
      </c>
      <c r="U68" s="2" t="e">
        <f t="shared" ca="1" si="9"/>
        <v>#NAME?</v>
      </c>
      <c r="V68" s="2" t="e">
        <f ca="1"/>
        <v>#NAME?</v>
      </c>
      <c r="W68" s="2" t="e">
        <f t="shared" ca="1" si="10"/>
        <v>#NAME?</v>
      </c>
      <c r="X68" s="2" t="e">
        <f ca="1"/>
        <v>#NAME?</v>
      </c>
      <c r="Y68" s="2" t="e">
        <f t="shared" ca="1" si="11"/>
        <v>#NAME?</v>
      </c>
      <c r="Z68" s="2" t="e">
        <f ca="1"/>
        <v>#NAME?</v>
      </c>
      <c r="AA68" s="2" t="e">
        <f t="shared" ca="1" si="12"/>
        <v>#NAME?</v>
      </c>
      <c r="AB68" s="2" t="e">
        <f ca="1"/>
        <v>#NAME?</v>
      </c>
      <c r="AC68" s="2" t="e">
        <f t="shared" ca="1" si="13"/>
        <v>#NAME?</v>
      </c>
      <c r="AD68" s="2" t="e">
        <f ca="1"/>
        <v>#NAME?</v>
      </c>
      <c r="AE68" s="2" t="e">
        <f t="shared" ca="1" si="14"/>
        <v>#NAME?</v>
      </c>
      <c r="AF68" s="2" t="e">
        <f ca="1"/>
        <v>#NAME?</v>
      </c>
      <c r="AG68" s="2" t="e">
        <f t="shared" ca="1" si="15"/>
        <v>#NAME?</v>
      </c>
      <c r="AH68" s="2" t="e">
        <f ca="1"/>
        <v>#NAME?</v>
      </c>
      <c r="AI68" s="2" t="e">
        <f t="shared" ca="1" si="16"/>
        <v>#NAME?</v>
      </c>
      <c r="AJ68" s="2" t="e">
        <f ca="1"/>
        <v>#NAME?</v>
      </c>
      <c r="AK68" s="2" t="e">
        <f t="shared" ca="1" si="17"/>
        <v>#NAME?</v>
      </c>
      <c r="AL68" s="2" t="e">
        <f ca="1"/>
        <v>#NAME?</v>
      </c>
      <c r="AM68" s="2" t="e">
        <f t="shared" ca="1" si="18"/>
        <v>#NAME?</v>
      </c>
      <c r="AN68" s="2" t="e">
        <f ca="1"/>
        <v>#NAME?</v>
      </c>
      <c r="AO68" s="2" t="e">
        <f t="shared" ca="1" si="19"/>
        <v>#NAME?</v>
      </c>
      <c r="AP68" s="2" t="e">
        <f ca="1"/>
        <v>#NAME?</v>
      </c>
      <c r="AQ68" s="2" t="e">
        <f t="shared" ca="1" si="20"/>
        <v>#NAME?</v>
      </c>
      <c r="AR68" s="2" t="e">
        <f ca="1"/>
        <v>#NAME?</v>
      </c>
      <c r="AS68" s="2" t="e">
        <f t="shared" ca="1" si="21"/>
        <v>#NAME?</v>
      </c>
      <c r="AT68" s="2" t="e">
        <f ca="1"/>
        <v>#NAME?</v>
      </c>
      <c r="AU68" s="2" t="e">
        <f t="shared" ca="1" si="22"/>
        <v>#NAME?</v>
      </c>
      <c r="AV68" s="2" t="e">
        <f ca="1"/>
        <v>#NAME?</v>
      </c>
      <c r="AW68" s="2" t="e">
        <f t="shared" ca="1" si="23"/>
        <v>#NAME?</v>
      </c>
      <c r="AX68" s="2" t="e">
        <f ca="1"/>
        <v>#NAME?</v>
      </c>
      <c r="AY68" s="2" t="e">
        <f t="shared" ca="1" si="24"/>
        <v>#NAME?</v>
      </c>
      <c r="AZ68" s="2" t="e">
        <f ca="1"/>
        <v>#NAME?</v>
      </c>
      <c r="BA68" s="2" t="e">
        <f t="shared" ca="1" si="25"/>
        <v>#NAME?</v>
      </c>
      <c r="BB68" s="2" t="e">
        <f ca="1"/>
        <v>#NAME?</v>
      </c>
      <c r="BC68" s="2" t="e">
        <f t="shared" ca="1" si="26"/>
        <v>#NAME?</v>
      </c>
      <c r="BD68" s="2" t="e">
        <f ca="1"/>
        <v>#NAME?</v>
      </c>
      <c r="BE68" s="2" t="e">
        <f t="shared" ca="1" si="27"/>
        <v>#NAME?</v>
      </c>
      <c r="BF68" s="2" t="e">
        <f ca="1"/>
        <v>#NAME?</v>
      </c>
      <c r="BG68" s="2" t="e">
        <f t="shared" ca="1" si="28"/>
        <v>#NAME?</v>
      </c>
      <c r="BH68" s="2" t="e">
        <f ca="1"/>
        <v>#NAME?</v>
      </c>
      <c r="BI68" s="2" t="e">
        <f t="shared" ca="1" si="29"/>
        <v>#NAME?</v>
      </c>
      <c r="BJ68" s="2" t="e">
        <f ca="1"/>
        <v>#NAME?</v>
      </c>
      <c r="BK68" s="2" t="e">
        <f t="shared" ca="1" si="30"/>
        <v>#NAME?</v>
      </c>
      <c r="BL68" s="2" t="e">
        <f ca="1"/>
        <v>#NAME?</v>
      </c>
      <c r="BM68" s="2" t="e">
        <f t="shared" ca="1" si="31"/>
        <v>#NAME?</v>
      </c>
      <c r="BN68" s="2" t="e">
        <f ca="1"/>
        <v>#NAME?</v>
      </c>
      <c r="BO68" s="2" t="e">
        <f t="shared" ca="1" si="32"/>
        <v>#NAME?</v>
      </c>
      <c r="BP68" s="2" t="e">
        <f ca="1"/>
        <v>#NAME?</v>
      </c>
      <c r="BQ68" s="2" t="e">
        <f t="shared" ca="1" si="33"/>
        <v>#NAME?</v>
      </c>
      <c r="BR68" s="2" t="e">
        <f ca="1"/>
        <v>#NAME?</v>
      </c>
      <c r="BS68" s="2" t="e">
        <f t="shared" ca="1" si="34"/>
        <v>#NAME?</v>
      </c>
      <c r="BT68" s="2" t="e">
        <f ca="1"/>
        <v>#NAME?</v>
      </c>
      <c r="BU68" s="2" t="e">
        <f t="shared" ca="1" si="35"/>
        <v>#NAME?</v>
      </c>
      <c r="BV68" s="2" t="e">
        <f ca="1"/>
        <v>#NAME?</v>
      </c>
      <c r="BW68" s="2" t="e">
        <f t="shared" ca="1" si="36"/>
        <v>#NAME?</v>
      </c>
      <c r="BX68" s="2" t="e">
        <f ca="1"/>
        <v>#NAME?</v>
      </c>
      <c r="BY68" s="2" t="e">
        <f t="shared" ca="1" si="37"/>
        <v>#NAME?</v>
      </c>
      <c r="BZ68" s="2" t="e">
        <f ca="1"/>
        <v>#NAME?</v>
      </c>
      <c r="CA68" s="2" t="e">
        <f t="shared" ca="1" si="38"/>
        <v>#NAME?</v>
      </c>
      <c r="CB68" s="2" t="e">
        <f ca="1"/>
        <v>#NAME?</v>
      </c>
      <c r="CC68" s="2" t="e">
        <f t="shared" ca="1" si="39"/>
        <v>#NAME?</v>
      </c>
      <c r="CD68" s="2" t="e">
        <f ca="1"/>
        <v>#NAME?</v>
      </c>
      <c r="CE68" s="2" t="e">
        <f t="shared" ca="1" si="40"/>
        <v>#NAME?</v>
      </c>
      <c r="CF68" s="2" t="e">
        <f ca="1"/>
        <v>#NAME?</v>
      </c>
      <c r="CG68" s="2" t="e">
        <f t="shared" ca="1" si="41"/>
        <v>#NAME?</v>
      </c>
      <c r="CH68" s="2" t="e">
        <f ca="1"/>
        <v>#NAME?</v>
      </c>
      <c r="CI68" s="2" t="e">
        <f t="shared" ca="1" si="42"/>
        <v>#NAME?</v>
      </c>
      <c r="CJ68" s="2" t="e">
        <f ca="1"/>
        <v>#NAME?</v>
      </c>
      <c r="CK68" s="2" t="e">
        <f t="shared" ca="1" si="43"/>
        <v>#NAME?</v>
      </c>
      <c r="CL68" s="2" t="e">
        <f ca="1"/>
        <v>#NAME?</v>
      </c>
      <c r="CM68" s="2" t="e">
        <f t="shared" ca="1" si="44"/>
        <v>#NAME?</v>
      </c>
      <c r="CN68" s="2" t="e">
        <f ca="1"/>
        <v>#NAME?</v>
      </c>
      <c r="CO68" s="2" t="e">
        <f t="shared" ca="1" si="45"/>
        <v>#NAME?</v>
      </c>
      <c r="CP68" s="2" t="e">
        <f ca="1"/>
        <v>#NAME?</v>
      </c>
      <c r="CQ68" s="2" t="e">
        <f t="shared" ca="1" si="46"/>
        <v>#NAME?</v>
      </c>
    </row>
    <row r="69" spans="1:95">
      <c r="A69" s="7" t="e">
        <f ca="1"/>
        <v>#NAME?</v>
      </c>
      <c r="B69" s="2" t="e">
        <f ca="1"/>
        <v>#NAME?</v>
      </c>
      <c r="C69" s="2" t="e">
        <f t="shared" ref="C69:C132" ca="1" si="47">(B69-B68)/B68</f>
        <v>#NAME?</v>
      </c>
      <c r="D69" s="2" t="e">
        <f ca="1"/>
        <v>#NAME?</v>
      </c>
      <c r="E69" s="2" t="e">
        <f t="shared" ref="E69:E132" ca="1" si="48">(D69-D68)/D68</f>
        <v>#NAME?</v>
      </c>
      <c r="F69" s="2" t="e">
        <f ca="1"/>
        <v>#NAME?</v>
      </c>
      <c r="G69" s="2" t="e">
        <f t="shared" ref="G69:G132" ca="1" si="49">(F69-F68)/F68</f>
        <v>#NAME?</v>
      </c>
      <c r="H69" s="2" t="e">
        <f ca="1"/>
        <v>#NAME?</v>
      </c>
      <c r="I69" s="2" t="e">
        <f t="shared" ref="I69:I132" ca="1" si="50">(H69-H68)/H68</f>
        <v>#NAME?</v>
      </c>
      <c r="J69" s="2" t="e">
        <f ca="1"/>
        <v>#NAME?</v>
      </c>
      <c r="K69" s="2" t="e">
        <f t="shared" ref="K69:K132" ca="1" si="51">(J69-J68)/J68</f>
        <v>#NAME?</v>
      </c>
      <c r="L69" s="2" t="e">
        <f ca="1"/>
        <v>#NAME?</v>
      </c>
      <c r="M69" s="2" t="e">
        <f t="shared" ref="M69:M132" ca="1" si="52">(L69-L68)/L68</f>
        <v>#NAME?</v>
      </c>
      <c r="N69" s="2" t="e">
        <f ca="1"/>
        <v>#NAME?</v>
      </c>
      <c r="O69" s="2" t="e">
        <f t="shared" ref="O69:O132" ca="1" si="53">(N69-N68)/N68</f>
        <v>#NAME?</v>
      </c>
      <c r="P69" s="2" t="e">
        <f ca="1"/>
        <v>#NAME?</v>
      </c>
      <c r="Q69" s="2" t="e">
        <f t="shared" ref="Q69:Q132" ca="1" si="54">(P69-P68)/P68</f>
        <v>#NAME?</v>
      </c>
      <c r="R69" s="2" t="e">
        <f ca="1"/>
        <v>#NAME?</v>
      </c>
      <c r="S69" s="2" t="e">
        <f t="shared" ref="S69:S132" ca="1" si="55">(R69-R68)/R68</f>
        <v>#NAME?</v>
      </c>
      <c r="T69" s="2" t="e">
        <f ca="1"/>
        <v>#NAME?</v>
      </c>
      <c r="U69" s="2" t="e">
        <f t="shared" ref="U69:U132" ca="1" si="56">(T69-T68)/T68</f>
        <v>#NAME?</v>
      </c>
      <c r="V69" s="2" t="e">
        <f ca="1"/>
        <v>#NAME?</v>
      </c>
      <c r="W69" s="2" t="e">
        <f t="shared" ref="W69:W132" ca="1" si="57">(V69-V68)/V68</f>
        <v>#NAME?</v>
      </c>
      <c r="X69" s="2" t="e">
        <f ca="1"/>
        <v>#NAME?</v>
      </c>
      <c r="Y69" s="2" t="e">
        <f t="shared" ref="Y69:Y132" ca="1" si="58">(X69-X68)/X68</f>
        <v>#NAME?</v>
      </c>
      <c r="Z69" s="2" t="e">
        <f ca="1"/>
        <v>#NAME?</v>
      </c>
      <c r="AA69" s="2" t="e">
        <f t="shared" ref="AA69:AA132" ca="1" si="59">(Z69-Z68)/Z68</f>
        <v>#NAME?</v>
      </c>
      <c r="AB69" s="2" t="e">
        <f ca="1"/>
        <v>#NAME?</v>
      </c>
      <c r="AC69" s="2" t="e">
        <f t="shared" ref="AC69:AC132" ca="1" si="60">(AB69-AB68)/AB68</f>
        <v>#NAME?</v>
      </c>
      <c r="AD69" s="2" t="e">
        <f ca="1"/>
        <v>#NAME?</v>
      </c>
      <c r="AE69" s="2" t="e">
        <f t="shared" ref="AE69:AE132" ca="1" si="61">(AD69-AD68)/AD68</f>
        <v>#NAME?</v>
      </c>
      <c r="AF69" s="2" t="e">
        <f ca="1"/>
        <v>#NAME?</v>
      </c>
      <c r="AG69" s="2" t="e">
        <f t="shared" ref="AG69:AG132" ca="1" si="62">(AF69-AF68)/AF68</f>
        <v>#NAME?</v>
      </c>
      <c r="AH69" s="2" t="e">
        <f ca="1"/>
        <v>#NAME?</v>
      </c>
      <c r="AI69" s="2" t="e">
        <f t="shared" ref="AI69:AI132" ca="1" si="63">(AH69-AH68)/AH68</f>
        <v>#NAME?</v>
      </c>
      <c r="AJ69" s="2" t="e">
        <f ca="1"/>
        <v>#NAME?</v>
      </c>
      <c r="AK69" s="2" t="e">
        <f t="shared" ref="AK69:AK132" ca="1" si="64">(AJ69-AJ68)/AJ68</f>
        <v>#NAME?</v>
      </c>
      <c r="AL69" s="2" t="e">
        <f ca="1"/>
        <v>#NAME?</v>
      </c>
      <c r="AM69" s="2" t="e">
        <f t="shared" ref="AM69:AM132" ca="1" si="65">(AL69-AL68)/AL68</f>
        <v>#NAME?</v>
      </c>
      <c r="AN69" s="2" t="e">
        <f ca="1"/>
        <v>#NAME?</v>
      </c>
      <c r="AO69" s="2" t="e">
        <f t="shared" ref="AO69:AO132" ca="1" si="66">(AN69-AN68)/AN68</f>
        <v>#NAME?</v>
      </c>
      <c r="AP69" s="2" t="e">
        <f ca="1"/>
        <v>#NAME?</v>
      </c>
      <c r="AQ69" s="2" t="e">
        <f t="shared" ref="AQ69:AQ132" ca="1" si="67">(AP69-AP68)/AP68</f>
        <v>#NAME?</v>
      </c>
      <c r="AR69" s="2" t="e">
        <f ca="1"/>
        <v>#NAME?</v>
      </c>
      <c r="AS69" s="2" t="e">
        <f t="shared" ref="AS69:AS132" ca="1" si="68">(AR69-AR68)/AR68</f>
        <v>#NAME?</v>
      </c>
      <c r="AT69" s="2" t="e">
        <f ca="1"/>
        <v>#NAME?</v>
      </c>
      <c r="AU69" s="2" t="e">
        <f t="shared" ref="AU69:AU132" ca="1" si="69">(AT69-AT68)/AT68</f>
        <v>#NAME?</v>
      </c>
      <c r="AV69" s="2" t="e">
        <f ca="1"/>
        <v>#NAME?</v>
      </c>
      <c r="AW69" s="2" t="e">
        <f t="shared" ref="AW69:AW132" ca="1" si="70">(AV69-AV68)/AV68</f>
        <v>#NAME?</v>
      </c>
      <c r="AX69" s="2" t="e">
        <f ca="1"/>
        <v>#NAME?</v>
      </c>
      <c r="AY69" s="2" t="e">
        <f t="shared" ref="AY69:AY132" ca="1" si="71">(AX69-AX68)/AX68</f>
        <v>#NAME?</v>
      </c>
      <c r="AZ69" s="2" t="e">
        <f ca="1"/>
        <v>#NAME?</v>
      </c>
      <c r="BA69" s="2" t="e">
        <f t="shared" ref="BA69:BA132" ca="1" si="72">(AZ69-AZ68)/AZ68</f>
        <v>#NAME?</v>
      </c>
      <c r="BB69" s="2" t="e">
        <f ca="1"/>
        <v>#NAME?</v>
      </c>
      <c r="BC69" s="2" t="e">
        <f t="shared" ref="BC69:BC132" ca="1" si="73">(BB69-BB68)/BB68</f>
        <v>#NAME?</v>
      </c>
      <c r="BD69" s="2" t="e">
        <f ca="1"/>
        <v>#NAME?</v>
      </c>
      <c r="BE69" s="2" t="e">
        <f t="shared" ref="BE69:BE132" ca="1" si="74">(BD69-BD68)/BD68</f>
        <v>#NAME?</v>
      </c>
      <c r="BF69" s="2" t="e">
        <f ca="1"/>
        <v>#NAME?</v>
      </c>
      <c r="BG69" s="2" t="e">
        <f t="shared" ref="BG69:BG132" ca="1" si="75">(BF69-BF68)/BF68</f>
        <v>#NAME?</v>
      </c>
      <c r="BH69" s="2" t="e">
        <f ca="1"/>
        <v>#NAME?</v>
      </c>
      <c r="BI69" s="2" t="e">
        <f t="shared" ref="BI69:BI132" ca="1" si="76">(BH69-BH68)/BH68</f>
        <v>#NAME?</v>
      </c>
      <c r="BJ69" s="2" t="e">
        <f ca="1"/>
        <v>#NAME?</v>
      </c>
      <c r="BK69" s="2" t="e">
        <f t="shared" ref="BK69:BK132" ca="1" si="77">(BJ69-BJ68)/BJ68</f>
        <v>#NAME?</v>
      </c>
      <c r="BL69" s="2" t="e">
        <f ca="1"/>
        <v>#NAME?</v>
      </c>
      <c r="BM69" s="2" t="e">
        <f t="shared" ref="BM69:BM132" ca="1" si="78">(BL69-BL68)/BL68</f>
        <v>#NAME?</v>
      </c>
      <c r="BN69" s="2" t="e">
        <f ca="1"/>
        <v>#NAME?</v>
      </c>
      <c r="BO69" s="2" t="e">
        <f t="shared" ref="BO69:BO132" ca="1" si="79">(BN69-BN68)/BN68</f>
        <v>#NAME?</v>
      </c>
      <c r="BP69" s="2" t="e">
        <f ca="1"/>
        <v>#NAME?</v>
      </c>
      <c r="BQ69" s="2" t="e">
        <f t="shared" ref="BQ69:BQ132" ca="1" si="80">(BP69-BP68)/BP68</f>
        <v>#NAME?</v>
      </c>
      <c r="BR69" s="2" t="e">
        <f ca="1"/>
        <v>#NAME?</v>
      </c>
      <c r="BS69" s="2" t="e">
        <f t="shared" ref="BS69:BS132" ca="1" si="81">(BR69-BR68)/BR68</f>
        <v>#NAME?</v>
      </c>
      <c r="BT69" s="2" t="e">
        <f ca="1"/>
        <v>#NAME?</v>
      </c>
      <c r="BU69" s="2" t="e">
        <f t="shared" ref="BU69:BU132" ca="1" si="82">(BT69-BT68)/BT68</f>
        <v>#NAME?</v>
      </c>
      <c r="BV69" s="2" t="e">
        <f ca="1"/>
        <v>#NAME?</v>
      </c>
      <c r="BW69" s="2" t="e">
        <f t="shared" ref="BW69:BW132" ca="1" si="83">(BV69-BV68)/BV68</f>
        <v>#NAME?</v>
      </c>
      <c r="BX69" s="2" t="e">
        <f ca="1"/>
        <v>#NAME?</v>
      </c>
      <c r="BY69" s="2" t="e">
        <f t="shared" ref="BY69:BY132" ca="1" si="84">(BX69-BX68)/BX68</f>
        <v>#NAME?</v>
      </c>
      <c r="BZ69" s="2" t="e">
        <f ca="1"/>
        <v>#NAME?</v>
      </c>
      <c r="CA69" s="2" t="e">
        <f t="shared" ref="CA69:CA132" ca="1" si="85">(BZ69-BZ68)/BZ68</f>
        <v>#NAME?</v>
      </c>
      <c r="CB69" s="2" t="e">
        <f ca="1"/>
        <v>#NAME?</v>
      </c>
      <c r="CC69" s="2" t="e">
        <f t="shared" ref="CC69:CC132" ca="1" si="86">(CB69-CB68)/CB68</f>
        <v>#NAME?</v>
      </c>
      <c r="CD69" s="2" t="e">
        <f ca="1"/>
        <v>#NAME?</v>
      </c>
      <c r="CE69" s="2" t="e">
        <f t="shared" ref="CE69:CE132" ca="1" si="87">(CD69-CD68)/CD68</f>
        <v>#NAME?</v>
      </c>
      <c r="CF69" s="2" t="e">
        <f ca="1"/>
        <v>#NAME?</v>
      </c>
      <c r="CG69" s="2" t="e">
        <f t="shared" ref="CG69:CG132" ca="1" si="88">(CF69-CF68)/CF68</f>
        <v>#NAME?</v>
      </c>
      <c r="CH69" s="2" t="e">
        <f ca="1"/>
        <v>#NAME?</v>
      </c>
      <c r="CI69" s="2" t="e">
        <f t="shared" ref="CI69:CI132" ca="1" si="89">(CH69-CH68)/CH68</f>
        <v>#NAME?</v>
      </c>
      <c r="CJ69" s="2" t="e">
        <f ca="1"/>
        <v>#NAME?</v>
      </c>
      <c r="CK69" s="2" t="e">
        <f t="shared" ref="CK69:CK132" ca="1" si="90">(CJ69-CJ68)/CJ68</f>
        <v>#NAME?</v>
      </c>
      <c r="CL69" s="2" t="e">
        <f ca="1"/>
        <v>#NAME?</v>
      </c>
      <c r="CM69" s="2" t="e">
        <f t="shared" ref="CM69:CM132" ca="1" si="91">(CL69-CL68)/CL68</f>
        <v>#NAME?</v>
      </c>
      <c r="CN69" s="2" t="e">
        <f ca="1"/>
        <v>#NAME?</v>
      </c>
      <c r="CO69" s="2" t="e">
        <f t="shared" ref="CO69:CO132" ca="1" si="92">(CN69-CN68)/CN68</f>
        <v>#NAME?</v>
      </c>
      <c r="CP69" s="2" t="e">
        <f ca="1"/>
        <v>#NAME?</v>
      </c>
      <c r="CQ69" s="2" t="e">
        <f t="shared" ref="CQ69:CQ132" ca="1" si="93">(CP69-CP68)/CP68</f>
        <v>#NAME?</v>
      </c>
    </row>
    <row r="70" spans="1:95">
      <c r="A70" s="7" t="e">
        <f ca="1"/>
        <v>#NAME?</v>
      </c>
      <c r="B70" s="2" t="e">
        <f ca="1"/>
        <v>#NAME?</v>
      </c>
      <c r="C70" s="2" t="e">
        <f t="shared" ca="1" si="47"/>
        <v>#NAME?</v>
      </c>
      <c r="D70" s="2" t="e">
        <f ca="1"/>
        <v>#NAME?</v>
      </c>
      <c r="E70" s="2" t="e">
        <f t="shared" ca="1" si="48"/>
        <v>#NAME?</v>
      </c>
      <c r="F70" s="2" t="e">
        <f ca="1"/>
        <v>#NAME?</v>
      </c>
      <c r="G70" s="2" t="e">
        <f t="shared" ca="1" si="49"/>
        <v>#NAME?</v>
      </c>
      <c r="H70" s="2" t="e">
        <f ca="1"/>
        <v>#NAME?</v>
      </c>
      <c r="I70" s="2" t="e">
        <f t="shared" ca="1" si="50"/>
        <v>#NAME?</v>
      </c>
      <c r="J70" s="2" t="e">
        <f ca="1"/>
        <v>#NAME?</v>
      </c>
      <c r="K70" s="2" t="e">
        <f t="shared" ca="1" si="51"/>
        <v>#NAME?</v>
      </c>
      <c r="L70" s="2" t="e">
        <f ca="1"/>
        <v>#NAME?</v>
      </c>
      <c r="M70" s="2" t="e">
        <f t="shared" ca="1" si="52"/>
        <v>#NAME?</v>
      </c>
      <c r="N70" s="2" t="e">
        <f ca="1"/>
        <v>#NAME?</v>
      </c>
      <c r="O70" s="2" t="e">
        <f t="shared" ca="1" si="53"/>
        <v>#NAME?</v>
      </c>
      <c r="P70" s="2" t="e">
        <f ca="1"/>
        <v>#NAME?</v>
      </c>
      <c r="Q70" s="2" t="e">
        <f t="shared" ca="1" si="54"/>
        <v>#NAME?</v>
      </c>
      <c r="R70" s="2" t="e">
        <f ca="1"/>
        <v>#NAME?</v>
      </c>
      <c r="S70" s="2" t="e">
        <f t="shared" ca="1" si="55"/>
        <v>#NAME?</v>
      </c>
      <c r="T70" s="2" t="e">
        <f ca="1"/>
        <v>#NAME?</v>
      </c>
      <c r="U70" s="2" t="e">
        <f t="shared" ca="1" si="56"/>
        <v>#NAME?</v>
      </c>
      <c r="V70" s="2" t="e">
        <f ca="1"/>
        <v>#NAME?</v>
      </c>
      <c r="W70" s="2" t="e">
        <f t="shared" ca="1" si="57"/>
        <v>#NAME?</v>
      </c>
      <c r="X70" s="2" t="e">
        <f ca="1"/>
        <v>#NAME?</v>
      </c>
      <c r="Y70" s="2" t="e">
        <f t="shared" ca="1" si="58"/>
        <v>#NAME?</v>
      </c>
      <c r="Z70" s="2" t="e">
        <f ca="1"/>
        <v>#NAME?</v>
      </c>
      <c r="AA70" s="2" t="e">
        <f t="shared" ca="1" si="59"/>
        <v>#NAME?</v>
      </c>
      <c r="AB70" s="2" t="e">
        <f ca="1"/>
        <v>#NAME?</v>
      </c>
      <c r="AC70" s="2" t="e">
        <f t="shared" ca="1" si="60"/>
        <v>#NAME?</v>
      </c>
      <c r="AD70" s="2" t="e">
        <f ca="1"/>
        <v>#NAME?</v>
      </c>
      <c r="AE70" s="2" t="e">
        <f t="shared" ca="1" si="61"/>
        <v>#NAME?</v>
      </c>
      <c r="AF70" s="2" t="e">
        <f ca="1"/>
        <v>#NAME?</v>
      </c>
      <c r="AG70" s="2" t="e">
        <f t="shared" ca="1" si="62"/>
        <v>#NAME?</v>
      </c>
      <c r="AH70" s="2" t="e">
        <f ca="1"/>
        <v>#NAME?</v>
      </c>
      <c r="AI70" s="2" t="e">
        <f t="shared" ca="1" si="63"/>
        <v>#NAME?</v>
      </c>
      <c r="AJ70" s="2" t="e">
        <f ca="1"/>
        <v>#NAME?</v>
      </c>
      <c r="AK70" s="2" t="e">
        <f t="shared" ca="1" si="64"/>
        <v>#NAME?</v>
      </c>
      <c r="AL70" s="2" t="e">
        <f ca="1"/>
        <v>#NAME?</v>
      </c>
      <c r="AM70" s="2" t="e">
        <f t="shared" ca="1" si="65"/>
        <v>#NAME?</v>
      </c>
      <c r="AN70" s="2" t="e">
        <f ca="1"/>
        <v>#NAME?</v>
      </c>
      <c r="AO70" s="2" t="e">
        <f t="shared" ca="1" si="66"/>
        <v>#NAME?</v>
      </c>
      <c r="AP70" s="2" t="e">
        <f ca="1"/>
        <v>#NAME?</v>
      </c>
      <c r="AQ70" s="2" t="e">
        <f t="shared" ca="1" si="67"/>
        <v>#NAME?</v>
      </c>
      <c r="AR70" s="2" t="e">
        <f ca="1"/>
        <v>#NAME?</v>
      </c>
      <c r="AS70" s="2" t="e">
        <f t="shared" ca="1" si="68"/>
        <v>#NAME?</v>
      </c>
      <c r="AT70" s="2" t="e">
        <f ca="1"/>
        <v>#NAME?</v>
      </c>
      <c r="AU70" s="2" t="e">
        <f t="shared" ca="1" si="69"/>
        <v>#NAME?</v>
      </c>
      <c r="AV70" s="2" t="e">
        <f ca="1"/>
        <v>#NAME?</v>
      </c>
      <c r="AW70" s="2" t="e">
        <f t="shared" ca="1" si="70"/>
        <v>#NAME?</v>
      </c>
      <c r="AX70" s="2" t="e">
        <f ca="1"/>
        <v>#NAME?</v>
      </c>
      <c r="AY70" s="2" t="e">
        <f t="shared" ca="1" si="71"/>
        <v>#NAME?</v>
      </c>
      <c r="AZ70" s="2" t="e">
        <f ca="1"/>
        <v>#NAME?</v>
      </c>
      <c r="BA70" s="2" t="e">
        <f t="shared" ca="1" si="72"/>
        <v>#NAME?</v>
      </c>
      <c r="BB70" s="2" t="e">
        <f ca="1"/>
        <v>#NAME?</v>
      </c>
      <c r="BC70" s="2" t="e">
        <f t="shared" ca="1" si="73"/>
        <v>#NAME?</v>
      </c>
      <c r="BD70" s="2" t="e">
        <f ca="1"/>
        <v>#NAME?</v>
      </c>
      <c r="BE70" s="2" t="e">
        <f t="shared" ca="1" si="74"/>
        <v>#NAME?</v>
      </c>
      <c r="BF70" s="2" t="e">
        <f ca="1"/>
        <v>#NAME?</v>
      </c>
      <c r="BG70" s="2" t="e">
        <f t="shared" ca="1" si="75"/>
        <v>#NAME?</v>
      </c>
      <c r="BH70" s="2" t="e">
        <f ca="1"/>
        <v>#NAME?</v>
      </c>
      <c r="BI70" s="2" t="e">
        <f t="shared" ca="1" si="76"/>
        <v>#NAME?</v>
      </c>
      <c r="BJ70" s="2" t="e">
        <f ca="1"/>
        <v>#NAME?</v>
      </c>
      <c r="BK70" s="2" t="e">
        <f t="shared" ca="1" si="77"/>
        <v>#NAME?</v>
      </c>
      <c r="BL70" s="2" t="e">
        <f ca="1"/>
        <v>#NAME?</v>
      </c>
      <c r="BM70" s="2" t="e">
        <f t="shared" ca="1" si="78"/>
        <v>#NAME?</v>
      </c>
      <c r="BN70" s="2" t="e">
        <f ca="1"/>
        <v>#NAME?</v>
      </c>
      <c r="BO70" s="2" t="e">
        <f t="shared" ca="1" si="79"/>
        <v>#NAME?</v>
      </c>
      <c r="BP70" s="2" t="e">
        <f ca="1"/>
        <v>#NAME?</v>
      </c>
      <c r="BQ70" s="2" t="e">
        <f t="shared" ca="1" si="80"/>
        <v>#NAME?</v>
      </c>
      <c r="BR70" s="2" t="e">
        <f ca="1"/>
        <v>#NAME?</v>
      </c>
      <c r="BS70" s="2" t="e">
        <f t="shared" ca="1" si="81"/>
        <v>#NAME?</v>
      </c>
      <c r="BT70" s="2" t="e">
        <f ca="1"/>
        <v>#NAME?</v>
      </c>
      <c r="BU70" s="2" t="e">
        <f t="shared" ca="1" si="82"/>
        <v>#NAME?</v>
      </c>
      <c r="BV70" s="2" t="e">
        <f ca="1"/>
        <v>#NAME?</v>
      </c>
      <c r="BW70" s="2" t="e">
        <f t="shared" ca="1" si="83"/>
        <v>#NAME?</v>
      </c>
      <c r="BX70" s="2" t="e">
        <f ca="1"/>
        <v>#NAME?</v>
      </c>
      <c r="BY70" s="2" t="e">
        <f t="shared" ca="1" si="84"/>
        <v>#NAME?</v>
      </c>
      <c r="BZ70" s="2" t="e">
        <f ca="1"/>
        <v>#NAME?</v>
      </c>
      <c r="CA70" s="2" t="e">
        <f t="shared" ca="1" si="85"/>
        <v>#NAME?</v>
      </c>
      <c r="CB70" s="2" t="e">
        <f ca="1"/>
        <v>#NAME?</v>
      </c>
      <c r="CC70" s="2" t="e">
        <f t="shared" ca="1" si="86"/>
        <v>#NAME?</v>
      </c>
      <c r="CD70" s="2" t="e">
        <f ca="1"/>
        <v>#NAME?</v>
      </c>
      <c r="CE70" s="2" t="e">
        <f t="shared" ca="1" si="87"/>
        <v>#NAME?</v>
      </c>
      <c r="CF70" s="2" t="e">
        <f ca="1"/>
        <v>#NAME?</v>
      </c>
      <c r="CG70" s="2" t="e">
        <f t="shared" ca="1" si="88"/>
        <v>#NAME?</v>
      </c>
      <c r="CH70" s="2" t="e">
        <f ca="1"/>
        <v>#NAME?</v>
      </c>
      <c r="CI70" s="2" t="e">
        <f t="shared" ca="1" si="89"/>
        <v>#NAME?</v>
      </c>
      <c r="CJ70" s="2" t="e">
        <f ca="1"/>
        <v>#NAME?</v>
      </c>
      <c r="CK70" s="2" t="e">
        <f t="shared" ca="1" si="90"/>
        <v>#NAME?</v>
      </c>
      <c r="CL70" s="2" t="e">
        <f ca="1"/>
        <v>#NAME?</v>
      </c>
      <c r="CM70" s="2" t="e">
        <f t="shared" ca="1" si="91"/>
        <v>#NAME?</v>
      </c>
      <c r="CN70" s="2" t="e">
        <f ca="1"/>
        <v>#NAME?</v>
      </c>
      <c r="CO70" s="2" t="e">
        <f t="shared" ca="1" si="92"/>
        <v>#NAME?</v>
      </c>
      <c r="CP70" s="2" t="e">
        <f ca="1"/>
        <v>#NAME?</v>
      </c>
      <c r="CQ70" s="2" t="e">
        <f t="shared" ca="1" si="93"/>
        <v>#NAME?</v>
      </c>
    </row>
    <row r="71" spans="1:95">
      <c r="A71" s="7" t="e">
        <f ca="1"/>
        <v>#NAME?</v>
      </c>
      <c r="B71" s="2" t="e">
        <f ca="1"/>
        <v>#NAME?</v>
      </c>
      <c r="C71" s="2" t="e">
        <f t="shared" ca="1" si="47"/>
        <v>#NAME?</v>
      </c>
      <c r="D71" s="2" t="e">
        <f ca="1"/>
        <v>#NAME?</v>
      </c>
      <c r="E71" s="2" t="e">
        <f t="shared" ca="1" si="48"/>
        <v>#NAME?</v>
      </c>
      <c r="F71" s="2" t="e">
        <f ca="1"/>
        <v>#NAME?</v>
      </c>
      <c r="G71" s="2" t="e">
        <f t="shared" ca="1" si="49"/>
        <v>#NAME?</v>
      </c>
      <c r="H71" s="2" t="e">
        <f ca="1"/>
        <v>#NAME?</v>
      </c>
      <c r="I71" s="2" t="e">
        <f t="shared" ca="1" si="50"/>
        <v>#NAME?</v>
      </c>
      <c r="J71" s="2" t="e">
        <f ca="1"/>
        <v>#NAME?</v>
      </c>
      <c r="K71" s="2" t="e">
        <f t="shared" ca="1" si="51"/>
        <v>#NAME?</v>
      </c>
      <c r="L71" s="2" t="e">
        <f ca="1"/>
        <v>#NAME?</v>
      </c>
      <c r="M71" s="2" t="e">
        <f t="shared" ca="1" si="52"/>
        <v>#NAME?</v>
      </c>
      <c r="N71" s="2" t="e">
        <f ca="1"/>
        <v>#NAME?</v>
      </c>
      <c r="O71" s="2" t="e">
        <f t="shared" ca="1" si="53"/>
        <v>#NAME?</v>
      </c>
      <c r="P71" s="2" t="e">
        <f ca="1"/>
        <v>#NAME?</v>
      </c>
      <c r="Q71" s="2" t="e">
        <f t="shared" ca="1" si="54"/>
        <v>#NAME?</v>
      </c>
      <c r="R71" s="2" t="e">
        <f ca="1"/>
        <v>#NAME?</v>
      </c>
      <c r="S71" s="2" t="e">
        <f t="shared" ca="1" si="55"/>
        <v>#NAME?</v>
      </c>
      <c r="T71" s="2" t="e">
        <f ca="1"/>
        <v>#NAME?</v>
      </c>
      <c r="U71" s="2" t="e">
        <f t="shared" ca="1" si="56"/>
        <v>#NAME?</v>
      </c>
      <c r="V71" s="2" t="e">
        <f ca="1"/>
        <v>#NAME?</v>
      </c>
      <c r="W71" s="2" t="e">
        <f t="shared" ca="1" si="57"/>
        <v>#NAME?</v>
      </c>
      <c r="X71" s="2" t="e">
        <f ca="1"/>
        <v>#NAME?</v>
      </c>
      <c r="Y71" s="2" t="e">
        <f t="shared" ca="1" si="58"/>
        <v>#NAME?</v>
      </c>
      <c r="Z71" s="2" t="e">
        <f ca="1"/>
        <v>#NAME?</v>
      </c>
      <c r="AA71" s="2" t="e">
        <f t="shared" ca="1" si="59"/>
        <v>#NAME?</v>
      </c>
      <c r="AB71" s="2" t="e">
        <f ca="1"/>
        <v>#NAME?</v>
      </c>
      <c r="AC71" s="2" t="e">
        <f t="shared" ca="1" si="60"/>
        <v>#NAME?</v>
      </c>
      <c r="AD71" s="2" t="e">
        <f ca="1"/>
        <v>#NAME?</v>
      </c>
      <c r="AE71" s="2" t="e">
        <f t="shared" ca="1" si="61"/>
        <v>#NAME?</v>
      </c>
      <c r="AF71" s="2" t="e">
        <f ca="1"/>
        <v>#NAME?</v>
      </c>
      <c r="AG71" s="2" t="e">
        <f t="shared" ca="1" si="62"/>
        <v>#NAME?</v>
      </c>
      <c r="AH71" s="2" t="e">
        <f ca="1"/>
        <v>#NAME?</v>
      </c>
      <c r="AI71" s="2" t="e">
        <f t="shared" ca="1" si="63"/>
        <v>#NAME?</v>
      </c>
      <c r="AJ71" s="2" t="e">
        <f ca="1"/>
        <v>#NAME?</v>
      </c>
      <c r="AK71" s="2" t="e">
        <f t="shared" ca="1" si="64"/>
        <v>#NAME?</v>
      </c>
      <c r="AL71" s="2" t="e">
        <f ca="1"/>
        <v>#NAME?</v>
      </c>
      <c r="AM71" s="2" t="e">
        <f t="shared" ca="1" si="65"/>
        <v>#NAME?</v>
      </c>
      <c r="AN71" s="2" t="e">
        <f ca="1"/>
        <v>#NAME?</v>
      </c>
      <c r="AO71" s="2" t="e">
        <f t="shared" ca="1" si="66"/>
        <v>#NAME?</v>
      </c>
      <c r="AP71" s="2" t="e">
        <f ca="1"/>
        <v>#NAME?</v>
      </c>
      <c r="AQ71" s="2" t="e">
        <f t="shared" ca="1" si="67"/>
        <v>#NAME?</v>
      </c>
      <c r="AR71" s="2" t="e">
        <f ca="1"/>
        <v>#NAME?</v>
      </c>
      <c r="AS71" s="2" t="e">
        <f t="shared" ca="1" si="68"/>
        <v>#NAME?</v>
      </c>
      <c r="AT71" s="2" t="e">
        <f ca="1"/>
        <v>#NAME?</v>
      </c>
      <c r="AU71" s="2" t="e">
        <f t="shared" ca="1" si="69"/>
        <v>#NAME?</v>
      </c>
      <c r="AV71" s="2" t="e">
        <f ca="1"/>
        <v>#NAME?</v>
      </c>
      <c r="AW71" s="2" t="e">
        <f t="shared" ca="1" si="70"/>
        <v>#NAME?</v>
      </c>
      <c r="AX71" s="2" t="e">
        <f ca="1"/>
        <v>#NAME?</v>
      </c>
      <c r="AY71" s="2" t="e">
        <f t="shared" ca="1" si="71"/>
        <v>#NAME?</v>
      </c>
      <c r="AZ71" s="2" t="e">
        <f ca="1"/>
        <v>#NAME?</v>
      </c>
      <c r="BA71" s="2" t="e">
        <f t="shared" ca="1" si="72"/>
        <v>#NAME?</v>
      </c>
      <c r="BB71" s="2" t="e">
        <f ca="1"/>
        <v>#NAME?</v>
      </c>
      <c r="BC71" s="2" t="e">
        <f t="shared" ca="1" si="73"/>
        <v>#NAME?</v>
      </c>
      <c r="BD71" s="2" t="e">
        <f ca="1"/>
        <v>#NAME?</v>
      </c>
      <c r="BE71" s="2" t="e">
        <f t="shared" ca="1" si="74"/>
        <v>#NAME?</v>
      </c>
      <c r="BF71" s="2" t="e">
        <f ca="1"/>
        <v>#NAME?</v>
      </c>
      <c r="BG71" s="2" t="e">
        <f t="shared" ca="1" si="75"/>
        <v>#NAME?</v>
      </c>
      <c r="BH71" s="2" t="e">
        <f ca="1"/>
        <v>#NAME?</v>
      </c>
      <c r="BI71" s="2" t="e">
        <f t="shared" ca="1" si="76"/>
        <v>#NAME?</v>
      </c>
      <c r="BJ71" s="2" t="e">
        <f ca="1"/>
        <v>#NAME?</v>
      </c>
      <c r="BK71" s="2" t="e">
        <f t="shared" ca="1" si="77"/>
        <v>#NAME?</v>
      </c>
      <c r="BL71" s="2" t="e">
        <f ca="1"/>
        <v>#NAME?</v>
      </c>
      <c r="BM71" s="2" t="e">
        <f t="shared" ca="1" si="78"/>
        <v>#NAME?</v>
      </c>
      <c r="BN71" s="2" t="e">
        <f ca="1"/>
        <v>#NAME?</v>
      </c>
      <c r="BO71" s="2" t="e">
        <f t="shared" ca="1" si="79"/>
        <v>#NAME?</v>
      </c>
      <c r="BP71" s="2" t="e">
        <f ca="1"/>
        <v>#NAME?</v>
      </c>
      <c r="BQ71" s="2" t="e">
        <f t="shared" ca="1" si="80"/>
        <v>#NAME?</v>
      </c>
      <c r="BR71" s="2" t="e">
        <f ca="1"/>
        <v>#NAME?</v>
      </c>
      <c r="BS71" s="2" t="e">
        <f t="shared" ca="1" si="81"/>
        <v>#NAME?</v>
      </c>
      <c r="BT71" s="2" t="e">
        <f ca="1"/>
        <v>#NAME?</v>
      </c>
      <c r="BU71" s="2" t="e">
        <f t="shared" ca="1" si="82"/>
        <v>#NAME?</v>
      </c>
      <c r="BV71" s="2" t="e">
        <f ca="1"/>
        <v>#NAME?</v>
      </c>
      <c r="BW71" s="2" t="e">
        <f t="shared" ca="1" si="83"/>
        <v>#NAME?</v>
      </c>
      <c r="BX71" s="2" t="e">
        <f ca="1"/>
        <v>#NAME?</v>
      </c>
      <c r="BY71" s="2" t="e">
        <f t="shared" ca="1" si="84"/>
        <v>#NAME?</v>
      </c>
      <c r="BZ71" s="2" t="e">
        <f ca="1"/>
        <v>#NAME?</v>
      </c>
      <c r="CA71" s="2" t="e">
        <f t="shared" ca="1" si="85"/>
        <v>#NAME?</v>
      </c>
      <c r="CB71" s="2" t="e">
        <f ca="1"/>
        <v>#NAME?</v>
      </c>
      <c r="CC71" s="2" t="e">
        <f t="shared" ca="1" si="86"/>
        <v>#NAME?</v>
      </c>
      <c r="CD71" s="2" t="e">
        <f ca="1"/>
        <v>#NAME?</v>
      </c>
      <c r="CE71" s="2" t="e">
        <f t="shared" ca="1" si="87"/>
        <v>#NAME?</v>
      </c>
      <c r="CF71" s="2" t="e">
        <f ca="1"/>
        <v>#NAME?</v>
      </c>
      <c r="CG71" s="2" t="e">
        <f t="shared" ca="1" si="88"/>
        <v>#NAME?</v>
      </c>
      <c r="CH71" s="2" t="e">
        <f ca="1"/>
        <v>#NAME?</v>
      </c>
      <c r="CI71" s="2" t="e">
        <f t="shared" ca="1" si="89"/>
        <v>#NAME?</v>
      </c>
      <c r="CJ71" s="2" t="e">
        <f ca="1"/>
        <v>#NAME?</v>
      </c>
      <c r="CK71" s="2" t="e">
        <f t="shared" ca="1" si="90"/>
        <v>#NAME?</v>
      </c>
      <c r="CL71" s="2" t="e">
        <f ca="1"/>
        <v>#NAME?</v>
      </c>
      <c r="CM71" s="2" t="e">
        <f t="shared" ca="1" si="91"/>
        <v>#NAME?</v>
      </c>
      <c r="CN71" s="2" t="e">
        <f ca="1"/>
        <v>#NAME?</v>
      </c>
      <c r="CO71" s="2" t="e">
        <f t="shared" ca="1" si="92"/>
        <v>#NAME?</v>
      </c>
      <c r="CP71" s="2" t="e">
        <f ca="1"/>
        <v>#NAME?</v>
      </c>
      <c r="CQ71" s="2" t="e">
        <f t="shared" ca="1" si="93"/>
        <v>#NAME?</v>
      </c>
    </row>
    <row r="72" spans="1:95">
      <c r="A72" s="7" t="e">
        <f ca="1"/>
        <v>#NAME?</v>
      </c>
      <c r="B72" s="2" t="e">
        <f ca="1"/>
        <v>#NAME?</v>
      </c>
      <c r="C72" s="2" t="e">
        <f t="shared" ca="1" si="47"/>
        <v>#NAME?</v>
      </c>
      <c r="D72" s="2" t="e">
        <f ca="1"/>
        <v>#NAME?</v>
      </c>
      <c r="E72" s="2" t="e">
        <f t="shared" ca="1" si="48"/>
        <v>#NAME?</v>
      </c>
      <c r="F72" s="2" t="e">
        <f ca="1"/>
        <v>#NAME?</v>
      </c>
      <c r="G72" s="2" t="e">
        <f t="shared" ca="1" si="49"/>
        <v>#NAME?</v>
      </c>
      <c r="H72" s="2" t="e">
        <f ca="1"/>
        <v>#NAME?</v>
      </c>
      <c r="I72" s="2" t="e">
        <f t="shared" ca="1" si="50"/>
        <v>#NAME?</v>
      </c>
      <c r="J72" s="2" t="e">
        <f ca="1"/>
        <v>#NAME?</v>
      </c>
      <c r="K72" s="2" t="e">
        <f t="shared" ca="1" si="51"/>
        <v>#NAME?</v>
      </c>
      <c r="L72" s="2" t="e">
        <f ca="1"/>
        <v>#NAME?</v>
      </c>
      <c r="M72" s="2" t="e">
        <f t="shared" ca="1" si="52"/>
        <v>#NAME?</v>
      </c>
      <c r="N72" s="2" t="e">
        <f ca="1"/>
        <v>#NAME?</v>
      </c>
      <c r="O72" s="2" t="e">
        <f t="shared" ca="1" si="53"/>
        <v>#NAME?</v>
      </c>
      <c r="P72" s="2" t="e">
        <f ca="1"/>
        <v>#NAME?</v>
      </c>
      <c r="Q72" s="2" t="e">
        <f t="shared" ca="1" si="54"/>
        <v>#NAME?</v>
      </c>
      <c r="R72" s="2" t="e">
        <f ca="1"/>
        <v>#NAME?</v>
      </c>
      <c r="S72" s="2" t="e">
        <f t="shared" ca="1" si="55"/>
        <v>#NAME?</v>
      </c>
      <c r="T72" s="2" t="e">
        <f ca="1"/>
        <v>#NAME?</v>
      </c>
      <c r="U72" s="2" t="e">
        <f t="shared" ca="1" si="56"/>
        <v>#NAME?</v>
      </c>
      <c r="V72" s="2" t="e">
        <f ca="1"/>
        <v>#NAME?</v>
      </c>
      <c r="W72" s="2" t="e">
        <f t="shared" ca="1" si="57"/>
        <v>#NAME?</v>
      </c>
      <c r="X72" s="2" t="e">
        <f ca="1"/>
        <v>#NAME?</v>
      </c>
      <c r="Y72" s="2" t="e">
        <f t="shared" ca="1" si="58"/>
        <v>#NAME?</v>
      </c>
      <c r="Z72" s="2" t="e">
        <f ca="1"/>
        <v>#NAME?</v>
      </c>
      <c r="AA72" s="2" t="e">
        <f t="shared" ca="1" si="59"/>
        <v>#NAME?</v>
      </c>
      <c r="AB72" s="2" t="e">
        <f ca="1"/>
        <v>#NAME?</v>
      </c>
      <c r="AC72" s="2" t="e">
        <f t="shared" ca="1" si="60"/>
        <v>#NAME?</v>
      </c>
      <c r="AD72" s="2" t="e">
        <f ca="1"/>
        <v>#NAME?</v>
      </c>
      <c r="AE72" s="2" t="e">
        <f t="shared" ca="1" si="61"/>
        <v>#NAME?</v>
      </c>
      <c r="AF72" s="2" t="e">
        <f ca="1"/>
        <v>#NAME?</v>
      </c>
      <c r="AG72" s="2" t="e">
        <f t="shared" ca="1" si="62"/>
        <v>#NAME?</v>
      </c>
      <c r="AH72" s="2" t="e">
        <f ca="1"/>
        <v>#NAME?</v>
      </c>
      <c r="AI72" s="2" t="e">
        <f t="shared" ca="1" si="63"/>
        <v>#NAME?</v>
      </c>
      <c r="AJ72" s="2" t="e">
        <f ca="1"/>
        <v>#NAME?</v>
      </c>
      <c r="AK72" s="2" t="e">
        <f t="shared" ca="1" si="64"/>
        <v>#NAME?</v>
      </c>
      <c r="AL72" s="2" t="e">
        <f ca="1"/>
        <v>#NAME?</v>
      </c>
      <c r="AM72" s="2" t="e">
        <f t="shared" ca="1" si="65"/>
        <v>#NAME?</v>
      </c>
      <c r="AN72" s="2" t="e">
        <f ca="1"/>
        <v>#NAME?</v>
      </c>
      <c r="AO72" s="2" t="e">
        <f t="shared" ca="1" si="66"/>
        <v>#NAME?</v>
      </c>
      <c r="AP72" s="2" t="e">
        <f ca="1"/>
        <v>#NAME?</v>
      </c>
      <c r="AQ72" s="2" t="e">
        <f t="shared" ca="1" si="67"/>
        <v>#NAME?</v>
      </c>
      <c r="AR72" s="2" t="e">
        <f ca="1"/>
        <v>#NAME?</v>
      </c>
      <c r="AS72" s="2" t="e">
        <f t="shared" ca="1" si="68"/>
        <v>#NAME?</v>
      </c>
      <c r="AT72" s="2" t="e">
        <f ca="1"/>
        <v>#NAME?</v>
      </c>
      <c r="AU72" s="2" t="e">
        <f t="shared" ca="1" si="69"/>
        <v>#NAME?</v>
      </c>
      <c r="AV72" s="2" t="e">
        <f ca="1"/>
        <v>#NAME?</v>
      </c>
      <c r="AW72" s="2" t="e">
        <f t="shared" ca="1" si="70"/>
        <v>#NAME?</v>
      </c>
      <c r="AX72" s="2" t="e">
        <f ca="1"/>
        <v>#NAME?</v>
      </c>
      <c r="AY72" s="2" t="e">
        <f t="shared" ca="1" si="71"/>
        <v>#NAME?</v>
      </c>
      <c r="AZ72" s="2" t="e">
        <f ca="1"/>
        <v>#NAME?</v>
      </c>
      <c r="BA72" s="2" t="e">
        <f t="shared" ca="1" si="72"/>
        <v>#NAME?</v>
      </c>
      <c r="BB72" s="2" t="e">
        <f ca="1"/>
        <v>#NAME?</v>
      </c>
      <c r="BC72" s="2" t="e">
        <f t="shared" ca="1" si="73"/>
        <v>#NAME?</v>
      </c>
      <c r="BD72" s="2" t="e">
        <f ca="1"/>
        <v>#NAME?</v>
      </c>
      <c r="BE72" s="2" t="e">
        <f t="shared" ca="1" si="74"/>
        <v>#NAME?</v>
      </c>
      <c r="BF72" s="2" t="e">
        <f ca="1"/>
        <v>#NAME?</v>
      </c>
      <c r="BG72" s="2" t="e">
        <f t="shared" ca="1" si="75"/>
        <v>#NAME?</v>
      </c>
      <c r="BH72" s="2" t="e">
        <f ca="1"/>
        <v>#NAME?</v>
      </c>
      <c r="BI72" s="2" t="e">
        <f t="shared" ca="1" si="76"/>
        <v>#NAME?</v>
      </c>
      <c r="BJ72" s="2" t="e">
        <f ca="1"/>
        <v>#NAME?</v>
      </c>
      <c r="BK72" s="2" t="e">
        <f t="shared" ca="1" si="77"/>
        <v>#NAME?</v>
      </c>
      <c r="BL72" s="2" t="e">
        <f ca="1"/>
        <v>#NAME?</v>
      </c>
      <c r="BM72" s="2" t="e">
        <f t="shared" ca="1" si="78"/>
        <v>#NAME?</v>
      </c>
      <c r="BN72" s="2" t="e">
        <f ca="1"/>
        <v>#NAME?</v>
      </c>
      <c r="BO72" s="2" t="e">
        <f t="shared" ca="1" si="79"/>
        <v>#NAME?</v>
      </c>
      <c r="BP72" s="2" t="e">
        <f ca="1"/>
        <v>#NAME?</v>
      </c>
      <c r="BQ72" s="2" t="e">
        <f t="shared" ca="1" si="80"/>
        <v>#NAME?</v>
      </c>
      <c r="BR72" s="2" t="e">
        <f ca="1"/>
        <v>#NAME?</v>
      </c>
      <c r="BS72" s="2" t="e">
        <f t="shared" ca="1" si="81"/>
        <v>#NAME?</v>
      </c>
      <c r="BT72" s="2" t="e">
        <f ca="1"/>
        <v>#NAME?</v>
      </c>
      <c r="BU72" s="2" t="e">
        <f t="shared" ca="1" si="82"/>
        <v>#NAME?</v>
      </c>
      <c r="BV72" s="2" t="e">
        <f ca="1"/>
        <v>#NAME?</v>
      </c>
      <c r="BW72" s="2" t="e">
        <f t="shared" ca="1" si="83"/>
        <v>#NAME?</v>
      </c>
      <c r="BX72" s="2" t="e">
        <f ca="1"/>
        <v>#NAME?</v>
      </c>
      <c r="BY72" s="2" t="e">
        <f t="shared" ca="1" si="84"/>
        <v>#NAME?</v>
      </c>
      <c r="BZ72" s="2" t="e">
        <f ca="1"/>
        <v>#NAME?</v>
      </c>
      <c r="CA72" s="2" t="e">
        <f t="shared" ca="1" si="85"/>
        <v>#NAME?</v>
      </c>
      <c r="CB72" s="2" t="e">
        <f ca="1"/>
        <v>#NAME?</v>
      </c>
      <c r="CC72" s="2" t="e">
        <f t="shared" ca="1" si="86"/>
        <v>#NAME?</v>
      </c>
      <c r="CD72" s="2" t="e">
        <f ca="1"/>
        <v>#NAME?</v>
      </c>
      <c r="CE72" s="2" t="e">
        <f t="shared" ca="1" si="87"/>
        <v>#NAME?</v>
      </c>
      <c r="CF72" s="2" t="e">
        <f ca="1"/>
        <v>#NAME?</v>
      </c>
      <c r="CG72" s="2" t="e">
        <f t="shared" ca="1" si="88"/>
        <v>#NAME?</v>
      </c>
      <c r="CH72" s="2" t="e">
        <f ca="1"/>
        <v>#NAME?</v>
      </c>
      <c r="CI72" s="2" t="e">
        <f t="shared" ca="1" si="89"/>
        <v>#NAME?</v>
      </c>
      <c r="CJ72" s="2" t="e">
        <f ca="1"/>
        <v>#NAME?</v>
      </c>
      <c r="CK72" s="2" t="e">
        <f t="shared" ca="1" si="90"/>
        <v>#NAME?</v>
      </c>
      <c r="CL72" s="2" t="e">
        <f ca="1"/>
        <v>#NAME?</v>
      </c>
      <c r="CM72" s="2" t="e">
        <f t="shared" ca="1" si="91"/>
        <v>#NAME?</v>
      </c>
      <c r="CN72" s="2" t="e">
        <f ca="1"/>
        <v>#NAME?</v>
      </c>
      <c r="CO72" s="2" t="e">
        <f t="shared" ca="1" si="92"/>
        <v>#NAME?</v>
      </c>
      <c r="CP72" s="2" t="e">
        <f ca="1"/>
        <v>#NAME?</v>
      </c>
      <c r="CQ72" s="2" t="e">
        <f t="shared" ca="1" si="93"/>
        <v>#NAME?</v>
      </c>
    </row>
    <row r="73" spans="1:95">
      <c r="A73" s="7" t="e">
        <f ca="1"/>
        <v>#NAME?</v>
      </c>
      <c r="B73" s="2" t="e">
        <f ca="1"/>
        <v>#NAME?</v>
      </c>
      <c r="C73" s="2" t="e">
        <f t="shared" ca="1" si="47"/>
        <v>#NAME?</v>
      </c>
      <c r="D73" s="2" t="e">
        <f ca="1"/>
        <v>#NAME?</v>
      </c>
      <c r="E73" s="2" t="e">
        <f t="shared" ca="1" si="48"/>
        <v>#NAME?</v>
      </c>
      <c r="F73" s="2" t="e">
        <f ca="1"/>
        <v>#NAME?</v>
      </c>
      <c r="G73" s="2" t="e">
        <f t="shared" ca="1" si="49"/>
        <v>#NAME?</v>
      </c>
      <c r="H73" s="2" t="e">
        <f ca="1"/>
        <v>#NAME?</v>
      </c>
      <c r="I73" s="2" t="e">
        <f t="shared" ca="1" si="50"/>
        <v>#NAME?</v>
      </c>
      <c r="J73" s="2" t="e">
        <f ca="1"/>
        <v>#NAME?</v>
      </c>
      <c r="K73" s="2" t="e">
        <f t="shared" ca="1" si="51"/>
        <v>#NAME?</v>
      </c>
      <c r="L73" s="2" t="e">
        <f ca="1"/>
        <v>#NAME?</v>
      </c>
      <c r="M73" s="2" t="e">
        <f t="shared" ca="1" si="52"/>
        <v>#NAME?</v>
      </c>
      <c r="N73" s="2" t="e">
        <f ca="1"/>
        <v>#NAME?</v>
      </c>
      <c r="O73" s="2" t="e">
        <f t="shared" ca="1" si="53"/>
        <v>#NAME?</v>
      </c>
      <c r="P73" s="2" t="e">
        <f ca="1"/>
        <v>#NAME?</v>
      </c>
      <c r="Q73" s="2" t="e">
        <f t="shared" ca="1" si="54"/>
        <v>#NAME?</v>
      </c>
      <c r="R73" s="2" t="e">
        <f ca="1"/>
        <v>#NAME?</v>
      </c>
      <c r="S73" s="2" t="e">
        <f t="shared" ca="1" si="55"/>
        <v>#NAME?</v>
      </c>
      <c r="T73" s="2" t="e">
        <f ca="1"/>
        <v>#NAME?</v>
      </c>
      <c r="U73" s="2" t="e">
        <f t="shared" ca="1" si="56"/>
        <v>#NAME?</v>
      </c>
      <c r="V73" s="2" t="e">
        <f ca="1"/>
        <v>#NAME?</v>
      </c>
      <c r="W73" s="2" t="e">
        <f t="shared" ca="1" si="57"/>
        <v>#NAME?</v>
      </c>
      <c r="X73" s="2" t="e">
        <f ca="1"/>
        <v>#NAME?</v>
      </c>
      <c r="Y73" s="2" t="e">
        <f t="shared" ca="1" si="58"/>
        <v>#NAME?</v>
      </c>
      <c r="Z73" s="2" t="e">
        <f ca="1"/>
        <v>#NAME?</v>
      </c>
      <c r="AA73" s="2" t="e">
        <f t="shared" ca="1" si="59"/>
        <v>#NAME?</v>
      </c>
      <c r="AB73" s="2" t="e">
        <f ca="1"/>
        <v>#NAME?</v>
      </c>
      <c r="AC73" s="2" t="e">
        <f t="shared" ca="1" si="60"/>
        <v>#NAME?</v>
      </c>
      <c r="AD73" s="2" t="e">
        <f ca="1"/>
        <v>#NAME?</v>
      </c>
      <c r="AE73" s="2" t="e">
        <f t="shared" ca="1" si="61"/>
        <v>#NAME?</v>
      </c>
      <c r="AF73" s="2" t="e">
        <f ca="1"/>
        <v>#NAME?</v>
      </c>
      <c r="AG73" s="2" t="e">
        <f t="shared" ca="1" si="62"/>
        <v>#NAME?</v>
      </c>
      <c r="AH73" s="2" t="e">
        <f ca="1"/>
        <v>#NAME?</v>
      </c>
      <c r="AI73" s="2" t="e">
        <f t="shared" ca="1" si="63"/>
        <v>#NAME?</v>
      </c>
      <c r="AJ73" s="2" t="e">
        <f ca="1"/>
        <v>#NAME?</v>
      </c>
      <c r="AK73" s="2" t="e">
        <f t="shared" ca="1" si="64"/>
        <v>#NAME?</v>
      </c>
      <c r="AL73" s="2" t="e">
        <f ca="1"/>
        <v>#NAME?</v>
      </c>
      <c r="AM73" s="2" t="e">
        <f t="shared" ca="1" si="65"/>
        <v>#NAME?</v>
      </c>
      <c r="AN73" s="2" t="e">
        <f ca="1"/>
        <v>#NAME?</v>
      </c>
      <c r="AO73" s="2" t="e">
        <f t="shared" ca="1" si="66"/>
        <v>#NAME?</v>
      </c>
      <c r="AP73" s="2" t="e">
        <f ca="1"/>
        <v>#NAME?</v>
      </c>
      <c r="AQ73" s="2" t="e">
        <f t="shared" ca="1" si="67"/>
        <v>#NAME?</v>
      </c>
      <c r="AR73" s="2" t="e">
        <f ca="1"/>
        <v>#NAME?</v>
      </c>
      <c r="AS73" s="2" t="e">
        <f t="shared" ca="1" si="68"/>
        <v>#NAME?</v>
      </c>
      <c r="AT73" s="2" t="e">
        <f ca="1"/>
        <v>#NAME?</v>
      </c>
      <c r="AU73" s="2" t="e">
        <f t="shared" ca="1" si="69"/>
        <v>#NAME?</v>
      </c>
      <c r="AV73" s="2" t="e">
        <f ca="1"/>
        <v>#NAME?</v>
      </c>
      <c r="AW73" s="2" t="e">
        <f t="shared" ca="1" si="70"/>
        <v>#NAME?</v>
      </c>
      <c r="AX73" s="2" t="e">
        <f ca="1"/>
        <v>#NAME?</v>
      </c>
      <c r="AY73" s="2" t="e">
        <f t="shared" ca="1" si="71"/>
        <v>#NAME?</v>
      </c>
      <c r="AZ73" s="2" t="e">
        <f ca="1"/>
        <v>#NAME?</v>
      </c>
      <c r="BA73" s="2" t="e">
        <f t="shared" ca="1" si="72"/>
        <v>#NAME?</v>
      </c>
      <c r="BB73" s="2" t="e">
        <f ca="1"/>
        <v>#NAME?</v>
      </c>
      <c r="BC73" s="2" t="e">
        <f t="shared" ca="1" si="73"/>
        <v>#NAME?</v>
      </c>
      <c r="BD73" s="2" t="e">
        <f ca="1"/>
        <v>#NAME?</v>
      </c>
      <c r="BE73" s="2" t="e">
        <f t="shared" ca="1" si="74"/>
        <v>#NAME?</v>
      </c>
      <c r="BF73" s="2" t="e">
        <f ca="1"/>
        <v>#NAME?</v>
      </c>
      <c r="BG73" s="2" t="e">
        <f t="shared" ca="1" si="75"/>
        <v>#NAME?</v>
      </c>
      <c r="BH73" s="2" t="e">
        <f ca="1"/>
        <v>#NAME?</v>
      </c>
      <c r="BI73" s="2" t="e">
        <f t="shared" ca="1" si="76"/>
        <v>#NAME?</v>
      </c>
      <c r="BJ73" s="2" t="e">
        <f ca="1"/>
        <v>#NAME?</v>
      </c>
      <c r="BK73" s="2" t="e">
        <f t="shared" ca="1" si="77"/>
        <v>#NAME?</v>
      </c>
      <c r="BL73" s="2" t="e">
        <f ca="1"/>
        <v>#NAME?</v>
      </c>
      <c r="BM73" s="2" t="e">
        <f t="shared" ca="1" si="78"/>
        <v>#NAME?</v>
      </c>
      <c r="BN73" s="2" t="e">
        <f ca="1"/>
        <v>#NAME?</v>
      </c>
      <c r="BO73" s="2" t="e">
        <f t="shared" ca="1" si="79"/>
        <v>#NAME?</v>
      </c>
      <c r="BP73" s="2" t="e">
        <f ca="1"/>
        <v>#NAME?</v>
      </c>
      <c r="BQ73" s="2" t="e">
        <f t="shared" ca="1" si="80"/>
        <v>#NAME?</v>
      </c>
      <c r="BR73" s="2" t="e">
        <f ca="1"/>
        <v>#NAME?</v>
      </c>
      <c r="BS73" s="2" t="e">
        <f t="shared" ca="1" si="81"/>
        <v>#NAME?</v>
      </c>
      <c r="BT73" s="2" t="e">
        <f ca="1"/>
        <v>#NAME?</v>
      </c>
      <c r="BU73" s="2" t="e">
        <f t="shared" ca="1" si="82"/>
        <v>#NAME?</v>
      </c>
      <c r="BV73" s="2" t="e">
        <f ca="1"/>
        <v>#NAME?</v>
      </c>
      <c r="BW73" s="2" t="e">
        <f t="shared" ca="1" si="83"/>
        <v>#NAME?</v>
      </c>
      <c r="BX73" s="2" t="e">
        <f ca="1"/>
        <v>#NAME?</v>
      </c>
      <c r="BY73" s="2" t="e">
        <f t="shared" ca="1" si="84"/>
        <v>#NAME?</v>
      </c>
      <c r="BZ73" s="2" t="e">
        <f ca="1"/>
        <v>#NAME?</v>
      </c>
      <c r="CA73" s="2" t="e">
        <f t="shared" ca="1" si="85"/>
        <v>#NAME?</v>
      </c>
      <c r="CB73" s="2" t="e">
        <f ca="1"/>
        <v>#NAME?</v>
      </c>
      <c r="CC73" s="2" t="e">
        <f t="shared" ca="1" si="86"/>
        <v>#NAME?</v>
      </c>
      <c r="CD73" s="2" t="e">
        <f ca="1"/>
        <v>#NAME?</v>
      </c>
      <c r="CE73" s="2" t="e">
        <f t="shared" ca="1" si="87"/>
        <v>#NAME?</v>
      </c>
      <c r="CF73" s="2" t="e">
        <f ca="1"/>
        <v>#NAME?</v>
      </c>
      <c r="CG73" s="2" t="e">
        <f t="shared" ca="1" si="88"/>
        <v>#NAME?</v>
      </c>
      <c r="CH73" s="2" t="e">
        <f ca="1"/>
        <v>#NAME?</v>
      </c>
      <c r="CI73" s="2" t="e">
        <f t="shared" ca="1" si="89"/>
        <v>#NAME?</v>
      </c>
      <c r="CJ73" s="2" t="e">
        <f ca="1"/>
        <v>#NAME?</v>
      </c>
      <c r="CK73" s="2" t="e">
        <f t="shared" ca="1" si="90"/>
        <v>#NAME?</v>
      </c>
      <c r="CL73" s="2" t="e">
        <f ca="1"/>
        <v>#NAME?</v>
      </c>
      <c r="CM73" s="2" t="e">
        <f t="shared" ca="1" si="91"/>
        <v>#NAME?</v>
      </c>
      <c r="CN73" s="2" t="e">
        <f ca="1"/>
        <v>#NAME?</v>
      </c>
      <c r="CO73" s="2" t="e">
        <f t="shared" ca="1" si="92"/>
        <v>#NAME?</v>
      </c>
      <c r="CP73" s="2" t="e">
        <f ca="1"/>
        <v>#NAME?</v>
      </c>
      <c r="CQ73" s="2" t="e">
        <f t="shared" ca="1" si="93"/>
        <v>#NAME?</v>
      </c>
    </row>
    <row r="74" spans="1:95">
      <c r="A74" s="7" t="e">
        <f ca="1"/>
        <v>#NAME?</v>
      </c>
      <c r="B74" s="2" t="e">
        <f ca="1"/>
        <v>#NAME?</v>
      </c>
      <c r="C74" s="2" t="e">
        <f t="shared" ca="1" si="47"/>
        <v>#NAME?</v>
      </c>
      <c r="D74" s="2" t="e">
        <f ca="1"/>
        <v>#NAME?</v>
      </c>
      <c r="E74" s="2" t="e">
        <f t="shared" ca="1" si="48"/>
        <v>#NAME?</v>
      </c>
      <c r="F74" s="2" t="e">
        <f ca="1"/>
        <v>#NAME?</v>
      </c>
      <c r="G74" s="2" t="e">
        <f t="shared" ca="1" si="49"/>
        <v>#NAME?</v>
      </c>
      <c r="H74" s="2" t="e">
        <f ca="1"/>
        <v>#NAME?</v>
      </c>
      <c r="I74" s="2" t="e">
        <f t="shared" ca="1" si="50"/>
        <v>#NAME?</v>
      </c>
      <c r="J74" s="2" t="e">
        <f ca="1"/>
        <v>#NAME?</v>
      </c>
      <c r="K74" s="2" t="e">
        <f t="shared" ca="1" si="51"/>
        <v>#NAME?</v>
      </c>
      <c r="L74" s="2" t="e">
        <f ca="1"/>
        <v>#NAME?</v>
      </c>
      <c r="M74" s="2" t="e">
        <f t="shared" ca="1" si="52"/>
        <v>#NAME?</v>
      </c>
      <c r="N74" s="2" t="e">
        <f ca="1"/>
        <v>#NAME?</v>
      </c>
      <c r="O74" s="2" t="e">
        <f t="shared" ca="1" si="53"/>
        <v>#NAME?</v>
      </c>
      <c r="P74" s="2" t="e">
        <f ca="1"/>
        <v>#NAME?</v>
      </c>
      <c r="Q74" s="2" t="e">
        <f t="shared" ca="1" si="54"/>
        <v>#NAME?</v>
      </c>
      <c r="R74" s="2" t="e">
        <f ca="1"/>
        <v>#NAME?</v>
      </c>
      <c r="S74" s="2" t="e">
        <f t="shared" ca="1" si="55"/>
        <v>#NAME?</v>
      </c>
      <c r="T74" s="2" t="e">
        <f ca="1"/>
        <v>#NAME?</v>
      </c>
      <c r="U74" s="2" t="e">
        <f t="shared" ca="1" si="56"/>
        <v>#NAME?</v>
      </c>
      <c r="V74" s="2" t="e">
        <f ca="1"/>
        <v>#NAME?</v>
      </c>
      <c r="W74" s="2" t="e">
        <f t="shared" ca="1" si="57"/>
        <v>#NAME?</v>
      </c>
      <c r="X74" s="2" t="e">
        <f ca="1"/>
        <v>#NAME?</v>
      </c>
      <c r="Y74" s="2" t="e">
        <f t="shared" ca="1" si="58"/>
        <v>#NAME?</v>
      </c>
      <c r="Z74" s="2" t="e">
        <f ca="1"/>
        <v>#NAME?</v>
      </c>
      <c r="AA74" s="2" t="e">
        <f t="shared" ca="1" si="59"/>
        <v>#NAME?</v>
      </c>
      <c r="AB74" s="2" t="e">
        <f ca="1"/>
        <v>#NAME?</v>
      </c>
      <c r="AC74" s="2" t="e">
        <f t="shared" ca="1" si="60"/>
        <v>#NAME?</v>
      </c>
      <c r="AD74" s="2" t="e">
        <f ca="1"/>
        <v>#NAME?</v>
      </c>
      <c r="AE74" s="2" t="e">
        <f t="shared" ca="1" si="61"/>
        <v>#NAME?</v>
      </c>
      <c r="AF74" s="2" t="e">
        <f ca="1"/>
        <v>#NAME?</v>
      </c>
      <c r="AG74" s="2" t="e">
        <f t="shared" ca="1" si="62"/>
        <v>#NAME?</v>
      </c>
      <c r="AH74" s="2" t="e">
        <f ca="1"/>
        <v>#NAME?</v>
      </c>
      <c r="AI74" s="2" t="e">
        <f t="shared" ca="1" si="63"/>
        <v>#NAME?</v>
      </c>
      <c r="AJ74" s="2" t="e">
        <f ca="1"/>
        <v>#NAME?</v>
      </c>
      <c r="AK74" s="2" t="e">
        <f t="shared" ca="1" si="64"/>
        <v>#NAME?</v>
      </c>
      <c r="AL74" s="2" t="e">
        <f ca="1"/>
        <v>#NAME?</v>
      </c>
      <c r="AM74" s="2" t="e">
        <f t="shared" ca="1" si="65"/>
        <v>#NAME?</v>
      </c>
      <c r="AN74" s="2" t="e">
        <f ca="1"/>
        <v>#NAME?</v>
      </c>
      <c r="AO74" s="2" t="e">
        <f t="shared" ca="1" si="66"/>
        <v>#NAME?</v>
      </c>
      <c r="AP74" s="2" t="e">
        <f ca="1"/>
        <v>#NAME?</v>
      </c>
      <c r="AQ74" s="2" t="e">
        <f t="shared" ca="1" si="67"/>
        <v>#NAME?</v>
      </c>
      <c r="AR74" s="2" t="e">
        <f ca="1"/>
        <v>#NAME?</v>
      </c>
      <c r="AS74" s="2" t="e">
        <f t="shared" ca="1" si="68"/>
        <v>#NAME?</v>
      </c>
      <c r="AT74" s="2" t="e">
        <f ca="1"/>
        <v>#NAME?</v>
      </c>
      <c r="AU74" s="2" t="e">
        <f t="shared" ca="1" si="69"/>
        <v>#NAME?</v>
      </c>
      <c r="AV74" s="2" t="e">
        <f ca="1"/>
        <v>#NAME?</v>
      </c>
      <c r="AW74" s="2" t="e">
        <f t="shared" ca="1" si="70"/>
        <v>#NAME?</v>
      </c>
      <c r="AX74" s="2" t="e">
        <f ca="1"/>
        <v>#NAME?</v>
      </c>
      <c r="AY74" s="2" t="e">
        <f t="shared" ca="1" si="71"/>
        <v>#NAME?</v>
      </c>
      <c r="AZ74" s="2" t="e">
        <f ca="1"/>
        <v>#NAME?</v>
      </c>
      <c r="BA74" s="2" t="e">
        <f t="shared" ca="1" si="72"/>
        <v>#NAME?</v>
      </c>
      <c r="BB74" s="2" t="e">
        <f ca="1"/>
        <v>#NAME?</v>
      </c>
      <c r="BC74" s="2" t="e">
        <f t="shared" ca="1" si="73"/>
        <v>#NAME?</v>
      </c>
      <c r="BD74" s="2" t="e">
        <f ca="1"/>
        <v>#NAME?</v>
      </c>
      <c r="BE74" s="2" t="e">
        <f t="shared" ca="1" si="74"/>
        <v>#NAME?</v>
      </c>
      <c r="BF74" s="2" t="e">
        <f ca="1"/>
        <v>#NAME?</v>
      </c>
      <c r="BG74" s="2" t="e">
        <f t="shared" ca="1" si="75"/>
        <v>#NAME?</v>
      </c>
      <c r="BH74" s="2" t="e">
        <f ca="1"/>
        <v>#NAME?</v>
      </c>
      <c r="BI74" s="2" t="e">
        <f t="shared" ca="1" si="76"/>
        <v>#NAME?</v>
      </c>
      <c r="BJ74" s="2" t="e">
        <f ca="1"/>
        <v>#NAME?</v>
      </c>
      <c r="BK74" s="2" t="e">
        <f t="shared" ca="1" si="77"/>
        <v>#NAME?</v>
      </c>
      <c r="BL74" s="2" t="e">
        <f ca="1"/>
        <v>#NAME?</v>
      </c>
      <c r="BM74" s="2" t="e">
        <f t="shared" ca="1" si="78"/>
        <v>#NAME?</v>
      </c>
      <c r="BN74" s="2" t="e">
        <f ca="1"/>
        <v>#NAME?</v>
      </c>
      <c r="BO74" s="2" t="e">
        <f t="shared" ca="1" si="79"/>
        <v>#NAME?</v>
      </c>
      <c r="BP74" s="2" t="e">
        <f ca="1"/>
        <v>#NAME?</v>
      </c>
      <c r="BQ74" s="2" t="e">
        <f t="shared" ca="1" si="80"/>
        <v>#NAME?</v>
      </c>
      <c r="BR74" s="2" t="e">
        <f ca="1"/>
        <v>#NAME?</v>
      </c>
      <c r="BS74" s="2" t="e">
        <f t="shared" ca="1" si="81"/>
        <v>#NAME?</v>
      </c>
      <c r="BT74" s="2" t="e">
        <f ca="1"/>
        <v>#NAME?</v>
      </c>
      <c r="BU74" s="2" t="e">
        <f t="shared" ca="1" si="82"/>
        <v>#NAME?</v>
      </c>
      <c r="BV74" s="2" t="e">
        <f ca="1"/>
        <v>#NAME?</v>
      </c>
      <c r="BW74" s="2" t="e">
        <f t="shared" ca="1" si="83"/>
        <v>#NAME?</v>
      </c>
      <c r="BX74" s="2" t="e">
        <f ca="1"/>
        <v>#NAME?</v>
      </c>
      <c r="BY74" s="2" t="e">
        <f t="shared" ca="1" si="84"/>
        <v>#NAME?</v>
      </c>
      <c r="BZ74" s="2" t="e">
        <f ca="1"/>
        <v>#NAME?</v>
      </c>
      <c r="CA74" s="2" t="e">
        <f t="shared" ca="1" si="85"/>
        <v>#NAME?</v>
      </c>
      <c r="CB74" s="2" t="e">
        <f ca="1"/>
        <v>#NAME?</v>
      </c>
      <c r="CC74" s="2" t="e">
        <f t="shared" ca="1" si="86"/>
        <v>#NAME?</v>
      </c>
      <c r="CD74" s="2" t="e">
        <f ca="1"/>
        <v>#NAME?</v>
      </c>
      <c r="CE74" s="2" t="e">
        <f t="shared" ca="1" si="87"/>
        <v>#NAME?</v>
      </c>
      <c r="CF74" s="2" t="e">
        <f ca="1"/>
        <v>#NAME?</v>
      </c>
      <c r="CG74" s="2" t="e">
        <f t="shared" ca="1" si="88"/>
        <v>#NAME?</v>
      </c>
      <c r="CH74" s="2" t="e">
        <f ca="1"/>
        <v>#NAME?</v>
      </c>
      <c r="CI74" s="2" t="e">
        <f t="shared" ca="1" si="89"/>
        <v>#NAME?</v>
      </c>
      <c r="CJ74" s="2" t="e">
        <f ca="1"/>
        <v>#NAME?</v>
      </c>
      <c r="CK74" s="2" t="e">
        <f t="shared" ca="1" si="90"/>
        <v>#NAME?</v>
      </c>
      <c r="CL74" s="2" t="e">
        <f ca="1"/>
        <v>#NAME?</v>
      </c>
      <c r="CM74" s="2" t="e">
        <f t="shared" ca="1" si="91"/>
        <v>#NAME?</v>
      </c>
      <c r="CN74" s="2" t="e">
        <f ca="1"/>
        <v>#NAME?</v>
      </c>
      <c r="CO74" s="2" t="e">
        <f t="shared" ca="1" si="92"/>
        <v>#NAME?</v>
      </c>
      <c r="CP74" s="2" t="e">
        <f ca="1"/>
        <v>#NAME?</v>
      </c>
      <c r="CQ74" s="2" t="e">
        <f t="shared" ca="1" si="93"/>
        <v>#NAME?</v>
      </c>
    </row>
    <row r="75" spans="1:95">
      <c r="A75" s="7" t="e">
        <f ca="1"/>
        <v>#NAME?</v>
      </c>
      <c r="B75" s="2" t="e">
        <f ca="1"/>
        <v>#NAME?</v>
      </c>
      <c r="C75" s="2" t="e">
        <f t="shared" ca="1" si="47"/>
        <v>#NAME?</v>
      </c>
      <c r="D75" s="2" t="e">
        <f ca="1"/>
        <v>#NAME?</v>
      </c>
      <c r="E75" s="2" t="e">
        <f t="shared" ca="1" si="48"/>
        <v>#NAME?</v>
      </c>
      <c r="F75" s="2" t="e">
        <f ca="1"/>
        <v>#NAME?</v>
      </c>
      <c r="G75" s="2" t="e">
        <f t="shared" ca="1" si="49"/>
        <v>#NAME?</v>
      </c>
      <c r="H75" s="2" t="e">
        <f ca="1"/>
        <v>#NAME?</v>
      </c>
      <c r="I75" s="2" t="e">
        <f t="shared" ca="1" si="50"/>
        <v>#NAME?</v>
      </c>
      <c r="J75" s="2" t="e">
        <f ca="1"/>
        <v>#NAME?</v>
      </c>
      <c r="K75" s="2" t="e">
        <f t="shared" ca="1" si="51"/>
        <v>#NAME?</v>
      </c>
      <c r="L75" s="2" t="e">
        <f ca="1"/>
        <v>#NAME?</v>
      </c>
      <c r="M75" s="2" t="e">
        <f t="shared" ca="1" si="52"/>
        <v>#NAME?</v>
      </c>
      <c r="N75" s="2" t="e">
        <f ca="1"/>
        <v>#NAME?</v>
      </c>
      <c r="O75" s="2" t="e">
        <f t="shared" ca="1" si="53"/>
        <v>#NAME?</v>
      </c>
      <c r="P75" s="2" t="e">
        <f ca="1"/>
        <v>#NAME?</v>
      </c>
      <c r="Q75" s="2" t="e">
        <f t="shared" ca="1" si="54"/>
        <v>#NAME?</v>
      </c>
      <c r="R75" s="2" t="e">
        <f ca="1"/>
        <v>#NAME?</v>
      </c>
      <c r="S75" s="2" t="e">
        <f t="shared" ca="1" si="55"/>
        <v>#NAME?</v>
      </c>
      <c r="T75" s="2" t="e">
        <f ca="1"/>
        <v>#NAME?</v>
      </c>
      <c r="U75" s="2" t="e">
        <f t="shared" ca="1" si="56"/>
        <v>#NAME?</v>
      </c>
      <c r="V75" s="2" t="e">
        <f ca="1"/>
        <v>#NAME?</v>
      </c>
      <c r="W75" s="2" t="e">
        <f t="shared" ca="1" si="57"/>
        <v>#NAME?</v>
      </c>
      <c r="X75" s="2" t="e">
        <f ca="1"/>
        <v>#NAME?</v>
      </c>
      <c r="Y75" s="2" t="e">
        <f t="shared" ca="1" si="58"/>
        <v>#NAME?</v>
      </c>
      <c r="Z75" s="2" t="e">
        <f ca="1"/>
        <v>#NAME?</v>
      </c>
      <c r="AA75" s="2" t="e">
        <f t="shared" ca="1" si="59"/>
        <v>#NAME?</v>
      </c>
      <c r="AB75" s="2" t="e">
        <f ca="1"/>
        <v>#NAME?</v>
      </c>
      <c r="AC75" s="2" t="e">
        <f t="shared" ca="1" si="60"/>
        <v>#NAME?</v>
      </c>
      <c r="AD75" s="2" t="e">
        <f ca="1"/>
        <v>#NAME?</v>
      </c>
      <c r="AE75" s="2" t="e">
        <f t="shared" ca="1" si="61"/>
        <v>#NAME?</v>
      </c>
      <c r="AF75" s="2" t="e">
        <f ca="1"/>
        <v>#NAME?</v>
      </c>
      <c r="AG75" s="2" t="e">
        <f t="shared" ca="1" si="62"/>
        <v>#NAME?</v>
      </c>
      <c r="AH75" s="2" t="e">
        <f ca="1"/>
        <v>#NAME?</v>
      </c>
      <c r="AI75" s="2" t="e">
        <f t="shared" ca="1" si="63"/>
        <v>#NAME?</v>
      </c>
      <c r="AJ75" s="2" t="e">
        <f ca="1"/>
        <v>#NAME?</v>
      </c>
      <c r="AK75" s="2" t="e">
        <f t="shared" ca="1" si="64"/>
        <v>#NAME?</v>
      </c>
      <c r="AL75" s="2" t="e">
        <f ca="1"/>
        <v>#NAME?</v>
      </c>
      <c r="AM75" s="2" t="e">
        <f t="shared" ca="1" si="65"/>
        <v>#NAME?</v>
      </c>
      <c r="AN75" s="2" t="e">
        <f ca="1"/>
        <v>#NAME?</v>
      </c>
      <c r="AO75" s="2" t="e">
        <f t="shared" ca="1" si="66"/>
        <v>#NAME?</v>
      </c>
      <c r="AP75" s="2" t="e">
        <f ca="1"/>
        <v>#NAME?</v>
      </c>
      <c r="AQ75" s="2" t="e">
        <f t="shared" ca="1" si="67"/>
        <v>#NAME?</v>
      </c>
      <c r="AR75" s="2" t="e">
        <f ca="1"/>
        <v>#NAME?</v>
      </c>
      <c r="AS75" s="2" t="e">
        <f t="shared" ca="1" si="68"/>
        <v>#NAME?</v>
      </c>
      <c r="AT75" s="2" t="e">
        <f ca="1"/>
        <v>#NAME?</v>
      </c>
      <c r="AU75" s="2" t="e">
        <f t="shared" ca="1" si="69"/>
        <v>#NAME?</v>
      </c>
      <c r="AV75" s="2" t="e">
        <f ca="1"/>
        <v>#NAME?</v>
      </c>
      <c r="AW75" s="2" t="e">
        <f t="shared" ca="1" si="70"/>
        <v>#NAME?</v>
      </c>
      <c r="AX75" s="2" t="e">
        <f ca="1"/>
        <v>#NAME?</v>
      </c>
      <c r="AY75" s="2" t="e">
        <f t="shared" ca="1" si="71"/>
        <v>#NAME?</v>
      </c>
      <c r="AZ75" s="2" t="e">
        <f ca="1"/>
        <v>#NAME?</v>
      </c>
      <c r="BA75" s="2" t="e">
        <f t="shared" ca="1" si="72"/>
        <v>#NAME?</v>
      </c>
      <c r="BB75" s="2" t="e">
        <f ca="1"/>
        <v>#NAME?</v>
      </c>
      <c r="BC75" s="2" t="e">
        <f t="shared" ca="1" si="73"/>
        <v>#NAME?</v>
      </c>
      <c r="BD75" s="2" t="e">
        <f ca="1"/>
        <v>#NAME?</v>
      </c>
      <c r="BE75" s="2" t="e">
        <f t="shared" ca="1" si="74"/>
        <v>#NAME?</v>
      </c>
      <c r="BF75" s="2" t="e">
        <f ca="1"/>
        <v>#NAME?</v>
      </c>
      <c r="BG75" s="2" t="e">
        <f t="shared" ca="1" si="75"/>
        <v>#NAME?</v>
      </c>
      <c r="BH75" s="2" t="e">
        <f ca="1"/>
        <v>#NAME?</v>
      </c>
      <c r="BI75" s="2" t="e">
        <f t="shared" ca="1" si="76"/>
        <v>#NAME?</v>
      </c>
      <c r="BJ75" s="2" t="e">
        <f ca="1"/>
        <v>#NAME?</v>
      </c>
      <c r="BK75" s="2" t="e">
        <f t="shared" ca="1" si="77"/>
        <v>#NAME?</v>
      </c>
      <c r="BL75" s="2" t="e">
        <f ca="1"/>
        <v>#NAME?</v>
      </c>
      <c r="BM75" s="2" t="e">
        <f t="shared" ca="1" si="78"/>
        <v>#NAME?</v>
      </c>
      <c r="BN75" s="2" t="e">
        <f ca="1"/>
        <v>#NAME?</v>
      </c>
      <c r="BO75" s="2" t="e">
        <f t="shared" ca="1" si="79"/>
        <v>#NAME?</v>
      </c>
      <c r="BP75" s="2" t="e">
        <f ca="1"/>
        <v>#NAME?</v>
      </c>
      <c r="BQ75" s="2" t="e">
        <f t="shared" ca="1" si="80"/>
        <v>#NAME?</v>
      </c>
      <c r="BR75" s="2" t="e">
        <f ca="1"/>
        <v>#NAME?</v>
      </c>
      <c r="BS75" s="2" t="e">
        <f t="shared" ca="1" si="81"/>
        <v>#NAME?</v>
      </c>
      <c r="BT75" s="2" t="e">
        <f ca="1"/>
        <v>#NAME?</v>
      </c>
      <c r="BU75" s="2" t="e">
        <f t="shared" ca="1" si="82"/>
        <v>#NAME?</v>
      </c>
      <c r="BV75" s="2" t="e">
        <f ca="1"/>
        <v>#NAME?</v>
      </c>
      <c r="BW75" s="2" t="e">
        <f t="shared" ca="1" si="83"/>
        <v>#NAME?</v>
      </c>
      <c r="BX75" s="2" t="e">
        <f ca="1"/>
        <v>#NAME?</v>
      </c>
      <c r="BY75" s="2" t="e">
        <f t="shared" ca="1" si="84"/>
        <v>#NAME?</v>
      </c>
      <c r="BZ75" s="2" t="e">
        <f ca="1"/>
        <v>#NAME?</v>
      </c>
      <c r="CA75" s="2" t="e">
        <f t="shared" ca="1" si="85"/>
        <v>#NAME?</v>
      </c>
      <c r="CB75" s="2" t="e">
        <f ca="1"/>
        <v>#NAME?</v>
      </c>
      <c r="CC75" s="2" t="e">
        <f t="shared" ca="1" si="86"/>
        <v>#NAME?</v>
      </c>
      <c r="CD75" s="2" t="e">
        <f ca="1"/>
        <v>#NAME?</v>
      </c>
      <c r="CE75" s="2" t="e">
        <f t="shared" ca="1" si="87"/>
        <v>#NAME?</v>
      </c>
      <c r="CF75" s="2" t="e">
        <f ca="1"/>
        <v>#NAME?</v>
      </c>
      <c r="CG75" s="2" t="e">
        <f t="shared" ca="1" si="88"/>
        <v>#NAME?</v>
      </c>
      <c r="CH75" s="2" t="e">
        <f ca="1"/>
        <v>#NAME?</v>
      </c>
      <c r="CI75" s="2" t="e">
        <f t="shared" ca="1" si="89"/>
        <v>#NAME?</v>
      </c>
      <c r="CJ75" s="2" t="e">
        <f ca="1"/>
        <v>#NAME?</v>
      </c>
      <c r="CK75" s="2" t="e">
        <f t="shared" ca="1" si="90"/>
        <v>#NAME?</v>
      </c>
      <c r="CL75" s="2" t="e">
        <f ca="1"/>
        <v>#NAME?</v>
      </c>
      <c r="CM75" s="2" t="e">
        <f t="shared" ca="1" si="91"/>
        <v>#NAME?</v>
      </c>
      <c r="CN75" s="2" t="e">
        <f ca="1"/>
        <v>#NAME?</v>
      </c>
      <c r="CO75" s="2" t="e">
        <f t="shared" ca="1" si="92"/>
        <v>#NAME?</v>
      </c>
      <c r="CP75" s="2" t="e">
        <f ca="1"/>
        <v>#NAME?</v>
      </c>
      <c r="CQ75" s="2" t="e">
        <f t="shared" ca="1" si="93"/>
        <v>#NAME?</v>
      </c>
    </row>
    <row r="76" spans="1:95">
      <c r="A76" s="7" t="e">
        <f ca="1"/>
        <v>#NAME?</v>
      </c>
      <c r="B76" s="2" t="e">
        <f ca="1"/>
        <v>#NAME?</v>
      </c>
      <c r="C76" s="2" t="e">
        <f t="shared" ca="1" si="47"/>
        <v>#NAME?</v>
      </c>
      <c r="D76" s="2" t="e">
        <f ca="1"/>
        <v>#NAME?</v>
      </c>
      <c r="E76" s="2" t="e">
        <f t="shared" ca="1" si="48"/>
        <v>#NAME?</v>
      </c>
      <c r="F76" s="2" t="e">
        <f ca="1"/>
        <v>#NAME?</v>
      </c>
      <c r="G76" s="2" t="e">
        <f t="shared" ca="1" si="49"/>
        <v>#NAME?</v>
      </c>
      <c r="H76" s="2" t="e">
        <f ca="1"/>
        <v>#NAME?</v>
      </c>
      <c r="I76" s="2" t="e">
        <f t="shared" ca="1" si="50"/>
        <v>#NAME?</v>
      </c>
      <c r="J76" s="2" t="e">
        <f ca="1"/>
        <v>#NAME?</v>
      </c>
      <c r="K76" s="2" t="e">
        <f t="shared" ca="1" si="51"/>
        <v>#NAME?</v>
      </c>
      <c r="L76" s="2" t="e">
        <f ca="1"/>
        <v>#NAME?</v>
      </c>
      <c r="M76" s="2" t="e">
        <f t="shared" ca="1" si="52"/>
        <v>#NAME?</v>
      </c>
      <c r="N76" s="2" t="e">
        <f ca="1"/>
        <v>#NAME?</v>
      </c>
      <c r="O76" s="2" t="e">
        <f t="shared" ca="1" si="53"/>
        <v>#NAME?</v>
      </c>
      <c r="P76" s="2" t="e">
        <f ca="1"/>
        <v>#NAME?</v>
      </c>
      <c r="Q76" s="2" t="e">
        <f t="shared" ca="1" si="54"/>
        <v>#NAME?</v>
      </c>
      <c r="R76" s="2" t="e">
        <f ca="1"/>
        <v>#NAME?</v>
      </c>
      <c r="S76" s="2" t="e">
        <f t="shared" ca="1" si="55"/>
        <v>#NAME?</v>
      </c>
      <c r="T76" s="2" t="e">
        <f ca="1"/>
        <v>#NAME?</v>
      </c>
      <c r="U76" s="2" t="e">
        <f t="shared" ca="1" si="56"/>
        <v>#NAME?</v>
      </c>
      <c r="V76" s="2" t="e">
        <f ca="1"/>
        <v>#NAME?</v>
      </c>
      <c r="W76" s="2" t="e">
        <f t="shared" ca="1" si="57"/>
        <v>#NAME?</v>
      </c>
      <c r="X76" s="2" t="e">
        <f ca="1"/>
        <v>#NAME?</v>
      </c>
      <c r="Y76" s="2" t="e">
        <f t="shared" ca="1" si="58"/>
        <v>#NAME?</v>
      </c>
      <c r="Z76" s="2" t="e">
        <f ca="1"/>
        <v>#NAME?</v>
      </c>
      <c r="AA76" s="2" t="e">
        <f t="shared" ca="1" si="59"/>
        <v>#NAME?</v>
      </c>
      <c r="AB76" s="2" t="e">
        <f ca="1"/>
        <v>#NAME?</v>
      </c>
      <c r="AC76" s="2" t="e">
        <f t="shared" ca="1" si="60"/>
        <v>#NAME?</v>
      </c>
      <c r="AD76" s="2" t="e">
        <f ca="1"/>
        <v>#NAME?</v>
      </c>
      <c r="AE76" s="2" t="e">
        <f t="shared" ca="1" si="61"/>
        <v>#NAME?</v>
      </c>
      <c r="AF76" s="2" t="e">
        <f ca="1"/>
        <v>#NAME?</v>
      </c>
      <c r="AG76" s="2" t="e">
        <f t="shared" ca="1" si="62"/>
        <v>#NAME?</v>
      </c>
      <c r="AH76" s="2" t="e">
        <f ca="1"/>
        <v>#NAME?</v>
      </c>
      <c r="AI76" s="2" t="e">
        <f t="shared" ca="1" si="63"/>
        <v>#NAME?</v>
      </c>
      <c r="AJ76" s="2" t="e">
        <f ca="1"/>
        <v>#NAME?</v>
      </c>
      <c r="AK76" s="2" t="e">
        <f t="shared" ca="1" si="64"/>
        <v>#NAME?</v>
      </c>
      <c r="AL76" s="2" t="e">
        <f ca="1"/>
        <v>#NAME?</v>
      </c>
      <c r="AM76" s="2" t="e">
        <f t="shared" ca="1" si="65"/>
        <v>#NAME?</v>
      </c>
      <c r="AN76" s="2" t="e">
        <f ca="1"/>
        <v>#NAME?</v>
      </c>
      <c r="AO76" s="2" t="e">
        <f t="shared" ca="1" si="66"/>
        <v>#NAME?</v>
      </c>
      <c r="AP76" s="2" t="e">
        <f ca="1"/>
        <v>#NAME?</v>
      </c>
      <c r="AQ76" s="2" t="e">
        <f t="shared" ca="1" si="67"/>
        <v>#NAME?</v>
      </c>
      <c r="AR76" s="2" t="e">
        <f ca="1"/>
        <v>#NAME?</v>
      </c>
      <c r="AS76" s="2" t="e">
        <f t="shared" ca="1" si="68"/>
        <v>#NAME?</v>
      </c>
      <c r="AT76" s="2" t="e">
        <f ca="1"/>
        <v>#NAME?</v>
      </c>
      <c r="AU76" s="2" t="e">
        <f t="shared" ca="1" si="69"/>
        <v>#NAME?</v>
      </c>
      <c r="AV76" s="2" t="e">
        <f ca="1"/>
        <v>#NAME?</v>
      </c>
      <c r="AW76" s="2" t="e">
        <f t="shared" ca="1" si="70"/>
        <v>#NAME?</v>
      </c>
      <c r="AX76" s="2" t="e">
        <f ca="1"/>
        <v>#NAME?</v>
      </c>
      <c r="AY76" s="2" t="e">
        <f t="shared" ca="1" si="71"/>
        <v>#NAME?</v>
      </c>
      <c r="AZ76" s="2" t="e">
        <f ca="1"/>
        <v>#NAME?</v>
      </c>
      <c r="BA76" s="2" t="e">
        <f t="shared" ca="1" si="72"/>
        <v>#NAME?</v>
      </c>
      <c r="BB76" s="2" t="e">
        <f ca="1"/>
        <v>#NAME?</v>
      </c>
      <c r="BC76" s="2" t="e">
        <f t="shared" ca="1" si="73"/>
        <v>#NAME?</v>
      </c>
      <c r="BD76" s="2" t="e">
        <f ca="1"/>
        <v>#NAME?</v>
      </c>
      <c r="BE76" s="2" t="e">
        <f t="shared" ca="1" si="74"/>
        <v>#NAME?</v>
      </c>
      <c r="BF76" s="2" t="e">
        <f ca="1"/>
        <v>#NAME?</v>
      </c>
      <c r="BG76" s="2" t="e">
        <f t="shared" ca="1" si="75"/>
        <v>#NAME?</v>
      </c>
      <c r="BH76" s="2" t="e">
        <f ca="1"/>
        <v>#NAME?</v>
      </c>
      <c r="BI76" s="2" t="e">
        <f t="shared" ca="1" si="76"/>
        <v>#NAME?</v>
      </c>
      <c r="BJ76" s="2" t="e">
        <f ca="1"/>
        <v>#NAME?</v>
      </c>
      <c r="BK76" s="2" t="e">
        <f t="shared" ca="1" si="77"/>
        <v>#NAME?</v>
      </c>
      <c r="BL76" s="2" t="e">
        <f ca="1"/>
        <v>#NAME?</v>
      </c>
      <c r="BM76" s="2" t="e">
        <f t="shared" ca="1" si="78"/>
        <v>#NAME?</v>
      </c>
      <c r="BN76" s="2" t="e">
        <f ca="1"/>
        <v>#NAME?</v>
      </c>
      <c r="BO76" s="2" t="e">
        <f t="shared" ca="1" si="79"/>
        <v>#NAME?</v>
      </c>
      <c r="BP76" s="2" t="e">
        <f ca="1"/>
        <v>#NAME?</v>
      </c>
      <c r="BQ76" s="2" t="e">
        <f t="shared" ca="1" si="80"/>
        <v>#NAME?</v>
      </c>
      <c r="BR76" s="2" t="e">
        <f ca="1"/>
        <v>#NAME?</v>
      </c>
      <c r="BS76" s="2" t="e">
        <f t="shared" ca="1" si="81"/>
        <v>#NAME?</v>
      </c>
      <c r="BT76" s="2" t="e">
        <f ca="1"/>
        <v>#NAME?</v>
      </c>
      <c r="BU76" s="2" t="e">
        <f t="shared" ca="1" si="82"/>
        <v>#NAME?</v>
      </c>
      <c r="BV76" s="2" t="e">
        <f ca="1"/>
        <v>#NAME?</v>
      </c>
      <c r="BW76" s="2" t="e">
        <f t="shared" ca="1" si="83"/>
        <v>#NAME?</v>
      </c>
      <c r="BX76" s="2" t="e">
        <f ca="1"/>
        <v>#NAME?</v>
      </c>
      <c r="BY76" s="2" t="e">
        <f t="shared" ca="1" si="84"/>
        <v>#NAME?</v>
      </c>
      <c r="BZ76" s="2" t="e">
        <f ca="1"/>
        <v>#NAME?</v>
      </c>
      <c r="CA76" s="2" t="e">
        <f t="shared" ca="1" si="85"/>
        <v>#NAME?</v>
      </c>
      <c r="CB76" s="2" t="e">
        <f ca="1"/>
        <v>#NAME?</v>
      </c>
      <c r="CC76" s="2" t="e">
        <f t="shared" ca="1" si="86"/>
        <v>#NAME?</v>
      </c>
      <c r="CD76" s="2" t="e">
        <f ca="1"/>
        <v>#NAME?</v>
      </c>
      <c r="CE76" s="2" t="e">
        <f t="shared" ca="1" si="87"/>
        <v>#NAME?</v>
      </c>
      <c r="CF76" s="2" t="e">
        <f ca="1"/>
        <v>#NAME?</v>
      </c>
      <c r="CG76" s="2" t="e">
        <f t="shared" ca="1" si="88"/>
        <v>#NAME?</v>
      </c>
      <c r="CH76" s="2" t="e">
        <f ca="1"/>
        <v>#NAME?</v>
      </c>
      <c r="CI76" s="2" t="e">
        <f t="shared" ca="1" si="89"/>
        <v>#NAME?</v>
      </c>
      <c r="CJ76" s="2" t="e">
        <f ca="1"/>
        <v>#NAME?</v>
      </c>
      <c r="CK76" s="2" t="e">
        <f t="shared" ca="1" si="90"/>
        <v>#NAME?</v>
      </c>
      <c r="CL76" s="2" t="e">
        <f ca="1"/>
        <v>#NAME?</v>
      </c>
      <c r="CM76" s="2" t="e">
        <f t="shared" ca="1" si="91"/>
        <v>#NAME?</v>
      </c>
      <c r="CN76" s="2" t="e">
        <f ca="1"/>
        <v>#NAME?</v>
      </c>
      <c r="CO76" s="2" t="e">
        <f t="shared" ca="1" si="92"/>
        <v>#NAME?</v>
      </c>
      <c r="CP76" s="2" t="e">
        <f ca="1"/>
        <v>#NAME?</v>
      </c>
      <c r="CQ76" s="2" t="e">
        <f t="shared" ca="1" si="93"/>
        <v>#NAME?</v>
      </c>
    </row>
    <row r="77" spans="1:95">
      <c r="A77" s="7" t="e">
        <f ca="1"/>
        <v>#NAME?</v>
      </c>
      <c r="B77" s="2" t="e">
        <f ca="1"/>
        <v>#NAME?</v>
      </c>
      <c r="C77" s="2" t="e">
        <f t="shared" ca="1" si="47"/>
        <v>#NAME?</v>
      </c>
      <c r="D77" s="2" t="e">
        <f ca="1"/>
        <v>#NAME?</v>
      </c>
      <c r="E77" s="2" t="e">
        <f t="shared" ca="1" si="48"/>
        <v>#NAME?</v>
      </c>
      <c r="F77" s="2" t="e">
        <f ca="1"/>
        <v>#NAME?</v>
      </c>
      <c r="G77" s="2" t="e">
        <f t="shared" ca="1" si="49"/>
        <v>#NAME?</v>
      </c>
      <c r="H77" s="2" t="e">
        <f ca="1"/>
        <v>#NAME?</v>
      </c>
      <c r="I77" s="2" t="e">
        <f t="shared" ca="1" si="50"/>
        <v>#NAME?</v>
      </c>
      <c r="J77" s="2" t="e">
        <f ca="1"/>
        <v>#NAME?</v>
      </c>
      <c r="K77" s="2" t="e">
        <f t="shared" ca="1" si="51"/>
        <v>#NAME?</v>
      </c>
      <c r="L77" s="2" t="e">
        <f ca="1"/>
        <v>#NAME?</v>
      </c>
      <c r="M77" s="2" t="e">
        <f t="shared" ca="1" si="52"/>
        <v>#NAME?</v>
      </c>
      <c r="N77" s="2" t="e">
        <f ca="1"/>
        <v>#NAME?</v>
      </c>
      <c r="O77" s="2" t="e">
        <f t="shared" ca="1" si="53"/>
        <v>#NAME?</v>
      </c>
      <c r="P77" s="2" t="e">
        <f ca="1"/>
        <v>#NAME?</v>
      </c>
      <c r="Q77" s="2" t="e">
        <f t="shared" ca="1" si="54"/>
        <v>#NAME?</v>
      </c>
      <c r="R77" s="2" t="e">
        <f ca="1"/>
        <v>#NAME?</v>
      </c>
      <c r="S77" s="2" t="e">
        <f t="shared" ca="1" si="55"/>
        <v>#NAME?</v>
      </c>
      <c r="T77" s="2" t="e">
        <f ca="1"/>
        <v>#NAME?</v>
      </c>
      <c r="U77" s="2" t="e">
        <f t="shared" ca="1" si="56"/>
        <v>#NAME?</v>
      </c>
      <c r="V77" s="2" t="e">
        <f ca="1"/>
        <v>#NAME?</v>
      </c>
      <c r="W77" s="2" t="e">
        <f t="shared" ca="1" si="57"/>
        <v>#NAME?</v>
      </c>
      <c r="X77" s="2" t="e">
        <f ca="1"/>
        <v>#NAME?</v>
      </c>
      <c r="Y77" s="2" t="e">
        <f t="shared" ca="1" si="58"/>
        <v>#NAME?</v>
      </c>
      <c r="Z77" s="2" t="e">
        <f ca="1"/>
        <v>#NAME?</v>
      </c>
      <c r="AA77" s="2" t="e">
        <f t="shared" ca="1" si="59"/>
        <v>#NAME?</v>
      </c>
      <c r="AB77" s="2" t="e">
        <f ca="1"/>
        <v>#NAME?</v>
      </c>
      <c r="AC77" s="2" t="e">
        <f t="shared" ca="1" si="60"/>
        <v>#NAME?</v>
      </c>
      <c r="AD77" s="2" t="e">
        <f ca="1"/>
        <v>#NAME?</v>
      </c>
      <c r="AE77" s="2" t="e">
        <f t="shared" ca="1" si="61"/>
        <v>#NAME?</v>
      </c>
      <c r="AF77" s="2" t="e">
        <f ca="1"/>
        <v>#NAME?</v>
      </c>
      <c r="AG77" s="2" t="e">
        <f t="shared" ca="1" si="62"/>
        <v>#NAME?</v>
      </c>
      <c r="AH77" s="2" t="e">
        <f ca="1"/>
        <v>#NAME?</v>
      </c>
      <c r="AI77" s="2" t="e">
        <f t="shared" ca="1" si="63"/>
        <v>#NAME?</v>
      </c>
      <c r="AJ77" s="2" t="e">
        <f ca="1"/>
        <v>#NAME?</v>
      </c>
      <c r="AK77" s="2" t="e">
        <f t="shared" ca="1" si="64"/>
        <v>#NAME?</v>
      </c>
      <c r="AL77" s="2" t="e">
        <f ca="1"/>
        <v>#NAME?</v>
      </c>
      <c r="AM77" s="2" t="e">
        <f t="shared" ca="1" si="65"/>
        <v>#NAME?</v>
      </c>
      <c r="AN77" s="2" t="e">
        <f ca="1"/>
        <v>#NAME?</v>
      </c>
      <c r="AO77" s="2" t="e">
        <f t="shared" ca="1" si="66"/>
        <v>#NAME?</v>
      </c>
      <c r="AP77" s="2" t="e">
        <f ca="1"/>
        <v>#NAME?</v>
      </c>
      <c r="AQ77" s="2" t="e">
        <f t="shared" ca="1" si="67"/>
        <v>#NAME?</v>
      </c>
      <c r="AR77" s="2" t="e">
        <f ca="1"/>
        <v>#NAME?</v>
      </c>
      <c r="AS77" s="2" t="e">
        <f t="shared" ca="1" si="68"/>
        <v>#NAME?</v>
      </c>
      <c r="AT77" s="2" t="e">
        <f ca="1"/>
        <v>#NAME?</v>
      </c>
      <c r="AU77" s="2" t="e">
        <f t="shared" ca="1" si="69"/>
        <v>#NAME?</v>
      </c>
      <c r="AV77" s="2" t="e">
        <f ca="1"/>
        <v>#NAME?</v>
      </c>
      <c r="AW77" s="2" t="e">
        <f t="shared" ca="1" si="70"/>
        <v>#NAME?</v>
      </c>
      <c r="AX77" s="2" t="e">
        <f ca="1"/>
        <v>#NAME?</v>
      </c>
      <c r="AY77" s="2" t="e">
        <f t="shared" ca="1" si="71"/>
        <v>#NAME?</v>
      </c>
      <c r="AZ77" s="2" t="e">
        <f ca="1"/>
        <v>#NAME?</v>
      </c>
      <c r="BA77" s="2" t="e">
        <f t="shared" ca="1" si="72"/>
        <v>#NAME?</v>
      </c>
      <c r="BB77" s="2" t="e">
        <f ca="1"/>
        <v>#NAME?</v>
      </c>
      <c r="BC77" s="2" t="e">
        <f t="shared" ca="1" si="73"/>
        <v>#NAME?</v>
      </c>
      <c r="BD77" s="2" t="e">
        <f ca="1"/>
        <v>#NAME?</v>
      </c>
      <c r="BE77" s="2" t="e">
        <f t="shared" ca="1" si="74"/>
        <v>#NAME?</v>
      </c>
      <c r="BF77" s="2" t="e">
        <f ca="1"/>
        <v>#NAME?</v>
      </c>
      <c r="BG77" s="2" t="e">
        <f t="shared" ca="1" si="75"/>
        <v>#NAME?</v>
      </c>
      <c r="BH77" s="2" t="e">
        <f ca="1"/>
        <v>#NAME?</v>
      </c>
      <c r="BI77" s="2" t="e">
        <f t="shared" ca="1" si="76"/>
        <v>#NAME?</v>
      </c>
      <c r="BJ77" s="2" t="e">
        <f ca="1"/>
        <v>#NAME?</v>
      </c>
      <c r="BK77" s="2" t="e">
        <f t="shared" ca="1" si="77"/>
        <v>#NAME?</v>
      </c>
      <c r="BL77" s="2" t="e">
        <f ca="1"/>
        <v>#NAME?</v>
      </c>
      <c r="BM77" s="2" t="e">
        <f t="shared" ca="1" si="78"/>
        <v>#NAME?</v>
      </c>
      <c r="BN77" s="2" t="e">
        <f ca="1"/>
        <v>#NAME?</v>
      </c>
      <c r="BO77" s="2" t="e">
        <f t="shared" ca="1" si="79"/>
        <v>#NAME?</v>
      </c>
      <c r="BP77" s="2" t="e">
        <f ca="1"/>
        <v>#NAME?</v>
      </c>
      <c r="BQ77" s="2" t="e">
        <f t="shared" ca="1" si="80"/>
        <v>#NAME?</v>
      </c>
      <c r="BR77" s="2" t="e">
        <f ca="1"/>
        <v>#NAME?</v>
      </c>
      <c r="BS77" s="2" t="e">
        <f t="shared" ca="1" si="81"/>
        <v>#NAME?</v>
      </c>
      <c r="BT77" s="2" t="e">
        <f ca="1"/>
        <v>#NAME?</v>
      </c>
      <c r="BU77" s="2" t="e">
        <f t="shared" ca="1" si="82"/>
        <v>#NAME?</v>
      </c>
      <c r="BV77" s="2" t="e">
        <f ca="1"/>
        <v>#NAME?</v>
      </c>
      <c r="BW77" s="2" t="e">
        <f t="shared" ca="1" si="83"/>
        <v>#NAME?</v>
      </c>
      <c r="BX77" s="2" t="e">
        <f ca="1"/>
        <v>#NAME?</v>
      </c>
      <c r="BY77" s="2" t="e">
        <f t="shared" ca="1" si="84"/>
        <v>#NAME?</v>
      </c>
      <c r="BZ77" s="2" t="e">
        <f ca="1"/>
        <v>#NAME?</v>
      </c>
      <c r="CA77" s="2" t="e">
        <f t="shared" ca="1" si="85"/>
        <v>#NAME?</v>
      </c>
      <c r="CB77" s="2" t="e">
        <f ca="1"/>
        <v>#NAME?</v>
      </c>
      <c r="CC77" s="2" t="e">
        <f t="shared" ca="1" si="86"/>
        <v>#NAME?</v>
      </c>
      <c r="CD77" s="2" t="e">
        <f ca="1"/>
        <v>#NAME?</v>
      </c>
      <c r="CE77" s="2" t="e">
        <f t="shared" ca="1" si="87"/>
        <v>#NAME?</v>
      </c>
      <c r="CF77" s="2" t="e">
        <f ca="1"/>
        <v>#NAME?</v>
      </c>
      <c r="CG77" s="2" t="e">
        <f t="shared" ca="1" si="88"/>
        <v>#NAME?</v>
      </c>
      <c r="CH77" s="2" t="e">
        <f ca="1"/>
        <v>#NAME?</v>
      </c>
      <c r="CI77" s="2" t="e">
        <f t="shared" ca="1" si="89"/>
        <v>#NAME?</v>
      </c>
      <c r="CJ77" s="2" t="e">
        <f ca="1"/>
        <v>#NAME?</v>
      </c>
      <c r="CK77" s="2" t="e">
        <f t="shared" ca="1" si="90"/>
        <v>#NAME?</v>
      </c>
      <c r="CL77" s="2" t="e">
        <f ca="1"/>
        <v>#NAME?</v>
      </c>
      <c r="CM77" s="2" t="e">
        <f t="shared" ca="1" si="91"/>
        <v>#NAME?</v>
      </c>
      <c r="CN77" s="2" t="e">
        <f ca="1"/>
        <v>#NAME?</v>
      </c>
      <c r="CO77" s="2" t="e">
        <f t="shared" ca="1" si="92"/>
        <v>#NAME?</v>
      </c>
      <c r="CP77" s="2" t="e">
        <f ca="1"/>
        <v>#NAME?</v>
      </c>
      <c r="CQ77" s="2" t="e">
        <f t="shared" ca="1" si="93"/>
        <v>#NAME?</v>
      </c>
    </row>
    <row r="78" spans="1:95">
      <c r="A78" s="7" t="e">
        <f ca="1"/>
        <v>#NAME?</v>
      </c>
      <c r="B78" s="2" t="e">
        <f ca="1"/>
        <v>#NAME?</v>
      </c>
      <c r="C78" s="2" t="e">
        <f t="shared" ca="1" si="47"/>
        <v>#NAME?</v>
      </c>
      <c r="D78" s="2" t="e">
        <f ca="1"/>
        <v>#NAME?</v>
      </c>
      <c r="E78" s="2" t="e">
        <f t="shared" ca="1" si="48"/>
        <v>#NAME?</v>
      </c>
      <c r="F78" s="2" t="e">
        <f ca="1"/>
        <v>#NAME?</v>
      </c>
      <c r="G78" s="2" t="e">
        <f t="shared" ca="1" si="49"/>
        <v>#NAME?</v>
      </c>
      <c r="H78" s="2" t="e">
        <f ca="1"/>
        <v>#NAME?</v>
      </c>
      <c r="I78" s="2" t="e">
        <f t="shared" ca="1" si="50"/>
        <v>#NAME?</v>
      </c>
      <c r="J78" s="2" t="e">
        <f ca="1"/>
        <v>#NAME?</v>
      </c>
      <c r="K78" s="2" t="e">
        <f t="shared" ca="1" si="51"/>
        <v>#NAME?</v>
      </c>
      <c r="L78" s="2" t="e">
        <f ca="1"/>
        <v>#NAME?</v>
      </c>
      <c r="M78" s="2" t="e">
        <f t="shared" ca="1" si="52"/>
        <v>#NAME?</v>
      </c>
      <c r="N78" s="2" t="e">
        <f ca="1"/>
        <v>#NAME?</v>
      </c>
      <c r="O78" s="2" t="e">
        <f t="shared" ca="1" si="53"/>
        <v>#NAME?</v>
      </c>
      <c r="P78" s="2" t="e">
        <f ca="1"/>
        <v>#NAME?</v>
      </c>
      <c r="Q78" s="2" t="e">
        <f t="shared" ca="1" si="54"/>
        <v>#NAME?</v>
      </c>
      <c r="R78" s="2" t="e">
        <f ca="1"/>
        <v>#NAME?</v>
      </c>
      <c r="S78" s="2" t="e">
        <f t="shared" ca="1" si="55"/>
        <v>#NAME?</v>
      </c>
      <c r="T78" s="2" t="e">
        <f ca="1"/>
        <v>#NAME?</v>
      </c>
      <c r="U78" s="2" t="e">
        <f t="shared" ca="1" si="56"/>
        <v>#NAME?</v>
      </c>
      <c r="V78" s="2" t="e">
        <f ca="1"/>
        <v>#NAME?</v>
      </c>
      <c r="W78" s="2" t="e">
        <f t="shared" ca="1" si="57"/>
        <v>#NAME?</v>
      </c>
      <c r="X78" s="2" t="e">
        <f ca="1"/>
        <v>#NAME?</v>
      </c>
      <c r="Y78" s="2" t="e">
        <f t="shared" ca="1" si="58"/>
        <v>#NAME?</v>
      </c>
      <c r="Z78" s="2" t="e">
        <f ca="1"/>
        <v>#NAME?</v>
      </c>
      <c r="AA78" s="2" t="e">
        <f t="shared" ca="1" si="59"/>
        <v>#NAME?</v>
      </c>
      <c r="AB78" s="2" t="e">
        <f ca="1"/>
        <v>#NAME?</v>
      </c>
      <c r="AC78" s="2" t="e">
        <f t="shared" ca="1" si="60"/>
        <v>#NAME?</v>
      </c>
      <c r="AD78" s="2" t="e">
        <f ca="1"/>
        <v>#NAME?</v>
      </c>
      <c r="AE78" s="2" t="e">
        <f t="shared" ca="1" si="61"/>
        <v>#NAME?</v>
      </c>
      <c r="AF78" s="2" t="e">
        <f ca="1"/>
        <v>#NAME?</v>
      </c>
      <c r="AG78" s="2" t="e">
        <f t="shared" ca="1" si="62"/>
        <v>#NAME?</v>
      </c>
      <c r="AH78" s="2" t="e">
        <f ca="1"/>
        <v>#NAME?</v>
      </c>
      <c r="AI78" s="2" t="e">
        <f t="shared" ca="1" si="63"/>
        <v>#NAME?</v>
      </c>
      <c r="AJ78" s="2" t="e">
        <f ca="1"/>
        <v>#NAME?</v>
      </c>
      <c r="AK78" s="2" t="e">
        <f t="shared" ca="1" si="64"/>
        <v>#NAME?</v>
      </c>
      <c r="AL78" s="2" t="e">
        <f ca="1"/>
        <v>#NAME?</v>
      </c>
      <c r="AM78" s="2" t="e">
        <f t="shared" ca="1" si="65"/>
        <v>#NAME?</v>
      </c>
      <c r="AN78" s="2" t="e">
        <f ca="1"/>
        <v>#NAME?</v>
      </c>
      <c r="AO78" s="2" t="e">
        <f t="shared" ca="1" si="66"/>
        <v>#NAME?</v>
      </c>
      <c r="AP78" s="2" t="e">
        <f ca="1"/>
        <v>#NAME?</v>
      </c>
      <c r="AQ78" s="2" t="e">
        <f t="shared" ca="1" si="67"/>
        <v>#NAME?</v>
      </c>
      <c r="AR78" s="2" t="e">
        <f ca="1"/>
        <v>#NAME?</v>
      </c>
      <c r="AS78" s="2" t="e">
        <f t="shared" ca="1" si="68"/>
        <v>#NAME?</v>
      </c>
      <c r="AT78" s="2" t="e">
        <f ca="1"/>
        <v>#NAME?</v>
      </c>
      <c r="AU78" s="2" t="e">
        <f t="shared" ca="1" si="69"/>
        <v>#NAME?</v>
      </c>
      <c r="AV78" s="2" t="e">
        <f ca="1"/>
        <v>#NAME?</v>
      </c>
      <c r="AW78" s="2" t="e">
        <f t="shared" ca="1" si="70"/>
        <v>#NAME?</v>
      </c>
      <c r="AX78" s="2" t="e">
        <f ca="1"/>
        <v>#NAME?</v>
      </c>
      <c r="AY78" s="2" t="e">
        <f t="shared" ca="1" si="71"/>
        <v>#NAME?</v>
      </c>
      <c r="AZ78" s="2" t="e">
        <f ca="1"/>
        <v>#NAME?</v>
      </c>
      <c r="BA78" s="2" t="e">
        <f t="shared" ca="1" si="72"/>
        <v>#NAME?</v>
      </c>
      <c r="BB78" s="2" t="e">
        <f ca="1"/>
        <v>#NAME?</v>
      </c>
      <c r="BC78" s="2" t="e">
        <f t="shared" ca="1" si="73"/>
        <v>#NAME?</v>
      </c>
      <c r="BD78" s="2" t="e">
        <f ca="1"/>
        <v>#NAME?</v>
      </c>
      <c r="BE78" s="2" t="e">
        <f t="shared" ca="1" si="74"/>
        <v>#NAME?</v>
      </c>
      <c r="BF78" s="2" t="e">
        <f ca="1"/>
        <v>#NAME?</v>
      </c>
      <c r="BG78" s="2" t="e">
        <f t="shared" ca="1" si="75"/>
        <v>#NAME?</v>
      </c>
      <c r="BH78" s="2" t="e">
        <f ca="1"/>
        <v>#NAME?</v>
      </c>
      <c r="BI78" s="2" t="e">
        <f t="shared" ca="1" si="76"/>
        <v>#NAME?</v>
      </c>
      <c r="BJ78" s="2" t="e">
        <f ca="1"/>
        <v>#NAME?</v>
      </c>
      <c r="BK78" s="2" t="e">
        <f t="shared" ca="1" si="77"/>
        <v>#NAME?</v>
      </c>
      <c r="BL78" s="2" t="e">
        <f ca="1"/>
        <v>#NAME?</v>
      </c>
      <c r="BM78" s="2" t="e">
        <f t="shared" ca="1" si="78"/>
        <v>#NAME?</v>
      </c>
      <c r="BN78" s="2" t="e">
        <f ca="1"/>
        <v>#NAME?</v>
      </c>
      <c r="BO78" s="2" t="e">
        <f t="shared" ca="1" si="79"/>
        <v>#NAME?</v>
      </c>
      <c r="BP78" s="2" t="e">
        <f ca="1"/>
        <v>#NAME?</v>
      </c>
      <c r="BQ78" s="2" t="e">
        <f t="shared" ca="1" si="80"/>
        <v>#NAME?</v>
      </c>
      <c r="BR78" s="2" t="e">
        <f ca="1"/>
        <v>#NAME?</v>
      </c>
      <c r="BS78" s="2" t="e">
        <f t="shared" ca="1" si="81"/>
        <v>#NAME?</v>
      </c>
      <c r="BT78" s="2" t="e">
        <f ca="1"/>
        <v>#NAME?</v>
      </c>
      <c r="BU78" s="2" t="e">
        <f t="shared" ca="1" si="82"/>
        <v>#NAME?</v>
      </c>
      <c r="BV78" s="2" t="e">
        <f ca="1"/>
        <v>#NAME?</v>
      </c>
      <c r="BW78" s="2" t="e">
        <f t="shared" ca="1" si="83"/>
        <v>#NAME?</v>
      </c>
      <c r="BX78" s="2" t="e">
        <f ca="1"/>
        <v>#NAME?</v>
      </c>
      <c r="BY78" s="2" t="e">
        <f t="shared" ca="1" si="84"/>
        <v>#NAME?</v>
      </c>
      <c r="BZ78" s="2" t="e">
        <f ca="1"/>
        <v>#NAME?</v>
      </c>
      <c r="CA78" s="2" t="e">
        <f t="shared" ca="1" si="85"/>
        <v>#NAME?</v>
      </c>
      <c r="CB78" s="2" t="e">
        <f ca="1"/>
        <v>#NAME?</v>
      </c>
      <c r="CC78" s="2" t="e">
        <f t="shared" ca="1" si="86"/>
        <v>#NAME?</v>
      </c>
      <c r="CD78" s="2" t="e">
        <f ca="1"/>
        <v>#NAME?</v>
      </c>
      <c r="CE78" s="2" t="e">
        <f t="shared" ca="1" si="87"/>
        <v>#NAME?</v>
      </c>
      <c r="CF78" s="2" t="e">
        <f ca="1"/>
        <v>#NAME?</v>
      </c>
      <c r="CG78" s="2" t="e">
        <f t="shared" ca="1" si="88"/>
        <v>#NAME?</v>
      </c>
      <c r="CH78" s="2" t="e">
        <f ca="1"/>
        <v>#NAME?</v>
      </c>
      <c r="CI78" s="2" t="e">
        <f t="shared" ca="1" si="89"/>
        <v>#NAME?</v>
      </c>
      <c r="CJ78" s="2" t="e">
        <f ca="1"/>
        <v>#NAME?</v>
      </c>
      <c r="CK78" s="2" t="e">
        <f t="shared" ca="1" si="90"/>
        <v>#NAME?</v>
      </c>
      <c r="CL78" s="2" t="e">
        <f ca="1"/>
        <v>#NAME?</v>
      </c>
      <c r="CM78" s="2" t="e">
        <f t="shared" ca="1" si="91"/>
        <v>#NAME?</v>
      </c>
      <c r="CN78" s="2" t="e">
        <f ca="1"/>
        <v>#NAME?</v>
      </c>
      <c r="CO78" s="2" t="e">
        <f t="shared" ca="1" si="92"/>
        <v>#NAME?</v>
      </c>
      <c r="CP78" s="2" t="e">
        <f ca="1"/>
        <v>#NAME?</v>
      </c>
      <c r="CQ78" s="2" t="e">
        <f t="shared" ca="1" si="93"/>
        <v>#NAME?</v>
      </c>
    </row>
    <row r="79" spans="1:95">
      <c r="A79" s="7" t="e">
        <f ca="1"/>
        <v>#NAME?</v>
      </c>
      <c r="B79" s="2" t="e">
        <f ca="1"/>
        <v>#NAME?</v>
      </c>
      <c r="C79" s="2" t="e">
        <f t="shared" ca="1" si="47"/>
        <v>#NAME?</v>
      </c>
      <c r="D79" s="2" t="e">
        <f ca="1"/>
        <v>#NAME?</v>
      </c>
      <c r="E79" s="2" t="e">
        <f t="shared" ca="1" si="48"/>
        <v>#NAME?</v>
      </c>
      <c r="F79" s="2" t="e">
        <f ca="1"/>
        <v>#NAME?</v>
      </c>
      <c r="G79" s="2" t="e">
        <f t="shared" ca="1" si="49"/>
        <v>#NAME?</v>
      </c>
      <c r="H79" s="2" t="e">
        <f ca="1"/>
        <v>#NAME?</v>
      </c>
      <c r="I79" s="2" t="e">
        <f t="shared" ca="1" si="50"/>
        <v>#NAME?</v>
      </c>
      <c r="J79" s="2" t="e">
        <f ca="1"/>
        <v>#NAME?</v>
      </c>
      <c r="K79" s="2" t="e">
        <f t="shared" ca="1" si="51"/>
        <v>#NAME?</v>
      </c>
      <c r="L79" s="2" t="e">
        <f ca="1"/>
        <v>#NAME?</v>
      </c>
      <c r="M79" s="2" t="e">
        <f t="shared" ca="1" si="52"/>
        <v>#NAME?</v>
      </c>
      <c r="N79" s="2" t="e">
        <f ca="1"/>
        <v>#NAME?</v>
      </c>
      <c r="O79" s="2" t="e">
        <f t="shared" ca="1" si="53"/>
        <v>#NAME?</v>
      </c>
      <c r="P79" s="2" t="e">
        <f ca="1"/>
        <v>#NAME?</v>
      </c>
      <c r="Q79" s="2" t="e">
        <f t="shared" ca="1" si="54"/>
        <v>#NAME?</v>
      </c>
      <c r="R79" s="2" t="e">
        <f ca="1"/>
        <v>#NAME?</v>
      </c>
      <c r="S79" s="2" t="e">
        <f t="shared" ca="1" si="55"/>
        <v>#NAME?</v>
      </c>
      <c r="T79" s="2" t="e">
        <f ca="1"/>
        <v>#NAME?</v>
      </c>
      <c r="U79" s="2" t="e">
        <f t="shared" ca="1" si="56"/>
        <v>#NAME?</v>
      </c>
      <c r="V79" s="2" t="e">
        <f ca="1"/>
        <v>#NAME?</v>
      </c>
      <c r="W79" s="2" t="e">
        <f t="shared" ca="1" si="57"/>
        <v>#NAME?</v>
      </c>
      <c r="X79" s="2" t="e">
        <f ca="1"/>
        <v>#NAME?</v>
      </c>
      <c r="Y79" s="2" t="e">
        <f t="shared" ca="1" si="58"/>
        <v>#NAME?</v>
      </c>
      <c r="Z79" s="2" t="e">
        <f ca="1"/>
        <v>#NAME?</v>
      </c>
      <c r="AA79" s="2" t="e">
        <f t="shared" ca="1" si="59"/>
        <v>#NAME?</v>
      </c>
      <c r="AB79" s="2" t="e">
        <f ca="1"/>
        <v>#NAME?</v>
      </c>
      <c r="AC79" s="2" t="e">
        <f t="shared" ca="1" si="60"/>
        <v>#NAME?</v>
      </c>
      <c r="AD79" s="2" t="e">
        <f ca="1"/>
        <v>#NAME?</v>
      </c>
      <c r="AE79" s="2" t="e">
        <f t="shared" ca="1" si="61"/>
        <v>#NAME?</v>
      </c>
      <c r="AF79" s="2" t="e">
        <f ca="1"/>
        <v>#NAME?</v>
      </c>
      <c r="AG79" s="2" t="e">
        <f t="shared" ca="1" si="62"/>
        <v>#NAME?</v>
      </c>
      <c r="AH79" s="2" t="e">
        <f ca="1"/>
        <v>#NAME?</v>
      </c>
      <c r="AI79" s="2" t="e">
        <f t="shared" ca="1" si="63"/>
        <v>#NAME?</v>
      </c>
      <c r="AJ79" s="2" t="e">
        <f ca="1"/>
        <v>#NAME?</v>
      </c>
      <c r="AK79" s="2" t="e">
        <f t="shared" ca="1" si="64"/>
        <v>#NAME?</v>
      </c>
      <c r="AL79" s="2" t="e">
        <f ca="1"/>
        <v>#NAME?</v>
      </c>
      <c r="AM79" s="2" t="e">
        <f t="shared" ca="1" si="65"/>
        <v>#NAME?</v>
      </c>
      <c r="AN79" s="2" t="e">
        <f ca="1"/>
        <v>#NAME?</v>
      </c>
      <c r="AO79" s="2" t="e">
        <f t="shared" ca="1" si="66"/>
        <v>#NAME?</v>
      </c>
      <c r="AP79" s="2" t="e">
        <f ca="1"/>
        <v>#NAME?</v>
      </c>
      <c r="AQ79" s="2" t="e">
        <f t="shared" ca="1" si="67"/>
        <v>#NAME?</v>
      </c>
      <c r="AR79" s="2" t="e">
        <f ca="1"/>
        <v>#NAME?</v>
      </c>
      <c r="AS79" s="2" t="e">
        <f t="shared" ca="1" si="68"/>
        <v>#NAME?</v>
      </c>
      <c r="AT79" s="2" t="e">
        <f ca="1"/>
        <v>#NAME?</v>
      </c>
      <c r="AU79" s="2" t="e">
        <f t="shared" ca="1" si="69"/>
        <v>#NAME?</v>
      </c>
      <c r="AV79" s="2" t="e">
        <f ca="1"/>
        <v>#NAME?</v>
      </c>
      <c r="AW79" s="2" t="e">
        <f t="shared" ca="1" si="70"/>
        <v>#NAME?</v>
      </c>
      <c r="AX79" s="2" t="e">
        <f ca="1"/>
        <v>#NAME?</v>
      </c>
      <c r="AY79" s="2" t="e">
        <f t="shared" ca="1" si="71"/>
        <v>#NAME?</v>
      </c>
      <c r="AZ79" s="2" t="e">
        <f ca="1"/>
        <v>#NAME?</v>
      </c>
      <c r="BA79" s="2" t="e">
        <f t="shared" ca="1" si="72"/>
        <v>#NAME?</v>
      </c>
      <c r="BB79" s="2" t="e">
        <f ca="1"/>
        <v>#NAME?</v>
      </c>
      <c r="BC79" s="2" t="e">
        <f t="shared" ca="1" si="73"/>
        <v>#NAME?</v>
      </c>
      <c r="BD79" s="2" t="e">
        <f ca="1"/>
        <v>#NAME?</v>
      </c>
      <c r="BE79" s="2" t="e">
        <f t="shared" ca="1" si="74"/>
        <v>#NAME?</v>
      </c>
      <c r="BF79" s="2" t="e">
        <f ca="1"/>
        <v>#NAME?</v>
      </c>
      <c r="BG79" s="2" t="e">
        <f t="shared" ca="1" si="75"/>
        <v>#NAME?</v>
      </c>
      <c r="BH79" s="2" t="e">
        <f ca="1"/>
        <v>#NAME?</v>
      </c>
      <c r="BI79" s="2" t="e">
        <f t="shared" ca="1" si="76"/>
        <v>#NAME?</v>
      </c>
      <c r="BJ79" s="2" t="e">
        <f ca="1"/>
        <v>#NAME?</v>
      </c>
      <c r="BK79" s="2" t="e">
        <f t="shared" ca="1" si="77"/>
        <v>#NAME?</v>
      </c>
      <c r="BL79" s="2" t="e">
        <f ca="1"/>
        <v>#NAME?</v>
      </c>
      <c r="BM79" s="2" t="e">
        <f t="shared" ca="1" si="78"/>
        <v>#NAME?</v>
      </c>
      <c r="BN79" s="2" t="e">
        <f ca="1"/>
        <v>#NAME?</v>
      </c>
      <c r="BO79" s="2" t="e">
        <f t="shared" ca="1" si="79"/>
        <v>#NAME?</v>
      </c>
      <c r="BP79" s="2" t="e">
        <f ca="1"/>
        <v>#NAME?</v>
      </c>
      <c r="BQ79" s="2" t="e">
        <f t="shared" ca="1" si="80"/>
        <v>#NAME?</v>
      </c>
      <c r="BR79" s="2" t="e">
        <f ca="1"/>
        <v>#NAME?</v>
      </c>
      <c r="BS79" s="2" t="e">
        <f t="shared" ca="1" si="81"/>
        <v>#NAME?</v>
      </c>
      <c r="BT79" s="2" t="e">
        <f ca="1"/>
        <v>#NAME?</v>
      </c>
      <c r="BU79" s="2" t="e">
        <f t="shared" ca="1" si="82"/>
        <v>#NAME?</v>
      </c>
      <c r="BV79" s="2" t="e">
        <f ca="1"/>
        <v>#NAME?</v>
      </c>
      <c r="BW79" s="2" t="e">
        <f t="shared" ca="1" si="83"/>
        <v>#NAME?</v>
      </c>
      <c r="BX79" s="2" t="e">
        <f ca="1"/>
        <v>#NAME?</v>
      </c>
      <c r="BY79" s="2" t="e">
        <f t="shared" ca="1" si="84"/>
        <v>#NAME?</v>
      </c>
      <c r="BZ79" s="2" t="e">
        <f ca="1"/>
        <v>#NAME?</v>
      </c>
      <c r="CA79" s="2" t="e">
        <f t="shared" ca="1" si="85"/>
        <v>#NAME?</v>
      </c>
      <c r="CB79" s="2" t="e">
        <f ca="1"/>
        <v>#NAME?</v>
      </c>
      <c r="CC79" s="2" t="e">
        <f t="shared" ca="1" si="86"/>
        <v>#NAME?</v>
      </c>
      <c r="CD79" s="2" t="e">
        <f ca="1"/>
        <v>#NAME?</v>
      </c>
      <c r="CE79" s="2" t="e">
        <f t="shared" ca="1" si="87"/>
        <v>#NAME?</v>
      </c>
      <c r="CF79" s="2" t="e">
        <f ca="1"/>
        <v>#NAME?</v>
      </c>
      <c r="CG79" s="2" t="e">
        <f t="shared" ca="1" si="88"/>
        <v>#NAME?</v>
      </c>
      <c r="CH79" s="2" t="e">
        <f ca="1"/>
        <v>#NAME?</v>
      </c>
      <c r="CI79" s="2" t="e">
        <f t="shared" ca="1" si="89"/>
        <v>#NAME?</v>
      </c>
      <c r="CJ79" s="2" t="e">
        <f ca="1"/>
        <v>#NAME?</v>
      </c>
      <c r="CK79" s="2" t="e">
        <f t="shared" ca="1" si="90"/>
        <v>#NAME?</v>
      </c>
      <c r="CL79" s="2" t="e">
        <f ca="1"/>
        <v>#NAME?</v>
      </c>
      <c r="CM79" s="2" t="e">
        <f t="shared" ca="1" si="91"/>
        <v>#NAME?</v>
      </c>
      <c r="CN79" s="2" t="e">
        <f ca="1"/>
        <v>#NAME?</v>
      </c>
      <c r="CO79" s="2" t="e">
        <f t="shared" ca="1" si="92"/>
        <v>#NAME?</v>
      </c>
      <c r="CP79" s="2" t="e">
        <f ca="1"/>
        <v>#NAME?</v>
      </c>
      <c r="CQ79" s="2" t="e">
        <f t="shared" ca="1" si="93"/>
        <v>#NAME?</v>
      </c>
    </row>
    <row r="80" spans="1:95">
      <c r="A80" s="7" t="e">
        <f ca="1"/>
        <v>#NAME?</v>
      </c>
      <c r="B80" s="2" t="e">
        <f ca="1"/>
        <v>#NAME?</v>
      </c>
      <c r="C80" s="2" t="e">
        <f t="shared" ca="1" si="47"/>
        <v>#NAME?</v>
      </c>
      <c r="D80" s="2" t="e">
        <f ca="1"/>
        <v>#NAME?</v>
      </c>
      <c r="E80" s="2" t="e">
        <f t="shared" ca="1" si="48"/>
        <v>#NAME?</v>
      </c>
      <c r="F80" s="2" t="e">
        <f ca="1"/>
        <v>#NAME?</v>
      </c>
      <c r="G80" s="2" t="e">
        <f t="shared" ca="1" si="49"/>
        <v>#NAME?</v>
      </c>
      <c r="H80" s="2" t="e">
        <f ca="1"/>
        <v>#NAME?</v>
      </c>
      <c r="I80" s="2" t="e">
        <f t="shared" ca="1" si="50"/>
        <v>#NAME?</v>
      </c>
      <c r="J80" s="2" t="e">
        <f ca="1"/>
        <v>#NAME?</v>
      </c>
      <c r="K80" s="2" t="e">
        <f t="shared" ca="1" si="51"/>
        <v>#NAME?</v>
      </c>
      <c r="L80" s="2" t="e">
        <f ca="1"/>
        <v>#NAME?</v>
      </c>
      <c r="M80" s="2" t="e">
        <f t="shared" ca="1" si="52"/>
        <v>#NAME?</v>
      </c>
      <c r="N80" s="2" t="e">
        <f ca="1"/>
        <v>#NAME?</v>
      </c>
      <c r="O80" s="2" t="e">
        <f t="shared" ca="1" si="53"/>
        <v>#NAME?</v>
      </c>
      <c r="P80" s="2" t="e">
        <f ca="1"/>
        <v>#NAME?</v>
      </c>
      <c r="Q80" s="2" t="e">
        <f t="shared" ca="1" si="54"/>
        <v>#NAME?</v>
      </c>
      <c r="R80" s="2" t="e">
        <f ca="1"/>
        <v>#NAME?</v>
      </c>
      <c r="S80" s="2" t="e">
        <f t="shared" ca="1" si="55"/>
        <v>#NAME?</v>
      </c>
      <c r="T80" s="2" t="e">
        <f ca="1"/>
        <v>#NAME?</v>
      </c>
      <c r="U80" s="2" t="e">
        <f t="shared" ca="1" si="56"/>
        <v>#NAME?</v>
      </c>
      <c r="V80" s="2" t="e">
        <f ca="1"/>
        <v>#NAME?</v>
      </c>
      <c r="W80" s="2" t="e">
        <f t="shared" ca="1" si="57"/>
        <v>#NAME?</v>
      </c>
      <c r="X80" s="2" t="e">
        <f ca="1"/>
        <v>#NAME?</v>
      </c>
      <c r="Y80" s="2" t="e">
        <f t="shared" ca="1" si="58"/>
        <v>#NAME?</v>
      </c>
      <c r="Z80" s="2" t="e">
        <f ca="1"/>
        <v>#NAME?</v>
      </c>
      <c r="AA80" s="2" t="e">
        <f t="shared" ca="1" si="59"/>
        <v>#NAME?</v>
      </c>
      <c r="AB80" s="2" t="e">
        <f ca="1"/>
        <v>#NAME?</v>
      </c>
      <c r="AC80" s="2" t="e">
        <f t="shared" ca="1" si="60"/>
        <v>#NAME?</v>
      </c>
      <c r="AD80" s="2" t="e">
        <f ca="1"/>
        <v>#NAME?</v>
      </c>
      <c r="AE80" s="2" t="e">
        <f t="shared" ca="1" si="61"/>
        <v>#NAME?</v>
      </c>
      <c r="AF80" s="2" t="e">
        <f ca="1"/>
        <v>#NAME?</v>
      </c>
      <c r="AG80" s="2" t="e">
        <f t="shared" ca="1" si="62"/>
        <v>#NAME?</v>
      </c>
      <c r="AH80" s="2" t="e">
        <f ca="1"/>
        <v>#NAME?</v>
      </c>
      <c r="AI80" s="2" t="e">
        <f t="shared" ca="1" si="63"/>
        <v>#NAME?</v>
      </c>
      <c r="AJ80" s="2" t="e">
        <f ca="1"/>
        <v>#NAME?</v>
      </c>
      <c r="AK80" s="2" t="e">
        <f t="shared" ca="1" si="64"/>
        <v>#NAME?</v>
      </c>
      <c r="AL80" s="2" t="e">
        <f ca="1"/>
        <v>#NAME?</v>
      </c>
      <c r="AM80" s="2" t="e">
        <f t="shared" ca="1" si="65"/>
        <v>#NAME?</v>
      </c>
      <c r="AN80" s="2" t="e">
        <f ca="1"/>
        <v>#NAME?</v>
      </c>
      <c r="AO80" s="2" t="e">
        <f t="shared" ca="1" si="66"/>
        <v>#NAME?</v>
      </c>
      <c r="AP80" s="2" t="e">
        <f ca="1"/>
        <v>#NAME?</v>
      </c>
      <c r="AQ80" s="2" t="e">
        <f t="shared" ca="1" si="67"/>
        <v>#NAME?</v>
      </c>
      <c r="AR80" s="2" t="e">
        <f ca="1"/>
        <v>#NAME?</v>
      </c>
      <c r="AS80" s="2" t="e">
        <f t="shared" ca="1" si="68"/>
        <v>#NAME?</v>
      </c>
      <c r="AT80" s="2" t="e">
        <f ca="1"/>
        <v>#NAME?</v>
      </c>
      <c r="AU80" s="2" t="e">
        <f t="shared" ca="1" si="69"/>
        <v>#NAME?</v>
      </c>
      <c r="AV80" s="2" t="e">
        <f ca="1"/>
        <v>#NAME?</v>
      </c>
      <c r="AW80" s="2" t="e">
        <f t="shared" ca="1" si="70"/>
        <v>#NAME?</v>
      </c>
      <c r="AX80" s="2" t="e">
        <f ca="1"/>
        <v>#NAME?</v>
      </c>
      <c r="AY80" s="2" t="e">
        <f t="shared" ca="1" si="71"/>
        <v>#NAME?</v>
      </c>
      <c r="AZ80" s="2" t="e">
        <f ca="1"/>
        <v>#NAME?</v>
      </c>
      <c r="BA80" s="2" t="e">
        <f t="shared" ca="1" si="72"/>
        <v>#NAME?</v>
      </c>
      <c r="BB80" s="2" t="e">
        <f ca="1"/>
        <v>#NAME?</v>
      </c>
      <c r="BC80" s="2" t="e">
        <f t="shared" ca="1" si="73"/>
        <v>#NAME?</v>
      </c>
      <c r="BD80" s="2" t="e">
        <f ca="1"/>
        <v>#NAME?</v>
      </c>
      <c r="BE80" s="2" t="e">
        <f t="shared" ca="1" si="74"/>
        <v>#NAME?</v>
      </c>
      <c r="BF80" s="2" t="e">
        <f ca="1"/>
        <v>#NAME?</v>
      </c>
      <c r="BG80" s="2" t="e">
        <f t="shared" ca="1" si="75"/>
        <v>#NAME?</v>
      </c>
      <c r="BH80" s="2" t="e">
        <f ca="1"/>
        <v>#NAME?</v>
      </c>
      <c r="BI80" s="2" t="e">
        <f t="shared" ca="1" si="76"/>
        <v>#NAME?</v>
      </c>
      <c r="BJ80" s="2" t="e">
        <f ca="1"/>
        <v>#NAME?</v>
      </c>
      <c r="BK80" s="2" t="e">
        <f t="shared" ca="1" si="77"/>
        <v>#NAME?</v>
      </c>
      <c r="BL80" s="2" t="e">
        <f ca="1"/>
        <v>#NAME?</v>
      </c>
      <c r="BM80" s="2" t="e">
        <f t="shared" ca="1" si="78"/>
        <v>#NAME?</v>
      </c>
      <c r="BN80" s="2" t="e">
        <f ca="1"/>
        <v>#NAME?</v>
      </c>
      <c r="BO80" s="2" t="e">
        <f t="shared" ca="1" si="79"/>
        <v>#NAME?</v>
      </c>
      <c r="BP80" s="2" t="e">
        <f ca="1"/>
        <v>#NAME?</v>
      </c>
      <c r="BQ80" s="2" t="e">
        <f t="shared" ca="1" si="80"/>
        <v>#NAME?</v>
      </c>
      <c r="BR80" s="2" t="e">
        <f ca="1"/>
        <v>#NAME?</v>
      </c>
      <c r="BS80" s="2" t="e">
        <f t="shared" ca="1" si="81"/>
        <v>#NAME?</v>
      </c>
      <c r="BT80" s="2" t="e">
        <f ca="1"/>
        <v>#NAME?</v>
      </c>
      <c r="BU80" s="2" t="e">
        <f t="shared" ca="1" si="82"/>
        <v>#NAME?</v>
      </c>
      <c r="BV80" s="2" t="e">
        <f ca="1"/>
        <v>#NAME?</v>
      </c>
      <c r="BW80" s="2" t="e">
        <f t="shared" ca="1" si="83"/>
        <v>#NAME?</v>
      </c>
      <c r="BX80" s="2" t="e">
        <f ca="1"/>
        <v>#NAME?</v>
      </c>
      <c r="BY80" s="2" t="e">
        <f t="shared" ca="1" si="84"/>
        <v>#NAME?</v>
      </c>
      <c r="BZ80" s="2" t="e">
        <f ca="1"/>
        <v>#NAME?</v>
      </c>
      <c r="CA80" s="2" t="e">
        <f t="shared" ca="1" si="85"/>
        <v>#NAME?</v>
      </c>
      <c r="CB80" s="2" t="e">
        <f ca="1"/>
        <v>#NAME?</v>
      </c>
      <c r="CC80" s="2" t="e">
        <f t="shared" ca="1" si="86"/>
        <v>#NAME?</v>
      </c>
      <c r="CD80" s="2" t="e">
        <f ca="1"/>
        <v>#NAME?</v>
      </c>
      <c r="CE80" s="2" t="e">
        <f t="shared" ca="1" si="87"/>
        <v>#NAME?</v>
      </c>
      <c r="CF80" s="2" t="e">
        <f ca="1"/>
        <v>#NAME?</v>
      </c>
      <c r="CG80" s="2" t="e">
        <f t="shared" ca="1" si="88"/>
        <v>#NAME?</v>
      </c>
      <c r="CH80" s="2" t="e">
        <f ca="1"/>
        <v>#NAME?</v>
      </c>
      <c r="CI80" s="2" t="e">
        <f t="shared" ca="1" si="89"/>
        <v>#NAME?</v>
      </c>
      <c r="CJ80" s="2" t="e">
        <f ca="1"/>
        <v>#NAME?</v>
      </c>
      <c r="CK80" s="2" t="e">
        <f t="shared" ca="1" si="90"/>
        <v>#NAME?</v>
      </c>
      <c r="CL80" s="2" t="e">
        <f ca="1"/>
        <v>#NAME?</v>
      </c>
      <c r="CM80" s="2" t="e">
        <f t="shared" ca="1" si="91"/>
        <v>#NAME?</v>
      </c>
      <c r="CN80" s="2" t="e">
        <f ca="1"/>
        <v>#NAME?</v>
      </c>
      <c r="CO80" s="2" t="e">
        <f t="shared" ca="1" si="92"/>
        <v>#NAME?</v>
      </c>
      <c r="CP80" s="2" t="e">
        <f ca="1"/>
        <v>#NAME?</v>
      </c>
      <c r="CQ80" s="2" t="e">
        <f t="shared" ca="1" si="93"/>
        <v>#NAME?</v>
      </c>
    </row>
    <row r="81" spans="1:95">
      <c r="A81" s="7" t="e">
        <f ca="1"/>
        <v>#NAME?</v>
      </c>
      <c r="B81" s="2" t="e">
        <f ca="1"/>
        <v>#NAME?</v>
      </c>
      <c r="C81" s="2" t="e">
        <f t="shared" ca="1" si="47"/>
        <v>#NAME?</v>
      </c>
      <c r="D81" s="2" t="e">
        <f ca="1"/>
        <v>#NAME?</v>
      </c>
      <c r="E81" s="2" t="e">
        <f t="shared" ca="1" si="48"/>
        <v>#NAME?</v>
      </c>
      <c r="F81" s="2" t="e">
        <f ca="1"/>
        <v>#NAME?</v>
      </c>
      <c r="G81" s="2" t="e">
        <f t="shared" ca="1" si="49"/>
        <v>#NAME?</v>
      </c>
      <c r="H81" s="2" t="e">
        <f ca="1"/>
        <v>#NAME?</v>
      </c>
      <c r="I81" s="2" t="e">
        <f t="shared" ca="1" si="50"/>
        <v>#NAME?</v>
      </c>
      <c r="J81" s="2" t="e">
        <f ca="1"/>
        <v>#NAME?</v>
      </c>
      <c r="K81" s="2" t="e">
        <f t="shared" ca="1" si="51"/>
        <v>#NAME?</v>
      </c>
      <c r="L81" s="2" t="e">
        <f ca="1"/>
        <v>#NAME?</v>
      </c>
      <c r="M81" s="2" t="e">
        <f t="shared" ca="1" si="52"/>
        <v>#NAME?</v>
      </c>
      <c r="N81" s="2" t="e">
        <f ca="1"/>
        <v>#NAME?</v>
      </c>
      <c r="O81" s="2" t="e">
        <f t="shared" ca="1" si="53"/>
        <v>#NAME?</v>
      </c>
      <c r="P81" s="2" t="e">
        <f ca="1"/>
        <v>#NAME?</v>
      </c>
      <c r="Q81" s="2" t="e">
        <f t="shared" ca="1" si="54"/>
        <v>#NAME?</v>
      </c>
      <c r="R81" s="2" t="e">
        <f ca="1"/>
        <v>#NAME?</v>
      </c>
      <c r="S81" s="2" t="e">
        <f t="shared" ca="1" si="55"/>
        <v>#NAME?</v>
      </c>
      <c r="T81" s="2" t="e">
        <f ca="1"/>
        <v>#NAME?</v>
      </c>
      <c r="U81" s="2" t="e">
        <f t="shared" ca="1" si="56"/>
        <v>#NAME?</v>
      </c>
      <c r="V81" s="2" t="e">
        <f ca="1"/>
        <v>#NAME?</v>
      </c>
      <c r="W81" s="2" t="e">
        <f t="shared" ca="1" si="57"/>
        <v>#NAME?</v>
      </c>
      <c r="X81" s="2" t="e">
        <f ca="1"/>
        <v>#NAME?</v>
      </c>
      <c r="Y81" s="2" t="e">
        <f t="shared" ca="1" si="58"/>
        <v>#NAME?</v>
      </c>
      <c r="Z81" s="2" t="e">
        <f ca="1"/>
        <v>#NAME?</v>
      </c>
      <c r="AA81" s="2" t="e">
        <f t="shared" ca="1" si="59"/>
        <v>#NAME?</v>
      </c>
      <c r="AB81" s="2" t="e">
        <f ca="1"/>
        <v>#NAME?</v>
      </c>
      <c r="AC81" s="2" t="e">
        <f t="shared" ca="1" si="60"/>
        <v>#NAME?</v>
      </c>
      <c r="AD81" s="2" t="e">
        <f ca="1"/>
        <v>#NAME?</v>
      </c>
      <c r="AE81" s="2" t="e">
        <f t="shared" ca="1" si="61"/>
        <v>#NAME?</v>
      </c>
      <c r="AF81" s="2" t="e">
        <f ca="1"/>
        <v>#NAME?</v>
      </c>
      <c r="AG81" s="2" t="e">
        <f t="shared" ca="1" si="62"/>
        <v>#NAME?</v>
      </c>
      <c r="AH81" s="2" t="e">
        <f ca="1"/>
        <v>#NAME?</v>
      </c>
      <c r="AI81" s="2" t="e">
        <f t="shared" ca="1" si="63"/>
        <v>#NAME?</v>
      </c>
      <c r="AJ81" s="2" t="e">
        <f ca="1"/>
        <v>#NAME?</v>
      </c>
      <c r="AK81" s="2" t="e">
        <f t="shared" ca="1" si="64"/>
        <v>#NAME?</v>
      </c>
      <c r="AL81" s="2" t="e">
        <f ca="1"/>
        <v>#NAME?</v>
      </c>
      <c r="AM81" s="2" t="e">
        <f t="shared" ca="1" si="65"/>
        <v>#NAME?</v>
      </c>
      <c r="AN81" s="2" t="e">
        <f ca="1"/>
        <v>#NAME?</v>
      </c>
      <c r="AO81" s="2" t="e">
        <f t="shared" ca="1" si="66"/>
        <v>#NAME?</v>
      </c>
      <c r="AP81" s="2" t="e">
        <f ca="1"/>
        <v>#NAME?</v>
      </c>
      <c r="AQ81" s="2" t="e">
        <f t="shared" ca="1" si="67"/>
        <v>#NAME?</v>
      </c>
      <c r="AR81" s="2" t="e">
        <f ca="1"/>
        <v>#NAME?</v>
      </c>
      <c r="AS81" s="2" t="e">
        <f t="shared" ca="1" si="68"/>
        <v>#NAME?</v>
      </c>
      <c r="AT81" s="2" t="e">
        <f ca="1"/>
        <v>#NAME?</v>
      </c>
      <c r="AU81" s="2" t="e">
        <f t="shared" ca="1" si="69"/>
        <v>#NAME?</v>
      </c>
      <c r="AV81" s="2" t="e">
        <f ca="1"/>
        <v>#NAME?</v>
      </c>
      <c r="AW81" s="2" t="e">
        <f t="shared" ca="1" si="70"/>
        <v>#NAME?</v>
      </c>
      <c r="AX81" s="2" t="e">
        <f ca="1"/>
        <v>#NAME?</v>
      </c>
      <c r="AY81" s="2" t="e">
        <f t="shared" ca="1" si="71"/>
        <v>#NAME?</v>
      </c>
      <c r="AZ81" s="2" t="e">
        <f ca="1"/>
        <v>#NAME?</v>
      </c>
      <c r="BA81" s="2" t="e">
        <f t="shared" ca="1" si="72"/>
        <v>#NAME?</v>
      </c>
      <c r="BB81" s="2" t="e">
        <f ca="1"/>
        <v>#NAME?</v>
      </c>
      <c r="BC81" s="2" t="e">
        <f t="shared" ca="1" si="73"/>
        <v>#NAME?</v>
      </c>
      <c r="BD81" s="2" t="e">
        <f ca="1"/>
        <v>#NAME?</v>
      </c>
      <c r="BE81" s="2" t="e">
        <f t="shared" ca="1" si="74"/>
        <v>#NAME?</v>
      </c>
      <c r="BF81" s="2" t="e">
        <f ca="1"/>
        <v>#NAME?</v>
      </c>
      <c r="BG81" s="2" t="e">
        <f t="shared" ca="1" si="75"/>
        <v>#NAME?</v>
      </c>
      <c r="BH81" s="2" t="e">
        <f ca="1"/>
        <v>#NAME?</v>
      </c>
      <c r="BI81" s="2" t="e">
        <f t="shared" ca="1" si="76"/>
        <v>#NAME?</v>
      </c>
      <c r="BJ81" s="2" t="e">
        <f ca="1"/>
        <v>#NAME?</v>
      </c>
      <c r="BK81" s="2" t="e">
        <f t="shared" ca="1" si="77"/>
        <v>#NAME?</v>
      </c>
      <c r="BL81" s="2" t="e">
        <f ca="1"/>
        <v>#NAME?</v>
      </c>
      <c r="BM81" s="2" t="e">
        <f t="shared" ca="1" si="78"/>
        <v>#NAME?</v>
      </c>
      <c r="BN81" s="2" t="e">
        <f ca="1"/>
        <v>#NAME?</v>
      </c>
      <c r="BO81" s="2" t="e">
        <f t="shared" ca="1" si="79"/>
        <v>#NAME?</v>
      </c>
      <c r="BP81" s="2" t="e">
        <f ca="1"/>
        <v>#NAME?</v>
      </c>
      <c r="BQ81" s="2" t="e">
        <f t="shared" ca="1" si="80"/>
        <v>#NAME?</v>
      </c>
      <c r="BR81" s="2" t="e">
        <f ca="1"/>
        <v>#NAME?</v>
      </c>
      <c r="BS81" s="2" t="e">
        <f t="shared" ca="1" si="81"/>
        <v>#NAME?</v>
      </c>
      <c r="BT81" s="2" t="e">
        <f ca="1"/>
        <v>#NAME?</v>
      </c>
      <c r="BU81" s="2" t="e">
        <f t="shared" ca="1" si="82"/>
        <v>#NAME?</v>
      </c>
      <c r="BV81" s="2" t="e">
        <f ca="1"/>
        <v>#NAME?</v>
      </c>
      <c r="BW81" s="2" t="e">
        <f t="shared" ca="1" si="83"/>
        <v>#NAME?</v>
      </c>
      <c r="BX81" s="2" t="e">
        <f ca="1"/>
        <v>#NAME?</v>
      </c>
      <c r="BY81" s="2" t="e">
        <f t="shared" ca="1" si="84"/>
        <v>#NAME?</v>
      </c>
      <c r="BZ81" s="2" t="e">
        <f ca="1"/>
        <v>#NAME?</v>
      </c>
      <c r="CA81" s="2" t="e">
        <f t="shared" ca="1" si="85"/>
        <v>#NAME?</v>
      </c>
      <c r="CB81" s="2" t="e">
        <f ca="1"/>
        <v>#NAME?</v>
      </c>
      <c r="CC81" s="2" t="e">
        <f t="shared" ca="1" si="86"/>
        <v>#NAME?</v>
      </c>
      <c r="CD81" s="2" t="e">
        <f ca="1"/>
        <v>#NAME?</v>
      </c>
      <c r="CE81" s="2" t="e">
        <f t="shared" ca="1" si="87"/>
        <v>#NAME?</v>
      </c>
      <c r="CF81" s="2" t="e">
        <f ca="1"/>
        <v>#NAME?</v>
      </c>
      <c r="CG81" s="2" t="e">
        <f t="shared" ca="1" si="88"/>
        <v>#NAME?</v>
      </c>
      <c r="CH81" s="2" t="e">
        <f ca="1"/>
        <v>#NAME?</v>
      </c>
      <c r="CI81" s="2" t="e">
        <f t="shared" ca="1" si="89"/>
        <v>#NAME?</v>
      </c>
      <c r="CJ81" s="2" t="e">
        <f ca="1"/>
        <v>#NAME?</v>
      </c>
      <c r="CK81" s="2" t="e">
        <f t="shared" ca="1" si="90"/>
        <v>#NAME?</v>
      </c>
      <c r="CL81" s="2" t="e">
        <f ca="1"/>
        <v>#NAME?</v>
      </c>
      <c r="CM81" s="2" t="e">
        <f t="shared" ca="1" si="91"/>
        <v>#NAME?</v>
      </c>
      <c r="CN81" s="2" t="e">
        <f ca="1"/>
        <v>#NAME?</v>
      </c>
      <c r="CO81" s="2" t="e">
        <f t="shared" ca="1" si="92"/>
        <v>#NAME?</v>
      </c>
      <c r="CP81" s="2" t="e">
        <f ca="1"/>
        <v>#NAME?</v>
      </c>
      <c r="CQ81" s="2" t="e">
        <f t="shared" ca="1" si="93"/>
        <v>#NAME?</v>
      </c>
    </row>
    <row r="82" spans="1:95">
      <c r="A82" s="7" t="e">
        <f ca="1"/>
        <v>#NAME?</v>
      </c>
      <c r="B82" s="2" t="e">
        <f ca="1"/>
        <v>#NAME?</v>
      </c>
      <c r="C82" s="2" t="e">
        <f t="shared" ca="1" si="47"/>
        <v>#NAME?</v>
      </c>
      <c r="D82" s="2" t="e">
        <f ca="1"/>
        <v>#NAME?</v>
      </c>
      <c r="E82" s="2" t="e">
        <f t="shared" ca="1" si="48"/>
        <v>#NAME?</v>
      </c>
      <c r="F82" s="2" t="e">
        <f ca="1"/>
        <v>#NAME?</v>
      </c>
      <c r="G82" s="2" t="e">
        <f t="shared" ca="1" si="49"/>
        <v>#NAME?</v>
      </c>
      <c r="H82" s="2" t="e">
        <f ca="1"/>
        <v>#NAME?</v>
      </c>
      <c r="I82" s="2" t="e">
        <f t="shared" ca="1" si="50"/>
        <v>#NAME?</v>
      </c>
      <c r="J82" s="2" t="e">
        <f ca="1"/>
        <v>#NAME?</v>
      </c>
      <c r="K82" s="2" t="e">
        <f t="shared" ca="1" si="51"/>
        <v>#NAME?</v>
      </c>
      <c r="L82" s="2" t="e">
        <f ca="1"/>
        <v>#NAME?</v>
      </c>
      <c r="M82" s="2" t="e">
        <f t="shared" ca="1" si="52"/>
        <v>#NAME?</v>
      </c>
      <c r="N82" s="2" t="e">
        <f ca="1"/>
        <v>#NAME?</v>
      </c>
      <c r="O82" s="2" t="e">
        <f t="shared" ca="1" si="53"/>
        <v>#NAME?</v>
      </c>
      <c r="P82" s="2" t="e">
        <f ca="1"/>
        <v>#NAME?</v>
      </c>
      <c r="Q82" s="2" t="e">
        <f t="shared" ca="1" si="54"/>
        <v>#NAME?</v>
      </c>
      <c r="R82" s="2" t="e">
        <f ca="1"/>
        <v>#NAME?</v>
      </c>
      <c r="S82" s="2" t="e">
        <f t="shared" ca="1" si="55"/>
        <v>#NAME?</v>
      </c>
      <c r="T82" s="2" t="e">
        <f ca="1"/>
        <v>#NAME?</v>
      </c>
      <c r="U82" s="2" t="e">
        <f t="shared" ca="1" si="56"/>
        <v>#NAME?</v>
      </c>
      <c r="V82" s="2" t="e">
        <f ca="1"/>
        <v>#NAME?</v>
      </c>
      <c r="W82" s="2" t="e">
        <f t="shared" ca="1" si="57"/>
        <v>#NAME?</v>
      </c>
      <c r="X82" s="2" t="e">
        <f ca="1"/>
        <v>#NAME?</v>
      </c>
      <c r="Y82" s="2" t="e">
        <f t="shared" ca="1" si="58"/>
        <v>#NAME?</v>
      </c>
      <c r="Z82" s="2" t="e">
        <f ca="1"/>
        <v>#NAME?</v>
      </c>
      <c r="AA82" s="2" t="e">
        <f t="shared" ca="1" si="59"/>
        <v>#NAME?</v>
      </c>
      <c r="AB82" s="2" t="e">
        <f ca="1"/>
        <v>#NAME?</v>
      </c>
      <c r="AC82" s="2" t="e">
        <f t="shared" ca="1" si="60"/>
        <v>#NAME?</v>
      </c>
      <c r="AD82" s="2" t="e">
        <f ca="1"/>
        <v>#NAME?</v>
      </c>
      <c r="AE82" s="2" t="e">
        <f t="shared" ca="1" si="61"/>
        <v>#NAME?</v>
      </c>
      <c r="AF82" s="2" t="e">
        <f ca="1"/>
        <v>#NAME?</v>
      </c>
      <c r="AG82" s="2" t="e">
        <f t="shared" ca="1" si="62"/>
        <v>#NAME?</v>
      </c>
      <c r="AH82" s="2" t="e">
        <f ca="1"/>
        <v>#NAME?</v>
      </c>
      <c r="AI82" s="2" t="e">
        <f t="shared" ca="1" si="63"/>
        <v>#NAME?</v>
      </c>
      <c r="AJ82" s="2" t="e">
        <f ca="1"/>
        <v>#NAME?</v>
      </c>
      <c r="AK82" s="2" t="e">
        <f t="shared" ca="1" si="64"/>
        <v>#NAME?</v>
      </c>
      <c r="AL82" s="2" t="e">
        <f ca="1"/>
        <v>#NAME?</v>
      </c>
      <c r="AM82" s="2" t="e">
        <f t="shared" ca="1" si="65"/>
        <v>#NAME?</v>
      </c>
      <c r="AN82" s="2" t="e">
        <f ca="1"/>
        <v>#NAME?</v>
      </c>
      <c r="AO82" s="2" t="e">
        <f t="shared" ca="1" si="66"/>
        <v>#NAME?</v>
      </c>
      <c r="AP82" s="2" t="e">
        <f ca="1"/>
        <v>#NAME?</v>
      </c>
      <c r="AQ82" s="2" t="e">
        <f t="shared" ca="1" si="67"/>
        <v>#NAME?</v>
      </c>
      <c r="AR82" s="2" t="e">
        <f ca="1"/>
        <v>#NAME?</v>
      </c>
      <c r="AS82" s="2" t="e">
        <f t="shared" ca="1" si="68"/>
        <v>#NAME?</v>
      </c>
      <c r="AT82" s="2" t="e">
        <f ca="1"/>
        <v>#NAME?</v>
      </c>
      <c r="AU82" s="2" t="e">
        <f t="shared" ca="1" si="69"/>
        <v>#NAME?</v>
      </c>
      <c r="AV82" s="2" t="e">
        <f ca="1"/>
        <v>#NAME?</v>
      </c>
      <c r="AW82" s="2" t="e">
        <f t="shared" ca="1" si="70"/>
        <v>#NAME?</v>
      </c>
      <c r="AX82" s="2" t="e">
        <f ca="1"/>
        <v>#NAME?</v>
      </c>
      <c r="AY82" s="2" t="e">
        <f t="shared" ca="1" si="71"/>
        <v>#NAME?</v>
      </c>
      <c r="AZ82" s="2" t="e">
        <f ca="1"/>
        <v>#NAME?</v>
      </c>
      <c r="BA82" s="2" t="e">
        <f t="shared" ca="1" si="72"/>
        <v>#NAME?</v>
      </c>
      <c r="BB82" s="2" t="e">
        <f ca="1"/>
        <v>#NAME?</v>
      </c>
      <c r="BC82" s="2" t="e">
        <f t="shared" ca="1" si="73"/>
        <v>#NAME?</v>
      </c>
      <c r="BD82" s="2" t="e">
        <f ca="1"/>
        <v>#NAME?</v>
      </c>
      <c r="BE82" s="2" t="e">
        <f t="shared" ca="1" si="74"/>
        <v>#NAME?</v>
      </c>
      <c r="BF82" s="2" t="e">
        <f ca="1"/>
        <v>#NAME?</v>
      </c>
      <c r="BG82" s="2" t="e">
        <f t="shared" ca="1" si="75"/>
        <v>#NAME?</v>
      </c>
      <c r="BH82" s="2" t="e">
        <f ca="1"/>
        <v>#NAME?</v>
      </c>
      <c r="BI82" s="2" t="e">
        <f t="shared" ca="1" si="76"/>
        <v>#NAME?</v>
      </c>
      <c r="BJ82" s="2" t="e">
        <f ca="1"/>
        <v>#NAME?</v>
      </c>
      <c r="BK82" s="2" t="e">
        <f t="shared" ca="1" si="77"/>
        <v>#NAME?</v>
      </c>
      <c r="BL82" s="2" t="e">
        <f ca="1"/>
        <v>#NAME?</v>
      </c>
      <c r="BM82" s="2" t="e">
        <f t="shared" ca="1" si="78"/>
        <v>#NAME?</v>
      </c>
      <c r="BN82" s="2" t="e">
        <f ca="1"/>
        <v>#NAME?</v>
      </c>
      <c r="BO82" s="2" t="e">
        <f t="shared" ca="1" si="79"/>
        <v>#NAME?</v>
      </c>
      <c r="BP82" s="2" t="e">
        <f ca="1"/>
        <v>#NAME?</v>
      </c>
      <c r="BQ82" s="2" t="e">
        <f t="shared" ca="1" si="80"/>
        <v>#NAME?</v>
      </c>
      <c r="BR82" s="2" t="e">
        <f ca="1"/>
        <v>#NAME?</v>
      </c>
      <c r="BS82" s="2" t="e">
        <f t="shared" ca="1" si="81"/>
        <v>#NAME?</v>
      </c>
      <c r="BT82" s="2" t="e">
        <f ca="1"/>
        <v>#NAME?</v>
      </c>
      <c r="BU82" s="2" t="e">
        <f t="shared" ca="1" si="82"/>
        <v>#NAME?</v>
      </c>
      <c r="BV82" s="2" t="e">
        <f ca="1"/>
        <v>#NAME?</v>
      </c>
      <c r="BW82" s="2" t="e">
        <f t="shared" ca="1" si="83"/>
        <v>#NAME?</v>
      </c>
      <c r="BX82" s="2" t="e">
        <f ca="1"/>
        <v>#NAME?</v>
      </c>
      <c r="BY82" s="2" t="e">
        <f t="shared" ca="1" si="84"/>
        <v>#NAME?</v>
      </c>
      <c r="BZ82" s="2" t="e">
        <f ca="1"/>
        <v>#NAME?</v>
      </c>
      <c r="CA82" s="2" t="e">
        <f t="shared" ca="1" si="85"/>
        <v>#NAME?</v>
      </c>
      <c r="CB82" s="2" t="e">
        <f ca="1"/>
        <v>#NAME?</v>
      </c>
      <c r="CC82" s="2" t="e">
        <f t="shared" ca="1" si="86"/>
        <v>#NAME?</v>
      </c>
      <c r="CD82" s="2" t="e">
        <f ca="1"/>
        <v>#NAME?</v>
      </c>
      <c r="CE82" s="2" t="e">
        <f t="shared" ca="1" si="87"/>
        <v>#NAME?</v>
      </c>
      <c r="CF82" s="2" t="e">
        <f ca="1"/>
        <v>#NAME?</v>
      </c>
      <c r="CG82" s="2" t="e">
        <f t="shared" ca="1" si="88"/>
        <v>#NAME?</v>
      </c>
      <c r="CH82" s="2" t="e">
        <f ca="1"/>
        <v>#NAME?</v>
      </c>
      <c r="CI82" s="2" t="e">
        <f t="shared" ca="1" si="89"/>
        <v>#NAME?</v>
      </c>
      <c r="CJ82" s="2" t="e">
        <f ca="1"/>
        <v>#NAME?</v>
      </c>
      <c r="CK82" s="2" t="e">
        <f t="shared" ca="1" si="90"/>
        <v>#NAME?</v>
      </c>
      <c r="CL82" s="2" t="e">
        <f ca="1"/>
        <v>#NAME?</v>
      </c>
      <c r="CM82" s="2" t="e">
        <f t="shared" ca="1" si="91"/>
        <v>#NAME?</v>
      </c>
      <c r="CN82" s="2" t="e">
        <f ca="1"/>
        <v>#NAME?</v>
      </c>
      <c r="CO82" s="2" t="e">
        <f t="shared" ca="1" si="92"/>
        <v>#NAME?</v>
      </c>
      <c r="CP82" s="2" t="e">
        <f ca="1"/>
        <v>#NAME?</v>
      </c>
      <c r="CQ82" s="2" t="e">
        <f t="shared" ca="1" si="93"/>
        <v>#NAME?</v>
      </c>
    </row>
    <row r="83" spans="1:95">
      <c r="A83" s="7" t="e">
        <f ca="1"/>
        <v>#NAME?</v>
      </c>
      <c r="B83" s="2" t="e">
        <f ca="1"/>
        <v>#NAME?</v>
      </c>
      <c r="C83" s="2" t="e">
        <f t="shared" ca="1" si="47"/>
        <v>#NAME?</v>
      </c>
      <c r="D83" s="2" t="e">
        <f ca="1"/>
        <v>#NAME?</v>
      </c>
      <c r="E83" s="2" t="e">
        <f t="shared" ca="1" si="48"/>
        <v>#NAME?</v>
      </c>
      <c r="F83" s="2" t="e">
        <f ca="1"/>
        <v>#NAME?</v>
      </c>
      <c r="G83" s="2" t="e">
        <f t="shared" ca="1" si="49"/>
        <v>#NAME?</v>
      </c>
      <c r="H83" s="2" t="e">
        <f ca="1"/>
        <v>#NAME?</v>
      </c>
      <c r="I83" s="2" t="e">
        <f t="shared" ca="1" si="50"/>
        <v>#NAME?</v>
      </c>
      <c r="J83" s="2" t="e">
        <f ca="1"/>
        <v>#NAME?</v>
      </c>
      <c r="K83" s="2" t="e">
        <f t="shared" ca="1" si="51"/>
        <v>#NAME?</v>
      </c>
      <c r="L83" s="2" t="e">
        <f ca="1"/>
        <v>#NAME?</v>
      </c>
      <c r="M83" s="2" t="e">
        <f t="shared" ca="1" si="52"/>
        <v>#NAME?</v>
      </c>
      <c r="N83" s="2" t="e">
        <f ca="1"/>
        <v>#NAME?</v>
      </c>
      <c r="O83" s="2" t="e">
        <f t="shared" ca="1" si="53"/>
        <v>#NAME?</v>
      </c>
      <c r="P83" s="2" t="e">
        <f ca="1"/>
        <v>#NAME?</v>
      </c>
      <c r="Q83" s="2" t="e">
        <f t="shared" ca="1" si="54"/>
        <v>#NAME?</v>
      </c>
      <c r="R83" s="2" t="e">
        <f ca="1"/>
        <v>#NAME?</v>
      </c>
      <c r="S83" s="2" t="e">
        <f t="shared" ca="1" si="55"/>
        <v>#NAME?</v>
      </c>
      <c r="T83" s="2" t="e">
        <f ca="1"/>
        <v>#NAME?</v>
      </c>
      <c r="U83" s="2" t="e">
        <f t="shared" ca="1" si="56"/>
        <v>#NAME?</v>
      </c>
      <c r="V83" s="2" t="e">
        <f ca="1"/>
        <v>#NAME?</v>
      </c>
      <c r="W83" s="2" t="e">
        <f t="shared" ca="1" si="57"/>
        <v>#NAME?</v>
      </c>
      <c r="X83" s="2" t="e">
        <f ca="1"/>
        <v>#NAME?</v>
      </c>
      <c r="Y83" s="2" t="e">
        <f t="shared" ca="1" si="58"/>
        <v>#NAME?</v>
      </c>
      <c r="Z83" s="2" t="e">
        <f ca="1"/>
        <v>#NAME?</v>
      </c>
      <c r="AA83" s="2" t="e">
        <f t="shared" ca="1" si="59"/>
        <v>#NAME?</v>
      </c>
      <c r="AB83" s="2" t="e">
        <f ca="1"/>
        <v>#NAME?</v>
      </c>
      <c r="AC83" s="2" t="e">
        <f t="shared" ca="1" si="60"/>
        <v>#NAME?</v>
      </c>
      <c r="AD83" s="2" t="e">
        <f ca="1"/>
        <v>#NAME?</v>
      </c>
      <c r="AE83" s="2" t="e">
        <f t="shared" ca="1" si="61"/>
        <v>#NAME?</v>
      </c>
      <c r="AF83" s="2" t="e">
        <f ca="1"/>
        <v>#NAME?</v>
      </c>
      <c r="AG83" s="2" t="e">
        <f t="shared" ca="1" si="62"/>
        <v>#NAME?</v>
      </c>
      <c r="AH83" s="2" t="e">
        <f ca="1"/>
        <v>#NAME?</v>
      </c>
      <c r="AI83" s="2" t="e">
        <f t="shared" ca="1" si="63"/>
        <v>#NAME?</v>
      </c>
      <c r="AJ83" s="2" t="e">
        <f ca="1"/>
        <v>#NAME?</v>
      </c>
      <c r="AK83" s="2" t="e">
        <f t="shared" ca="1" si="64"/>
        <v>#NAME?</v>
      </c>
      <c r="AL83" s="2" t="e">
        <f ca="1"/>
        <v>#NAME?</v>
      </c>
      <c r="AM83" s="2" t="e">
        <f t="shared" ca="1" si="65"/>
        <v>#NAME?</v>
      </c>
      <c r="AN83" s="2" t="e">
        <f ca="1"/>
        <v>#NAME?</v>
      </c>
      <c r="AO83" s="2" t="e">
        <f t="shared" ca="1" si="66"/>
        <v>#NAME?</v>
      </c>
      <c r="AP83" s="2" t="e">
        <f ca="1"/>
        <v>#NAME?</v>
      </c>
      <c r="AQ83" s="2" t="e">
        <f t="shared" ca="1" si="67"/>
        <v>#NAME?</v>
      </c>
      <c r="AR83" s="2" t="e">
        <f ca="1"/>
        <v>#NAME?</v>
      </c>
      <c r="AS83" s="2" t="e">
        <f t="shared" ca="1" si="68"/>
        <v>#NAME?</v>
      </c>
      <c r="AT83" s="2" t="e">
        <f ca="1"/>
        <v>#NAME?</v>
      </c>
      <c r="AU83" s="2" t="e">
        <f t="shared" ca="1" si="69"/>
        <v>#NAME?</v>
      </c>
      <c r="AV83" s="2" t="e">
        <f ca="1"/>
        <v>#NAME?</v>
      </c>
      <c r="AW83" s="2" t="e">
        <f t="shared" ca="1" si="70"/>
        <v>#NAME?</v>
      </c>
      <c r="AX83" s="2" t="e">
        <f ca="1"/>
        <v>#NAME?</v>
      </c>
      <c r="AY83" s="2" t="e">
        <f t="shared" ca="1" si="71"/>
        <v>#NAME?</v>
      </c>
      <c r="AZ83" s="2" t="e">
        <f ca="1"/>
        <v>#NAME?</v>
      </c>
      <c r="BA83" s="2" t="e">
        <f t="shared" ca="1" si="72"/>
        <v>#NAME?</v>
      </c>
      <c r="BB83" s="2" t="e">
        <f ca="1"/>
        <v>#NAME?</v>
      </c>
      <c r="BC83" s="2" t="e">
        <f t="shared" ca="1" si="73"/>
        <v>#NAME?</v>
      </c>
      <c r="BD83" s="2" t="e">
        <f ca="1"/>
        <v>#NAME?</v>
      </c>
      <c r="BE83" s="2" t="e">
        <f t="shared" ca="1" si="74"/>
        <v>#NAME?</v>
      </c>
      <c r="BF83" s="2" t="e">
        <f ca="1"/>
        <v>#NAME?</v>
      </c>
      <c r="BG83" s="2" t="e">
        <f t="shared" ca="1" si="75"/>
        <v>#NAME?</v>
      </c>
      <c r="BH83" s="2" t="e">
        <f ca="1"/>
        <v>#NAME?</v>
      </c>
      <c r="BI83" s="2" t="e">
        <f t="shared" ca="1" si="76"/>
        <v>#NAME?</v>
      </c>
      <c r="BJ83" s="2" t="e">
        <f ca="1"/>
        <v>#NAME?</v>
      </c>
      <c r="BK83" s="2" t="e">
        <f t="shared" ca="1" si="77"/>
        <v>#NAME?</v>
      </c>
      <c r="BL83" s="2" t="e">
        <f ca="1"/>
        <v>#NAME?</v>
      </c>
      <c r="BM83" s="2" t="e">
        <f t="shared" ca="1" si="78"/>
        <v>#NAME?</v>
      </c>
      <c r="BN83" s="2" t="e">
        <f ca="1"/>
        <v>#NAME?</v>
      </c>
      <c r="BO83" s="2" t="e">
        <f t="shared" ca="1" si="79"/>
        <v>#NAME?</v>
      </c>
      <c r="BP83" s="2" t="e">
        <f ca="1"/>
        <v>#NAME?</v>
      </c>
      <c r="BQ83" s="2" t="e">
        <f t="shared" ca="1" si="80"/>
        <v>#NAME?</v>
      </c>
      <c r="BR83" s="2" t="e">
        <f ca="1"/>
        <v>#NAME?</v>
      </c>
      <c r="BS83" s="2" t="e">
        <f t="shared" ca="1" si="81"/>
        <v>#NAME?</v>
      </c>
      <c r="BT83" s="2" t="e">
        <f ca="1"/>
        <v>#NAME?</v>
      </c>
      <c r="BU83" s="2" t="e">
        <f t="shared" ca="1" si="82"/>
        <v>#NAME?</v>
      </c>
      <c r="BV83" s="2" t="e">
        <f ca="1"/>
        <v>#NAME?</v>
      </c>
      <c r="BW83" s="2" t="e">
        <f t="shared" ca="1" si="83"/>
        <v>#NAME?</v>
      </c>
      <c r="BX83" s="2" t="e">
        <f ca="1"/>
        <v>#NAME?</v>
      </c>
      <c r="BY83" s="2" t="e">
        <f t="shared" ca="1" si="84"/>
        <v>#NAME?</v>
      </c>
      <c r="BZ83" s="2" t="e">
        <f ca="1"/>
        <v>#NAME?</v>
      </c>
      <c r="CA83" s="2" t="e">
        <f t="shared" ca="1" si="85"/>
        <v>#NAME?</v>
      </c>
      <c r="CB83" s="2" t="e">
        <f ca="1"/>
        <v>#NAME?</v>
      </c>
      <c r="CC83" s="2" t="e">
        <f t="shared" ca="1" si="86"/>
        <v>#NAME?</v>
      </c>
      <c r="CD83" s="2" t="e">
        <f ca="1"/>
        <v>#NAME?</v>
      </c>
      <c r="CE83" s="2" t="e">
        <f t="shared" ca="1" si="87"/>
        <v>#NAME?</v>
      </c>
      <c r="CF83" s="2" t="e">
        <f ca="1"/>
        <v>#NAME?</v>
      </c>
      <c r="CG83" s="2" t="e">
        <f t="shared" ca="1" si="88"/>
        <v>#NAME?</v>
      </c>
      <c r="CH83" s="2" t="e">
        <f ca="1"/>
        <v>#NAME?</v>
      </c>
      <c r="CI83" s="2" t="e">
        <f t="shared" ca="1" si="89"/>
        <v>#NAME?</v>
      </c>
      <c r="CJ83" s="2" t="e">
        <f ca="1"/>
        <v>#NAME?</v>
      </c>
      <c r="CK83" s="2" t="e">
        <f t="shared" ca="1" si="90"/>
        <v>#NAME?</v>
      </c>
      <c r="CL83" s="2" t="e">
        <f ca="1"/>
        <v>#NAME?</v>
      </c>
      <c r="CM83" s="2" t="e">
        <f t="shared" ca="1" si="91"/>
        <v>#NAME?</v>
      </c>
      <c r="CN83" s="2" t="e">
        <f ca="1"/>
        <v>#NAME?</v>
      </c>
      <c r="CO83" s="2" t="e">
        <f t="shared" ca="1" si="92"/>
        <v>#NAME?</v>
      </c>
      <c r="CP83" s="2" t="e">
        <f ca="1"/>
        <v>#NAME?</v>
      </c>
      <c r="CQ83" s="2" t="e">
        <f t="shared" ca="1" si="93"/>
        <v>#NAME?</v>
      </c>
    </row>
    <row r="84" spans="1:95">
      <c r="A84" s="7" t="e">
        <f ca="1"/>
        <v>#NAME?</v>
      </c>
      <c r="B84" s="2" t="e">
        <f ca="1"/>
        <v>#NAME?</v>
      </c>
      <c r="C84" s="2" t="e">
        <f t="shared" ca="1" si="47"/>
        <v>#NAME?</v>
      </c>
      <c r="D84" s="2" t="e">
        <f ca="1"/>
        <v>#NAME?</v>
      </c>
      <c r="E84" s="2" t="e">
        <f t="shared" ca="1" si="48"/>
        <v>#NAME?</v>
      </c>
      <c r="F84" s="2" t="e">
        <f ca="1"/>
        <v>#NAME?</v>
      </c>
      <c r="G84" s="2" t="e">
        <f t="shared" ca="1" si="49"/>
        <v>#NAME?</v>
      </c>
      <c r="H84" s="2" t="e">
        <f ca="1"/>
        <v>#NAME?</v>
      </c>
      <c r="I84" s="2" t="e">
        <f t="shared" ca="1" si="50"/>
        <v>#NAME?</v>
      </c>
      <c r="J84" s="2" t="e">
        <f ca="1"/>
        <v>#NAME?</v>
      </c>
      <c r="K84" s="2" t="e">
        <f t="shared" ca="1" si="51"/>
        <v>#NAME?</v>
      </c>
      <c r="L84" s="2" t="e">
        <f ca="1"/>
        <v>#NAME?</v>
      </c>
      <c r="M84" s="2" t="e">
        <f t="shared" ca="1" si="52"/>
        <v>#NAME?</v>
      </c>
      <c r="N84" s="2" t="e">
        <f ca="1"/>
        <v>#NAME?</v>
      </c>
      <c r="O84" s="2" t="e">
        <f t="shared" ca="1" si="53"/>
        <v>#NAME?</v>
      </c>
      <c r="P84" s="2" t="e">
        <f ca="1"/>
        <v>#NAME?</v>
      </c>
      <c r="Q84" s="2" t="e">
        <f t="shared" ca="1" si="54"/>
        <v>#NAME?</v>
      </c>
      <c r="R84" s="2" t="e">
        <f ca="1"/>
        <v>#NAME?</v>
      </c>
      <c r="S84" s="2" t="e">
        <f t="shared" ca="1" si="55"/>
        <v>#NAME?</v>
      </c>
      <c r="T84" s="2" t="e">
        <f ca="1"/>
        <v>#NAME?</v>
      </c>
      <c r="U84" s="2" t="e">
        <f t="shared" ca="1" si="56"/>
        <v>#NAME?</v>
      </c>
      <c r="V84" s="2" t="e">
        <f ca="1"/>
        <v>#NAME?</v>
      </c>
      <c r="W84" s="2" t="e">
        <f t="shared" ca="1" si="57"/>
        <v>#NAME?</v>
      </c>
      <c r="X84" s="2" t="e">
        <f ca="1"/>
        <v>#NAME?</v>
      </c>
      <c r="Y84" s="2" t="e">
        <f t="shared" ca="1" si="58"/>
        <v>#NAME?</v>
      </c>
      <c r="Z84" s="2" t="e">
        <f ca="1"/>
        <v>#NAME?</v>
      </c>
      <c r="AA84" s="2" t="e">
        <f t="shared" ca="1" si="59"/>
        <v>#NAME?</v>
      </c>
      <c r="AB84" s="2" t="e">
        <f ca="1"/>
        <v>#NAME?</v>
      </c>
      <c r="AC84" s="2" t="e">
        <f t="shared" ca="1" si="60"/>
        <v>#NAME?</v>
      </c>
      <c r="AD84" s="2" t="e">
        <f ca="1"/>
        <v>#NAME?</v>
      </c>
      <c r="AE84" s="2" t="e">
        <f t="shared" ca="1" si="61"/>
        <v>#NAME?</v>
      </c>
      <c r="AF84" s="2" t="e">
        <f ca="1"/>
        <v>#NAME?</v>
      </c>
      <c r="AG84" s="2" t="e">
        <f t="shared" ca="1" si="62"/>
        <v>#NAME?</v>
      </c>
      <c r="AH84" s="2" t="e">
        <f ca="1"/>
        <v>#NAME?</v>
      </c>
      <c r="AI84" s="2" t="e">
        <f t="shared" ca="1" si="63"/>
        <v>#NAME?</v>
      </c>
      <c r="AJ84" s="2" t="e">
        <f ca="1"/>
        <v>#NAME?</v>
      </c>
      <c r="AK84" s="2" t="e">
        <f t="shared" ca="1" si="64"/>
        <v>#NAME?</v>
      </c>
      <c r="AL84" s="2" t="e">
        <f ca="1"/>
        <v>#NAME?</v>
      </c>
      <c r="AM84" s="2" t="e">
        <f t="shared" ca="1" si="65"/>
        <v>#NAME?</v>
      </c>
      <c r="AN84" s="2" t="e">
        <f ca="1"/>
        <v>#NAME?</v>
      </c>
      <c r="AO84" s="2" t="e">
        <f t="shared" ca="1" si="66"/>
        <v>#NAME?</v>
      </c>
      <c r="AP84" s="2" t="e">
        <f ca="1"/>
        <v>#NAME?</v>
      </c>
      <c r="AQ84" s="2" t="e">
        <f t="shared" ca="1" si="67"/>
        <v>#NAME?</v>
      </c>
      <c r="AR84" s="2" t="e">
        <f ca="1"/>
        <v>#NAME?</v>
      </c>
      <c r="AS84" s="2" t="e">
        <f t="shared" ca="1" si="68"/>
        <v>#NAME?</v>
      </c>
      <c r="AT84" s="2" t="e">
        <f ca="1"/>
        <v>#NAME?</v>
      </c>
      <c r="AU84" s="2" t="e">
        <f t="shared" ca="1" si="69"/>
        <v>#NAME?</v>
      </c>
      <c r="AV84" s="2" t="e">
        <f ca="1"/>
        <v>#NAME?</v>
      </c>
      <c r="AW84" s="2" t="e">
        <f t="shared" ca="1" si="70"/>
        <v>#NAME?</v>
      </c>
      <c r="AX84" s="2" t="e">
        <f ca="1"/>
        <v>#NAME?</v>
      </c>
      <c r="AY84" s="2" t="e">
        <f t="shared" ca="1" si="71"/>
        <v>#NAME?</v>
      </c>
      <c r="AZ84" s="2" t="e">
        <f ca="1"/>
        <v>#NAME?</v>
      </c>
      <c r="BA84" s="2" t="e">
        <f t="shared" ca="1" si="72"/>
        <v>#NAME?</v>
      </c>
      <c r="BB84" s="2" t="e">
        <f ca="1"/>
        <v>#NAME?</v>
      </c>
      <c r="BC84" s="2" t="e">
        <f t="shared" ca="1" si="73"/>
        <v>#NAME?</v>
      </c>
      <c r="BD84" s="2" t="e">
        <f ca="1"/>
        <v>#NAME?</v>
      </c>
      <c r="BE84" s="2" t="e">
        <f t="shared" ca="1" si="74"/>
        <v>#NAME?</v>
      </c>
      <c r="BF84" s="2" t="e">
        <f ca="1"/>
        <v>#NAME?</v>
      </c>
      <c r="BG84" s="2" t="e">
        <f t="shared" ca="1" si="75"/>
        <v>#NAME?</v>
      </c>
      <c r="BH84" s="2" t="e">
        <f ca="1"/>
        <v>#NAME?</v>
      </c>
      <c r="BI84" s="2" t="e">
        <f t="shared" ca="1" si="76"/>
        <v>#NAME?</v>
      </c>
      <c r="BJ84" s="2" t="e">
        <f ca="1"/>
        <v>#NAME?</v>
      </c>
      <c r="BK84" s="2" t="e">
        <f t="shared" ca="1" si="77"/>
        <v>#NAME?</v>
      </c>
      <c r="BL84" s="2" t="e">
        <f ca="1"/>
        <v>#NAME?</v>
      </c>
      <c r="BM84" s="2" t="e">
        <f t="shared" ca="1" si="78"/>
        <v>#NAME?</v>
      </c>
      <c r="BN84" s="2" t="e">
        <f ca="1"/>
        <v>#NAME?</v>
      </c>
      <c r="BO84" s="2" t="e">
        <f t="shared" ca="1" si="79"/>
        <v>#NAME?</v>
      </c>
      <c r="BP84" s="2" t="e">
        <f ca="1"/>
        <v>#NAME?</v>
      </c>
      <c r="BQ84" s="2" t="e">
        <f t="shared" ca="1" si="80"/>
        <v>#NAME?</v>
      </c>
      <c r="BR84" s="2" t="e">
        <f ca="1"/>
        <v>#NAME?</v>
      </c>
      <c r="BS84" s="2" t="e">
        <f t="shared" ca="1" si="81"/>
        <v>#NAME?</v>
      </c>
      <c r="BT84" s="2" t="e">
        <f ca="1"/>
        <v>#NAME?</v>
      </c>
      <c r="BU84" s="2" t="e">
        <f t="shared" ca="1" si="82"/>
        <v>#NAME?</v>
      </c>
      <c r="BV84" s="2" t="e">
        <f ca="1"/>
        <v>#NAME?</v>
      </c>
      <c r="BW84" s="2" t="e">
        <f t="shared" ca="1" si="83"/>
        <v>#NAME?</v>
      </c>
      <c r="BX84" s="2" t="e">
        <f ca="1"/>
        <v>#NAME?</v>
      </c>
      <c r="BY84" s="2" t="e">
        <f t="shared" ca="1" si="84"/>
        <v>#NAME?</v>
      </c>
      <c r="BZ84" s="2" t="e">
        <f ca="1"/>
        <v>#NAME?</v>
      </c>
      <c r="CA84" s="2" t="e">
        <f t="shared" ca="1" si="85"/>
        <v>#NAME?</v>
      </c>
      <c r="CB84" s="2" t="e">
        <f ca="1"/>
        <v>#NAME?</v>
      </c>
      <c r="CC84" s="2" t="e">
        <f t="shared" ca="1" si="86"/>
        <v>#NAME?</v>
      </c>
      <c r="CD84" s="2" t="e">
        <f ca="1"/>
        <v>#NAME?</v>
      </c>
      <c r="CE84" s="2" t="e">
        <f t="shared" ca="1" si="87"/>
        <v>#NAME?</v>
      </c>
      <c r="CF84" s="2" t="e">
        <f ca="1"/>
        <v>#NAME?</v>
      </c>
      <c r="CG84" s="2" t="e">
        <f t="shared" ca="1" si="88"/>
        <v>#NAME?</v>
      </c>
      <c r="CH84" s="2" t="e">
        <f ca="1"/>
        <v>#NAME?</v>
      </c>
      <c r="CI84" s="2" t="e">
        <f t="shared" ca="1" si="89"/>
        <v>#NAME?</v>
      </c>
      <c r="CJ84" s="2" t="e">
        <f ca="1"/>
        <v>#NAME?</v>
      </c>
      <c r="CK84" s="2" t="e">
        <f t="shared" ca="1" si="90"/>
        <v>#NAME?</v>
      </c>
      <c r="CL84" s="2" t="e">
        <f ca="1"/>
        <v>#NAME?</v>
      </c>
      <c r="CM84" s="2" t="e">
        <f t="shared" ca="1" si="91"/>
        <v>#NAME?</v>
      </c>
      <c r="CN84" s="2" t="e">
        <f ca="1"/>
        <v>#NAME?</v>
      </c>
      <c r="CO84" s="2" t="e">
        <f t="shared" ca="1" si="92"/>
        <v>#NAME?</v>
      </c>
      <c r="CP84" s="2" t="e">
        <f ca="1"/>
        <v>#NAME?</v>
      </c>
      <c r="CQ84" s="2" t="e">
        <f t="shared" ca="1" si="93"/>
        <v>#NAME?</v>
      </c>
    </row>
    <row r="85" spans="1:95">
      <c r="A85" s="7" t="e">
        <f ca="1"/>
        <v>#NAME?</v>
      </c>
      <c r="B85" s="2" t="e">
        <f ca="1"/>
        <v>#NAME?</v>
      </c>
      <c r="C85" s="2" t="e">
        <f t="shared" ca="1" si="47"/>
        <v>#NAME?</v>
      </c>
      <c r="D85" s="2" t="e">
        <f ca="1"/>
        <v>#NAME?</v>
      </c>
      <c r="E85" s="2" t="e">
        <f t="shared" ca="1" si="48"/>
        <v>#NAME?</v>
      </c>
      <c r="F85" s="2" t="e">
        <f ca="1"/>
        <v>#NAME?</v>
      </c>
      <c r="G85" s="2" t="e">
        <f t="shared" ca="1" si="49"/>
        <v>#NAME?</v>
      </c>
      <c r="H85" s="2" t="e">
        <f ca="1"/>
        <v>#NAME?</v>
      </c>
      <c r="I85" s="2" t="e">
        <f t="shared" ca="1" si="50"/>
        <v>#NAME?</v>
      </c>
      <c r="J85" s="2" t="e">
        <f ca="1"/>
        <v>#NAME?</v>
      </c>
      <c r="K85" s="2" t="e">
        <f t="shared" ca="1" si="51"/>
        <v>#NAME?</v>
      </c>
      <c r="L85" s="2" t="e">
        <f ca="1"/>
        <v>#NAME?</v>
      </c>
      <c r="M85" s="2" t="e">
        <f t="shared" ca="1" si="52"/>
        <v>#NAME?</v>
      </c>
      <c r="N85" s="2" t="e">
        <f ca="1"/>
        <v>#NAME?</v>
      </c>
      <c r="O85" s="2" t="e">
        <f t="shared" ca="1" si="53"/>
        <v>#NAME?</v>
      </c>
      <c r="P85" s="2" t="e">
        <f ca="1"/>
        <v>#NAME?</v>
      </c>
      <c r="Q85" s="2" t="e">
        <f t="shared" ca="1" si="54"/>
        <v>#NAME?</v>
      </c>
      <c r="R85" s="2" t="e">
        <f ca="1"/>
        <v>#NAME?</v>
      </c>
      <c r="S85" s="2" t="e">
        <f t="shared" ca="1" si="55"/>
        <v>#NAME?</v>
      </c>
      <c r="T85" s="2" t="e">
        <f ca="1"/>
        <v>#NAME?</v>
      </c>
      <c r="U85" s="2" t="e">
        <f t="shared" ca="1" si="56"/>
        <v>#NAME?</v>
      </c>
      <c r="V85" s="2" t="e">
        <f ca="1"/>
        <v>#NAME?</v>
      </c>
      <c r="W85" s="2" t="e">
        <f t="shared" ca="1" si="57"/>
        <v>#NAME?</v>
      </c>
      <c r="X85" s="2" t="e">
        <f ca="1"/>
        <v>#NAME?</v>
      </c>
      <c r="Y85" s="2" t="e">
        <f t="shared" ca="1" si="58"/>
        <v>#NAME?</v>
      </c>
      <c r="Z85" s="2" t="e">
        <f ca="1"/>
        <v>#NAME?</v>
      </c>
      <c r="AA85" s="2" t="e">
        <f t="shared" ca="1" si="59"/>
        <v>#NAME?</v>
      </c>
      <c r="AB85" s="2" t="e">
        <f ca="1"/>
        <v>#NAME?</v>
      </c>
      <c r="AC85" s="2" t="e">
        <f t="shared" ca="1" si="60"/>
        <v>#NAME?</v>
      </c>
      <c r="AD85" s="2" t="e">
        <f ca="1"/>
        <v>#NAME?</v>
      </c>
      <c r="AE85" s="2" t="e">
        <f t="shared" ca="1" si="61"/>
        <v>#NAME?</v>
      </c>
      <c r="AF85" s="2" t="e">
        <f ca="1"/>
        <v>#NAME?</v>
      </c>
      <c r="AG85" s="2" t="e">
        <f t="shared" ca="1" si="62"/>
        <v>#NAME?</v>
      </c>
      <c r="AH85" s="2" t="e">
        <f ca="1"/>
        <v>#NAME?</v>
      </c>
      <c r="AI85" s="2" t="e">
        <f t="shared" ca="1" si="63"/>
        <v>#NAME?</v>
      </c>
      <c r="AJ85" s="2" t="e">
        <f ca="1"/>
        <v>#NAME?</v>
      </c>
      <c r="AK85" s="2" t="e">
        <f t="shared" ca="1" si="64"/>
        <v>#NAME?</v>
      </c>
      <c r="AL85" s="2" t="e">
        <f ca="1"/>
        <v>#NAME?</v>
      </c>
      <c r="AM85" s="2" t="e">
        <f t="shared" ca="1" si="65"/>
        <v>#NAME?</v>
      </c>
      <c r="AN85" s="2" t="e">
        <f ca="1"/>
        <v>#NAME?</v>
      </c>
      <c r="AO85" s="2" t="e">
        <f t="shared" ca="1" si="66"/>
        <v>#NAME?</v>
      </c>
      <c r="AP85" s="2" t="e">
        <f ca="1"/>
        <v>#NAME?</v>
      </c>
      <c r="AQ85" s="2" t="e">
        <f t="shared" ca="1" si="67"/>
        <v>#NAME?</v>
      </c>
      <c r="AR85" s="2" t="e">
        <f ca="1"/>
        <v>#NAME?</v>
      </c>
      <c r="AS85" s="2" t="e">
        <f t="shared" ca="1" si="68"/>
        <v>#NAME?</v>
      </c>
      <c r="AT85" s="2" t="e">
        <f ca="1"/>
        <v>#NAME?</v>
      </c>
      <c r="AU85" s="2" t="e">
        <f t="shared" ca="1" si="69"/>
        <v>#NAME?</v>
      </c>
      <c r="AV85" s="2" t="e">
        <f ca="1"/>
        <v>#NAME?</v>
      </c>
      <c r="AW85" s="2" t="e">
        <f t="shared" ca="1" si="70"/>
        <v>#NAME?</v>
      </c>
      <c r="AX85" s="2" t="e">
        <f ca="1"/>
        <v>#NAME?</v>
      </c>
      <c r="AY85" s="2" t="e">
        <f t="shared" ca="1" si="71"/>
        <v>#NAME?</v>
      </c>
      <c r="AZ85" s="2" t="e">
        <f ca="1"/>
        <v>#NAME?</v>
      </c>
      <c r="BA85" s="2" t="e">
        <f t="shared" ca="1" si="72"/>
        <v>#NAME?</v>
      </c>
      <c r="BB85" s="2" t="e">
        <f ca="1"/>
        <v>#NAME?</v>
      </c>
      <c r="BC85" s="2" t="e">
        <f t="shared" ca="1" si="73"/>
        <v>#NAME?</v>
      </c>
      <c r="BD85" s="2" t="e">
        <f ca="1"/>
        <v>#NAME?</v>
      </c>
      <c r="BE85" s="2" t="e">
        <f t="shared" ca="1" si="74"/>
        <v>#NAME?</v>
      </c>
      <c r="BF85" s="2" t="e">
        <f ca="1"/>
        <v>#NAME?</v>
      </c>
      <c r="BG85" s="2" t="e">
        <f t="shared" ca="1" si="75"/>
        <v>#NAME?</v>
      </c>
      <c r="BH85" s="2" t="e">
        <f ca="1"/>
        <v>#NAME?</v>
      </c>
      <c r="BI85" s="2" t="e">
        <f t="shared" ca="1" si="76"/>
        <v>#NAME?</v>
      </c>
      <c r="BJ85" s="2" t="e">
        <f ca="1"/>
        <v>#NAME?</v>
      </c>
      <c r="BK85" s="2" t="e">
        <f t="shared" ca="1" si="77"/>
        <v>#NAME?</v>
      </c>
      <c r="BL85" s="2" t="e">
        <f ca="1"/>
        <v>#NAME?</v>
      </c>
      <c r="BM85" s="2" t="e">
        <f t="shared" ca="1" si="78"/>
        <v>#NAME?</v>
      </c>
      <c r="BN85" s="2" t="e">
        <f ca="1"/>
        <v>#NAME?</v>
      </c>
      <c r="BO85" s="2" t="e">
        <f t="shared" ca="1" si="79"/>
        <v>#NAME?</v>
      </c>
      <c r="BP85" s="2" t="e">
        <f ca="1"/>
        <v>#NAME?</v>
      </c>
      <c r="BQ85" s="2" t="e">
        <f t="shared" ca="1" si="80"/>
        <v>#NAME?</v>
      </c>
      <c r="BR85" s="2" t="e">
        <f ca="1"/>
        <v>#NAME?</v>
      </c>
      <c r="BS85" s="2" t="e">
        <f t="shared" ca="1" si="81"/>
        <v>#NAME?</v>
      </c>
      <c r="BT85" s="2" t="e">
        <f ca="1"/>
        <v>#NAME?</v>
      </c>
      <c r="BU85" s="2" t="e">
        <f t="shared" ca="1" si="82"/>
        <v>#NAME?</v>
      </c>
      <c r="BV85" s="2" t="e">
        <f ca="1"/>
        <v>#NAME?</v>
      </c>
      <c r="BW85" s="2" t="e">
        <f t="shared" ca="1" si="83"/>
        <v>#NAME?</v>
      </c>
      <c r="BX85" s="2" t="e">
        <f ca="1"/>
        <v>#NAME?</v>
      </c>
      <c r="BY85" s="2" t="e">
        <f t="shared" ca="1" si="84"/>
        <v>#NAME?</v>
      </c>
      <c r="BZ85" s="2" t="e">
        <f ca="1"/>
        <v>#NAME?</v>
      </c>
      <c r="CA85" s="2" t="e">
        <f t="shared" ca="1" si="85"/>
        <v>#NAME?</v>
      </c>
      <c r="CB85" s="2" t="e">
        <f ca="1"/>
        <v>#NAME?</v>
      </c>
      <c r="CC85" s="2" t="e">
        <f t="shared" ca="1" si="86"/>
        <v>#NAME?</v>
      </c>
      <c r="CD85" s="2" t="e">
        <f ca="1"/>
        <v>#NAME?</v>
      </c>
      <c r="CE85" s="2" t="e">
        <f t="shared" ca="1" si="87"/>
        <v>#NAME?</v>
      </c>
      <c r="CF85" s="2" t="e">
        <f ca="1"/>
        <v>#NAME?</v>
      </c>
      <c r="CG85" s="2" t="e">
        <f t="shared" ca="1" si="88"/>
        <v>#NAME?</v>
      </c>
      <c r="CH85" s="2" t="e">
        <f ca="1"/>
        <v>#NAME?</v>
      </c>
      <c r="CI85" s="2" t="e">
        <f t="shared" ca="1" si="89"/>
        <v>#NAME?</v>
      </c>
      <c r="CJ85" s="2" t="e">
        <f ca="1"/>
        <v>#NAME?</v>
      </c>
      <c r="CK85" s="2" t="e">
        <f t="shared" ca="1" si="90"/>
        <v>#NAME?</v>
      </c>
      <c r="CL85" s="2" t="e">
        <f ca="1"/>
        <v>#NAME?</v>
      </c>
      <c r="CM85" s="2" t="e">
        <f t="shared" ca="1" si="91"/>
        <v>#NAME?</v>
      </c>
      <c r="CN85" s="2" t="e">
        <f ca="1"/>
        <v>#NAME?</v>
      </c>
      <c r="CO85" s="2" t="e">
        <f t="shared" ca="1" si="92"/>
        <v>#NAME?</v>
      </c>
      <c r="CP85" s="2" t="e">
        <f ca="1"/>
        <v>#NAME?</v>
      </c>
      <c r="CQ85" s="2" t="e">
        <f t="shared" ca="1" si="93"/>
        <v>#NAME?</v>
      </c>
    </row>
    <row r="86" spans="1:95">
      <c r="A86" s="7" t="e">
        <f ca="1"/>
        <v>#NAME?</v>
      </c>
      <c r="B86" s="2" t="e">
        <f ca="1"/>
        <v>#NAME?</v>
      </c>
      <c r="C86" s="2" t="e">
        <f t="shared" ca="1" si="47"/>
        <v>#NAME?</v>
      </c>
      <c r="D86" s="2" t="e">
        <f ca="1"/>
        <v>#NAME?</v>
      </c>
      <c r="E86" s="2" t="e">
        <f t="shared" ca="1" si="48"/>
        <v>#NAME?</v>
      </c>
      <c r="F86" s="2" t="e">
        <f ca="1"/>
        <v>#NAME?</v>
      </c>
      <c r="G86" s="2" t="e">
        <f t="shared" ca="1" si="49"/>
        <v>#NAME?</v>
      </c>
      <c r="H86" s="2" t="e">
        <f ca="1"/>
        <v>#NAME?</v>
      </c>
      <c r="I86" s="2" t="e">
        <f t="shared" ca="1" si="50"/>
        <v>#NAME?</v>
      </c>
      <c r="J86" s="2" t="e">
        <f ca="1"/>
        <v>#NAME?</v>
      </c>
      <c r="K86" s="2" t="e">
        <f t="shared" ca="1" si="51"/>
        <v>#NAME?</v>
      </c>
      <c r="L86" s="2" t="e">
        <f ca="1"/>
        <v>#NAME?</v>
      </c>
      <c r="M86" s="2" t="e">
        <f t="shared" ca="1" si="52"/>
        <v>#NAME?</v>
      </c>
      <c r="N86" s="2" t="e">
        <f ca="1"/>
        <v>#NAME?</v>
      </c>
      <c r="O86" s="2" t="e">
        <f t="shared" ca="1" si="53"/>
        <v>#NAME?</v>
      </c>
      <c r="P86" s="2" t="e">
        <f ca="1"/>
        <v>#NAME?</v>
      </c>
      <c r="Q86" s="2" t="e">
        <f t="shared" ca="1" si="54"/>
        <v>#NAME?</v>
      </c>
      <c r="R86" s="2" t="e">
        <f ca="1"/>
        <v>#NAME?</v>
      </c>
      <c r="S86" s="2" t="e">
        <f t="shared" ca="1" si="55"/>
        <v>#NAME?</v>
      </c>
      <c r="T86" s="2" t="e">
        <f ca="1"/>
        <v>#NAME?</v>
      </c>
      <c r="U86" s="2" t="e">
        <f t="shared" ca="1" si="56"/>
        <v>#NAME?</v>
      </c>
      <c r="V86" s="2" t="e">
        <f ca="1"/>
        <v>#NAME?</v>
      </c>
      <c r="W86" s="2" t="e">
        <f t="shared" ca="1" si="57"/>
        <v>#NAME?</v>
      </c>
      <c r="X86" s="2" t="e">
        <f ca="1"/>
        <v>#NAME?</v>
      </c>
      <c r="Y86" s="2" t="e">
        <f t="shared" ca="1" si="58"/>
        <v>#NAME?</v>
      </c>
      <c r="Z86" s="2" t="e">
        <f ca="1"/>
        <v>#NAME?</v>
      </c>
      <c r="AA86" s="2" t="e">
        <f t="shared" ca="1" si="59"/>
        <v>#NAME?</v>
      </c>
      <c r="AB86" s="2" t="e">
        <f ca="1"/>
        <v>#NAME?</v>
      </c>
      <c r="AC86" s="2" t="e">
        <f t="shared" ca="1" si="60"/>
        <v>#NAME?</v>
      </c>
      <c r="AD86" s="2" t="e">
        <f ca="1"/>
        <v>#NAME?</v>
      </c>
      <c r="AE86" s="2" t="e">
        <f t="shared" ca="1" si="61"/>
        <v>#NAME?</v>
      </c>
      <c r="AF86" s="2" t="e">
        <f ca="1"/>
        <v>#NAME?</v>
      </c>
      <c r="AG86" s="2" t="e">
        <f t="shared" ca="1" si="62"/>
        <v>#NAME?</v>
      </c>
      <c r="AH86" s="2" t="e">
        <f ca="1"/>
        <v>#NAME?</v>
      </c>
      <c r="AI86" s="2" t="e">
        <f t="shared" ca="1" si="63"/>
        <v>#NAME?</v>
      </c>
      <c r="AJ86" s="2" t="e">
        <f ca="1"/>
        <v>#NAME?</v>
      </c>
      <c r="AK86" s="2" t="e">
        <f t="shared" ca="1" si="64"/>
        <v>#NAME?</v>
      </c>
      <c r="AL86" s="2" t="e">
        <f ca="1"/>
        <v>#NAME?</v>
      </c>
      <c r="AM86" s="2" t="e">
        <f t="shared" ca="1" si="65"/>
        <v>#NAME?</v>
      </c>
      <c r="AN86" s="2" t="e">
        <f ca="1"/>
        <v>#NAME?</v>
      </c>
      <c r="AO86" s="2" t="e">
        <f t="shared" ca="1" si="66"/>
        <v>#NAME?</v>
      </c>
      <c r="AP86" s="2" t="e">
        <f ca="1"/>
        <v>#NAME?</v>
      </c>
      <c r="AQ86" s="2" t="e">
        <f t="shared" ca="1" si="67"/>
        <v>#NAME?</v>
      </c>
      <c r="AR86" s="2" t="e">
        <f ca="1"/>
        <v>#NAME?</v>
      </c>
      <c r="AS86" s="2" t="e">
        <f t="shared" ca="1" si="68"/>
        <v>#NAME?</v>
      </c>
      <c r="AT86" s="2" t="e">
        <f ca="1"/>
        <v>#NAME?</v>
      </c>
      <c r="AU86" s="2" t="e">
        <f t="shared" ca="1" si="69"/>
        <v>#NAME?</v>
      </c>
      <c r="AV86" s="2" t="e">
        <f ca="1"/>
        <v>#NAME?</v>
      </c>
      <c r="AW86" s="2" t="e">
        <f t="shared" ca="1" si="70"/>
        <v>#NAME?</v>
      </c>
      <c r="AX86" s="2" t="e">
        <f ca="1"/>
        <v>#NAME?</v>
      </c>
      <c r="AY86" s="2" t="e">
        <f t="shared" ca="1" si="71"/>
        <v>#NAME?</v>
      </c>
      <c r="AZ86" s="2" t="e">
        <f ca="1"/>
        <v>#NAME?</v>
      </c>
      <c r="BA86" s="2" t="e">
        <f t="shared" ca="1" si="72"/>
        <v>#NAME?</v>
      </c>
      <c r="BB86" s="2" t="e">
        <f ca="1"/>
        <v>#NAME?</v>
      </c>
      <c r="BC86" s="2" t="e">
        <f t="shared" ca="1" si="73"/>
        <v>#NAME?</v>
      </c>
      <c r="BD86" s="2" t="e">
        <f ca="1"/>
        <v>#NAME?</v>
      </c>
      <c r="BE86" s="2" t="e">
        <f t="shared" ca="1" si="74"/>
        <v>#NAME?</v>
      </c>
      <c r="BF86" s="2" t="e">
        <f ca="1"/>
        <v>#NAME?</v>
      </c>
      <c r="BG86" s="2" t="e">
        <f t="shared" ca="1" si="75"/>
        <v>#NAME?</v>
      </c>
      <c r="BH86" s="2" t="e">
        <f ca="1"/>
        <v>#NAME?</v>
      </c>
      <c r="BI86" s="2" t="e">
        <f t="shared" ca="1" si="76"/>
        <v>#NAME?</v>
      </c>
      <c r="BJ86" s="2" t="e">
        <f ca="1"/>
        <v>#NAME?</v>
      </c>
      <c r="BK86" s="2" t="e">
        <f t="shared" ca="1" si="77"/>
        <v>#NAME?</v>
      </c>
      <c r="BL86" s="2" t="e">
        <f ca="1"/>
        <v>#NAME?</v>
      </c>
      <c r="BM86" s="2" t="e">
        <f t="shared" ca="1" si="78"/>
        <v>#NAME?</v>
      </c>
      <c r="BN86" s="2" t="e">
        <f ca="1"/>
        <v>#NAME?</v>
      </c>
      <c r="BO86" s="2" t="e">
        <f t="shared" ca="1" si="79"/>
        <v>#NAME?</v>
      </c>
      <c r="BP86" s="2" t="e">
        <f ca="1"/>
        <v>#NAME?</v>
      </c>
      <c r="BQ86" s="2" t="e">
        <f t="shared" ca="1" si="80"/>
        <v>#NAME?</v>
      </c>
      <c r="BR86" s="2" t="e">
        <f ca="1"/>
        <v>#NAME?</v>
      </c>
      <c r="BS86" s="2" t="e">
        <f t="shared" ca="1" si="81"/>
        <v>#NAME?</v>
      </c>
      <c r="BT86" s="2" t="e">
        <f ca="1"/>
        <v>#NAME?</v>
      </c>
      <c r="BU86" s="2" t="e">
        <f t="shared" ca="1" si="82"/>
        <v>#NAME?</v>
      </c>
      <c r="BV86" s="2" t="e">
        <f ca="1"/>
        <v>#NAME?</v>
      </c>
      <c r="BW86" s="2" t="e">
        <f t="shared" ca="1" si="83"/>
        <v>#NAME?</v>
      </c>
      <c r="BX86" s="2" t="e">
        <f ca="1"/>
        <v>#NAME?</v>
      </c>
      <c r="BY86" s="2" t="e">
        <f t="shared" ca="1" si="84"/>
        <v>#NAME?</v>
      </c>
      <c r="BZ86" s="2" t="e">
        <f ca="1"/>
        <v>#NAME?</v>
      </c>
      <c r="CA86" s="2" t="e">
        <f t="shared" ca="1" si="85"/>
        <v>#NAME?</v>
      </c>
      <c r="CB86" s="2" t="e">
        <f ca="1"/>
        <v>#NAME?</v>
      </c>
      <c r="CC86" s="2" t="e">
        <f t="shared" ca="1" si="86"/>
        <v>#NAME?</v>
      </c>
      <c r="CD86" s="2" t="e">
        <f ca="1"/>
        <v>#NAME?</v>
      </c>
      <c r="CE86" s="2" t="e">
        <f t="shared" ca="1" si="87"/>
        <v>#NAME?</v>
      </c>
      <c r="CF86" s="2" t="e">
        <f ca="1"/>
        <v>#NAME?</v>
      </c>
      <c r="CG86" s="2" t="e">
        <f t="shared" ca="1" si="88"/>
        <v>#NAME?</v>
      </c>
      <c r="CH86" s="2" t="e">
        <f ca="1"/>
        <v>#NAME?</v>
      </c>
      <c r="CI86" s="2" t="e">
        <f t="shared" ca="1" si="89"/>
        <v>#NAME?</v>
      </c>
      <c r="CJ86" s="2" t="e">
        <f ca="1"/>
        <v>#NAME?</v>
      </c>
      <c r="CK86" s="2" t="e">
        <f t="shared" ca="1" si="90"/>
        <v>#NAME?</v>
      </c>
      <c r="CL86" s="2" t="e">
        <f ca="1"/>
        <v>#NAME?</v>
      </c>
      <c r="CM86" s="2" t="e">
        <f t="shared" ca="1" si="91"/>
        <v>#NAME?</v>
      </c>
      <c r="CN86" s="2" t="e">
        <f ca="1"/>
        <v>#NAME?</v>
      </c>
      <c r="CO86" s="2" t="e">
        <f t="shared" ca="1" si="92"/>
        <v>#NAME?</v>
      </c>
      <c r="CP86" s="2" t="e">
        <f ca="1"/>
        <v>#NAME?</v>
      </c>
      <c r="CQ86" s="2" t="e">
        <f t="shared" ca="1" si="93"/>
        <v>#NAME?</v>
      </c>
    </row>
    <row r="87" spans="1:95">
      <c r="A87" s="7" t="e">
        <f ca="1"/>
        <v>#NAME?</v>
      </c>
      <c r="B87" s="2" t="e">
        <f ca="1"/>
        <v>#NAME?</v>
      </c>
      <c r="C87" s="2" t="e">
        <f t="shared" ca="1" si="47"/>
        <v>#NAME?</v>
      </c>
      <c r="D87" s="2" t="e">
        <f ca="1"/>
        <v>#NAME?</v>
      </c>
      <c r="E87" s="2" t="e">
        <f t="shared" ca="1" si="48"/>
        <v>#NAME?</v>
      </c>
      <c r="F87" s="2" t="e">
        <f ca="1"/>
        <v>#NAME?</v>
      </c>
      <c r="G87" s="2" t="e">
        <f t="shared" ca="1" si="49"/>
        <v>#NAME?</v>
      </c>
      <c r="H87" s="2" t="e">
        <f ca="1"/>
        <v>#NAME?</v>
      </c>
      <c r="I87" s="2" t="e">
        <f t="shared" ca="1" si="50"/>
        <v>#NAME?</v>
      </c>
      <c r="J87" s="2" t="e">
        <f ca="1"/>
        <v>#NAME?</v>
      </c>
      <c r="K87" s="2" t="e">
        <f t="shared" ca="1" si="51"/>
        <v>#NAME?</v>
      </c>
      <c r="L87" s="2" t="e">
        <f ca="1"/>
        <v>#NAME?</v>
      </c>
      <c r="M87" s="2" t="e">
        <f t="shared" ca="1" si="52"/>
        <v>#NAME?</v>
      </c>
      <c r="N87" s="2" t="e">
        <f ca="1"/>
        <v>#NAME?</v>
      </c>
      <c r="O87" s="2" t="e">
        <f t="shared" ca="1" si="53"/>
        <v>#NAME?</v>
      </c>
      <c r="P87" s="2" t="e">
        <f ca="1"/>
        <v>#NAME?</v>
      </c>
      <c r="Q87" s="2" t="e">
        <f t="shared" ca="1" si="54"/>
        <v>#NAME?</v>
      </c>
      <c r="R87" s="2" t="e">
        <f ca="1"/>
        <v>#NAME?</v>
      </c>
      <c r="S87" s="2" t="e">
        <f t="shared" ca="1" si="55"/>
        <v>#NAME?</v>
      </c>
      <c r="T87" s="2" t="e">
        <f ca="1"/>
        <v>#NAME?</v>
      </c>
      <c r="U87" s="2" t="e">
        <f t="shared" ca="1" si="56"/>
        <v>#NAME?</v>
      </c>
      <c r="V87" s="2" t="e">
        <f ca="1"/>
        <v>#NAME?</v>
      </c>
      <c r="W87" s="2" t="e">
        <f t="shared" ca="1" si="57"/>
        <v>#NAME?</v>
      </c>
      <c r="X87" s="2" t="e">
        <f ca="1"/>
        <v>#NAME?</v>
      </c>
      <c r="Y87" s="2" t="e">
        <f t="shared" ca="1" si="58"/>
        <v>#NAME?</v>
      </c>
      <c r="Z87" s="2" t="e">
        <f ca="1"/>
        <v>#NAME?</v>
      </c>
      <c r="AA87" s="2" t="e">
        <f t="shared" ca="1" si="59"/>
        <v>#NAME?</v>
      </c>
      <c r="AB87" s="2" t="e">
        <f ca="1"/>
        <v>#NAME?</v>
      </c>
      <c r="AC87" s="2" t="e">
        <f t="shared" ca="1" si="60"/>
        <v>#NAME?</v>
      </c>
      <c r="AD87" s="2" t="e">
        <f ca="1"/>
        <v>#NAME?</v>
      </c>
      <c r="AE87" s="2" t="e">
        <f t="shared" ca="1" si="61"/>
        <v>#NAME?</v>
      </c>
      <c r="AF87" s="2" t="e">
        <f ca="1"/>
        <v>#NAME?</v>
      </c>
      <c r="AG87" s="2" t="e">
        <f t="shared" ca="1" si="62"/>
        <v>#NAME?</v>
      </c>
      <c r="AH87" s="2" t="e">
        <f ca="1"/>
        <v>#NAME?</v>
      </c>
      <c r="AI87" s="2" t="e">
        <f t="shared" ca="1" si="63"/>
        <v>#NAME?</v>
      </c>
      <c r="AJ87" s="2" t="e">
        <f ca="1"/>
        <v>#NAME?</v>
      </c>
      <c r="AK87" s="2" t="e">
        <f t="shared" ca="1" si="64"/>
        <v>#NAME?</v>
      </c>
      <c r="AL87" s="2" t="e">
        <f ca="1"/>
        <v>#NAME?</v>
      </c>
      <c r="AM87" s="2" t="e">
        <f t="shared" ca="1" si="65"/>
        <v>#NAME?</v>
      </c>
      <c r="AN87" s="2" t="e">
        <f ca="1"/>
        <v>#NAME?</v>
      </c>
      <c r="AO87" s="2" t="e">
        <f t="shared" ca="1" si="66"/>
        <v>#NAME?</v>
      </c>
      <c r="AP87" s="2" t="e">
        <f ca="1"/>
        <v>#NAME?</v>
      </c>
      <c r="AQ87" s="2" t="e">
        <f t="shared" ca="1" si="67"/>
        <v>#NAME?</v>
      </c>
      <c r="AR87" s="2" t="e">
        <f ca="1"/>
        <v>#NAME?</v>
      </c>
      <c r="AS87" s="2" t="e">
        <f t="shared" ca="1" si="68"/>
        <v>#NAME?</v>
      </c>
      <c r="AT87" s="2" t="e">
        <f ca="1"/>
        <v>#NAME?</v>
      </c>
      <c r="AU87" s="2" t="e">
        <f t="shared" ca="1" si="69"/>
        <v>#NAME?</v>
      </c>
      <c r="AV87" s="2" t="e">
        <f ca="1"/>
        <v>#NAME?</v>
      </c>
      <c r="AW87" s="2" t="e">
        <f t="shared" ca="1" si="70"/>
        <v>#NAME?</v>
      </c>
      <c r="AX87" s="2" t="e">
        <f ca="1"/>
        <v>#NAME?</v>
      </c>
      <c r="AY87" s="2" t="e">
        <f t="shared" ca="1" si="71"/>
        <v>#NAME?</v>
      </c>
      <c r="AZ87" s="2" t="e">
        <f ca="1"/>
        <v>#NAME?</v>
      </c>
      <c r="BA87" s="2" t="e">
        <f t="shared" ca="1" si="72"/>
        <v>#NAME?</v>
      </c>
      <c r="BB87" s="2" t="e">
        <f ca="1"/>
        <v>#NAME?</v>
      </c>
      <c r="BC87" s="2" t="e">
        <f t="shared" ca="1" si="73"/>
        <v>#NAME?</v>
      </c>
      <c r="BD87" s="2" t="e">
        <f ca="1"/>
        <v>#NAME?</v>
      </c>
      <c r="BE87" s="2" t="e">
        <f t="shared" ca="1" si="74"/>
        <v>#NAME?</v>
      </c>
      <c r="BF87" s="2" t="e">
        <f ca="1"/>
        <v>#NAME?</v>
      </c>
      <c r="BG87" s="2" t="e">
        <f t="shared" ca="1" si="75"/>
        <v>#NAME?</v>
      </c>
      <c r="BH87" s="2" t="e">
        <f ca="1"/>
        <v>#NAME?</v>
      </c>
      <c r="BI87" s="2" t="e">
        <f t="shared" ca="1" si="76"/>
        <v>#NAME?</v>
      </c>
      <c r="BJ87" s="2" t="e">
        <f ca="1"/>
        <v>#NAME?</v>
      </c>
      <c r="BK87" s="2" t="e">
        <f t="shared" ca="1" si="77"/>
        <v>#NAME?</v>
      </c>
      <c r="BL87" s="2" t="e">
        <f ca="1"/>
        <v>#NAME?</v>
      </c>
      <c r="BM87" s="2" t="e">
        <f t="shared" ca="1" si="78"/>
        <v>#NAME?</v>
      </c>
      <c r="BN87" s="2" t="e">
        <f ca="1"/>
        <v>#NAME?</v>
      </c>
      <c r="BO87" s="2" t="e">
        <f t="shared" ca="1" si="79"/>
        <v>#NAME?</v>
      </c>
      <c r="BP87" s="2" t="e">
        <f ca="1"/>
        <v>#NAME?</v>
      </c>
      <c r="BQ87" s="2" t="e">
        <f t="shared" ca="1" si="80"/>
        <v>#NAME?</v>
      </c>
      <c r="BR87" s="2" t="e">
        <f ca="1"/>
        <v>#NAME?</v>
      </c>
      <c r="BS87" s="2" t="e">
        <f t="shared" ca="1" si="81"/>
        <v>#NAME?</v>
      </c>
      <c r="BT87" s="2" t="e">
        <f ca="1"/>
        <v>#NAME?</v>
      </c>
      <c r="BU87" s="2" t="e">
        <f t="shared" ca="1" si="82"/>
        <v>#NAME?</v>
      </c>
      <c r="BV87" s="2" t="e">
        <f ca="1"/>
        <v>#NAME?</v>
      </c>
      <c r="BW87" s="2" t="e">
        <f t="shared" ca="1" si="83"/>
        <v>#NAME?</v>
      </c>
      <c r="BX87" s="2" t="e">
        <f ca="1"/>
        <v>#NAME?</v>
      </c>
      <c r="BY87" s="2" t="e">
        <f t="shared" ca="1" si="84"/>
        <v>#NAME?</v>
      </c>
      <c r="BZ87" s="2" t="e">
        <f ca="1"/>
        <v>#NAME?</v>
      </c>
      <c r="CA87" s="2" t="e">
        <f t="shared" ca="1" si="85"/>
        <v>#NAME?</v>
      </c>
      <c r="CB87" s="2" t="e">
        <f ca="1"/>
        <v>#NAME?</v>
      </c>
      <c r="CC87" s="2" t="e">
        <f t="shared" ca="1" si="86"/>
        <v>#NAME?</v>
      </c>
      <c r="CD87" s="2" t="e">
        <f ca="1"/>
        <v>#NAME?</v>
      </c>
      <c r="CE87" s="2" t="e">
        <f t="shared" ca="1" si="87"/>
        <v>#NAME?</v>
      </c>
      <c r="CF87" s="2" t="e">
        <f ca="1"/>
        <v>#NAME?</v>
      </c>
      <c r="CG87" s="2" t="e">
        <f t="shared" ca="1" si="88"/>
        <v>#NAME?</v>
      </c>
      <c r="CH87" s="2" t="e">
        <f ca="1"/>
        <v>#NAME?</v>
      </c>
      <c r="CI87" s="2" t="e">
        <f t="shared" ca="1" si="89"/>
        <v>#NAME?</v>
      </c>
      <c r="CJ87" s="2" t="e">
        <f ca="1"/>
        <v>#NAME?</v>
      </c>
      <c r="CK87" s="2" t="e">
        <f t="shared" ca="1" si="90"/>
        <v>#NAME?</v>
      </c>
      <c r="CL87" s="2" t="e">
        <f ca="1"/>
        <v>#NAME?</v>
      </c>
      <c r="CM87" s="2" t="e">
        <f t="shared" ca="1" si="91"/>
        <v>#NAME?</v>
      </c>
      <c r="CN87" s="2" t="e">
        <f ca="1"/>
        <v>#NAME?</v>
      </c>
      <c r="CO87" s="2" t="e">
        <f t="shared" ca="1" si="92"/>
        <v>#NAME?</v>
      </c>
      <c r="CP87" s="2" t="e">
        <f ca="1"/>
        <v>#NAME?</v>
      </c>
      <c r="CQ87" s="2" t="e">
        <f t="shared" ca="1" si="93"/>
        <v>#NAME?</v>
      </c>
    </row>
    <row r="88" spans="1:95">
      <c r="A88" s="7" t="e">
        <f ca="1"/>
        <v>#NAME?</v>
      </c>
      <c r="B88" s="2" t="e">
        <f ca="1"/>
        <v>#NAME?</v>
      </c>
      <c r="C88" s="2" t="e">
        <f t="shared" ca="1" si="47"/>
        <v>#NAME?</v>
      </c>
      <c r="D88" s="2" t="e">
        <f ca="1"/>
        <v>#NAME?</v>
      </c>
      <c r="E88" s="2" t="e">
        <f t="shared" ca="1" si="48"/>
        <v>#NAME?</v>
      </c>
      <c r="F88" s="2" t="e">
        <f ca="1"/>
        <v>#NAME?</v>
      </c>
      <c r="G88" s="2" t="e">
        <f t="shared" ca="1" si="49"/>
        <v>#NAME?</v>
      </c>
      <c r="H88" s="2" t="e">
        <f ca="1"/>
        <v>#NAME?</v>
      </c>
      <c r="I88" s="2" t="e">
        <f t="shared" ca="1" si="50"/>
        <v>#NAME?</v>
      </c>
      <c r="J88" s="2" t="e">
        <f ca="1"/>
        <v>#NAME?</v>
      </c>
      <c r="K88" s="2" t="e">
        <f t="shared" ca="1" si="51"/>
        <v>#NAME?</v>
      </c>
      <c r="L88" s="2" t="e">
        <f ca="1"/>
        <v>#NAME?</v>
      </c>
      <c r="M88" s="2" t="e">
        <f t="shared" ca="1" si="52"/>
        <v>#NAME?</v>
      </c>
      <c r="N88" s="2" t="e">
        <f ca="1"/>
        <v>#NAME?</v>
      </c>
      <c r="O88" s="2" t="e">
        <f t="shared" ca="1" si="53"/>
        <v>#NAME?</v>
      </c>
      <c r="P88" s="2" t="e">
        <f ca="1"/>
        <v>#NAME?</v>
      </c>
      <c r="Q88" s="2" t="e">
        <f t="shared" ca="1" si="54"/>
        <v>#NAME?</v>
      </c>
      <c r="R88" s="2" t="e">
        <f ca="1"/>
        <v>#NAME?</v>
      </c>
      <c r="S88" s="2" t="e">
        <f t="shared" ca="1" si="55"/>
        <v>#NAME?</v>
      </c>
      <c r="T88" s="2" t="e">
        <f ca="1"/>
        <v>#NAME?</v>
      </c>
      <c r="U88" s="2" t="e">
        <f t="shared" ca="1" si="56"/>
        <v>#NAME?</v>
      </c>
      <c r="V88" s="2" t="e">
        <f ca="1"/>
        <v>#NAME?</v>
      </c>
      <c r="W88" s="2" t="e">
        <f t="shared" ca="1" si="57"/>
        <v>#NAME?</v>
      </c>
      <c r="X88" s="2" t="e">
        <f ca="1"/>
        <v>#NAME?</v>
      </c>
      <c r="Y88" s="2" t="e">
        <f t="shared" ca="1" si="58"/>
        <v>#NAME?</v>
      </c>
      <c r="Z88" s="2" t="e">
        <f ca="1"/>
        <v>#NAME?</v>
      </c>
      <c r="AA88" s="2" t="e">
        <f t="shared" ca="1" si="59"/>
        <v>#NAME?</v>
      </c>
      <c r="AB88" s="2" t="e">
        <f ca="1"/>
        <v>#NAME?</v>
      </c>
      <c r="AC88" s="2" t="e">
        <f t="shared" ca="1" si="60"/>
        <v>#NAME?</v>
      </c>
      <c r="AD88" s="2" t="e">
        <f ca="1"/>
        <v>#NAME?</v>
      </c>
      <c r="AE88" s="2" t="e">
        <f t="shared" ca="1" si="61"/>
        <v>#NAME?</v>
      </c>
      <c r="AF88" s="2" t="e">
        <f ca="1"/>
        <v>#NAME?</v>
      </c>
      <c r="AG88" s="2" t="e">
        <f t="shared" ca="1" si="62"/>
        <v>#NAME?</v>
      </c>
      <c r="AH88" s="2" t="e">
        <f ca="1"/>
        <v>#NAME?</v>
      </c>
      <c r="AI88" s="2" t="e">
        <f t="shared" ca="1" si="63"/>
        <v>#NAME?</v>
      </c>
      <c r="AJ88" s="2" t="e">
        <f ca="1"/>
        <v>#NAME?</v>
      </c>
      <c r="AK88" s="2" t="e">
        <f t="shared" ca="1" si="64"/>
        <v>#NAME?</v>
      </c>
      <c r="AL88" s="2" t="e">
        <f ca="1"/>
        <v>#NAME?</v>
      </c>
      <c r="AM88" s="2" t="e">
        <f t="shared" ca="1" si="65"/>
        <v>#NAME?</v>
      </c>
      <c r="AN88" s="2" t="e">
        <f ca="1"/>
        <v>#NAME?</v>
      </c>
      <c r="AO88" s="2" t="e">
        <f t="shared" ca="1" si="66"/>
        <v>#NAME?</v>
      </c>
      <c r="AP88" s="2" t="e">
        <f ca="1"/>
        <v>#NAME?</v>
      </c>
      <c r="AQ88" s="2" t="e">
        <f t="shared" ca="1" si="67"/>
        <v>#NAME?</v>
      </c>
      <c r="AR88" s="2" t="e">
        <f ca="1"/>
        <v>#NAME?</v>
      </c>
      <c r="AS88" s="2" t="e">
        <f t="shared" ca="1" si="68"/>
        <v>#NAME?</v>
      </c>
      <c r="AT88" s="2" t="e">
        <f ca="1"/>
        <v>#NAME?</v>
      </c>
      <c r="AU88" s="2" t="e">
        <f t="shared" ca="1" si="69"/>
        <v>#NAME?</v>
      </c>
      <c r="AV88" s="2" t="e">
        <f ca="1"/>
        <v>#NAME?</v>
      </c>
      <c r="AW88" s="2" t="e">
        <f t="shared" ca="1" si="70"/>
        <v>#NAME?</v>
      </c>
      <c r="AX88" s="2" t="e">
        <f ca="1"/>
        <v>#NAME?</v>
      </c>
      <c r="AY88" s="2" t="e">
        <f t="shared" ca="1" si="71"/>
        <v>#NAME?</v>
      </c>
      <c r="AZ88" s="2" t="e">
        <f ca="1"/>
        <v>#NAME?</v>
      </c>
      <c r="BA88" s="2" t="e">
        <f t="shared" ca="1" si="72"/>
        <v>#NAME?</v>
      </c>
      <c r="BB88" s="2" t="e">
        <f ca="1"/>
        <v>#NAME?</v>
      </c>
      <c r="BC88" s="2" t="e">
        <f t="shared" ca="1" si="73"/>
        <v>#NAME?</v>
      </c>
      <c r="BD88" s="2" t="e">
        <f ca="1"/>
        <v>#NAME?</v>
      </c>
      <c r="BE88" s="2" t="e">
        <f t="shared" ca="1" si="74"/>
        <v>#NAME?</v>
      </c>
      <c r="BF88" s="2" t="e">
        <f ca="1"/>
        <v>#NAME?</v>
      </c>
      <c r="BG88" s="2" t="e">
        <f t="shared" ca="1" si="75"/>
        <v>#NAME?</v>
      </c>
      <c r="BH88" s="2" t="e">
        <f ca="1"/>
        <v>#NAME?</v>
      </c>
      <c r="BI88" s="2" t="e">
        <f t="shared" ca="1" si="76"/>
        <v>#NAME?</v>
      </c>
      <c r="BJ88" s="2" t="e">
        <f ca="1"/>
        <v>#NAME?</v>
      </c>
      <c r="BK88" s="2" t="e">
        <f t="shared" ca="1" si="77"/>
        <v>#NAME?</v>
      </c>
      <c r="BL88" s="2" t="e">
        <f ca="1"/>
        <v>#NAME?</v>
      </c>
      <c r="BM88" s="2" t="e">
        <f t="shared" ca="1" si="78"/>
        <v>#NAME?</v>
      </c>
      <c r="BN88" s="2" t="e">
        <f ca="1"/>
        <v>#NAME?</v>
      </c>
      <c r="BO88" s="2" t="e">
        <f t="shared" ca="1" si="79"/>
        <v>#NAME?</v>
      </c>
      <c r="BP88" s="2" t="e">
        <f ca="1"/>
        <v>#NAME?</v>
      </c>
      <c r="BQ88" s="2" t="e">
        <f t="shared" ca="1" si="80"/>
        <v>#NAME?</v>
      </c>
      <c r="BR88" s="2" t="e">
        <f ca="1"/>
        <v>#NAME?</v>
      </c>
      <c r="BS88" s="2" t="e">
        <f t="shared" ca="1" si="81"/>
        <v>#NAME?</v>
      </c>
      <c r="BT88" s="2" t="e">
        <f ca="1"/>
        <v>#NAME?</v>
      </c>
      <c r="BU88" s="2" t="e">
        <f t="shared" ca="1" si="82"/>
        <v>#NAME?</v>
      </c>
      <c r="BV88" s="2" t="e">
        <f ca="1"/>
        <v>#NAME?</v>
      </c>
      <c r="BW88" s="2" t="e">
        <f t="shared" ca="1" si="83"/>
        <v>#NAME?</v>
      </c>
      <c r="BX88" s="2" t="e">
        <f ca="1"/>
        <v>#NAME?</v>
      </c>
      <c r="BY88" s="2" t="e">
        <f t="shared" ca="1" si="84"/>
        <v>#NAME?</v>
      </c>
      <c r="BZ88" s="2" t="e">
        <f ca="1"/>
        <v>#NAME?</v>
      </c>
      <c r="CA88" s="2" t="e">
        <f t="shared" ca="1" si="85"/>
        <v>#NAME?</v>
      </c>
      <c r="CB88" s="2" t="e">
        <f ca="1"/>
        <v>#NAME?</v>
      </c>
      <c r="CC88" s="2" t="e">
        <f t="shared" ca="1" si="86"/>
        <v>#NAME?</v>
      </c>
      <c r="CD88" s="2" t="e">
        <f ca="1"/>
        <v>#NAME?</v>
      </c>
      <c r="CE88" s="2" t="e">
        <f t="shared" ca="1" si="87"/>
        <v>#NAME?</v>
      </c>
      <c r="CF88" s="2" t="e">
        <f ca="1"/>
        <v>#NAME?</v>
      </c>
      <c r="CG88" s="2" t="e">
        <f t="shared" ca="1" si="88"/>
        <v>#NAME?</v>
      </c>
      <c r="CH88" s="2" t="e">
        <f ca="1"/>
        <v>#NAME?</v>
      </c>
      <c r="CI88" s="2" t="e">
        <f t="shared" ca="1" si="89"/>
        <v>#NAME?</v>
      </c>
      <c r="CJ88" s="2" t="e">
        <f ca="1"/>
        <v>#NAME?</v>
      </c>
      <c r="CK88" s="2" t="e">
        <f t="shared" ca="1" si="90"/>
        <v>#NAME?</v>
      </c>
      <c r="CL88" s="2" t="e">
        <f ca="1"/>
        <v>#NAME?</v>
      </c>
      <c r="CM88" s="2" t="e">
        <f t="shared" ca="1" si="91"/>
        <v>#NAME?</v>
      </c>
      <c r="CN88" s="2" t="e">
        <f ca="1"/>
        <v>#NAME?</v>
      </c>
      <c r="CO88" s="2" t="e">
        <f t="shared" ca="1" si="92"/>
        <v>#NAME?</v>
      </c>
      <c r="CP88" s="2" t="e">
        <f ca="1"/>
        <v>#NAME?</v>
      </c>
      <c r="CQ88" s="2" t="e">
        <f t="shared" ca="1" si="93"/>
        <v>#NAME?</v>
      </c>
    </row>
    <row r="89" spans="1:95">
      <c r="A89" s="7" t="e">
        <f ca="1"/>
        <v>#NAME?</v>
      </c>
      <c r="B89" s="2" t="e">
        <f ca="1"/>
        <v>#NAME?</v>
      </c>
      <c r="C89" s="2" t="e">
        <f t="shared" ca="1" si="47"/>
        <v>#NAME?</v>
      </c>
      <c r="D89" s="2" t="e">
        <f ca="1"/>
        <v>#NAME?</v>
      </c>
      <c r="E89" s="2" t="e">
        <f t="shared" ca="1" si="48"/>
        <v>#NAME?</v>
      </c>
      <c r="F89" s="2" t="e">
        <f ca="1"/>
        <v>#NAME?</v>
      </c>
      <c r="G89" s="2" t="e">
        <f t="shared" ca="1" si="49"/>
        <v>#NAME?</v>
      </c>
      <c r="H89" s="2" t="e">
        <f ca="1"/>
        <v>#NAME?</v>
      </c>
      <c r="I89" s="2" t="e">
        <f t="shared" ca="1" si="50"/>
        <v>#NAME?</v>
      </c>
      <c r="J89" s="2" t="e">
        <f ca="1"/>
        <v>#NAME?</v>
      </c>
      <c r="K89" s="2" t="e">
        <f t="shared" ca="1" si="51"/>
        <v>#NAME?</v>
      </c>
      <c r="L89" s="2" t="e">
        <f ca="1"/>
        <v>#NAME?</v>
      </c>
      <c r="M89" s="2" t="e">
        <f t="shared" ca="1" si="52"/>
        <v>#NAME?</v>
      </c>
      <c r="N89" s="2" t="e">
        <f ca="1"/>
        <v>#NAME?</v>
      </c>
      <c r="O89" s="2" t="e">
        <f t="shared" ca="1" si="53"/>
        <v>#NAME?</v>
      </c>
      <c r="P89" s="2" t="e">
        <f ca="1"/>
        <v>#NAME?</v>
      </c>
      <c r="Q89" s="2" t="e">
        <f t="shared" ca="1" si="54"/>
        <v>#NAME?</v>
      </c>
      <c r="R89" s="2" t="e">
        <f ca="1"/>
        <v>#NAME?</v>
      </c>
      <c r="S89" s="2" t="e">
        <f t="shared" ca="1" si="55"/>
        <v>#NAME?</v>
      </c>
      <c r="T89" s="2" t="e">
        <f ca="1"/>
        <v>#NAME?</v>
      </c>
      <c r="U89" s="2" t="e">
        <f t="shared" ca="1" si="56"/>
        <v>#NAME?</v>
      </c>
      <c r="V89" s="2" t="e">
        <f ca="1"/>
        <v>#NAME?</v>
      </c>
      <c r="W89" s="2" t="e">
        <f t="shared" ca="1" si="57"/>
        <v>#NAME?</v>
      </c>
      <c r="X89" s="2" t="e">
        <f ca="1"/>
        <v>#NAME?</v>
      </c>
      <c r="Y89" s="2" t="e">
        <f t="shared" ca="1" si="58"/>
        <v>#NAME?</v>
      </c>
      <c r="Z89" s="2" t="e">
        <f ca="1"/>
        <v>#NAME?</v>
      </c>
      <c r="AA89" s="2" t="e">
        <f t="shared" ca="1" si="59"/>
        <v>#NAME?</v>
      </c>
      <c r="AB89" s="2" t="e">
        <f ca="1"/>
        <v>#NAME?</v>
      </c>
      <c r="AC89" s="2" t="e">
        <f t="shared" ca="1" si="60"/>
        <v>#NAME?</v>
      </c>
      <c r="AD89" s="2" t="e">
        <f ca="1"/>
        <v>#NAME?</v>
      </c>
      <c r="AE89" s="2" t="e">
        <f t="shared" ca="1" si="61"/>
        <v>#NAME?</v>
      </c>
      <c r="AF89" s="2" t="e">
        <f ca="1"/>
        <v>#NAME?</v>
      </c>
      <c r="AG89" s="2" t="e">
        <f t="shared" ca="1" si="62"/>
        <v>#NAME?</v>
      </c>
      <c r="AH89" s="2" t="e">
        <f ca="1"/>
        <v>#NAME?</v>
      </c>
      <c r="AI89" s="2" t="e">
        <f t="shared" ca="1" si="63"/>
        <v>#NAME?</v>
      </c>
      <c r="AJ89" s="2" t="e">
        <f ca="1"/>
        <v>#NAME?</v>
      </c>
      <c r="AK89" s="2" t="e">
        <f t="shared" ca="1" si="64"/>
        <v>#NAME?</v>
      </c>
      <c r="AL89" s="2" t="e">
        <f ca="1"/>
        <v>#NAME?</v>
      </c>
      <c r="AM89" s="2" t="e">
        <f t="shared" ca="1" si="65"/>
        <v>#NAME?</v>
      </c>
      <c r="AN89" s="2" t="e">
        <f ca="1"/>
        <v>#NAME?</v>
      </c>
      <c r="AO89" s="2" t="e">
        <f t="shared" ca="1" si="66"/>
        <v>#NAME?</v>
      </c>
      <c r="AP89" s="2" t="e">
        <f ca="1"/>
        <v>#NAME?</v>
      </c>
      <c r="AQ89" s="2" t="e">
        <f t="shared" ca="1" si="67"/>
        <v>#NAME?</v>
      </c>
      <c r="AR89" s="2" t="e">
        <f ca="1"/>
        <v>#NAME?</v>
      </c>
      <c r="AS89" s="2" t="e">
        <f t="shared" ca="1" si="68"/>
        <v>#NAME?</v>
      </c>
      <c r="AT89" s="2" t="e">
        <f ca="1"/>
        <v>#NAME?</v>
      </c>
      <c r="AU89" s="2" t="e">
        <f t="shared" ca="1" si="69"/>
        <v>#NAME?</v>
      </c>
      <c r="AV89" s="2" t="e">
        <f ca="1"/>
        <v>#NAME?</v>
      </c>
      <c r="AW89" s="2" t="e">
        <f t="shared" ca="1" si="70"/>
        <v>#NAME?</v>
      </c>
      <c r="AX89" s="2" t="e">
        <f ca="1"/>
        <v>#NAME?</v>
      </c>
      <c r="AY89" s="2" t="e">
        <f t="shared" ca="1" si="71"/>
        <v>#NAME?</v>
      </c>
      <c r="AZ89" s="2" t="e">
        <f ca="1"/>
        <v>#NAME?</v>
      </c>
      <c r="BA89" s="2" t="e">
        <f t="shared" ca="1" si="72"/>
        <v>#NAME?</v>
      </c>
      <c r="BB89" s="2" t="e">
        <f ca="1"/>
        <v>#NAME?</v>
      </c>
      <c r="BC89" s="2" t="e">
        <f t="shared" ca="1" si="73"/>
        <v>#NAME?</v>
      </c>
      <c r="BD89" s="2" t="e">
        <f ca="1"/>
        <v>#NAME?</v>
      </c>
      <c r="BE89" s="2" t="e">
        <f t="shared" ca="1" si="74"/>
        <v>#NAME?</v>
      </c>
      <c r="BF89" s="2" t="e">
        <f ca="1"/>
        <v>#NAME?</v>
      </c>
      <c r="BG89" s="2" t="e">
        <f t="shared" ca="1" si="75"/>
        <v>#NAME?</v>
      </c>
      <c r="BH89" s="2" t="e">
        <f ca="1"/>
        <v>#NAME?</v>
      </c>
      <c r="BI89" s="2" t="e">
        <f t="shared" ca="1" si="76"/>
        <v>#NAME?</v>
      </c>
      <c r="BJ89" s="2" t="e">
        <f ca="1"/>
        <v>#NAME?</v>
      </c>
      <c r="BK89" s="2" t="e">
        <f t="shared" ca="1" si="77"/>
        <v>#NAME?</v>
      </c>
      <c r="BL89" s="2" t="e">
        <f ca="1"/>
        <v>#NAME?</v>
      </c>
      <c r="BM89" s="2" t="e">
        <f t="shared" ca="1" si="78"/>
        <v>#NAME?</v>
      </c>
      <c r="BN89" s="2" t="e">
        <f ca="1"/>
        <v>#NAME?</v>
      </c>
      <c r="BO89" s="2" t="e">
        <f t="shared" ca="1" si="79"/>
        <v>#NAME?</v>
      </c>
      <c r="BP89" s="2" t="e">
        <f ca="1"/>
        <v>#NAME?</v>
      </c>
      <c r="BQ89" s="2" t="e">
        <f t="shared" ca="1" si="80"/>
        <v>#NAME?</v>
      </c>
      <c r="BR89" s="2" t="e">
        <f ca="1"/>
        <v>#NAME?</v>
      </c>
      <c r="BS89" s="2" t="e">
        <f t="shared" ca="1" si="81"/>
        <v>#NAME?</v>
      </c>
      <c r="BT89" s="2" t="e">
        <f ca="1"/>
        <v>#NAME?</v>
      </c>
      <c r="BU89" s="2" t="e">
        <f t="shared" ca="1" si="82"/>
        <v>#NAME?</v>
      </c>
      <c r="BV89" s="2" t="e">
        <f ca="1"/>
        <v>#NAME?</v>
      </c>
      <c r="BW89" s="2" t="e">
        <f t="shared" ca="1" si="83"/>
        <v>#NAME?</v>
      </c>
      <c r="BX89" s="2" t="e">
        <f ca="1"/>
        <v>#NAME?</v>
      </c>
      <c r="BY89" s="2" t="e">
        <f t="shared" ca="1" si="84"/>
        <v>#NAME?</v>
      </c>
      <c r="BZ89" s="2" t="e">
        <f ca="1"/>
        <v>#NAME?</v>
      </c>
      <c r="CA89" s="2" t="e">
        <f t="shared" ca="1" si="85"/>
        <v>#NAME?</v>
      </c>
      <c r="CB89" s="2" t="e">
        <f ca="1"/>
        <v>#NAME?</v>
      </c>
      <c r="CC89" s="2" t="e">
        <f t="shared" ca="1" si="86"/>
        <v>#NAME?</v>
      </c>
      <c r="CD89" s="2" t="e">
        <f ca="1"/>
        <v>#NAME?</v>
      </c>
      <c r="CE89" s="2" t="e">
        <f t="shared" ca="1" si="87"/>
        <v>#NAME?</v>
      </c>
      <c r="CF89" s="2" t="e">
        <f ca="1"/>
        <v>#NAME?</v>
      </c>
      <c r="CG89" s="2" t="e">
        <f t="shared" ca="1" si="88"/>
        <v>#NAME?</v>
      </c>
      <c r="CH89" s="2" t="e">
        <f ca="1"/>
        <v>#NAME?</v>
      </c>
      <c r="CI89" s="2" t="e">
        <f t="shared" ca="1" si="89"/>
        <v>#NAME?</v>
      </c>
      <c r="CJ89" s="2" t="e">
        <f ca="1"/>
        <v>#NAME?</v>
      </c>
      <c r="CK89" s="2" t="e">
        <f t="shared" ca="1" si="90"/>
        <v>#NAME?</v>
      </c>
      <c r="CL89" s="2" t="e">
        <f ca="1"/>
        <v>#NAME?</v>
      </c>
      <c r="CM89" s="2" t="e">
        <f t="shared" ca="1" si="91"/>
        <v>#NAME?</v>
      </c>
      <c r="CN89" s="2" t="e">
        <f ca="1"/>
        <v>#NAME?</v>
      </c>
      <c r="CO89" s="2" t="e">
        <f t="shared" ca="1" si="92"/>
        <v>#NAME?</v>
      </c>
      <c r="CP89" s="2" t="e">
        <f ca="1"/>
        <v>#NAME?</v>
      </c>
      <c r="CQ89" s="2" t="e">
        <f t="shared" ca="1" si="93"/>
        <v>#NAME?</v>
      </c>
    </row>
    <row r="90" spans="1:95">
      <c r="A90" s="7" t="e">
        <f ca="1"/>
        <v>#NAME?</v>
      </c>
      <c r="B90" s="2" t="e">
        <f ca="1"/>
        <v>#NAME?</v>
      </c>
      <c r="C90" s="2" t="e">
        <f t="shared" ca="1" si="47"/>
        <v>#NAME?</v>
      </c>
      <c r="D90" s="2" t="e">
        <f ca="1"/>
        <v>#NAME?</v>
      </c>
      <c r="E90" s="2" t="e">
        <f t="shared" ca="1" si="48"/>
        <v>#NAME?</v>
      </c>
      <c r="F90" s="2" t="e">
        <f ca="1"/>
        <v>#NAME?</v>
      </c>
      <c r="G90" s="2" t="e">
        <f t="shared" ca="1" si="49"/>
        <v>#NAME?</v>
      </c>
      <c r="H90" s="2" t="e">
        <f ca="1"/>
        <v>#NAME?</v>
      </c>
      <c r="I90" s="2" t="e">
        <f t="shared" ca="1" si="50"/>
        <v>#NAME?</v>
      </c>
      <c r="J90" s="2" t="e">
        <f ca="1"/>
        <v>#NAME?</v>
      </c>
      <c r="K90" s="2" t="e">
        <f t="shared" ca="1" si="51"/>
        <v>#NAME?</v>
      </c>
      <c r="L90" s="2" t="e">
        <f ca="1"/>
        <v>#NAME?</v>
      </c>
      <c r="M90" s="2" t="e">
        <f t="shared" ca="1" si="52"/>
        <v>#NAME?</v>
      </c>
      <c r="N90" s="2" t="e">
        <f ca="1"/>
        <v>#NAME?</v>
      </c>
      <c r="O90" s="2" t="e">
        <f t="shared" ca="1" si="53"/>
        <v>#NAME?</v>
      </c>
      <c r="P90" s="2" t="e">
        <f ca="1"/>
        <v>#NAME?</v>
      </c>
      <c r="Q90" s="2" t="e">
        <f t="shared" ca="1" si="54"/>
        <v>#NAME?</v>
      </c>
      <c r="R90" s="2" t="e">
        <f ca="1"/>
        <v>#NAME?</v>
      </c>
      <c r="S90" s="2" t="e">
        <f t="shared" ca="1" si="55"/>
        <v>#NAME?</v>
      </c>
      <c r="T90" s="2" t="e">
        <f ca="1"/>
        <v>#NAME?</v>
      </c>
      <c r="U90" s="2" t="e">
        <f t="shared" ca="1" si="56"/>
        <v>#NAME?</v>
      </c>
      <c r="V90" s="2" t="e">
        <f ca="1"/>
        <v>#NAME?</v>
      </c>
      <c r="W90" s="2" t="e">
        <f t="shared" ca="1" si="57"/>
        <v>#NAME?</v>
      </c>
      <c r="X90" s="2" t="e">
        <f ca="1"/>
        <v>#NAME?</v>
      </c>
      <c r="Y90" s="2" t="e">
        <f t="shared" ca="1" si="58"/>
        <v>#NAME?</v>
      </c>
      <c r="Z90" s="2" t="e">
        <f ca="1"/>
        <v>#NAME?</v>
      </c>
      <c r="AA90" s="2" t="e">
        <f t="shared" ca="1" si="59"/>
        <v>#NAME?</v>
      </c>
      <c r="AB90" s="2" t="e">
        <f ca="1"/>
        <v>#NAME?</v>
      </c>
      <c r="AC90" s="2" t="e">
        <f t="shared" ca="1" si="60"/>
        <v>#NAME?</v>
      </c>
      <c r="AD90" s="2" t="e">
        <f ca="1"/>
        <v>#NAME?</v>
      </c>
      <c r="AE90" s="2" t="e">
        <f t="shared" ca="1" si="61"/>
        <v>#NAME?</v>
      </c>
      <c r="AF90" s="2" t="e">
        <f ca="1"/>
        <v>#NAME?</v>
      </c>
      <c r="AG90" s="2" t="e">
        <f t="shared" ca="1" si="62"/>
        <v>#NAME?</v>
      </c>
      <c r="AH90" s="2" t="e">
        <f ca="1"/>
        <v>#NAME?</v>
      </c>
      <c r="AI90" s="2" t="e">
        <f t="shared" ca="1" si="63"/>
        <v>#NAME?</v>
      </c>
      <c r="AJ90" s="2" t="e">
        <f ca="1"/>
        <v>#NAME?</v>
      </c>
      <c r="AK90" s="2" t="e">
        <f t="shared" ca="1" si="64"/>
        <v>#NAME?</v>
      </c>
      <c r="AL90" s="2" t="e">
        <f ca="1"/>
        <v>#NAME?</v>
      </c>
      <c r="AM90" s="2" t="e">
        <f t="shared" ca="1" si="65"/>
        <v>#NAME?</v>
      </c>
      <c r="AN90" s="2" t="e">
        <f ca="1"/>
        <v>#NAME?</v>
      </c>
      <c r="AO90" s="2" t="e">
        <f t="shared" ca="1" si="66"/>
        <v>#NAME?</v>
      </c>
      <c r="AP90" s="2" t="e">
        <f ca="1"/>
        <v>#NAME?</v>
      </c>
      <c r="AQ90" s="2" t="e">
        <f t="shared" ca="1" si="67"/>
        <v>#NAME?</v>
      </c>
      <c r="AR90" s="2" t="e">
        <f ca="1"/>
        <v>#NAME?</v>
      </c>
      <c r="AS90" s="2" t="e">
        <f t="shared" ca="1" si="68"/>
        <v>#NAME?</v>
      </c>
      <c r="AT90" s="2" t="e">
        <f ca="1"/>
        <v>#NAME?</v>
      </c>
      <c r="AU90" s="2" t="e">
        <f t="shared" ca="1" si="69"/>
        <v>#NAME?</v>
      </c>
      <c r="AV90" s="2" t="e">
        <f ca="1"/>
        <v>#NAME?</v>
      </c>
      <c r="AW90" s="2" t="e">
        <f t="shared" ca="1" si="70"/>
        <v>#NAME?</v>
      </c>
      <c r="AX90" s="2" t="e">
        <f ca="1"/>
        <v>#NAME?</v>
      </c>
      <c r="AY90" s="2" t="e">
        <f t="shared" ca="1" si="71"/>
        <v>#NAME?</v>
      </c>
      <c r="AZ90" s="2" t="e">
        <f ca="1"/>
        <v>#NAME?</v>
      </c>
      <c r="BA90" s="2" t="e">
        <f t="shared" ca="1" si="72"/>
        <v>#NAME?</v>
      </c>
      <c r="BB90" s="2" t="e">
        <f ca="1"/>
        <v>#NAME?</v>
      </c>
      <c r="BC90" s="2" t="e">
        <f t="shared" ca="1" si="73"/>
        <v>#NAME?</v>
      </c>
      <c r="BD90" s="2" t="e">
        <f ca="1"/>
        <v>#NAME?</v>
      </c>
      <c r="BE90" s="2" t="e">
        <f t="shared" ca="1" si="74"/>
        <v>#NAME?</v>
      </c>
      <c r="BF90" s="2" t="e">
        <f ca="1"/>
        <v>#NAME?</v>
      </c>
      <c r="BG90" s="2" t="e">
        <f t="shared" ca="1" si="75"/>
        <v>#NAME?</v>
      </c>
      <c r="BH90" s="2" t="e">
        <f ca="1"/>
        <v>#NAME?</v>
      </c>
      <c r="BI90" s="2" t="e">
        <f t="shared" ca="1" si="76"/>
        <v>#NAME?</v>
      </c>
      <c r="BJ90" s="2" t="e">
        <f ca="1"/>
        <v>#NAME?</v>
      </c>
      <c r="BK90" s="2" t="e">
        <f t="shared" ca="1" si="77"/>
        <v>#NAME?</v>
      </c>
      <c r="BL90" s="2" t="e">
        <f ca="1"/>
        <v>#NAME?</v>
      </c>
      <c r="BM90" s="2" t="e">
        <f t="shared" ca="1" si="78"/>
        <v>#NAME?</v>
      </c>
      <c r="BN90" s="2" t="e">
        <f ca="1"/>
        <v>#NAME?</v>
      </c>
      <c r="BO90" s="2" t="e">
        <f t="shared" ca="1" si="79"/>
        <v>#NAME?</v>
      </c>
      <c r="BP90" s="2" t="e">
        <f ca="1"/>
        <v>#NAME?</v>
      </c>
      <c r="BQ90" s="2" t="e">
        <f t="shared" ca="1" si="80"/>
        <v>#NAME?</v>
      </c>
      <c r="BR90" s="2" t="e">
        <f ca="1"/>
        <v>#NAME?</v>
      </c>
      <c r="BS90" s="2" t="e">
        <f t="shared" ca="1" si="81"/>
        <v>#NAME?</v>
      </c>
      <c r="BT90" s="2" t="e">
        <f ca="1"/>
        <v>#NAME?</v>
      </c>
      <c r="BU90" s="2" t="e">
        <f t="shared" ca="1" si="82"/>
        <v>#NAME?</v>
      </c>
      <c r="BV90" s="2" t="e">
        <f ca="1"/>
        <v>#NAME?</v>
      </c>
      <c r="BW90" s="2" t="e">
        <f t="shared" ca="1" si="83"/>
        <v>#NAME?</v>
      </c>
      <c r="BX90" s="2" t="e">
        <f ca="1"/>
        <v>#NAME?</v>
      </c>
      <c r="BY90" s="2" t="e">
        <f t="shared" ca="1" si="84"/>
        <v>#NAME?</v>
      </c>
      <c r="BZ90" s="2" t="e">
        <f ca="1"/>
        <v>#NAME?</v>
      </c>
      <c r="CA90" s="2" t="e">
        <f t="shared" ca="1" si="85"/>
        <v>#NAME?</v>
      </c>
      <c r="CB90" s="2" t="e">
        <f ca="1"/>
        <v>#NAME?</v>
      </c>
      <c r="CC90" s="2" t="e">
        <f t="shared" ca="1" si="86"/>
        <v>#NAME?</v>
      </c>
      <c r="CD90" s="2" t="e">
        <f ca="1"/>
        <v>#NAME?</v>
      </c>
      <c r="CE90" s="2" t="e">
        <f t="shared" ca="1" si="87"/>
        <v>#NAME?</v>
      </c>
      <c r="CF90" s="2" t="e">
        <f ca="1"/>
        <v>#NAME?</v>
      </c>
      <c r="CG90" s="2" t="e">
        <f t="shared" ca="1" si="88"/>
        <v>#NAME?</v>
      </c>
      <c r="CH90" s="2" t="e">
        <f ca="1"/>
        <v>#NAME?</v>
      </c>
      <c r="CI90" s="2" t="e">
        <f t="shared" ca="1" si="89"/>
        <v>#NAME?</v>
      </c>
      <c r="CJ90" s="2" t="e">
        <f ca="1"/>
        <v>#NAME?</v>
      </c>
      <c r="CK90" s="2" t="e">
        <f t="shared" ca="1" si="90"/>
        <v>#NAME?</v>
      </c>
      <c r="CL90" s="2" t="e">
        <f ca="1"/>
        <v>#NAME?</v>
      </c>
      <c r="CM90" s="2" t="e">
        <f t="shared" ca="1" si="91"/>
        <v>#NAME?</v>
      </c>
      <c r="CN90" s="2" t="e">
        <f ca="1"/>
        <v>#NAME?</v>
      </c>
      <c r="CO90" s="2" t="e">
        <f t="shared" ca="1" si="92"/>
        <v>#NAME?</v>
      </c>
      <c r="CP90" s="2" t="e">
        <f ca="1"/>
        <v>#NAME?</v>
      </c>
      <c r="CQ90" s="2" t="e">
        <f t="shared" ca="1" si="93"/>
        <v>#NAME?</v>
      </c>
    </row>
    <row r="91" spans="1:95">
      <c r="A91" s="7" t="e">
        <f ca="1"/>
        <v>#NAME?</v>
      </c>
      <c r="B91" s="2" t="e">
        <f ca="1"/>
        <v>#NAME?</v>
      </c>
      <c r="C91" s="2" t="e">
        <f t="shared" ca="1" si="47"/>
        <v>#NAME?</v>
      </c>
      <c r="D91" s="2" t="e">
        <f ca="1"/>
        <v>#NAME?</v>
      </c>
      <c r="E91" s="2" t="e">
        <f t="shared" ca="1" si="48"/>
        <v>#NAME?</v>
      </c>
      <c r="F91" s="2" t="e">
        <f ca="1"/>
        <v>#NAME?</v>
      </c>
      <c r="G91" s="2" t="e">
        <f t="shared" ca="1" si="49"/>
        <v>#NAME?</v>
      </c>
      <c r="H91" s="2" t="e">
        <f ca="1"/>
        <v>#NAME?</v>
      </c>
      <c r="I91" s="2" t="e">
        <f t="shared" ca="1" si="50"/>
        <v>#NAME?</v>
      </c>
      <c r="J91" s="2" t="e">
        <f ca="1"/>
        <v>#NAME?</v>
      </c>
      <c r="K91" s="2" t="e">
        <f t="shared" ca="1" si="51"/>
        <v>#NAME?</v>
      </c>
      <c r="L91" s="2" t="e">
        <f ca="1"/>
        <v>#NAME?</v>
      </c>
      <c r="M91" s="2" t="e">
        <f t="shared" ca="1" si="52"/>
        <v>#NAME?</v>
      </c>
      <c r="N91" s="2" t="e">
        <f ca="1"/>
        <v>#NAME?</v>
      </c>
      <c r="O91" s="2" t="e">
        <f t="shared" ca="1" si="53"/>
        <v>#NAME?</v>
      </c>
      <c r="P91" s="2" t="e">
        <f ca="1"/>
        <v>#NAME?</v>
      </c>
      <c r="Q91" s="2" t="e">
        <f t="shared" ca="1" si="54"/>
        <v>#NAME?</v>
      </c>
      <c r="R91" s="2" t="e">
        <f ca="1"/>
        <v>#NAME?</v>
      </c>
      <c r="S91" s="2" t="e">
        <f t="shared" ca="1" si="55"/>
        <v>#NAME?</v>
      </c>
      <c r="T91" s="2" t="e">
        <f ca="1"/>
        <v>#NAME?</v>
      </c>
      <c r="U91" s="2" t="e">
        <f t="shared" ca="1" si="56"/>
        <v>#NAME?</v>
      </c>
      <c r="V91" s="2" t="e">
        <f ca="1"/>
        <v>#NAME?</v>
      </c>
      <c r="W91" s="2" t="e">
        <f t="shared" ca="1" si="57"/>
        <v>#NAME?</v>
      </c>
      <c r="X91" s="2" t="e">
        <f ca="1"/>
        <v>#NAME?</v>
      </c>
      <c r="Y91" s="2" t="e">
        <f t="shared" ca="1" si="58"/>
        <v>#NAME?</v>
      </c>
      <c r="Z91" s="2" t="e">
        <f ca="1"/>
        <v>#NAME?</v>
      </c>
      <c r="AA91" s="2" t="e">
        <f t="shared" ca="1" si="59"/>
        <v>#NAME?</v>
      </c>
      <c r="AB91" s="2" t="e">
        <f ca="1"/>
        <v>#NAME?</v>
      </c>
      <c r="AC91" s="2" t="e">
        <f t="shared" ca="1" si="60"/>
        <v>#NAME?</v>
      </c>
      <c r="AD91" s="2" t="e">
        <f ca="1"/>
        <v>#NAME?</v>
      </c>
      <c r="AE91" s="2" t="e">
        <f t="shared" ca="1" si="61"/>
        <v>#NAME?</v>
      </c>
      <c r="AF91" s="2" t="e">
        <f ca="1"/>
        <v>#NAME?</v>
      </c>
      <c r="AG91" s="2" t="e">
        <f t="shared" ca="1" si="62"/>
        <v>#NAME?</v>
      </c>
      <c r="AH91" s="2" t="e">
        <f ca="1"/>
        <v>#NAME?</v>
      </c>
      <c r="AI91" s="2" t="e">
        <f t="shared" ca="1" si="63"/>
        <v>#NAME?</v>
      </c>
      <c r="AJ91" s="2" t="e">
        <f ca="1"/>
        <v>#NAME?</v>
      </c>
      <c r="AK91" s="2" t="e">
        <f t="shared" ca="1" si="64"/>
        <v>#NAME?</v>
      </c>
      <c r="AL91" s="2" t="e">
        <f ca="1"/>
        <v>#NAME?</v>
      </c>
      <c r="AM91" s="2" t="e">
        <f t="shared" ca="1" si="65"/>
        <v>#NAME?</v>
      </c>
      <c r="AN91" s="2" t="e">
        <f ca="1"/>
        <v>#NAME?</v>
      </c>
      <c r="AO91" s="2" t="e">
        <f t="shared" ca="1" si="66"/>
        <v>#NAME?</v>
      </c>
      <c r="AP91" s="2" t="e">
        <f ca="1"/>
        <v>#NAME?</v>
      </c>
      <c r="AQ91" s="2" t="e">
        <f t="shared" ca="1" si="67"/>
        <v>#NAME?</v>
      </c>
      <c r="AR91" s="2" t="e">
        <f ca="1"/>
        <v>#NAME?</v>
      </c>
      <c r="AS91" s="2" t="e">
        <f t="shared" ca="1" si="68"/>
        <v>#NAME?</v>
      </c>
      <c r="AT91" s="2" t="e">
        <f ca="1"/>
        <v>#NAME?</v>
      </c>
      <c r="AU91" s="2" t="e">
        <f t="shared" ca="1" si="69"/>
        <v>#NAME?</v>
      </c>
      <c r="AV91" s="2" t="e">
        <f ca="1"/>
        <v>#NAME?</v>
      </c>
      <c r="AW91" s="2" t="e">
        <f t="shared" ca="1" si="70"/>
        <v>#NAME?</v>
      </c>
      <c r="AX91" s="2" t="e">
        <f ca="1"/>
        <v>#NAME?</v>
      </c>
      <c r="AY91" s="2" t="e">
        <f t="shared" ca="1" si="71"/>
        <v>#NAME?</v>
      </c>
      <c r="AZ91" s="2" t="e">
        <f ca="1"/>
        <v>#NAME?</v>
      </c>
      <c r="BA91" s="2" t="e">
        <f t="shared" ca="1" si="72"/>
        <v>#NAME?</v>
      </c>
      <c r="BB91" s="2" t="e">
        <f ca="1"/>
        <v>#NAME?</v>
      </c>
      <c r="BC91" s="2" t="e">
        <f t="shared" ca="1" si="73"/>
        <v>#NAME?</v>
      </c>
      <c r="BD91" s="2" t="e">
        <f ca="1"/>
        <v>#NAME?</v>
      </c>
      <c r="BE91" s="2" t="e">
        <f t="shared" ca="1" si="74"/>
        <v>#NAME?</v>
      </c>
      <c r="BF91" s="2" t="e">
        <f ca="1"/>
        <v>#NAME?</v>
      </c>
      <c r="BG91" s="2" t="e">
        <f t="shared" ca="1" si="75"/>
        <v>#NAME?</v>
      </c>
      <c r="BH91" s="2" t="e">
        <f ca="1"/>
        <v>#NAME?</v>
      </c>
      <c r="BI91" s="2" t="e">
        <f t="shared" ca="1" si="76"/>
        <v>#NAME?</v>
      </c>
      <c r="BJ91" s="2" t="e">
        <f ca="1"/>
        <v>#NAME?</v>
      </c>
      <c r="BK91" s="2" t="e">
        <f t="shared" ca="1" si="77"/>
        <v>#NAME?</v>
      </c>
      <c r="BL91" s="2" t="e">
        <f ca="1"/>
        <v>#NAME?</v>
      </c>
      <c r="BM91" s="2" t="e">
        <f t="shared" ca="1" si="78"/>
        <v>#NAME?</v>
      </c>
      <c r="BN91" s="2" t="e">
        <f ca="1"/>
        <v>#NAME?</v>
      </c>
      <c r="BO91" s="2" t="e">
        <f t="shared" ca="1" si="79"/>
        <v>#NAME?</v>
      </c>
      <c r="BP91" s="2" t="e">
        <f ca="1"/>
        <v>#NAME?</v>
      </c>
      <c r="BQ91" s="2" t="e">
        <f t="shared" ca="1" si="80"/>
        <v>#NAME?</v>
      </c>
      <c r="BR91" s="2" t="e">
        <f ca="1"/>
        <v>#NAME?</v>
      </c>
      <c r="BS91" s="2" t="e">
        <f t="shared" ca="1" si="81"/>
        <v>#NAME?</v>
      </c>
      <c r="BT91" s="2" t="e">
        <f ca="1"/>
        <v>#NAME?</v>
      </c>
      <c r="BU91" s="2" t="e">
        <f t="shared" ca="1" si="82"/>
        <v>#NAME?</v>
      </c>
      <c r="BV91" s="2" t="e">
        <f ca="1"/>
        <v>#NAME?</v>
      </c>
      <c r="BW91" s="2" t="e">
        <f t="shared" ca="1" si="83"/>
        <v>#NAME?</v>
      </c>
      <c r="BX91" s="2" t="e">
        <f ca="1"/>
        <v>#NAME?</v>
      </c>
      <c r="BY91" s="2" t="e">
        <f t="shared" ca="1" si="84"/>
        <v>#NAME?</v>
      </c>
      <c r="BZ91" s="2" t="e">
        <f ca="1"/>
        <v>#NAME?</v>
      </c>
      <c r="CA91" s="2" t="e">
        <f t="shared" ca="1" si="85"/>
        <v>#NAME?</v>
      </c>
      <c r="CB91" s="2" t="e">
        <f ca="1"/>
        <v>#NAME?</v>
      </c>
      <c r="CC91" s="2" t="e">
        <f t="shared" ca="1" si="86"/>
        <v>#NAME?</v>
      </c>
      <c r="CD91" s="2" t="e">
        <f ca="1"/>
        <v>#NAME?</v>
      </c>
      <c r="CE91" s="2" t="e">
        <f t="shared" ca="1" si="87"/>
        <v>#NAME?</v>
      </c>
      <c r="CF91" s="2" t="e">
        <f ca="1"/>
        <v>#NAME?</v>
      </c>
      <c r="CG91" s="2" t="e">
        <f t="shared" ca="1" si="88"/>
        <v>#NAME?</v>
      </c>
      <c r="CH91" s="2" t="e">
        <f ca="1"/>
        <v>#NAME?</v>
      </c>
      <c r="CI91" s="2" t="e">
        <f t="shared" ca="1" si="89"/>
        <v>#NAME?</v>
      </c>
      <c r="CJ91" s="2" t="e">
        <f ca="1"/>
        <v>#NAME?</v>
      </c>
      <c r="CK91" s="2" t="e">
        <f t="shared" ca="1" si="90"/>
        <v>#NAME?</v>
      </c>
      <c r="CL91" s="2" t="e">
        <f ca="1"/>
        <v>#NAME?</v>
      </c>
      <c r="CM91" s="2" t="e">
        <f t="shared" ca="1" si="91"/>
        <v>#NAME?</v>
      </c>
      <c r="CN91" s="2" t="e">
        <f ca="1"/>
        <v>#NAME?</v>
      </c>
      <c r="CO91" s="2" t="e">
        <f t="shared" ca="1" si="92"/>
        <v>#NAME?</v>
      </c>
      <c r="CP91" s="2" t="e">
        <f ca="1"/>
        <v>#NAME?</v>
      </c>
      <c r="CQ91" s="2" t="e">
        <f t="shared" ca="1" si="93"/>
        <v>#NAME?</v>
      </c>
    </row>
    <row r="92" spans="1:95">
      <c r="A92" s="7" t="e">
        <f ca="1"/>
        <v>#NAME?</v>
      </c>
      <c r="B92" s="2" t="e">
        <f ca="1"/>
        <v>#NAME?</v>
      </c>
      <c r="C92" s="2" t="e">
        <f t="shared" ca="1" si="47"/>
        <v>#NAME?</v>
      </c>
      <c r="D92" s="2" t="e">
        <f ca="1"/>
        <v>#NAME?</v>
      </c>
      <c r="E92" s="2" t="e">
        <f t="shared" ca="1" si="48"/>
        <v>#NAME?</v>
      </c>
      <c r="F92" s="2" t="e">
        <f ca="1"/>
        <v>#NAME?</v>
      </c>
      <c r="G92" s="2" t="e">
        <f t="shared" ca="1" si="49"/>
        <v>#NAME?</v>
      </c>
      <c r="H92" s="2" t="e">
        <f ca="1"/>
        <v>#NAME?</v>
      </c>
      <c r="I92" s="2" t="e">
        <f t="shared" ca="1" si="50"/>
        <v>#NAME?</v>
      </c>
      <c r="J92" s="2" t="e">
        <f ca="1"/>
        <v>#NAME?</v>
      </c>
      <c r="K92" s="2" t="e">
        <f t="shared" ca="1" si="51"/>
        <v>#NAME?</v>
      </c>
      <c r="L92" s="2" t="e">
        <f ca="1"/>
        <v>#NAME?</v>
      </c>
      <c r="M92" s="2" t="e">
        <f t="shared" ca="1" si="52"/>
        <v>#NAME?</v>
      </c>
      <c r="N92" s="2" t="e">
        <f ca="1"/>
        <v>#NAME?</v>
      </c>
      <c r="O92" s="2" t="e">
        <f t="shared" ca="1" si="53"/>
        <v>#NAME?</v>
      </c>
      <c r="P92" s="2" t="e">
        <f ca="1"/>
        <v>#NAME?</v>
      </c>
      <c r="Q92" s="2" t="e">
        <f t="shared" ca="1" si="54"/>
        <v>#NAME?</v>
      </c>
      <c r="R92" s="2" t="e">
        <f ca="1"/>
        <v>#NAME?</v>
      </c>
      <c r="S92" s="2" t="e">
        <f t="shared" ca="1" si="55"/>
        <v>#NAME?</v>
      </c>
      <c r="T92" s="2" t="e">
        <f ca="1"/>
        <v>#NAME?</v>
      </c>
      <c r="U92" s="2" t="e">
        <f t="shared" ca="1" si="56"/>
        <v>#NAME?</v>
      </c>
      <c r="V92" s="2" t="e">
        <f ca="1"/>
        <v>#NAME?</v>
      </c>
      <c r="W92" s="2" t="e">
        <f t="shared" ca="1" si="57"/>
        <v>#NAME?</v>
      </c>
      <c r="X92" s="2" t="e">
        <f ca="1"/>
        <v>#NAME?</v>
      </c>
      <c r="Y92" s="2" t="e">
        <f t="shared" ca="1" si="58"/>
        <v>#NAME?</v>
      </c>
      <c r="Z92" s="2" t="e">
        <f ca="1"/>
        <v>#NAME?</v>
      </c>
      <c r="AA92" s="2" t="e">
        <f t="shared" ca="1" si="59"/>
        <v>#NAME?</v>
      </c>
      <c r="AB92" s="2" t="e">
        <f ca="1"/>
        <v>#NAME?</v>
      </c>
      <c r="AC92" s="2" t="e">
        <f t="shared" ca="1" si="60"/>
        <v>#NAME?</v>
      </c>
      <c r="AD92" s="2" t="e">
        <f ca="1"/>
        <v>#NAME?</v>
      </c>
      <c r="AE92" s="2" t="e">
        <f t="shared" ca="1" si="61"/>
        <v>#NAME?</v>
      </c>
      <c r="AF92" s="2" t="e">
        <f ca="1"/>
        <v>#NAME?</v>
      </c>
      <c r="AG92" s="2" t="e">
        <f t="shared" ca="1" si="62"/>
        <v>#NAME?</v>
      </c>
      <c r="AH92" s="2" t="e">
        <f ca="1"/>
        <v>#NAME?</v>
      </c>
      <c r="AI92" s="2" t="e">
        <f t="shared" ca="1" si="63"/>
        <v>#NAME?</v>
      </c>
      <c r="AJ92" s="2" t="e">
        <f ca="1"/>
        <v>#NAME?</v>
      </c>
      <c r="AK92" s="2" t="e">
        <f t="shared" ca="1" si="64"/>
        <v>#NAME?</v>
      </c>
      <c r="AL92" s="2" t="e">
        <f ca="1"/>
        <v>#NAME?</v>
      </c>
      <c r="AM92" s="2" t="e">
        <f t="shared" ca="1" si="65"/>
        <v>#NAME?</v>
      </c>
      <c r="AN92" s="2" t="e">
        <f ca="1"/>
        <v>#NAME?</v>
      </c>
      <c r="AO92" s="2" t="e">
        <f t="shared" ca="1" si="66"/>
        <v>#NAME?</v>
      </c>
      <c r="AP92" s="2" t="e">
        <f ca="1"/>
        <v>#NAME?</v>
      </c>
      <c r="AQ92" s="2" t="e">
        <f t="shared" ca="1" si="67"/>
        <v>#NAME?</v>
      </c>
      <c r="AR92" s="2" t="e">
        <f ca="1"/>
        <v>#NAME?</v>
      </c>
      <c r="AS92" s="2" t="e">
        <f t="shared" ca="1" si="68"/>
        <v>#NAME?</v>
      </c>
      <c r="AT92" s="2" t="e">
        <f ca="1"/>
        <v>#NAME?</v>
      </c>
      <c r="AU92" s="2" t="e">
        <f t="shared" ca="1" si="69"/>
        <v>#NAME?</v>
      </c>
      <c r="AV92" s="2" t="e">
        <f ca="1"/>
        <v>#NAME?</v>
      </c>
      <c r="AW92" s="2" t="e">
        <f t="shared" ca="1" si="70"/>
        <v>#NAME?</v>
      </c>
      <c r="AX92" s="2" t="e">
        <f ca="1"/>
        <v>#NAME?</v>
      </c>
      <c r="AY92" s="2" t="e">
        <f t="shared" ca="1" si="71"/>
        <v>#NAME?</v>
      </c>
      <c r="AZ92" s="2" t="e">
        <f ca="1"/>
        <v>#NAME?</v>
      </c>
      <c r="BA92" s="2" t="e">
        <f t="shared" ca="1" si="72"/>
        <v>#NAME?</v>
      </c>
      <c r="BB92" s="2" t="e">
        <f ca="1"/>
        <v>#NAME?</v>
      </c>
      <c r="BC92" s="2" t="e">
        <f t="shared" ca="1" si="73"/>
        <v>#NAME?</v>
      </c>
      <c r="BD92" s="2" t="e">
        <f ca="1"/>
        <v>#NAME?</v>
      </c>
      <c r="BE92" s="2" t="e">
        <f t="shared" ca="1" si="74"/>
        <v>#NAME?</v>
      </c>
      <c r="BF92" s="2" t="e">
        <f ca="1"/>
        <v>#NAME?</v>
      </c>
      <c r="BG92" s="2" t="e">
        <f t="shared" ca="1" si="75"/>
        <v>#NAME?</v>
      </c>
      <c r="BH92" s="2" t="e">
        <f ca="1"/>
        <v>#NAME?</v>
      </c>
      <c r="BI92" s="2" t="e">
        <f t="shared" ca="1" si="76"/>
        <v>#NAME?</v>
      </c>
      <c r="BJ92" s="2" t="e">
        <f ca="1"/>
        <v>#NAME?</v>
      </c>
      <c r="BK92" s="2" t="e">
        <f t="shared" ca="1" si="77"/>
        <v>#NAME?</v>
      </c>
      <c r="BL92" s="2" t="e">
        <f ca="1"/>
        <v>#NAME?</v>
      </c>
      <c r="BM92" s="2" t="e">
        <f t="shared" ca="1" si="78"/>
        <v>#NAME?</v>
      </c>
      <c r="BN92" s="2" t="e">
        <f ca="1"/>
        <v>#NAME?</v>
      </c>
      <c r="BO92" s="2" t="e">
        <f t="shared" ca="1" si="79"/>
        <v>#NAME?</v>
      </c>
      <c r="BP92" s="2" t="e">
        <f ca="1"/>
        <v>#NAME?</v>
      </c>
      <c r="BQ92" s="2" t="e">
        <f t="shared" ca="1" si="80"/>
        <v>#NAME?</v>
      </c>
      <c r="BR92" s="2" t="e">
        <f ca="1"/>
        <v>#NAME?</v>
      </c>
      <c r="BS92" s="2" t="e">
        <f t="shared" ca="1" si="81"/>
        <v>#NAME?</v>
      </c>
      <c r="BT92" s="2" t="e">
        <f ca="1"/>
        <v>#NAME?</v>
      </c>
      <c r="BU92" s="2" t="e">
        <f t="shared" ca="1" si="82"/>
        <v>#NAME?</v>
      </c>
      <c r="BV92" s="2" t="e">
        <f ca="1"/>
        <v>#NAME?</v>
      </c>
      <c r="BW92" s="2" t="e">
        <f t="shared" ca="1" si="83"/>
        <v>#NAME?</v>
      </c>
      <c r="BX92" s="2" t="e">
        <f ca="1"/>
        <v>#NAME?</v>
      </c>
      <c r="BY92" s="2" t="e">
        <f t="shared" ca="1" si="84"/>
        <v>#NAME?</v>
      </c>
      <c r="BZ92" s="2" t="e">
        <f ca="1"/>
        <v>#NAME?</v>
      </c>
      <c r="CA92" s="2" t="e">
        <f t="shared" ca="1" si="85"/>
        <v>#NAME?</v>
      </c>
      <c r="CB92" s="2" t="e">
        <f ca="1"/>
        <v>#NAME?</v>
      </c>
      <c r="CC92" s="2" t="e">
        <f t="shared" ca="1" si="86"/>
        <v>#NAME?</v>
      </c>
      <c r="CD92" s="2" t="e">
        <f ca="1"/>
        <v>#NAME?</v>
      </c>
      <c r="CE92" s="2" t="e">
        <f t="shared" ca="1" si="87"/>
        <v>#NAME?</v>
      </c>
      <c r="CF92" s="2" t="e">
        <f ca="1"/>
        <v>#NAME?</v>
      </c>
      <c r="CG92" s="2" t="e">
        <f t="shared" ca="1" si="88"/>
        <v>#NAME?</v>
      </c>
      <c r="CH92" s="2" t="e">
        <f ca="1"/>
        <v>#NAME?</v>
      </c>
      <c r="CI92" s="2" t="e">
        <f t="shared" ca="1" si="89"/>
        <v>#NAME?</v>
      </c>
      <c r="CJ92" s="2" t="e">
        <f ca="1"/>
        <v>#NAME?</v>
      </c>
      <c r="CK92" s="2" t="e">
        <f t="shared" ca="1" si="90"/>
        <v>#NAME?</v>
      </c>
      <c r="CL92" s="2" t="e">
        <f ca="1"/>
        <v>#NAME?</v>
      </c>
      <c r="CM92" s="2" t="e">
        <f t="shared" ca="1" si="91"/>
        <v>#NAME?</v>
      </c>
      <c r="CN92" s="2" t="e">
        <f ca="1"/>
        <v>#NAME?</v>
      </c>
      <c r="CO92" s="2" t="e">
        <f t="shared" ca="1" si="92"/>
        <v>#NAME?</v>
      </c>
      <c r="CP92" s="2" t="e">
        <f ca="1"/>
        <v>#NAME?</v>
      </c>
      <c r="CQ92" s="2" t="e">
        <f t="shared" ca="1" si="93"/>
        <v>#NAME?</v>
      </c>
    </row>
    <row r="93" spans="1:95">
      <c r="A93" s="7" t="e">
        <f ca="1"/>
        <v>#NAME?</v>
      </c>
      <c r="B93" s="2" t="e">
        <f ca="1"/>
        <v>#NAME?</v>
      </c>
      <c r="C93" s="2" t="e">
        <f t="shared" ca="1" si="47"/>
        <v>#NAME?</v>
      </c>
      <c r="D93" s="2" t="e">
        <f ca="1"/>
        <v>#NAME?</v>
      </c>
      <c r="E93" s="2" t="e">
        <f t="shared" ca="1" si="48"/>
        <v>#NAME?</v>
      </c>
      <c r="F93" s="2" t="e">
        <f ca="1"/>
        <v>#NAME?</v>
      </c>
      <c r="G93" s="2" t="e">
        <f t="shared" ca="1" si="49"/>
        <v>#NAME?</v>
      </c>
      <c r="H93" s="2" t="e">
        <f ca="1"/>
        <v>#NAME?</v>
      </c>
      <c r="I93" s="2" t="e">
        <f t="shared" ca="1" si="50"/>
        <v>#NAME?</v>
      </c>
      <c r="J93" s="2" t="e">
        <f ca="1"/>
        <v>#NAME?</v>
      </c>
      <c r="K93" s="2" t="e">
        <f t="shared" ca="1" si="51"/>
        <v>#NAME?</v>
      </c>
      <c r="L93" s="2" t="e">
        <f ca="1"/>
        <v>#NAME?</v>
      </c>
      <c r="M93" s="2" t="e">
        <f t="shared" ca="1" si="52"/>
        <v>#NAME?</v>
      </c>
      <c r="N93" s="2" t="e">
        <f ca="1"/>
        <v>#NAME?</v>
      </c>
      <c r="O93" s="2" t="e">
        <f t="shared" ca="1" si="53"/>
        <v>#NAME?</v>
      </c>
      <c r="P93" s="2" t="e">
        <f ca="1"/>
        <v>#NAME?</v>
      </c>
      <c r="Q93" s="2" t="e">
        <f t="shared" ca="1" si="54"/>
        <v>#NAME?</v>
      </c>
      <c r="R93" s="2" t="e">
        <f ca="1"/>
        <v>#NAME?</v>
      </c>
      <c r="S93" s="2" t="e">
        <f t="shared" ca="1" si="55"/>
        <v>#NAME?</v>
      </c>
      <c r="T93" s="2" t="e">
        <f ca="1"/>
        <v>#NAME?</v>
      </c>
      <c r="U93" s="2" t="e">
        <f t="shared" ca="1" si="56"/>
        <v>#NAME?</v>
      </c>
      <c r="V93" s="2" t="e">
        <f ca="1"/>
        <v>#NAME?</v>
      </c>
      <c r="W93" s="2" t="e">
        <f t="shared" ca="1" si="57"/>
        <v>#NAME?</v>
      </c>
      <c r="X93" s="2" t="e">
        <f ca="1"/>
        <v>#NAME?</v>
      </c>
      <c r="Y93" s="2" t="e">
        <f t="shared" ca="1" si="58"/>
        <v>#NAME?</v>
      </c>
      <c r="Z93" s="2" t="e">
        <f ca="1"/>
        <v>#NAME?</v>
      </c>
      <c r="AA93" s="2" t="e">
        <f t="shared" ca="1" si="59"/>
        <v>#NAME?</v>
      </c>
      <c r="AB93" s="2" t="e">
        <f ca="1"/>
        <v>#NAME?</v>
      </c>
      <c r="AC93" s="2" t="e">
        <f t="shared" ca="1" si="60"/>
        <v>#NAME?</v>
      </c>
      <c r="AD93" s="2" t="e">
        <f ca="1"/>
        <v>#NAME?</v>
      </c>
      <c r="AE93" s="2" t="e">
        <f t="shared" ca="1" si="61"/>
        <v>#NAME?</v>
      </c>
      <c r="AF93" s="2" t="e">
        <f ca="1"/>
        <v>#NAME?</v>
      </c>
      <c r="AG93" s="2" t="e">
        <f t="shared" ca="1" si="62"/>
        <v>#NAME?</v>
      </c>
      <c r="AH93" s="2" t="e">
        <f ca="1"/>
        <v>#NAME?</v>
      </c>
      <c r="AI93" s="2" t="e">
        <f t="shared" ca="1" si="63"/>
        <v>#NAME?</v>
      </c>
      <c r="AJ93" s="2" t="e">
        <f ca="1"/>
        <v>#NAME?</v>
      </c>
      <c r="AK93" s="2" t="e">
        <f t="shared" ca="1" si="64"/>
        <v>#NAME?</v>
      </c>
      <c r="AL93" s="2" t="e">
        <f ca="1"/>
        <v>#NAME?</v>
      </c>
      <c r="AM93" s="2" t="e">
        <f t="shared" ca="1" si="65"/>
        <v>#NAME?</v>
      </c>
      <c r="AN93" s="2" t="e">
        <f ca="1"/>
        <v>#NAME?</v>
      </c>
      <c r="AO93" s="2" t="e">
        <f t="shared" ca="1" si="66"/>
        <v>#NAME?</v>
      </c>
      <c r="AP93" s="2" t="e">
        <f ca="1"/>
        <v>#NAME?</v>
      </c>
      <c r="AQ93" s="2" t="e">
        <f t="shared" ca="1" si="67"/>
        <v>#NAME?</v>
      </c>
      <c r="AR93" s="2" t="e">
        <f ca="1"/>
        <v>#NAME?</v>
      </c>
      <c r="AS93" s="2" t="e">
        <f t="shared" ca="1" si="68"/>
        <v>#NAME?</v>
      </c>
      <c r="AT93" s="2" t="e">
        <f ca="1"/>
        <v>#NAME?</v>
      </c>
      <c r="AU93" s="2" t="e">
        <f t="shared" ca="1" si="69"/>
        <v>#NAME?</v>
      </c>
      <c r="AV93" s="2" t="e">
        <f ca="1"/>
        <v>#NAME?</v>
      </c>
      <c r="AW93" s="2" t="e">
        <f t="shared" ca="1" si="70"/>
        <v>#NAME?</v>
      </c>
      <c r="AX93" s="2" t="e">
        <f ca="1"/>
        <v>#NAME?</v>
      </c>
      <c r="AY93" s="2" t="e">
        <f t="shared" ca="1" si="71"/>
        <v>#NAME?</v>
      </c>
      <c r="AZ93" s="2" t="e">
        <f ca="1"/>
        <v>#NAME?</v>
      </c>
      <c r="BA93" s="2" t="e">
        <f t="shared" ca="1" si="72"/>
        <v>#NAME?</v>
      </c>
      <c r="BB93" s="2" t="e">
        <f ca="1"/>
        <v>#NAME?</v>
      </c>
      <c r="BC93" s="2" t="e">
        <f t="shared" ca="1" si="73"/>
        <v>#NAME?</v>
      </c>
      <c r="BD93" s="2" t="e">
        <f ca="1"/>
        <v>#NAME?</v>
      </c>
      <c r="BE93" s="2" t="e">
        <f t="shared" ca="1" si="74"/>
        <v>#NAME?</v>
      </c>
      <c r="BF93" s="2" t="e">
        <f ca="1"/>
        <v>#NAME?</v>
      </c>
      <c r="BG93" s="2" t="e">
        <f t="shared" ca="1" si="75"/>
        <v>#NAME?</v>
      </c>
      <c r="BH93" s="2" t="e">
        <f ca="1"/>
        <v>#NAME?</v>
      </c>
      <c r="BI93" s="2" t="e">
        <f t="shared" ca="1" si="76"/>
        <v>#NAME?</v>
      </c>
      <c r="BJ93" s="2" t="e">
        <f ca="1"/>
        <v>#NAME?</v>
      </c>
      <c r="BK93" s="2" t="e">
        <f t="shared" ca="1" si="77"/>
        <v>#NAME?</v>
      </c>
      <c r="BL93" s="2" t="e">
        <f ca="1"/>
        <v>#NAME?</v>
      </c>
      <c r="BM93" s="2" t="e">
        <f t="shared" ca="1" si="78"/>
        <v>#NAME?</v>
      </c>
      <c r="BN93" s="2" t="e">
        <f ca="1"/>
        <v>#NAME?</v>
      </c>
      <c r="BO93" s="2" t="e">
        <f t="shared" ca="1" si="79"/>
        <v>#NAME?</v>
      </c>
      <c r="BP93" s="2" t="e">
        <f ca="1"/>
        <v>#NAME?</v>
      </c>
      <c r="BQ93" s="2" t="e">
        <f t="shared" ca="1" si="80"/>
        <v>#NAME?</v>
      </c>
      <c r="BR93" s="2" t="e">
        <f ca="1"/>
        <v>#NAME?</v>
      </c>
      <c r="BS93" s="2" t="e">
        <f t="shared" ca="1" si="81"/>
        <v>#NAME?</v>
      </c>
      <c r="BT93" s="2" t="e">
        <f ca="1"/>
        <v>#NAME?</v>
      </c>
      <c r="BU93" s="2" t="e">
        <f t="shared" ca="1" si="82"/>
        <v>#NAME?</v>
      </c>
      <c r="BV93" s="2" t="e">
        <f ca="1"/>
        <v>#NAME?</v>
      </c>
      <c r="BW93" s="2" t="e">
        <f t="shared" ca="1" si="83"/>
        <v>#NAME?</v>
      </c>
      <c r="BX93" s="2" t="e">
        <f ca="1"/>
        <v>#NAME?</v>
      </c>
      <c r="BY93" s="2" t="e">
        <f t="shared" ca="1" si="84"/>
        <v>#NAME?</v>
      </c>
      <c r="BZ93" s="2" t="e">
        <f ca="1"/>
        <v>#NAME?</v>
      </c>
      <c r="CA93" s="2" t="e">
        <f t="shared" ca="1" si="85"/>
        <v>#NAME?</v>
      </c>
      <c r="CB93" s="2" t="e">
        <f ca="1"/>
        <v>#NAME?</v>
      </c>
      <c r="CC93" s="2" t="e">
        <f t="shared" ca="1" si="86"/>
        <v>#NAME?</v>
      </c>
      <c r="CD93" s="2" t="e">
        <f ca="1"/>
        <v>#NAME?</v>
      </c>
      <c r="CE93" s="2" t="e">
        <f t="shared" ca="1" si="87"/>
        <v>#NAME?</v>
      </c>
      <c r="CF93" s="2" t="e">
        <f ca="1"/>
        <v>#NAME?</v>
      </c>
      <c r="CG93" s="2" t="e">
        <f t="shared" ca="1" si="88"/>
        <v>#NAME?</v>
      </c>
      <c r="CH93" s="2" t="e">
        <f ca="1"/>
        <v>#NAME?</v>
      </c>
      <c r="CI93" s="2" t="e">
        <f t="shared" ca="1" si="89"/>
        <v>#NAME?</v>
      </c>
      <c r="CJ93" s="2" t="e">
        <f ca="1"/>
        <v>#NAME?</v>
      </c>
      <c r="CK93" s="2" t="e">
        <f t="shared" ca="1" si="90"/>
        <v>#NAME?</v>
      </c>
      <c r="CL93" s="2" t="e">
        <f ca="1"/>
        <v>#NAME?</v>
      </c>
      <c r="CM93" s="2" t="e">
        <f t="shared" ca="1" si="91"/>
        <v>#NAME?</v>
      </c>
      <c r="CN93" s="2" t="e">
        <f ca="1"/>
        <v>#NAME?</v>
      </c>
      <c r="CO93" s="2" t="e">
        <f t="shared" ca="1" si="92"/>
        <v>#NAME?</v>
      </c>
      <c r="CP93" s="2" t="e">
        <f ca="1"/>
        <v>#NAME?</v>
      </c>
      <c r="CQ93" s="2" t="e">
        <f t="shared" ca="1" si="93"/>
        <v>#NAME?</v>
      </c>
    </row>
    <row r="94" spans="1:95">
      <c r="A94" s="7" t="e">
        <f ca="1"/>
        <v>#NAME?</v>
      </c>
      <c r="B94" s="2" t="e">
        <f ca="1"/>
        <v>#NAME?</v>
      </c>
      <c r="C94" s="2" t="e">
        <f t="shared" ca="1" si="47"/>
        <v>#NAME?</v>
      </c>
      <c r="D94" s="2" t="e">
        <f ca="1"/>
        <v>#NAME?</v>
      </c>
      <c r="E94" s="2" t="e">
        <f t="shared" ca="1" si="48"/>
        <v>#NAME?</v>
      </c>
      <c r="F94" s="2" t="e">
        <f ca="1"/>
        <v>#NAME?</v>
      </c>
      <c r="G94" s="2" t="e">
        <f t="shared" ca="1" si="49"/>
        <v>#NAME?</v>
      </c>
      <c r="H94" s="2" t="e">
        <f ca="1"/>
        <v>#NAME?</v>
      </c>
      <c r="I94" s="2" t="e">
        <f t="shared" ca="1" si="50"/>
        <v>#NAME?</v>
      </c>
      <c r="J94" s="2" t="e">
        <f ca="1"/>
        <v>#NAME?</v>
      </c>
      <c r="K94" s="2" t="e">
        <f t="shared" ca="1" si="51"/>
        <v>#NAME?</v>
      </c>
      <c r="L94" s="2" t="e">
        <f ca="1"/>
        <v>#NAME?</v>
      </c>
      <c r="M94" s="2" t="e">
        <f t="shared" ca="1" si="52"/>
        <v>#NAME?</v>
      </c>
      <c r="N94" s="2" t="e">
        <f ca="1"/>
        <v>#NAME?</v>
      </c>
      <c r="O94" s="2" t="e">
        <f t="shared" ca="1" si="53"/>
        <v>#NAME?</v>
      </c>
      <c r="P94" s="2" t="e">
        <f ca="1"/>
        <v>#NAME?</v>
      </c>
      <c r="Q94" s="2" t="e">
        <f t="shared" ca="1" si="54"/>
        <v>#NAME?</v>
      </c>
      <c r="R94" s="2" t="e">
        <f ca="1"/>
        <v>#NAME?</v>
      </c>
      <c r="S94" s="2" t="e">
        <f t="shared" ca="1" si="55"/>
        <v>#NAME?</v>
      </c>
      <c r="T94" s="2" t="e">
        <f ca="1"/>
        <v>#NAME?</v>
      </c>
      <c r="U94" s="2" t="e">
        <f t="shared" ca="1" si="56"/>
        <v>#NAME?</v>
      </c>
      <c r="V94" s="2" t="e">
        <f ca="1"/>
        <v>#NAME?</v>
      </c>
      <c r="W94" s="2" t="e">
        <f t="shared" ca="1" si="57"/>
        <v>#NAME?</v>
      </c>
      <c r="X94" s="2" t="e">
        <f ca="1"/>
        <v>#NAME?</v>
      </c>
      <c r="Y94" s="2" t="e">
        <f t="shared" ca="1" si="58"/>
        <v>#NAME?</v>
      </c>
      <c r="Z94" s="2" t="e">
        <f ca="1"/>
        <v>#NAME?</v>
      </c>
      <c r="AA94" s="2" t="e">
        <f t="shared" ca="1" si="59"/>
        <v>#NAME?</v>
      </c>
      <c r="AB94" s="2" t="e">
        <f ca="1"/>
        <v>#NAME?</v>
      </c>
      <c r="AC94" s="2" t="e">
        <f t="shared" ca="1" si="60"/>
        <v>#NAME?</v>
      </c>
      <c r="AD94" s="2" t="e">
        <f ca="1"/>
        <v>#NAME?</v>
      </c>
      <c r="AE94" s="2" t="e">
        <f t="shared" ca="1" si="61"/>
        <v>#NAME?</v>
      </c>
      <c r="AF94" s="2" t="e">
        <f ca="1"/>
        <v>#NAME?</v>
      </c>
      <c r="AG94" s="2" t="e">
        <f t="shared" ca="1" si="62"/>
        <v>#NAME?</v>
      </c>
      <c r="AH94" s="2" t="e">
        <f ca="1"/>
        <v>#NAME?</v>
      </c>
      <c r="AI94" s="2" t="e">
        <f t="shared" ca="1" si="63"/>
        <v>#NAME?</v>
      </c>
      <c r="AJ94" s="2" t="e">
        <f ca="1"/>
        <v>#NAME?</v>
      </c>
      <c r="AK94" s="2" t="e">
        <f t="shared" ca="1" si="64"/>
        <v>#NAME?</v>
      </c>
      <c r="AL94" s="2" t="e">
        <f ca="1"/>
        <v>#NAME?</v>
      </c>
      <c r="AM94" s="2" t="e">
        <f t="shared" ca="1" si="65"/>
        <v>#NAME?</v>
      </c>
      <c r="AN94" s="2" t="e">
        <f ca="1"/>
        <v>#NAME?</v>
      </c>
      <c r="AO94" s="2" t="e">
        <f t="shared" ca="1" si="66"/>
        <v>#NAME?</v>
      </c>
      <c r="AP94" s="2" t="e">
        <f ca="1"/>
        <v>#NAME?</v>
      </c>
      <c r="AQ94" s="2" t="e">
        <f t="shared" ca="1" si="67"/>
        <v>#NAME?</v>
      </c>
      <c r="AR94" s="2" t="e">
        <f ca="1"/>
        <v>#NAME?</v>
      </c>
      <c r="AS94" s="2" t="e">
        <f t="shared" ca="1" si="68"/>
        <v>#NAME?</v>
      </c>
      <c r="AT94" s="2" t="e">
        <f ca="1"/>
        <v>#NAME?</v>
      </c>
      <c r="AU94" s="2" t="e">
        <f t="shared" ca="1" si="69"/>
        <v>#NAME?</v>
      </c>
      <c r="AV94" s="2" t="e">
        <f ca="1"/>
        <v>#NAME?</v>
      </c>
      <c r="AW94" s="2" t="e">
        <f t="shared" ca="1" si="70"/>
        <v>#NAME?</v>
      </c>
      <c r="AX94" s="2" t="e">
        <f ca="1"/>
        <v>#NAME?</v>
      </c>
      <c r="AY94" s="2" t="e">
        <f t="shared" ca="1" si="71"/>
        <v>#NAME?</v>
      </c>
      <c r="AZ94" s="2" t="e">
        <f ca="1"/>
        <v>#NAME?</v>
      </c>
      <c r="BA94" s="2" t="e">
        <f t="shared" ca="1" si="72"/>
        <v>#NAME?</v>
      </c>
      <c r="BB94" s="2" t="e">
        <f ca="1"/>
        <v>#NAME?</v>
      </c>
      <c r="BC94" s="2" t="e">
        <f t="shared" ca="1" si="73"/>
        <v>#NAME?</v>
      </c>
      <c r="BD94" s="2" t="e">
        <f ca="1"/>
        <v>#NAME?</v>
      </c>
      <c r="BE94" s="2" t="e">
        <f t="shared" ca="1" si="74"/>
        <v>#NAME?</v>
      </c>
      <c r="BF94" s="2" t="e">
        <f ca="1"/>
        <v>#NAME?</v>
      </c>
      <c r="BG94" s="2" t="e">
        <f t="shared" ca="1" si="75"/>
        <v>#NAME?</v>
      </c>
      <c r="BH94" s="2" t="e">
        <f ca="1"/>
        <v>#NAME?</v>
      </c>
      <c r="BI94" s="2" t="e">
        <f t="shared" ca="1" si="76"/>
        <v>#NAME?</v>
      </c>
      <c r="BJ94" s="2" t="e">
        <f ca="1"/>
        <v>#NAME?</v>
      </c>
      <c r="BK94" s="2" t="e">
        <f t="shared" ca="1" si="77"/>
        <v>#NAME?</v>
      </c>
      <c r="BL94" s="2" t="e">
        <f ca="1"/>
        <v>#NAME?</v>
      </c>
      <c r="BM94" s="2" t="e">
        <f t="shared" ca="1" si="78"/>
        <v>#NAME?</v>
      </c>
      <c r="BN94" s="2" t="e">
        <f ca="1"/>
        <v>#NAME?</v>
      </c>
      <c r="BO94" s="2" t="e">
        <f t="shared" ca="1" si="79"/>
        <v>#NAME?</v>
      </c>
      <c r="BP94" s="2" t="e">
        <f ca="1"/>
        <v>#NAME?</v>
      </c>
      <c r="BQ94" s="2" t="e">
        <f t="shared" ca="1" si="80"/>
        <v>#NAME?</v>
      </c>
      <c r="BR94" s="2" t="e">
        <f ca="1"/>
        <v>#NAME?</v>
      </c>
      <c r="BS94" s="2" t="e">
        <f t="shared" ca="1" si="81"/>
        <v>#NAME?</v>
      </c>
      <c r="BT94" s="2" t="e">
        <f ca="1"/>
        <v>#NAME?</v>
      </c>
      <c r="BU94" s="2" t="e">
        <f t="shared" ca="1" si="82"/>
        <v>#NAME?</v>
      </c>
      <c r="BV94" s="2" t="e">
        <f ca="1"/>
        <v>#NAME?</v>
      </c>
      <c r="BW94" s="2" t="e">
        <f t="shared" ca="1" si="83"/>
        <v>#NAME?</v>
      </c>
      <c r="BX94" s="2" t="e">
        <f ca="1"/>
        <v>#NAME?</v>
      </c>
      <c r="BY94" s="2" t="e">
        <f t="shared" ca="1" si="84"/>
        <v>#NAME?</v>
      </c>
      <c r="BZ94" s="2" t="e">
        <f ca="1"/>
        <v>#NAME?</v>
      </c>
      <c r="CA94" s="2" t="e">
        <f t="shared" ca="1" si="85"/>
        <v>#NAME?</v>
      </c>
      <c r="CB94" s="2" t="e">
        <f ca="1"/>
        <v>#NAME?</v>
      </c>
      <c r="CC94" s="2" t="e">
        <f t="shared" ca="1" si="86"/>
        <v>#NAME?</v>
      </c>
      <c r="CD94" s="2" t="e">
        <f ca="1"/>
        <v>#NAME?</v>
      </c>
      <c r="CE94" s="2" t="e">
        <f t="shared" ca="1" si="87"/>
        <v>#NAME?</v>
      </c>
      <c r="CF94" s="2" t="e">
        <f ca="1"/>
        <v>#NAME?</v>
      </c>
      <c r="CG94" s="2" t="e">
        <f t="shared" ca="1" si="88"/>
        <v>#NAME?</v>
      </c>
      <c r="CH94" s="2" t="e">
        <f ca="1"/>
        <v>#NAME?</v>
      </c>
      <c r="CI94" s="2" t="e">
        <f t="shared" ca="1" si="89"/>
        <v>#NAME?</v>
      </c>
      <c r="CJ94" s="2" t="e">
        <f ca="1"/>
        <v>#NAME?</v>
      </c>
      <c r="CK94" s="2" t="e">
        <f t="shared" ca="1" si="90"/>
        <v>#NAME?</v>
      </c>
      <c r="CL94" s="2" t="e">
        <f ca="1"/>
        <v>#NAME?</v>
      </c>
      <c r="CM94" s="2" t="e">
        <f t="shared" ca="1" si="91"/>
        <v>#NAME?</v>
      </c>
      <c r="CN94" s="2" t="e">
        <f ca="1"/>
        <v>#NAME?</v>
      </c>
      <c r="CO94" s="2" t="e">
        <f t="shared" ca="1" si="92"/>
        <v>#NAME?</v>
      </c>
      <c r="CP94" s="2" t="e">
        <f ca="1"/>
        <v>#NAME?</v>
      </c>
      <c r="CQ94" s="2" t="e">
        <f t="shared" ca="1" si="93"/>
        <v>#NAME?</v>
      </c>
    </row>
    <row r="95" spans="1:95">
      <c r="A95" s="7" t="e">
        <f ca="1"/>
        <v>#NAME?</v>
      </c>
      <c r="B95" s="2" t="e">
        <f ca="1"/>
        <v>#NAME?</v>
      </c>
      <c r="C95" s="2" t="e">
        <f t="shared" ca="1" si="47"/>
        <v>#NAME?</v>
      </c>
      <c r="D95" s="2" t="e">
        <f ca="1"/>
        <v>#NAME?</v>
      </c>
      <c r="E95" s="2" t="e">
        <f t="shared" ca="1" si="48"/>
        <v>#NAME?</v>
      </c>
      <c r="F95" s="2" t="e">
        <f ca="1"/>
        <v>#NAME?</v>
      </c>
      <c r="G95" s="2" t="e">
        <f t="shared" ca="1" si="49"/>
        <v>#NAME?</v>
      </c>
      <c r="H95" s="2" t="e">
        <f ca="1"/>
        <v>#NAME?</v>
      </c>
      <c r="I95" s="2" t="e">
        <f t="shared" ca="1" si="50"/>
        <v>#NAME?</v>
      </c>
      <c r="J95" s="2" t="e">
        <f ca="1"/>
        <v>#NAME?</v>
      </c>
      <c r="K95" s="2" t="e">
        <f t="shared" ca="1" si="51"/>
        <v>#NAME?</v>
      </c>
      <c r="L95" s="2" t="e">
        <f ca="1"/>
        <v>#NAME?</v>
      </c>
      <c r="M95" s="2" t="e">
        <f t="shared" ca="1" si="52"/>
        <v>#NAME?</v>
      </c>
      <c r="N95" s="2" t="e">
        <f ca="1"/>
        <v>#NAME?</v>
      </c>
      <c r="O95" s="2" t="e">
        <f t="shared" ca="1" si="53"/>
        <v>#NAME?</v>
      </c>
      <c r="P95" s="2" t="e">
        <f ca="1"/>
        <v>#NAME?</v>
      </c>
      <c r="Q95" s="2" t="e">
        <f t="shared" ca="1" si="54"/>
        <v>#NAME?</v>
      </c>
      <c r="R95" s="2" t="e">
        <f ca="1"/>
        <v>#NAME?</v>
      </c>
      <c r="S95" s="2" t="e">
        <f t="shared" ca="1" si="55"/>
        <v>#NAME?</v>
      </c>
      <c r="T95" s="2" t="e">
        <f ca="1"/>
        <v>#NAME?</v>
      </c>
      <c r="U95" s="2" t="e">
        <f t="shared" ca="1" si="56"/>
        <v>#NAME?</v>
      </c>
      <c r="V95" s="2" t="e">
        <f ca="1"/>
        <v>#NAME?</v>
      </c>
      <c r="W95" s="2" t="e">
        <f t="shared" ca="1" si="57"/>
        <v>#NAME?</v>
      </c>
      <c r="X95" s="2" t="e">
        <f ca="1"/>
        <v>#NAME?</v>
      </c>
      <c r="Y95" s="2" t="e">
        <f t="shared" ca="1" si="58"/>
        <v>#NAME?</v>
      </c>
      <c r="Z95" s="2" t="e">
        <f ca="1"/>
        <v>#NAME?</v>
      </c>
      <c r="AA95" s="2" t="e">
        <f t="shared" ca="1" si="59"/>
        <v>#NAME?</v>
      </c>
      <c r="AB95" s="2" t="e">
        <f ca="1"/>
        <v>#NAME?</v>
      </c>
      <c r="AC95" s="2" t="e">
        <f t="shared" ca="1" si="60"/>
        <v>#NAME?</v>
      </c>
      <c r="AD95" s="2" t="e">
        <f ca="1"/>
        <v>#NAME?</v>
      </c>
      <c r="AE95" s="2" t="e">
        <f t="shared" ca="1" si="61"/>
        <v>#NAME?</v>
      </c>
      <c r="AF95" s="2" t="e">
        <f ca="1"/>
        <v>#NAME?</v>
      </c>
      <c r="AG95" s="2" t="e">
        <f t="shared" ca="1" si="62"/>
        <v>#NAME?</v>
      </c>
      <c r="AH95" s="2" t="e">
        <f ca="1"/>
        <v>#NAME?</v>
      </c>
      <c r="AI95" s="2" t="e">
        <f t="shared" ca="1" si="63"/>
        <v>#NAME?</v>
      </c>
      <c r="AJ95" s="2" t="e">
        <f ca="1"/>
        <v>#NAME?</v>
      </c>
      <c r="AK95" s="2" t="e">
        <f t="shared" ca="1" si="64"/>
        <v>#NAME?</v>
      </c>
      <c r="AL95" s="2" t="e">
        <f ca="1"/>
        <v>#NAME?</v>
      </c>
      <c r="AM95" s="2" t="e">
        <f t="shared" ca="1" si="65"/>
        <v>#NAME?</v>
      </c>
      <c r="AN95" s="2" t="e">
        <f ca="1"/>
        <v>#NAME?</v>
      </c>
      <c r="AO95" s="2" t="e">
        <f t="shared" ca="1" si="66"/>
        <v>#NAME?</v>
      </c>
      <c r="AP95" s="2" t="e">
        <f ca="1"/>
        <v>#NAME?</v>
      </c>
      <c r="AQ95" s="2" t="e">
        <f t="shared" ca="1" si="67"/>
        <v>#NAME?</v>
      </c>
      <c r="AR95" s="2" t="e">
        <f ca="1"/>
        <v>#NAME?</v>
      </c>
      <c r="AS95" s="2" t="e">
        <f t="shared" ca="1" si="68"/>
        <v>#NAME?</v>
      </c>
      <c r="AT95" s="2" t="e">
        <f ca="1"/>
        <v>#NAME?</v>
      </c>
      <c r="AU95" s="2" t="e">
        <f t="shared" ca="1" si="69"/>
        <v>#NAME?</v>
      </c>
      <c r="AV95" s="2" t="e">
        <f ca="1"/>
        <v>#NAME?</v>
      </c>
      <c r="AW95" s="2" t="e">
        <f t="shared" ca="1" si="70"/>
        <v>#NAME?</v>
      </c>
      <c r="AX95" s="2" t="e">
        <f ca="1"/>
        <v>#NAME?</v>
      </c>
      <c r="AY95" s="2" t="e">
        <f t="shared" ca="1" si="71"/>
        <v>#NAME?</v>
      </c>
      <c r="AZ95" s="2" t="e">
        <f ca="1"/>
        <v>#NAME?</v>
      </c>
      <c r="BA95" s="2" t="e">
        <f t="shared" ca="1" si="72"/>
        <v>#NAME?</v>
      </c>
      <c r="BB95" s="2" t="e">
        <f ca="1"/>
        <v>#NAME?</v>
      </c>
      <c r="BC95" s="2" t="e">
        <f t="shared" ca="1" si="73"/>
        <v>#NAME?</v>
      </c>
      <c r="BD95" s="2" t="e">
        <f ca="1"/>
        <v>#NAME?</v>
      </c>
      <c r="BE95" s="2" t="e">
        <f t="shared" ca="1" si="74"/>
        <v>#NAME?</v>
      </c>
      <c r="BF95" s="2" t="e">
        <f ca="1"/>
        <v>#NAME?</v>
      </c>
      <c r="BG95" s="2" t="e">
        <f t="shared" ca="1" si="75"/>
        <v>#NAME?</v>
      </c>
      <c r="BH95" s="2" t="e">
        <f ca="1"/>
        <v>#NAME?</v>
      </c>
      <c r="BI95" s="2" t="e">
        <f t="shared" ca="1" si="76"/>
        <v>#NAME?</v>
      </c>
      <c r="BJ95" s="2" t="e">
        <f ca="1"/>
        <v>#NAME?</v>
      </c>
      <c r="BK95" s="2" t="e">
        <f t="shared" ca="1" si="77"/>
        <v>#NAME?</v>
      </c>
      <c r="BL95" s="2" t="e">
        <f ca="1"/>
        <v>#NAME?</v>
      </c>
      <c r="BM95" s="2" t="e">
        <f t="shared" ca="1" si="78"/>
        <v>#NAME?</v>
      </c>
      <c r="BN95" s="2" t="e">
        <f ca="1"/>
        <v>#NAME?</v>
      </c>
      <c r="BO95" s="2" t="e">
        <f t="shared" ca="1" si="79"/>
        <v>#NAME?</v>
      </c>
      <c r="BP95" s="2" t="e">
        <f ca="1"/>
        <v>#NAME?</v>
      </c>
      <c r="BQ95" s="2" t="e">
        <f t="shared" ca="1" si="80"/>
        <v>#NAME?</v>
      </c>
      <c r="BR95" s="2" t="e">
        <f ca="1"/>
        <v>#NAME?</v>
      </c>
      <c r="BS95" s="2" t="e">
        <f t="shared" ca="1" si="81"/>
        <v>#NAME?</v>
      </c>
      <c r="BT95" s="2" t="e">
        <f ca="1"/>
        <v>#NAME?</v>
      </c>
      <c r="BU95" s="2" t="e">
        <f t="shared" ca="1" si="82"/>
        <v>#NAME?</v>
      </c>
      <c r="BV95" s="2" t="e">
        <f ca="1"/>
        <v>#NAME?</v>
      </c>
      <c r="BW95" s="2" t="e">
        <f t="shared" ca="1" si="83"/>
        <v>#NAME?</v>
      </c>
      <c r="BX95" s="2" t="e">
        <f ca="1"/>
        <v>#NAME?</v>
      </c>
      <c r="BY95" s="2" t="e">
        <f t="shared" ca="1" si="84"/>
        <v>#NAME?</v>
      </c>
      <c r="BZ95" s="2" t="e">
        <f ca="1"/>
        <v>#NAME?</v>
      </c>
      <c r="CA95" s="2" t="e">
        <f t="shared" ca="1" si="85"/>
        <v>#NAME?</v>
      </c>
      <c r="CB95" s="2" t="e">
        <f ca="1"/>
        <v>#NAME?</v>
      </c>
      <c r="CC95" s="2" t="e">
        <f t="shared" ca="1" si="86"/>
        <v>#NAME?</v>
      </c>
      <c r="CD95" s="2" t="e">
        <f ca="1"/>
        <v>#NAME?</v>
      </c>
      <c r="CE95" s="2" t="e">
        <f t="shared" ca="1" si="87"/>
        <v>#NAME?</v>
      </c>
      <c r="CF95" s="2" t="e">
        <f ca="1"/>
        <v>#NAME?</v>
      </c>
      <c r="CG95" s="2" t="e">
        <f t="shared" ca="1" si="88"/>
        <v>#NAME?</v>
      </c>
      <c r="CH95" s="2" t="e">
        <f ca="1"/>
        <v>#NAME?</v>
      </c>
      <c r="CI95" s="2" t="e">
        <f t="shared" ca="1" si="89"/>
        <v>#NAME?</v>
      </c>
      <c r="CJ95" s="2" t="e">
        <f ca="1"/>
        <v>#NAME?</v>
      </c>
      <c r="CK95" s="2" t="e">
        <f t="shared" ca="1" si="90"/>
        <v>#NAME?</v>
      </c>
      <c r="CL95" s="2" t="e">
        <f ca="1"/>
        <v>#NAME?</v>
      </c>
      <c r="CM95" s="2" t="e">
        <f t="shared" ca="1" si="91"/>
        <v>#NAME?</v>
      </c>
      <c r="CN95" s="2" t="e">
        <f ca="1"/>
        <v>#NAME?</v>
      </c>
      <c r="CO95" s="2" t="e">
        <f t="shared" ca="1" si="92"/>
        <v>#NAME?</v>
      </c>
      <c r="CP95" s="2" t="e">
        <f ca="1"/>
        <v>#NAME?</v>
      </c>
      <c r="CQ95" s="2" t="e">
        <f t="shared" ca="1" si="93"/>
        <v>#NAME?</v>
      </c>
    </row>
    <row r="96" spans="1:95">
      <c r="A96" s="7" t="e">
        <f ca="1"/>
        <v>#NAME?</v>
      </c>
      <c r="B96" s="2" t="e">
        <f ca="1"/>
        <v>#NAME?</v>
      </c>
      <c r="C96" s="2" t="e">
        <f t="shared" ca="1" si="47"/>
        <v>#NAME?</v>
      </c>
      <c r="D96" s="2" t="e">
        <f ca="1"/>
        <v>#NAME?</v>
      </c>
      <c r="E96" s="2" t="e">
        <f t="shared" ca="1" si="48"/>
        <v>#NAME?</v>
      </c>
      <c r="F96" s="2" t="e">
        <f ca="1"/>
        <v>#NAME?</v>
      </c>
      <c r="G96" s="2" t="e">
        <f t="shared" ca="1" si="49"/>
        <v>#NAME?</v>
      </c>
      <c r="H96" s="2" t="e">
        <f ca="1"/>
        <v>#NAME?</v>
      </c>
      <c r="I96" s="2" t="e">
        <f t="shared" ca="1" si="50"/>
        <v>#NAME?</v>
      </c>
      <c r="J96" s="2" t="e">
        <f ca="1"/>
        <v>#NAME?</v>
      </c>
      <c r="K96" s="2" t="e">
        <f t="shared" ca="1" si="51"/>
        <v>#NAME?</v>
      </c>
      <c r="L96" s="2" t="e">
        <f ca="1"/>
        <v>#NAME?</v>
      </c>
      <c r="M96" s="2" t="e">
        <f t="shared" ca="1" si="52"/>
        <v>#NAME?</v>
      </c>
      <c r="N96" s="2" t="e">
        <f ca="1"/>
        <v>#NAME?</v>
      </c>
      <c r="O96" s="2" t="e">
        <f t="shared" ca="1" si="53"/>
        <v>#NAME?</v>
      </c>
      <c r="P96" s="2" t="e">
        <f ca="1"/>
        <v>#NAME?</v>
      </c>
      <c r="Q96" s="2" t="e">
        <f t="shared" ca="1" si="54"/>
        <v>#NAME?</v>
      </c>
      <c r="R96" s="2" t="e">
        <f ca="1"/>
        <v>#NAME?</v>
      </c>
      <c r="S96" s="2" t="e">
        <f t="shared" ca="1" si="55"/>
        <v>#NAME?</v>
      </c>
      <c r="T96" s="2" t="e">
        <f ca="1"/>
        <v>#NAME?</v>
      </c>
      <c r="U96" s="2" t="e">
        <f t="shared" ca="1" si="56"/>
        <v>#NAME?</v>
      </c>
      <c r="V96" s="2" t="e">
        <f ca="1"/>
        <v>#NAME?</v>
      </c>
      <c r="W96" s="2" t="e">
        <f t="shared" ca="1" si="57"/>
        <v>#NAME?</v>
      </c>
      <c r="X96" s="2" t="e">
        <f ca="1"/>
        <v>#NAME?</v>
      </c>
      <c r="Y96" s="2" t="e">
        <f t="shared" ca="1" si="58"/>
        <v>#NAME?</v>
      </c>
      <c r="Z96" s="2" t="e">
        <f ca="1"/>
        <v>#NAME?</v>
      </c>
      <c r="AA96" s="2" t="e">
        <f t="shared" ca="1" si="59"/>
        <v>#NAME?</v>
      </c>
      <c r="AB96" s="2" t="e">
        <f ca="1"/>
        <v>#NAME?</v>
      </c>
      <c r="AC96" s="2" t="e">
        <f t="shared" ca="1" si="60"/>
        <v>#NAME?</v>
      </c>
      <c r="AD96" s="2" t="e">
        <f ca="1"/>
        <v>#NAME?</v>
      </c>
      <c r="AE96" s="2" t="e">
        <f t="shared" ca="1" si="61"/>
        <v>#NAME?</v>
      </c>
      <c r="AF96" s="2" t="e">
        <f ca="1"/>
        <v>#NAME?</v>
      </c>
      <c r="AG96" s="2" t="e">
        <f t="shared" ca="1" si="62"/>
        <v>#NAME?</v>
      </c>
      <c r="AH96" s="2" t="e">
        <f ca="1"/>
        <v>#NAME?</v>
      </c>
      <c r="AI96" s="2" t="e">
        <f t="shared" ca="1" si="63"/>
        <v>#NAME?</v>
      </c>
      <c r="AJ96" s="2" t="e">
        <f ca="1"/>
        <v>#NAME?</v>
      </c>
      <c r="AK96" s="2" t="e">
        <f t="shared" ca="1" si="64"/>
        <v>#NAME?</v>
      </c>
      <c r="AL96" s="2" t="e">
        <f ca="1"/>
        <v>#NAME?</v>
      </c>
      <c r="AM96" s="2" t="e">
        <f t="shared" ca="1" si="65"/>
        <v>#NAME?</v>
      </c>
      <c r="AN96" s="2" t="e">
        <f ca="1"/>
        <v>#NAME?</v>
      </c>
      <c r="AO96" s="2" t="e">
        <f t="shared" ca="1" si="66"/>
        <v>#NAME?</v>
      </c>
      <c r="AP96" s="2" t="e">
        <f ca="1"/>
        <v>#NAME?</v>
      </c>
      <c r="AQ96" s="2" t="e">
        <f t="shared" ca="1" si="67"/>
        <v>#NAME?</v>
      </c>
      <c r="AR96" s="2" t="e">
        <f ca="1"/>
        <v>#NAME?</v>
      </c>
      <c r="AS96" s="2" t="e">
        <f t="shared" ca="1" si="68"/>
        <v>#NAME?</v>
      </c>
      <c r="AT96" s="2" t="e">
        <f ca="1"/>
        <v>#NAME?</v>
      </c>
      <c r="AU96" s="2" t="e">
        <f t="shared" ca="1" si="69"/>
        <v>#NAME?</v>
      </c>
      <c r="AV96" s="2" t="e">
        <f ca="1"/>
        <v>#NAME?</v>
      </c>
      <c r="AW96" s="2" t="e">
        <f t="shared" ca="1" si="70"/>
        <v>#NAME?</v>
      </c>
      <c r="AX96" s="2" t="e">
        <f ca="1"/>
        <v>#NAME?</v>
      </c>
      <c r="AY96" s="2" t="e">
        <f t="shared" ca="1" si="71"/>
        <v>#NAME?</v>
      </c>
      <c r="AZ96" s="2" t="e">
        <f ca="1"/>
        <v>#NAME?</v>
      </c>
      <c r="BA96" s="2" t="e">
        <f t="shared" ca="1" si="72"/>
        <v>#NAME?</v>
      </c>
      <c r="BB96" s="2" t="e">
        <f ca="1"/>
        <v>#NAME?</v>
      </c>
      <c r="BC96" s="2" t="e">
        <f t="shared" ca="1" si="73"/>
        <v>#NAME?</v>
      </c>
      <c r="BD96" s="2" t="e">
        <f ca="1"/>
        <v>#NAME?</v>
      </c>
      <c r="BE96" s="2" t="e">
        <f t="shared" ca="1" si="74"/>
        <v>#NAME?</v>
      </c>
      <c r="BF96" s="2" t="e">
        <f ca="1"/>
        <v>#NAME?</v>
      </c>
      <c r="BG96" s="2" t="e">
        <f t="shared" ca="1" si="75"/>
        <v>#NAME?</v>
      </c>
      <c r="BH96" s="2" t="e">
        <f ca="1"/>
        <v>#NAME?</v>
      </c>
      <c r="BI96" s="2" t="e">
        <f t="shared" ca="1" si="76"/>
        <v>#NAME?</v>
      </c>
      <c r="BJ96" s="2" t="e">
        <f ca="1"/>
        <v>#NAME?</v>
      </c>
      <c r="BK96" s="2" t="e">
        <f t="shared" ca="1" si="77"/>
        <v>#NAME?</v>
      </c>
      <c r="BL96" s="2" t="e">
        <f ca="1"/>
        <v>#NAME?</v>
      </c>
      <c r="BM96" s="2" t="e">
        <f t="shared" ca="1" si="78"/>
        <v>#NAME?</v>
      </c>
      <c r="BN96" s="2" t="e">
        <f ca="1"/>
        <v>#NAME?</v>
      </c>
      <c r="BO96" s="2" t="e">
        <f t="shared" ca="1" si="79"/>
        <v>#NAME?</v>
      </c>
      <c r="BP96" s="2" t="e">
        <f ca="1"/>
        <v>#NAME?</v>
      </c>
      <c r="BQ96" s="2" t="e">
        <f t="shared" ca="1" si="80"/>
        <v>#NAME?</v>
      </c>
      <c r="BR96" s="2" t="e">
        <f ca="1"/>
        <v>#NAME?</v>
      </c>
      <c r="BS96" s="2" t="e">
        <f t="shared" ca="1" si="81"/>
        <v>#NAME?</v>
      </c>
      <c r="BT96" s="2" t="e">
        <f ca="1"/>
        <v>#NAME?</v>
      </c>
      <c r="BU96" s="2" t="e">
        <f t="shared" ca="1" si="82"/>
        <v>#NAME?</v>
      </c>
      <c r="BV96" s="2" t="e">
        <f ca="1"/>
        <v>#NAME?</v>
      </c>
      <c r="BW96" s="2" t="e">
        <f t="shared" ca="1" si="83"/>
        <v>#NAME?</v>
      </c>
      <c r="BX96" s="2" t="e">
        <f ca="1"/>
        <v>#NAME?</v>
      </c>
      <c r="BY96" s="2" t="e">
        <f t="shared" ca="1" si="84"/>
        <v>#NAME?</v>
      </c>
      <c r="BZ96" s="2" t="e">
        <f ca="1"/>
        <v>#NAME?</v>
      </c>
      <c r="CA96" s="2" t="e">
        <f t="shared" ca="1" si="85"/>
        <v>#NAME?</v>
      </c>
      <c r="CB96" s="2" t="e">
        <f ca="1"/>
        <v>#NAME?</v>
      </c>
      <c r="CC96" s="2" t="e">
        <f t="shared" ca="1" si="86"/>
        <v>#NAME?</v>
      </c>
      <c r="CD96" s="2" t="e">
        <f ca="1"/>
        <v>#NAME?</v>
      </c>
      <c r="CE96" s="2" t="e">
        <f t="shared" ca="1" si="87"/>
        <v>#NAME?</v>
      </c>
      <c r="CF96" s="2" t="e">
        <f ca="1"/>
        <v>#NAME?</v>
      </c>
      <c r="CG96" s="2" t="e">
        <f t="shared" ca="1" si="88"/>
        <v>#NAME?</v>
      </c>
      <c r="CH96" s="2" t="e">
        <f ca="1"/>
        <v>#NAME?</v>
      </c>
      <c r="CI96" s="2" t="e">
        <f t="shared" ca="1" si="89"/>
        <v>#NAME?</v>
      </c>
      <c r="CJ96" s="2" t="e">
        <f ca="1"/>
        <v>#NAME?</v>
      </c>
      <c r="CK96" s="2" t="e">
        <f t="shared" ca="1" si="90"/>
        <v>#NAME?</v>
      </c>
      <c r="CL96" s="2" t="e">
        <f ca="1"/>
        <v>#NAME?</v>
      </c>
      <c r="CM96" s="2" t="e">
        <f t="shared" ca="1" si="91"/>
        <v>#NAME?</v>
      </c>
      <c r="CN96" s="2" t="e">
        <f ca="1"/>
        <v>#NAME?</v>
      </c>
      <c r="CO96" s="2" t="e">
        <f t="shared" ca="1" si="92"/>
        <v>#NAME?</v>
      </c>
      <c r="CP96" s="2" t="e">
        <f ca="1"/>
        <v>#NAME?</v>
      </c>
      <c r="CQ96" s="2" t="e">
        <f t="shared" ca="1" si="93"/>
        <v>#NAME?</v>
      </c>
    </row>
    <row r="97" spans="1:95">
      <c r="A97" s="7" t="e">
        <f ca="1"/>
        <v>#NAME?</v>
      </c>
      <c r="B97" s="2" t="e">
        <f ca="1"/>
        <v>#NAME?</v>
      </c>
      <c r="C97" s="2" t="e">
        <f t="shared" ca="1" si="47"/>
        <v>#NAME?</v>
      </c>
      <c r="D97" s="2" t="e">
        <f ca="1"/>
        <v>#NAME?</v>
      </c>
      <c r="E97" s="2" t="e">
        <f t="shared" ca="1" si="48"/>
        <v>#NAME?</v>
      </c>
      <c r="F97" s="2" t="e">
        <f ca="1"/>
        <v>#NAME?</v>
      </c>
      <c r="G97" s="2" t="e">
        <f t="shared" ca="1" si="49"/>
        <v>#NAME?</v>
      </c>
      <c r="H97" s="2" t="e">
        <f ca="1"/>
        <v>#NAME?</v>
      </c>
      <c r="I97" s="2" t="e">
        <f t="shared" ca="1" si="50"/>
        <v>#NAME?</v>
      </c>
      <c r="J97" s="2" t="e">
        <f ca="1"/>
        <v>#NAME?</v>
      </c>
      <c r="K97" s="2" t="e">
        <f t="shared" ca="1" si="51"/>
        <v>#NAME?</v>
      </c>
      <c r="L97" s="2" t="e">
        <f ca="1"/>
        <v>#NAME?</v>
      </c>
      <c r="M97" s="2" t="e">
        <f t="shared" ca="1" si="52"/>
        <v>#NAME?</v>
      </c>
      <c r="N97" s="2" t="e">
        <f ca="1"/>
        <v>#NAME?</v>
      </c>
      <c r="O97" s="2" t="e">
        <f t="shared" ca="1" si="53"/>
        <v>#NAME?</v>
      </c>
      <c r="P97" s="2" t="e">
        <f ca="1"/>
        <v>#NAME?</v>
      </c>
      <c r="Q97" s="2" t="e">
        <f t="shared" ca="1" si="54"/>
        <v>#NAME?</v>
      </c>
      <c r="R97" s="2" t="e">
        <f ca="1"/>
        <v>#NAME?</v>
      </c>
      <c r="S97" s="2" t="e">
        <f t="shared" ca="1" si="55"/>
        <v>#NAME?</v>
      </c>
      <c r="T97" s="2" t="e">
        <f ca="1"/>
        <v>#NAME?</v>
      </c>
      <c r="U97" s="2" t="e">
        <f t="shared" ca="1" si="56"/>
        <v>#NAME?</v>
      </c>
      <c r="V97" s="2" t="e">
        <f ca="1"/>
        <v>#NAME?</v>
      </c>
      <c r="W97" s="2" t="e">
        <f t="shared" ca="1" si="57"/>
        <v>#NAME?</v>
      </c>
      <c r="X97" s="2" t="e">
        <f ca="1"/>
        <v>#NAME?</v>
      </c>
      <c r="Y97" s="2" t="e">
        <f t="shared" ca="1" si="58"/>
        <v>#NAME?</v>
      </c>
      <c r="Z97" s="2" t="e">
        <f ca="1"/>
        <v>#NAME?</v>
      </c>
      <c r="AA97" s="2" t="e">
        <f t="shared" ca="1" si="59"/>
        <v>#NAME?</v>
      </c>
      <c r="AB97" s="2" t="e">
        <f ca="1"/>
        <v>#NAME?</v>
      </c>
      <c r="AC97" s="2" t="e">
        <f t="shared" ca="1" si="60"/>
        <v>#NAME?</v>
      </c>
      <c r="AD97" s="2" t="e">
        <f ca="1"/>
        <v>#NAME?</v>
      </c>
      <c r="AE97" s="2" t="e">
        <f t="shared" ca="1" si="61"/>
        <v>#NAME?</v>
      </c>
      <c r="AF97" s="2" t="e">
        <f ca="1"/>
        <v>#NAME?</v>
      </c>
      <c r="AG97" s="2" t="e">
        <f t="shared" ca="1" si="62"/>
        <v>#NAME?</v>
      </c>
      <c r="AH97" s="2" t="e">
        <f ca="1"/>
        <v>#NAME?</v>
      </c>
      <c r="AI97" s="2" t="e">
        <f t="shared" ca="1" si="63"/>
        <v>#NAME?</v>
      </c>
      <c r="AJ97" s="2" t="e">
        <f ca="1"/>
        <v>#NAME?</v>
      </c>
      <c r="AK97" s="2" t="e">
        <f t="shared" ca="1" si="64"/>
        <v>#NAME?</v>
      </c>
      <c r="AL97" s="2" t="e">
        <f ca="1"/>
        <v>#NAME?</v>
      </c>
      <c r="AM97" s="2" t="e">
        <f t="shared" ca="1" si="65"/>
        <v>#NAME?</v>
      </c>
      <c r="AN97" s="2" t="e">
        <f ca="1"/>
        <v>#NAME?</v>
      </c>
      <c r="AO97" s="2" t="e">
        <f t="shared" ca="1" si="66"/>
        <v>#NAME?</v>
      </c>
      <c r="AP97" s="2" t="e">
        <f ca="1"/>
        <v>#NAME?</v>
      </c>
      <c r="AQ97" s="2" t="e">
        <f t="shared" ca="1" si="67"/>
        <v>#NAME?</v>
      </c>
      <c r="AR97" s="2" t="e">
        <f ca="1"/>
        <v>#NAME?</v>
      </c>
      <c r="AS97" s="2" t="e">
        <f t="shared" ca="1" si="68"/>
        <v>#NAME?</v>
      </c>
      <c r="AT97" s="2" t="e">
        <f ca="1"/>
        <v>#NAME?</v>
      </c>
      <c r="AU97" s="2" t="e">
        <f t="shared" ca="1" si="69"/>
        <v>#NAME?</v>
      </c>
      <c r="AV97" s="2" t="e">
        <f ca="1"/>
        <v>#NAME?</v>
      </c>
      <c r="AW97" s="2" t="e">
        <f t="shared" ca="1" si="70"/>
        <v>#NAME?</v>
      </c>
      <c r="AX97" s="2" t="e">
        <f ca="1"/>
        <v>#NAME?</v>
      </c>
      <c r="AY97" s="2" t="e">
        <f t="shared" ca="1" si="71"/>
        <v>#NAME?</v>
      </c>
      <c r="AZ97" s="2" t="e">
        <f ca="1"/>
        <v>#NAME?</v>
      </c>
      <c r="BA97" s="2" t="e">
        <f t="shared" ca="1" si="72"/>
        <v>#NAME?</v>
      </c>
      <c r="BB97" s="2" t="e">
        <f ca="1"/>
        <v>#NAME?</v>
      </c>
      <c r="BC97" s="2" t="e">
        <f t="shared" ca="1" si="73"/>
        <v>#NAME?</v>
      </c>
      <c r="BD97" s="2" t="e">
        <f ca="1"/>
        <v>#NAME?</v>
      </c>
      <c r="BE97" s="2" t="e">
        <f t="shared" ca="1" si="74"/>
        <v>#NAME?</v>
      </c>
      <c r="BF97" s="2" t="e">
        <f ca="1"/>
        <v>#NAME?</v>
      </c>
      <c r="BG97" s="2" t="e">
        <f t="shared" ca="1" si="75"/>
        <v>#NAME?</v>
      </c>
      <c r="BH97" s="2" t="e">
        <f ca="1"/>
        <v>#NAME?</v>
      </c>
      <c r="BI97" s="2" t="e">
        <f t="shared" ca="1" si="76"/>
        <v>#NAME?</v>
      </c>
      <c r="BJ97" s="2" t="e">
        <f ca="1"/>
        <v>#NAME?</v>
      </c>
      <c r="BK97" s="2" t="e">
        <f t="shared" ca="1" si="77"/>
        <v>#NAME?</v>
      </c>
      <c r="BL97" s="2" t="e">
        <f ca="1"/>
        <v>#NAME?</v>
      </c>
      <c r="BM97" s="2" t="e">
        <f t="shared" ca="1" si="78"/>
        <v>#NAME?</v>
      </c>
      <c r="BN97" s="2" t="e">
        <f ca="1"/>
        <v>#NAME?</v>
      </c>
      <c r="BO97" s="2" t="e">
        <f t="shared" ca="1" si="79"/>
        <v>#NAME?</v>
      </c>
      <c r="BP97" s="2" t="e">
        <f ca="1"/>
        <v>#NAME?</v>
      </c>
      <c r="BQ97" s="2" t="e">
        <f t="shared" ca="1" si="80"/>
        <v>#NAME?</v>
      </c>
      <c r="BR97" s="2" t="e">
        <f ca="1"/>
        <v>#NAME?</v>
      </c>
      <c r="BS97" s="2" t="e">
        <f t="shared" ca="1" si="81"/>
        <v>#NAME?</v>
      </c>
      <c r="BT97" s="2" t="e">
        <f ca="1"/>
        <v>#NAME?</v>
      </c>
      <c r="BU97" s="2" t="e">
        <f t="shared" ca="1" si="82"/>
        <v>#NAME?</v>
      </c>
      <c r="BV97" s="2" t="e">
        <f ca="1"/>
        <v>#NAME?</v>
      </c>
      <c r="BW97" s="2" t="e">
        <f t="shared" ca="1" si="83"/>
        <v>#NAME?</v>
      </c>
      <c r="BX97" s="2" t="e">
        <f ca="1"/>
        <v>#NAME?</v>
      </c>
      <c r="BY97" s="2" t="e">
        <f t="shared" ca="1" si="84"/>
        <v>#NAME?</v>
      </c>
      <c r="BZ97" s="2" t="e">
        <f ca="1"/>
        <v>#NAME?</v>
      </c>
      <c r="CA97" s="2" t="e">
        <f t="shared" ca="1" si="85"/>
        <v>#NAME?</v>
      </c>
      <c r="CB97" s="2" t="e">
        <f ca="1"/>
        <v>#NAME?</v>
      </c>
      <c r="CC97" s="2" t="e">
        <f t="shared" ca="1" si="86"/>
        <v>#NAME?</v>
      </c>
      <c r="CD97" s="2" t="e">
        <f ca="1"/>
        <v>#NAME?</v>
      </c>
      <c r="CE97" s="2" t="e">
        <f t="shared" ca="1" si="87"/>
        <v>#NAME?</v>
      </c>
      <c r="CF97" s="2" t="e">
        <f ca="1"/>
        <v>#NAME?</v>
      </c>
      <c r="CG97" s="2" t="e">
        <f t="shared" ca="1" si="88"/>
        <v>#NAME?</v>
      </c>
      <c r="CH97" s="2" t="e">
        <f ca="1"/>
        <v>#NAME?</v>
      </c>
      <c r="CI97" s="2" t="e">
        <f t="shared" ca="1" si="89"/>
        <v>#NAME?</v>
      </c>
      <c r="CJ97" s="2" t="e">
        <f ca="1"/>
        <v>#NAME?</v>
      </c>
      <c r="CK97" s="2" t="e">
        <f t="shared" ca="1" si="90"/>
        <v>#NAME?</v>
      </c>
      <c r="CL97" s="2" t="e">
        <f ca="1"/>
        <v>#NAME?</v>
      </c>
      <c r="CM97" s="2" t="e">
        <f t="shared" ca="1" si="91"/>
        <v>#NAME?</v>
      </c>
      <c r="CN97" s="2" t="e">
        <f ca="1"/>
        <v>#NAME?</v>
      </c>
      <c r="CO97" s="2" t="e">
        <f t="shared" ca="1" si="92"/>
        <v>#NAME?</v>
      </c>
      <c r="CP97" s="2" t="e">
        <f ca="1"/>
        <v>#NAME?</v>
      </c>
      <c r="CQ97" s="2" t="e">
        <f t="shared" ca="1" si="93"/>
        <v>#NAME?</v>
      </c>
    </row>
    <row r="98" spans="1:95">
      <c r="A98" s="7" t="e">
        <f ca="1"/>
        <v>#NAME?</v>
      </c>
      <c r="B98" s="2" t="e">
        <f ca="1"/>
        <v>#NAME?</v>
      </c>
      <c r="C98" s="2" t="e">
        <f t="shared" ca="1" si="47"/>
        <v>#NAME?</v>
      </c>
      <c r="D98" s="2" t="e">
        <f ca="1"/>
        <v>#NAME?</v>
      </c>
      <c r="E98" s="2" t="e">
        <f t="shared" ca="1" si="48"/>
        <v>#NAME?</v>
      </c>
      <c r="F98" s="2" t="e">
        <f ca="1"/>
        <v>#NAME?</v>
      </c>
      <c r="G98" s="2" t="e">
        <f t="shared" ca="1" si="49"/>
        <v>#NAME?</v>
      </c>
      <c r="H98" s="2" t="e">
        <f ca="1"/>
        <v>#NAME?</v>
      </c>
      <c r="I98" s="2" t="e">
        <f t="shared" ca="1" si="50"/>
        <v>#NAME?</v>
      </c>
      <c r="J98" s="2" t="e">
        <f ca="1"/>
        <v>#NAME?</v>
      </c>
      <c r="K98" s="2" t="e">
        <f t="shared" ca="1" si="51"/>
        <v>#NAME?</v>
      </c>
      <c r="L98" s="2" t="e">
        <f ca="1"/>
        <v>#NAME?</v>
      </c>
      <c r="M98" s="2" t="e">
        <f t="shared" ca="1" si="52"/>
        <v>#NAME?</v>
      </c>
      <c r="N98" s="2" t="e">
        <f ca="1"/>
        <v>#NAME?</v>
      </c>
      <c r="O98" s="2" t="e">
        <f t="shared" ca="1" si="53"/>
        <v>#NAME?</v>
      </c>
      <c r="P98" s="2" t="e">
        <f ca="1"/>
        <v>#NAME?</v>
      </c>
      <c r="Q98" s="2" t="e">
        <f t="shared" ca="1" si="54"/>
        <v>#NAME?</v>
      </c>
      <c r="R98" s="2" t="e">
        <f ca="1"/>
        <v>#NAME?</v>
      </c>
      <c r="S98" s="2" t="e">
        <f t="shared" ca="1" si="55"/>
        <v>#NAME?</v>
      </c>
      <c r="T98" s="2" t="e">
        <f ca="1"/>
        <v>#NAME?</v>
      </c>
      <c r="U98" s="2" t="e">
        <f t="shared" ca="1" si="56"/>
        <v>#NAME?</v>
      </c>
      <c r="V98" s="2" t="e">
        <f ca="1"/>
        <v>#NAME?</v>
      </c>
      <c r="W98" s="2" t="e">
        <f t="shared" ca="1" si="57"/>
        <v>#NAME?</v>
      </c>
      <c r="X98" s="2" t="e">
        <f ca="1"/>
        <v>#NAME?</v>
      </c>
      <c r="Y98" s="2" t="e">
        <f t="shared" ca="1" si="58"/>
        <v>#NAME?</v>
      </c>
      <c r="Z98" s="2" t="e">
        <f ca="1"/>
        <v>#NAME?</v>
      </c>
      <c r="AA98" s="2" t="e">
        <f t="shared" ca="1" si="59"/>
        <v>#NAME?</v>
      </c>
      <c r="AB98" s="2" t="e">
        <f ca="1"/>
        <v>#NAME?</v>
      </c>
      <c r="AC98" s="2" t="e">
        <f t="shared" ca="1" si="60"/>
        <v>#NAME?</v>
      </c>
      <c r="AD98" s="2" t="e">
        <f ca="1"/>
        <v>#NAME?</v>
      </c>
      <c r="AE98" s="2" t="e">
        <f t="shared" ca="1" si="61"/>
        <v>#NAME?</v>
      </c>
      <c r="AF98" s="2" t="e">
        <f ca="1"/>
        <v>#NAME?</v>
      </c>
      <c r="AG98" s="2" t="e">
        <f t="shared" ca="1" si="62"/>
        <v>#NAME?</v>
      </c>
      <c r="AH98" s="2" t="e">
        <f ca="1"/>
        <v>#NAME?</v>
      </c>
      <c r="AI98" s="2" t="e">
        <f t="shared" ca="1" si="63"/>
        <v>#NAME?</v>
      </c>
      <c r="AJ98" s="2" t="e">
        <f ca="1"/>
        <v>#NAME?</v>
      </c>
      <c r="AK98" s="2" t="e">
        <f t="shared" ca="1" si="64"/>
        <v>#NAME?</v>
      </c>
      <c r="AL98" s="2" t="e">
        <f ca="1"/>
        <v>#NAME?</v>
      </c>
      <c r="AM98" s="2" t="e">
        <f t="shared" ca="1" si="65"/>
        <v>#NAME?</v>
      </c>
      <c r="AN98" s="2" t="e">
        <f ca="1"/>
        <v>#NAME?</v>
      </c>
      <c r="AO98" s="2" t="e">
        <f t="shared" ca="1" si="66"/>
        <v>#NAME?</v>
      </c>
      <c r="AP98" s="2" t="e">
        <f ca="1"/>
        <v>#NAME?</v>
      </c>
      <c r="AQ98" s="2" t="e">
        <f t="shared" ca="1" si="67"/>
        <v>#NAME?</v>
      </c>
      <c r="AR98" s="2" t="e">
        <f ca="1"/>
        <v>#NAME?</v>
      </c>
      <c r="AS98" s="2" t="e">
        <f t="shared" ca="1" si="68"/>
        <v>#NAME?</v>
      </c>
      <c r="AT98" s="2" t="e">
        <f ca="1"/>
        <v>#NAME?</v>
      </c>
      <c r="AU98" s="2" t="e">
        <f t="shared" ca="1" si="69"/>
        <v>#NAME?</v>
      </c>
      <c r="AV98" s="2" t="e">
        <f ca="1"/>
        <v>#NAME?</v>
      </c>
      <c r="AW98" s="2" t="e">
        <f t="shared" ca="1" si="70"/>
        <v>#NAME?</v>
      </c>
      <c r="AX98" s="2" t="e">
        <f ca="1"/>
        <v>#NAME?</v>
      </c>
      <c r="AY98" s="2" t="e">
        <f t="shared" ca="1" si="71"/>
        <v>#NAME?</v>
      </c>
      <c r="AZ98" s="2" t="e">
        <f ca="1"/>
        <v>#NAME?</v>
      </c>
      <c r="BA98" s="2" t="e">
        <f t="shared" ca="1" si="72"/>
        <v>#NAME?</v>
      </c>
      <c r="BB98" s="2" t="e">
        <f ca="1"/>
        <v>#NAME?</v>
      </c>
      <c r="BC98" s="2" t="e">
        <f t="shared" ca="1" si="73"/>
        <v>#NAME?</v>
      </c>
      <c r="BD98" s="2" t="e">
        <f ca="1"/>
        <v>#NAME?</v>
      </c>
      <c r="BE98" s="2" t="e">
        <f t="shared" ca="1" si="74"/>
        <v>#NAME?</v>
      </c>
      <c r="BF98" s="2" t="e">
        <f ca="1"/>
        <v>#NAME?</v>
      </c>
      <c r="BG98" s="2" t="e">
        <f t="shared" ca="1" si="75"/>
        <v>#NAME?</v>
      </c>
      <c r="BH98" s="2" t="e">
        <f ca="1"/>
        <v>#NAME?</v>
      </c>
      <c r="BI98" s="2" t="e">
        <f t="shared" ca="1" si="76"/>
        <v>#NAME?</v>
      </c>
      <c r="BJ98" s="2" t="e">
        <f ca="1"/>
        <v>#NAME?</v>
      </c>
      <c r="BK98" s="2" t="e">
        <f t="shared" ca="1" si="77"/>
        <v>#NAME?</v>
      </c>
      <c r="BL98" s="2" t="e">
        <f ca="1"/>
        <v>#NAME?</v>
      </c>
      <c r="BM98" s="2" t="e">
        <f t="shared" ca="1" si="78"/>
        <v>#NAME?</v>
      </c>
      <c r="BN98" s="2" t="e">
        <f ca="1"/>
        <v>#NAME?</v>
      </c>
      <c r="BO98" s="2" t="e">
        <f t="shared" ca="1" si="79"/>
        <v>#NAME?</v>
      </c>
      <c r="BP98" s="2" t="e">
        <f ca="1"/>
        <v>#NAME?</v>
      </c>
      <c r="BQ98" s="2" t="e">
        <f t="shared" ca="1" si="80"/>
        <v>#NAME?</v>
      </c>
      <c r="BR98" s="2" t="e">
        <f ca="1"/>
        <v>#NAME?</v>
      </c>
      <c r="BS98" s="2" t="e">
        <f t="shared" ca="1" si="81"/>
        <v>#NAME?</v>
      </c>
      <c r="BT98" s="2" t="e">
        <f ca="1"/>
        <v>#NAME?</v>
      </c>
      <c r="BU98" s="2" t="e">
        <f t="shared" ca="1" si="82"/>
        <v>#NAME?</v>
      </c>
      <c r="BV98" s="2" t="e">
        <f ca="1"/>
        <v>#NAME?</v>
      </c>
      <c r="BW98" s="2" t="e">
        <f t="shared" ca="1" si="83"/>
        <v>#NAME?</v>
      </c>
      <c r="BX98" s="2" t="e">
        <f ca="1"/>
        <v>#NAME?</v>
      </c>
      <c r="BY98" s="2" t="e">
        <f t="shared" ca="1" si="84"/>
        <v>#NAME?</v>
      </c>
      <c r="BZ98" s="2" t="e">
        <f ca="1"/>
        <v>#NAME?</v>
      </c>
      <c r="CA98" s="2" t="e">
        <f t="shared" ca="1" si="85"/>
        <v>#NAME?</v>
      </c>
      <c r="CB98" s="2" t="e">
        <f ca="1"/>
        <v>#NAME?</v>
      </c>
      <c r="CC98" s="2" t="e">
        <f t="shared" ca="1" si="86"/>
        <v>#NAME?</v>
      </c>
      <c r="CD98" s="2" t="e">
        <f ca="1"/>
        <v>#NAME?</v>
      </c>
      <c r="CE98" s="2" t="e">
        <f t="shared" ca="1" si="87"/>
        <v>#NAME?</v>
      </c>
      <c r="CF98" s="2" t="e">
        <f ca="1"/>
        <v>#NAME?</v>
      </c>
      <c r="CG98" s="2" t="e">
        <f t="shared" ca="1" si="88"/>
        <v>#NAME?</v>
      </c>
      <c r="CH98" s="2" t="e">
        <f ca="1"/>
        <v>#NAME?</v>
      </c>
      <c r="CI98" s="2" t="e">
        <f t="shared" ca="1" si="89"/>
        <v>#NAME?</v>
      </c>
      <c r="CJ98" s="2" t="e">
        <f ca="1"/>
        <v>#NAME?</v>
      </c>
      <c r="CK98" s="2" t="e">
        <f t="shared" ca="1" si="90"/>
        <v>#NAME?</v>
      </c>
      <c r="CL98" s="2" t="e">
        <f ca="1"/>
        <v>#NAME?</v>
      </c>
      <c r="CM98" s="2" t="e">
        <f t="shared" ca="1" si="91"/>
        <v>#NAME?</v>
      </c>
      <c r="CN98" s="2" t="e">
        <f ca="1"/>
        <v>#NAME?</v>
      </c>
      <c r="CO98" s="2" t="e">
        <f t="shared" ca="1" si="92"/>
        <v>#NAME?</v>
      </c>
      <c r="CP98" s="2" t="e">
        <f ca="1"/>
        <v>#NAME?</v>
      </c>
      <c r="CQ98" s="2" t="e">
        <f t="shared" ca="1" si="93"/>
        <v>#NAME?</v>
      </c>
    </row>
    <row r="99" spans="1:95">
      <c r="A99" s="7" t="e">
        <f ca="1"/>
        <v>#NAME?</v>
      </c>
      <c r="B99" s="2" t="e">
        <f ca="1"/>
        <v>#NAME?</v>
      </c>
      <c r="C99" s="2" t="e">
        <f t="shared" ca="1" si="47"/>
        <v>#NAME?</v>
      </c>
      <c r="D99" s="2" t="e">
        <f ca="1"/>
        <v>#NAME?</v>
      </c>
      <c r="E99" s="2" t="e">
        <f t="shared" ca="1" si="48"/>
        <v>#NAME?</v>
      </c>
      <c r="F99" s="2" t="e">
        <f ca="1"/>
        <v>#NAME?</v>
      </c>
      <c r="G99" s="2" t="e">
        <f t="shared" ca="1" si="49"/>
        <v>#NAME?</v>
      </c>
      <c r="H99" s="2" t="e">
        <f ca="1"/>
        <v>#NAME?</v>
      </c>
      <c r="I99" s="2" t="e">
        <f t="shared" ca="1" si="50"/>
        <v>#NAME?</v>
      </c>
      <c r="J99" s="2" t="e">
        <f ca="1"/>
        <v>#NAME?</v>
      </c>
      <c r="K99" s="2" t="e">
        <f t="shared" ca="1" si="51"/>
        <v>#NAME?</v>
      </c>
      <c r="L99" s="2" t="e">
        <f ca="1"/>
        <v>#NAME?</v>
      </c>
      <c r="M99" s="2" t="e">
        <f t="shared" ca="1" si="52"/>
        <v>#NAME?</v>
      </c>
      <c r="N99" s="2" t="e">
        <f ca="1"/>
        <v>#NAME?</v>
      </c>
      <c r="O99" s="2" t="e">
        <f t="shared" ca="1" si="53"/>
        <v>#NAME?</v>
      </c>
      <c r="P99" s="2" t="e">
        <f ca="1"/>
        <v>#NAME?</v>
      </c>
      <c r="Q99" s="2" t="e">
        <f t="shared" ca="1" si="54"/>
        <v>#NAME?</v>
      </c>
      <c r="R99" s="2" t="e">
        <f ca="1"/>
        <v>#NAME?</v>
      </c>
      <c r="S99" s="2" t="e">
        <f t="shared" ca="1" si="55"/>
        <v>#NAME?</v>
      </c>
      <c r="T99" s="2" t="e">
        <f ca="1"/>
        <v>#NAME?</v>
      </c>
      <c r="U99" s="2" t="e">
        <f t="shared" ca="1" si="56"/>
        <v>#NAME?</v>
      </c>
      <c r="V99" s="2" t="e">
        <f ca="1"/>
        <v>#NAME?</v>
      </c>
      <c r="W99" s="2" t="e">
        <f t="shared" ca="1" si="57"/>
        <v>#NAME?</v>
      </c>
      <c r="X99" s="2" t="e">
        <f ca="1"/>
        <v>#NAME?</v>
      </c>
      <c r="Y99" s="2" t="e">
        <f t="shared" ca="1" si="58"/>
        <v>#NAME?</v>
      </c>
      <c r="Z99" s="2" t="e">
        <f ca="1"/>
        <v>#NAME?</v>
      </c>
      <c r="AA99" s="2" t="e">
        <f t="shared" ca="1" si="59"/>
        <v>#NAME?</v>
      </c>
      <c r="AB99" s="2" t="e">
        <f ca="1"/>
        <v>#NAME?</v>
      </c>
      <c r="AC99" s="2" t="e">
        <f t="shared" ca="1" si="60"/>
        <v>#NAME?</v>
      </c>
      <c r="AD99" s="2" t="e">
        <f ca="1"/>
        <v>#NAME?</v>
      </c>
      <c r="AE99" s="2" t="e">
        <f t="shared" ca="1" si="61"/>
        <v>#NAME?</v>
      </c>
      <c r="AF99" s="2" t="e">
        <f ca="1"/>
        <v>#NAME?</v>
      </c>
      <c r="AG99" s="2" t="e">
        <f t="shared" ca="1" si="62"/>
        <v>#NAME?</v>
      </c>
      <c r="AH99" s="2" t="e">
        <f ca="1"/>
        <v>#NAME?</v>
      </c>
      <c r="AI99" s="2" t="e">
        <f t="shared" ca="1" si="63"/>
        <v>#NAME?</v>
      </c>
      <c r="AJ99" s="2" t="e">
        <f ca="1"/>
        <v>#NAME?</v>
      </c>
      <c r="AK99" s="2" t="e">
        <f t="shared" ca="1" si="64"/>
        <v>#NAME?</v>
      </c>
      <c r="AL99" s="2" t="e">
        <f ca="1"/>
        <v>#NAME?</v>
      </c>
      <c r="AM99" s="2" t="e">
        <f t="shared" ca="1" si="65"/>
        <v>#NAME?</v>
      </c>
      <c r="AN99" s="2" t="e">
        <f ca="1"/>
        <v>#NAME?</v>
      </c>
      <c r="AO99" s="2" t="e">
        <f t="shared" ca="1" si="66"/>
        <v>#NAME?</v>
      </c>
      <c r="AP99" s="2" t="e">
        <f ca="1"/>
        <v>#NAME?</v>
      </c>
      <c r="AQ99" s="2" t="e">
        <f t="shared" ca="1" si="67"/>
        <v>#NAME?</v>
      </c>
      <c r="AR99" s="2" t="e">
        <f ca="1"/>
        <v>#NAME?</v>
      </c>
      <c r="AS99" s="2" t="e">
        <f t="shared" ca="1" si="68"/>
        <v>#NAME?</v>
      </c>
      <c r="AT99" s="2" t="e">
        <f ca="1"/>
        <v>#NAME?</v>
      </c>
      <c r="AU99" s="2" t="e">
        <f t="shared" ca="1" si="69"/>
        <v>#NAME?</v>
      </c>
      <c r="AV99" s="2" t="e">
        <f ca="1"/>
        <v>#NAME?</v>
      </c>
      <c r="AW99" s="2" t="e">
        <f t="shared" ca="1" si="70"/>
        <v>#NAME?</v>
      </c>
      <c r="AX99" s="2" t="e">
        <f ca="1"/>
        <v>#NAME?</v>
      </c>
      <c r="AY99" s="2" t="e">
        <f t="shared" ca="1" si="71"/>
        <v>#NAME?</v>
      </c>
      <c r="AZ99" s="2" t="e">
        <f ca="1"/>
        <v>#NAME?</v>
      </c>
      <c r="BA99" s="2" t="e">
        <f t="shared" ca="1" si="72"/>
        <v>#NAME?</v>
      </c>
      <c r="BB99" s="2" t="e">
        <f ca="1"/>
        <v>#NAME?</v>
      </c>
      <c r="BC99" s="2" t="e">
        <f t="shared" ca="1" si="73"/>
        <v>#NAME?</v>
      </c>
      <c r="BD99" s="2" t="e">
        <f ca="1"/>
        <v>#NAME?</v>
      </c>
      <c r="BE99" s="2" t="e">
        <f t="shared" ca="1" si="74"/>
        <v>#NAME?</v>
      </c>
      <c r="BF99" s="2" t="e">
        <f ca="1"/>
        <v>#NAME?</v>
      </c>
      <c r="BG99" s="2" t="e">
        <f t="shared" ca="1" si="75"/>
        <v>#NAME?</v>
      </c>
      <c r="BH99" s="2" t="e">
        <f ca="1"/>
        <v>#NAME?</v>
      </c>
      <c r="BI99" s="2" t="e">
        <f t="shared" ca="1" si="76"/>
        <v>#NAME?</v>
      </c>
      <c r="BJ99" s="2" t="e">
        <f ca="1"/>
        <v>#NAME?</v>
      </c>
      <c r="BK99" s="2" t="e">
        <f t="shared" ca="1" si="77"/>
        <v>#NAME?</v>
      </c>
      <c r="BL99" s="2" t="e">
        <f ca="1"/>
        <v>#NAME?</v>
      </c>
      <c r="BM99" s="2" t="e">
        <f t="shared" ca="1" si="78"/>
        <v>#NAME?</v>
      </c>
      <c r="BN99" s="2" t="e">
        <f ca="1"/>
        <v>#NAME?</v>
      </c>
      <c r="BO99" s="2" t="e">
        <f t="shared" ca="1" si="79"/>
        <v>#NAME?</v>
      </c>
      <c r="BP99" s="2" t="e">
        <f ca="1"/>
        <v>#NAME?</v>
      </c>
      <c r="BQ99" s="2" t="e">
        <f t="shared" ca="1" si="80"/>
        <v>#NAME?</v>
      </c>
      <c r="BR99" s="2" t="e">
        <f ca="1"/>
        <v>#NAME?</v>
      </c>
      <c r="BS99" s="2" t="e">
        <f t="shared" ca="1" si="81"/>
        <v>#NAME?</v>
      </c>
      <c r="BT99" s="2" t="e">
        <f ca="1"/>
        <v>#NAME?</v>
      </c>
      <c r="BU99" s="2" t="e">
        <f t="shared" ca="1" si="82"/>
        <v>#NAME?</v>
      </c>
      <c r="BV99" s="2" t="e">
        <f ca="1"/>
        <v>#NAME?</v>
      </c>
      <c r="BW99" s="2" t="e">
        <f t="shared" ca="1" si="83"/>
        <v>#NAME?</v>
      </c>
      <c r="BX99" s="2" t="e">
        <f ca="1"/>
        <v>#NAME?</v>
      </c>
      <c r="BY99" s="2" t="e">
        <f t="shared" ca="1" si="84"/>
        <v>#NAME?</v>
      </c>
      <c r="BZ99" s="2" t="e">
        <f ca="1"/>
        <v>#NAME?</v>
      </c>
      <c r="CA99" s="2" t="e">
        <f t="shared" ca="1" si="85"/>
        <v>#NAME?</v>
      </c>
      <c r="CB99" s="2" t="e">
        <f ca="1"/>
        <v>#NAME?</v>
      </c>
      <c r="CC99" s="2" t="e">
        <f t="shared" ca="1" si="86"/>
        <v>#NAME?</v>
      </c>
      <c r="CD99" s="2" t="e">
        <f ca="1"/>
        <v>#NAME?</v>
      </c>
      <c r="CE99" s="2" t="e">
        <f t="shared" ca="1" si="87"/>
        <v>#NAME?</v>
      </c>
      <c r="CF99" s="2" t="e">
        <f ca="1"/>
        <v>#NAME?</v>
      </c>
      <c r="CG99" s="2" t="e">
        <f t="shared" ca="1" si="88"/>
        <v>#NAME?</v>
      </c>
      <c r="CH99" s="2" t="e">
        <f ca="1"/>
        <v>#NAME?</v>
      </c>
      <c r="CI99" s="2" t="e">
        <f t="shared" ca="1" si="89"/>
        <v>#NAME?</v>
      </c>
      <c r="CJ99" s="2" t="e">
        <f ca="1"/>
        <v>#NAME?</v>
      </c>
      <c r="CK99" s="2" t="e">
        <f t="shared" ca="1" si="90"/>
        <v>#NAME?</v>
      </c>
      <c r="CL99" s="2" t="e">
        <f ca="1"/>
        <v>#NAME?</v>
      </c>
      <c r="CM99" s="2" t="e">
        <f t="shared" ca="1" si="91"/>
        <v>#NAME?</v>
      </c>
      <c r="CN99" s="2" t="e">
        <f ca="1"/>
        <v>#NAME?</v>
      </c>
      <c r="CO99" s="2" t="e">
        <f t="shared" ca="1" si="92"/>
        <v>#NAME?</v>
      </c>
      <c r="CP99" s="2" t="e">
        <f ca="1"/>
        <v>#NAME?</v>
      </c>
      <c r="CQ99" s="2" t="e">
        <f t="shared" ca="1" si="93"/>
        <v>#NAME?</v>
      </c>
    </row>
    <row r="100" spans="1:95">
      <c r="A100" s="7" t="e">
        <f ca="1"/>
        <v>#NAME?</v>
      </c>
      <c r="B100" s="2" t="e">
        <f ca="1"/>
        <v>#NAME?</v>
      </c>
      <c r="C100" s="2" t="e">
        <f t="shared" ca="1" si="47"/>
        <v>#NAME?</v>
      </c>
      <c r="D100" s="2" t="e">
        <f ca="1"/>
        <v>#NAME?</v>
      </c>
      <c r="E100" s="2" t="e">
        <f t="shared" ca="1" si="48"/>
        <v>#NAME?</v>
      </c>
      <c r="F100" s="2" t="e">
        <f ca="1"/>
        <v>#NAME?</v>
      </c>
      <c r="G100" s="2" t="e">
        <f t="shared" ca="1" si="49"/>
        <v>#NAME?</v>
      </c>
      <c r="H100" s="2" t="e">
        <f ca="1"/>
        <v>#NAME?</v>
      </c>
      <c r="I100" s="2" t="e">
        <f t="shared" ca="1" si="50"/>
        <v>#NAME?</v>
      </c>
      <c r="J100" s="2" t="e">
        <f ca="1"/>
        <v>#NAME?</v>
      </c>
      <c r="K100" s="2" t="e">
        <f t="shared" ca="1" si="51"/>
        <v>#NAME?</v>
      </c>
      <c r="L100" s="2" t="e">
        <f ca="1"/>
        <v>#NAME?</v>
      </c>
      <c r="M100" s="2" t="e">
        <f t="shared" ca="1" si="52"/>
        <v>#NAME?</v>
      </c>
      <c r="N100" s="2" t="e">
        <f ca="1"/>
        <v>#NAME?</v>
      </c>
      <c r="O100" s="2" t="e">
        <f t="shared" ca="1" si="53"/>
        <v>#NAME?</v>
      </c>
      <c r="P100" s="2" t="e">
        <f ca="1"/>
        <v>#NAME?</v>
      </c>
      <c r="Q100" s="2" t="e">
        <f t="shared" ca="1" si="54"/>
        <v>#NAME?</v>
      </c>
      <c r="R100" s="2" t="e">
        <f ca="1"/>
        <v>#NAME?</v>
      </c>
      <c r="S100" s="2" t="e">
        <f t="shared" ca="1" si="55"/>
        <v>#NAME?</v>
      </c>
      <c r="T100" s="2" t="e">
        <f ca="1"/>
        <v>#NAME?</v>
      </c>
      <c r="U100" s="2" t="e">
        <f t="shared" ca="1" si="56"/>
        <v>#NAME?</v>
      </c>
      <c r="V100" s="2" t="e">
        <f ca="1"/>
        <v>#NAME?</v>
      </c>
      <c r="W100" s="2" t="e">
        <f t="shared" ca="1" si="57"/>
        <v>#NAME?</v>
      </c>
      <c r="X100" s="2" t="e">
        <f ca="1"/>
        <v>#NAME?</v>
      </c>
      <c r="Y100" s="2" t="e">
        <f t="shared" ca="1" si="58"/>
        <v>#NAME?</v>
      </c>
      <c r="Z100" s="2" t="e">
        <f ca="1"/>
        <v>#NAME?</v>
      </c>
      <c r="AA100" s="2" t="e">
        <f t="shared" ca="1" si="59"/>
        <v>#NAME?</v>
      </c>
      <c r="AB100" s="2" t="e">
        <f ca="1"/>
        <v>#NAME?</v>
      </c>
      <c r="AC100" s="2" t="e">
        <f t="shared" ca="1" si="60"/>
        <v>#NAME?</v>
      </c>
      <c r="AD100" s="2" t="e">
        <f ca="1"/>
        <v>#NAME?</v>
      </c>
      <c r="AE100" s="2" t="e">
        <f t="shared" ca="1" si="61"/>
        <v>#NAME?</v>
      </c>
      <c r="AF100" s="2" t="e">
        <f ca="1"/>
        <v>#NAME?</v>
      </c>
      <c r="AG100" s="2" t="e">
        <f t="shared" ca="1" si="62"/>
        <v>#NAME?</v>
      </c>
      <c r="AH100" s="2" t="e">
        <f ca="1"/>
        <v>#NAME?</v>
      </c>
      <c r="AI100" s="2" t="e">
        <f t="shared" ca="1" si="63"/>
        <v>#NAME?</v>
      </c>
      <c r="AJ100" s="2" t="e">
        <f ca="1"/>
        <v>#NAME?</v>
      </c>
      <c r="AK100" s="2" t="e">
        <f t="shared" ca="1" si="64"/>
        <v>#NAME?</v>
      </c>
      <c r="AL100" s="2" t="e">
        <f ca="1"/>
        <v>#NAME?</v>
      </c>
      <c r="AM100" s="2" t="e">
        <f t="shared" ca="1" si="65"/>
        <v>#NAME?</v>
      </c>
      <c r="AN100" s="2" t="e">
        <f ca="1"/>
        <v>#NAME?</v>
      </c>
      <c r="AO100" s="2" t="e">
        <f t="shared" ca="1" si="66"/>
        <v>#NAME?</v>
      </c>
      <c r="AP100" s="2" t="e">
        <f ca="1"/>
        <v>#NAME?</v>
      </c>
      <c r="AQ100" s="2" t="e">
        <f t="shared" ca="1" si="67"/>
        <v>#NAME?</v>
      </c>
      <c r="AR100" s="2" t="e">
        <f ca="1"/>
        <v>#NAME?</v>
      </c>
      <c r="AS100" s="2" t="e">
        <f t="shared" ca="1" si="68"/>
        <v>#NAME?</v>
      </c>
      <c r="AT100" s="2" t="e">
        <f ca="1"/>
        <v>#NAME?</v>
      </c>
      <c r="AU100" s="2" t="e">
        <f t="shared" ca="1" si="69"/>
        <v>#NAME?</v>
      </c>
      <c r="AV100" s="2" t="e">
        <f ca="1"/>
        <v>#NAME?</v>
      </c>
      <c r="AW100" s="2" t="e">
        <f t="shared" ca="1" si="70"/>
        <v>#NAME?</v>
      </c>
      <c r="AX100" s="2" t="e">
        <f ca="1"/>
        <v>#NAME?</v>
      </c>
      <c r="AY100" s="2" t="e">
        <f t="shared" ca="1" si="71"/>
        <v>#NAME?</v>
      </c>
      <c r="AZ100" s="2" t="e">
        <f ca="1"/>
        <v>#NAME?</v>
      </c>
      <c r="BA100" s="2" t="e">
        <f t="shared" ca="1" si="72"/>
        <v>#NAME?</v>
      </c>
      <c r="BB100" s="2" t="e">
        <f ca="1"/>
        <v>#NAME?</v>
      </c>
      <c r="BC100" s="2" t="e">
        <f t="shared" ca="1" si="73"/>
        <v>#NAME?</v>
      </c>
      <c r="BD100" s="2" t="e">
        <f ca="1"/>
        <v>#NAME?</v>
      </c>
      <c r="BE100" s="2" t="e">
        <f t="shared" ca="1" si="74"/>
        <v>#NAME?</v>
      </c>
      <c r="BF100" s="2" t="e">
        <f ca="1"/>
        <v>#NAME?</v>
      </c>
      <c r="BG100" s="2" t="e">
        <f t="shared" ca="1" si="75"/>
        <v>#NAME?</v>
      </c>
      <c r="BH100" s="2" t="e">
        <f ca="1"/>
        <v>#NAME?</v>
      </c>
      <c r="BI100" s="2" t="e">
        <f t="shared" ca="1" si="76"/>
        <v>#NAME?</v>
      </c>
      <c r="BJ100" s="2" t="e">
        <f ca="1"/>
        <v>#NAME?</v>
      </c>
      <c r="BK100" s="2" t="e">
        <f t="shared" ca="1" si="77"/>
        <v>#NAME?</v>
      </c>
      <c r="BL100" s="2" t="e">
        <f ca="1"/>
        <v>#NAME?</v>
      </c>
      <c r="BM100" s="2" t="e">
        <f t="shared" ca="1" si="78"/>
        <v>#NAME?</v>
      </c>
      <c r="BN100" s="2" t="e">
        <f ca="1"/>
        <v>#NAME?</v>
      </c>
      <c r="BO100" s="2" t="e">
        <f t="shared" ca="1" si="79"/>
        <v>#NAME?</v>
      </c>
      <c r="BP100" s="2" t="e">
        <f ca="1"/>
        <v>#NAME?</v>
      </c>
      <c r="BQ100" s="2" t="e">
        <f t="shared" ca="1" si="80"/>
        <v>#NAME?</v>
      </c>
      <c r="BR100" s="2" t="e">
        <f ca="1"/>
        <v>#NAME?</v>
      </c>
      <c r="BS100" s="2" t="e">
        <f t="shared" ca="1" si="81"/>
        <v>#NAME?</v>
      </c>
      <c r="BT100" s="2" t="e">
        <f ca="1"/>
        <v>#NAME?</v>
      </c>
      <c r="BU100" s="2" t="e">
        <f t="shared" ca="1" si="82"/>
        <v>#NAME?</v>
      </c>
      <c r="BV100" s="2" t="e">
        <f ca="1"/>
        <v>#NAME?</v>
      </c>
      <c r="BW100" s="2" t="e">
        <f t="shared" ca="1" si="83"/>
        <v>#NAME?</v>
      </c>
      <c r="BX100" s="2" t="e">
        <f ca="1"/>
        <v>#NAME?</v>
      </c>
      <c r="BY100" s="2" t="e">
        <f t="shared" ca="1" si="84"/>
        <v>#NAME?</v>
      </c>
      <c r="BZ100" s="2" t="e">
        <f ca="1"/>
        <v>#NAME?</v>
      </c>
      <c r="CA100" s="2" t="e">
        <f t="shared" ca="1" si="85"/>
        <v>#NAME?</v>
      </c>
      <c r="CB100" s="2" t="e">
        <f ca="1"/>
        <v>#NAME?</v>
      </c>
      <c r="CC100" s="2" t="e">
        <f t="shared" ca="1" si="86"/>
        <v>#NAME?</v>
      </c>
      <c r="CD100" s="2" t="e">
        <f ca="1"/>
        <v>#NAME?</v>
      </c>
      <c r="CE100" s="2" t="e">
        <f t="shared" ca="1" si="87"/>
        <v>#NAME?</v>
      </c>
      <c r="CF100" s="2" t="e">
        <f ca="1"/>
        <v>#NAME?</v>
      </c>
      <c r="CG100" s="2" t="e">
        <f t="shared" ca="1" si="88"/>
        <v>#NAME?</v>
      </c>
      <c r="CH100" s="2" t="e">
        <f ca="1"/>
        <v>#NAME?</v>
      </c>
      <c r="CI100" s="2" t="e">
        <f t="shared" ca="1" si="89"/>
        <v>#NAME?</v>
      </c>
      <c r="CJ100" s="2" t="e">
        <f ca="1"/>
        <v>#NAME?</v>
      </c>
      <c r="CK100" s="2" t="e">
        <f t="shared" ca="1" si="90"/>
        <v>#NAME?</v>
      </c>
      <c r="CL100" s="2" t="e">
        <f ca="1"/>
        <v>#NAME?</v>
      </c>
      <c r="CM100" s="2" t="e">
        <f t="shared" ca="1" si="91"/>
        <v>#NAME?</v>
      </c>
      <c r="CN100" s="2" t="e">
        <f ca="1"/>
        <v>#NAME?</v>
      </c>
      <c r="CO100" s="2" t="e">
        <f t="shared" ca="1" si="92"/>
        <v>#NAME?</v>
      </c>
      <c r="CP100" s="2" t="e">
        <f ca="1"/>
        <v>#NAME?</v>
      </c>
      <c r="CQ100" s="2" t="e">
        <f t="shared" ca="1" si="93"/>
        <v>#NAME?</v>
      </c>
    </row>
    <row r="101" spans="1:95">
      <c r="A101" s="7" t="e">
        <f ca="1"/>
        <v>#NAME?</v>
      </c>
      <c r="B101" s="2" t="e">
        <f ca="1"/>
        <v>#NAME?</v>
      </c>
      <c r="C101" s="2" t="e">
        <f t="shared" ca="1" si="47"/>
        <v>#NAME?</v>
      </c>
      <c r="D101" s="2" t="e">
        <f ca="1"/>
        <v>#NAME?</v>
      </c>
      <c r="E101" s="2" t="e">
        <f t="shared" ca="1" si="48"/>
        <v>#NAME?</v>
      </c>
      <c r="F101" s="2" t="e">
        <f ca="1"/>
        <v>#NAME?</v>
      </c>
      <c r="G101" s="2" t="e">
        <f t="shared" ca="1" si="49"/>
        <v>#NAME?</v>
      </c>
      <c r="H101" s="2" t="e">
        <f ca="1"/>
        <v>#NAME?</v>
      </c>
      <c r="I101" s="2" t="e">
        <f t="shared" ca="1" si="50"/>
        <v>#NAME?</v>
      </c>
      <c r="J101" s="2" t="e">
        <f ca="1"/>
        <v>#NAME?</v>
      </c>
      <c r="K101" s="2" t="e">
        <f t="shared" ca="1" si="51"/>
        <v>#NAME?</v>
      </c>
      <c r="L101" s="2" t="e">
        <f ca="1"/>
        <v>#NAME?</v>
      </c>
      <c r="M101" s="2" t="e">
        <f t="shared" ca="1" si="52"/>
        <v>#NAME?</v>
      </c>
      <c r="N101" s="2" t="e">
        <f ca="1"/>
        <v>#NAME?</v>
      </c>
      <c r="O101" s="2" t="e">
        <f t="shared" ca="1" si="53"/>
        <v>#NAME?</v>
      </c>
      <c r="P101" s="2" t="e">
        <f ca="1"/>
        <v>#NAME?</v>
      </c>
      <c r="Q101" s="2" t="e">
        <f t="shared" ca="1" si="54"/>
        <v>#NAME?</v>
      </c>
      <c r="R101" s="2" t="e">
        <f ca="1"/>
        <v>#NAME?</v>
      </c>
      <c r="S101" s="2" t="e">
        <f t="shared" ca="1" si="55"/>
        <v>#NAME?</v>
      </c>
      <c r="T101" s="2" t="e">
        <f ca="1"/>
        <v>#NAME?</v>
      </c>
      <c r="U101" s="2" t="e">
        <f t="shared" ca="1" si="56"/>
        <v>#NAME?</v>
      </c>
      <c r="V101" s="2" t="e">
        <f ca="1"/>
        <v>#NAME?</v>
      </c>
      <c r="W101" s="2" t="e">
        <f t="shared" ca="1" si="57"/>
        <v>#NAME?</v>
      </c>
      <c r="X101" s="2" t="e">
        <f ca="1"/>
        <v>#NAME?</v>
      </c>
      <c r="Y101" s="2" t="e">
        <f t="shared" ca="1" si="58"/>
        <v>#NAME?</v>
      </c>
      <c r="Z101" s="2" t="e">
        <f ca="1"/>
        <v>#NAME?</v>
      </c>
      <c r="AA101" s="2" t="e">
        <f t="shared" ca="1" si="59"/>
        <v>#NAME?</v>
      </c>
      <c r="AB101" s="2" t="e">
        <f ca="1"/>
        <v>#NAME?</v>
      </c>
      <c r="AC101" s="2" t="e">
        <f t="shared" ca="1" si="60"/>
        <v>#NAME?</v>
      </c>
      <c r="AD101" s="2" t="e">
        <f ca="1"/>
        <v>#NAME?</v>
      </c>
      <c r="AE101" s="2" t="e">
        <f t="shared" ca="1" si="61"/>
        <v>#NAME?</v>
      </c>
      <c r="AF101" s="2" t="e">
        <f ca="1"/>
        <v>#NAME?</v>
      </c>
      <c r="AG101" s="2" t="e">
        <f t="shared" ca="1" si="62"/>
        <v>#NAME?</v>
      </c>
      <c r="AH101" s="2" t="e">
        <f ca="1"/>
        <v>#NAME?</v>
      </c>
      <c r="AI101" s="2" t="e">
        <f t="shared" ca="1" si="63"/>
        <v>#NAME?</v>
      </c>
      <c r="AJ101" s="2" t="e">
        <f ca="1"/>
        <v>#NAME?</v>
      </c>
      <c r="AK101" s="2" t="e">
        <f t="shared" ca="1" si="64"/>
        <v>#NAME?</v>
      </c>
      <c r="AL101" s="2" t="e">
        <f ca="1"/>
        <v>#NAME?</v>
      </c>
      <c r="AM101" s="2" t="e">
        <f t="shared" ca="1" si="65"/>
        <v>#NAME?</v>
      </c>
      <c r="AN101" s="2" t="e">
        <f ca="1"/>
        <v>#NAME?</v>
      </c>
      <c r="AO101" s="2" t="e">
        <f t="shared" ca="1" si="66"/>
        <v>#NAME?</v>
      </c>
      <c r="AP101" s="2" t="e">
        <f ca="1"/>
        <v>#NAME?</v>
      </c>
      <c r="AQ101" s="2" t="e">
        <f t="shared" ca="1" si="67"/>
        <v>#NAME?</v>
      </c>
      <c r="AR101" s="2" t="e">
        <f ca="1"/>
        <v>#NAME?</v>
      </c>
      <c r="AS101" s="2" t="e">
        <f t="shared" ca="1" si="68"/>
        <v>#NAME?</v>
      </c>
      <c r="AT101" s="2" t="e">
        <f ca="1"/>
        <v>#NAME?</v>
      </c>
      <c r="AU101" s="2" t="e">
        <f t="shared" ca="1" si="69"/>
        <v>#NAME?</v>
      </c>
      <c r="AV101" s="2" t="e">
        <f ca="1"/>
        <v>#NAME?</v>
      </c>
      <c r="AW101" s="2" t="e">
        <f t="shared" ca="1" si="70"/>
        <v>#NAME?</v>
      </c>
      <c r="AX101" s="2" t="e">
        <f ca="1"/>
        <v>#NAME?</v>
      </c>
      <c r="AY101" s="2" t="e">
        <f t="shared" ca="1" si="71"/>
        <v>#NAME?</v>
      </c>
      <c r="AZ101" s="2" t="e">
        <f ca="1"/>
        <v>#NAME?</v>
      </c>
      <c r="BA101" s="2" t="e">
        <f t="shared" ca="1" si="72"/>
        <v>#NAME?</v>
      </c>
      <c r="BB101" s="2" t="e">
        <f ca="1"/>
        <v>#NAME?</v>
      </c>
      <c r="BC101" s="2" t="e">
        <f t="shared" ca="1" si="73"/>
        <v>#NAME?</v>
      </c>
      <c r="BD101" s="2" t="e">
        <f ca="1"/>
        <v>#NAME?</v>
      </c>
      <c r="BE101" s="2" t="e">
        <f t="shared" ca="1" si="74"/>
        <v>#NAME?</v>
      </c>
      <c r="BF101" s="2" t="e">
        <f ca="1"/>
        <v>#NAME?</v>
      </c>
      <c r="BG101" s="2" t="e">
        <f t="shared" ca="1" si="75"/>
        <v>#NAME?</v>
      </c>
      <c r="BH101" s="2" t="e">
        <f ca="1"/>
        <v>#NAME?</v>
      </c>
      <c r="BI101" s="2" t="e">
        <f t="shared" ca="1" si="76"/>
        <v>#NAME?</v>
      </c>
      <c r="BJ101" s="2" t="e">
        <f ca="1"/>
        <v>#NAME?</v>
      </c>
      <c r="BK101" s="2" t="e">
        <f t="shared" ca="1" si="77"/>
        <v>#NAME?</v>
      </c>
      <c r="BL101" s="2" t="e">
        <f ca="1"/>
        <v>#NAME?</v>
      </c>
      <c r="BM101" s="2" t="e">
        <f t="shared" ca="1" si="78"/>
        <v>#NAME?</v>
      </c>
      <c r="BN101" s="2" t="e">
        <f ca="1"/>
        <v>#NAME?</v>
      </c>
      <c r="BO101" s="2" t="e">
        <f t="shared" ca="1" si="79"/>
        <v>#NAME?</v>
      </c>
      <c r="BP101" s="2" t="e">
        <f ca="1"/>
        <v>#NAME?</v>
      </c>
      <c r="BQ101" s="2" t="e">
        <f t="shared" ca="1" si="80"/>
        <v>#NAME?</v>
      </c>
      <c r="BR101" s="2" t="e">
        <f ca="1"/>
        <v>#NAME?</v>
      </c>
      <c r="BS101" s="2" t="e">
        <f t="shared" ca="1" si="81"/>
        <v>#NAME?</v>
      </c>
      <c r="BT101" s="2" t="e">
        <f ca="1"/>
        <v>#NAME?</v>
      </c>
      <c r="BU101" s="2" t="e">
        <f t="shared" ca="1" si="82"/>
        <v>#NAME?</v>
      </c>
      <c r="BV101" s="2" t="e">
        <f ca="1"/>
        <v>#NAME?</v>
      </c>
      <c r="BW101" s="2" t="e">
        <f t="shared" ca="1" si="83"/>
        <v>#NAME?</v>
      </c>
      <c r="BX101" s="2" t="e">
        <f ca="1"/>
        <v>#NAME?</v>
      </c>
      <c r="BY101" s="2" t="e">
        <f t="shared" ca="1" si="84"/>
        <v>#NAME?</v>
      </c>
      <c r="BZ101" s="2" t="e">
        <f ca="1"/>
        <v>#NAME?</v>
      </c>
      <c r="CA101" s="2" t="e">
        <f t="shared" ca="1" si="85"/>
        <v>#NAME?</v>
      </c>
      <c r="CB101" s="2" t="e">
        <f ca="1"/>
        <v>#NAME?</v>
      </c>
      <c r="CC101" s="2" t="e">
        <f t="shared" ca="1" si="86"/>
        <v>#NAME?</v>
      </c>
      <c r="CD101" s="2" t="e">
        <f ca="1"/>
        <v>#NAME?</v>
      </c>
      <c r="CE101" s="2" t="e">
        <f t="shared" ca="1" si="87"/>
        <v>#NAME?</v>
      </c>
      <c r="CF101" s="2" t="e">
        <f ca="1"/>
        <v>#NAME?</v>
      </c>
      <c r="CG101" s="2" t="e">
        <f t="shared" ca="1" si="88"/>
        <v>#NAME?</v>
      </c>
      <c r="CH101" s="2" t="e">
        <f ca="1"/>
        <v>#NAME?</v>
      </c>
      <c r="CI101" s="2" t="e">
        <f t="shared" ca="1" si="89"/>
        <v>#NAME?</v>
      </c>
      <c r="CJ101" s="2" t="e">
        <f ca="1"/>
        <v>#NAME?</v>
      </c>
      <c r="CK101" s="2" t="e">
        <f t="shared" ca="1" si="90"/>
        <v>#NAME?</v>
      </c>
      <c r="CL101" s="2" t="e">
        <f ca="1"/>
        <v>#NAME?</v>
      </c>
      <c r="CM101" s="2" t="e">
        <f t="shared" ca="1" si="91"/>
        <v>#NAME?</v>
      </c>
      <c r="CN101" s="2" t="e">
        <f ca="1"/>
        <v>#NAME?</v>
      </c>
      <c r="CO101" s="2" t="e">
        <f t="shared" ca="1" si="92"/>
        <v>#NAME?</v>
      </c>
      <c r="CP101" s="2" t="e">
        <f ca="1"/>
        <v>#NAME?</v>
      </c>
      <c r="CQ101" s="2" t="e">
        <f t="shared" ca="1" si="93"/>
        <v>#NAME?</v>
      </c>
    </row>
    <row r="102" spans="1:95">
      <c r="A102" s="7" t="e">
        <f ca="1"/>
        <v>#NAME?</v>
      </c>
      <c r="B102" s="2" t="e">
        <f ca="1"/>
        <v>#NAME?</v>
      </c>
      <c r="C102" s="2" t="e">
        <f t="shared" ca="1" si="47"/>
        <v>#NAME?</v>
      </c>
      <c r="D102" s="2" t="e">
        <f ca="1"/>
        <v>#NAME?</v>
      </c>
      <c r="E102" s="2" t="e">
        <f t="shared" ca="1" si="48"/>
        <v>#NAME?</v>
      </c>
      <c r="F102" s="2" t="e">
        <f ca="1"/>
        <v>#NAME?</v>
      </c>
      <c r="G102" s="2" t="e">
        <f t="shared" ca="1" si="49"/>
        <v>#NAME?</v>
      </c>
      <c r="H102" s="2" t="e">
        <f ca="1"/>
        <v>#NAME?</v>
      </c>
      <c r="I102" s="2" t="e">
        <f t="shared" ca="1" si="50"/>
        <v>#NAME?</v>
      </c>
      <c r="J102" s="2" t="e">
        <f ca="1"/>
        <v>#NAME?</v>
      </c>
      <c r="K102" s="2" t="e">
        <f t="shared" ca="1" si="51"/>
        <v>#NAME?</v>
      </c>
      <c r="L102" s="2" t="e">
        <f ca="1"/>
        <v>#NAME?</v>
      </c>
      <c r="M102" s="2" t="e">
        <f t="shared" ca="1" si="52"/>
        <v>#NAME?</v>
      </c>
      <c r="N102" s="2" t="e">
        <f ca="1"/>
        <v>#NAME?</v>
      </c>
      <c r="O102" s="2" t="e">
        <f t="shared" ca="1" si="53"/>
        <v>#NAME?</v>
      </c>
      <c r="P102" s="2" t="e">
        <f ca="1"/>
        <v>#NAME?</v>
      </c>
      <c r="Q102" s="2" t="e">
        <f t="shared" ca="1" si="54"/>
        <v>#NAME?</v>
      </c>
      <c r="R102" s="2" t="e">
        <f ca="1"/>
        <v>#NAME?</v>
      </c>
      <c r="S102" s="2" t="e">
        <f t="shared" ca="1" si="55"/>
        <v>#NAME?</v>
      </c>
      <c r="T102" s="2" t="e">
        <f ca="1"/>
        <v>#NAME?</v>
      </c>
      <c r="U102" s="2" t="e">
        <f t="shared" ca="1" si="56"/>
        <v>#NAME?</v>
      </c>
      <c r="V102" s="2" t="e">
        <f ca="1"/>
        <v>#NAME?</v>
      </c>
      <c r="W102" s="2" t="e">
        <f t="shared" ca="1" si="57"/>
        <v>#NAME?</v>
      </c>
      <c r="X102" s="2" t="e">
        <f ca="1"/>
        <v>#NAME?</v>
      </c>
      <c r="Y102" s="2" t="e">
        <f t="shared" ca="1" si="58"/>
        <v>#NAME?</v>
      </c>
      <c r="Z102" s="2" t="e">
        <f ca="1"/>
        <v>#NAME?</v>
      </c>
      <c r="AA102" s="2" t="e">
        <f t="shared" ca="1" si="59"/>
        <v>#NAME?</v>
      </c>
      <c r="AB102" s="2" t="e">
        <f ca="1"/>
        <v>#NAME?</v>
      </c>
      <c r="AC102" s="2" t="e">
        <f t="shared" ca="1" si="60"/>
        <v>#NAME?</v>
      </c>
      <c r="AD102" s="2" t="e">
        <f ca="1"/>
        <v>#NAME?</v>
      </c>
      <c r="AE102" s="2" t="e">
        <f t="shared" ca="1" si="61"/>
        <v>#NAME?</v>
      </c>
      <c r="AF102" s="2" t="e">
        <f ca="1"/>
        <v>#NAME?</v>
      </c>
      <c r="AG102" s="2" t="e">
        <f t="shared" ca="1" si="62"/>
        <v>#NAME?</v>
      </c>
      <c r="AH102" s="2" t="e">
        <f ca="1"/>
        <v>#NAME?</v>
      </c>
      <c r="AI102" s="2" t="e">
        <f t="shared" ca="1" si="63"/>
        <v>#NAME?</v>
      </c>
      <c r="AJ102" s="2" t="e">
        <f ca="1"/>
        <v>#NAME?</v>
      </c>
      <c r="AK102" s="2" t="e">
        <f t="shared" ca="1" si="64"/>
        <v>#NAME?</v>
      </c>
      <c r="AL102" s="2" t="e">
        <f ca="1"/>
        <v>#NAME?</v>
      </c>
      <c r="AM102" s="2" t="e">
        <f t="shared" ca="1" si="65"/>
        <v>#NAME?</v>
      </c>
      <c r="AN102" s="2" t="e">
        <f ca="1"/>
        <v>#NAME?</v>
      </c>
      <c r="AO102" s="2" t="e">
        <f t="shared" ca="1" si="66"/>
        <v>#NAME?</v>
      </c>
      <c r="AP102" s="2" t="e">
        <f ca="1"/>
        <v>#NAME?</v>
      </c>
      <c r="AQ102" s="2" t="e">
        <f t="shared" ca="1" si="67"/>
        <v>#NAME?</v>
      </c>
      <c r="AR102" s="2" t="e">
        <f ca="1"/>
        <v>#NAME?</v>
      </c>
      <c r="AS102" s="2" t="e">
        <f t="shared" ca="1" si="68"/>
        <v>#NAME?</v>
      </c>
      <c r="AT102" s="2" t="e">
        <f ca="1"/>
        <v>#NAME?</v>
      </c>
      <c r="AU102" s="2" t="e">
        <f t="shared" ca="1" si="69"/>
        <v>#NAME?</v>
      </c>
      <c r="AV102" s="2" t="e">
        <f ca="1"/>
        <v>#NAME?</v>
      </c>
      <c r="AW102" s="2" t="e">
        <f t="shared" ca="1" si="70"/>
        <v>#NAME?</v>
      </c>
      <c r="AX102" s="2" t="e">
        <f ca="1"/>
        <v>#NAME?</v>
      </c>
      <c r="AY102" s="2" t="e">
        <f t="shared" ca="1" si="71"/>
        <v>#NAME?</v>
      </c>
      <c r="AZ102" s="2" t="e">
        <f ca="1"/>
        <v>#NAME?</v>
      </c>
      <c r="BA102" s="2" t="e">
        <f t="shared" ca="1" si="72"/>
        <v>#NAME?</v>
      </c>
      <c r="BB102" s="2" t="e">
        <f ca="1"/>
        <v>#NAME?</v>
      </c>
      <c r="BC102" s="2" t="e">
        <f t="shared" ca="1" si="73"/>
        <v>#NAME?</v>
      </c>
      <c r="BD102" s="2" t="e">
        <f ca="1"/>
        <v>#NAME?</v>
      </c>
      <c r="BE102" s="2" t="e">
        <f t="shared" ca="1" si="74"/>
        <v>#NAME?</v>
      </c>
      <c r="BF102" s="2" t="e">
        <f ca="1"/>
        <v>#NAME?</v>
      </c>
      <c r="BG102" s="2" t="e">
        <f t="shared" ca="1" si="75"/>
        <v>#NAME?</v>
      </c>
      <c r="BH102" s="2" t="e">
        <f ca="1"/>
        <v>#NAME?</v>
      </c>
      <c r="BI102" s="2" t="e">
        <f t="shared" ca="1" si="76"/>
        <v>#NAME?</v>
      </c>
      <c r="BJ102" s="2" t="e">
        <f ca="1"/>
        <v>#NAME?</v>
      </c>
      <c r="BK102" s="2" t="e">
        <f t="shared" ca="1" si="77"/>
        <v>#NAME?</v>
      </c>
      <c r="BL102" s="2" t="e">
        <f ca="1"/>
        <v>#NAME?</v>
      </c>
      <c r="BM102" s="2" t="e">
        <f t="shared" ca="1" si="78"/>
        <v>#NAME?</v>
      </c>
      <c r="BN102" s="2" t="e">
        <f ca="1"/>
        <v>#NAME?</v>
      </c>
      <c r="BO102" s="2" t="e">
        <f t="shared" ca="1" si="79"/>
        <v>#NAME?</v>
      </c>
      <c r="BP102" s="2" t="e">
        <f ca="1"/>
        <v>#NAME?</v>
      </c>
      <c r="BQ102" s="2" t="e">
        <f t="shared" ca="1" si="80"/>
        <v>#NAME?</v>
      </c>
      <c r="BR102" s="2" t="e">
        <f ca="1"/>
        <v>#NAME?</v>
      </c>
      <c r="BS102" s="2" t="e">
        <f t="shared" ca="1" si="81"/>
        <v>#NAME?</v>
      </c>
      <c r="BT102" s="2" t="e">
        <f ca="1"/>
        <v>#NAME?</v>
      </c>
      <c r="BU102" s="2" t="e">
        <f t="shared" ca="1" si="82"/>
        <v>#NAME?</v>
      </c>
      <c r="BV102" s="2" t="e">
        <f ca="1"/>
        <v>#NAME?</v>
      </c>
      <c r="BW102" s="2" t="e">
        <f t="shared" ca="1" si="83"/>
        <v>#NAME?</v>
      </c>
      <c r="BX102" s="2" t="e">
        <f ca="1"/>
        <v>#NAME?</v>
      </c>
      <c r="BY102" s="2" t="e">
        <f t="shared" ca="1" si="84"/>
        <v>#NAME?</v>
      </c>
      <c r="BZ102" s="2" t="e">
        <f ca="1"/>
        <v>#NAME?</v>
      </c>
      <c r="CA102" s="2" t="e">
        <f t="shared" ca="1" si="85"/>
        <v>#NAME?</v>
      </c>
      <c r="CB102" s="2" t="e">
        <f ca="1"/>
        <v>#NAME?</v>
      </c>
      <c r="CC102" s="2" t="e">
        <f t="shared" ca="1" si="86"/>
        <v>#NAME?</v>
      </c>
      <c r="CD102" s="2" t="e">
        <f ca="1"/>
        <v>#NAME?</v>
      </c>
      <c r="CE102" s="2" t="e">
        <f t="shared" ca="1" si="87"/>
        <v>#NAME?</v>
      </c>
      <c r="CF102" s="2" t="e">
        <f ca="1"/>
        <v>#NAME?</v>
      </c>
      <c r="CG102" s="2" t="e">
        <f t="shared" ca="1" si="88"/>
        <v>#NAME?</v>
      </c>
      <c r="CH102" s="2" t="e">
        <f ca="1"/>
        <v>#NAME?</v>
      </c>
      <c r="CI102" s="2" t="e">
        <f t="shared" ca="1" si="89"/>
        <v>#NAME?</v>
      </c>
      <c r="CJ102" s="2" t="e">
        <f ca="1"/>
        <v>#NAME?</v>
      </c>
      <c r="CK102" s="2" t="e">
        <f t="shared" ca="1" si="90"/>
        <v>#NAME?</v>
      </c>
      <c r="CL102" s="2" t="e">
        <f ca="1"/>
        <v>#NAME?</v>
      </c>
      <c r="CM102" s="2" t="e">
        <f t="shared" ca="1" si="91"/>
        <v>#NAME?</v>
      </c>
      <c r="CN102" s="2" t="e">
        <f ca="1"/>
        <v>#NAME?</v>
      </c>
      <c r="CO102" s="2" t="e">
        <f t="shared" ca="1" si="92"/>
        <v>#NAME?</v>
      </c>
      <c r="CP102" s="2" t="e">
        <f ca="1"/>
        <v>#NAME?</v>
      </c>
      <c r="CQ102" s="2" t="e">
        <f t="shared" ca="1" si="93"/>
        <v>#NAME?</v>
      </c>
    </row>
    <row r="103" spans="1:95">
      <c r="A103" s="7" t="e">
        <f ca="1"/>
        <v>#NAME?</v>
      </c>
      <c r="B103" s="2" t="e">
        <f ca="1"/>
        <v>#NAME?</v>
      </c>
      <c r="C103" s="2" t="e">
        <f t="shared" ca="1" si="47"/>
        <v>#NAME?</v>
      </c>
      <c r="D103" s="2" t="e">
        <f ca="1"/>
        <v>#NAME?</v>
      </c>
      <c r="E103" s="2" t="e">
        <f t="shared" ca="1" si="48"/>
        <v>#NAME?</v>
      </c>
      <c r="F103" s="2" t="e">
        <f ca="1"/>
        <v>#NAME?</v>
      </c>
      <c r="G103" s="2" t="e">
        <f t="shared" ca="1" si="49"/>
        <v>#NAME?</v>
      </c>
      <c r="H103" s="2" t="e">
        <f ca="1"/>
        <v>#NAME?</v>
      </c>
      <c r="I103" s="2" t="e">
        <f t="shared" ca="1" si="50"/>
        <v>#NAME?</v>
      </c>
      <c r="J103" s="2" t="e">
        <f ca="1"/>
        <v>#NAME?</v>
      </c>
      <c r="K103" s="2" t="e">
        <f t="shared" ca="1" si="51"/>
        <v>#NAME?</v>
      </c>
      <c r="L103" s="2" t="e">
        <f ca="1"/>
        <v>#NAME?</v>
      </c>
      <c r="M103" s="2" t="e">
        <f t="shared" ca="1" si="52"/>
        <v>#NAME?</v>
      </c>
      <c r="N103" s="2" t="e">
        <f ca="1"/>
        <v>#NAME?</v>
      </c>
      <c r="O103" s="2" t="e">
        <f t="shared" ca="1" si="53"/>
        <v>#NAME?</v>
      </c>
      <c r="P103" s="2" t="e">
        <f ca="1"/>
        <v>#NAME?</v>
      </c>
      <c r="Q103" s="2" t="e">
        <f t="shared" ca="1" si="54"/>
        <v>#NAME?</v>
      </c>
      <c r="R103" s="2" t="e">
        <f ca="1"/>
        <v>#NAME?</v>
      </c>
      <c r="S103" s="2" t="e">
        <f t="shared" ca="1" si="55"/>
        <v>#NAME?</v>
      </c>
      <c r="T103" s="2" t="e">
        <f ca="1"/>
        <v>#NAME?</v>
      </c>
      <c r="U103" s="2" t="e">
        <f t="shared" ca="1" si="56"/>
        <v>#NAME?</v>
      </c>
      <c r="V103" s="2" t="e">
        <f ca="1"/>
        <v>#NAME?</v>
      </c>
      <c r="W103" s="2" t="e">
        <f t="shared" ca="1" si="57"/>
        <v>#NAME?</v>
      </c>
      <c r="X103" s="2" t="e">
        <f ca="1"/>
        <v>#NAME?</v>
      </c>
      <c r="Y103" s="2" t="e">
        <f t="shared" ca="1" si="58"/>
        <v>#NAME?</v>
      </c>
      <c r="Z103" s="2" t="e">
        <f ca="1"/>
        <v>#NAME?</v>
      </c>
      <c r="AA103" s="2" t="e">
        <f t="shared" ca="1" si="59"/>
        <v>#NAME?</v>
      </c>
      <c r="AB103" s="2" t="e">
        <f ca="1"/>
        <v>#NAME?</v>
      </c>
      <c r="AC103" s="2" t="e">
        <f t="shared" ca="1" si="60"/>
        <v>#NAME?</v>
      </c>
      <c r="AD103" s="2" t="e">
        <f ca="1"/>
        <v>#NAME?</v>
      </c>
      <c r="AE103" s="2" t="e">
        <f t="shared" ca="1" si="61"/>
        <v>#NAME?</v>
      </c>
      <c r="AF103" s="2" t="e">
        <f ca="1"/>
        <v>#NAME?</v>
      </c>
      <c r="AG103" s="2" t="e">
        <f t="shared" ca="1" si="62"/>
        <v>#NAME?</v>
      </c>
      <c r="AH103" s="2" t="e">
        <f ca="1"/>
        <v>#NAME?</v>
      </c>
      <c r="AI103" s="2" t="e">
        <f t="shared" ca="1" si="63"/>
        <v>#NAME?</v>
      </c>
      <c r="AJ103" s="2" t="e">
        <f ca="1"/>
        <v>#NAME?</v>
      </c>
      <c r="AK103" s="2" t="e">
        <f t="shared" ca="1" si="64"/>
        <v>#NAME?</v>
      </c>
      <c r="AL103" s="2" t="e">
        <f ca="1"/>
        <v>#NAME?</v>
      </c>
      <c r="AM103" s="2" t="e">
        <f t="shared" ca="1" si="65"/>
        <v>#NAME?</v>
      </c>
      <c r="AN103" s="2" t="e">
        <f ca="1"/>
        <v>#NAME?</v>
      </c>
      <c r="AO103" s="2" t="e">
        <f t="shared" ca="1" si="66"/>
        <v>#NAME?</v>
      </c>
      <c r="AP103" s="2" t="e">
        <f ca="1"/>
        <v>#NAME?</v>
      </c>
      <c r="AQ103" s="2" t="e">
        <f t="shared" ca="1" si="67"/>
        <v>#NAME?</v>
      </c>
      <c r="AR103" s="2" t="e">
        <f ca="1"/>
        <v>#NAME?</v>
      </c>
      <c r="AS103" s="2" t="e">
        <f t="shared" ca="1" si="68"/>
        <v>#NAME?</v>
      </c>
      <c r="AT103" s="2" t="e">
        <f ca="1"/>
        <v>#NAME?</v>
      </c>
      <c r="AU103" s="2" t="e">
        <f t="shared" ca="1" si="69"/>
        <v>#NAME?</v>
      </c>
      <c r="AV103" s="2" t="e">
        <f ca="1"/>
        <v>#NAME?</v>
      </c>
      <c r="AW103" s="2" t="e">
        <f t="shared" ca="1" si="70"/>
        <v>#NAME?</v>
      </c>
      <c r="AX103" s="2" t="e">
        <f ca="1"/>
        <v>#NAME?</v>
      </c>
      <c r="AY103" s="2" t="e">
        <f t="shared" ca="1" si="71"/>
        <v>#NAME?</v>
      </c>
      <c r="AZ103" s="2" t="e">
        <f ca="1"/>
        <v>#NAME?</v>
      </c>
      <c r="BA103" s="2" t="e">
        <f t="shared" ca="1" si="72"/>
        <v>#NAME?</v>
      </c>
      <c r="BB103" s="2" t="e">
        <f ca="1"/>
        <v>#NAME?</v>
      </c>
      <c r="BC103" s="2" t="e">
        <f t="shared" ca="1" si="73"/>
        <v>#NAME?</v>
      </c>
      <c r="BD103" s="2" t="e">
        <f ca="1"/>
        <v>#NAME?</v>
      </c>
      <c r="BE103" s="2" t="e">
        <f t="shared" ca="1" si="74"/>
        <v>#NAME?</v>
      </c>
      <c r="BF103" s="2" t="e">
        <f ca="1"/>
        <v>#NAME?</v>
      </c>
      <c r="BG103" s="2" t="e">
        <f t="shared" ca="1" si="75"/>
        <v>#NAME?</v>
      </c>
      <c r="BH103" s="2" t="e">
        <f ca="1"/>
        <v>#NAME?</v>
      </c>
      <c r="BI103" s="2" t="e">
        <f t="shared" ca="1" si="76"/>
        <v>#NAME?</v>
      </c>
      <c r="BJ103" s="2" t="e">
        <f ca="1"/>
        <v>#NAME?</v>
      </c>
      <c r="BK103" s="2" t="e">
        <f t="shared" ca="1" si="77"/>
        <v>#NAME?</v>
      </c>
      <c r="BL103" s="2" t="e">
        <f ca="1"/>
        <v>#NAME?</v>
      </c>
      <c r="BM103" s="2" t="e">
        <f t="shared" ca="1" si="78"/>
        <v>#NAME?</v>
      </c>
      <c r="BN103" s="2" t="e">
        <f ca="1"/>
        <v>#NAME?</v>
      </c>
      <c r="BO103" s="2" t="e">
        <f t="shared" ca="1" si="79"/>
        <v>#NAME?</v>
      </c>
      <c r="BP103" s="2" t="e">
        <f ca="1"/>
        <v>#NAME?</v>
      </c>
      <c r="BQ103" s="2" t="e">
        <f t="shared" ca="1" si="80"/>
        <v>#NAME?</v>
      </c>
      <c r="BR103" s="2" t="e">
        <f ca="1"/>
        <v>#NAME?</v>
      </c>
      <c r="BS103" s="2" t="e">
        <f t="shared" ca="1" si="81"/>
        <v>#NAME?</v>
      </c>
      <c r="BT103" s="2" t="e">
        <f ca="1"/>
        <v>#NAME?</v>
      </c>
      <c r="BU103" s="2" t="e">
        <f t="shared" ca="1" si="82"/>
        <v>#NAME?</v>
      </c>
      <c r="BV103" s="2" t="e">
        <f ca="1"/>
        <v>#NAME?</v>
      </c>
      <c r="BW103" s="2" t="e">
        <f t="shared" ca="1" si="83"/>
        <v>#NAME?</v>
      </c>
      <c r="BX103" s="2" t="e">
        <f ca="1"/>
        <v>#NAME?</v>
      </c>
      <c r="BY103" s="2" t="e">
        <f t="shared" ca="1" si="84"/>
        <v>#NAME?</v>
      </c>
      <c r="BZ103" s="2" t="e">
        <f ca="1"/>
        <v>#NAME?</v>
      </c>
      <c r="CA103" s="2" t="e">
        <f t="shared" ca="1" si="85"/>
        <v>#NAME?</v>
      </c>
      <c r="CB103" s="2" t="e">
        <f ca="1"/>
        <v>#NAME?</v>
      </c>
      <c r="CC103" s="2" t="e">
        <f t="shared" ca="1" si="86"/>
        <v>#NAME?</v>
      </c>
      <c r="CD103" s="2" t="e">
        <f ca="1"/>
        <v>#NAME?</v>
      </c>
      <c r="CE103" s="2" t="e">
        <f t="shared" ca="1" si="87"/>
        <v>#NAME?</v>
      </c>
      <c r="CF103" s="2" t="e">
        <f ca="1"/>
        <v>#NAME?</v>
      </c>
      <c r="CG103" s="2" t="e">
        <f t="shared" ca="1" si="88"/>
        <v>#NAME?</v>
      </c>
      <c r="CH103" s="2" t="e">
        <f ca="1"/>
        <v>#NAME?</v>
      </c>
      <c r="CI103" s="2" t="e">
        <f t="shared" ca="1" si="89"/>
        <v>#NAME?</v>
      </c>
      <c r="CJ103" s="2" t="e">
        <f ca="1"/>
        <v>#NAME?</v>
      </c>
      <c r="CK103" s="2" t="e">
        <f t="shared" ca="1" si="90"/>
        <v>#NAME?</v>
      </c>
      <c r="CL103" s="2" t="e">
        <f ca="1"/>
        <v>#NAME?</v>
      </c>
      <c r="CM103" s="2" t="e">
        <f t="shared" ca="1" si="91"/>
        <v>#NAME?</v>
      </c>
      <c r="CN103" s="2" t="e">
        <f ca="1"/>
        <v>#NAME?</v>
      </c>
      <c r="CO103" s="2" t="e">
        <f t="shared" ca="1" si="92"/>
        <v>#NAME?</v>
      </c>
      <c r="CP103" s="2" t="e">
        <f ca="1"/>
        <v>#NAME?</v>
      </c>
      <c r="CQ103" s="2" t="e">
        <f t="shared" ca="1" si="93"/>
        <v>#NAME?</v>
      </c>
    </row>
    <row r="104" spans="1:95">
      <c r="A104" s="7" t="e">
        <f ca="1"/>
        <v>#NAME?</v>
      </c>
      <c r="B104" s="2" t="e">
        <f ca="1"/>
        <v>#NAME?</v>
      </c>
      <c r="C104" s="2" t="e">
        <f t="shared" ca="1" si="47"/>
        <v>#NAME?</v>
      </c>
      <c r="D104" s="2" t="e">
        <f ca="1"/>
        <v>#NAME?</v>
      </c>
      <c r="E104" s="2" t="e">
        <f t="shared" ca="1" si="48"/>
        <v>#NAME?</v>
      </c>
      <c r="F104" s="2" t="e">
        <f ca="1"/>
        <v>#NAME?</v>
      </c>
      <c r="G104" s="2" t="e">
        <f t="shared" ca="1" si="49"/>
        <v>#NAME?</v>
      </c>
      <c r="H104" s="2" t="e">
        <f ca="1"/>
        <v>#NAME?</v>
      </c>
      <c r="I104" s="2" t="e">
        <f t="shared" ca="1" si="50"/>
        <v>#NAME?</v>
      </c>
      <c r="J104" s="2" t="e">
        <f ca="1"/>
        <v>#NAME?</v>
      </c>
      <c r="K104" s="2" t="e">
        <f t="shared" ca="1" si="51"/>
        <v>#NAME?</v>
      </c>
      <c r="L104" s="2" t="e">
        <f ca="1"/>
        <v>#NAME?</v>
      </c>
      <c r="M104" s="2" t="e">
        <f t="shared" ca="1" si="52"/>
        <v>#NAME?</v>
      </c>
      <c r="N104" s="2" t="e">
        <f ca="1"/>
        <v>#NAME?</v>
      </c>
      <c r="O104" s="2" t="e">
        <f t="shared" ca="1" si="53"/>
        <v>#NAME?</v>
      </c>
      <c r="P104" s="2" t="e">
        <f ca="1"/>
        <v>#NAME?</v>
      </c>
      <c r="Q104" s="2" t="e">
        <f t="shared" ca="1" si="54"/>
        <v>#NAME?</v>
      </c>
      <c r="R104" s="2" t="e">
        <f ca="1"/>
        <v>#NAME?</v>
      </c>
      <c r="S104" s="2" t="e">
        <f t="shared" ca="1" si="55"/>
        <v>#NAME?</v>
      </c>
      <c r="T104" s="2" t="e">
        <f ca="1"/>
        <v>#NAME?</v>
      </c>
      <c r="U104" s="2" t="e">
        <f t="shared" ca="1" si="56"/>
        <v>#NAME?</v>
      </c>
      <c r="V104" s="2" t="e">
        <f ca="1"/>
        <v>#NAME?</v>
      </c>
      <c r="W104" s="2" t="e">
        <f t="shared" ca="1" si="57"/>
        <v>#NAME?</v>
      </c>
      <c r="X104" s="2" t="e">
        <f ca="1"/>
        <v>#NAME?</v>
      </c>
      <c r="Y104" s="2" t="e">
        <f t="shared" ca="1" si="58"/>
        <v>#NAME?</v>
      </c>
      <c r="Z104" s="2" t="e">
        <f ca="1"/>
        <v>#NAME?</v>
      </c>
      <c r="AA104" s="2" t="e">
        <f t="shared" ca="1" si="59"/>
        <v>#NAME?</v>
      </c>
      <c r="AB104" s="2" t="e">
        <f ca="1"/>
        <v>#NAME?</v>
      </c>
      <c r="AC104" s="2" t="e">
        <f t="shared" ca="1" si="60"/>
        <v>#NAME?</v>
      </c>
      <c r="AD104" s="2" t="e">
        <f ca="1"/>
        <v>#NAME?</v>
      </c>
      <c r="AE104" s="2" t="e">
        <f t="shared" ca="1" si="61"/>
        <v>#NAME?</v>
      </c>
      <c r="AF104" s="2" t="e">
        <f ca="1"/>
        <v>#NAME?</v>
      </c>
      <c r="AG104" s="2" t="e">
        <f t="shared" ca="1" si="62"/>
        <v>#NAME?</v>
      </c>
      <c r="AH104" s="2" t="e">
        <f ca="1"/>
        <v>#NAME?</v>
      </c>
      <c r="AI104" s="2" t="e">
        <f t="shared" ca="1" si="63"/>
        <v>#NAME?</v>
      </c>
      <c r="AJ104" s="2" t="e">
        <f ca="1"/>
        <v>#NAME?</v>
      </c>
      <c r="AK104" s="2" t="e">
        <f t="shared" ca="1" si="64"/>
        <v>#NAME?</v>
      </c>
      <c r="AL104" s="2" t="e">
        <f ca="1"/>
        <v>#NAME?</v>
      </c>
      <c r="AM104" s="2" t="e">
        <f t="shared" ca="1" si="65"/>
        <v>#NAME?</v>
      </c>
      <c r="AN104" s="2" t="e">
        <f ca="1"/>
        <v>#NAME?</v>
      </c>
      <c r="AO104" s="2" t="e">
        <f t="shared" ca="1" si="66"/>
        <v>#NAME?</v>
      </c>
      <c r="AP104" s="2" t="e">
        <f ca="1"/>
        <v>#NAME?</v>
      </c>
      <c r="AQ104" s="2" t="e">
        <f t="shared" ca="1" si="67"/>
        <v>#NAME?</v>
      </c>
      <c r="AR104" s="2" t="e">
        <f ca="1"/>
        <v>#NAME?</v>
      </c>
      <c r="AS104" s="2" t="e">
        <f t="shared" ca="1" si="68"/>
        <v>#NAME?</v>
      </c>
      <c r="AT104" s="2" t="e">
        <f ca="1"/>
        <v>#NAME?</v>
      </c>
      <c r="AU104" s="2" t="e">
        <f t="shared" ca="1" si="69"/>
        <v>#NAME?</v>
      </c>
      <c r="AV104" s="2" t="e">
        <f ca="1"/>
        <v>#NAME?</v>
      </c>
      <c r="AW104" s="2" t="e">
        <f t="shared" ca="1" si="70"/>
        <v>#NAME?</v>
      </c>
      <c r="AX104" s="2" t="e">
        <f ca="1"/>
        <v>#NAME?</v>
      </c>
      <c r="AY104" s="2" t="e">
        <f t="shared" ca="1" si="71"/>
        <v>#NAME?</v>
      </c>
      <c r="AZ104" s="2" t="e">
        <f ca="1"/>
        <v>#NAME?</v>
      </c>
      <c r="BA104" s="2" t="e">
        <f t="shared" ca="1" si="72"/>
        <v>#NAME?</v>
      </c>
      <c r="BB104" s="2" t="e">
        <f ca="1"/>
        <v>#NAME?</v>
      </c>
      <c r="BC104" s="2" t="e">
        <f t="shared" ca="1" si="73"/>
        <v>#NAME?</v>
      </c>
      <c r="BD104" s="2" t="e">
        <f ca="1"/>
        <v>#NAME?</v>
      </c>
      <c r="BE104" s="2" t="e">
        <f t="shared" ca="1" si="74"/>
        <v>#NAME?</v>
      </c>
      <c r="BF104" s="2" t="e">
        <f ca="1"/>
        <v>#NAME?</v>
      </c>
      <c r="BG104" s="2" t="e">
        <f t="shared" ca="1" si="75"/>
        <v>#NAME?</v>
      </c>
      <c r="BH104" s="2" t="e">
        <f ca="1"/>
        <v>#NAME?</v>
      </c>
      <c r="BI104" s="2" t="e">
        <f t="shared" ca="1" si="76"/>
        <v>#NAME?</v>
      </c>
      <c r="BJ104" s="2" t="e">
        <f ca="1"/>
        <v>#NAME?</v>
      </c>
      <c r="BK104" s="2" t="e">
        <f t="shared" ca="1" si="77"/>
        <v>#NAME?</v>
      </c>
      <c r="BL104" s="2" t="e">
        <f ca="1"/>
        <v>#NAME?</v>
      </c>
      <c r="BM104" s="2" t="e">
        <f t="shared" ca="1" si="78"/>
        <v>#NAME?</v>
      </c>
      <c r="BN104" s="2" t="e">
        <f ca="1"/>
        <v>#NAME?</v>
      </c>
      <c r="BO104" s="2" t="e">
        <f t="shared" ca="1" si="79"/>
        <v>#NAME?</v>
      </c>
      <c r="BP104" s="2" t="e">
        <f ca="1"/>
        <v>#NAME?</v>
      </c>
      <c r="BQ104" s="2" t="e">
        <f t="shared" ca="1" si="80"/>
        <v>#NAME?</v>
      </c>
      <c r="BR104" s="2" t="e">
        <f ca="1"/>
        <v>#NAME?</v>
      </c>
      <c r="BS104" s="2" t="e">
        <f t="shared" ca="1" si="81"/>
        <v>#NAME?</v>
      </c>
      <c r="BT104" s="2" t="e">
        <f ca="1"/>
        <v>#NAME?</v>
      </c>
      <c r="BU104" s="2" t="e">
        <f t="shared" ca="1" si="82"/>
        <v>#NAME?</v>
      </c>
      <c r="BV104" s="2" t="e">
        <f ca="1"/>
        <v>#NAME?</v>
      </c>
      <c r="BW104" s="2" t="e">
        <f t="shared" ca="1" si="83"/>
        <v>#NAME?</v>
      </c>
      <c r="BX104" s="2" t="e">
        <f ca="1"/>
        <v>#NAME?</v>
      </c>
      <c r="BY104" s="2" t="e">
        <f t="shared" ca="1" si="84"/>
        <v>#NAME?</v>
      </c>
      <c r="BZ104" s="2" t="e">
        <f ca="1"/>
        <v>#NAME?</v>
      </c>
      <c r="CA104" s="2" t="e">
        <f t="shared" ca="1" si="85"/>
        <v>#NAME?</v>
      </c>
      <c r="CB104" s="2" t="e">
        <f ca="1"/>
        <v>#NAME?</v>
      </c>
      <c r="CC104" s="2" t="e">
        <f t="shared" ca="1" si="86"/>
        <v>#NAME?</v>
      </c>
      <c r="CD104" s="2" t="e">
        <f ca="1"/>
        <v>#NAME?</v>
      </c>
      <c r="CE104" s="2" t="e">
        <f t="shared" ca="1" si="87"/>
        <v>#NAME?</v>
      </c>
      <c r="CF104" s="2" t="e">
        <f ca="1"/>
        <v>#NAME?</v>
      </c>
      <c r="CG104" s="2" t="e">
        <f t="shared" ca="1" si="88"/>
        <v>#NAME?</v>
      </c>
      <c r="CH104" s="2" t="e">
        <f ca="1"/>
        <v>#NAME?</v>
      </c>
      <c r="CI104" s="2" t="e">
        <f t="shared" ca="1" si="89"/>
        <v>#NAME?</v>
      </c>
      <c r="CJ104" s="2" t="e">
        <f ca="1"/>
        <v>#NAME?</v>
      </c>
      <c r="CK104" s="2" t="e">
        <f t="shared" ca="1" si="90"/>
        <v>#NAME?</v>
      </c>
      <c r="CL104" s="2" t="e">
        <f ca="1"/>
        <v>#NAME?</v>
      </c>
      <c r="CM104" s="2" t="e">
        <f t="shared" ca="1" si="91"/>
        <v>#NAME?</v>
      </c>
      <c r="CN104" s="2" t="e">
        <f ca="1"/>
        <v>#NAME?</v>
      </c>
      <c r="CO104" s="2" t="e">
        <f t="shared" ca="1" si="92"/>
        <v>#NAME?</v>
      </c>
      <c r="CP104" s="2" t="e">
        <f ca="1"/>
        <v>#NAME?</v>
      </c>
      <c r="CQ104" s="2" t="e">
        <f t="shared" ca="1" si="93"/>
        <v>#NAME?</v>
      </c>
    </row>
    <row r="105" spans="1:95">
      <c r="A105" s="7" t="e">
        <f ca="1"/>
        <v>#NAME?</v>
      </c>
      <c r="B105" s="2" t="e">
        <f ca="1"/>
        <v>#NAME?</v>
      </c>
      <c r="C105" s="2" t="e">
        <f t="shared" ca="1" si="47"/>
        <v>#NAME?</v>
      </c>
      <c r="D105" s="2" t="e">
        <f ca="1"/>
        <v>#NAME?</v>
      </c>
      <c r="E105" s="2" t="e">
        <f t="shared" ca="1" si="48"/>
        <v>#NAME?</v>
      </c>
      <c r="F105" s="2" t="e">
        <f ca="1"/>
        <v>#NAME?</v>
      </c>
      <c r="G105" s="2" t="e">
        <f t="shared" ca="1" si="49"/>
        <v>#NAME?</v>
      </c>
      <c r="H105" s="2" t="e">
        <f ca="1"/>
        <v>#NAME?</v>
      </c>
      <c r="I105" s="2" t="e">
        <f t="shared" ca="1" si="50"/>
        <v>#NAME?</v>
      </c>
      <c r="J105" s="2" t="e">
        <f ca="1"/>
        <v>#NAME?</v>
      </c>
      <c r="K105" s="2" t="e">
        <f t="shared" ca="1" si="51"/>
        <v>#NAME?</v>
      </c>
      <c r="L105" s="2" t="e">
        <f ca="1"/>
        <v>#NAME?</v>
      </c>
      <c r="M105" s="2" t="e">
        <f t="shared" ca="1" si="52"/>
        <v>#NAME?</v>
      </c>
      <c r="N105" s="2" t="e">
        <f ca="1"/>
        <v>#NAME?</v>
      </c>
      <c r="O105" s="2" t="e">
        <f t="shared" ca="1" si="53"/>
        <v>#NAME?</v>
      </c>
      <c r="P105" s="2" t="e">
        <f ca="1"/>
        <v>#NAME?</v>
      </c>
      <c r="Q105" s="2" t="e">
        <f t="shared" ca="1" si="54"/>
        <v>#NAME?</v>
      </c>
      <c r="R105" s="2" t="e">
        <f ca="1"/>
        <v>#NAME?</v>
      </c>
      <c r="S105" s="2" t="e">
        <f t="shared" ca="1" si="55"/>
        <v>#NAME?</v>
      </c>
      <c r="T105" s="2" t="e">
        <f ca="1"/>
        <v>#NAME?</v>
      </c>
      <c r="U105" s="2" t="e">
        <f t="shared" ca="1" si="56"/>
        <v>#NAME?</v>
      </c>
      <c r="V105" s="2" t="e">
        <f ca="1"/>
        <v>#NAME?</v>
      </c>
      <c r="W105" s="2" t="e">
        <f t="shared" ca="1" si="57"/>
        <v>#NAME?</v>
      </c>
      <c r="X105" s="2" t="e">
        <f ca="1"/>
        <v>#NAME?</v>
      </c>
      <c r="Y105" s="2" t="e">
        <f t="shared" ca="1" si="58"/>
        <v>#NAME?</v>
      </c>
      <c r="Z105" s="2" t="e">
        <f ca="1"/>
        <v>#NAME?</v>
      </c>
      <c r="AA105" s="2" t="e">
        <f t="shared" ca="1" si="59"/>
        <v>#NAME?</v>
      </c>
      <c r="AB105" s="2" t="e">
        <f ca="1"/>
        <v>#NAME?</v>
      </c>
      <c r="AC105" s="2" t="e">
        <f t="shared" ca="1" si="60"/>
        <v>#NAME?</v>
      </c>
      <c r="AD105" s="2" t="e">
        <f ca="1"/>
        <v>#NAME?</v>
      </c>
      <c r="AE105" s="2" t="e">
        <f t="shared" ca="1" si="61"/>
        <v>#NAME?</v>
      </c>
      <c r="AF105" s="2" t="e">
        <f ca="1"/>
        <v>#NAME?</v>
      </c>
      <c r="AG105" s="2" t="e">
        <f t="shared" ca="1" si="62"/>
        <v>#NAME?</v>
      </c>
      <c r="AH105" s="2" t="e">
        <f ca="1"/>
        <v>#NAME?</v>
      </c>
      <c r="AI105" s="2" t="e">
        <f t="shared" ca="1" si="63"/>
        <v>#NAME?</v>
      </c>
      <c r="AJ105" s="2" t="e">
        <f ca="1"/>
        <v>#NAME?</v>
      </c>
      <c r="AK105" s="2" t="e">
        <f t="shared" ca="1" si="64"/>
        <v>#NAME?</v>
      </c>
      <c r="AL105" s="2" t="e">
        <f ca="1"/>
        <v>#NAME?</v>
      </c>
      <c r="AM105" s="2" t="e">
        <f t="shared" ca="1" si="65"/>
        <v>#NAME?</v>
      </c>
      <c r="AN105" s="2" t="e">
        <f ca="1"/>
        <v>#NAME?</v>
      </c>
      <c r="AO105" s="2" t="e">
        <f t="shared" ca="1" si="66"/>
        <v>#NAME?</v>
      </c>
      <c r="AP105" s="2" t="e">
        <f ca="1"/>
        <v>#NAME?</v>
      </c>
      <c r="AQ105" s="2" t="e">
        <f t="shared" ca="1" si="67"/>
        <v>#NAME?</v>
      </c>
      <c r="AR105" s="2" t="e">
        <f ca="1"/>
        <v>#NAME?</v>
      </c>
      <c r="AS105" s="2" t="e">
        <f t="shared" ca="1" si="68"/>
        <v>#NAME?</v>
      </c>
      <c r="AT105" s="2" t="e">
        <f ca="1"/>
        <v>#NAME?</v>
      </c>
      <c r="AU105" s="2" t="e">
        <f t="shared" ca="1" si="69"/>
        <v>#NAME?</v>
      </c>
      <c r="AV105" s="2" t="e">
        <f ca="1"/>
        <v>#NAME?</v>
      </c>
      <c r="AW105" s="2" t="e">
        <f t="shared" ca="1" si="70"/>
        <v>#NAME?</v>
      </c>
      <c r="AX105" s="2" t="e">
        <f ca="1"/>
        <v>#NAME?</v>
      </c>
      <c r="AY105" s="2" t="e">
        <f t="shared" ca="1" si="71"/>
        <v>#NAME?</v>
      </c>
      <c r="AZ105" s="2" t="e">
        <f ca="1"/>
        <v>#NAME?</v>
      </c>
      <c r="BA105" s="2" t="e">
        <f t="shared" ca="1" si="72"/>
        <v>#NAME?</v>
      </c>
      <c r="BB105" s="2" t="e">
        <f ca="1"/>
        <v>#NAME?</v>
      </c>
      <c r="BC105" s="2" t="e">
        <f t="shared" ca="1" si="73"/>
        <v>#NAME?</v>
      </c>
      <c r="BD105" s="2" t="e">
        <f ca="1"/>
        <v>#NAME?</v>
      </c>
      <c r="BE105" s="2" t="e">
        <f t="shared" ca="1" si="74"/>
        <v>#NAME?</v>
      </c>
      <c r="BF105" s="2" t="e">
        <f ca="1"/>
        <v>#NAME?</v>
      </c>
      <c r="BG105" s="2" t="e">
        <f t="shared" ca="1" si="75"/>
        <v>#NAME?</v>
      </c>
      <c r="BH105" s="2" t="e">
        <f ca="1"/>
        <v>#NAME?</v>
      </c>
      <c r="BI105" s="2" t="e">
        <f t="shared" ca="1" si="76"/>
        <v>#NAME?</v>
      </c>
      <c r="BJ105" s="2" t="e">
        <f ca="1"/>
        <v>#NAME?</v>
      </c>
      <c r="BK105" s="2" t="e">
        <f t="shared" ca="1" si="77"/>
        <v>#NAME?</v>
      </c>
      <c r="BL105" s="2" t="e">
        <f ca="1"/>
        <v>#NAME?</v>
      </c>
      <c r="BM105" s="2" t="e">
        <f t="shared" ca="1" si="78"/>
        <v>#NAME?</v>
      </c>
      <c r="BN105" s="2" t="e">
        <f ca="1"/>
        <v>#NAME?</v>
      </c>
      <c r="BO105" s="2" t="e">
        <f t="shared" ca="1" si="79"/>
        <v>#NAME?</v>
      </c>
      <c r="BP105" s="2" t="e">
        <f ca="1"/>
        <v>#NAME?</v>
      </c>
      <c r="BQ105" s="2" t="e">
        <f t="shared" ca="1" si="80"/>
        <v>#NAME?</v>
      </c>
      <c r="BR105" s="2" t="e">
        <f ca="1"/>
        <v>#NAME?</v>
      </c>
      <c r="BS105" s="2" t="e">
        <f t="shared" ca="1" si="81"/>
        <v>#NAME?</v>
      </c>
      <c r="BT105" s="2" t="e">
        <f ca="1"/>
        <v>#NAME?</v>
      </c>
      <c r="BU105" s="2" t="e">
        <f t="shared" ca="1" si="82"/>
        <v>#NAME?</v>
      </c>
      <c r="BV105" s="2" t="e">
        <f ca="1"/>
        <v>#NAME?</v>
      </c>
      <c r="BW105" s="2" t="e">
        <f t="shared" ca="1" si="83"/>
        <v>#NAME?</v>
      </c>
      <c r="BX105" s="2" t="e">
        <f ca="1"/>
        <v>#NAME?</v>
      </c>
      <c r="BY105" s="2" t="e">
        <f t="shared" ca="1" si="84"/>
        <v>#NAME?</v>
      </c>
      <c r="BZ105" s="2" t="e">
        <f ca="1"/>
        <v>#NAME?</v>
      </c>
      <c r="CA105" s="2" t="e">
        <f t="shared" ca="1" si="85"/>
        <v>#NAME?</v>
      </c>
      <c r="CB105" s="2" t="e">
        <f ca="1"/>
        <v>#NAME?</v>
      </c>
      <c r="CC105" s="2" t="e">
        <f t="shared" ca="1" si="86"/>
        <v>#NAME?</v>
      </c>
      <c r="CD105" s="2" t="e">
        <f ca="1"/>
        <v>#NAME?</v>
      </c>
      <c r="CE105" s="2" t="e">
        <f t="shared" ca="1" si="87"/>
        <v>#NAME?</v>
      </c>
      <c r="CF105" s="2" t="e">
        <f ca="1"/>
        <v>#NAME?</v>
      </c>
      <c r="CG105" s="2" t="e">
        <f t="shared" ca="1" si="88"/>
        <v>#NAME?</v>
      </c>
      <c r="CH105" s="2" t="e">
        <f ca="1"/>
        <v>#NAME?</v>
      </c>
      <c r="CI105" s="2" t="e">
        <f t="shared" ca="1" si="89"/>
        <v>#NAME?</v>
      </c>
      <c r="CJ105" s="2" t="e">
        <f ca="1"/>
        <v>#NAME?</v>
      </c>
      <c r="CK105" s="2" t="e">
        <f t="shared" ca="1" si="90"/>
        <v>#NAME?</v>
      </c>
      <c r="CL105" s="2" t="e">
        <f ca="1"/>
        <v>#NAME?</v>
      </c>
      <c r="CM105" s="2" t="e">
        <f t="shared" ca="1" si="91"/>
        <v>#NAME?</v>
      </c>
      <c r="CN105" s="2" t="e">
        <f ca="1"/>
        <v>#NAME?</v>
      </c>
      <c r="CO105" s="2" t="e">
        <f t="shared" ca="1" si="92"/>
        <v>#NAME?</v>
      </c>
      <c r="CP105" s="2" t="e">
        <f ca="1"/>
        <v>#NAME?</v>
      </c>
      <c r="CQ105" s="2" t="e">
        <f t="shared" ca="1" si="93"/>
        <v>#NAME?</v>
      </c>
    </row>
    <row r="106" spans="1:95">
      <c r="A106" s="7" t="e">
        <f ca="1"/>
        <v>#NAME?</v>
      </c>
      <c r="B106" s="2" t="e">
        <f ca="1"/>
        <v>#NAME?</v>
      </c>
      <c r="C106" s="2" t="e">
        <f t="shared" ca="1" si="47"/>
        <v>#NAME?</v>
      </c>
      <c r="D106" s="2" t="e">
        <f ca="1"/>
        <v>#NAME?</v>
      </c>
      <c r="E106" s="2" t="e">
        <f t="shared" ca="1" si="48"/>
        <v>#NAME?</v>
      </c>
      <c r="F106" s="2" t="e">
        <f ca="1"/>
        <v>#NAME?</v>
      </c>
      <c r="G106" s="2" t="e">
        <f t="shared" ca="1" si="49"/>
        <v>#NAME?</v>
      </c>
      <c r="H106" s="2" t="e">
        <f ca="1"/>
        <v>#NAME?</v>
      </c>
      <c r="I106" s="2" t="e">
        <f t="shared" ca="1" si="50"/>
        <v>#NAME?</v>
      </c>
      <c r="J106" s="2" t="e">
        <f ca="1"/>
        <v>#NAME?</v>
      </c>
      <c r="K106" s="2" t="e">
        <f t="shared" ca="1" si="51"/>
        <v>#NAME?</v>
      </c>
      <c r="L106" s="2" t="e">
        <f ca="1"/>
        <v>#NAME?</v>
      </c>
      <c r="M106" s="2" t="e">
        <f t="shared" ca="1" si="52"/>
        <v>#NAME?</v>
      </c>
      <c r="N106" s="2" t="e">
        <f ca="1"/>
        <v>#NAME?</v>
      </c>
      <c r="O106" s="2" t="e">
        <f t="shared" ca="1" si="53"/>
        <v>#NAME?</v>
      </c>
      <c r="P106" s="2" t="e">
        <f ca="1"/>
        <v>#NAME?</v>
      </c>
      <c r="Q106" s="2" t="e">
        <f t="shared" ca="1" si="54"/>
        <v>#NAME?</v>
      </c>
      <c r="R106" s="2" t="e">
        <f ca="1"/>
        <v>#NAME?</v>
      </c>
      <c r="S106" s="2" t="e">
        <f t="shared" ca="1" si="55"/>
        <v>#NAME?</v>
      </c>
      <c r="T106" s="2" t="e">
        <f ca="1"/>
        <v>#NAME?</v>
      </c>
      <c r="U106" s="2" t="e">
        <f t="shared" ca="1" si="56"/>
        <v>#NAME?</v>
      </c>
      <c r="V106" s="2" t="e">
        <f ca="1"/>
        <v>#NAME?</v>
      </c>
      <c r="W106" s="2" t="e">
        <f t="shared" ca="1" si="57"/>
        <v>#NAME?</v>
      </c>
      <c r="X106" s="2" t="e">
        <f ca="1"/>
        <v>#NAME?</v>
      </c>
      <c r="Y106" s="2" t="e">
        <f t="shared" ca="1" si="58"/>
        <v>#NAME?</v>
      </c>
      <c r="Z106" s="2" t="e">
        <f ca="1"/>
        <v>#NAME?</v>
      </c>
      <c r="AA106" s="2" t="e">
        <f t="shared" ca="1" si="59"/>
        <v>#NAME?</v>
      </c>
      <c r="AB106" s="2" t="e">
        <f ca="1"/>
        <v>#NAME?</v>
      </c>
      <c r="AC106" s="2" t="e">
        <f t="shared" ca="1" si="60"/>
        <v>#NAME?</v>
      </c>
      <c r="AD106" s="2" t="e">
        <f ca="1"/>
        <v>#NAME?</v>
      </c>
      <c r="AE106" s="2" t="e">
        <f t="shared" ca="1" si="61"/>
        <v>#NAME?</v>
      </c>
      <c r="AF106" s="2" t="e">
        <f ca="1"/>
        <v>#NAME?</v>
      </c>
      <c r="AG106" s="2" t="e">
        <f t="shared" ca="1" si="62"/>
        <v>#NAME?</v>
      </c>
      <c r="AH106" s="2" t="e">
        <f ca="1"/>
        <v>#NAME?</v>
      </c>
      <c r="AI106" s="2" t="e">
        <f t="shared" ca="1" si="63"/>
        <v>#NAME?</v>
      </c>
      <c r="AJ106" s="2" t="e">
        <f ca="1"/>
        <v>#NAME?</v>
      </c>
      <c r="AK106" s="2" t="e">
        <f t="shared" ca="1" si="64"/>
        <v>#NAME?</v>
      </c>
      <c r="AL106" s="2" t="e">
        <f ca="1"/>
        <v>#NAME?</v>
      </c>
      <c r="AM106" s="2" t="e">
        <f t="shared" ca="1" si="65"/>
        <v>#NAME?</v>
      </c>
      <c r="AN106" s="2" t="e">
        <f ca="1"/>
        <v>#NAME?</v>
      </c>
      <c r="AO106" s="2" t="e">
        <f t="shared" ca="1" si="66"/>
        <v>#NAME?</v>
      </c>
      <c r="AP106" s="2" t="e">
        <f ca="1"/>
        <v>#NAME?</v>
      </c>
      <c r="AQ106" s="2" t="e">
        <f t="shared" ca="1" si="67"/>
        <v>#NAME?</v>
      </c>
      <c r="AR106" s="2" t="e">
        <f ca="1"/>
        <v>#NAME?</v>
      </c>
      <c r="AS106" s="2" t="e">
        <f t="shared" ca="1" si="68"/>
        <v>#NAME?</v>
      </c>
      <c r="AT106" s="2" t="e">
        <f ca="1"/>
        <v>#NAME?</v>
      </c>
      <c r="AU106" s="2" t="e">
        <f t="shared" ca="1" si="69"/>
        <v>#NAME?</v>
      </c>
      <c r="AV106" s="2" t="e">
        <f ca="1"/>
        <v>#NAME?</v>
      </c>
      <c r="AW106" s="2" t="e">
        <f t="shared" ca="1" si="70"/>
        <v>#NAME?</v>
      </c>
      <c r="AX106" s="2" t="e">
        <f ca="1"/>
        <v>#NAME?</v>
      </c>
      <c r="AY106" s="2" t="e">
        <f t="shared" ca="1" si="71"/>
        <v>#NAME?</v>
      </c>
      <c r="AZ106" s="2" t="e">
        <f ca="1"/>
        <v>#NAME?</v>
      </c>
      <c r="BA106" s="2" t="e">
        <f t="shared" ca="1" si="72"/>
        <v>#NAME?</v>
      </c>
      <c r="BB106" s="2" t="e">
        <f ca="1"/>
        <v>#NAME?</v>
      </c>
      <c r="BC106" s="2" t="e">
        <f t="shared" ca="1" si="73"/>
        <v>#NAME?</v>
      </c>
      <c r="BD106" s="2" t="e">
        <f ca="1"/>
        <v>#NAME?</v>
      </c>
      <c r="BE106" s="2" t="e">
        <f t="shared" ca="1" si="74"/>
        <v>#NAME?</v>
      </c>
      <c r="BF106" s="2" t="e">
        <f ca="1"/>
        <v>#NAME?</v>
      </c>
      <c r="BG106" s="2" t="e">
        <f t="shared" ca="1" si="75"/>
        <v>#NAME?</v>
      </c>
      <c r="BH106" s="2" t="e">
        <f ca="1"/>
        <v>#NAME?</v>
      </c>
      <c r="BI106" s="2" t="e">
        <f t="shared" ca="1" si="76"/>
        <v>#NAME?</v>
      </c>
      <c r="BJ106" s="2" t="e">
        <f ca="1"/>
        <v>#NAME?</v>
      </c>
      <c r="BK106" s="2" t="e">
        <f t="shared" ca="1" si="77"/>
        <v>#NAME?</v>
      </c>
      <c r="BL106" s="2" t="e">
        <f ca="1"/>
        <v>#NAME?</v>
      </c>
      <c r="BM106" s="2" t="e">
        <f t="shared" ca="1" si="78"/>
        <v>#NAME?</v>
      </c>
      <c r="BN106" s="2" t="e">
        <f ca="1"/>
        <v>#NAME?</v>
      </c>
      <c r="BO106" s="2" t="e">
        <f t="shared" ca="1" si="79"/>
        <v>#NAME?</v>
      </c>
      <c r="BP106" s="2" t="e">
        <f ca="1"/>
        <v>#NAME?</v>
      </c>
      <c r="BQ106" s="2" t="e">
        <f t="shared" ca="1" si="80"/>
        <v>#NAME?</v>
      </c>
      <c r="BR106" s="2" t="e">
        <f ca="1"/>
        <v>#NAME?</v>
      </c>
      <c r="BS106" s="2" t="e">
        <f t="shared" ca="1" si="81"/>
        <v>#NAME?</v>
      </c>
      <c r="BT106" s="2" t="e">
        <f ca="1"/>
        <v>#NAME?</v>
      </c>
      <c r="BU106" s="2" t="e">
        <f t="shared" ca="1" si="82"/>
        <v>#NAME?</v>
      </c>
      <c r="BV106" s="2" t="e">
        <f ca="1"/>
        <v>#NAME?</v>
      </c>
      <c r="BW106" s="2" t="e">
        <f t="shared" ca="1" si="83"/>
        <v>#NAME?</v>
      </c>
      <c r="BX106" s="2" t="e">
        <f ca="1"/>
        <v>#NAME?</v>
      </c>
      <c r="BY106" s="2" t="e">
        <f t="shared" ca="1" si="84"/>
        <v>#NAME?</v>
      </c>
      <c r="BZ106" s="2" t="e">
        <f ca="1"/>
        <v>#NAME?</v>
      </c>
      <c r="CA106" s="2" t="e">
        <f t="shared" ca="1" si="85"/>
        <v>#NAME?</v>
      </c>
      <c r="CB106" s="2" t="e">
        <f ca="1"/>
        <v>#NAME?</v>
      </c>
      <c r="CC106" s="2" t="e">
        <f t="shared" ca="1" si="86"/>
        <v>#NAME?</v>
      </c>
      <c r="CD106" s="2" t="e">
        <f ca="1"/>
        <v>#NAME?</v>
      </c>
      <c r="CE106" s="2" t="e">
        <f t="shared" ca="1" si="87"/>
        <v>#NAME?</v>
      </c>
      <c r="CF106" s="2" t="e">
        <f ca="1"/>
        <v>#NAME?</v>
      </c>
      <c r="CG106" s="2" t="e">
        <f t="shared" ca="1" si="88"/>
        <v>#NAME?</v>
      </c>
      <c r="CH106" s="2" t="e">
        <f ca="1"/>
        <v>#NAME?</v>
      </c>
      <c r="CI106" s="2" t="e">
        <f t="shared" ca="1" si="89"/>
        <v>#NAME?</v>
      </c>
      <c r="CJ106" s="2" t="e">
        <f ca="1"/>
        <v>#NAME?</v>
      </c>
      <c r="CK106" s="2" t="e">
        <f t="shared" ca="1" si="90"/>
        <v>#NAME?</v>
      </c>
      <c r="CL106" s="2" t="e">
        <f ca="1"/>
        <v>#NAME?</v>
      </c>
      <c r="CM106" s="2" t="e">
        <f t="shared" ca="1" si="91"/>
        <v>#NAME?</v>
      </c>
      <c r="CN106" s="2" t="e">
        <f ca="1"/>
        <v>#NAME?</v>
      </c>
      <c r="CO106" s="2" t="e">
        <f t="shared" ca="1" si="92"/>
        <v>#NAME?</v>
      </c>
      <c r="CP106" s="2" t="e">
        <f ca="1"/>
        <v>#NAME?</v>
      </c>
      <c r="CQ106" s="2" t="e">
        <f t="shared" ca="1" si="93"/>
        <v>#NAME?</v>
      </c>
    </row>
    <row r="107" spans="1:95">
      <c r="A107" s="7" t="e">
        <f ca="1"/>
        <v>#NAME?</v>
      </c>
      <c r="B107" s="2" t="e">
        <f ca="1"/>
        <v>#NAME?</v>
      </c>
      <c r="C107" s="2" t="e">
        <f t="shared" ca="1" si="47"/>
        <v>#NAME?</v>
      </c>
      <c r="D107" s="2" t="e">
        <f ca="1"/>
        <v>#NAME?</v>
      </c>
      <c r="E107" s="2" t="e">
        <f t="shared" ca="1" si="48"/>
        <v>#NAME?</v>
      </c>
      <c r="F107" s="2" t="e">
        <f ca="1"/>
        <v>#NAME?</v>
      </c>
      <c r="G107" s="2" t="e">
        <f t="shared" ca="1" si="49"/>
        <v>#NAME?</v>
      </c>
      <c r="H107" s="2" t="e">
        <f ca="1"/>
        <v>#NAME?</v>
      </c>
      <c r="I107" s="2" t="e">
        <f t="shared" ca="1" si="50"/>
        <v>#NAME?</v>
      </c>
      <c r="J107" s="2" t="e">
        <f ca="1"/>
        <v>#NAME?</v>
      </c>
      <c r="K107" s="2" t="e">
        <f t="shared" ca="1" si="51"/>
        <v>#NAME?</v>
      </c>
      <c r="L107" s="2" t="e">
        <f ca="1"/>
        <v>#NAME?</v>
      </c>
      <c r="M107" s="2" t="e">
        <f t="shared" ca="1" si="52"/>
        <v>#NAME?</v>
      </c>
      <c r="N107" s="2" t="e">
        <f ca="1"/>
        <v>#NAME?</v>
      </c>
      <c r="O107" s="2" t="e">
        <f t="shared" ca="1" si="53"/>
        <v>#NAME?</v>
      </c>
      <c r="P107" s="2" t="e">
        <f ca="1"/>
        <v>#NAME?</v>
      </c>
      <c r="Q107" s="2" t="e">
        <f t="shared" ca="1" si="54"/>
        <v>#NAME?</v>
      </c>
      <c r="R107" s="2" t="e">
        <f ca="1"/>
        <v>#NAME?</v>
      </c>
      <c r="S107" s="2" t="e">
        <f t="shared" ca="1" si="55"/>
        <v>#NAME?</v>
      </c>
      <c r="T107" s="2" t="e">
        <f ca="1"/>
        <v>#NAME?</v>
      </c>
      <c r="U107" s="2" t="e">
        <f t="shared" ca="1" si="56"/>
        <v>#NAME?</v>
      </c>
      <c r="V107" s="2" t="e">
        <f ca="1"/>
        <v>#NAME?</v>
      </c>
      <c r="W107" s="2" t="e">
        <f t="shared" ca="1" si="57"/>
        <v>#NAME?</v>
      </c>
      <c r="X107" s="2" t="e">
        <f ca="1"/>
        <v>#NAME?</v>
      </c>
      <c r="Y107" s="2" t="e">
        <f t="shared" ca="1" si="58"/>
        <v>#NAME?</v>
      </c>
      <c r="Z107" s="2" t="e">
        <f ca="1"/>
        <v>#NAME?</v>
      </c>
      <c r="AA107" s="2" t="e">
        <f t="shared" ca="1" si="59"/>
        <v>#NAME?</v>
      </c>
      <c r="AB107" s="2" t="e">
        <f ca="1"/>
        <v>#NAME?</v>
      </c>
      <c r="AC107" s="2" t="e">
        <f t="shared" ca="1" si="60"/>
        <v>#NAME?</v>
      </c>
      <c r="AD107" s="2" t="e">
        <f ca="1"/>
        <v>#NAME?</v>
      </c>
      <c r="AE107" s="2" t="e">
        <f t="shared" ca="1" si="61"/>
        <v>#NAME?</v>
      </c>
      <c r="AF107" s="2" t="e">
        <f ca="1"/>
        <v>#NAME?</v>
      </c>
      <c r="AG107" s="2" t="e">
        <f t="shared" ca="1" si="62"/>
        <v>#NAME?</v>
      </c>
      <c r="AH107" s="2" t="e">
        <f ca="1"/>
        <v>#NAME?</v>
      </c>
      <c r="AI107" s="2" t="e">
        <f t="shared" ca="1" si="63"/>
        <v>#NAME?</v>
      </c>
      <c r="AJ107" s="2" t="e">
        <f ca="1"/>
        <v>#NAME?</v>
      </c>
      <c r="AK107" s="2" t="e">
        <f t="shared" ca="1" si="64"/>
        <v>#NAME?</v>
      </c>
      <c r="AL107" s="2" t="e">
        <f ca="1"/>
        <v>#NAME?</v>
      </c>
      <c r="AM107" s="2" t="e">
        <f t="shared" ca="1" si="65"/>
        <v>#NAME?</v>
      </c>
      <c r="AN107" s="2" t="e">
        <f ca="1"/>
        <v>#NAME?</v>
      </c>
      <c r="AO107" s="2" t="e">
        <f t="shared" ca="1" si="66"/>
        <v>#NAME?</v>
      </c>
      <c r="AP107" s="2" t="e">
        <f ca="1"/>
        <v>#NAME?</v>
      </c>
      <c r="AQ107" s="2" t="e">
        <f t="shared" ca="1" si="67"/>
        <v>#NAME?</v>
      </c>
      <c r="AR107" s="2" t="e">
        <f ca="1"/>
        <v>#NAME?</v>
      </c>
      <c r="AS107" s="2" t="e">
        <f t="shared" ca="1" si="68"/>
        <v>#NAME?</v>
      </c>
      <c r="AT107" s="2" t="e">
        <f ca="1"/>
        <v>#NAME?</v>
      </c>
      <c r="AU107" s="2" t="e">
        <f t="shared" ca="1" si="69"/>
        <v>#NAME?</v>
      </c>
      <c r="AV107" s="2" t="e">
        <f ca="1"/>
        <v>#NAME?</v>
      </c>
      <c r="AW107" s="2" t="e">
        <f t="shared" ca="1" si="70"/>
        <v>#NAME?</v>
      </c>
      <c r="AX107" s="2" t="e">
        <f ca="1"/>
        <v>#NAME?</v>
      </c>
      <c r="AY107" s="2" t="e">
        <f t="shared" ca="1" si="71"/>
        <v>#NAME?</v>
      </c>
      <c r="AZ107" s="2" t="e">
        <f ca="1"/>
        <v>#NAME?</v>
      </c>
      <c r="BA107" s="2" t="e">
        <f t="shared" ca="1" si="72"/>
        <v>#NAME?</v>
      </c>
      <c r="BB107" s="2" t="e">
        <f ca="1"/>
        <v>#NAME?</v>
      </c>
      <c r="BC107" s="2" t="e">
        <f t="shared" ca="1" si="73"/>
        <v>#NAME?</v>
      </c>
      <c r="BD107" s="2" t="e">
        <f ca="1"/>
        <v>#NAME?</v>
      </c>
      <c r="BE107" s="2" t="e">
        <f t="shared" ca="1" si="74"/>
        <v>#NAME?</v>
      </c>
      <c r="BF107" s="2" t="e">
        <f ca="1"/>
        <v>#NAME?</v>
      </c>
      <c r="BG107" s="2" t="e">
        <f t="shared" ca="1" si="75"/>
        <v>#NAME?</v>
      </c>
      <c r="BH107" s="2" t="e">
        <f ca="1"/>
        <v>#NAME?</v>
      </c>
      <c r="BI107" s="2" t="e">
        <f t="shared" ca="1" si="76"/>
        <v>#NAME?</v>
      </c>
      <c r="BJ107" s="2" t="e">
        <f ca="1"/>
        <v>#NAME?</v>
      </c>
      <c r="BK107" s="2" t="e">
        <f t="shared" ca="1" si="77"/>
        <v>#NAME?</v>
      </c>
      <c r="BL107" s="2" t="e">
        <f ca="1"/>
        <v>#NAME?</v>
      </c>
      <c r="BM107" s="2" t="e">
        <f t="shared" ca="1" si="78"/>
        <v>#NAME?</v>
      </c>
      <c r="BN107" s="2" t="e">
        <f ca="1"/>
        <v>#NAME?</v>
      </c>
      <c r="BO107" s="2" t="e">
        <f t="shared" ca="1" si="79"/>
        <v>#NAME?</v>
      </c>
      <c r="BP107" s="2" t="e">
        <f ca="1"/>
        <v>#NAME?</v>
      </c>
      <c r="BQ107" s="2" t="e">
        <f t="shared" ca="1" si="80"/>
        <v>#NAME?</v>
      </c>
      <c r="BR107" s="2" t="e">
        <f ca="1"/>
        <v>#NAME?</v>
      </c>
      <c r="BS107" s="2" t="e">
        <f t="shared" ca="1" si="81"/>
        <v>#NAME?</v>
      </c>
      <c r="BT107" s="2" t="e">
        <f ca="1"/>
        <v>#NAME?</v>
      </c>
      <c r="BU107" s="2" t="e">
        <f t="shared" ca="1" si="82"/>
        <v>#NAME?</v>
      </c>
      <c r="BV107" s="2" t="e">
        <f ca="1"/>
        <v>#NAME?</v>
      </c>
      <c r="BW107" s="2" t="e">
        <f t="shared" ca="1" si="83"/>
        <v>#NAME?</v>
      </c>
      <c r="BX107" s="2" t="e">
        <f ca="1"/>
        <v>#NAME?</v>
      </c>
      <c r="BY107" s="2" t="e">
        <f t="shared" ca="1" si="84"/>
        <v>#NAME?</v>
      </c>
      <c r="BZ107" s="2" t="e">
        <f ca="1"/>
        <v>#NAME?</v>
      </c>
      <c r="CA107" s="2" t="e">
        <f t="shared" ca="1" si="85"/>
        <v>#NAME?</v>
      </c>
      <c r="CB107" s="2" t="e">
        <f ca="1"/>
        <v>#NAME?</v>
      </c>
      <c r="CC107" s="2" t="e">
        <f t="shared" ca="1" si="86"/>
        <v>#NAME?</v>
      </c>
      <c r="CD107" s="2" t="e">
        <f ca="1"/>
        <v>#NAME?</v>
      </c>
      <c r="CE107" s="2" t="e">
        <f t="shared" ca="1" si="87"/>
        <v>#NAME?</v>
      </c>
      <c r="CF107" s="2" t="e">
        <f ca="1"/>
        <v>#NAME?</v>
      </c>
      <c r="CG107" s="2" t="e">
        <f t="shared" ca="1" si="88"/>
        <v>#NAME?</v>
      </c>
      <c r="CH107" s="2" t="e">
        <f ca="1"/>
        <v>#NAME?</v>
      </c>
      <c r="CI107" s="2" t="e">
        <f t="shared" ca="1" si="89"/>
        <v>#NAME?</v>
      </c>
      <c r="CJ107" s="2" t="e">
        <f ca="1"/>
        <v>#NAME?</v>
      </c>
      <c r="CK107" s="2" t="e">
        <f t="shared" ca="1" si="90"/>
        <v>#NAME?</v>
      </c>
      <c r="CL107" s="2" t="e">
        <f ca="1"/>
        <v>#NAME?</v>
      </c>
      <c r="CM107" s="2" t="e">
        <f t="shared" ca="1" si="91"/>
        <v>#NAME?</v>
      </c>
      <c r="CN107" s="2" t="e">
        <f ca="1"/>
        <v>#NAME?</v>
      </c>
      <c r="CO107" s="2" t="e">
        <f t="shared" ca="1" si="92"/>
        <v>#NAME?</v>
      </c>
      <c r="CP107" s="2" t="e">
        <f ca="1"/>
        <v>#NAME?</v>
      </c>
      <c r="CQ107" s="2" t="e">
        <f t="shared" ca="1" si="93"/>
        <v>#NAME?</v>
      </c>
    </row>
    <row r="108" spans="1:95">
      <c r="A108" s="7" t="e">
        <f ca="1"/>
        <v>#NAME?</v>
      </c>
      <c r="B108" s="2" t="e">
        <f ca="1"/>
        <v>#NAME?</v>
      </c>
      <c r="C108" s="2" t="e">
        <f t="shared" ca="1" si="47"/>
        <v>#NAME?</v>
      </c>
      <c r="D108" s="2" t="e">
        <f ca="1"/>
        <v>#NAME?</v>
      </c>
      <c r="E108" s="2" t="e">
        <f t="shared" ca="1" si="48"/>
        <v>#NAME?</v>
      </c>
      <c r="F108" s="2" t="e">
        <f ca="1"/>
        <v>#NAME?</v>
      </c>
      <c r="G108" s="2" t="e">
        <f t="shared" ca="1" si="49"/>
        <v>#NAME?</v>
      </c>
      <c r="H108" s="2" t="e">
        <f ca="1"/>
        <v>#NAME?</v>
      </c>
      <c r="I108" s="2" t="e">
        <f t="shared" ca="1" si="50"/>
        <v>#NAME?</v>
      </c>
      <c r="J108" s="2" t="e">
        <f ca="1"/>
        <v>#NAME?</v>
      </c>
      <c r="K108" s="2" t="e">
        <f t="shared" ca="1" si="51"/>
        <v>#NAME?</v>
      </c>
      <c r="L108" s="2" t="e">
        <f ca="1"/>
        <v>#NAME?</v>
      </c>
      <c r="M108" s="2" t="e">
        <f t="shared" ca="1" si="52"/>
        <v>#NAME?</v>
      </c>
      <c r="N108" s="2" t="e">
        <f ca="1"/>
        <v>#NAME?</v>
      </c>
      <c r="O108" s="2" t="e">
        <f t="shared" ca="1" si="53"/>
        <v>#NAME?</v>
      </c>
      <c r="P108" s="2" t="e">
        <f ca="1"/>
        <v>#NAME?</v>
      </c>
      <c r="Q108" s="2" t="e">
        <f t="shared" ca="1" si="54"/>
        <v>#NAME?</v>
      </c>
      <c r="R108" s="2" t="e">
        <f ca="1"/>
        <v>#NAME?</v>
      </c>
      <c r="S108" s="2" t="e">
        <f t="shared" ca="1" si="55"/>
        <v>#NAME?</v>
      </c>
      <c r="T108" s="2" t="e">
        <f ca="1"/>
        <v>#NAME?</v>
      </c>
      <c r="U108" s="2" t="e">
        <f t="shared" ca="1" si="56"/>
        <v>#NAME?</v>
      </c>
      <c r="V108" s="2" t="e">
        <f ca="1"/>
        <v>#NAME?</v>
      </c>
      <c r="W108" s="2" t="e">
        <f t="shared" ca="1" si="57"/>
        <v>#NAME?</v>
      </c>
      <c r="X108" s="2" t="e">
        <f ca="1"/>
        <v>#NAME?</v>
      </c>
      <c r="Y108" s="2" t="e">
        <f t="shared" ca="1" si="58"/>
        <v>#NAME?</v>
      </c>
      <c r="Z108" s="2" t="e">
        <f ca="1"/>
        <v>#NAME?</v>
      </c>
      <c r="AA108" s="2" t="e">
        <f t="shared" ca="1" si="59"/>
        <v>#NAME?</v>
      </c>
      <c r="AB108" s="2" t="e">
        <f ca="1"/>
        <v>#NAME?</v>
      </c>
      <c r="AC108" s="2" t="e">
        <f t="shared" ca="1" si="60"/>
        <v>#NAME?</v>
      </c>
      <c r="AD108" s="2" t="e">
        <f ca="1"/>
        <v>#NAME?</v>
      </c>
      <c r="AE108" s="2" t="e">
        <f t="shared" ca="1" si="61"/>
        <v>#NAME?</v>
      </c>
      <c r="AF108" s="2" t="e">
        <f ca="1"/>
        <v>#NAME?</v>
      </c>
      <c r="AG108" s="2" t="e">
        <f t="shared" ca="1" si="62"/>
        <v>#NAME?</v>
      </c>
      <c r="AH108" s="2" t="e">
        <f ca="1"/>
        <v>#NAME?</v>
      </c>
      <c r="AI108" s="2" t="e">
        <f t="shared" ca="1" si="63"/>
        <v>#NAME?</v>
      </c>
      <c r="AJ108" s="2" t="e">
        <f ca="1"/>
        <v>#NAME?</v>
      </c>
      <c r="AK108" s="2" t="e">
        <f t="shared" ca="1" si="64"/>
        <v>#NAME?</v>
      </c>
      <c r="AL108" s="2" t="e">
        <f ca="1"/>
        <v>#NAME?</v>
      </c>
      <c r="AM108" s="2" t="e">
        <f t="shared" ca="1" si="65"/>
        <v>#NAME?</v>
      </c>
      <c r="AN108" s="2" t="e">
        <f ca="1"/>
        <v>#NAME?</v>
      </c>
      <c r="AO108" s="2" t="e">
        <f t="shared" ca="1" si="66"/>
        <v>#NAME?</v>
      </c>
      <c r="AP108" s="2" t="e">
        <f ca="1"/>
        <v>#NAME?</v>
      </c>
      <c r="AQ108" s="2" t="e">
        <f t="shared" ca="1" si="67"/>
        <v>#NAME?</v>
      </c>
      <c r="AR108" s="2" t="e">
        <f ca="1"/>
        <v>#NAME?</v>
      </c>
      <c r="AS108" s="2" t="e">
        <f t="shared" ca="1" si="68"/>
        <v>#NAME?</v>
      </c>
      <c r="AT108" s="2" t="e">
        <f ca="1"/>
        <v>#NAME?</v>
      </c>
      <c r="AU108" s="2" t="e">
        <f t="shared" ca="1" si="69"/>
        <v>#NAME?</v>
      </c>
      <c r="AV108" s="2" t="e">
        <f ca="1"/>
        <v>#NAME?</v>
      </c>
      <c r="AW108" s="2" t="e">
        <f t="shared" ca="1" si="70"/>
        <v>#NAME?</v>
      </c>
      <c r="AX108" s="2" t="e">
        <f ca="1"/>
        <v>#NAME?</v>
      </c>
      <c r="AY108" s="2" t="e">
        <f t="shared" ca="1" si="71"/>
        <v>#NAME?</v>
      </c>
      <c r="AZ108" s="2" t="e">
        <f ca="1"/>
        <v>#NAME?</v>
      </c>
      <c r="BA108" s="2" t="e">
        <f t="shared" ca="1" si="72"/>
        <v>#NAME?</v>
      </c>
      <c r="BB108" s="2" t="e">
        <f ca="1"/>
        <v>#NAME?</v>
      </c>
      <c r="BC108" s="2" t="e">
        <f t="shared" ca="1" si="73"/>
        <v>#NAME?</v>
      </c>
      <c r="BD108" s="2" t="e">
        <f ca="1"/>
        <v>#NAME?</v>
      </c>
      <c r="BE108" s="2" t="e">
        <f t="shared" ca="1" si="74"/>
        <v>#NAME?</v>
      </c>
      <c r="BF108" s="2" t="e">
        <f ca="1"/>
        <v>#NAME?</v>
      </c>
      <c r="BG108" s="2" t="e">
        <f t="shared" ca="1" si="75"/>
        <v>#NAME?</v>
      </c>
      <c r="BH108" s="2" t="e">
        <f ca="1"/>
        <v>#NAME?</v>
      </c>
      <c r="BI108" s="2" t="e">
        <f t="shared" ca="1" si="76"/>
        <v>#NAME?</v>
      </c>
      <c r="BJ108" s="2" t="e">
        <f ca="1"/>
        <v>#NAME?</v>
      </c>
      <c r="BK108" s="2" t="e">
        <f t="shared" ca="1" si="77"/>
        <v>#NAME?</v>
      </c>
      <c r="BL108" s="2" t="e">
        <f ca="1"/>
        <v>#NAME?</v>
      </c>
      <c r="BM108" s="2" t="e">
        <f t="shared" ca="1" si="78"/>
        <v>#NAME?</v>
      </c>
      <c r="BN108" s="2" t="e">
        <f ca="1"/>
        <v>#NAME?</v>
      </c>
      <c r="BO108" s="2" t="e">
        <f t="shared" ca="1" si="79"/>
        <v>#NAME?</v>
      </c>
      <c r="BP108" s="2" t="e">
        <f ca="1"/>
        <v>#NAME?</v>
      </c>
      <c r="BQ108" s="2" t="e">
        <f t="shared" ca="1" si="80"/>
        <v>#NAME?</v>
      </c>
      <c r="BR108" s="2" t="e">
        <f ca="1"/>
        <v>#NAME?</v>
      </c>
      <c r="BS108" s="2" t="e">
        <f t="shared" ca="1" si="81"/>
        <v>#NAME?</v>
      </c>
      <c r="BT108" s="2" t="e">
        <f ca="1"/>
        <v>#NAME?</v>
      </c>
      <c r="BU108" s="2" t="e">
        <f t="shared" ca="1" si="82"/>
        <v>#NAME?</v>
      </c>
      <c r="BV108" s="2" t="e">
        <f ca="1"/>
        <v>#NAME?</v>
      </c>
      <c r="BW108" s="2" t="e">
        <f t="shared" ca="1" si="83"/>
        <v>#NAME?</v>
      </c>
      <c r="BX108" s="2" t="e">
        <f ca="1"/>
        <v>#NAME?</v>
      </c>
      <c r="BY108" s="2" t="e">
        <f t="shared" ca="1" si="84"/>
        <v>#NAME?</v>
      </c>
      <c r="BZ108" s="2" t="e">
        <f ca="1"/>
        <v>#NAME?</v>
      </c>
      <c r="CA108" s="2" t="e">
        <f t="shared" ca="1" si="85"/>
        <v>#NAME?</v>
      </c>
      <c r="CB108" s="2" t="e">
        <f ca="1"/>
        <v>#NAME?</v>
      </c>
      <c r="CC108" s="2" t="e">
        <f t="shared" ca="1" si="86"/>
        <v>#NAME?</v>
      </c>
      <c r="CD108" s="2" t="e">
        <f ca="1"/>
        <v>#NAME?</v>
      </c>
      <c r="CE108" s="2" t="e">
        <f t="shared" ca="1" si="87"/>
        <v>#NAME?</v>
      </c>
      <c r="CF108" s="2" t="e">
        <f ca="1"/>
        <v>#NAME?</v>
      </c>
      <c r="CG108" s="2" t="e">
        <f t="shared" ca="1" si="88"/>
        <v>#NAME?</v>
      </c>
      <c r="CH108" s="2" t="e">
        <f ca="1"/>
        <v>#NAME?</v>
      </c>
      <c r="CI108" s="2" t="e">
        <f t="shared" ca="1" si="89"/>
        <v>#NAME?</v>
      </c>
      <c r="CJ108" s="2" t="e">
        <f ca="1"/>
        <v>#NAME?</v>
      </c>
      <c r="CK108" s="2" t="e">
        <f t="shared" ca="1" si="90"/>
        <v>#NAME?</v>
      </c>
      <c r="CL108" s="2" t="e">
        <f ca="1"/>
        <v>#NAME?</v>
      </c>
      <c r="CM108" s="2" t="e">
        <f t="shared" ca="1" si="91"/>
        <v>#NAME?</v>
      </c>
      <c r="CN108" s="2" t="e">
        <f ca="1"/>
        <v>#NAME?</v>
      </c>
      <c r="CO108" s="2" t="e">
        <f t="shared" ca="1" si="92"/>
        <v>#NAME?</v>
      </c>
      <c r="CP108" s="2" t="e">
        <f ca="1"/>
        <v>#NAME?</v>
      </c>
      <c r="CQ108" s="2" t="e">
        <f t="shared" ca="1" si="93"/>
        <v>#NAME?</v>
      </c>
    </row>
    <row r="109" spans="1:95">
      <c r="A109" s="7" t="e">
        <f ca="1"/>
        <v>#NAME?</v>
      </c>
      <c r="B109" s="2" t="e">
        <f ca="1"/>
        <v>#NAME?</v>
      </c>
      <c r="C109" s="2" t="e">
        <f t="shared" ca="1" si="47"/>
        <v>#NAME?</v>
      </c>
      <c r="D109" s="2" t="e">
        <f ca="1"/>
        <v>#NAME?</v>
      </c>
      <c r="E109" s="2" t="e">
        <f t="shared" ca="1" si="48"/>
        <v>#NAME?</v>
      </c>
      <c r="F109" s="2" t="e">
        <f ca="1"/>
        <v>#NAME?</v>
      </c>
      <c r="G109" s="2" t="e">
        <f t="shared" ca="1" si="49"/>
        <v>#NAME?</v>
      </c>
      <c r="H109" s="2" t="e">
        <f ca="1"/>
        <v>#NAME?</v>
      </c>
      <c r="I109" s="2" t="e">
        <f t="shared" ca="1" si="50"/>
        <v>#NAME?</v>
      </c>
      <c r="J109" s="2" t="e">
        <f ca="1"/>
        <v>#NAME?</v>
      </c>
      <c r="K109" s="2" t="e">
        <f t="shared" ca="1" si="51"/>
        <v>#NAME?</v>
      </c>
      <c r="L109" s="2" t="e">
        <f ca="1"/>
        <v>#NAME?</v>
      </c>
      <c r="M109" s="2" t="e">
        <f t="shared" ca="1" si="52"/>
        <v>#NAME?</v>
      </c>
      <c r="N109" s="2" t="e">
        <f ca="1"/>
        <v>#NAME?</v>
      </c>
      <c r="O109" s="2" t="e">
        <f t="shared" ca="1" si="53"/>
        <v>#NAME?</v>
      </c>
      <c r="P109" s="2" t="e">
        <f ca="1"/>
        <v>#NAME?</v>
      </c>
      <c r="Q109" s="2" t="e">
        <f t="shared" ca="1" si="54"/>
        <v>#NAME?</v>
      </c>
      <c r="R109" s="2" t="e">
        <f ca="1"/>
        <v>#NAME?</v>
      </c>
      <c r="S109" s="2" t="e">
        <f t="shared" ca="1" si="55"/>
        <v>#NAME?</v>
      </c>
      <c r="T109" s="2" t="e">
        <f ca="1"/>
        <v>#NAME?</v>
      </c>
      <c r="U109" s="2" t="e">
        <f t="shared" ca="1" si="56"/>
        <v>#NAME?</v>
      </c>
      <c r="V109" s="2" t="e">
        <f ca="1"/>
        <v>#NAME?</v>
      </c>
      <c r="W109" s="2" t="e">
        <f t="shared" ca="1" si="57"/>
        <v>#NAME?</v>
      </c>
      <c r="X109" s="2" t="e">
        <f ca="1"/>
        <v>#NAME?</v>
      </c>
      <c r="Y109" s="2" t="e">
        <f t="shared" ca="1" si="58"/>
        <v>#NAME?</v>
      </c>
      <c r="Z109" s="2" t="e">
        <f ca="1"/>
        <v>#NAME?</v>
      </c>
      <c r="AA109" s="2" t="e">
        <f t="shared" ca="1" si="59"/>
        <v>#NAME?</v>
      </c>
      <c r="AB109" s="2" t="e">
        <f ca="1"/>
        <v>#NAME?</v>
      </c>
      <c r="AC109" s="2" t="e">
        <f t="shared" ca="1" si="60"/>
        <v>#NAME?</v>
      </c>
      <c r="AD109" s="2" t="e">
        <f ca="1"/>
        <v>#NAME?</v>
      </c>
      <c r="AE109" s="2" t="e">
        <f t="shared" ca="1" si="61"/>
        <v>#NAME?</v>
      </c>
      <c r="AF109" s="2" t="e">
        <f ca="1"/>
        <v>#NAME?</v>
      </c>
      <c r="AG109" s="2" t="e">
        <f t="shared" ca="1" si="62"/>
        <v>#NAME?</v>
      </c>
      <c r="AH109" s="2" t="e">
        <f ca="1"/>
        <v>#NAME?</v>
      </c>
      <c r="AI109" s="2" t="e">
        <f t="shared" ca="1" si="63"/>
        <v>#NAME?</v>
      </c>
      <c r="AJ109" s="2" t="e">
        <f ca="1"/>
        <v>#NAME?</v>
      </c>
      <c r="AK109" s="2" t="e">
        <f t="shared" ca="1" si="64"/>
        <v>#NAME?</v>
      </c>
      <c r="AL109" s="2" t="e">
        <f ca="1"/>
        <v>#NAME?</v>
      </c>
      <c r="AM109" s="2" t="e">
        <f t="shared" ca="1" si="65"/>
        <v>#NAME?</v>
      </c>
      <c r="AN109" s="2" t="e">
        <f ca="1"/>
        <v>#NAME?</v>
      </c>
      <c r="AO109" s="2" t="e">
        <f t="shared" ca="1" si="66"/>
        <v>#NAME?</v>
      </c>
      <c r="AP109" s="2" t="e">
        <f ca="1"/>
        <v>#NAME?</v>
      </c>
      <c r="AQ109" s="2" t="e">
        <f t="shared" ca="1" si="67"/>
        <v>#NAME?</v>
      </c>
      <c r="AR109" s="2" t="e">
        <f ca="1"/>
        <v>#NAME?</v>
      </c>
      <c r="AS109" s="2" t="e">
        <f t="shared" ca="1" si="68"/>
        <v>#NAME?</v>
      </c>
      <c r="AT109" s="2" t="e">
        <f ca="1"/>
        <v>#NAME?</v>
      </c>
      <c r="AU109" s="2" t="e">
        <f t="shared" ca="1" si="69"/>
        <v>#NAME?</v>
      </c>
      <c r="AV109" s="2" t="e">
        <f ca="1"/>
        <v>#NAME?</v>
      </c>
      <c r="AW109" s="2" t="e">
        <f t="shared" ca="1" si="70"/>
        <v>#NAME?</v>
      </c>
      <c r="AX109" s="2" t="e">
        <f ca="1"/>
        <v>#NAME?</v>
      </c>
      <c r="AY109" s="2" t="e">
        <f t="shared" ca="1" si="71"/>
        <v>#NAME?</v>
      </c>
      <c r="AZ109" s="2" t="e">
        <f ca="1"/>
        <v>#NAME?</v>
      </c>
      <c r="BA109" s="2" t="e">
        <f t="shared" ca="1" si="72"/>
        <v>#NAME?</v>
      </c>
      <c r="BB109" s="2" t="e">
        <f ca="1"/>
        <v>#NAME?</v>
      </c>
      <c r="BC109" s="2" t="e">
        <f t="shared" ca="1" si="73"/>
        <v>#NAME?</v>
      </c>
      <c r="BD109" s="2" t="e">
        <f ca="1"/>
        <v>#NAME?</v>
      </c>
      <c r="BE109" s="2" t="e">
        <f t="shared" ca="1" si="74"/>
        <v>#NAME?</v>
      </c>
      <c r="BF109" s="2" t="e">
        <f ca="1"/>
        <v>#NAME?</v>
      </c>
      <c r="BG109" s="2" t="e">
        <f t="shared" ca="1" si="75"/>
        <v>#NAME?</v>
      </c>
      <c r="BH109" s="2" t="e">
        <f ca="1"/>
        <v>#NAME?</v>
      </c>
      <c r="BI109" s="2" t="e">
        <f t="shared" ca="1" si="76"/>
        <v>#NAME?</v>
      </c>
      <c r="BJ109" s="2" t="e">
        <f ca="1"/>
        <v>#NAME?</v>
      </c>
      <c r="BK109" s="2" t="e">
        <f t="shared" ca="1" si="77"/>
        <v>#NAME?</v>
      </c>
      <c r="BL109" s="2" t="e">
        <f ca="1"/>
        <v>#NAME?</v>
      </c>
      <c r="BM109" s="2" t="e">
        <f t="shared" ca="1" si="78"/>
        <v>#NAME?</v>
      </c>
      <c r="BN109" s="2" t="e">
        <f ca="1"/>
        <v>#NAME?</v>
      </c>
      <c r="BO109" s="2" t="e">
        <f t="shared" ca="1" si="79"/>
        <v>#NAME?</v>
      </c>
      <c r="BP109" s="2" t="e">
        <f ca="1"/>
        <v>#NAME?</v>
      </c>
      <c r="BQ109" s="2" t="e">
        <f t="shared" ca="1" si="80"/>
        <v>#NAME?</v>
      </c>
      <c r="BR109" s="2" t="e">
        <f ca="1"/>
        <v>#NAME?</v>
      </c>
      <c r="BS109" s="2" t="e">
        <f t="shared" ca="1" si="81"/>
        <v>#NAME?</v>
      </c>
      <c r="BT109" s="2" t="e">
        <f ca="1"/>
        <v>#NAME?</v>
      </c>
      <c r="BU109" s="2" t="e">
        <f t="shared" ca="1" si="82"/>
        <v>#NAME?</v>
      </c>
      <c r="BV109" s="2" t="e">
        <f ca="1"/>
        <v>#NAME?</v>
      </c>
      <c r="BW109" s="2" t="e">
        <f t="shared" ca="1" si="83"/>
        <v>#NAME?</v>
      </c>
      <c r="BX109" s="2" t="e">
        <f ca="1"/>
        <v>#NAME?</v>
      </c>
      <c r="BY109" s="2" t="e">
        <f t="shared" ca="1" si="84"/>
        <v>#NAME?</v>
      </c>
      <c r="BZ109" s="2" t="e">
        <f ca="1"/>
        <v>#NAME?</v>
      </c>
      <c r="CA109" s="2" t="e">
        <f t="shared" ca="1" si="85"/>
        <v>#NAME?</v>
      </c>
      <c r="CB109" s="2" t="e">
        <f ca="1"/>
        <v>#NAME?</v>
      </c>
      <c r="CC109" s="2" t="e">
        <f t="shared" ca="1" si="86"/>
        <v>#NAME?</v>
      </c>
      <c r="CD109" s="2" t="e">
        <f ca="1"/>
        <v>#NAME?</v>
      </c>
      <c r="CE109" s="2" t="e">
        <f t="shared" ca="1" si="87"/>
        <v>#NAME?</v>
      </c>
      <c r="CF109" s="2" t="e">
        <f ca="1"/>
        <v>#NAME?</v>
      </c>
      <c r="CG109" s="2" t="e">
        <f t="shared" ca="1" si="88"/>
        <v>#NAME?</v>
      </c>
      <c r="CH109" s="2" t="e">
        <f ca="1"/>
        <v>#NAME?</v>
      </c>
      <c r="CI109" s="2" t="e">
        <f t="shared" ca="1" si="89"/>
        <v>#NAME?</v>
      </c>
      <c r="CJ109" s="2" t="e">
        <f ca="1"/>
        <v>#NAME?</v>
      </c>
      <c r="CK109" s="2" t="e">
        <f t="shared" ca="1" si="90"/>
        <v>#NAME?</v>
      </c>
      <c r="CL109" s="2" t="e">
        <f ca="1"/>
        <v>#NAME?</v>
      </c>
      <c r="CM109" s="2" t="e">
        <f t="shared" ca="1" si="91"/>
        <v>#NAME?</v>
      </c>
      <c r="CN109" s="2" t="e">
        <f ca="1"/>
        <v>#NAME?</v>
      </c>
      <c r="CO109" s="2" t="e">
        <f t="shared" ca="1" si="92"/>
        <v>#NAME?</v>
      </c>
      <c r="CP109" s="2" t="e">
        <f ca="1"/>
        <v>#NAME?</v>
      </c>
      <c r="CQ109" s="2" t="e">
        <f t="shared" ca="1" si="93"/>
        <v>#NAME?</v>
      </c>
    </row>
    <row r="110" spans="1:95">
      <c r="A110" s="7" t="e">
        <f ca="1"/>
        <v>#NAME?</v>
      </c>
      <c r="B110" s="2" t="e">
        <f ca="1"/>
        <v>#NAME?</v>
      </c>
      <c r="C110" s="2" t="e">
        <f t="shared" ca="1" si="47"/>
        <v>#NAME?</v>
      </c>
      <c r="D110" s="2" t="e">
        <f ca="1"/>
        <v>#NAME?</v>
      </c>
      <c r="E110" s="2" t="e">
        <f t="shared" ca="1" si="48"/>
        <v>#NAME?</v>
      </c>
      <c r="F110" s="2" t="e">
        <f ca="1"/>
        <v>#NAME?</v>
      </c>
      <c r="G110" s="2" t="e">
        <f t="shared" ca="1" si="49"/>
        <v>#NAME?</v>
      </c>
      <c r="H110" s="2" t="e">
        <f ca="1"/>
        <v>#NAME?</v>
      </c>
      <c r="I110" s="2" t="e">
        <f t="shared" ca="1" si="50"/>
        <v>#NAME?</v>
      </c>
      <c r="J110" s="2" t="e">
        <f ca="1"/>
        <v>#NAME?</v>
      </c>
      <c r="K110" s="2" t="e">
        <f t="shared" ca="1" si="51"/>
        <v>#NAME?</v>
      </c>
      <c r="L110" s="2" t="e">
        <f ca="1"/>
        <v>#NAME?</v>
      </c>
      <c r="M110" s="2" t="e">
        <f t="shared" ca="1" si="52"/>
        <v>#NAME?</v>
      </c>
      <c r="N110" s="2" t="e">
        <f ca="1"/>
        <v>#NAME?</v>
      </c>
      <c r="O110" s="2" t="e">
        <f t="shared" ca="1" si="53"/>
        <v>#NAME?</v>
      </c>
      <c r="P110" s="2" t="e">
        <f ca="1"/>
        <v>#NAME?</v>
      </c>
      <c r="Q110" s="2" t="e">
        <f t="shared" ca="1" si="54"/>
        <v>#NAME?</v>
      </c>
      <c r="R110" s="2" t="e">
        <f ca="1"/>
        <v>#NAME?</v>
      </c>
      <c r="S110" s="2" t="e">
        <f t="shared" ca="1" si="55"/>
        <v>#NAME?</v>
      </c>
      <c r="T110" s="2" t="e">
        <f ca="1"/>
        <v>#NAME?</v>
      </c>
      <c r="U110" s="2" t="e">
        <f t="shared" ca="1" si="56"/>
        <v>#NAME?</v>
      </c>
      <c r="V110" s="2" t="e">
        <f ca="1"/>
        <v>#NAME?</v>
      </c>
      <c r="W110" s="2" t="e">
        <f t="shared" ca="1" si="57"/>
        <v>#NAME?</v>
      </c>
      <c r="X110" s="2" t="e">
        <f ca="1"/>
        <v>#NAME?</v>
      </c>
      <c r="Y110" s="2" t="e">
        <f t="shared" ca="1" si="58"/>
        <v>#NAME?</v>
      </c>
      <c r="Z110" s="2" t="e">
        <f ca="1"/>
        <v>#NAME?</v>
      </c>
      <c r="AA110" s="2" t="e">
        <f t="shared" ca="1" si="59"/>
        <v>#NAME?</v>
      </c>
      <c r="AB110" s="2" t="e">
        <f ca="1"/>
        <v>#NAME?</v>
      </c>
      <c r="AC110" s="2" t="e">
        <f t="shared" ca="1" si="60"/>
        <v>#NAME?</v>
      </c>
      <c r="AD110" s="2" t="e">
        <f ca="1"/>
        <v>#NAME?</v>
      </c>
      <c r="AE110" s="2" t="e">
        <f t="shared" ca="1" si="61"/>
        <v>#NAME?</v>
      </c>
      <c r="AF110" s="2" t="e">
        <f ca="1"/>
        <v>#NAME?</v>
      </c>
      <c r="AG110" s="2" t="e">
        <f t="shared" ca="1" si="62"/>
        <v>#NAME?</v>
      </c>
      <c r="AH110" s="2" t="e">
        <f ca="1"/>
        <v>#NAME?</v>
      </c>
      <c r="AI110" s="2" t="e">
        <f t="shared" ca="1" si="63"/>
        <v>#NAME?</v>
      </c>
      <c r="AJ110" s="2" t="e">
        <f ca="1"/>
        <v>#NAME?</v>
      </c>
      <c r="AK110" s="2" t="e">
        <f t="shared" ca="1" si="64"/>
        <v>#NAME?</v>
      </c>
      <c r="AL110" s="2" t="e">
        <f ca="1"/>
        <v>#NAME?</v>
      </c>
      <c r="AM110" s="2" t="e">
        <f t="shared" ca="1" si="65"/>
        <v>#NAME?</v>
      </c>
      <c r="AN110" s="2" t="e">
        <f ca="1"/>
        <v>#NAME?</v>
      </c>
      <c r="AO110" s="2" t="e">
        <f t="shared" ca="1" si="66"/>
        <v>#NAME?</v>
      </c>
      <c r="AP110" s="2" t="e">
        <f ca="1"/>
        <v>#NAME?</v>
      </c>
      <c r="AQ110" s="2" t="e">
        <f t="shared" ca="1" si="67"/>
        <v>#NAME?</v>
      </c>
      <c r="AR110" s="2" t="e">
        <f ca="1"/>
        <v>#NAME?</v>
      </c>
      <c r="AS110" s="2" t="e">
        <f t="shared" ca="1" si="68"/>
        <v>#NAME?</v>
      </c>
      <c r="AT110" s="2" t="e">
        <f ca="1"/>
        <v>#NAME?</v>
      </c>
      <c r="AU110" s="2" t="e">
        <f t="shared" ca="1" si="69"/>
        <v>#NAME?</v>
      </c>
      <c r="AV110" s="2" t="e">
        <f ca="1"/>
        <v>#NAME?</v>
      </c>
      <c r="AW110" s="2" t="e">
        <f t="shared" ca="1" si="70"/>
        <v>#NAME?</v>
      </c>
      <c r="AX110" s="2" t="e">
        <f ca="1"/>
        <v>#NAME?</v>
      </c>
      <c r="AY110" s="2" t="e">
        <f t="shared" ca="1" si="71"/>
        <v>#NAME?</v>
      </c>
      <c r="AZ110" s="2" t="e">
        <f ca="1"/>
        <v>#NAME?</v>
      </c>
      <c r="BA110" s="2" t="e">
        <f t="shared" ca="1" si="72"/>
        <v>#NAME?</v>
      </c>
      <c r="BB110" s="2" t="e">
        <f ca="1"/>
        <v>#NAME?</v>
      </c>
      <c r="BC110" s="2" t="e">
        <f t="shared" ca="1" si="73"/>
        <v>#NAME?</v>
      </c>
      <c r="BD110" s="2" t="e">
        <f ca="1"/>
        <v>#NAME?</v>
      </c>
      <c r="BE110" s="2" t="e">
        <f t="shared" ca="1" si="74"/>
        <v>#NAME?</v>
      </c>
      <c r="BF110" s="2" t="e">
        <f ca="1"/>
        <v>#NAME?</v>
      </c>
      <c r="BG110" s="2" t="e">
        <f t="shared" ca="1" si="75"/>
        <v>#NAME?</v>
      </c>
      <c r="BH110" s="2" t="e">
        <f ca="1"/>
        <v>#NAME?</v>
      </c>
      <c r="BI110" s="2" t="e">
        <f t="shared" ca="1" si="76"/>
        <v>#NAME?</v>
      </c>
      <c r="BJ110" s="2" t="e">
        <f ca="1"/>
        <v>#NAME?</v>
      </c>
      <c r="BK110" s="2" t="e">
        <f t="shared" ca="1" si="77"/>
        <v>#NAME?</v>
      </c>
      <c r="BL110" s="2" t="e">
        <f ca="1"/>
        <v>#NAME?</v>
      </c>
      <c r="BM110" s="2" t="e">
        <f t="shared" ca="1" si="78"/>
        <v>#NAME?</v>
      </c>
      <c r="BN110" s="2" t="e">
        <f ca="1"/>
        <v>#NAME?</v>
      </c>
      <c r="BO110" s="2" t="e">
        <f t="shared" ca="1" si="79"/>
        <v>#NAME?</v>
      </c>
      <c r="BP110" s="2" t="e">
        <f ca="1"/>
        <v>#NAME?</v>
      </c>
      <c r="BQ110" s="2" t="e">
        <f t="shared" ca="1" si="80"/>
        <v>#NAME?</v>
      </c>
      <c r="BR110" s="2" t="e">
        <f ca="1"/>
        <v>#NAME?</v>
      </c>
      <c r="BS110" s="2" t="e">
        <f t="shared" ca="1" si="81"/>
        <v>#NAME?</v>
      </c>
      <c r="BT110" s="2" t="e">
        <f ca="1"/>
        <v>#NAME?</v>
      </c>
      <c r="BU110" s="2" t="e">
        <f t="shared" ca="1" si="82"/>
        <v>#NAME?</v>
      </c>
      <c r="BV110" s="2" t="e">
        <f ca="1"/>
        <v>#NAME?</v>
      </c>
      <c r="BW110" s="2" t="e">
        <f t="shared" ca="1" si="83"/>
        <v>#NAME?</v>
      </c>
      <c r="BX110" s="2" t="e">
        <f ca="1"/>
        <v>#NAME?</v>
      </c>
      <c r="BY110" s="2" t="e">
        <f t="shared" ca="1" si="84"/>
        <v>#NAME?</v>
      </c>
      <c r="BZ110" s="2" t="e">
        <f ca="1"/>
        <v>#NAME?</v>
      </c>
      <c r="CA110" s="2" t="e">
        <f t="shared" ca="1" si="85"/>
        <v>#NAME?</v>
      </c>
      <c r="CB110" s="2" t="e">
        <f ca="1"/>
        <v>#NAME?</v>
      </c>
      <c r="CC110" s="2" t="e">
        <f t="shared" ca="1" si="86"/>
        <v>#NAME?</v>
      </c>
      <c r="CD110" s="2" t="e">
        <f ca="1"/>
        <v>#NAME?</v>
      </c>
      <c r="CE110" s="2" t="e">
        <f t="shared" ca="1" si="87"/>
        <v>#NAME?</v>
      </c>
      <c r="CF110" s="2" t="e">
        <f ca="1"/>
        <v>#NAME?</v>
      </c>
      <c r="CG110" s="2" t="e">
        <f t="shared" ca="1" si="88"/>
        <v>#NAME?</v>
      </c>
      <c r="CH110" s="2" t="e">
        <f ca="1"/>
        <v>#NAME?</v>
      </c>
      <c r="CI110" s="2" t="e">
        <f t="shared" ca="1" si="89"/>
        <v>#NAME?</v>
      </c>
      <c r="CJ110" s="2" t="e">
        <f ca="1"/>
        <v>#NAME?</v>
      </c>
      <c r="CK110" s="2" t="e">
        <f t="shared" ca="1" si="90"/>
        <v>#NAME?</v>
      </c>
      <c r="CL110" s="2" t="e">
        <f ca="1"/>
        <v>#NAME?</v>
      </c>
      <c r="CM110" s="2" t="e">
        <f t="shared" ca="1" si="91"/>
        <v>#NAME?</v>
      </c>
      <c r="CN110" s="2" t="e">
        <f ca="1"/>
        <v>#NAME?</v>
      </c>
      <c r="CO110" s="2" t="e">
        <f t="shared" ca="1" si="92"/>
        <v>#NAME?</v>
      </c>
      <c r="CP110" s="2" t="e">
        <f ca="1"/>
        <v>#NAME?</v>
      </c>
      <c r="CQ110" s="2" t="e">
        <f t="shared" ca="1" si="93"/>
        <v>#NAME?</v>
      </c>
    </row>
    <row r="111" spans="1:95">
      <c r="A111" s="7" t="e">
        <f ca="1"/>
        <v>#NAME?</v>
      </c>
      <c r="B111" s="2" t="e">
        <f ca="1"/>
        <v>#NAME?</v>
      </c>
      <c r="C111" s="2" t="e">
        <f t="shared" ca="1" si="47"/>
        <v>#NAME?</v>
      </c>
      <c r="D111" s="2" t="e">
        <f ca="1"/>
        <v>#NAME?</v>
      </c>
      <c r="E111" s="2" t="e">
        <f t="shared" ca="1" si="48"/>
        <v>#NAME?</v>
      </c>
      <c r="F111" s="2" t="e">
        <f ca="1"/>
        <v>#NAME?</v>
      </c>
      <c r="G111" s="2" t="e">
        <f t="shared" ca="1" si="49"/>
        <v>#NAME?</v>
      </c>
      <c r="H111" s="2" t="e">
        <f ca="1"/>
        <v>#NAME?</v>
      </c>
      <c r="I111" s="2" t="e">
        <f t="shared" ca="1" si="50"/>
        <v>#NAME?</v>
      </c>
      <c r="J111" s="2" t="e">
        <f ca="1"/>
        <v>#NAME?</v>
      </c>
      <c r="K111" s="2" t="e">
        <f t="shared" ca="1" si="51"/>
        <v>#NAME?</v>
      </c>
      <c r="L111" s="2" t="e">
        <f ca="1"/>
        <v>#NAME?</v>
      </c>
      <c r="M111" s="2" t="e">
        <f t="shared" ca="1" si="52"/>
        <v>#NAME?</v>
      </c>
      <c r="N111" s="2" t="e">
        <f ca="1"/>
        <v>#NAME?</v>
      </c>
      <c r="O111" s="2" t="e">
        <f t="shared" ca="1" si="53"/>
        <v>#NAME?</v>
      </c>
      <c r="P111" s="2" t="e">
        <f ca="1"/>
        <v>#NAME?</v>
      </c>
      <c r="Q111" s="2" t="e">
        <f t="shared" ca="1" si="54"/>
        <v>#NAME?</v>
      </c>
      <c r="R111" s="2" t="e">
        <f ca="1"/>
        <v>#NAME?</v>
      </c>
      <c r="S111" s="2" t="e">
        <f t="shared" ca="1" si="55"/>
        <v>#NAME?</v>
      </c>
      <c r="T111" s="2" t="e">
        <f ca="1"/>
        <v>#NAME?</v>
      </c>
      <c r="U111" s="2" t="e">
        <f t="shared" ca="1" si="56"/>
        <v>#NAME?</v>
      </c>
      <c r="V111" s="2" t="e">
        <f ca="1"/>
        <v>#NAME?</v>
      </c>
      <c r="W111" s="2" t="e">
        <f t="shared" ca="1" si="57"/>
        <v>#NAME?</v>
      </c>
      <c r="X111" s="2" t="e">
        <f ca="1"/>
        <v>#NAME?</v>
      </c>
      <c r="Y111" s="2" t="e">
        <f t="shared" ca="1" si="58"/>
        <v>#NAME?</v>
      </c>
      <c r="Z111" s="2" t="e">
        <f ca="1"/>
        <v>#NAME?</v>
      </c>
      <c r="AA111" s="2" t="e">
        <f t="shared" ca="1" si="59"/>
        <v>#NAME?</v>
      </c>
      <c r="AB111" s="2" t="e">
        <f ca="1"/>
        <v>#NAME?</v>
      </c>
      <c r="AC111" s="2" t="e">
        <f t="shared" ca="1" si="60"/>
        <v>#NAME?</v>
      </c>
      <c r="AD111" s="2" t="e">
        <f ca="1"/>
        <v>#NAME?</v>
      </c>
      <c r="AE111" s="2" t="e">
        <f t="shared" ca="1" si="61"/>
        <v>#NAME?</v>
      </c>
      <c r="AF111" s="2" t="e">
        <f ca="1"/>
        <v>#NAME?</v>
      </c>
      <c r="AG111" s="2" t="e">
        <f t="shared" ca="1" si="62"/>
        <v>#NAME?</v>
      </c>
      <c r="AH111" s="2" t="e">
        <f ca="1"/>
        <v>#NAME?</v>
      </c>
      <c r="AI111" s="2" t="e">
        <f t="shared" ca="1" si="63"/>
        <v>#NAME?</v>
      </c>
      <c r="AJ111" s="2" t="e">
        <f ca="1"/>
        <v>#NAME?</v>
      </c>
      <c r="AK111" s="2" t="e">
        <f t="shared" ca="1" si="64"/>
        <v>#NAME?</v>
      </c>
      <c r="AL111" s="2" t="e">
        <f ca="1"/>
        <v>#NAME?</v>
      </c>
      <c r="AM111" s="2" t="e">
        <f t="shared" ca="1" si="65"/>
        <v>#NAME?</v>
      </c>
      <c r="AN111" s="2" t="e">
        <f ca="1"/>
        <v>#NAME?</v>
      </c>
      <c r="AO111" s="2" t="e">
        <f t="shared" ca="1" si="66"/>
        <v>#NAME?</v>
      </c>
      <c r="AP111" s="2" t="e">
        <f ca="1"/>
        <v>#NAME?</v>
      </c>
      <c r="AQ111" s="2" t="e">
        <f t="shared" ca="1" si="67"/>
        <v>#NAME?</v>
      </c>
      <c r="AR111" s="2" t="e">
        <f ca="1"/>
        <v>#NAME?</v>
      </c>
      <c r="AS111" s="2" t="e">
        <f t="shared" ca="1" si="68"/>
        <v>#NAME?</v>
      </c>
      <c r="AT111" s="2" t="e">
        <f ca="1"/>
        <v>#NAME?</v>
      </c>
      <c r="AU111" s="2" t="e">
        <f t="shared" ca="1" si="69"/>
        <v>#NAME?</v>
      </c>
      <c r="AV111" s="2" t="e">
        <f ca="1"/>
        <v>#NAME?</v>
      </c>
      <c r="AW111" s="2" t="e">
        <f t="shared" ca="1" si="70"/>
        <v>#NAME?</v>
      </c>
      <c r="AX111" s="2" t="e">
        <f ca="1"/>
        <v>#NAME?</v>
      </c>
      <c r="AY111" s="2" t="e">
        <f t="shared" ca="1" si="71"/>
        <v>#NAME?</v>
      </c>
      <c r="AZ111" s="2" t="e">
        <f ca="1"/>
        <v>#NAME?</v>
      </c>
      <c r="BA111" s="2" t="e">
        <f t="shared" ca="1" si="72"/>
        <v>#NAME?</v>
      </c>
      <c r="BB111" s="2" t="e">
        <f ca="1"/>
        <v>#NAME?</v>
      </c>
      <c r="BC111" s="2" t="e">
        <f t="shared" ca="1" si="73"/>
        <v>#NAME?</v>
      </c>
      <c r="BD111" s="2" t="e">
        <f ca="1"/>
        <v>#NAME?</v>
      </c>
      <c r="BE111" s="2" t="e">
        <f t="shared" ca="1" si="74"/>
        <v>#NAME?</v>
      </c>
      <c r="BF111" s="2" t="e">
        <f ca="1"/>
        <v>#NAME?</v>
      </c>
      <c r="BG111" s="2" t="e">
        <f t="shared" ca="1" si="75"/>
        <v>#NAME?</v>
      </c>
      <c r="BH111" s="2" t="e">
        <f ca="1"/>
        <v>#NAME?</v>
      </c>
      <c r="BI111" s="2" t="e">
        <f t="shared" ca="1" si="76"/>
        <v>#NAME?</v>
      </c>
      <c r="BJ111" s="2" t="e">
        <f ca="1"/>
        <v>#NAME?</v>
      </c>
      <c r="BK111" s="2" t="e">
        <f t="shared" ca="1" si="77"/>
        <v>#NAME?</v>
      </c>
      <c r="BL111" s="2" t="e">
        <f ca="1"/>
        <v>#NAME?</v>
      </c>
      <c r="BM111" s="2" t="e">
        <f t="shared" ca="1" si="78"/>
        <v>#NAME?</v>
      </c>
      <c r="BN111" s="2" t="e">
        <f ca="1"/>
        <v>#NAME?</v>
      </c>
      <c r="BO111" s="2" t="e">
        <f t="shared" ca="1" si="79"/>
        <v>#NAME?</v>
      </c>
      <c r="BP111" s="2" t="e">
        <f ca="1"/>
        <v>#NAME?</v>
      </c>
      <c r="BQ111" s="2" t="e">
        <f t="shared" ca="1" si="80"/>
        <v>#NAME?</v>
      </c>
      <c r="BR111" s="2" t="e">
        <f ca="1"/>
        <v>#NAME?</v>
      </c>
      <c r="BS111" s="2" t="e">
        <f t="shared" ca="1" si="81"/>
        <v>#NAME?</v>
      </c>
      <c r="BT111" s="2" t="e">
        <f ca="1"/>
        <v>#NAME?</v>
      </c>
      <c r="BU111" s="2" t="e">
        <f t="shared" ca="1" si="82"/>
        <v>#NAME?</v>
      </c>
      <c r="BV111" s="2" t="e">
        <f ca="1"/>
        <v>#NAME?</v>
      </c>
      <c r="BW111" s="2" t="e">
        <f t="shared" ca="1" si="83"/>
        <v>#NAME?</v>
      </c>
      <c r="BX111" s="2" t="e">
        <f ca="1"/>
        <v>#NAME?</v>
      </c>
      <c r="BY111" s="2" t="e">
        <f t="shared" ca="1" si="84"/>
        <v>#NAME?</v>
      </c>
      <c r="BZ111" s="2" t="e">
        <f ca="1"/>
        <v>#NAME?</v>
      </c>
      <c r="CA111" s="2" t="e">
        <f t="shared" ca="1" si="85"/>
        <v>#NAME?</v>
      </c>
      <c r="CB111" s="2" t="e">
        <f ca="1"/>
        <v>#NAME?</v>
      </c>
      <c r="CC111" s="2" t="e">
        <f t="shared" ca="1" si="86"/>
        <v>#NAME?</v>
      </c>
      <c r="CD111" s="2" t="e">
        <f ca="1"/>
        <v>#NAME?</v>
      </c>
      <c r="CE111" s="2" t="e">
        <f t="shared" ca="1" si="87"/>
        <v>#NAME?</v>
      </c>
      <c r="CF111" s="2" t="e">
        <f ca="1"/>
        <v>#NAME?</v>
      </c>
      <c r="CG111" s="2" t="e">
        <f t="shared" ca="1" si="88"/>
        <v>#NAME?</v>
      </c>
      <c r="CH111" s="2" t="e">
        <f ca="1"/>
        <v>#NAME?</v>
      </c>
      <c r="CI111" s="2" t="e">
        <f t="shared" ca="1" si="89"/>
        <v>#NAME?</v>
      </c>
      <c r="CJ111" s="2" t="e">
        <f ca="1"/>
        <v>#NAME?</v>
      </c>
      <c r="CK111" s="2" t="e">
        <f t="shared" ca="1" si="90"/>
        <v>#NAME?</v>
      </c>
      <c r="CL111" s="2" t="e">
        <f ca="1"/>
        <v>#NAME?</v>
      </c>
      <c r="CM111" s="2" t="e">
        <f t="shared" ca="1" si="91"/>
        <v>#NAME?</v>
      </c>
      <c r="CN111" s="2" t="e">
        <f ca="1"/>
        <v>#NAME?</v>
      </c>
      <c r="CO111" s="2" t="e">
        <f t="shared" ca="1" si="92"/>
        <v>#NAME?</v>
      </c>
      <c r="CP111" s="2" t="e">
        <f ca="1"/>
        <v>#NAME?</v>
      </c>
      <c r="CQ111" s="2" t="e">
        <f t="shared" ca="1" si="93"/>
        <v>#NAME?</v>
      </c>
    </row>
    <row r="112" spans="1:95">
      <c r="A112" s="7" t="e">
        <f ca="1"/>
        <v>#NAME?</v>
      </c>
      <c r="B112" s="2" t="e">
        <f ca="1"/>
        <v>#NAME?</v>
      </c>
      <c r="C112" s="2" t="e">
        <f t="shared" ca="1" si="47"/>
        <v>#NAME?</v>
      </c>
      <c r="D112" s="2" t="e">
        <f ca="1"/>
        <v>#NAME?</v>
      </c>
      <c r="E112" s="2" t="e">
        <f t="shared" ca="1" si="48"/>
        <v>#NAME?</v>
      </c>
      <c r="F112" s="2" t="e">
        <f ca="1"/>
        <v>#NAME?</v>
      </c>
      <c r="G112" s="2" t="e">
        <f t="shared" ca="1" si="49"/>
        <v>#NAME?</v>
      </c>
      <c r="H112" s="2" t="e">
        <f ca="1"/>
        <v>#NAME?</v>
      </c>
      <c r="I112" s="2" t="e">
        <f t="shared" ca="1" si="50"/>
        <v>#NAME?</v>
      </c>
      <c r="J112" s="2" t="e">
        <f ca="1"/>
        <v>#NAME?</v>
      </c>
      <c r="K112" s="2" t="e">
        <f t="shared" ca="1" si="51"/>
        <v>#NAME?</v>
      </c>
      <c r="L112" s="2" t="e">
        <f ca="1"/>
        <v>#NAME?</v>
      </c>
      <c r="M112" s="2" t="e">
        <f t="shared" ca="1" si="52"/>
        <v>#NAME?</v>
      </c>
      <c r="N112" s="2" t="e">
        <f ca="1"/>
        <v>#NAME?</v>
      </c>
      <c r="O112" s="2" t="e">
        <f t="shared" ca="1" si="53"/>
        <v>#NAME?</v>
      </c>
      <c r="P112" s="2" t="e">
        <f ca="1"/>
        <v>#NAME?</v>
      </c>
      <c r="Q112" s="2" t="e">
        <f t="shared" ca="1" si="54"/>
        <v>#NAME?</v>
      </c>
      <c r="R112" s="2" t="e">
        <f ca="1"/>
        <v>#NAME?</v>
      </c>
      <c r="S112" s="2" t="e">
        <f t="shared" ca="1" si="55"/>
        <v>#NAME?</v>
      </c>
      <c r="T112" s="2" t="e">
        <f ca="1"/>
        <v>#NAME?</v>
      </c>
      <c r="U112" s="2" t="e">
        <f t="shared" ca="1" si="56"/>
        <v>#NAME?</v>
      </c>
      <c r="V112" s="2" t="e">
        <f ca="1"/>
        <v>#NAME?</v>
      </c>
      <c r="W112" s="2" t="e">
        <f t="shared" ca="1" si="57"/>
        <v>#NAME?</v>
      </c>
      <c r="X112" s="2" t="e">
        <f ca="1"/>
        <v>#NAME?</v>
      </c>
      <c r="Y112" s="2" t="e">
        <f t="shared" ca="1" si="58"/>
        <v>#NAME?</v>
      </c>
      <c r="Z112" s="2" t="e">
        <f ca="1"/>
        <v>#NAME?</v>
      </c>
      <c r="AA112" s="2" t="e">
        <f t="shared" ca="1" si="59"/>
        <v>#NAME?</v>
      </c>
      <c r="AB112" s="2" t="e">
        <f ca="1"/>
        <v>#NAME?</v>
      </c>
      <c r="AC112" s="2" t="e">
        <f t="shared" ca="1" si="60"/>
        <v>#NAME?</v>
      </c>
      <c r="AD112" s="2" t="e">
        <f ca="1"/>
        <v>#NAME?</v>
      </c>
      <c r="AE112" s="2" t="e">
        <f t="shared" ca="1" si="61"/>
        <v>#NAME?</v>
      </c>
      <c r="AF112" s="2" t="e">
        <f ca="1"/>
        <v>#NAME?</v>
      </c>
      <c r="AG112" s="2" t="e">
        <f t="shared" ca="1" si="62"/>
        <v>#NAME?</v>
      </c>
      <c r="AH112" s="2" t="e">
        <f ca="1"/>
        <v>#NAME?</v>
      </c>
      <c r="AI112" s="2" t="e">
        <f t="shared" ca="1" si="63"/>
        <v>#NAME?</v>
      </c>
      <c r="AJ112" s="2" t="e">
        <f ca="1"/>
        <v>#NAME?</v>
      </c>
      <c r="AK112" s="2" t="e">
        <f t="shared" ca="1" si="64"/>
        <v>#NAME?</v>
      </c>
      <c r="AL112" s="2" t="e">
        <f ca="1"/>
        <v>#NAME?</v>
      </c>
      <c r="AM112" s="2" t="e">
        <f t="shared" ca="1" si="65"/>
        <v>#NAME?</v>
      </c>
      <c r="AN112" s="2" t="e">
        <f ca="1"/>
        <v>#NAME?</v>
      </c>
      <c r="AO112" s="2" t="e">
        <f t="shared" ca="1" si="66"/>
        <v>#NAME?</v>
      </c>
      <c r="AP112" s="2" t="e">
        <f ca="1"/>
        <v>#NAME?</v>
      </c>
      <c r="AQ112" s="2" t="e">
        <f t="shared" ca="1" si="67"/>
        <v>#NAME?</v>
      </c>
      <c r="AR112" s="2" t="e">
        <f ca="1"/>
        <v>#NAME?</v>
      </c>
      <c r="AS112" s="2" t="e">
        <f t="shared" ca="1" si="68"/>
        <v>#NAME?</v>
      </c>
      <c r="AT112" s="2" t="e">
        <f ca="1"/>
        <v>#NAME?</v>
      </c>
      <c r="AU112" s="2" t="e">
        <f t="shared" ca="1" si="69"/>
        <v>#NAME?</v>
      </c>
      <c r="AV112" s="2" t="e">
        <f ca="1"/>
        <v>#NAME?</v>
      </c>
      <c r="AW112" s="2" t="e">
        <f t="shared" ca="1" si="70"/>
        <v>#NAME?</v>
      </c>
      <c r="AX112" s="2" t="e">
        <f ca="1"/>
        <v>#NAME?</v>
      </c>
      <c r="AY112" s="2" t="e">
        <f t="shared" ca="1" si="71"/>
        <v>#NAME?</v>
      </c>
      <c r="AZ112" s="2" t="e">
        <f ca="1"/>
        <v>#NAME?</v>
      </c>
      <c r="BA112" s="2" t="e">
        <f t="shared" ca="1" si="72"/>
        <v>#NAME?</v>
      </c>
      <c r="BB112" s="2" t="e">
        <f ca="1"/>
        <v>#NAME?</v>
      </c>
      <c r="BC112" s="2" t="e">
        <f t="shared" ca="1" si="73"/>
        <v>#NAME?</v>
      </c>
      <c r="BD112" s="2" t="e">
        <f ca="1"/>
        <v>#NAME?</v>
      </c>
      <c r="BE112" s="2" t="e">
        <f t="shared" ca="1" si="74"/>
        <v>#NAME?</v>
      </c>
      <c r="BF112" s="2" t="e">
        <f ca="1"/>
        <v>#NAME?</v>
      </c>
      <c r="BG112" s="2" t="e">
        <f t="shared" ca="1" si="75"/>
        <v>#NAME?</v>
      </c>
      <c r="BH112" s="2" t="e">
        <f ca="1"/>
        <v>#NAME?</v>
      </c>
      <c r="BI112" s="2" t="e">
        <f t="shared" ca="1" si="76"/>
        <v>#NAME?</v>
      </c>
      <c r="BJ112" s="2" t="e">
        <f ca="1"/>
        <v>#NAME?</v>
      </c>
      <c r="BK112" s="2" t="e">
        <f t="shared" ca="1" si="77"/>
        <v>#NAME?</v>
      </c>
      <c r="BL112" s="2" t="e">
        <f ca="1"/>
        <v>#NAME?</v>
      </c>
      <c r="BM112" s="2" t="e">
        <f t="shared" ca="1" si="78"/>
        <v>#NAME?</v>
      </c>
      <c r="BN112" s="2" t="e">
        <f ca="1"/>
        <v>#NAME?</v>
      </c>
      <c r="BO112" s="2" t="e">
        <f t="shared" ca="1" si="79"/>
        <v>#NAME?</v>
      </c>
      <c r="BP112" s="2" t="e">
        <f ca="1"/>
        <v>#NAME?</v>
      </c>
      <c r="BQ112" s="2" t="e">
        <f t="shared" ca="1" si="80"/>
        <v>#NAME?</v>
      </c>
      <c r="BR112" s="2" t="e">
        <f ca="1"/>
        <v>#NAME?</v>
      </c>
      <c r="BS112" s="2" t="e">
        <f t="shared" ca="1" si="81"/>
        <v>#NAME?</v>
      </c>
      <c r="BT112" s="2" t="e">
        <f ca="1"/>
        <v>#NAME?</v>
      </c>
      <c r="BU112" s="2" t="e">
        <f t="shared" ca="1" si="82"/>
        <v>#NAME?</v>
      </c>
      <c r="BV112" s="2" t="e">
        <f ca="1"/>
        <v>#NAME?</v>
      </c>
      <c r="BW112" s="2" t="e">
        <f t="shared" ca="1" si="83"/>
        <v>#NAME?</v>
      </c>
      <c r="BX112" s="2" t="e">
        <f ca="1"/>
        <v>#NAME?</v>
      </c>
      <c r="BY112" s="2" t="e">
        <f t="shared" ca="1" si="84"/>
        <v>#NAME?</v>
      </c>
      <c r="BZ112" s="2" t="e">
        <f ca="1"/>
        <v>#NAME?</v>
      </c>
      <c r="CA112" s="2" t="e">
        <f t="shared" ca="1" si="85"/>
        <v>#NAME?</v>
      </c>
      <c r="CB112" s="2" t="e">
        <f ca="1"/>
        <v>#NAME?</v>
      </c>
      <c r="CC112" s="2" t="e">
        <f t="shared" ca="1" si="86"/>
        <v>#NAME?</v>
      </c>
      <c r="CD112" s="2" t="e">
        <f ca="1"/>
        <v>#NAME?</v>
      </c>
      <c r="CE112" s="2" t="e">
        <f t="shared" ca="1" si="87"/>
        <v>#NAME?</v>
      </c>
      <c r="CF112" s="2" t="e">
        <f ca="1"/>
        <v>#NAME?</v>
      </c>
      <c r="CG112" s="2" t="e">
        <f t="shared" ca="1" si="88"/>
        <v>#NAME?</v>
      </c>
      <c r="CH112" s="2" t="e">
        <f ca="1"/>
        <v>#NAME?</v>
      </c>
      <c r="CI112" s="2" t="e">
        <f t="shared" ca="1" si="89"/>
        <v>#NAME?</v>
      </c>
      <c r="CJ112" s="2" t="e">
        <f ca="1"/>
        <v>#NAME?</v>
      </c>
      <c r="CK112" s="2" t="e">
        <f t="shared" ca="1" si="90"/>
        <v>#NAME?</v>
      </c>
      <c r="CL112" s="2" t="e">
        <f ca="1"/>
        <v>#NAME?</v>
      </c>
      <c r="CM112" s="2" t="e">
        <f t="shared" ca="1" si="91"/>
        <v>#NAME?</v>
      </c>
      <c r="CN112" s="2" t="e">
        <f ca="1"/>
        <v>#NAME?</v>
      </c>
      <c r="CO112" s="2" t="e">
        <f t="shared" ca="1" si="92"/>
        <v>#NAME?</v>
      </c>
      <c r="CP112" s="2" t="e">
        <f ca="1"/>
        <v>#NAME?</v>
      </c>
      <c r="CQ112" s="2" t="e">
        <f t="shared" ca="1" si="93"/>
        <v>#NAME?</v>
      </c>
    </row>
    <row r="113" spans="1:95">
      <c r="A113" s="7" t="e">
        <f ca="1"/>
        <v>#NAME?</v>
      </c>
      <c r="B113" s="2" t="e">
        <f ca="1"/>
        <v>#NAME?</v>
      </c>
      <c r="C113" s="2" t="e">
        <f t="shared" ca="1" si="47"/>
        <v>#NAME?</v>
      </c>
      <c r="D113" s="2" t="e">
        <f ca="1"/>
        <v>#NAME?</v>
      </c>
      <c r="E113" s="2" t="e">
        <f t="shared" ca="1" si="48"/>
        <v>#NAME?</v>
      </c>
      <c r="F113" s="2" t="e">
        <f ca="1"/>
        <v>#NAME?</v>
      </c>
      <c r="G113" s="2" t="e">
        <f t="shared" ca="1" si="49"/>
        <v>#NAME?</v>
      </c>
      <c r="H113" s="2" t="e">
        <f ca="1"/>
        <v>#NAME?</v>
      </c>
      <c r="I113" s="2" t="e">
        <f t="shared" ca="1" si="50"/>
        <v>#NAME?</v>
      </c>
      <c r="J113" s="2" t="e">
        <f ca="1"/>
        <v>#NAME?</v>
      </c>
      <c r="K113" s="2" t="e">
        <f t="shared" ca="1" si="51"/>
        <v>#NAME?</v>
      </c>
      <c r="L113" s="2" t="e">
        <f ca="1"/>
        <v>#NAME?</v>
      </c>
      <c r="M113" s="2" t="e">
        <f t="shared" ca="1" si="52"/>
        <v>#NAME?</v>
      </c>
      <c r="N113" s="2" t="e">
        <f ca="1"/>
        <v>#NAME?</v>
      </c>
      <c r="O113" s="2" t="e">
        <f t="shared" ca="1" si="53"/>
        <v>#NAME?</v>
      </c>
      <c r="P113" s="2" t="e">
        <f ca="1"/>
        <v>#NAME?</v>
      </c>
      <c r="Q113" s="2" t="e">
        <f t="shared" ca="1" si="54"/>
        <v>#NAME?</v>
      </c>
      <c r="R113" s="2" t="e">
        <f ca="1"/>
        <v>#NAME?</v>
      </c>
      <c r="S113" s="2" t="e">
        <f t="shared" ca="1" si="55"/>
        <v>#NAME?</v>
      </c>
      <c r="T113" s="2" t="e">
        <f ca="1"/>
        <v>#NAME?</v>
      </c>
      <c r="U113" s="2" t="e">
        <f t="shared" ca="1" si="56"/>
        <v>#NAME?</v>
      </c>
      <c r="V113" s="2" t="e">
        <f ca="1"/>
        <v>#NAME?</v>
      </c>
      <c r="W113" s="2" t="e">
        <f t="shared" ca="1" si="57"/>
        <v>#NAME?</v>
      </c>
      <c r="X113" s="2" t="e">
        <f ca="1"/>
        <v>#NAME?</v>
      </c>
      <c r="Y113" s="2" t="e">
        <f t="shared" ca="1" si="58"/>
        <v>#NAME?</v>
      </c>
      <c r="Z113" s="2" t="e">
        <f ca="1"/>
        <v>#NAME?</v>
      </c>
      <c r="AA113" s="2" t="e">
        <f t="shared" ca="1" si="59"/>
        <v>#NAME?</v>
      </c>
      <c r="AB113" s="2" t="e">
        <f ca="1"/>
        <v>#NAME?</v>
      </c>
      <c r="AC113" s="2" t="e">
        <f t="shared" ca="1" si="60"/>
        <v>#NAME?</v>
      </c>
      <c r="AD113" s="2" t="e">
        <f ca="1"/>
        <v>#NAME?</v>
      </c>
      <c r="AE113" s="2" t="e">
        <f t="shared" ca="1" si="61"/>
        <v>#NAME?</v>
      </c>
      <c r="AF113" s="2" t="e">
        <f ca="1"/>
        <v>#NAME?</v>
      </c>
      <c r="AG113" s="2" t="e">
        <f t="shared" ca="1" si="62"/>
        <v>#NAME?</v>
      </c>
      <c r="AH113" s="2" t="e">
        <f ca="1"/>
        <v>#NAME?</v>
      </c>
      <c r="AI113" s="2" t="e">
        <f t="shared" ca="1" si="63"/>
        <v>#NAME?</v>
      </c>
      <c r="AJ113" s="2" t="e">
        <f ca="1"/>
        <v>#NAME?</v>
      </c>
      <c r="AK113" s="2" t="e">
        <f t="shared" ca="1" si="64"/>
        <v>#NAME?</v>
      </c>
      <c r="AL113" s="2" t="e">
        <f ca="1"/>
        <v>#NAME?</v>
      </c>
      <c r="AM113" s="2" t="e">
        <f t="shared" ca="1" si="65"/>
        <v>#NAME?</v>
      </c>
      <c r="AN113" s="2" t="e">
        <f ca="1"/>
        <v>#NAME?</v>
      </c>
      <c r="AO113" s="2" t="e">
        <f t="shared" ca="1" si="66"/>
        <v>#NAME?</v>
      </c>
      <c r="AP113" s="2" t="e">
        <f ca="1"/>
        <v>#NAME?</v>
      </c>
      <c r="AQ113" s="2" t="e">
        <f t="shared" ca="1" si="67"/>
        <v>#NAME?</v>
      </c>
      <c r="AR113" s="2" t="e">
        <f ca="1"/>
        <v>#NAME?</v>
      </c>
      <c r="AS113" s="2" t="e">
        <f t="shared" ca="1" si="68"/>
        <v>#NAME?</v>
      </c>
      <c r="AT113" s="2" t="e">
        <f ca="1"/>
        <v>#NAME?</v>
      </c>
      <c r="AU113" s="2" t="e">
        <f t="shared" ca="1" si="69"/>
        <v>#NAME?</v>
      </c>
      <c r="AV113" s="2" t="e">
        <f ca="1"/>
        <v>#NAME?</v>
      </c>
      <c r="AW113" s="2" t="e">
        <f t="shared" ca="1" si="70"/>
        <v>#NAME?</v>
      </c>
      <c r="AX113" s="2" t="e">
        <f ca="1"/>
        <v>#NAME?</v>
      </c>
      <c r="AY113" s="2" t="e">
        <f t="shared" ca="1" si="71"/>
        <v>#NAME?</v>
      </c>
      <c r="AZ113" s="2" t="e">
        <f ca="1"/>
        <v>#NAME?</v>
      </c>
      <c r="BA113" s="2" t="e">
        <f t="shared" ca="1" si="72"/>
        <v>#NAME?</v>
      </c>
      <c r="BB113" s="2" t="e">
        <f ca="1"/>
        <v>#NAME?</v>
      </c>
      <c r="BC113" s="2" t="e">
        <f t="shared" ca="1" si="73"/>
        <v>#NAME?</v>
      </c>
      <c r="BD113" s="2" t="e">
        <f ca="1"/>
        <v>#NAME?</v>
      </c>
      <c r="BE113" s="2" t="e">
        <f t="shared" ca="1" si="74"/>
        <v>#NAME?</v>
      </c>
      <c r="BF113" s="2" t="e">
        <f ca="1"/>
        <v>#NAME?</v>
      </c>
      <c r="BG113" s="2" t="e">
        <f t="shared" ca="1" si="75"/>
        <v>#NAME?</v>
      </c>
      <c r="BH113" s="2" t="e">
        <f ca="1"/>
        <v>#NAME?</v>
      </c>
      <c r="BI113" s="2" t="e">
        <f t="shared" ca="1" si="76"/>
        <v>#NAME?</v>
      </c>
      <c r="BJ113" s="2" t="e">
        <f ca="1"/>
        <v>#NAME?</v>
      </c>
      <c r="BK113" s="2" t="e">
        <f t="shared" ca="1" si="77"/>
        <v>#NAME?</v>
      </c>
      <c r="BL113" s="2" t="e">
        <f ca="1"/>
        <v>#NAME?</v>
      </c>
      <c r="BM113" s="2" t="e">
        <f t="shared" ca="1" si="78"/>
        <v>#NAME?</v>
      </c>
      <c r="BN113" s="2" t="e">
        <f ca="1"/>
        <v>#NAME?</v>
      </c>
      <c r="BO113" s="2" t="e">
        <f t="shared" ca="1" si="79"/>
        <v>#NAME?</v>
      </c>
      <c r="BP113" s="2" t="e">
        <f ca="1"/>
        <v>#NAME?</v>
      </c>
      <c r="BQ113" s="2" t="e">
        <f t="shared" ca="1" si="80"/>
        <v>#NAME?</v>
      </c>
      <c r="BR113" s="2" t="e">
        <f ca="1"/>
        <v>#NAME?</v>
      </c>
      <c r="BS113" s="2" t="e">
        <f t="shared" ca="1" si="81"/>
        <v>#NAME?</v>
      </c>
      <c r="BT113" s="2" t="e">
        <f ca="1"/>
        <v>#NAME?</v>
      </c>
      <c r="BU113" s="2" t="e">
        <f t="shared" ca="1" si="82"/>
        <v>#NAME?</v>
      </c>
      <c r="BV113" s="2" t="e">
        <f ca="1"/>
        <v>#NAME?</v>
      </c>
      <c r="BW113" s="2" t="e">
        <f t="shared" ca="1" si="83"/>
        <v>#NAME?</v>
      </c>
      <c r="BX113" s="2" t="e">
        <f ca="1"/>
        <v>#NAME?</v>
      </c>
      <c r="BY113" s="2" t="e">
        <f t="shared" ca="1" si="84"/>
        <v>#NAME?</v>
      </c>
      <c r="BZ113" s="2" t="e">
        <f ca="1"/>
        <v>#NAME?</v>
      </c>
      <c r="CA113" s="2" t="e">
        <f t="shared" ca="1" si="85"/>
        <v>#NAME?</v>
      </c>
      <c r="CB113" s="2" t="e">
        <f ca="1"/>
        <v>#NAME?</v>
      </c>
      <c r="CC113" s="2" t="e">
        <f t="shared" ca="1" si="86"/>
        <v>#NAME?</v>
      </c>
      <c r="CD113" s="2" t="e">
        <f ca="1"/>
        <v>#NAME?</v>
      </c>
      <c r="CE113" s="2" t="e">
        <f t="shared" ca="1" si="87"/>
        <v>#NAME?</v>
      </c>
      <c r="CF113" s="2" t="e">
        <f ca="1"/>
        <v>#NAME?</v>
      </c>
      <c r="CG113" s="2" t="e">
        <f t="shared" ca="1" si="88"/>
        <v>#NAME?</v>
      </c>
      <c r="CH113" s="2" t="e">
        <f ca="1"/>
        <v>#NAME?</v>
      </c>
      <c r="CI113" s="2" t="e">
        <f t="shared" ca="1" si="89"/>
        <v>#NAME?</v>
      </c>
      <c r="CJ113" s="2" t="e">
        <f ca="1"/>
        <v>#NAME?</v>
      </c>
      <c r="CK113" s="2" t="e">
        <f t="shared" ca="1" si="90"/>
        <v>#NAME?</v>
      </c>
      <c r="CL113" s="2" t="e">
        <f ca="1"/>
        <v>#NAME?</v>
      </c>
      <c r="CM113" s="2" t="e">
        <f t="shared" ca="1" si="91"/>
        <v>#NAME?</v>
      </c>
      <c r="CN113" s="2" t="e">
        <f ca="1"/>
        <v>#NAME?</v>
      </c>
      <c r="CO113" s="2" t="e">
        <f t="shared" ca="1" si="92"/>
        <v>#NAME?</v>
      </c>
      <c r="CP113" s="2" t="e">
        <f ca="1"/>
        <v>#NAME?</v>
      </c>
      <c r="CQ113" s="2" t="e">
        <f t="shared" ca="1" si="93"/>
        <v>#NAME?</v>
      </c>
    </row>
    <row r="114" spans="1:95">
      <c r="A114" s="7" t="e">
        <f ca="1"/>
        <v>#NAME?</v>
      </c>
      <c r="B114" s="2" t="e">
        <f ca="1"/>
        <v>#NAME?</v>
      </c>
      <c r="C114" s="2" t="e">
        <f t="shared" ca="1" si="47"/>
        <v>#NAME?</v>
      </c>
      <c r="D114" s="2" t="e">
        <f ca="1"/>
        <v>#NAME?</v>
      </c>
      <c r="E114" s="2" t="e">
        <f t="shared" ca="1" si="48"/>
        <v>#NAME?</v>
      </c>
      <c r="F114" s="2" t="e">
        <f ca="1"/>
        <v>#NAME?</v>
      </c>
      <c r="G114" s="2" t="e">
        <f t="shared" ca="1" si="49"/>
        <v>#NAME?</v>
      </c>
      <c r="H114" s="2" t="e">
        <f ca="1"/>
        <v>#NAME?</v>
      </c>
      <c r="I114" s="2" t="e">
        <f t="shared" ca="1" si="50"/>
        <v>#NAME?</v>
      </c>
      <c r="J114" s="2" t="e">
        <f ca="1"/>
        <v>#NAME?</v>
      </c>
      <c r="K114" s="2" t="e">
        <f t="shared" ca="1" si="51"/>
        <v>#NAME?</v>
      </c>
      <c r="L114" s="2" t="e">
        <f ca="1"/>
        <v>#NAME?</v>
      </c>
      <c r="M114" s="2" t="e">
        <f t="shared" ca="1" si="52"/>
        <v>#NAME?</v>
      </c>
      <c r="N114" s="2" t="e">
        <f ca="1"/>
        <v>#NAME?</v>
      </c>
      <c r="O114" s="2" t="e">
        <f t="shared" ca="1" si="53"/>
        <v>#NAME?</v>
      </c>
      <c r="P114" s="2" t="e">
        <f ca="1"/>
        <v>#NAME?</v>
      </c>
      <c r="Q114" s="2" t="e">
        <f t="shared" ca="1" si="54"/>
        <v>#NAME?</v>
      </c>
      <c r="R114" s="2" t="e">
        <f ca="1"/>
        <v>#NAME?</v>
      </c>
      <c r="S114" s="2" t="e">
        <f t="shared" ca="1" si="55"/>
        <v>#NAME?</v>
      </c>
      <c r="T114" s="2" t="e">
        <f ca="1"/>
        <v>#NAME?</v>
      </c>
      <c r="U114" s="2" t="e">
        <f t="shared" ca="1" si="56"/>
        <v>#NAME?</v>
      </c>
      <c r="V114" s="2" t="e">
        <f ca="1"/>
        <v>#NAME?</v>
      </c>
      <c r="W114" s="2" t="e">
        <f t="shared" ca="1" si="57"/>
        <v>#NAME?</v>
      </c>
      <c r="X114" s="2" t="e">
        <f ca="1"/>
        <v>#NAME?</v>
      </c>
      <c r="Y114" s="2" t="e">
        <f t="shared" ca="1" si="58"/>
        <v>#NAME?</v>
      </c>
      <c r="Z114" s="2" t="e">
        <f ca="1"/>
        <v>#NAME?</v>
      </c>
      <c r="AA114" s="2" t="e">
        <f t="shared" ca="1" si="59"/>
        <v>#NAME?</v>
      </c>
      <c r="AB114" s="2" t="e">
        <f ca="1"/>
        <v>#NAME?</v>
      </c>
      <c r="AC114" s="2" t="e">
        <f t="shared" ca="1" si="60"/>
        <v>#NAME?</v>
      </c>
      <c r="AD114" s="2" t="e">
        <f ca="1"/>
        <v>#NAME?</v>
      </c>
      <c r="AE114" s="2" t="e">
        <f t="shared" ca="1" si="61"/>
        <v>#NAME?</v>
      </c>
      <c r="AF114" s="2" t="e">
        <f ca="1"/>
        <v>#NAME?</v>
      </c>
      <c r="AG114" s="2" t="e">
        <f t="shared" ca="1" si="62"/>
        <v>#NAME?</v>
      </c>
      <c r="AH114" s="2" t="e">
        <f ca="1"/>
        <v>#NAME?</v>
      </c>
      <c r="AI114" s="2" t="e">
        <f t="shared" ca="1" si="63"/>
        <v>#NAME?</v>
      </c>
      <c r="AJ114" s="2" t="e">
        <f ca="1"/>
        <v>#NAME?</v>
      </c>
      <c r="AK114" s="2" t="e">
        <f t="shared" ca="1" si="64"/>
        <v>#NAME?</v>
      </c>
      <c r="AL114" s="2" t="e">
        <f ca="1"/>
        <v>#NAME?</v>
      </c>
      <c r="AM114" s="2" t="e">
        <f t="shared" ca="1" si="65"/>
        <v>#NAME?</v>
      </c>
      <c r="AN114" s="2" t="e">
        <f ca="1"/>
        <v>#NAME?</v>
      </c>
      <c r="AO114" s="2" t="e">
        <f t="shared" ca="1" si="66"/>
        <v>#NAME?</v>
      </c>
      <c r="AP114" s="2" t="e">
        <f ca="1"/>
        <v>#NAME?</v>
      </c>
      <c r="AQ114" s="2" t="e">
        <f t="shared" ca="1" si="67"/>
        <v>#NAME?</v>
      </c>
      <c r="AR114" s="2" t="e">
        <f ca="1"/>
        <v>#NAME?</v>
      </c>
      <c r="AS114" s="2" t="e">
        <f t="shared" ca="1" si="68"/>
        <v>#NAME?</v>
      </c>
      <c r="AT114" s="2" t="e">
        <f ca="1"/>
        <v>#NAME?</v>
      </c>
      <c r="AU114" s="2" t="e">
        <f t="shared" ca="1" si="69"/>
        <v>#NAME?</v>
      </c>
      <c r="AV114" s="2" t="e">
        <f ca="1"/>
        <v>#NAME?</v>
      </c>
      <c r="AW114" s="2" t="e">
        <f t="shared" ca="1" si="70"/>
        <v>#NAME?</v>
      </c>
      <c r="AX114" s="2" t="e">
        <f ca="1"/>
        <v>#NAME?</v>
      </c>
      <c r="AY114" s="2" t="e">
        <f t="shared" ca="1" si="71"/>
        <v>#NAME?</v>
      </c>
      <c r="AZ114" s="2" t="e">
        <f ca="1"/>
        <v>#NAME?</v>
      </c>
      <c r="BA114" s="2" t="e">
        <f t="shared" ca="1" si="72"/>
        <v>#NAME?</v>
      </c>
      <c r="BB114" s="2" t="e">
        <f ca="1"/>
        <v>#NAME?</v>
      </c>
      <c r="BC114" s="2" t="e">
        <f t="shared" ca="1" si="73"/>
        <v>#NAME?</v>
      </c>
      <c r="BD114" s="2" t="e">
        <f ca="1"/>
        <v>#NAME?</v>
      </c>
      <c r="BE114" s="2" t="e">
        <f t="shared" ca="1" si="74"/>
        <v>#NAME?</v>
      </c>
      <c r="BF114" s="2" t="e">
        <f ca="1"/>
        <v>#NAME?</v>
      </c>
      <c r="BG114" s="2" t="e">
        <f t="shared" ca="1" si="75"/>
        <v>#NAME?</v>
      </c>
      <c r="BH114" s="2" t="e">
        <f ca="1"/>
        <v>#NAME?</v>
      </c>
      <c r="BI114" s="2" t="e">
        <f t="shared" ca="1" si="76"/>
        <v>#NAME?</v>
      </c>
      <c r="BJ114" s="2" t="e">
        <f ca="1"/>
        <v>#NAME?</v>
      </c>
      <c r="BK114" s="2" t="e">
        <f t="shared" ca="1" si="77"/>
        <v>#NAME?</v>
      </c>
      <c r="BL114" s="2" t="e">
        <f ca="1"/>
        <v>#NAME?</v>
      </c>
      <c r="BM114" s="2" t="e">
        <f t="shared" ca="1" si="78"/>
        <v>#NAME?</v>
      </c>
      <c r="BN114" s="2" t="e">
        <f ca="1"/>
        <v>#NAME?</v>
      </c>
      <c r="BO114" s="2" t="e">
        <f t="shared" ca="1" si="79"/>
        <v>#NAME?</v>
      </c>
      <c r="BP114" s="2" t="e">
        <f ca="1"/>
        <v>#NAME?</v>
      </c>
      <c r="BQ114" s="2" t="e">
        <f t="shared" ca="1" si="80"/>
        <v>#NAME?</v>
      </c>
      <c r="BR114" s="2" t="e">
        <f ca="1"/>
        <v>#NAME?</v>
      </c>
      <c r="BS114" s="2" t="e">
        <f t="shared" ca="1" si="81"/>
        <v>#NAME?</v>
      </c>
      <c r="BT114" s="2" t="e">
        <f ca="1"/>
        <v>#NAME?</v>
      </c>
      <c r="BU114" s="2" t="e">
        <f t="shared" ca="1" si="82"/>
        <v>#NAME?</v>
      </c>
      <c r="BV114" s="2" t="e">
        <f ca="1"/>
        <v>#NAME?</v>
      </c>
      <c r="BW114" s="2" t="e">
        <f t="shared" ca="1" si="83"/>
        <v>#NAME?</v>
      </c>
      <c r="BX114" s="2" t="e">
        <f ca="1"/>
        <v>#NAME?</v>
      </c>
      <c r="BY114" s="2" t="e">
        <f t="shared" ca="1" si="84"/>
        <v>#NAME?</v>
      </c>
      <c r="BZ114" s="2" t="e">
        <f ca="1"/>
        <v>#NAME?</v>
      </c>
      <c r="CA114" s="2" t="e">
        <f t="shared" ca="1" si="85"/>
        <v>#NAME?</v>
      </c>
      <c r="CB114" s="2" t="e">
        <f ca="1"/>
        <v>#NAME?</v>
      </c>
      <c r="CC114" s="2" t="e">
        <f t="shared" ca="1" si="86"/>
        <v>#NAME?</v>
      </c>
      <c r="CD114" s="2" t="e">
        <f ca="1"/>
        <v>#NAME?</v>
      </c>
      <c r="CE114" s="2" t="e">
        <f t="shared" ca="1" si="87"/>
        <v>#NAME?</v>
      </c>
      <c r="CF114" s="2" t="e">
        <f ca="1"/>
        <v>#NAME?</v>
      </c>
      <c r="CG114" s="2" t="e">
        <f t="shared" ca="1" si="88"/>
        <v>#NAME?</v>
      </c>
      <c r="CH114" s="2" t="e">
        <f ca="1"/>
        <v>#NAME?</v>
      </c>
      <c r="CI114" s="2" t="e">
        <f t="shared" ca="1" si="89"/>
        <v>#NAME?</v>
      </c>
      <c r="CJ114" s="2" t="e">
        <f ca="1"/>
        <v>#NAME?</v>
      </c>
      <c r="CK114" s="2" t="e">
        <f t="shared" ca="1" si="90"/>
        <v>#NAME?</v>
      </c>
      <c r="CL114" s="2" t="e">
        <f ca="1"/>
        <v>#NAME?</v>
      </c>
      <c r="CM114" s="2" t="e">
        <f t="shared" ca="1" si="91"/>
        <v>#NAME?</v>
      </c>
      <c r="CN114" s="2" t="e">
        <f ca="1"/>
        <v>#NAME?</v>
      </c>
      <c r="CO114" s="2" t="e">
        <f t="shared" ca="1" si="92"/>
        <v>#NAME?</v>
      </c>
      <c r="CP114" s="2" t="e">
        <f ca="1"/>
        <v>#NAME?</v>
      </c>
      <c r="CQ114" s="2" t="e">
        <f t="shared" ca="1" si="93"/>
        <v>#NAME?</v>
      </c>
    </row>
    <row r="115" spans="1:95">
      <c r="A115" s="7" t="e">
        <f ca="1"/>
        <v>#NAME?</v>
      </c>
      <c r="B115" s="2" t="e">
        <f ca="1"/>
        <v>#NAME?</v>
      </c>
      <c r="C115" s="2" t="e">
        <f t="shared" ca="1" si="47"/>
        <v>#NAME?</v>
      </c>
      <c r="D115" s="2" t="e">
        <f ca="1"/>
        <v>#NAME?</v>
      </c>
      <c r="E115" s="2" t="e">
        <f t="shared" ca="1" si="48"/>
        <v>#NAME?</v>
      </c>
      <c r="F115" s="2" t="e">
        <f ca="1"/>
        <v>#NAME?</v>
      </c>
      <c r="G115" s="2" t="e">
        <f t="shared" ca="1" si="49"/>
        <v>#NAME?</v>
      </c>
      <c r="H115" s="2" t="e">
        <f ca="1"/>
        <v>#NAME?</v>
      </c>
      <c r="I115" s="2" t="e">
        <f t="shared" ca="1" si="50"/>
        <v>#NAME?</v>
      </c>
      <c r="J115" s="2" t="e">
        <f ca="1"/>
        <v>#NAME?</v>
      </c>
      <c r="K115" s="2" t="e">
        <f t="shared" ca="1" si="51"/>
        <v>#NAME?</v>
      </c>
      <c r="L115" s="2" t="e">
        <f ca="1"/>
        <v>#NAME?</v>
      </c>
      <c r="M115" s="2" t="e">
        <f t="shared" ca="1" si="52"/>
        <v>#NAME?</v>
      </c>
      <c r="N115" s="2" t="e">
        <f ca="1"/>
        <v>#NAME?</v>
      </c>
      <c r="O115" s="2" t="e">
        <f t="shared" ca="1" si="53"/>
        <v>#NAME?</v>
      </c>
      <c r="P115" s="2" t="e">
        <f ca="1"/>
        <v>#NAME?</v>
      </c>
      <c r="Q115" s="2" t="e">
        <f t="shared" ca="1" si="54"/>
        <v>#NAME?</v>
      </c>
      <c r="R115" s="2" t="e">
        <f ca="1"/>
        <v>#NAME?</v>
      </c>
      <c r="S115" s="2" t="e">
        <f t="shared" ca="1" si="55"/>
        <v>#NAME?</v>
      </c>
      <c r="T115" s="2" t="e">
        <f ca="1"/>
        <v>#NAME?</v>
      </c>
      <c r="U115" s="2" t="e">
        <f t="shared" ca="1" si="56"/>
        <v>#NAME?</v>
      </c>
      <c r="V115" s="2" t="e">
        <f ca="1"/>
        <v>#NAME?</v>
      </c>
      <c r="W115" s="2" t="e">
        <f t="shared" ca="1" si="57"/>
        <v>#NAME?</v>
      </c>
      <c r="X115" s="2" t="e">
        <f ca="1"/>
        <v>#NAME?</v>
      </c>
      <c r="Y115" s="2" t="e">
        <f t="shared" ca="1" si="58"/>
        <v>#NAME?</v>
      </c>
      <c r="Z115" s="2" t="e">
        <f ca="1"/>
        <v>#NAME?</v>
      </c>
      <c r="AA115" s="2" t="e">
        <f t="shared" ca="1" si="59"/>
        <v>#NAME?</v>
      </c>
      <c r="AB115" s="2" t="e">
        <f ca="1"/>
        <v>#NAME?</v>
      </c>
      <c r="AC115" s="2" t="e">
        <f t="shared" ca="1" si="60"/>
        <v>#NAME?</v>
      </c>
      <c r="AD115" s="2" t="e">
        <f ca="1"/>
        <v>#NAME?</v>
      </c>
      <c r="AE115" s="2" t="e">
        <f t="shared" ca="1" si="61"/>
        <v>#NAME?</v>
      </c>
      <c r="AF115" s="2" t="e">
        <f ca="1"/>
        <v>#NAME?</v>
      </c>
      <c r="AG115" s="2" t="e">
        <f t="shared" ca="1" si="62"/>
        <v>#NAME?</v>
      </c>
      <c r="AH115" s="2" t="e">
        <f ca="1"/>
        <v>#NAME?</v>
      </c>
      <c r="AI115" s="2" t="e">
        <f t="shared" ca="1" si="63"/>
        <v>#NAME?</v>
      </c>
      <c r="AJ115" s="2" t="e">
        <f ca="1"/>
        <v>#NAME?</v>
      </c>
      <c r="AK115" s="2" t="e">
        <f t="shared" ca="1" si="64"/>
        <v>#NAME?</v>
      </c>
      <c r="AL115" s="2" t="e">
        <f ca="1"/>
        <v>#NAME?</v>
      </c>
      <c r="AM115" s="2" t="e">
        <f t="shared" ca="1" si="65"/>
        <v>#NAME?</v>
      </c>
      <c r="AN115" s="2" t="e">
        <f ca="1"/>
        <v>#NAME?</v>
      </c>
      <c r="AO115" s="2" t="e">
        <f t="shared" ca="1" si="66"/>
        <v>#NAME?</v>
      </c>
      <c r="AP115" s="2" t="e">
        <f ca="1"/>
        <v>#NAME?</v>
      </c>
      <c r="AQ115" s="2" t="e">
        <f t="shared" ca="1" si="67"/>
        <v>#NAME?</v>
      </c>
      <c r="AR115" s="2" t="e">
        <f ca="1"/>
        <v>#NAME?</v>
      </c>
      <c r="AS115" s="2" t="e">
        <f t="shared" ca="1" si="68"/>
        <v>#NAME?</v>
      </c>
      <c r="AT115" s="2" t="e">
        <f ca="1"/>
        <v>#NAME?</v>
      </c>
      <c r="AU115" s="2" t="e">
        <f t="shared" ca="1" si="69"/>
        <v>#NAME?</v>
      </c>
      <c r="AV115" s="2" t="e">
        <f ca="1"/>
        <v>#NAME?</v>
      </c>
      <c r="AW115" s="2" t="e">
        <f t="shared" ca="1" si="70"/>
        <v>#NAME?</v>
      </c>
      <c r="AX115" s="2" t="e">
        <f ca="1"/>
        <v>#NAME?</v>
      </c>
      <c r="AY115" s="2" t="e">
        <f t="shared" ca="1" si="71"/>
        <v>#NAME?</v>
      </c>
      <c r="AZ115" s="2" t="e">
        <f ca="1"/>
        <v>#NAME?</v>
      </c>
      <c r="BA115" s="2" t="e">
        <f t="shared" ca="1" si="72"/>
        <v>#NAME?</v>
      </c>
      <c r="BB115" s="2" t="e">
        <f ca="1"/>
        <v>#NAME?</v>
      </c>
      <c r="BC115" s="2" t="e">
        <f t="shared" ca="1" si="73"/>
        <v>#NAME?</v>
      </c>
      <c r="BD115" s="2" t="e">
        <f ca="1"/>
        <v>#NAME?</v>
      </c>
      <c r="BE115" s="2" t="e">
        <f t="shared" ca="1" si="74"/>
        <v>#NAME?</v>
      </c>
      <c r="BF115" s="2" t="e">
        <f ca="1"/>
        <v>#NAME?</v>
      </c>
      <c r="BG115" s="2" t="e">
        <f t="shared" ca="1" si="75"/>
        <v>#NAME?</v>
      </c>
      <c r="BH115" s="2" t="e">
        <f ca="1"/>
        <v>#NAME?</v>
      </c>
      <c r="BI115" s="2" t="e">
        <f t="shared" ca="1" si="76"/>
        <v>#NAME?</v>
      </c>
      <c r="BJ115" s="2" t="e">
        <f ca="1"/>
        <v>#NAME?</v>
      </c>
      <c r="BK115" s="2" t="e">
        <f t="shared" ca="1" si="77"/>
        <v>#NAME?</v>
      </c>
      <c r="BL115" s="2" t="e">
        <f ca="1"/>
        <v>#NAME?</v>
      </c>
      <c r="BM115" s="2" t="e">
        <f t="shared" ca="1" si="78"/>
        <v>#NAME?</v>
      </c>
      <c r="BN115" s="2" t="e">
        <f ca="1"/>
        <v>#NAME?</v>
      </c>
      <c r="BO115" s="2" t="e">
        <f t="shared" ca="1" si="79"/>
        <v>#NAME?</v>
      </c>
      <c r="BP115" s="2" t="e">
        <f ca="1"/>
        <v>#NAME?</v>
      </c>
      <c r="BQ115" s="2" t="e">
        <f t="shared" ca="1" si="80"/>
        <v>#NAME?</v>
      </c>
      <c r="BR115" s="2" t="e">
        <f ca="1"/>
        <v>#NAME?</v>
      </c>
      <c r="BS115" s="2" t="e">
        <f t="shared" ca="1" si="81"/>
        <v>#NAME?</v>
      </c>
      <c r="BT115" s="2" t="e">
        <f ca="1"/>
        <v>#NAME?</v>
      </c>
      <c r="BU115" s="2" t="e">
        <f t="shared" ca="1" si="82"/>
        <v>#NAME?</v>
      </c>
      <c r="BV115" s="2" t="e">
        <f ca="1"/>
        <v>#NAME?</v>
      </c>
      <c r="BW115" s="2" t="e">
        <f t="shared" ca="1" si="83"/>
        <v>#NAME?</v>
      </c>
      <c r="BX115" s="2" t="e">
        <f ca="1"/>
        <v>#NAME?</v>
      </c>
      <c r="BY115" s="2" t="e">
        <f t="shared" ca="1" si="84"/>
        <v>#NAME?</v>
      </c>
      <c r="BZ115" s="2" t="e">
        <f ca="1"/>
        <v>#NAME?</v>
      </c>
      <c r="CA115" s="2" t="e">
        <f t="shared" ca="1" si="85"/>
        <v>#NAME?</v>
      </c>
      <c r="CB115" s="2" t="e">
        <f ca="1"/>
        <v>#NAME?</v>
      </c>
      <c r="CC115" s="2" t="e">
        <f t="shared" ca="1" si="86"/>
        <v>#NAME?</v>
      </c>
      <c r="CD115" s="2" t="e">
        <f ca="1"/>
        <v>#NAME?</v>
      </c>
      <c r="CE115" s="2" t="e">
        <f t="shared" ca="1" si="87"/>
        <v>#NAME?</v>
      </c>
      <c r="CF115" s="2" t="e">
        <f ca="1"/>
        <v>#NAME?</v>
      </c>
      <c r="CG115" s="2" t="e">
        <f t="shared" ca="1" si="88"/>
        <v>#NAME?</v>
      </c>
      <c r="CH115" s="2" t="e">
        <f ca="1"/>
        <v>#NAME?</v>
      </c>
      <c r="CI115" s="2" t="e">
        <f t="shared" ca="1" si="89"/>
        <v>#NAME?</v>
      </c>
      <c r="CJ115" s="2" t="e">
        <f ca="1"/>
        <v>#NAME?</v>
      </c>
      <c r="CK115" s="2" t="e">
        <f t="shared" ca="1" si="90"/>
        <v>#NAME?</v>
      </c>
      <c r="CL115" s="2" t="e">
        <f ca="1"/>
        <v>#NAME?</v>
      </c>
      <c r="CM115" s="2" t="e">
        <f t="shared" ca="1" si="91"/>
        <v>#NAME?</v>
      </c>
      <c r="CN115" s="2" t="e">
        <f ca="1"/>
        <v>#NAME?</v>
      </c>
      <c r="CO115" s="2" t="e">
        <f t="shared" ca="1" si="92"/>
        <v>#NAME?</v>
      </c>
      <c r="CP115" s="2" t="e">
        <f ca="1"/>
        <v>#NAME?</v>
      </c>
      <c r="CQ115" s="2" t="e">
        <f t="shared" ca="1" si="93"/>
        <v>#NAME?</v>
      </c>
    </row>
    <row r="116" spans="1:95">
      <c r="A116" s="7" t="e">
        <f ca="1"/>
        <v>#NAME?</v>
      </c>
      <c r="B116" s="2" t="e">
        <f ca="1"/>
        <v>#NAME?</v>
      </c>
      <c r="C116" s="2" t="e">
        <f t="shared" ca="1" si="47"/>
        <v>#NAME?</v>
      </c>
      <c r="D116" s="2" t="e">
        <f ca="1"/>
        <v>#NAME?</v>
      </c>
      <c r="E116" s="2" t="e">
        <f t="shared" ca="1" si="48"/>
        <v>#NAME?</v>
      </c>
      <c r="F116" s="2" t="e">
        <f ca="1"/>
        <v>#NAME?</v>
      </c>
      <c r="G116" s="2" t="e">
        <f t="shared" ca="1" si="49"/>
        <v>#NAME?</v>
      </c>
      <c r="H116" s="2" t="e">
        <f ca="1"/>
        <v>#NAME?</v>
      </c>
      <c r="I116" s="2" t="e">
        <f t="shared" ca="1" si="50"/>
        <v>#NAME?</v>
      </c>
      <c r="J116" s="2" t="e">
        <f ca="1"/>
        <v>#NAME?</v>
      </c>
      <c r="K116" s="2" t="e">
        <f t="shared" ca="1" si="51"/>
        <v>#NAME?</v>
      </c>
      <c r="L116" s="2" t="e">
        <f ca="1"/>
        <v>#NAME?</v>
      </c>
      <c r="M116" s="2" t="e">
        <f t="shared" ca="1" si="52"/>
        <v>#NAME?</v>
      </c>
      <c r="N116" s="2" t="e">
        <f ca="1"/>
        <v>#NAME?</v>
      </c>
      <c r="O116" s="2" t="e">
        <f t="shared" ca="1" si="53"/>
        <v>#NAME?</v>
      </c>
      <c r="P116" s="2" t="e">
        <f ca="1"/>
        <v>#NAME?</v>
      </c>
      <c r="Q116" s="2" t="e">
        <f t="shared" ca="1" si="54"/>
        <v>#NAME?</v>
      </c>
      <c r="R116" s="2" t="e">
        <f ca="1"/>
        <v>#NAME?</v>
      </c>
      <c r="S116" s="2" t="e">
        <f t="shared" ca="1" si="55"/>
        <v>#NAME?</v>
      </c>
      <c r="T116" s="2" t="e">
        <f ca="1"/>
        <v>#NAME?</v>
      </c>
      <c r="U116" s="2" t="e">
        <f t="shared" ca="1" si="56"/>
        <v>#NAME?</v>
      </c>
      <c r="V116" s="2" t="e">
        <f ca="1"/>
        <v>#NAME?</v>
      </c>
      <c r="W116" s="2" t="e">
        <f t="shared" ca="1" si="57"/>
        <v>#NAME?</v>
      </c>
      <c r="X116" s="2" t="e">
        <f ca="1"/>
        <v>#NAME?</v>
      </c>
      <c r="Y116" s="2" t="e">
        <f t="shared" ca="1" si="58"/>
        <v>#NAME?</v>
      </c>
      <c r="Z116" s="2" t="e">
        <f ca="1"/>
        <v>#NAME?</v>
      </c>
      <c r="AA116" s="2" t="e">
        <f t="shared" ca="1" si="59"/>
        <v>#NAME?</v>
      </c>
      <c r="AB116" s="2" t="e">
        <f ca="1"/>
        <v>#NAME?</v>
      </c>
      <c r="AC116" s="2" t="e">
        <f t="shared" ca="1" si="60"/>
        <v>#NAME?</v>
      </c>
      <c r="AD116" s="2" t="e">
        <f ca="1"/>
        <v>#NAME?</v>
      </c>
      <c r="AE116" s="2" t="e">
        <f t="shared" ca="1" si="61"/>
        <v>#NAME?</v>
      </c>
      <c r="AF116" s="2" t="e">
        <f ca="1"/>
        <v>#NAME?</v>
      </c>
      <c r="AG116" s="2" t="e">
        <f t="shared" ca="1" si="62"/>
        <v>#NAME?</v>
      </c>
      <c r="AH116" s="2" t="e">
        <f ca="1"/>
        <v>#NAME?</v>
      </c>
      <c r="AI116" s="2" t="e">
        <f t="shared" ca="1" si="63"/>
        <v>#NAME?</v>
      </c>
      <c r="AJ116" s="2" t="e">
        <f ca="1"/>
        <v>#NAME?</v>
      </c>
      <c r="AK116" s="2" t="e">
        <f t="shared" ca="1" si="64"/>
        <v>#NAME?</v>
      </c>
      <c r="AL116" s="2" t="e">
        <f ca="1"/>
        <v>#NAME?</v>
      </c>
      <c r="AM116" s="2" t="e">
        <f t="shared" ca="1" si="65"/>
        <v>#NAME?</v>
      </c>
      <c r="AN116" s="2" t="e">
        <f ca="1"/>
        <v>#NAME?</v>
      </c>
      <c r="AO116" s="2" t="e">
        <f t="shared" ca="1" si="66"/>
        <v>#NAME?</v>
      </c>
      <c r="AP116" s="2" t="e">
        <f ca="1"/>
        <v>#NAME?</v>
      </c>
      <c r="AQ116" s="2" t="e">
        <f t="shared" ca="1" si="67"/>
        <v>#NAME?</v>
      </c>
      <c r="AR116" s="2" t="e">
        <f ca="1"/>
        <v>#NAME?</v>
      </c>
      <c r="AS116" s="2" t="e">
        <f t="shared" ca="1" si="68"/>
        <v>#NAME?</v>
      </c>
      <c r="AT116" s="2" t="e">
        <f ca="1"/>
        <v>#NAME?</v>
      </c>
      <c r="AU116" s="2" t="e">
        <f t="shared" ca="1" si="69"/>
        <v>#NAME?</v>
      </c>
      <c r="AV116" s="2" t="e">
        <f ca="1"/>
        <v>#NAME?</v>
      </c>
      <c r="AW116" s="2" t="e">
        <f t="shared" ca="1" si="70"/>
        <v>#NAME?</v>
      </c>
      <c r="AX116" s="2" t="e">
        <f ca="1"/>
        <v>#NAME?</v>
      </c>
      <c r="AY116" s="2" t="e">
        <f t="shared" ca="1" si="71"/>
        <v>#NAME?</v>
      </c>
      <c r="AZ116" s="2" t="e">
        <f ca="1"/>
        <v>#NAME?</v>
      </c>
      <c r="BA116" s="2" t="e">
        <f t="shared" ca="1" si="72"/>
        <v>#NAME?</v>
      </c>
      <c r="BB116" s="2" t="e">
        <f ca="1"/>
        <v>#NAME?</v>
      </c>
      <c r="BC116" s="2" t="e">
        <f t="shared" ca="1" si="73"/>
        <v>#NAME?</v>
      </c>
      <c r="BD116" s="2" t="e">
        <f ca="1"/>
        <v>#NAME?</v>
      </c>
      <c r="BE116" s="2" t="e">
        <f t="shared" ca="1" si="74"/>
        <v>#NAME?</v>
      </c>
      <c r="BF116" s="2" t="e">
        <f ca="1"/>
        <v>#NAME?</v>
      </c>
      <c r="BG116" s="2" t="e">
        <f t="shared" ca="1" si="75"/>
        <v>#NAME?</v>
      </c>
      <c r="BH116" s="2" t="e">
        <f ca="1"/>
        <v>#NAME?</v>
      </c>
      <c r="BI116" s="2" t="e">
        <f t="shared" ca="1" si="76"/>
        <v>#NAME?</v>
      </c>
      <c r="BJ116" s="2" t="e">
        <f ca="1"/>
        <v>#NAME?</v>
      </c>
      <c r="BK116" s="2" t="e">
        <f t="shared" ca="1" si="77"/>
        <v>#NAME?</v>
      </c>
      <c r="BL116" s="2" t="e">
        <f ca="1"/>
        <v>#NAME?</v>
      </c>
      <c r="BM116" s="2" t="e">
        <f t="shared" ca="1" si="78"/>
        <v>#NAME?</v>
      </c>
      <c r="BN116" s="2" t="e">
        <f ca="1"/>
        <v>#NAME?</v>
      </c>
      <c r="BO116" s="2" t="e">
        <f t="shared" ca="1" si="79"/>
        <v>#NAME?</v>
      </c>
      <c r="BP116" s="2" t="e">
        <f ca="1"/>
        <v>#NAME?</v>
      </c>
      <c r="BQ116" s="2" t="e">
        <f t="shared" ca="1" si="80"/>
        <v>#NAME?</v>
      </c>
      <c r="BR116" s="2" t="e">
        <f ca="1"/>
        <v>#NAME?</v>
      </c>
      <c r="BS116" s="2" t="e">
        <f t="shared" ca="1" si="81"/>
        <v>#NAME?</v>
      </c>
      <c r="BT116" s="2" t="e">
        <f ca="1"/>
        <v>#NAME?</v>
      </c>
      <c r="BU116" s="2" t="e">
        <f t="shared" ca="1" si="82"/>
        <v>#NAME?</v>
      </c>
      <c r="BV116" s="2" t="e">
        <f ca="1"/>
        <v>#NAME?</v>
      </c>
      <c r="BW116" s="2" t="e">
        <f t="shared" ca="1" si="83"/>
        <v>#NAME?</v>
      </c>
      <c r="BX116" s="2" t="e">
        <f ca="1"/>
        <v>#NAME?</v>
      </c>
      <c r="BY116" s="2" t="e">
        <f t="shared" ca="1" si="84"/>
        <v>#NAME?</v>
      </c>
      <c r="BZ116" s="2" t="e">
        <f ca="1"/>
        <v>#NAME?</v>
      </c>
      <c r="CA116" s="2" t="e">
        <f t="shared" ca="1" si="85"/>
        <v>#NAME?</v>
      </c>
      <c r="CB116" s="2" t="e">
        <f ca="1"/>
        <v>#NAME?</v>
      </c>
      <c r="CC116" s="2" t="e">
        <f t="shared" ca="1" si="86"/>
        <v>#NAME?</v>
      </c>
      <c r="CD116" s="2" t="e">
        <f ca="1"/>
        <v>#NAME?</v>
      </c>
      <c r="CE116" s="2" t="e">
        <f t="shared" ca="1" si="87"/>
        <v>#NAME?</v>
      </c>
      <c r="CF116" s="2" t="e">
        <f ca="1"/>
        <v>#NAME?</v>
      </c>
      <c r="CG116" s="2" t="e">
        <f t="shared" ca="1" si="88"/>
        <v>#NAME?</v>
      </c>
      <c r="CH116" s="2" t="e">
        <f ca="1"/>
        <v>#NAME?</v>
      </c>
      <c r="CI116" s="2" t="e">
        <f t="shared" ca="1" si="89"/>
        <v>#NAME?</v>
      </c>
      <c r="CJ116" s="2" t="e">
        <f ca="1"/>
        <v>#NAME?</v>
      </c>
      <c r="CK116" s="2" t="e">
        <f t="shared" ca="1" si="90"/>
        <v>#NAME?</v>
      </c>
      <c r="CL116" s="2" t="e">
        <f ca="1"/>
        <v>#NAME?</v>
      </c>
      <c r="CM116" s="2" t="e">
        <f t="shared" ca="1" si="91"/>
        <v>#NAME?</v>
      </c>
      <c r="CN116" s="2" t="e">
        <f ca="1"/>
        <v>#NAME?</v>
      </c>
      <c r="CO116" s="2" t="e">
        <f t="shared" ca="1" si="92"/>
        <v>#NAME?</v>
      </c>
      <c r="CP116" s="2" t="e">
        <f ca="1"/>
        <v>#NAME?</v>
      </c>
      <c r="CQ116" s="2" t="e">
        <f t="shared" ca="1" si="93"/>
        <v>#NAME?</v>
      </c>
    </row>
    <row r="117" spans="1:95">
      <c r="A117" s="7" t="e">
        <f ca="1"/>
        <v>#NAME?</v>
      </c>
      <c r="B117" s="2" t="e">
        <f ca="1"/>
        <v>#NAME?</v>
      </c>
      <c r="C117" s="2" t="e">
        <f t="shared" ca="1" si="47"/>
        <v>#NAME?</v>
      </c>
      <c r="D117" s="2" t="e">
        <f ca="1"/>
        <v>#NAME?</v>
      </c>
      <c r="E117" s="2" t="e">
        <f t="shared" ca="1" si="48"/>
        <v>#NAME?</v>
      </c>
      <c r="F117" s="2" t="e">
        <f ca="1"/>
        <v>#NAME?</v>
      </c>
      <c r="G117" s="2" t="e">
        <f t="shared" ca="1" si="49"/>
        <v>#NAME?</v>
      </c>
      <c r="H117" s="2" t="e">
        <f ca="1"/>
        <v>#NAME?</v>
      </c>
      <c r="I117" s="2" t="e">
        <f t="shared" ca="1" si="50"/>
        <v>#NAME?</v>
      </c>
      <c r="J117" s="2" t="e">
        <f ca="1"/>
        <v>#NAME?</v>
      </c>
      <c r="K117" s="2" t="e">
        <f t="shared" ca="1" si="51"/>
        <v>#NAME?</v>
      </c>
      <c r="L117" s="2" t="e">
        <f ca="1"/>
        <v>#NAME?</v>
      </c>
      <c r="M117" s="2" t="e">
        <f t="shared" ca="1" si="52"/>
        <v>#NAME?</v>
      </c>
      <c r="N117" s="2" t="e">
        <f ca="1"/>
        <v>#NAME?</v>
      </c>
      <c r="O117" s="2" t="e">
        <f t="shared" ca="1" si="53"/>
        <v>#NAME?</v>
      </c>
      <c r="P117" s="2" t="e">
        <f ca="1"/>
        <v>#NAME?</v>
      </c>
      <c r="Q117" s="2" t="e">
        <f t="shared" ca="1" si="54"/>
        <v>#NAME?</v>
      </c>
      <c r="R117" s="2" t="e">
        <f ca="1"/>
        <v>#NAME?</v>
      </c>
      <c r="S117" s="2" t="e">
        <f t="shared" ca="1" si="55"/>
        <v>#NAME?</v>
      </c>
      <c r="T117" s="2" t="e">
        <f ca="1"/>
        <v>#NAME?</v>
      </c>
      <c r="U117" s="2" t="e">
        <f t="shared" ca="1" si="56"/>
        <v>#NAME?</v>
      </c>
      <c r="V117" s="2" t="e">
        <f ca="1"/>
        <v>#NAME?</v>
      </c>
      <c r="W117" s="2" t="e">
        <f t="shared" ca="1" si="57"/>
        <v>#NAME?</v>
      </c>
      <c r="X117" s="2" t="e">
        <f ca="1"/>
        <v>#NAME?</v>
      </c>
      <c r="Y117" s="2" t="e">
        <f t="shared" ca="1" si="58"/>
        <v>#NAME?</v>
      </c>
      <c r="Z117" s="2" t="e">
        <f ca="1"/>
        <v>#NAME?</v>
      </c>
      <c r="AA117" s="2" t="e">
        <f t="shared" ca="1" si="59"/>
        <v>#NAME?</v>
      </c>
      <c r="AB117" s="2" t="e">
        <f ca="1"/>
        <v>#NAME?</v>
      </c>
      <c r="AC117" s="2" t="e">
        <f t="shared" ca="1" si="60"/>
        <v>#NAME?</v>
      </c>
      <c r="AD117" s="2" t="e">
        <f ca="1"/>
        <v>#NAME?</v>
      </c>
      <c r="AE117" s="2" t="e">
        <f t="shared" ca="1" si="61"/>
        <v>#NAME?</v>
      </c>
      <c r="AF117" s="2" t="e">
        <f ca="1"/>
        <v>#NAME?</v>
      </c>
      <c r="AG117" s="2" t="e">
        <f t="shared" ca="1" si="62"/>
        <v>#NAME?</v>
      </c>
      <c r="AH117" s="2" t="e">
        <f ca="1"/>
        <v>#NAME?</v>
      </c>
      <c r="AI117" s="2" t="e">
        <f t="shared" ca="1" si="63"/>
        <v>#NAME?</v>
      </c>
      <c r="AJ117" s="2" t="e">
        <f ca="1"/>
        <v>#NAME?</v>
      </c>
      <c r="AK117" s="2" t="e">
        <f t="shared" ca="1" si="64"/>
        <v>#NAME?</v>
      </c>
      <c r="AL117" s="2" t="e">
        <f ca="1"/>
        <v>#NAME?</v>
      </c>
      <c r="AM117" s="2" t="e">
        <f t="shared" ca="1" si="65"/>
        <v>#NAME?</v>
      </c>
      <c r="AN117" s="2" t="e">
        <f ca="1"/>
        <v>#NAME?</v>
      </c>
      <c r="AO117" s="2" t="e">
        <f t="shared" ca="1" si="66"/>
        <v>#NAME?</v>
      </c>
      <c r="AP117" s="2" t="e">
        <f ca="1"/>
        <v>#NAME?</v>
      </c>
      <c r="AQ117" s="2" t="e">
        <f t="shared" ca="1" si="67"/>
        <v>#NAME?</v>
      </c>
      <c r="AR117" s="2" t="e">
        <f ca="1"/>
        <v>#NAME?</v>
      </c>
      <c r="AS117" s="2" t="e">
        <f t="shared" ca="1" si="68"/>
        <v>#NAME?</v>
      </c>
      <c r="AT117" s="2" t="e">
        <f ca="1"/>
        <v>#NAME?</v>
      </c>
      <c r="AU117" s="2" t="e">
        <f t="shared" ca="1" si="69"/>
        <v>#NAME?</v>
      </c>
      <c r="AV117" s="2" t="e">
        <f ca="1"/>
        <v>#NAME?</v>
      </c>
      <c r="AW117" s="2" t="e">
        <f t="shared" ca="1" si="70"/>
        <v>#NAME?</v>
      </c>
      <c r="AX117" s="2" t="e">
        <f ca="1"/>
        <v>#NAME?</v>
      </c>
      <c r="AY117" s="2" t="e">
        <f t="shared" ca="1" si="71"/>
        <v>#NAME?</v>
      </c>
      <c r="AZ117" s="2" t="e">
        <f ca="1"/>
        <v>#NAME?</v>
      </c>
      <c r="BA117" s="2" t="e">
        <f t="shared" ca="1" si="72"/>
        <v>#NAME?</v>
      </c>
      <c r="BB117" s="2" t="e">
        <f ca="1"/>
        <v>#NAME?</v>
      </c>
      <c r="BC117" s="2" t="e">
        <f t="shared" ca="1" si="73"/>
        <v>#NAME?</v>
      </c>
      <c r="BD117" s="2" t="e">
        <f ca="1"/>
        <v>#NAME?</v>
      </c>
      <c r="BE117" s="2" t="e">
        <f t="shared" ca="1" si="74"/>
        <v>#NAME?</v>
      </c>
      <c r="BF117" s="2" t="e">
        <f ca="1"/>
        <v>#NAME?</v>
      </c>
      <c r="BG117" s="2" t="e">
        <f t="shared" ca="1" si="75"/>
        <v>#NAME?</v>
      </c>
      <c r="BH117" s="2" t="e">
        <f ca="1"/>
        <v>#NAME?</v>
      </c>
      <c r="BI117" s="2" t="e">
        <f t="shared" ca="1" si="76"/>
        <v>#NAME?</v>
      </c>
      <c r="BJ117" s="2" t="e">
        <f ca="1"/>
        <v>#NAME?</v>
      </c>
      <c r="BK117" s="2" t="e">
        <f t="shared" ca="1" si="77"/>
        <v>#NAME?</v>
      </c>
      <c r="BL117" s="2" t="e">
        <f ca="1"/>
        <v>#NAME?</v>
      </c>
      <c r="BM117" s="2" t="e">
        <f t="shared" ca="1" si="78"/>
        <v>#NAME?</v>
      </c>
      <c r="BN117" s="2" t="e">
        <f ca="1"/>
        <v>#NAME?</v>
      </c>
      <c r="BO117" s="2" t="e">
        <f t="shared" ca="1" si="79"/>
        <v>#NAME?</v>
      </c>
      <c r="BP117" s="2" t="e">
        <f ca="1"/>
        <v>#NAME?</v>
      </c>
      <c r="BQ117" s="2" t="e">
        <f t="shared" ca="1" si="80"/>
        <v>#NAME?</v>
      </c>
      <c r="BR117" s="2" t="e">
        <f ca="1"/>
        <v>#NAME?</v>
      </c>
      <c r="BS117" s="2" t="e">
        <f t="shared" ca="1" si="81"/>
        <v>#NAME?</v>
      </c>
      <c r="BT117" s="2" t="e">
        <f ca="1"/>
        <v>#NAME?</v>
      </c>
      <c r="BU117" s="2" t="e">
        <f t="shared" ca="1" si="82"/>
        <v>#NAME?</v>
      </c>
      <c r="BV117" s="2" t="e">
        <f ca="1"/>
        <v>#NAME?</v>
      </c>
      <c r="BW117" s="2" t="e">
        <f t="shared" ca="1" si="83"/>
        <v>#NAME?</v>
      </c>
      <c r="BX117" s="2" t="e">
        <f ca="1"/>
        <v>#NAME?</v>
      </c>
      <c r="BY117" s="2" t="e">
        <f t="shared" ca="1" si="84"/>
        <v>#NAME?</v>
      </c>
      <c r="BZ117" s="2" t="e">
        <f ca="1"/>
        <v>#NAME?</v>
      </c>
      <c r="CA117" s="2" t="e">
        <f t="shared" ca="1" si="85"/>
        <v>#NAME?</v>
      </c>
      <c r="CB117" s="2" t="e">
        <f ca="1"/>
        <v>#NAME?</v>
      </c>
      <c r="CC117" s="2" t="e">
        <f t="shared" ca="1" si="86"/>
        <v>#NAME?</v>
      </c>
      <c r="CD117" s="2" t="e">
        <f ca="1"/>
        <v>#NAME?</v>
      </c>
      <c r="CE117" s="2" t="e">
        <f t="shared" ca="1" si="87"/>
        <v>#NAME?</v>
      </c>
      <c r="CF117" s="2" t="e">
        <f ca="1"/>
        <v>#NAME?</v>
      </c>
      <c r="CG117" s="2" t="e">
        <f t="shared" ca="1" si="88"/>
        <v>#NAME?</v>
      </c>
      <c r="CH117" s="2" t="e">
        <f ca="1"/>
        <v>#NAME?</v>
      </c>
      <c r="CI117" s="2" t="e">
        <f t="shared" ca="1" si="89"/>
        <v>#NAME?</v>
      </c>
      <c r="CJ117" s="2" t="e">
        <f ca="1"/>
        <v>#NAME?</v>
      </c>
      <c r="CK117" s="2" t="e">
        <f t="shared" ca="1" si="90"/>
        <v>#NAME?</v>
      </c>
      <c r="CL117" s="2" t="e">
        <f ca="1"/>
        <v>#NAME?</v>
      </c>
      <c r="CM117" s="2" t="e">
        <f t="shared" ca="1" si="91"/>
        <v>#NAME?</v>
      </c>
      <c r="CN117" s="2" t="e">
        <f ca="1"/>
        <v>#NAME?</v>
      </c>
      <c r="CO117" s="2" t="e">
        <f t="shared" ca="1" si="92"/>
        <v>#NAME?</v>
      </c>
      <c r="CP117" s="2" t="e">
        <f ca="1"/>
        <v>#NAME?</v>
      </c>
      <c r="CQ117" s="2" t="e">
        <f t="shared" ca="1" si="93"/>
        <v>#NAME?</v>
      </c>
    </row>
    <row r="118" spans="1:95">
      <c r="A118" s="7" t="e">
        <f ca="1"/>
        <v>#NAME?</v>
      </c>
      <c r="B118" s="2" t="e">
        <f ca="1"/>
        <v>#NAME?</v>
      </c>
      <c r="C118" s="2" t="e">
        <f t="shared" ca="1" si="47"/>
        <v>#NAME?</v>
      </c>
      <c r="D118" s="2" t="e">
        <f ca="1"/>
        <v>#NAME?</v>
      </c>
      <c r="E118" s="2" t="e">
        <f t="shared" ca="1" si="48"/>
        <v>#NAME?</v>
      </c>
      <c r="F118" s="2" t="e">
        <f ca="1"/>
        <v>#NAME?</v>
      </c>
      <c r="G118" s="2" t="e">
        <f t="shared" ca="1" si="49"/>
        <v>#NAME?</v>
      </c>
      <c r="H118" s="2" t="e">
        <f ca="1"/>
        <v>#NAME?</v>
      </c>
      <c r="I118" s="2" t="e">
        <f t="shared" ca="1" si="50"/>
        <v>#NAME?</v>
      </c>
      <c r="J118" s="2" t="e">
        <f ca="1"/>
        <v>#NAME?</v>
      </c>
      <c r="K118" s="2" t="e">
        <f t="shared" ca="1" si="51"/>
        <v>#NAME?</v>
      </c>
      <c r="L118" s="2" t="e">
        <f ca="1"/>
        <v>#NAME?</v>
      </c>
      <c r="M118" s="2" t="e">
        <f t="shared" ca="1" si="52"/>
        <v>#NAME?</v>
      </c>
      <c r="N118" s="2" t="e">
        <f ca="1"/>
        <v>#NAME?</v>
      </c>
      <c r="O118" s="2" t="e">
        <f t="shared" ca="1" si="53"/>
        <v>#NAME?</v>
      </c>
      <c r="P118" s="2" t="e">
        <f ca="1"/>
        <v>#NAME?</v>
      </c>
      <c r="Q118" s="2" t="e">
        <f t="shared" ca="1" si="54"/>
        <v>#NAME?</v>
      </c>
      <c r="R118" s="2" t="e">
        <f ca="1"/>
        <v>#NAME?</v>
      </c>
      <c r="S118" s="2" t="e">
        <f t="shared" ca="1" si="55"/>
        <v>#NAME?</v>
      </c>
      <c r="T118" s="2" t="e">
        <f ca="1"/>
        <v>#NAME?</v>
      </c>
      <c r="U118" s="2" t="e">
        <f t="shared" ca="1" si="56"/>
        <v>#NAME?</v>
      </c>
      <c r="V118" s="2" t="e">
        <f ca="1"/>
        <v>#NAME?</v>
      </c>
      <c r="W118" s="2" t="e">
        <f t="shared" ca="1" si="57"/>
        <v>#NAME?</v>
      </c>
      <c r="X118" s="2" t="e">
        <f ca="1"/>
        <v>#NAME?</v>
      </c>
      <c r="Y118" s="2" t="e">
        <f t="shared" ca="1" si="58"/>
        <v>#NAME?</v>
      </c>
      <c r="Z118" s="2" t="e">
        <f ca="1"/>
        <v>#NAME?</v>
      </c>
      <c r="AA118" s="2" t="e">
        <f t="shared" ca="1" si="59"/>
        <v>#NAME?</v>
      </c>
      <c r="AB118" s="2" t="e">
        <f ca="1"/>
        <v>#NAME?</v>
      </c>
      <c r="AC118" s="2" t="e">
        <f t="shared" ca="1" si="60"/>
        <v>#NAME?</v>
      </c>
      <c r="AD118" s="2" t="e">
        <f ca="1"/>
        <v>#NAME?</v>
      </c>
      <c r="AE118" s="2" t="e">
        <f t="shared" ca="1" si="61"/>
        <v>#NAME?</v>
      </c>
      <c r="AF118" s="2" t="e">
        <f ca="1"/>
        <v>#NAME?</v>
      </c>
      <c r="AG118" s="2" t="e">
        <f t="shared" ca="1" si="62"/>
        <v>#NAME?</v>
      </c>
      <c r="AH118" s="2" t="e">
        <f ca="1"/>
        <v>#NAME?</v>
      </c>
      <c r="AI118" s="2" t="e">
        <f t="shared" ca="1" si="63"/>
        <v>#NAME?</v>
      </c>
      <c r="AJ118" s="2" t="e">
        <f ca="1"/>
        <v>#NAME?</v>
      </c>
      <c r="AK118" s="2" t="e">
        <f t="shared" ca="1" si="64"/>
        <v>#NAME?</v>
      </c>
      <c r="AL118" s="2" t="e">
        <f ca="1"/>
        <v>#NAME?</v>
      </c>
      <c r="AM118" s="2" t="e">
        <f t="shared" ca="1" si="65"/>
        <v>#NAME?</v>
      </c>
      <c r="AN118" s="2" t="e">
        <f ca="1"/>
        <v>#NAME?</v>
      </c>
      <c r="AO118" s="2" t="e">
        <f t="shared" ca="1" si="66"/>
        <v>#NAME?</v>
      </c>
      <c r="AP118" s="2" t="e">
        <f ca="1"/>
        <v>#NAME?</v>
      </c>
      <c r="AQ118" s="2" t="e">
        <f t="shared" ca="1" si="67"/>
        <v>#NAME?</v>
      </c>
      <c r="AR118" s="2" t="e">
        <f ca="1"/>
        <v>#NAME?</v>
      </c>
      <c r="AS118" s="2" t="e">
        <f t="shared" ca="1" si="68"/>
        <v>#NAME?</v>
      </c>
      <c r="AT118" s="2" t="e">
        <f ca="1"/>
        <v>#NAME?</v>
      </c>
      <c r="AU118" s="2" t="e">
        <f t="shared" ca="1" si="69"/>
        <v>#NAME?</v>
      </c>
      <c r="AV118" s="2" t="e">
        <f ca="1"/>
        <v>#NAME?</v>
      </c>
      <c r="AW118" s="2" t="e">
        <f t="shared" ca="1" si="70"/>
        <v>#NAME?</v>
      </c>
      <c r="AX118" s="2" t="e">
        <f ca="1"/>
        <v>#NAME?</v>
      </c>
      <c r="AY118" s="2" t="e">
        <f t="shared" ca="1" si="71"/>
        <v>#NAME?</v>
      </c>
      <c r="AZ118" s="2" t="e">
        <f ca="1"/>
        <v>#NAME?</v>
      </c>
      <c r="BA118" s="2" t="e">
        <f t="shared" ca="1" si="72"/>
        <v>#NAME?</v>
      </c>
      <c r="BB118" s="2" t="e">
        <f ca="1"/>
        <v>#NAME?</v>
      </c>
      <c r="BC118" s="2" t="e">
        <f t="shared" ca="1" si="73"/>
        <v>#NAME?</v>
      </c>
      <c r="BD118" s="2" t="e">
        <f ca="1"/>
        <v>#NAME?</v>
      </c>
      <c r="BE118" s="2" t="e">
        <f t="shared" ca="1" si="74"/>
        <v>#NAME?</v>
      </c>
      <c r="BF118" s="2" t="e">
        <f ca="1"/>
        <v>#NAME?</v>
      </c>
      <c r="BG118" s="2" t="e">
        <f t="shared" ca="1" si="75"/>
        <v>#NAME?</v>
      </c>
      <c r="BH118" s="2" t="e">
        <f ca="1"/>
        <v>#NAME?</v>
      </c>
      <c r="BI118" s="2" t="e">
        <f t="shared" ca="1" si="76"/>
        <v>#NAME?</v>
      </c>
      <c r="BJ118" s="2" t="e">
        <f ca="1"/>
        <v>#NAME?</v>
      </c>
      <c r="BK118" s="2" t="e">
        <f t="shared" ca="1" si="77"/>
        <v>#NAME?</v>
      </c>
      <c r="BL118" s="2" t="e">
        <f ca="1"/>
        <v>#NAME?</v>
      </c>
      <c r="BM118" s="2" t="e">
        <f t="shared" ca="1" si="78"/>
        <v>#NAME?</v>
      </c>
      <c r="BN118" s="2" t="e">
        <f ca="1"/>
        <v>#NAME?</v>
      </c>
      <c r="BO118" s="2" t="e">
        <f t="shared" ca="1" si="79"/>
        <v>#NAME?</v>
      </c>
      <c r="BP118" s="2" t="e">
        <f ca="1"/>
        <v>#NAME?</v>
      </c>
      <c r="BQ118" s="2" t="e">
        <f t="shared" ca="1" si="80"/>
        <v>#NAME?</v>
      </c>
      <c r="BR118" s="2" t="e">
        <f ca="1"/>
        <v>#NAME?</v>
      </c>
      <c r="BS118" s="2" t="e">
        <f t="shared" ca="1" si="81"/>
        <v>#NAME?</v>
      </c>
      <c r="BT118" s="2" t="e">
        <f ca="1"/>
        <v>#NAME?</v>
      </c>
      <c r="BU118" s="2" t="e">
        <f t="shared" ca="1" si="82"/>
        <v>#NAME?</v>
      </c>
      <c r="BV118" s="2" t="e">
        <f ca="1"/>
        <v>#NAME?</v>
      </c>
      <c r="BW118" s="2" t="e">
        <f t="shared" ca="1" si="83"/>
        <v>#NAME?</v>
      </c>
      <c r="BX118" s="2" t="e">
        <f ca="1"/>
        <v>#NAME?</v>
      </c>
      <c r="BY118" s="2" t="e">
        <f t="shared" ca="1" si="84"/>
        <v>#NAME?</v>
      </c>
      <c r="BZ118" s="2" t="e">
        <f ca="1"/>
        <v>#NAME?</v>
      </c>
      <c r="CA118" s="2" t="e">
        <f t="shared" ca="1" si="85"/>
        <v>#NAME?</v>
      </c>
      <c r="CB118" s="2" t="e">
        <f ca="1"/>
        <v>#NAME?</v>
      </c>
      <c r="CC118" s="2" t="e">
        <f t="shared" ca="1" si="86"/>
        <v>#NAME?</v>
      </c>
      <c r="CD118" s="2" t="e">
        <f ca="1"/>
        <v>#NAME?</v>
      </c>
      <c r="CE118" s="2" t="e">
        <f t="shared" ca="1" si="87"/>
        <v>#NAME?</v>
      </c>
      <c r="CF118" s="2" t="e">
        <f ca="1"/>
        <v>#NAME?</v>
      </c>
      <c r="CG118" s="2" t="e">
        <f t="shared" ca="1" si="88"/>
        <v>#NAME?</v>
      </c>
      <c r="CH118" s="2" t="e">
        <f ca="1"/>
        <v>#NAME?</v>
      </c>
      <c r="CI118" s="2" t="e">
        <f t="shared" ca="1" si="89"/>
        <v>#NAME?</v>
      </c>
      <c r="CJ118" s="2" t="e">
        <f ca="1"/>
        <v>#NAME?</v>
      </c>
      <c r="CK118" s="2" t="e">
        <f t="shared" ca="1" si="90"/>
        <v>#NAME?</v>
      </c>
      <c r="CL118" s="2" t="e">
        <f ca="1"/>
        <v>#NAME?</v>
      </c>
      <c r="CM118" s="2" t="e">
        <f t="shared" ca="1" si="91"/>
        <v>#NAME?</v>
      </c>
      <c r="CN118" s="2" t="e">
        <f ca="1"/>
        <v>#NAME?</v>
      </c>
      <c r="CO118" s="2" t="e">
        <f t="shared" ca="1" si="92"/>
        <v>#NAME?</v>
      </c>
      <c r="CP118" s="2" t="e">
        <f ca="1"/>
        <v>#NAME?</v>
      </c>
      <c r="CQ118" s="2" t="e">
        <f t="shared" ca="1" si="93"/>
        <v>#NAME?</v>
      </c>
    </row>
    <row r="119" spans="1:95">
      <c r="A119" s="7" t="e">
        <f ca="1"/>
        <v>#NAME?</v>
      </c>
      <c r="B119" s="2" t="e">
        <f ca="1"/>
        <v>#NAME?</v>
      </c>
      <c r="C119" s="2" t="e">
        <f t="shared" ca="1" si="47"/>
        <v>#NAME?</v>
      </c>
      <c r="D119" s="2" t="e">
        <f ca="1"/>
        <v>#NAME?</v>
      </c>
      <c r="E119" s="2" t="e">
        <f t="shared" ca="1" si="48"/>
        <v>#NAME?</v>
      </c>
      <c r="F119" s="2" t="e">
        <f ca="1"/>
        <v>#NAME?</v>
      </c>
      <c r="G119" s="2" t="e">
        <f t="shared" ca="1" si="49"/>
        <v>#NAME?</v>
      </c>
      <c r="H119" s="2" t="e">
        <f ca="1"/>
        <v>#NAME?</v>
      </c>
      <c r="I119" s="2" t="e">
        <f t="shared" ca="1" si="50"/>
        <v>#NAME?</v>
      </c>
      <c r="J119" s="2" t="e">
        <f ca="1"/>
        <v>#NAME?</v>
      </c>
      <c r="K119" s="2" t="e">
        <f t="shared" ca="1" si="51"/>
        <v>#NAME?</v>
      </c>
      <c r="L119" s="2" t="e">
        <f ca="1"/>
        <v>#NAME?</v>
      </c>
      <c r="M119" s="2" t="e">
        <f t="shared" ca="1" si="52"/>
        <v>#NAME?</v>
      </c>
      <c r="N119" s="2" t="e">
        <f ca="1"/>
        <v>#NAME?</v>
      </c>
      <c r="O119" s="2" t="e">
        <f t="shared" ca="1" si="53"/>
        <v>#NAME?</v>
      </c>
      <c r="P119" s="2" t="e">
        <f ca="1"/>
        <v>#NAME?</v>
      </c>
      <c r="Q119" s="2" t="e">
        <f t="shared" ca="1" si="54"/>
        <v>#NAME?</v>
      </c>
      <c r="R119" s="2" t="e">
        <f ca="1"/>
        <v>#NAME?</v>
      </c>
      <c r="S119" s="2" t="e">
        <f t="shared" ca="1" si="55"/>
        <v>#NAME?</v>
      </c>
      <c r="T119" s="2" t="e">
        <f ca="1"/>
        <v>#NAME?</v>
      </c>
      <c r="U119" s="2" t="e">
        <f t="shared" ca="1" si="56"/>
        <v>#NAME?</v>
      </c>
      <c r="V119" s="2" t="e">
        <f ca="1"/>
        <v>#NAME?</v>
      </c>
      <c r="W119" s="2" t="e">
        <f t="shared" ca="1" si="57"/>
        <v>#NAME?</v>
      </c>
      <c r="X119" s="2" t="e">
        <f ca="1"/>
        <v>#NAME?</v>
      </c>
      <c r="Y119" s="2" t="e">
        <f t="shared" ca="1" si="58"/>
        <v>#NAME?</v>
      </c>
      <c r="Z119" s="2" t="e">
        <f ca="1"/>
        <v>#NAME?</v>
      </c>
      <c r="AA119" s="2" t="e">
        <f t="shared" ca="1" si="59"/>
        <v>#NAME?</v>
      </c>
      <c r="AB119" s="2" t="e">
        <f ca="1"/>
        <v>#NAME?</v>
      </c>
      <c r="AC119" s="2" t="e">
        <f t="shared" ca="1" si="60"/>
        <v>#NAME?</v>
      </c>
      <c r="AD119" s="2" t="e">
        <f ca="1"/>
        <v>#NAME?</v>
      </c>
      <c r="AE119" s="2" t="e">
        <f t="shared" ca="1" si="61"/>
        <v>#NAME?</v>
      </c>
      <c r="AF119" s="2" t="e">
        <f ca="1"/>
        <v>#NAME?</v>
      </c>
      <c r="AG119" s="2" t="e">
        <f t="shared" ca="1" si="62"/>
        <v>#NAME?</v>
      </c>
      <c r="AH119" s="2" t="e">
        <f ca="1"/>
        <v>#NAME?</v>
      </c>
      <c r="AI119" s="2" t="e">
        <f t="shared" ca="1" si="63"/>
        <v>#NAME?</v>
      </c>
      <c r="AJ119" s="2" t="e">
        <f ca="1"/>
        <v>#NAME?</v>
      </c>
      <c r="AK119" s="2" t="e">
        <f t="shared" ca="1" si="64"/>
        <v>#NAME?</v>
      </c>
      <c r="AL119" s="2" t="e">
        <f ca="1"/>
        <v>#NAME?</v>
      </c>
      <c r="AM119" s="2" t="e">
        <f t="shared" ca="1" si="65"/>
        <v>#NAME?</v>
      </c>
      <c r="AN119" s="2" t="e">
        <f ca="1"/>
        <v>#NAME?</v>
      </c>
      <c r="AO119" s="2" t="e">
        <f t="shared" ca="1" si="66"/>
        <v>#NAME?</v>
      </c>
      <c r="AP119" s="2" t="e">
        <f ca="1"/>
        <v>#NAME?</v>
      </c>
      <c r="AQ119" s="2" t="e">
        <f t="shared" ca="1" si="67"/>
        <v>#NAME?</v>
      </c>
      <c r="AR119" s="2" t="e">
        <f ca="1"/>
        <v>#NAME?</v>
      </c>
      <c r="AS119" s="2" t="e">
        <f t="shared" ca="1" si="68"/>
        <v>#NAME?</v>
      </c>
      <c r="AT119" s="2" t="e">
        <f ca="1"/>
        <v>#NAME?</v>
      </c>
      <c r="AU119" s="2" t="e">
        <f t="shared" ca="1" si="69"/>
        <v>#NAME?</v>
      </c>
      <c r="AV119" s="2" t="e">
        <f ca="1"/>
        <v>#NAME?</v>
      </c>
      <c r="AW119" s="2" t="e">
        <f t="shared" ca="1" si="70"/>
        <v>#NAME?</v>
      </c>
      <c r="AX119" s="2" t="e">
        <f ca="1"/>
        <v>#NAME?</v>
      </c>
      <c r="AY119" s="2" t="e">
        <f t="shared" ca="1" si="71"/>
        <v>#NAME?</v>
      </c>
      <c r="AZ119" s="2" t="e">
        <f ca="1"/>
        <v>#NAME?</v>
      </c>
      <c r="BA119" s="2" t="e">
        <f t="shared" ca="1" si="72"/>
        <v>#NAME?</v>
      </c>
      <c r="BB119" s="2" t="e">
        <f ca="1"/>
        <v>#NAME?</v>
      </c>
      <c r="BC119" s="2" t="e">
        <f t="shared" ca="1" si="73"/>
        <v>#NAME?</v>
      </c>
      <c r="BD119" s="2" t="e">
        <f ca="1"/>
        <v>#NAME?</v>
      </c>
      <c r="BE119" s="2" t="e">
        <f t="shared" ca="1" si="74"/>
        <v>#NAME?</v>
      </c>
      <c r="BF119" s="2" t="e">
        <f ca="1"/>
        <v>#NAME?</v>
      </c>
      <c r="BG119" s="2" t="e">
        <f t="shared" ca="1" si="75"/>
        <v>#NAME?</v>
      </c>
      <c r="BH119" s="2" t="e">
        <f ca="1"/>
        <v>#NAME?</v>
      </c>
      <c r="BI119" s="2" t="e">
        <f t="shared" ca="1" si="76"/>
        <v>#NAME?</v>
      </c>
      <c r="BJ119" s="2" t="e">
        <f ca="1"/>
        <v>#NAME?</v>
      </c>
      <c r="BK119" s="2" t="e">
        <f t="shared" ca="1" si="77"/>
        <v>#NAME?</v>
      </c>
      <c r="BL119" s="2" t="e">
        <f ca="1"/>
        <v>#NAME?</v>
      </c>
      <c r="BM119" s="2" t="e">
        <f t="shared" ca="1" si="78"/>
        <v>#NAME?</v>
      </c>
      <c r="BN119" s="2" t="e">
        <f ca="1"/>
        <v>#NAME?</v>
      </c>
      <c r="BO119" s="2" t="e">
        <f t="shared" ca="1" si="79"/>
        <v>#NAME?</v>
      </c>
      <c r="BP119" s="2" t="e">
        <f ca="1"/>
        <v>#NAME?</v>
      </c>
      <c r="BQ119" s="2" t="e">
        <f t="shared" ca="1" si="80"/>
        <v>#NAME?</v>
      </c>
      <c r="BR119" s="2" t="e">
        <f ca="1"/>
        <v>#NAME?</v>
      </c>
      <c r="BS119" s="2" t="e">
        <f t="shared" ca="1" si="81"/>
        <v>#NAME?</v>
      </c>
      <c r="BT119" s="2" t="e">
        <f ca="1"/>
        <v>#NAME?</v>
      </c>
      <c r="BU119" s="2" t="e">
        <f t="shared" ca="1" si="82"/>
        <v>#NAME?</v>
      </c>
      <c r="BV119" s="2" t="e">
        <f ca="1"/>
        <v>#NAME?</v>
      </c>
      <c r="BW119" s="2" t="e">
        <f t="shared" ca="1" si="83"/>
        <v>#NAME?</v>
      </c>
      <c r="BX119" s="2" t="e">
        <f ca="1"/>
        <v>#NAME?</v>
      </c>
      <c r="BY119" s="2" t="e">
        <f t="shared" ca="1" si="84"/>
        <v>#NAME?</v>
      </c>
      <c r="BZ119" s="2" t="e">
        <f ca="1"/>
        <v>#NAME?</v>
      </c>
      <c r="CA119" s="2" t="e">
        <f t="shared" ca="1" si="85"/>
        <v>#NAME?</v>
      </c>
      <c r="CB119" s="2" t="e">
        <f ca="1"/>
        <v>#NAME?</v>
      </c>
      <c r="CC119" s="2" t="e">
        <f t="shared" ca="1" si="86"/>
        <v>#NAME?</v>
      </c>
      <c r="CD119" s="2" t="e">
        <f ca="1"/>
        <v>#NAME?</v>
      </c>
      <c r="CE119" s="2" t="e">
        <f t="shared" ca="1" si="87"/>
        <v>#NAME?</v>
      </c>
      <c r="CF119" s="2" t="e">
        <f ca="1"/>
        <v>#NAME?</v>
      </c>
      <c r="CG119" s="2" t="e">
        <f t="shared" ca="1" si="88"/>
        <v>#NAME?</v>
      </c>
      <c r="CH119" s="2" t="e">
        <f ca="1"/>
        <v>#NAME?</v>
      </c>
      <c r="CI119" s="2" t="e">
        <f t="shared" ca="1" si="89"/>
        <v>#NAME?</v>
      </c>
      <c r="CJ119" s="2" t="e">
        <f ca="1"/>
        <v>#NAME?</v>
      </c>
      <c r="CK119" s="2" t="e">
        <f t="shared" ca="1" si="90"/>
        <v>#NAME?</v>
      </c>
      <c r="CL119" s="2" t="e">
        <f ca="1"/>
        <v>#NAME?</v>
      </c>
      <c r="CM119" s="2" t="e">
        <f t="shared" ca="1" si="91"/>
        <v>#NAME?</v>
      </c>
      <c r="CN119" s="2" t="e">
        <f ca="1"/>
        <v>#NAME?</v>
      </c>
      <c r="CO119" s="2" t="e">
        <f t="shared" ca="1" si="92"/>
        <v>#NAME?</v>
      </c>
      <c r="CP119" s="2" t="e">
        <f ca="1"/>
        <v>#NAME?</v>
      </c>
      <c r="CQ119" s="2" t="e">
        <f t="shared" ca="1" si="93"/>
        <v>#NAME?</v>
      </c>
    </row>
    <row r="120" spans="1:95">
      <c r="A120" s="7" t="e">
        <f ca="1"/>
        <v>#NAME?</v>
      </c>
      <c r="B120" s="2" t="e">
        <f ca="1"/>
        <v>#NAME?</v>
      </c>
      <c r="C120" s="2" t="e">
        <f t="shared" ca="1" si="47"/>
        <v>#NAME?</v>
      </c>
      <c r="D120" s="2" t="e">
        <f ca="1"/>
        <v>#NAME?</v>
      </c>
      <c r="E120" s="2" t="e">
        <f t="shared" ca="1" si="48"/>
        <v>#NAME?</v>
      </c>
      <c r="F120" s="2" t="e">
        <f ca="1"/>
        <v>#NAME?</v>
      </c>
      <c r="G120" s="2" t="e">
        <f t="shared" ca="1" si="49"/>
        <v>#NAME?</v>
      </c>
      <c r="H120" s="2" t="e">
        <f ca="1"/>
        <v>#NAME?</v>
      </c>
      <c r="I120" s="2" t="e">
        <f t="shared" ca="1" si="50"/>
        <v>#NAME?</v>
      </c>
      <c r="J120" s="2" t="e">
        <f ca="1"/>
        <v>#NAME?</v>
      </c>
      <c r="K120" s="2" t="e">
        <f t="shared" ca="1" si="51"/>
        <v>#NAME?</v>
      </c>
      <c r="L120" s="2" t="e">
        <f ca="1"/>
        <v>#NAME?</v>
      </c>
      <c r="M120" s="2" t="e">
        <f t="shared" ca="1" si="52"/>
        <v>#NAME?</v>
      </c>
      <c r="N120" s="2" t="e">
        <f ca="1"/>
        <v>#NAME?</v>
      </c>
      <c r="O120" s="2" t="e">
        <f t="shared" ca="1" si="53"/>
        <v>#NAME?</v>
      </c>
      <c r="P120" s="2" t="e">
        <f ca="1"/>
        <v>#NAME?</v>
      </c>
      <c r="Q120" s="2" t="e">
        <f t="shared" ca="1" si="54"/>
        <v>#NAME?</v>
      </c>
      <c r="R120" s="2" t="e">
        <f ca="1"/>
        <v>#NAME?</v>
      </c>
      <c r="S120" s="2" t="e">
        <f t="shared" ca="1" si="55"/>
        <v>#NAME?</v>
      </c>
      <c r="T120" s="2" t="e">
        <f ca="1"/>
        <v>#NAME?</v>
      </c>
      <c r="U120" s="2" t="e">
        <f t="shared" ca="1" si="56"/>
        <v>#NAME?</v>
      </c>
      <c r="V120" s="2" t="e">
        <f ca="1"/>
        <v>#NAME?</v>
      </c>
      <c r="W120" s="2" t="e">
        <f t="shared" ca="1" si="57"/>
        <v>#NAME?</v>
      </c>
      <c r="X120" s="2" t="e">
        <f ca="1"/>
        <v>#NAME?</v>
      </c>
      <c r="Y120" s="2" t="e">
        <f t="shared" ca="1" si="58"/>
        <v>#NAME?</v>
      </c>
      <c r="Z120" s="2" t="e">
        <f ca="1"/>
        <v>#NAME?</v>
      </c>
      <c r="AA120" s="2" t="e">
        <f t="shared" ca="1" si="59"/>
        <v>#NAME?</v>
      </c>
      <c r="AB120" s="2" t="e">
        <f ca="1"/>
        <v>#NAME?</v>
      </c>
      <c r="AC120" s="2" t="e">
        <f t="shared" ca="1" si="60"/>
        <v>#NAME?</v>
      </c>
      <c r="AD120" s="2" t="e">
        <f ca="1"/>
        <v>#NAME?</v>
      </c>
      <c r="AE120" s="2" t="e">
        <f t="shared" ca="1" si="61"/>
        <v>#NAME?</v>
      </c>
      <c r="AF120" s="2" t="e">
        <f ca="1"/>
        <v>#NAME?</v>
      </c>
      <c r="AG120" s="2" t="e">
        <f t="shared" ca="1" si="62"/>
        <v>#NAME?</v>
      </c>
      <c r="AH120" s="2" t="e">
        <f ca="1"/>
        <v>#NAME?</v>
      </c>
      <c r="AI120" s="2" t="e">
        <f t="shared" ca="1" si="63"/>
        <v>#NAME?</v>
      </c>
      <c r="AJ120" s="2" t="e">
        <f ca="1"/>
        <v>#NAME?</v>
      </c>
      <c r="AK120" s="2" t="e">
        <f t="shared" ca="1" si="64"/>
        <v>#NAME?</v>
      </c>
      <c r="AL120" s="2" t="e">
        <f ca="1"/>
        <v>#NAME?</v>
      </c>
      <c r="AM120" s="2" t="e">
        <f t="shared" ca="1" si="65"/>
        <v>#NAME?</v>
      </c>
      <c r="AN120" s="2" t="e">
        <f ca="1"/>
        <v>#NAME?</v>
      </c>
      <c r="AO120" s="2" t="e">
        <f t="shared" ca="1" si="66"/>
        <v>#NAME?</v>
      </c>
      <c r="AP120" s="2" t="e">
        <f ca="1"/>
        <v>#NAME?</v>
      </c>
      <c r="AQ120" s="2" t="e">
        <f t="shared" ca="1" si="67"/>
        <v>#NAME?</v>
      </c>
      <c r="AR120" s="2" t="e">
        <f ca="1"/>
        <v>#NAME?</v>
      </c>
      <c r="AS120" s="2" t="e">
        <f t="shared" ca="1" si="68"/>
        <v>#NAME?</v>
      </c>
      <c r="AT120" s="2" t="e">
        <f ca="1"/>
        <v>#NAME?</v>
      </c>
      <c r="AU120" s="2" t="e">
        <f t="shared" ca="1" si="69"/>
        <v>#NAME?</v>
      </c>
      <c r="AV120" s="2" t="e">
        <f ca="1"/>
        <v>#NAME?</v>
      </c>
      <c r="AW120" s="2" t="e">
        <f t="shared" ca="1" si="70"/>
        <v>#NAME?</v>
      </c>
      <c r="AX120" s="2" t="e">
        <f ca="1"/>
        <v>#NAME?</v>
      </c>
      <c r="AY120" s="2" t="e">
        <f t="shared" ca="1" si="71"/>
        <v>#NAME?</v>
      </c>
      <c r="AZ120" s="2" t="e">
        <f ca="1"/>
        <v>#NAME?</v>
      </c>
      <c r="BA120" s="2" t="e">
        <f t="shared" ca="1" si="72"/>
        <v>#NAME?</v>
      </c>
      <c r="BB120" s="2" t="e">
        <f ca="1"/>
        <v>#NAME?</v>
      </c>
      <c r="BC120" s="2" t="e">
        <f t="shared" ca="1" si="73"/>
        <v>#NAME?</v>
      </c>
      <c r="BD120" s="2" t="e">
        <f ca="1"/>
        <v>#NAME?</v>
      </c>
      <c r="BE120" s="2" t="e">
        <f t="shared" ca="1" si="74"/>
        <v>#NAME?</v>
      </c>
      <c r="BF120" s="2" t="e">
        <f ca="1"/>
        <v>#NAME?</v>
      </c>
      <c r="BG120" s="2" t="e">
        <f t="shared" ca="1" si="75"/>
        <v>#NAME?</v>
      </c>
      <c r="BH120" s="2" t="e">
        <f ca="1"/>
        <v>#NAME?</v>
      </c>
      <c r="BI120" s="2" t="e">
        <f t="shared" ca="1" si="76"/>
        <v>#NAME?</v>
      </c>
      <c r="BJ120" s="2" t="e">
        <f ca="1"/>
        <v>#NAME?</v>
      </c>
      <c r="BK120" s="2" t="e">
        <f t="shared" ca="1" si="77"/>
        <v>#NAME?</v>
      </c>
      <c r="BL120" s="2" t="e">
        <f ca="1"/>
        <v>#NAME?</v>
      </c>
      <c r="BM120" s="2" t="e">
        <f t="shared" ca="1" si="78"/>
        <v>#NAME?</v>
      </c>
      <c r="BN120" s="2" t="e">
        <f ca="1"/>
        <v>#NAME?</v>
      </c>
      <c r="BO120" s="2" t="e">
        <f t="shared" ca="1" si="79"/>
        <v>#NAME?</v>
      </c>
      <c r="BP120" s="2" t="e">
        <f ca="1"/>
        <v>#NAME?</v>
      </c>
      <c r="BQ120" s="2" t="e">
        <f t="shared" ca="1" si="80"/>
        <v>#NAME?</v>
      </c>
      <c r="BR120" s="2" t="e">
        <f ca="1"/>
        <v>#NAME?</v>
      </c>
      <c r="BS120" s="2" t="e">
        <f t="shared" ca="1" si="81"/>
        <v>#NAME?</v>
      </c>
      <c r="BT120" s="2" t="e">
        <f ca="1"/>
        <v>#NAME?</v>
      </c>
      <c r="BU120" s="2" t="e">
        <f t="shared" ca="1" si="82"/>
        <v>#NAME?</v>
      </c>
      <c r="BV120" s="2" t="e">
        <f ca="1"/>
        <v>#NAME?</v>
      </c>
      <c r="BW120" s="2" t="e">
        <f t="shared" ca="1" si="83"/>
        <v>#NAME?</v>
      </c>
      <c r="BX120" s="2" t="e">
        <f ca="1"/>
        <v>#NAME?</v>
      </c>
      <c r="BY120" s="2" t="e">
        <f t="shared" ca="1" si="84"/>
        <v>#NAME?</v>
      </c>
      <c r="BZ120" s="2" t="e">
        <f ca="1"/>
        <v>#NAME?</v>
      </c>
      <c r="CA120" s="2" t="e">
        <f t="shared" ca="1" si="85"/>
        <v>#NAME?</v>
      </c>
      <c r="CB120" s="2" t="e">
        <f ca="1"/>
        <v>#NAME?</v>
      </c>
      <c r="CC120" s="2" t="e">
        <f t="shared" ca="1" si="86"/>
        <v>#NAME?</v>
      </c>
      <c r="CD120" s="2" t="e">
        <f ca="1"/>
        <v>#NAME?</v>
      </c>
      <c r="CE120" s="2" t="e">
        <f t="shared" ca="1" si="87"/>
        <v>#NAME?</v>
      </c>
      <c r="CF120" s="2" t="e">
        <f ca="1"/>
        <v>#NAME?</v>
      </c>
      <c r="CG120" s="2" t="e">
        <f t="shared" ca="1" si="88"/>
        <v>#NAME?</v>
      </c>
      <c r="CH120" s="2" t="e">
        <f ca="1"/>
        <v>#NAME?</v>
      </c>
      <c r="CI120" s="2" t="e">
        <f t="shared" ca="1" si="89"/>
        <v>#NAME?</v>
      </c>
      <c r="CJ120" s="2" t="e">
        <f ca="1"/>
        <v>#NAME?</v>
      </c>
      <c r="CK120" s="2" t="e">
        <f t="shared" ca="1" si="90"/>
        <v>#NAME?</v>
      </c>
      <c r="CL120" s="2" t="e">
        <f ca="1"/>
        <v>#NAME?</v>
      </c>
      <c r="CM120" s="2" t="e">
        <f t="shared" ca="1" si="91"/>
        <v>#NAME?</v>
      </c>
      <c r="CN120" s="2" t="e">
        <f ca="1"/>
        <v>#NAME?</v>
      </c>
      <c r="CO120" s="2" t="e">
        <f t="shared" ca="1" si="92"/>
        <v>#NAME?</v>
      </c>
      <c r="CP120" s="2" t="e">
        <f ca="1"/>
        <v>#NAME?</v>
      </c>
      <c r="CQ120" s="2" t="e">
        <f t="shared" ca="1" si="93"/>
        <v>#NAME?</v>
      </c>
    </row>
    <row r="121" spans="1:95">
      <c r="A121" s="7" t="e">
        <f ca="1"/>
        <v>#NAME?</v>
      </c>
      <c r="B121" s="2" t="e">
        <f ca="1"/>
        <v>#NAME?</v>
      </c>
      <c r="C121" s="2" t="e">
        <f t="shared" ca="1" si="47"/>
        <v>#NAME?</v>
      </c>
      <c r="D121" s="2" t="e">
        <f ca="1"/>
        <v>#NAME?</v>
      </c>
      <c r="E121" s="2" t="e">
        <f t="shared" ca="1" si="48"/>
        <v>#NAME?</v>
      </c>
      <c r="F121" s="2" t="e">
        <f ca="1"/>
        <v>#NAME?</v>
      </c>
      <c r="G121" s="2" t="e">
        <f t="shared" ca="1" si="49"/>
        <v>#NAME?</v>
      </c>
      <c r="H121" s="2" t="e">
        <f ca="1"/>
        <v>#NAME?</v>
      </c>
      <c r="I121" s="2" t="e">
        <f t="shared" ca="1" si="50"/>
        <v>#NAME?</v>
      </c>
      <c r="J121" s="2" t="e">
        <f ca="1"/>
        <v>#NAME?</v>
      </c>
      <c r="K121" s="2" t="e">
        <f t="shared" ca="1" si="51"/>
        <v>#NAME?</v>
      </c>
      <c r="L121" s="2" t="e">
        <f ca="1"/>
        <v>#NAME?</v>
      </c>
      <c r="M121" s="2" t="e">
        <f t="shared" ca="1" si="52"/>
        <v>#NAME?</v>
      </c>
      <c r="N121" s="2" t="e">
        <f ca="1"/>
        <v>#NAME?</v>
      </c>
      <c r="O121" s="2" t="e">
        <f t="shared" ca="1" si="53"/>
        <v>#NAME?</v>
      </c>
      <c r="P121" s="2" t="e">
        <f ca="1"/>
        <v>#NAME?</v>
      </c>
      <c r="Q121" s="2" t="e">
        <f t="shared" ca="1" si="54"/>
        <v>#NAME?</v>
      </c>
      <c r="R121" s="2" t="e">
        <f ca="1"/>
        <v>#NAME?</v>
      </c>
      <c r="S121" s="2" t="e">
        <f t="shared" ca="1" si="55"/>
        <v>#NAME?</v>
      </c>
      <c r="T121" s="2" t="e">
        <f ca="1"/>
        <v>#NAME?</v>
      </c>
      <c r="U121" s="2" t="e">
        <f t="shared" ca="1" si="56"/>
        <v>#NAME?</v>
      </c>
      <c r="V121" s="2" t="e">
        <f ca="1"/>
        <v>#NAME?</v>
      </c>
      <c r="W121" s="2" t="e">
        <f t="shared" ca="1" si="57"/>
        <v>#NAME?</v>
      </c>
      <c r="X121" s="2" t="e">
        <f ca="1"/>
        <v>#NAME?</v>
      </c>
      <c r="Y121" s="2" t="e">
        <f t="shared" ca="1" si="58"/>
        <v>#NAME?</v>
      </c>
      <c r="Z121" s="2" t="e">
        <f ca="1"/>
        <v>#NAME?</v>
      </c>
      <c r="AA121" s="2" t="e">
        <f t="shared" ca="1" si="59"/>
        <v>#NAME?</v>
      </c>
      <c r="AB121" s="2" t="e">
        <f ca="1"/>
        <v>#NAME?</v>
      </c>
      <c r="AC121" s="2" t="e">
        <f t="shared" ca="1" si="60"/>
        <v>#NAME?</v>
      </c>
      <c r="AD121" s="2" t="e">
        <f ca="1"/>
        <v>#NAME?</v>
      </c>
      <c r="AE121" s="2" t="e">
        <f t="shared" ca="1" si="61"/>
        <v>#NAME?</v>
      </c>
      <c r="AF121" s="2" t="e">
        <f ca="1"/>
        <v>#NAME?</v>
      </c>
      <c r="AG121" s="2" t="e">
        <f t="shared" ca="1" si="62"/>
        <v>#NAME?</v>
      </c>
      <c r="AH121" s="2" t="e">
        <f ca="1"/>
        <v>#NAME?</v>
      </c>
      <c r="AI121" s="2" t="e">
        <f t="shared" ca="1" si="63"/>
        <v>#NAME?</v>
      </c>
      <c r="AJ121" s="2" t="e">
        <f ca="1"/>
        <v>#NAME?</v>
      </c>
      <c r="AK121" s="2" t="e">
        <f t="shared" ca="1" si="64"/>
        <v>#NAME?</v>
      </c>
      <c r="AL121" s="2" t="e">
        <f ca="1"/>
        <v>#NAME?</v>
      </c>
      <c r="AM121" s="2" t="e">
        <f t="shared" ca="1" si="65"/>
        <v>#NAME?</v>
      </c>
      <c r="AN121" s="2" t="e">
        <f ca="1"/>
        <v>#NAME?</v>
      </c>
      <c r="AO121" s="2" t="e">
        <f t="shared" ca="1" si="66"/>
        <v>#NAME?</v>
      </c>
      <c r="AP121" s="2" t="e">
        <f ca="1"/>
        <v>#NAME?</v>
      </c>
      <c r="AQ121" s="2" t="e">
        <f t="shared" ca="1" si="67"/>
        <v>#NAME?</v>
      </c>
      <c r="AR121" s="2" t="e">
        <f ca="1"/>
        <v>#NAME?</v>
      </c>
      <c r="AS121" s="2" t="e">
        <f t="shared" ca="1" si="68"/>
        <v>#NAME?</v>
      </c>
      <c r="AT121" s="2" t="e">
        <f ca="1"/>
        <v>#NAME?</v>
      </c>
      <c r="AU121" s="2" t="e">
        <f t="shared" ca="1" si="69"/>
        <v>#NAME?</v>
      </c>
      <c r="AV121" s="2" t="e">
        <f ca="1"/>
        <v>#NAME?</v>
      </c>
      <c r="AW121" s="2" t="e">
        <f t="shared" ca="1" si="70"/>
        <v>#NAME?</v>
      </c>
      <c r="AX121" s="2" t="e">
        <f ca="1"/>
        <v>#NAME?</v>
      </c>
      <c r="AY121" s="2" t="e">
        <f t="shared" ca="1" si="71"/>
        <v>#NAME?</v>
      </c>
      <c r="AZ121" s="2" t="e">
        <f ca="1"/>
        <v>#NAME?</v>
      </c>
      <c r="BA121" s="2" t="e">
        <f t="shared" ca="1" si="72"/>
        <v>#NAME?</v>
      </c>
      <c r="BB121" s="2" t="e">
        <f ca="1"/>
        <v>#NAME?</v>
      </c>
      <c r="BC121" s="2" t="e">
        <f t="shared" ca="1" si="73"/>
        <v>#NAME?</v>
      </c>
      <c r="BD121" s="2" t="e">
        <f ca="1"/>
        <v>#NAME?</v>
      </c>
      <c r="BE121" s="2" t="e">
        <f t="shared" ca="1" si="74"/>
        <v>#NAME?</v>
      </c>
      <c r="BF121" s="2" t="e">
        <f ca="1"/>
        <v>#NAME?</v>
      </c>
      <c r="BG121" s="2" t="e">
        <f t="shared" ca="1" si="75"/>
        <v>#NAME?</v>
      </c>
      <c r="BH121" s="2" t="e">
        <f ca="1"/>
        <v>#NAME?</v>
      </c>
      <c r="BI121" s="2" t="e">
        <f t="shared" ca="1" si="76"/>
        <v>#NAME?</v>
      </c>
      <c r="BJ121" s="2" t="e">
        <f ca="1"/>
        <v>#NAME?</v>
      </c>
      <c r="BK121" s="2" t="e">
        <f t="shared" ca="1" si="77"/>
        <v>#NAME?</v>
      </c>
      <c r="BL121" s="2" t="e">
        <f ca="1"/>
        <v>#NAME?</v>
      </c>
      <c r="BM121" s="2" t="e">
        <f t="shared" ca="1" si="78"/>
        <v>#NAME?</v>
      </c>
      <c r="BN121" s="2" t="e">
        <f ca="1"/>
        <v>#NAME?</v>
      </c>
      <c r="BO121" s="2" t="e">
        <f t="shared" ca="1" si="79"/>
        <v>#NAME?</v>
      </c>
      <c r="BP121" s="2" t="e">
        <f ca="1"/>
        <v>#NAME?</v>
      </c>
      <c r="BQ121" s="2" t="e">
        <f t="shared" ca="1" si="80"/>
        <v>#NAME?</v>
      </c>
      <c r="BR121" s="2" t="e">
        <f ca="1"/>
        <v>#NAME?</v>
      </c>
      <c r="BS121" s="2" t="e">
        <f t="shared" ca="1" si="81"/>
        <v>#NAME?</v>
      </c>
      <c r="BT121" s="2" t="e">
        <f ca="1"/>
        <v>#NAME?</v>
      </c>
      <c r="BU121" s="2" t="e">
        <f t="shared" ca="1" si="82"/>
        <v>#NAME?</v>
      </c>
      <c r="BV121" s="2" t="e">
        <f ca="1"/>
        <v>#NAME?</v>
      </c>
      <c r="BW121" s="2" t="e">
        <f t="shared" ca="1" si="83"/>
        <v>#NAME?</v>
      </c>
      <c r="BX121" s="2" t="e">
        <f ca="1"/>
        <v>#NAME?</v>
      </c>
      <c r="BY121" s="2" t="e">
        <f t="shared" ca="1" si="84"/>
        <v>#NAME?</v>
      </c>
      <c r="BZ121" s="2" t="e">
        <f ca="1"/>
        <v>#NAME?</v>
      </c>
      <c r="CA121" s="2" t="e">
        <f t="shared" ca="1" si="85"/>
        <v>#NAME?</v>
      </c>
      <c r="CB121" s="2" t="e">
        <f ca="1"/>
        <v>#NAME?</v>
      </c>
      <c r="CC121" s="2" t="e">
        <f t="shared" ca="1" si="86"/>
        <v>#NAME?</v>
      </c>
      <c r="CD121" s="2" t="e">
        <f ca="1"/>
        <v>#NAME?</v>
      </c>
      <c r="CE121" s="2" t="e">
        <f t="shared" ca="1" si="87"/>
        <v>#NAME?</v>
      </c>
      <c r="CF121" s="2" t="e">
        <f ca="1"/>
        <v>#NAME?</v>
      </c>
      <c r="CG121" s="2" t="e">
        <f t="shared" ca="1" si="88"/>
        <v>#NAME?</v>
      </c>
      <c r="CH121" s="2" t="e">
        <f ca="1"/>
        <v>#NAME?</v>
      </c>
      <c r="CI121" s="2" t="e">
        <f t="shared" ca="1" si="89"/>
        <v>#NAME?</v>
      </c>
      <c r="CJ121" s="2" t="e">
        <f ca="1"/>
        <v>#NAME?</v>
      </c>
      <c r="CK121" s="2" t="e">
        <f t="shared" ca="1" si="90"/>
        <v>#NAME?</v>
      </c>
      <c r="CL121" s="2" t="e">
        <f ca="1"/>
        <v>#NAME?</v>
      </c>
      <c r="CM121" s="2" t="e">
        <f t="shared" ca="1" si="91"/>
        <v>#NAME?</v>
      </c>
      <c r="CN121" s="2" t="e">
        <f ca="1"/>
        <v>#NAME?</v>
      </c>
      <c r="CO121" s="2" t="e">
        <f t="shared" ca="1" si="92"/>
        <v>#NAME?</v>
      </c>
      <c r="CP121" s="2" t="e">
        <f ca="1"/>
        <v>#NAME?</v>
      </c>
      <c r="CQ121" s="2" t="e">
        <f t="shared" ca="1" si="93"/>
        <v>#NAME?</v>
      </c>
    </row>
    <row r="122" spans="1:95">
      <c r="A122" s="7" t="e">
        <f ca="1"/>
        <v>#NAME?</v>
      </c>
      <c r="B122" s="2" t="e">
        <f ca="1"/>
        <v>#NAME?</v>
      </c>
      <c r="C122" s="2" t="e">
        <f t="shared" ca="1" si="47"/>
        <v>#NAME?</v>
      </c>
      <c r="D122" s="2" t="e">
        <f ca="1"/>
        <v>#NAME?</v>
      </c>
      <c r="E122" s="2" t="e">
        <f t="shared" ca="1" si="48"/>
        <v>#NAME?</v>
      </c>
      <c r="F122" s="2" t="e">
        <f ca="1"/>
        <v>#NAME?</v>
      </c>
      <c r="G122" s="2" t="e">
        <f t="shared" ca="1" si="49"/>
        <v>#NAME?</v>
      </c>
      <c r="H122" s="2" t="e">
        <f ca="1"/>
        <v>#NAME?</v>
      </c>
      <c r="I122" s="2" t="e">
        <f t="shared" ca="1" si="50"/>
        <v>#NAME?</v>
      </c>
      <c r="J122" s="2" t="e">
        <f ca="1"/>
        <v>#NAME?</v>
      </c>
      <c r="K122" s="2" t="e">
        <f t="shared" ca="1" si="51"/>
        <v>#NAME?</v>
      </c>
      <c r="L122" s="2" t="e">
        <f ca="1"/>
        <v>#NAME?</v>
      </c>
      <c r="M122" s="2" t="e">
        <f t="shared" ca="1" si="52"/>
        <v>#NAME?</v>
      </c>
      <c r="N122" s="2" t="e">
        <f ca="1"/>
        <v>#NAME?</v>
      </c>
      <c r="O122" s="2" t="e">
        <f t="shared" ca="1" si="53"/>
        <v>#NAME?</v>
      </c>
      <c r="P122" s="2" t="e">
        <f ca="1"/>
        <v>#NAME?</v>
      </c>
      <c r="Q122" s="2" t="e">
        <f t="shared" ca="1" si="54"/>
        <v>#NAME?</v>
      </c>
      <c r="R122" s="2" t="e">
        <f ca="1"/>
        <v>#NAME?</v>
      </c>
      <c r="S122" s="2" t="e">
        <f t="shared" ca="1" si="55"/>
        <v>#NAME?</v>
      </c>
      <c r="T122" s="2" t="e">
        <f ca="1"/>
        <v>#NAME?</v>
      </c>
      <c r="U122" s="2" t="e">
        <f t="shared" ca="1" si="56"/>
        <v>#NAME?</v>
      </c>
      <c r="V122" s="2" t="e">
        <f ca="1"/>
        <v>#NAME?</v>
      </c>
      <c r="W122" s="2" t="e">
        <f t="shared" ca="1" si="57"/>
        <v>#NAME?</v>
      </c>
      <c r="X122" s="2" t="e">
        <f ca="1"/>
        <v>#NAME?</v>
      </c>
      <c r="Y122" s="2" t="e">
        <f t="shared" ca="1" si="58"/>
        <v>#NAME?</v>
      </c>
      <c r="Z122" s="2" t="e">
        <f ca="1"/>
        <v>#NAME?</v>
      </c>
      <c r="AA122" s="2" t="e">
        <f t="shared" ca="1" si="59"/>
        <v>#NAME?</v>
      </c>
      <c r="AB122" s="2" t="e">
        <f ca="1"/>
        <v>#NAME?</v>
      </c>
      <c r="AC122" s="2" t="e">
        <f t="shared" ca="1" si="60"/>
        <v>#NAME?</v>
      </c>
      <c r="AD122" s="2" t="e">
        <f ca="1"/>
        <v>#NAME?</v>
      </c>
      <c r="AE122" s="2" t="e">
        <f t="shared" ca="1" si="61"/>
        <v>#NAME?</v>
      </c>
      <c r="AF122" s="2" t="e">
        <f ca="1"/>
        <v>#NAME?</v>
      </c>
      <c r="AG122" s="2" t="e">
        <f t="shared" ca="1" si="62"/>
        <v>#NAME?</v>
      </c>
      <c r="AH122" s="2" t="e">
        <f ca="1"/>
        <v>#NAME?</v>
      </c>
      <c r="AI122" s="2" t="e">
        <f t="shared" ca="1" si="63"/>
        <v>#NAME?</v>
      </c>
      <c r="AJ122" s="2" t="e">
        <f ca="1"/>
        <v>#NAME?</v>
      </c>
      <c r="AK122" s="2" t="e">
        <f t="shared" ca="1" si="64"/>
        <v>#NAME?</v>
      </c>
      <c r="AL122" s="2" t="e">
        <f ca="1"/>
        <v>#NAME?</v>
      </c>
      <c r="AM122" s="2" t="e">
        <f t="shared" ca="1" si="65"/>
        <v>#NAME?</v>
      </c>
      <c r="AN122" s="2" t="e">
        <f ca="1"/>
        <v>#NAME?</v>
      </c>
      <c r="AO122" s="2" t="e">
        <f t="shared" ca="1" si="66"/>
        <v>#NAME?</v>
      </c>
      <c r="AP122" s="2" t="e">
        <f ca="1"/>
        <v>#NAME?</v>
      </c>
      <c r="AQ122" s="2" t="e">
        <f t="shared" ca="1" si="67"/>
        <v>#NAME?</v>
      </c>
      <c r="AR122" s="2" t="e">
        <f ca="1"/>
        <v>#NAME?</v>
      </c>
      <c r="AS122" s="2" t="e">
        <f t="shared" ca="1" si="68"/>
        <v>#NAME?</v>
      </c>
      <c r="AT122" s="2" t="e">
        <f ca="1"/>
        <v>#NAME?</v>
      </c>
      <c r="AU122" s="2" t="e">
        <f t="shared" ca="1" si="69"/>
        <v>#NAME?</v>
      </c>
      <c r="AV122" s="2" t="e">
        <f ca="1"/>
        <v>#NAME?</v>
      </c>
      <c r="AW122" s="2" t="e">
        <f t="shared" ca="1" si="70"/>
        <v>#NAME?</v>
      </c>
      <c r="AX122" s="2" t="e">
        <f ca="1"/>
        <v>#NAME?</v>
      </c>
      <c r="AY122" s="2" t="e">
        <f t="shared" ca="1" si="71"/>
        <v>#NAME?</v>
      </c>
      <c r="AZ122" s="2" t="e">
        <f ca="1"/>
        <v>#NAME?</v>
      </c>
      <c r="BA122" s="2" t="e">
        <f t="shared" ca="1" si="72"/>
        <v>#NAME?</v>
      </c>
      <c r="BB122" s="2" t="e">
        <f ca="1"/>
        <v>#NAME?</v>
      </c>
      <c r="BC122" s="2" t="e">
        <f t="shared" ca="1" si="73"/>
        <v>#NAME?</v>
      </c>
      <c r="BD122" s="2" t="e">
        <f ca="1"/>
        <v>#NAME?</v>
      </c>
      <c r="BE122" s="2" t="e">
        <f t="shared" ca="1" si="74"/>
        <v>#NAME?</v>
      </c>
      <c r="BF122" s="2" t="e">
        <f ca="1"/>
        <v>#NAME?</v>
      </c>
      <c r="BG122" s="2" t="e">
        <f t="shared" ca="1" si="75"/>
        <v>#NAME?</v>
      </c>
      <c r="BH122" s="2" t="e">
        <f ca="1"/>
        <v>#NAME?</v>
      </c>
      <c r="BI122" s="2" t="e">
        <f t="shared" ca="1" si="76"/>
        <v>#NAME?</v>
      </c>
      <c r="BJ122" s="2" t="e">
        <f ca="1"/>
        <v>#NAME?</v>
      </c>
      <c r="BK122" s="2" t="e">
        <f t="shared" ca="1" si="77"/>
        <v>#NAME?</v>
      </c>
      <c r="BL122" s="2" t="e">
        <f ca="1"/>
        <v>#NAME?</v>
      </c>
      <c r="BM122" s="2" t="e">
        <f t="shared" ca="1" si="78"/>
        <v>#NAME?</v>
      </c>
      <c r="BN122" s="2" t="e">
        <f ca="1"/>
        <v>#NAME?</v>
      </c>
      <c r="BO122" s="2" t="e">
        <f t="shared" ca="1" si="79"/>
        <v>#NAME?</v>
      </c>
      <c r="BP122" s="2" t="e">
        <f ca="1"/>
        <v>#NAME?</v>
      </c>
      <c r="BQ122" s="2" t="e">
        <f t="shared" ca="1" si="80"/>
        <v>#NAME?</v>
      </c>
      <c r="BR122" s="2" t="e">
        <f ca="1"/>
        <v>#NAME?</v>
      </c>
      <c r="BS122" s="2" t="e">
        <f t="shared" ca="1" si="81"/>
        <v>#NAME?</v>
      </c>
      <c r="BT122" s="2" t="e">
        <f ca="1"/>
        <v>#NAME?</v>
      </c>
      <c r="BU122" s="2" t="e">
        <f t="shared" ca="1" si="82"/>
        <v>#NAME?</v>
      </c>
      <c r="BV122" s="2" t="e">
        <f ca="1"/>
        <v>#NAME?</v>
      </c>
      <c r="BW122" s="2" t="e">
        <f t="shared" ca="1" si="83"/>
        <v>#NAME?</v>
      </c>
      <c r="BX122" s="2" t="e">
        <f ca="1"/>
        <v>#NAME?</v>
      </c>
      <c r="BY122" s="2" t="e">
        <f t="shared" ca="1" si="84"/>
        <v>#NAME?</v>
      </c>
      <c r="BZ122" s="2" t="e">
        <f ca="1"/>
        <v>#NAME?</v>
      </c>
      <c r="CA122" s="2" t="e">
        <f t="shared" ca="1" si="85"/>
        <v>#NAME?</v>
      </c>
      <c r="CB122" s="2" t="e">
        <f ca="1"/>
        <v>#NAME?</v>
      </c>
      <c r="CC122" s="2" t="e">
        <f t="shared" ca="1" si="86"/>
        <v>#NAME?</v>
      </c>
      <c r="CD122" s="2" t="e">
        <f ca="1"/>
        <v>#NAME?</v>
      </c>
      <c r="CE122" s="2" t="e">
        <f t="shared" ca="1" si="87"/>
        <v>#NAME?</v>
      </c>
      <c r="CF122" s="2" t="e">
        <f ca="1"/>
        <v>#NAME?</v>
      </c>
      <c r="CG122" s="2" t="e">
        <f t="shared" ca="1" si="88"/>
        <v>#NAME?</v>
      </c>
      <c r="CH122" s="2" t="e">
        <f ca="1"/>
        <v>#NAME?</v>
      </c>
      <c r="CI122" s="2" t="e">
        <f t="shared" ca="1" si="89"/>
        <v>#NAME?</v>
      </c>
      <c r="CJ122" s="2" t="e">
        <f ca="1"/>
        <v>#NAME?</v>
      </c>
      <c r="CK122" s="2" t="e">
        <f t="shared" ca="1" si="90"/>
        <v>#NAME?</v>
      </c>
      <c r="CL122" s="2" t="e">
        <f ca="1"/>
        <v>#NAME?</v>
      </c>
      <c r="CM122" s="2" t="e">
        <f t="shared" ca="1" si="91"/>
        <v>#NAME?</v>
      </c>
      <c r="CN122" s="2" t="e">
        <f ca="1"/>
        <v>#NAME?</v>
      </c>
      <c r="CO122" s="2" t="e">
        <f t="shared" ca="1" si="92"/>
        <v>#NAME?</v>
      </c>
      <c r="CP122" s="2" t="e">
        <f ca="1"/>
        <v>#NAME?</v>
      </c>
      <c r="CQ122" s="2" t="e">
        <f t="shared" ca="1" si="93"/>
        <v>#NAME?</v>
      </c>
    </row>
    <row r="123" spans="1:95">
      <c r="A123" s="7" t="e">
        <f ca="1"/>
        <v>#NAME?</v>
      </c>
      <c r="B123" s="2" t="e">
        <f ca="1"/>
        <v>#NAME?</v>
      </c>
      <c r="C123" s="2" t="e">
        <f t="shared" ca="1" si="47"/>
        <v>#NAME?</v>
      </c>
      <c r="D123" s="2" t="e">
        <f ca="1"/>
        <v>#NAME?</v>
      </c>
      <c r="E123" s="2" t="e">
        <f t="shared" ca="1" si="48"/>
        <v>#NAME?</v>
      </c>
      <c r="F123" s="2" t="e">
        <f ca="1"/>
        <v>#NAME?</v>
      </c>
      <c r="G123" s="2" t="e">
        <f t="shared" ca="1" si="49"/>
        <v>#NAME?</v>
      </c>
      <c r="H123" s="2" t="e">
        <f ca="1"/>
        <v>#NAME?</v>
      </c>
      <c r="I123" s="2" t="e">
        <f t="shared" ca="1" si="50"/>
        <v>#NAME?</v>
      </c>
      <c r="J123" s="2" t="e">
        <f ca="1"/>
        <v>#NAME?</v>
      </c>
      <c r="K123" s="2" t="e">
        <f t="shared" ca="1" si="51"/>
        <v>#NAME?</v>
      </c>
      <c r="L123" s="2" t="e">
        <f ca="1"/>
        <v>#NAME?</v>
      </c>
      <c r="M123" s="2" t="e">
        <f t="shared" ca="1" si="52"/>
        <v>#NAME?</v>
      </c>
      <c r="N123" s="2" t="e">
        <f ca="1"/>
        <v>#NAME?</v>
      </c>
      <c r="O123" s="2" t="e">
        <f t="shared" ca="1" si="53"/>
        <v>#NAME?</v>
      </c>
      <c r="P123" s="2" t="e">
        <f ca="1"/>
        <v>#NAME?</v>
      </c>
      <c r="Q123" s="2" t="e">
        <f t="shared" ca="1" si="54"/>
        <v>#NAME?</v>
      </c>
      <c r="R123" s="2" t="e">
        <f ca="1"/>
        <v>#NAME?</v>
      </c>
      <c r="S123" s="2" t="e">
        <f t="shared" ca="1" si="55"/>
        <v>#NAME?</v>
      </c>
      <c r="T123" s="2" t="e">
        <f ca="1"/>
        <v>#NAME?</v>
      </c>
      <c r="U123" s="2" t="e">
        <f t="shared" ca="1" si="56"/>
        <v>#NAME?</v>
      </c>
      <c r="V123" s="2" t="e">
        <f ca="1"/>
        <v>#NAME?</v>
      </c>
      <c r="W123" s="2" t="e">
        <f t="shared" ca="1" si="57"/>
        <v>#NAME?</v>
      </c>
      <c r="X123" s="2" t="e">
        <f ca="1"/>
        <v>#NAME?</v>
      </c>
      <c r="Y123" s="2" t="e">
        <f t="shared" ca="1" si="58"/>
        <v>#NAME?</v>
      </c>
      <c r="Z123" s="2" t="e">
        <f ca="1"/>
        <v>#NAME?</v>
      </c>
      <c r="AA123" s="2" t="e">
        <f t="shared" ca="1" si="59"/>
        <v>#NAME?</v>
      </c>
      <c r="AB123" s="2" t="e">
        <f ca="1"/>
        <v>#NAME?</v>
      </c>
      <c r="AC123" s="2" t="e">
        <f t="shared" ca="1" si="60"/>
        <v>#NAME?</v>
      </c>
      <c r="AD123" s="2" t="e">
        <f ca="1"/>
        <v>#NAME?</v>
      </c>
      <c r="AE123" s="2" t="e">
        <f t="shared" ca="1" si="61"/>
        <v>#NAME?</v>
      </c>
      <c r="AF123" s="2" t="e">
        <f ca="1"/>
        <v>#NAME?</v>
      </c>
      <c r="AG123" s="2" t="e">
        <f t="shared" ca="1" si="62"/>
        <v>#NAME?</v>
      </c>
      <c r="AH123" s="2" t="e">
        <f ca="1"/>
        <v>#NAME?</v>
      </c>
      <c r="AI123" s="2" t="e">
        <f t="shared" ca="1" si="63"/>
        <v>#NAME?</v>
      </c>
      <c r="AJ123" s="2" t="e">
        <f ca="1"/>
        <v>#NAME?</v>
      </c>
      <c r="AK123" s="2" t="e">
        <f t="shared" ca="1" si="64"/>
        <v>#NAME?</v>
      </c>
      <c r="AL123" s="2" t="e">
        <f ca="1"/>
        <v>#NAME?</v>
      </c>
      <c r="AM123" s="2" t="e">
        <f t="shared" ca="1" si="65"/>
        <v>#NAME?</v>
      </c>
      <c r="AN123" s="2" t="e">
        <f ca="1"/>
        <v>#NAME?</v>
      </c>
      <c r="AO123" s="2" t="e">
        <f t="shared" ca="1" si="66"/>
        <v>#NAME?</v>
      </c>
      <c r="AP123" s="2" t="e">
        <f ca="1"/>
        <v>#NAME?</v>
      </c>
      <c r="AQ123" s="2" t="e">
        <f t="shared" ca="1" si="67"/>
        <v>#NAME?</v>
      </c>
      <c r="AR123" s="2" t="e">
        <f ca="1"/>
        <v>#NAME?</v>
      </c>
      <c r="AS123" s="2" t="e">
        <f t="shared" ca="1" si="68"/>
        <v>#NAME?</v>
      </c>
      <c r="AT123" s="2" t="e">
        <f ca="1"/>
        <v>#NAME?</v>
      </c>
      <c r="AU123" s="2" t="e">
        <f t="shared" ca="1" si="69"/>
        <v>#NAME?</v>
      </c>
      <c r="AV123" s="2" t="e">
        <f ca="1"/>
        <v>#NAME?</v>
      </c>
      <c r="AW123" s="2" t="e">
        <f t="shared" ca="1" si="70"/>
        <v>#NAME?</v>
      </c>
      <c r="AX123" s="2" t="e">
        <f ca="1"/>
        <v>#NAME?</v>
      </c>
      <c r="AY123" s="2" t="e">
        <f t="shared" ca="1" si="71"/>
        <v>#NAME?</v>
      </c>
      <c r="AZ123" s="2" t="e">
        <f ca="1"/>
        <v>#NAME?</v>
      </c>
      <c r="BA123" s="2" t="e">
        <f t="shared" ca="1" si="72"/>
        <v>#NAME?</v>
      </c>
      <c r="BB123" s="2" t="e">
        <f ca="1"/>
        <v>#NAME?</v>
      </c>
      <c r="BC123" s="2" t="e">
        <f t="shared" ca="1" si="73"/>
        <v>#NAME?</v>
      </c>
      <c r="BD123" s="2" t="e">
        <f ca="1"/>
        <v>#NAME?</v>
      </c>
      <c r="BE123" s="2" t="e">
        <f t="shared" ca="1" si="74"/>
        <v>#NAME?</v>
      </c>
      <c r="BF123" s="2" t="e">
        <f ca="1"/>
        <v>#NAME?</v>
      </c>
      <c r="BG123" s="2" t="e">
        <f t="shared" ca="1" si="75"/>
        <v>#NAME?</v>
      </c>
      <c r="BH123" s="2" t="e">
        <f ca="1"/>
        <v>#NAME?</v>
      </c>
      <c r="BI123" s="2" t="e">
        <f t="shared" ca="1" si="76"/>
        <v>#NAME?</v>
      </c>
      <c r="BJ123" s="2" t="e">
        <f ca="1"/>
        <v>#NAME?</v>
      </c>
      <c r="BK123" s="2" t="e">
        <f t="shared" ca="1" si="77"/>
        <v>#NAME?</v>
      </c>
      <c r="BL123" s="2" t="e">
        <f ca="1"/>
        <v>#NAME?</v>
      </c>
      <c r="BM123" s="2" t="e">
        <f t="shared" ca="1" si="78"/>
        <v>#NAME?</v>
      </c>
      <c r="BN123" s="2" t="e">
        <f ca="1"/>
        <v>#NAME?</v>
      </c>
      <c r="BO123" s="2" t="e">
        <f t="shared" ca="1" si="79"/>
        <v>#NAME?</v>
      </c>
      <c r="BP123" s="2" t="e">
        <f ca="1"/>
        <v>#NAME?</v>
      </c>
      <c r="BQ123" s="2" t="e">
        <f t="shared" ca="1" si="80"/>
        <v>#NAME?</v>
      </c>
      <c r="BR123" s="2" t="e">
        <f ca="1"/>
        <v>#NAME?</v>
      </c>
      <c r="BS123" s="2" t="e">
        <f t="shared" ca="1" si="81"/>
        <v>#NAME?</v>
      </c>
      <c r="BT123" s="2" t="e">
        <f ca="1"/>
        <v>#NAME?</v>
      </c>
      <c r="BU123" s="2" t="e">
        <f t="shared" ca="1" si="82"/>
        <v>#NAME?</v>
      </c>
      <c r="BV123" s="2" t="e">
        <f ca="1"/>
        <v>#NAME?</v>
      </c>
      <c r="BW123" s="2" t="e">
        <f t="shared" ca="1" si="83"/>
        <v>#NAME?</v>
      </c>
      <c r="BX123" s="2" t="e">
        <f ca="1"/>
        <v>#NAME?</v>
      </c>
      <c r="BY123" s="2" t="e">
        <f t="shared" ca="1" si="84"/>
        <v>#NAME?</v>
      </c>
      <c r="BZ123" s="2" t="e">
        <f ca="1"/>
        <v>#NAME?</v>
      </c>
      <c r="CA123" s="2" t="e">
        <f t="shared" ca="1" si="85"/>
        <v>#NAME?</v>
      </c>
      <c r="CB123" s="2" t="e">
        <f ca="1"/>
        <v>#NAME?</v>
      </c>
      <c r="CC123" s="2" t="e">
        <f t="shared" ca="1" si="86"/>
        <v>#NAME?</v>
      </c>
      <c r="CD123" s="2" t="e">
        <f ca="1"/>
        <v>#NAME?</v>
      </c>
      <c r="CE123" s="2" t="e">
        <f t="shared" ca="1" si="87"/>
        <v>#NAME?</v>
      </c>
      <c r="CF123" s="2" t="e">
        <f ca="1"/>
        <v>#NAME?</v>
      </c>
      <c r="CG123" s="2" t="e">
        <f t="shared" ca="1" si="88"/>
        <v>#NAME?</v>
      </c>
      <c r="CH123" s="2" t="e">
        <f ca="1"/>
        <v>#NAME?</v>
      </c>
      <c r="CI123" s="2" t="e">
        <f t="shared" ca="1" si="89"/>
        <v>#NAME?</v>
      </c>
      <c r="CJ123" s="2" t="e">
        <f ca="1"/>
        <v>#NAME?</v>
      </c>
      <c r="CK123" s="2" t="e">
        <f t="shared" ca="1" si="90"/>
        <v>#NAME?</v>
      </c>
      <c r="CL123" s="2" t="e">
        <f ca="1"/>
        <v>#NAME?</v>
      </c>
      <c r="CM123" s="2" t="e">
        <f t="shared" ca="1" si="91"/>
        <v>#NAME?</v>
      </c>
      <c r="CN123" s="2" t="e">
        <f ca="1"/>
        <v>#NAME?</v>
      </c>
      <c r="CO123" s="2" t="e">
        <f t="shared" ca="1" si="92"/>
        <v>#NAME?</v>
      </c>
      <c r="CP123" s="2" t="e">
        <f ca="1"/>
        <v>#NAME?</v>
      </c>
      <c r="CQ123" s="2" t="e">
        <f t="shared" ca="1" si="93"/>
        <v>#NAME?</v>
      </c>
    </row>
    <row r="124" spans="1:95">
      <c r="A124" s="7" t="e">
        <f ca="1"/>
        <v>#NAME?</v>
      </c>
      <c r="B124" s="2" t="e">
        <f ca="1"/>
        <v>#NAME?</v>
      </c>
      <c r="C124" s="2" t="e">
        <f t="shared" ca="1" si="47"/>
        <v>#NAME?</v>
      </c>
      <c r="D124" s="2" t="e">
        <f ca="1"/>
        <v>#NAME?</v>
      </c>
      <c r="E124" s="2" t="e">
        <f t="shared" ca="1" si="48"/>
        <v>#NAME?</v>
      </c>
      <c r="F124" s="2" t="e">
        <f ca="1"/>
        <v>#NAME?</v>
      </c>
      <c r="G124" s="2" t="e">
        <f t="shared" ca="1" si="49"/>
        <v>#NAME?</v>
      </c>
      <c r="H124" s="2" t="e">
        <f ca="1"/>
        <v>#NAME?</v>
      </c>
      <c r="I124" s="2" t="e">
        <f t="shared" ca="1" si="50"/>
        <v>#NAME?</v>
      </c>
      <c r="J124" s="2" t="e">
        <f ca="1"/>
        <v>#NAME?</v>
      </c>
      <c r="K124" s="2" t="e">
        <f t="shared" ca="1" si="51"/>
        <v>#NAME?</v>
      </c>
      <c r="L124" s="2" t="e">
        <f ca="1"/>
        <v>#NAME?</v>
      </c>
      <c r="M124" s="2" t="e">
        <f t="shared" ca="1" si="52"/>
        <v>#NAME?</v>
      </c>
      <c r="N124" s="2" t="e">
        <f ca="1"/>
        <v>#NAME?</v>
      </c>
      <c r="O124" s="2" t="e">
        <f t="shared" ca="1" si="53"/>
        <v>#NAME?</v>
      </c>
      <c r="P124" s="2" t="e">
        <f ca="1"/>
        <v>#NAME?</v>
      </c>
      <c r="Q124" s="2" t="e">
        <f t="shared" ca="1" si="54"/>
        <v>#NAME?</v>
      </c>
      <c r="R124" s="2" t="e">
        <f ca="1"/>
        <v>#NAME?</v>
      </c>
      <c r="S124" s="2" t="e">
        <f t="shared" ca="1" si="55"/>
        <v>#NAME?</v>
      </c>
      <c r="T124" s="2" t="e">
        <f ca="1"/>
        <v>#NAME?</v>
      </c>
      <c r="U124" s="2" t="e">
        <f t="shared" ca="1" si="56"/>
        <v>#NAME?</v>
      </c>
      <c r="V124" s="2" t="e">
        <f ca="1"/>
        <v>#NAME?</v>
      </c>
      <c r="W124" s="2" t="e">
        <f t="shared" ca="1" si="57"/>
        <v>#NAME?</v>
      </c>
      <c r="X124" s="2" t="e">
        <f ca="1"/>
        <v>#NAME?</v>
      </c>
      <c r="Y124" s="2" t="e">
        <f t="shared" ca="1" si="58"/>
        <v>#NAME?</v>
      </c>
      <c r="Z124" s="2" t="e">
        <f ca="1"/>
        <v>#NAME?</v>
      </c>
      <c r="AA124" s="2" t="e">
        <f t="shared" ca="1" si="59"/>
        <v>#NAME?</v>
      </c>
      <c r="AB124" s="2" t="e">
        <f ca="1"/>
        <v>#NAME?</v>
      </c>
      <c r="AC124" s="2" t="e">
        <f t="shared" ca="1" si="60"/>
        <v>#NAME?</v>
      </c>
      <c r="AD124" s="2" t="e">
        <f ca="1"/>
        <v>#NAME?</v>
      </c>
      <c r="AE124" s="2" t="e">
        <f t="shared" ca="1" si="61"/>
        <v>#NAME?</v>
      </c>
      <c r="AF124" s="2" t="e">
        <f ca="1"/>
        <v>#NAME?</v>
      </c>
      <c r="AG124" s="2" t="e">
        <f t="shared" ca="1" si="62"/>
        <v>#NAME?</v>
      </c>
      <c r="AH124" s="2" t="e">
        <f ca="1"/>
        <v>#NAME?</v>
      </c>
      <c r="AI124" s="2" t="e">
        <f t="shared" ca="1" si="63"/>
        <v>#NAME?</v>
      </c>
      <c r="AJ124" s="2" t="e">
        <f ca="1"/>
        <v>#NAME?</v>
      </c>
      <c r="AK124" s="2" t="e">
        <f t="shared" ca="1" si="64"/>
        <v>#NAME?</v>
      </c>
      <c r="AL124" s="2" t="e">
        <f ca="1"/>
        <v>#NAME?</v>
      </c>
      <c r="AM124" s="2" t="e">
        <f t="shared" ca="1" si="65"/>
        <v>#NAME?</v>
      </c>
      <c r="AN124" s="2" t="e">
        <f ca="1"/>
        <v>#NAME?</v>
      </c>
      <c r="AO124" s="2" t="e">
        <f t="shared" ca="1" si="66"/>
        <v>#NAME?</v>
      </c>
      <c r="AP124" s="2" t="e">
        <f ca="1"/>
        <v>#NAME?</v>
      </c>
      <c r="AQ124" s="2" t="e">
        <f t="shared" ca="1" si="67"/>
        <v>#NAME?</v>
      </c>
      <c r="AR124" s="2" t="e">
        <f ca="1"/>
        <v>#NAME?</v>
      </c>
      <c r="AS124" s="2" t="e">
        <f t="shared" ca="1" si="68"/>
        <v>#NAME?</v>
      </c>
      <c r="AT124" s="2" t="e">
        <f ca="1"/>
        <v>#NAME?</v>
      </c>
      <c r="AU124" s="2" t="e">
        <f t="shared" ca="1" si="69"/>
        <v>#NAME?</v>
      </c>
      <c r="AV124" s="2" t="e">
        <f ca="1"/>
        <v>#NAME?</v>
      </c>
      <c r="AW124" s="2" t="e">
        <f t="shared" ca="1" si="70"/>
        <v>#NAME?</v>
      </c>
      <c r="AX124" s="2" t="e">
        <f ca="1"/>
        <v>#NAME?</v>
      </c>
      <c r="AY124" s="2" t="e">
        <f t="shared" ca="1" si="71"/>
        <v>#NAME?</v>
      </c>
      <c r="AZ124" s="2" t="e">
        <f ca="1"/>
        <v>#NAME?</v>
      </c>
      <c r="BA124" s="2" t="e">
        <f t="shared" ca="1" si="72"/>
        <v>#NAME?</v>
      </c>
      <c r="BB124" s="2" t="e">
        <f ca="1"/>
        <v>#NAME?</v>
      </c>
      <c r="BC124" s="2" t="e">
        <f t="shared" ca="1" si="73"/>
        <v>#NAME?</v>
      </c>
      <c r="BD124" s="2" t="e">
        <f ca="1"/>
        <v>#NAME?</v>
      </c>
      <c r="BE124" s="2" t="e">
        <f t="shared" ca="1" si="74"/>
        <v>#NAME?</v>
      </c>
      <c r="BF124" s="2" t="e">
        <f ca="1"/>
        <v>#NAME?</v>
      </c>
      <c r="BG124" s="2" t="e">
        <f t="shared" ca="1" si="75"/>
        <v>#NAME?</v>
      </c>
      <c r="BH124" s="2" t="e">
        <f ca="1"/>
        <v>#NAME?</v>
      </c>
      <c r="BI124" s="2" t="e">
        <f t="shared" ca="1" si="76"/>
        <v>#NAME?</v>
      </c>
      <c r="BJ124" s="2" t="e">
        <f ca="1"/>
        <v>#NAME?</v>
      </c>
      <c r="BK124" s="2" t="e">
        <f t="shared" ca="1" si="77"/>
        <v>#NAME?</v>
      </c>
      <c r="BL124" s="2" t="e">
        <f ca="1"/>
        <v>#NAME?</v>
      </c>
      <c r="BM124" s="2" t="e">
        <f t="shared" ca="1" si="78"/>
        <v>#NAME?</v>
      </c>
      <c r="BN124" s="2" t="e">
        <f ca="1"/>
        <v>#NAME?</v>
      </c>
      <c r="BO124" s="2" t="e">
        <f t="shared" ca="1" si="79"/>
        <v>#NAME?</v>
      </c>
      <c r="BP124" s="2" t="e">
        <f ca="1"/>
        <v>#NAME?</v>
      </c>
      <c r="BQ124" s="2" t="e">
        <f t="shared" ca="1" si="80"/>
        <v>#NAME?</v>
      </c>
      <c r="BR124" s="2" t="e">
        <f ca="1"/>
        <v>#NAME?</v>
      </c>
      <c r="BS124" s="2" t="e">
        <f t="shared" ca="1" si="81"/>
        <v>#NAME?</v>
      </c>
      <c r="BT124" s="2" t="e">
        <f ca="1"/>
        <v>#NAME?</v>
      </c>
      <c r="BU124" s="2" t="e">
        <f t="shared" ca="1" si="82"/>
        <v>#NAME?</v>
      </c>
      <c r="BV124" s="2" t="e">
        <f ca="1"/>
        <v>#NAME?</v>
      </c>
      <c r="BW124" s="2" t="e">
        <f t="shared" ca="1" si="83"/>
        <v>#NAME?</v>
      </c>
      <c r="BX124" s="2" t="e">
        <f ca="1"/>
        <v>#NAME?</v>
      </c>
      <c r="BY124" s="2" t="e">
        <f t="shared" ca="1" si="84"/>
        <v>#NAME?</v>
      </c>
      <c r="BZ124" s="2" t="e">
        <f ca="1"/>
        <v>#NAME?</v>
      </c>
      <c r="CA124" s="2" t="e">
        <f t="shared" ca="1" si="85"/>
        <v>#NAME?</v>
      </c>
      <c r="CB124" s="2" t="e">
        <f ca="1"/>
        <v>#NAME?</v>
      </c>
      <c r="CC124" s="2" t="e">
        <f t="shared" ca="1" si="86"/>
        <v>#NAME?</v>
      </c>
      <c r="CD124" s="2" t="e">
        <f ca="1"/>
        <v>#NAME?</v>
      </c>
      <c r="CE124" s="2" t="e">
        <f t="shared" ca="1" si="87"/>
        <v>#NAME?</v>
      </c>
      <c r="CF124" s="2" t="e">
        <f ca="1"/>
        <v>#NAME?</v>
      </c>
      <c r="CG124" s="2" t="e">
        <f t="shared" ca="1" si="88"/>
        <v>#NAME?</v>
      </c>
      <c r="CH124" s="2" t="e">
        <f ca="1"/>
        <v>#NAME?</v>
      </c>
      <c r="CI124" s="2" t="e">
        <f t="shared" ca="1" si="89"/>
        <v>#NAME?</v>
      </c>
      <c r="CJ124" s="2" t="e">
        <f ca="1"/>
        <v>#NAME?</v>
      </c>
      <c r="CK124" s="2" t="e">
        <f t="shared" ca="1" si="90"/>
        <v>#NAME?</v>
      </c>
      <c r="CL124" s="2" t="e">
        <f ca="1"/>
        <v>#NAME?</v>
      </c>
      <c r="CM124" s="2" t="e">
        <f t="shared" ca="1" si="91"/>
        <v>#NAME?</v>
      </c>
      <c r="CN124" s="2" t="e">
        <f ca="1"/>
        <v>#NAME?</v>
      </c>
      <c r="CO124" s="2" t="e">
        <f t="shared" ca="1" si="92"/>
        <v>#NAME?</v>
      </c>
      <c r="CP124" s="2" t="e">
        <f ca="1"/>
        <v>#NAME?</v>
      </c>
      <c r="CQ124" s="2" t="e">
        <f t="shared" ca="1" si="93"/>
        <v>#NAME?</v>
      </c>
    </row>
    <row r="125" spans="1:95">
      <c r="A125" s="7" t="e">
        <f ca="1"/>
        <v>#NAME?</v>
      </c>
      <c r="B125" s="2" t="e">
        <f ca="1"/>
        <v>#NAME?</v>
      </c>
      <c r="C125" s="2" t="e">
        <f t="shared" ca="1" si="47"/>
        <v>#NAME?</v>
      </c>
      <c r="D125" s="2" t="e">
        <f ca="1"/>
        <v>#NAME?</v>
      </c>
      <c r="E125" s="2" t="e">
        <f t="shared" ca="1" si="48"/>
        <v>#NAME?</v>
      </c>
      <c r="F125" s="2" t="e">
        <f ca="1"/>
        <v>#NAME?</v>
      </c>
      <c r="G125" s="2" t="e">
        <f t="shared" ca="1" si="49"/>
        <v>#NAME?</v>
      </c>
      <c r="H125" s="2" t="e">
        <f ca="1"/>
        <v>#NAME?</v>
      </c>
      <c r="I125" s="2" t="e">
        <f t="shared" ca="1" si="50"/>
        <v>#NAME?</v>
      </c>
      <c r="J125" s="2" t="e">
        <f ca="1"/>
        <v>#NAME?</v>
      </c>
      <c r="K125" s="2" t="e">
        <f t="shared" ca="1" si="51"/>
        <v>#NAME?</v>
      </c>
      <c r="L125" s="2" t="e">
        <f ca="1"/>
        <v>#NAME?</v>
      </c>
      <c r="M125" s="2" t="e">
        <f t="shared" ca="1" si="52"/>
        <v>#NAME?</v>
      </c>
      <c r="N125" s="2" t="e">
        <f ca="1"/>
        <v>#NAME?</v>
      </c>
      <c r="O125" s="2" t="e">
        <f t="shared" ca="1" si="53"/>
        <v>#NAME?</v>
      </c>
      <c r="P125" s="2" t="e">
        <f ca="1"/>
        <v>#NAME?</v>
      </c>
      <c r="Q125" s="2" t="e">
        <f t="shared" ca="1" si="54"/>
        <v>#NAME?</v>
      </c>
      <c r="R125" s="2" t="e">
        <f ca="1"/>
        <v>#NAME?</v>
      </c>
      <c r="S125" s="2" t="e">
        <f t="shared" ca="1" si="55"/>
        <v>#NAME?</v>
      </c>
      <c r="T125" s="2" t="e">
        <f ca="1"/>
        <v>#NAME?</v>
      </c>
      <c r="U125" s="2" t="e">
        <f t="shared" ca="1" si="56"/>
        <v>#NAME?</v>
      </c>
      <c r="V125" s="2" t="e">
        <f ca="1"/>
        <v>#NAME?</v>
      </c>
      <c r="W125" s="2" t="e">
        <f t="shared" ca="1" si="57"/>
        <v>#NAME?</v>
      </c>
      <c r="X125" s="2" t="e">
        <f ca="1"/>
        <v>#NAME?</v>
      </c>
      <c r="Y125" s="2" t="e">
        <f t="shared" ca="1" si="58"/>
        <v>#NAME?</v>
      </c>
      <c r="Z125" s="2" t="e">
        <f ca="1"/>
        <v>#NAME?</v>
      </c>
      <c r="AA125" s="2" t="e">
        <f t="shared" ca="1" si="59"/>
        <v>#NAME?</v>
      </c>
      <c r="AB125" s="2" t="e">
        <f ca="1"/>
        <v>#NAME?</v>
      </c>
      <c r="AC125" s="2" t="e">
        <f t="shared" ca="1" si="60"/>
        <v>#NAME?</v>
      </c>
      <c r="AD125" s="2" t="e">
        <f ca="1"/>
        <v>#NAME?</v>
      </c>
      <c r="AE125" s="2" t="e">
        <f t="shared" ca="1" si="61"/>
        <v>#NAME?</v>
      </c>
      <c r="AF125" s="2" t="e">
        <f ca="1"/>
        <v>#NAME?</v>
      </c>
      <c r="AG125" s="2" t="e">
        <f t="shared" ca="1" si="62"/>
        <v>#NAME?</v>
      </c>
      <c r="AH125" s="2" t="e">
        <f ca="1"/>
        <v>#NAME?</v>
      </c>
      <c r="AI125" s="2" t="e">
        <f t="shared" ca="1" si="63"/>
        <v>#NAME?</v>
      </c>
      <c r="AJ125" s="2" t="e">
        <f ca="1"/>
        <v>#NAME?</v>
      </c>
      <c r="AK125" s="2" t="e">
        <f t="shared" ca="1" si="64"/>
        <v>#NAME?</v>
      </c>
      <c r="AL125" s="2" t="e">
        <f ca="1"/>
        <v>#NAME?</v>
      </c>
      <c r="AM125" s="2" t="e">
        <f t="shared" ca="1" si="65"/>
        <v>#NAME?</v>
      </c>
      <c r="AN125" s="2" t="e">
        <f ca="1"/>
        <v>#NAME?</v>
      </c>
      <c r="AO125" s="2" t="e">
        <f t="shared" ca="1" si="66"/>
        <v>#NAME?</v>
      </c>
      <c r="AP125" s="2" t="e">
        <f ca="1"/>
        <v>#NAME?</v>
      </c>
      <c r="AQ125" s="2" t="e">
        <f t="shared" ca="1" si="67"/>
        <v>#NAME?</v>
      </c>
      <c r="AR125" s="2" t="e">
        <f ca="1"/>
        <v>#NAME?</v>
      </c>
      <c r="AS125" s="2" t="e">
        <f t="shared" ca="1" si="68"/>
        <v>#NAME?</v>
      </c>
      <c r="AT125" s="2" t="e">
        <f ca="1"/>
        <v>#NAME?</v>
      </c>
      <c r="AU125" s="2" t="e">
        <f t="shared" ca="1" si="69"/>
        <v>#NAME?</v>
      </c>
      <c r="AV125" s="2" t="e">
        <f ca="1"/>
        <v>#NAME?</v>
      </c>
      <c r="AW125" s="2" t="e">
        <f t="shared" ca="1" si="70"/>
        <v>#NAME?</v>
      </c>
      <c r="AX125" s="2" t="e">
        <f ca="1"/>
        <v>#NAME?</v>
      </c>
      <c r="AY125" s="2" t="e">
        <f t="shared" ca="1" si="71"/>
        <v>#NAME?</v>
      </c>
      <c r="AZ125" s="2" t="e">
        <f ca="1"/>
        <v>#NAME?</v>
      </c>
      <c r="BA125" s="2" t="e">
        <f t="shared" ca="1" si="72"/>
        <v>#NAME?</v>
      </c>
      <c r="BB125" s="2" t="e">
        <f ca="1"/>
        <v>#NAME?</v>
      </c>
      <c r="BC125" s="2" t="e">
        <f t="shared" ca="1" si="73"/>
        <v>#NAME?</v>
      </c>
      <c r="BD125" s="2" t="e">
        <f ca="1"/>
        <v>#NAME?</v>
      </c>
      <c r="BE125" s="2" t="e">
        <f t="shared" ca="1" si="74"/>
        <v>#NAME?</v>
      </c>
      <c r="BF125" s="2" t="e">
        <f ca="1"/>
        <v>#NAME?</v>
      </c>
      <c r="BG125" s="2" t="e">
        <f t="shared" ca="1" si="75"/>
        <v>#NAME?</v>
      </c>
      <c r="BH125" s="2" t="e">
        <f ca="1"/>
        <v>#NAME?</v>
      </c>
      <c r="BI125" s="2" t="e">
        <f t="shared" ca="1" si="76"/>
        <v>#NAME?</v>
      </c>
      <c r="BJ125" s="2" t="e">
        <f ca="1"/>
        <v>#NAME?</v>
      </c>
      <c r="BK125" s="2" t="e">
        <f t="shared" ca="1" si="77"/>
        <v>#NAME?</v>
      </c>
      <c r="BL125" s="2" t="e">
        <f ca="1"/>
        <v>#NAME?</v>
      </c>
      <c r="BM125" s="2" t="e">
        <f t="shared" ca="1" si="78"/>
        <v>#NAME?</v>
      </c>
      <c r="BN125" s="2" t="e">
        <f ca="1"/>
        <v>#NAME?</v>
      </c>
      <c r="BO125" s="2" t="e">
        <f t="shared" ca="1" si="79"/>
        <v>#NAME?</v>
      </c>
      <c r="BP125" s="2" t="e">
        <f ca="1"/>
        <v>#NAME?</v>
      </c>
      <c r="BQ125" s="2" t="e">
        <f t="shared" ca="1" si="80"/>
        <v>#NAME?</v>
      </c>
      <c r="BR125" s="2" t="e">
        <f ca="1"/>
        <v>#NAME?</v>
      </c>
      <c r="BS125" s="2" t="e">
        <f t="shared" ca="1" si="81"/>
        <v>#NAME?</v>
      </c>
      <c r="BT125" s="2" t="e">
        <f ca="1"/>
        <v>#NAME?</v>
      </c>
      <c r="BU125" s="2" t="e">
        <f t="shared" ca="1" si="82"/>
        <v>#NAME?</v>
      </c>
      <c r="BV125" s="2" t="e">
        <f ca="1"/>
        <v>#NAME?</v>
      </c>
      <c r="BW125" s="2" t="e">
        <f t="shared" ca="1" si="83"/>
        <v>#NAME?</v>
      </c>
      <c r="BX125" s="2" t="e">
        <f ca="1"/>
        <v>#NAME?</v>
      </c>
      <c r="BY125" s="2" t="e">
        <f t="shared" ca="1" si="84"/>
        <v>#NAME?</v>
      </c>
      <c r="BZ125" s="2" t="e">
        <f ca="1"/>
        <v>#NAME?</v>
      </c>
      <c r="CA125" s="2" t="e">
        <f t="shared" ca="1" si="85"/>
        <v>#NAME?</v>
      </c>
      <c r="CB125" s="2" t="e">
        <f ca="1"/>
        <v>#NAME?</v>
      </c>
      <c r="CC125" s="2" t="e">
        <f t="shared" ca="1" si="86"/>
        <v>#NAME?</v>
      </c>
      <c r="CD125" s="2" t="e">
        <f ca="1"/>
        <v>#NAME?</v>
      </c>
      <c r="CE125" s="2" t="e">
        <f t="shared" ca="1" si="87"/>
        <v>#NAME?</v>
      </c>
      <c r="CF125" s="2" t="e">
        <f ca="1"/>
        <v>#NAME?</v>
      </c>
      <c r="CG125" s="2" t="e">
        <f t="shared" ca="1" si="88"/>
        <v>#NAME?</v>
      </c>
      <c r="CH125" s="2" t="e">
        <f ca="1"/>
        <v>#NAME?</v>
      </c>
      <c r="CI125" s="2" t="e">
        <f t="shared" ca="1" si="89"/>
        <v>#NAME?</v>
      </c>
      <c r="CJ125" s="2" t="e">
        <f ca="1"/>
        <v>#NAME?</v>
      </c>
      <c r="CK125" s="2" t="e">
        <f t="shared" ca="1" si="90"/>
        <v>#NAME?</v>
      </c>
      <c r="CL125" s="2" t="e">
        <f ca="1"/>
        <v>#NAME?</v>
      </c>
      <c r="CM125" s="2" t="e">
        <f t="shared" ca="1" si="91"/>
        <v>#NAME?</v>
      </c>
      <c r="CN125" s="2" t="e">
        <f ca="1"/>
        <v>#NAME?</v>
      </c>
      <c r="CO125" s="2" t="e">
        <f t="shared" ca="1" si="92"/>
        <v>#NAME?</v>
      </c>
      <c r="CP125" s="2" t="e">
        <f ca="1"/>
        <v>#NAME?</v>
      </c>
      <c r="CQ125" s="2" t="e">
        <f t="shared" ca="1" si="93"/>
        <v>#NAME?</v>
      </c>
    </row>
    <row r="126" spans="1:95">
      <c r="A126" s="7" t="e">
        <f ca="1"/>
        <v>#NAME?</v>
      </c>
      <c r="B126" s="2" t="e">
        <f ca="1"/>
        <v>#NAME?</v>
      </c>
      <c r="C126" s="2" t="e">
        <f t="shared" ca="1" si="47"/>
        <v>#NAME?</v>
      </c>
      <c r="D126" s="2" t="e">
        <f ca="1"/>
        <v>#NAME?</v>
      </c>
      <c r="E126" s="2" t="e">
        <f t="shared" ca="1" si="48"/>
        <v>#NAME?</v>
      </c>
      <c r="F126" s="2" t="e">
        <f ca="1"/>
        <v>#NAME?</v>
      </c>
      <c r="G126" s="2" t="e">
        <f t="shared" ca="1" si="49"/>
        <v>#NAME?</v>
      </c>
      <c r="H126" s="2" t="e">
        <f ca="1"/>
        <v>#NAME?</v>
      </c>
      <c r="I126" s="2" t="e">
        <f t="shared" ca="1" si="50"/>
        <v>#NAME?</v>
      </c>
      <c r="J126" s="2" t="e">
        <f ca="1"/>
        <v>#NAME?</v>
      </c>
      <c r="K126" s="2" t="e">
        <f t="shared" ca="1" si="51"/>
        <v>#NAME?</v>
      </c>
      <c r="L126" s="2" t="e">
        <f ca="1"/>
        <v>#NAME?</v>
      </c>
      <c r="M126" s="2" t="e">
        <f t="shared" ca="1" si="52"/>
        <v>#NAME?</v>
      </c>
      <c r="N126" s="2" t="e">
        <f ca="1"/>
        <v>#NAME?</v>
      </c>
      <c r="O126" s="2" t="e">
        <f t="shared" ca="1" si="53"/>
        <v>#NAME?</v>
      </c>
      <c r="P126" s="2" t="e">
        <f ca="1"/>
        <v>#NAME?</v>
      </c>
      <c r="Q126" s="2" t="e">
        <f t="shared" ca="1" si="54"/>
        <v>#NAME?</v>
      </c>
      <c r="R126" s="2" t="e">
        <f ca="1"/>
        <v>#NAME?</v>
      </c>
      <c r="S126" s="2" t="e">
        <f t="shared" ca="1" si="55"/>
        <v>#NAME?</v>
      </c>
      <c r="T126" s="2" t="e">
        <f ca="1"/>
        <v>#NAME?</v>
      </c>
      <c r="U126" s="2" t="e">
        <f t="shared" ca="1" si="56"/>
        <v>#NAME?</v>
      </c>
      <c r="V126" s="2" t="e">
        <f ca="1"/>
        <v>#NAME?</v>
      </c>
      <c r="W126" s="2" t="e">
        <f t="shared" ca="1" si="57"/>
        <v>#NAME?</v>
      </c>
      <c r="X126" s="2" t="e">
        <f ca="1"/>
        <v>#NAME?</v>
      </c>
      <c r="Y126" s="2" t="e">
        <f t="shared" ca="1" si="58"/>
        <v>#NAME?</v>
      </c>
      <c r="Z126" s="2" t="e">
        <f ca="1"/>
        <v>#NAME?</v>
      </c>
      <c r="AA126" s="2" t="e">
        <f t="shared" ca="1" si="59"/>
        <v>#NAME?</v>
      </c>
      <c r="AB126" s="2" t="e">
        <f ca="1"/>
        <v>#NAME?</v>
      </c>
      <c r="AC126" s="2" t="e">
        <f t="shared" ca="1" si="60"/>
        <v>#NAME?</v>
      </c>
      <c r="AD126" s="2" t="e">
        <f ca="1"/>
        <v>#NAME?</v>
      </c>
      <c r="AE126" s="2" t="e">
        <f t="shared" ca="1" si="61"/>
        <v>#NAME?</v>
      </c>
      <c r="AF126" s="2" t="e">
        <f ca="1"/>
        <v>#NAME?</v>
      </c>
      <c r="AG126" s="2" t="e">
        <f t="shared" ca="1" si="62"/>
        <v>#NAME?</v>
      </c>
      <c r="AH126" s="2" t="e">
        <f ca="1"/>
        <v>#NAME?</v>
      </c>
      <c r="AI126" s="2" t="e">
        <f t="shared" ca="1" si="63"/>
        <v>#NAME?</v>
      </c>
      <c r="AJ126" s="2" t="e">
        <f ca="1"/>
        <v>#NAME?</v>
      </c>
      <c r="AK126" s="2" t="e">
        <f t="shared" ca="1" si="64"/>
        <v>#NAME?</v>
      </c>
      <c r="AL126" s="2" t="e">
        <f ca="1"/>
        <v>#NAME?</v>
      </c>
      <c r="AM126" s="2" t="e">
        <f t="shared" ca="1" si="65"/>
        <v>#NAME?</v>
      </c>
      <c r="AN126" s="2" t="e">
        <f ca="1"/>
        <v>#NAME?</v>
      </c>
      <c r="AO126" s="2" t="e">
        <f t="shared" ca="1" si="66"/>
        <v>#NAME?</v>
      </c>
      <c r="AP126" s="2" t="e">
        <f ca="1"/>
        <v>#NAME?</v>
      </c>
      <c r="AQ126" s="2" t="e">
        <f t="shared" ca="1" si="67"/>
        <v>#NAME?</v>
      </c>
      <c r="AR126" s="2" t="e">
        <f ca="1"/>
        <v>#NAME?</v>
      </c>
      <c r="AS126" s="2" t="e">
        <f t="shared" ca="1" si="68"/>
        <v>#NAME?</v>
      </c>
      <c r="AT126" s="2" t="e">
        <f ca="1"/>
        <v>#NAME?</v>
      </c>
      <c r="AU126" s="2" t="e">
        <f t="shared" ca="1" si="69"/>
        <v>#NAME?</v>
      </c>
      <c r="AV126" s="2" t="e">
        <f ca="1"/>
        <v>#NAME?</v>
      </c>
      <c r="AW126" s="2" t="e">
        <f t="shared" ca="1" si="70"/>
        <v>#NAME?</v>
      </c>
      <c r="AX126" s="2" t="e">
        <f ca="1"/>
        <v>#NAME?</v>
      </c>
      <c r="AY126" s="2" t="e">
        <f t="shared" ca="1" si="71"/>
        <v>#NAME?</v>
      </c>
      <c r="AZ126" s="2" t="e">
        <f ca="1"/>
        <v>#NAME?</v>
      </c>
      <c r="BA126" s="2" t="e">
        <f t="shared" ca="1" si="72"/>
        <v>#NAME?</v>
      </c>
      <c r="BB126" s="2" t="e">
        <f ca="1"/>
        <v>#NAME?</v>
      </c>
      <c r="BC126" s="2" t="e">
        <f t="shared" ca="1" si="73"/>
        <v>#NAME?</v>
      </c>
      <c r="BD126" s="2" t="e">
        <f ca="1"/>
        <v>#NAME?</v>
      </c>
      <c r="BE126" s="2" t="e">
        <f t="shared" ca="1" si="74"/>
        <v>#NAME?</v>
      </c>
      <c r="BF126" s="2" t="e">
        <f ca="1"/>
        <v>#NAME?</v>
      </c>
      <c r="BG126" s="2" t="e">
        <f t="shared" ca="1" si="75"/>
        <v>#NAME?</v>
      </c>
      <c r="BH126" s="2" t="e">
        <f ca="1"/>
        <v>#NAME?</v>
      </c>
      <c r="BI126" s="2" t="e">
        <f t="shared" ca="1" si="76"/>
        <v>#NAME?</v>
      </c>
      <c r="BJ126" s="2" t="e">
        <f ca="1"/>
        <v>#NAME?</v>
      </c>
      <c r="BK126" s="2" t="e">
        <f t="shared" ca="1" si="77"/>
        <v>#NAME?</v>
      </c>
      <c r="BL126" s="2" t="e">
        <f ca="1"/>
        <v>#NAME?</v>
      </c>
      <c r="BM126" s="2" t="e">
        <f t="shared" ca="1" si="78"/>
        <v>#NAME?</v>
      </c>
      <c r="BN126" s="2" t="e">
        <f ca="1"/>
        <v>#NAME?</v>
      </c>
      <c r="BO126" s="2" t="e">
        <f t="shared" ca="1" si="79"/>
        <v>#NAME?</v>
      </c>
      <c r="BP126" s="2" t="e">
        <f ca="1"/>
        <v>#NAME?</v>
      </c>
      <c r="BQ126" s="2" t="e">
        <f t="shared" ca="1" si="80"/>
        <v>#NAME?</v>
      </c>
      <c r="BR126" s="2" t="e">
        <f ca="1"/>
        <v>#NAME?</v>
      </c>
      <c r="BS126" s="2" t="e">
        <f t="shared" ca="1" si="81"/>
        <v>#NAME?</v>
      </c>
      <c r="BT126" s="2" t="e">
        <f ca="1"/>
        <v>#NAME?</v>
      </c>
      <c r="BU126" s="2" t="e">
        <f t="shared" ca="1" si="82"/>
        <v>#NAME?</v>
      </c>
      <c r="BV126" s="2" t="e">
        <f ca="1"/>
        <v>#NAME?</v>
      </c>
      <c r="BW126" s="2" t="e">
        <f t="shared" ca="1" si="83"/>
        <v>#NAME?</v>
      </c>
      <c r="BX126" s="2" t="e">
        <f ca="1"/>
        <v>#NAME?</v>
      </c>
      <c r="BY126" s="2" t="e">
        <f t="shared" ca="1" si="84"/>
        <v>#NAME?</v>
      </c>
      <c r="BZ126" s="2" t="e">
        <f ca="1"/>
        <v>#NAME?</v>
      </c>
      <c r="CA126" s="2" t="e">
        <f t="shared" ca="1" si="85"/>
        <v>#NAME?</v>
      </c>
      <c r="CB126" s="2" t="e">
        <f ca="1"/>
        <v>#NAME?</v>
      </c>
      <c r="CC126" s="2" t="e">
        <f t="shared" ca="1" si="86"/>
        <v>#NAME?</v>
      </c>
      <c r="CD126" s="2" t="e">
        <f ca="1"/>
        <v>#NAME?</v>
      </c>
      <c r="CE126" s="2" t="e">
        <f t="shared" ca="1" si="87"/>
        <v>#NAME?</v>
      </c>
      <c r="CF126" s="2" t="e">
        <f ca="1"/>
        <v>#NAME?</v>
      </c>
      <c r="CG126" s="2" t="e">
        <f t="shared" ca="1" si="88"/>
        <v>#NAME?</v>
      </c>
      <c r="CH126" s="2" t="e">
        <f ca="1"/>
        <v>#NAME?</v>
      </c>
      <c r="CI126" s="2" t="e">
        <f t="shared" ca="1" si="89"/>
        <v>#NAME?</v>
      </c>
      <c r="CJ126" s="2" t="e">
        <f ca="1"/>
        <v>#NAME?</v>
      </c>
      <c r="CK126" s="2" t="e">
        <f t="shared" ca="1" si="90"/>
        <v>#NAME?</v>
      </c>
      <c r="CL126" s="2" t="e">
        <f ca="1"/>
        <v>#NAME?</v>
      </c>
      <c r="CM126" s="2" t="e">
        <f t="shared" ca="1" si="91"/>
        <v>#NAME?</v>
      </c>
      <c r="CN126" s="2" t="e">
        <f ca="1"/>
        <v>#NAME?</v>
      </c>
      <c r="CO126" s="2" t="e">
        <f t="shared" ca="1" si="92"/>
        <v>#NAME?</v>
      </c>
      <c r="CP126" s="2" t="e">
        <f ca="1"/>
        <v>#NAME?</v>
      </c>
      <c r="CQ126" s="2" t="e">
        <f t="shared" ca="1" si="93"/>
        <v>#NAME?</v>
      </c>
    </row>
    <row r="127" spans="1:95">
      <c r="A127" s="7" t="e">
        <f ca="1"/>
        <v>#NAME?</v>
      </c>
      <c r="B127" s="2" t="e">
        <f ca="1"/>
        <v>#NAME?</v>
      </c>
      <c r="C127" s="2" t="e">
        <f t="shared" ca="1" si="47"/>
        <v>#NAME?</v>
      </c>
      <c r="D127" s="2" t="e">
        <f ca="1"/>
        <v>#NAME?</v>
      </c>
      <c r="E127" s="2" t="e">
        <f t="shared" ca="1" si="48"/>
        <v>#NAME?</v>
      </c>
      <c r="F127" s="2" t="e">
        <f ca="1"/>
        <v>#NAME?</v>
      </c>
      <c r="G127" s="2" t="e">
        <f t="shared" ca="1" si="49"/>
        <v>#NAME?</v>
      </c>
      <c r="H127" s="2" t="e">
        <f ca="1"/>
        <v>#NAME?</v>
      </c>
      <c r="I127" s="2" t="e">
        <f t="shared" ca="1" si="50"/>
        <v>#NAME?</v>
      </c>
      <c r="J127" s="2" t="e">
        <f ca="1"/>
        <v>#NAME?</v>
      </c>
      <c r="K127" s="2" t="e">
        <f t="shared" ca="1" si="51"/>
        <v>#NAME?</v>
      </c>
      <c r="L127" s="2" t="e">
        <f ca="1"/>
        <v>#NAME?</v>
      </c>
      <c r="M127" s="2" t="e">
        <f t="shared" ca="1" si="52"/>
        <v>#NAME?</v>
      </c>
      <c r="N127" s="2" t="e">
        <f ca="1"/>
        <v>#NAME?</v>
      </c>
      <c r="O127" s="2" t="e">
        <f t="shared" ca="1" si="53"/>
        <v>#NAME?</v>
      </c>
      <c r="P127" s="2" t="e">
        <f ca="1"/>
        <v>#NAME?</v>
      </c>
      <c r="Q127" s="2" t="e">
        <f t="shared" ca="1" si="54"/>
        <v>#NAME?</v>
      </c>
      <c r="R127" s="2" t="e">
        <f ca="1"/>
        <v>#NAME?</v>
      </c>
      <c r="S127" s="2" t="e">
        <f t="shared" ca="1" si="55"/>
        <v>#NAME?</v>
      </c>
      <c r="T127" s="2" t="e">
        <f ca="1"/>
        <v>#NAME?</v>
      </c>
      <c r="U127" s="2" t="e">
        <f t="shared" ca="1" si="56"/>
        <v>#NAME?</v>
      </c>
      <c r="V127" s="2" t="e">
        <f ca="1"/>
        <v>#NAME?</v>
      </c>
      <c r="W127" s="2" t="e">
        <f t="shared" ca="1" si="57"/>
        <v>#NAME?</v>
      </c>
      <c r="X127" s="2" t="e">
        <f ca="1"/>
        <v>#NAME?</v>
      </c>
      <c r="Y127" s="2" t="e">
        <f t="shared" ca="1" si="58"/>
        <v>#NAME?</v>
      </c>
      <c r="Z127" s="2" t="e">
        <f ca="1"/>
        <v>#NAME?</v>
      </c>
      <c r="AA127" s="2" t="e">
        <f t="shared" ca="1" si="59"/>
        <v>#NAME?</v>
      </c>
      <c r="AB127" s="2" t="e">
        <f ca="1"/>
        <v>#NAME?</v>
      </c>
      <c r="AC127" s="2" t="e">
        <f t="shared" ca="1" si="60"/>
        <v>#NAME?</v>
      </c>
      <c r="AD127" s="2" t="e">
        <f ca="1"/>
        <v>#NAME?</v>
      </c>
      <c r="AE127" s="2" t="e">
        <f t="shared" ca="1" si="61"/>
        <v>#NAME?</v>
      </c>
      <c r="AF127" s="2" t="e">
        <f ca="1"/>
        <v>#NAME?</v>
      </c>
      <c r="AG127" s="2" t="e">
        <f t="shared" ca="1" si="62"/>
        <v>#NAME?</v>
      </c>
      <c r="AH127" s="2" t="e">
        <f ca="1"/>
        <v>#NAME?</v>
      </c>
      <c r="AI127" s="2" t="e">
        <f t="shared" ca="1" si="63"/>
        <v>#NAME?</v>
      </c>
      <c r="AJ127" s="2" t="e">
        <f ca="1"/>
        <v>#NAME?</v>
      </c>
      <c r="AK127" s="2" t="e">
        <f t="shared" ca="1" si="64"/>
        <v>#NAME?</v>
      </c>
      <c r="AL127" s="2" t="e">
        <f ca="1"/>
        <v>#NAME?</v>
      </c>
      <c r="AM127" s="2" t="e">
        <f t="shared" ca="1" si="65"/>
        <v>#NAME?</v>
      </c>
      <c r="AN127" s="2" t="e">
        <f ca="1"/>
        <v>#NAME?</v>
      </c>
      <c r="AO127" s="2" t="e">
        <f t="shared" ca="1" si="66"/>
        <v>#NAME?</v>
      </c>
      <c r="AP127" s="2" t="e">
        <f ca="1"/>
        <v>#NAME?</v>
      </c>
      <c r="AQ127" s="2" t="e">
        <f t="shared" ca="1" si="67"/>
        <v>#NAME?</v>
      </c>
      <c r="AR127" s="2" t="e">
        <f ca="1"/>
        <v>#NAME?</v>
      </c>
      <c r="AS127" s="2" t="e">
        <f t="shared" ca="1" si="68"/>
        <v>#NAME?</v>
      </c>
      <c r="AT127" s="2" t="e">
        <f ca="1"/>
        <v>#NAME?</v>
      </c>
      <c r="AU127" s="2" t="e">
        <f t="shared" ca="1" si="69"/>
        <v>#NAME?</v>
      </c>
      <c r="AV127" s="2" t="e">
        <f ca="1"/>
        <v>#NAME?</v>
      </c>
      <c r="AW127" s="2" t="e">
        <f t="shared" ca="1" si="70"/>
        <v>#NAME?</v>
      </c>
      <c r="AX127" s="2" t="e">
        <f ca="1"/>
        <v>#NAME?</v>
      </c>
      <c r="AY127" s="2" t="e">
        <f t="shared" ca="1" si="71"/>
        <v>#NAME?</v>
      </c>
      <c r="AZ127" s="2" t="e">
        <f ca="1"/>
        <v>#NAME?</v>
      </c>
      <c r="BA127" s="2" t="e">
        <f t="shared" ca="1" si="72"/>
        <v>#NAME?</v>
      </c>
      <c r="BB127" s="2" t="e">
        <f ca="1"/>
        <v>#NAME?</v>
      </c>
      <c r="BC127" s="2" t="e">
        <f t="shared" ca="1" si="73"/>
        <v>#NAME?</v>
      </c>
      <c r="BD127" s="2" t="e">
        <f ca="1"/>
        <v>#NAME?</v>
      </c>
      <c r="BE127" s="2" t="e">
        <f t="shared" ca="1" si="74"/>
        <v>#NAME?</v>
      </c>
      <c r="BF127" s="2" t="e">
        <f ca="1"/>
        <v>#NAME?</v>
      </c>
      <c r="BG127" s="2" t="e">
        <f t="shared" ca="1" si="75"/>
        <v>#NAME?</v>
      </c>
      <c r="BH127" s="2" t="e">
        <f ca="1"/>
        <v>#NAME?</v>
      </c>
      <c r="BI127" s="2" t="e">
        <f t="shared" ca="1" si="76"/>
        <v>#NAME?</v>
      </c>
      <c r="BJ127" s="2" t="e">
        <f ca="1"/>
        <v>#NAME?</v>
      </c>
      <c r="BK127" s="2" t="e">
        <f t="shared" ca="1" si="77"/>
        <v>#NAME?</v>
      </c>
      <c r="BL127" s="2" t="e">
        <f ca="1"/>
        <v>#NAME?</v>
      </c>
      <c r="BM127" s="2" t="e">
        <f t="shared" ca="1" si="78"/>
        <v>#NAME?</v>
      </c>
      <c r="BN127" s="2" t="e">
        <f ca="1"/>
        <v>#NAME?</v>
      </c>
      <c r="BO127" s="2" t="e">
        <f t="shared" ca="1" si="79"/>
        <v>#NAME?</v>
      </c>
      <c r="BP127" s="2" t="e">
        <f ca="1"/>
        <v>#NAME?</v>
      </c>
      <c r="BQ127" s="2" t="e">
        <f t="shared" ca="1" si="80"/>
        <v>#NAME?</v>
      </c>
      <c r="BR127" s="2" t="e">
        <f ca="1"/>
        <v>#NAME?</v>
      </c>
      <c r="BS127" s="2" t="e">
        <f t="shared" ca="1" si="81"/>
        <v>#NAME?</v>
      </c>
      <c r="BT127" s="2" t="e">
        <f ca="1"/>
        <v>#NAME?</v>
      </c>
      <c r="BU127" s="2" t="e">
        <f t="shared" ca="1" si="82"/>
        <v>#NAME?</v>
      </c>
      <c r="BV127" s="2" t="e">
        <f ca="1"/>
        <v>#NAME?</v>
      </c>
      <c r="BW127" s="2" t="e">
        <f t="shared" ca="1" si="83"/>
        <v>#NAME?</v>
      </c>
      <c r="BX127" s="2" t="e">
        <f ca="1"/>
        <v>#NAME?</v>
      </c>
      <c r="BY127" s="2" t="e">
        <f t="shared" ca="1" si="84"/>
        <v>#NAME?</v>
      </c>
      <c r="BZ127" s="2" t="e">
        <f ca="1"/>
        <v>#NAME?</v>
      </c>
      <c r="CA127" s="2" t="e">
        <f t="shared" ca="1" si="85"/>
        <v>#NAME?</v>
      </c>
      <c r="CB127" s="2" t="e">
        <f ca="1"/>
        <v>#NAME?</v>
      </c>
      <c r="CC127" s="2" t="e">
        <f t="shared" ca="1" si="86"/>
        <v>#NAME?</v>
      </c>
      <c r="CD127" s="2" t="e">
        <f ca="1"/>
        <v>#NAME?</v>
      </c>
      <c r="CE127" s="2" t="e">
        <f t="shared" ca="1" si="87"/>
        <v>#NAME?</v>
      </c>
      <c r="CF127" s="2" t="e">
        <f ca="1"/>
        <v>#NAME?</v>
      </c>
      <c r="CG127" s="2" t="e">
        <f t="shared" ca="1" si="88"/>
        <v>#NAME?</v>
      </c>
      <c r="CH127" s="2" t="e">
        <f ca="1"/>
        <v>#NAME?</v>
      </c>
      <c r="CI127" s="2" t="e">
        <f t="shared" ca="1" si="89"/>
        <v>#NAME?</v>
      </c>
      <c r="CJ127" s="2" t="e">
        <f ca="1"/>
        <v>#NAME?</v>
      </c>
      <c r="CK127" s="2" t="e">
        <f t="shared" ca="1" si="90"/>
        <v>#NAME?</v>
      </c>
      <c r="CL127" s="2" t="e">
        <f ca="1"/>
        <v>#NAME?</v>
      </c>
      <c r="CM127" s="2" t="e">
        <f t="shared" ca="1" si="91"/>
        <v>#NAME?</v>
      </c>
      <c r="CN127" s="2" t="e">
        <f ca="1"/>
        <v>#NAME?</v>
      </c>
      <c r="CO127" s="2" t="e">
        <f t="shared" ca="1" si="92"/>
        <v>#NAME?</v>
      </c>
      <c r="CP127" s="2" t="e">
        <f ca="1"/>
        <v>#NAME?</v>
      </c>
      <c r="CQ127" s="2" t="e">
        <f t="shared" ca="1" si="93"/>
        <v>#NAME?</v>
      </c>
    </row>
    <row r="128" spans="1:95">
      <c r="A128" s="7" t="e">
        <f ca="1"/>
        <v>#NAME?</v>
      </c>
      <c r="B128" s="2" t="e">
        <f ca="1"/>
        <v>#NAME?</v>
      </c>
      <c r="C128" s="2" t="e">
        <f t="shared" ca="1" si="47"/>
        <v>#NAME?</v>
      </c>
      <c r="D128" s="2" t="e">
        <f ca="1"/>
        <v>#NAME?</v>
      </c>
      <c r="E128" s="2" t="e">
        <f t="shared" ca="1" si="48"/>
        <v>#NAME?</v>
      </c>
      <c r="F128" s="2" t="e">
        <f ca="1"/>
        <v>#NAME?</v>
      </c>
      <c r="G128" s="2" t="e">
        <f t="shared" ca="1" si="49"/>
        <v>#NAME?</v>
      </c>
      <c r="H128" s="2" t="e">
        <f ca="1"/>
        <v>#NAME?</v>
      </c>
      <c r="I128" s="2" t="e">
        <f t="shared" ca="1" si="50"/>
        <v>#NAME?</v>
      </c>
      <c r="J128" s="2" t="e">
        <f ca="1"/>
        <v>#NAME?</v>
      </c>
      <c r="K128" s="2" t="e">
        <f t="shared" ca="1" si="51"/>
        <v>#NAME?</v>
      </c>
      <c r="L128" s="2" t="e">
        <f ca="1"/>
        <v>#NAME?</v>
      </c>
      <c r="M128" s="2" t="e">
        <f t="shared" ca="1" si="52"/>
        <v>#NAME?</v>
      </c>
      <c r="N128" s="2" t="e">
        <f ca="1"/>
        <v>#NAME?</v>
      </c>
      <c r="O128" s="2" t="e">
        <f t="shared" ca="1" si="53"/>
        <v>#NAME?</v>
      </c>
      <c r="P128" s="2" t="e">
        <f ca="1"/>
        <v>#NAME?</v>
      </c>
      <c r="Q128" s="2" t="e">
        <f t="shared" ca="1" si="54"/>
        <v>#NAME?</v>
      </c>
      <c r="R128" s="2" t="e">
        <f ca="1"/>
        <v>#NAME?</v>
      </c>
      <c r="S128" s="2" t="e">
        <f t="shared" ca="1" si="55"/>
        <v>#NAME?</v>
      </c>
      <c r="T128" s="2" t="e">
        <f ca="1"/>
        <v>#NAME?</v>
      </c>
      <c r="U128" s="2" t="e">
        <f t="shared" ca="1" si="56"/>
        <v>#NAME?</v>
      </c>
      <c r="V128" s="2" t="e">
        <f ca="1"/>
        <v>#NAME?</v>
      </c>
      <c r="W128" s="2" t="e">
        <f t="shared" ca="1" si="57"/>
        <v>#NAME?</v>
      </c>
      <c r="X128" s="2" t="e">
        <f ca="1"/>
        <v>#NAME?</v>
      </c>
      <c r="Y128" s="2" t="e">
        <f t="shared" ca="1" si="58"/>
        <v>#NAME?</v>
      </c>
      <c r="Z128" s="2" t="e">
        <f ca="1"/>
        <v>#NAME?</v>
      </c>
      <c r="AA128" s="2" t="e">
        <f t="shared" ca="1" si="59"/>
        <v>#NAME?</v>
      </c>
      <c r="AB128" s="2" t="e">
        <f ca="1"/>
        <v>#NAME?</v>
      </c>
      <c r="AC128" s="2" t="e">
        <f t="shared" ca="1" si="60"/>
        <v>#NAME?</v>
      </c>
      <c r="AD128" s="2" t="e">
        <f ca="1"/>
        <v>#NAME?</v>
      </c>
      <c r="AE128" s="2" t="e">
        <f t="shared" ca="1" si="61"/>
        <v>#NAME?</v>
      </c>
      <c r="AF128" s="2" t="e">
        <f ca="1"/>
        <v>#NAME?</v>
      </c>
      <c r="AG128" s="2" t="e">
        <f t="shared" ca="1" si="62"/>
        <v>#NAME?</v>
      </c>
      <c r="AH128" s="2" t="e">
        <f ca="1"/>
        <v>#NAME?</v>
      </c>
      <c r="AI128" s="2" t="e">
        <f t="shared" ca="1" si="63"/>
        <v>#NAME?</v>
      </c>
      <c r="AJ128" s="2" t="e">
        <f ca="1"/>
        <v>#NAME?</v>
      </c>
      <c r="AK128" s="2" t="e">
        <f t="shared" ca="1" si="64"/>
        <v>#NAME?</v>
      </c>
      <c r="AL128" s="2" t="e">
        <f ca="1"/>
        <v>#NAME?</v>
      </c>
      <c r="AM128" s="2" t="e">
        <f t="shared" ca="1" si="65"/>
        <v>#NAME?</v>
      </c>
      <c r="AN128" s="2" t="e">
        <f ca="1"/>
        <v>#NAME?</v>
      </c>
      <c r="AO128" s="2" t="e">
        <f t="shared" ca="1" si="66"/>
        <v>#NAME?</v>
      </c>
      <c r="AP128" s="2" t="e">
        <f ca="1"/>
        <v>#NAME?</v>
      </c>
      <c r="AQ128" s="2" t="e">
        <f t="shared" ca="1" si="67"/>
        <v>#NAME?</v>
      </c>
      <c r="AR128" s="2" t="e">
        <f ca="1"/>
        <v>#NAME?</v>
      </c>
      <c r="AS128" s="2" t="e">
        <f t="shared" ca="1" si="68"/>
        <v>#NAME?</v>
      </c>
      <c r="AT128" s="2" t="e">
        <f ca="1"/>
        <v>#NAME?</v>
      </c>
      <c r="AU128" s="2" t="e">
        <f t="shared" ca="1" si="69"/>
        <v>#NAME?</v>
      </c>
      <c r="AV128" s="2" t="e">
        <f ca="1"/>
        <v>#NAME?</v>
      </c>
      <c r="AW128" s="2" t="e">
        <f t="shared" ca="1" si="70"/>
        <v>#NAME?</v>
      </c>
      <c r="AX128" s="2" t="e">
        <f ca="1"/>
        <v>#NAME?</v>
      </c>
      <c r="AY128" s="2" t="e">
        <f t="shared" ca="1" si="71"/>
        <v>#NAME?</v>
      </c>
      <c r="AZ128" s="2" t="e">
        <f ca="1"/>
        <v>#NAME?</v>
      </c>
      <c r="BA128" s="2" t="e">
        <f t="shared" ca="1" si="72"/>
        <v>#NAME?</v>
      </c>
      <c r="BB128" s="2" t="e">
        <f ca="1"/>
        <v>#NAME?</v>
      </c>
      <c r="BC128" s="2" t="e">
        <f t="shared" ca="1" si="73"/>
        <v>#NAME?</v>
      </c>
      <c r="BD128" s="2" t="e">
        <f ca="1"/>
        <v>#NAME?</v>
      </c>
      <c r="BE128" s="2" t="e">
        <f t="shared" ca="1" si="74"/>
        <v>#NAME?</v>
      </c>
      <c r="BF128" s="2" t="e">
        <f ca="1"/>
        <v>#NAME?</v>
      </c>
      <c r="BG128" s="2" t="e">
        <f t="shared" ca="1" si="75"/>
        <v>#NAME?</v>
      </c>
      <c r="BH128" s="2" t="e">
        <f ca="1"/>
        <v>#NAME?</v>
      </c>
      <c r="BI128" s="2" t="e">
        <f t="shared" ca="1" si="76"/>
        <v>#NAME?</v>
      </c>
      <c r="BJ128" s="2" t="e">
        <f ca="1"/>
        <v>#NAME?</v>
      </c>
      <c r="BK128" s="2" t="e">
        <f t="shared" ca="1" si="77"/>
        <v>#NAME?</v>
      </c>
      <c r="BL128" s="2" t="e">
        <f ca="1"/>
        <v>#NAME?</v>
      </c>
      <c r="BM128" s="2" t="e">
        <f t="shared" ca="1" si="78"/>
        <v>#NAME?</v>
      </c>
      <c r="BN128" s="2" t="e">
        <f ca="1"/>
        <v>#NAME?</v>
      </c>
      <c r="BO128" s="2" t="e">
        <f t="shared" ca="1" si="79"/>
        <v>#NAME?</v>
      </c>
      <c r="BP128" s="2" t="e">
        <f ca="1"/>
        <v>#NAME?</v>
      </c>
      <c r="BQ128" s="2" t="e">
        <f t="shared" ca="1" si="80"/>
        <v>#NAME?</v>
      </c>
      <c r="BR128" s="2" t="e">
        <f ca="1"/>
        <v>#NAME?</v>
      </c>
      <c r="BS128" s="2" t="e">
        <f t="shared" ca="1" si="81"/>
        <v>#NAME?</v>
      </c>
      <c r="BT128" s="2" t="e">
        <f ca="1"/>
        <v>#NAME?</v>
      </c>
      <c r="BU128" s="2" t="e">
        <f t="shared" ca="1" si="82"/>
        <v>#NAME?</v>
      </c>
      <c r="BV128" s="2" t="e">
        <f ca="1"/>
        <v>#NAME?</v>
      </c>
      <c r="BW128" s="2" t="e">
        <f t="shared" ca="1" si="83"/>
        <v>#NAME?</v>
      </c>
      <c r="BX128" s="2" t="e">
        <f ca="1"/>
        <v>#NAME?</v>
      </c>
      <c r="BY128" s="2" t="e">
        <f t="shared" ca="1" si="84"/>
        <v>#NAME?</v>
      </c>
      <c r="BZ128" s="2" t="e">
        <f ca="1"/>
        <v>#NAME?</v>
      </c>
      <c r="CA128" s="2" t="e">
        <f t="shared" ca="1" si="85"/>
        <v>#NAME?</v>
      </c>
      <c r="CB128" s="2" t="e">
        <f ca="1"/>
        <v>#NAME?</v>
      </c>
      <c r="CC128" s="2" t="e">
        <f t="shared" ca="1" si="86"/>
        <v>#NAME?</v>
      </c>
      <c r="CD128" s="2" t="e">
        <f ca="1"/>
        <v>#NAME?</v>
      </c>
      <c r="CE128" s="2" t="e">
        <f t="shared" ca="1" si="87"/>
        <v>#NAME?</v>
      </c>
      <c r="CF128" s="2" t="e">
        <f ca="1"/>
        <v>#NAME?</v>
      </c>
      <c r="CG128" s="2" t="e">
        <f t="shared" ca="1" si="88"/>
        <v>#NAME?</v>
      </c>
      <c r="CH128" s="2" t="e">
        <f ca="1"/>
        <v>#NAME?</v>
      </c>
      <c r="CI128" s="2" t="e">
        <f t="shared" ca="1" si="89"/>
        <v>#NAME?</v>
      </c>
      <c r="CJ128" s="2" t="e">
        <f ca="1"/>
        <v>#NAME?</v>
      </c>
      <c r="CK128" s="2" t="e">
        <f t="shared" ca="1" si="90"/>
        <v>#NAME?</v>
      </c>
      <c r="CL128" s="2" t="e">
        <f ca="1"/>
        <v>#NAME?</v>
      </c>
      <c r="CM128" s="2" t="e">
        <f t="shared" ca="1" si="91"/>
        <v>#NAME?</v>
      </c>
      <c r="CN128" s="2" t="e">
        <f ca="1"/>
        <v>#NAME?</v>
      </c>
      <c r="CO128" s="2" t="e">
        <f t="shared" ca="1" si="92"/>
        <v>#NAME?</v>
      </c>
      <c r="CP128" s="2" t="e">
        <f ca="1"/>
        <v>#NAME?</v>
      </c>
      <c r="CQ128" s="2" t="e">
        <f t="shared" ca="1" si="93"/>
        <v>#NAME?</v>
      </c>
    </row>
    <row r="129" spans="1:95">
      <c r="A129" s="7" t="e">
        <f ca="1"/>
        <v>#NAME?</v>
      </c>
      <c r="B129" s="2" t="e">
        <f ca="1"/>
        <v>#NAME?</v>
      </c>
      <c r="C129" s="2" t="e">
        <f t="shared" ca="1" si="47"/>
        <v>#NAME?</v>
      </c>
      <c r="D129" s="2" t="e">
        <f ca="1"/>
        <v>#NAME?</v>
      </c>
      <c r="E129" s="2" t="e">
        <f t="shared" ca="1" si="48"/>
        <v>#NAME?</v>
      </c>
      <c r="F129" s="2" t="e">
        <f ca="1"/>
        <v>#NAME?</v>
      </c>
      <c r="G129" s="2" t="e">
        <f t="shared" ca="1" si="49"/>
        <v>#NAME?</v>
      </c>
      <c r="H129" s="2" t="e">
        <f ca="1"/>
        <v>#NAME?</v>
      </c>
      <c r="I129" s="2" t="e">
        <f t="shared" ca="1" si="50"/>
        <v>#NAME?</v>
      </c>
      <c r="J129" s="2" t="e">
        <f ca="1"/>
        <v>#NAME?</v>
      </c>
      <c r="K129" s="2" t="e">
        <f t="shared" ca="1" si="51"/>
        <v>#NAME?</v>
      </c>
      <c r="L129" s="2" t="e">
        <f ca="1"/>
        <v>#NAME?</v>
      </c>
      <c r="M129" s="2" t="e">
        <f t="shared" ca="1" si="52"/>
        <v>#NAME?</v>
      </c>
      <c r="N129" s="2" t="e">
        <f ca="1"/>
        <v>#NAME?</v>
      </c>
      <c r="O129" s="2" t="e">
        <f t="shared" ca="1" si="53"/>
        <v>#NAME?</v>
      </c>
      <c r="P129" s="2" t="e">
        <f ca="1"/>
        <v>#NAME?</v>
      </c>
      <c r="Q129" s="2" t="e">
        <f t="shared" ca="1" si="54"/>
        <v>#NAME?</v>
      </c>
      <c r="R129" s="2" t="e">
        <f ca="1"/>
        <v>#NAME?</v>
      </c>
      <c r="S129" s="2" t="e">
        <f t="shared" ca="1" si="55"/>
        <v>#NAME?</v>
      </c>
      <c r="T129" s="2" t="e">
        <f ca="1"/>
        <v>#NAME?</v>
      </c>
      <c r="U129" s="2" t="e">
        <f t="shared" ca="1" si="56"/>
        <v>#NAME?</v>
      </c>
      <c r="V129" s="2" t="e">
        <f ca="1"/>
        <v>#NAME?</v>
      </c>
      <c r="W129" s="2" t="e">
        <f t="shared" ca="1" si="57"/>
        <v>#NAME?</v>
      </c>
      <c r="X129" s="2" t="e">
        <f ca="1"/>
        <v>#NAME?</v>
      </c>
      <c r="Y129" s="2" t="e">
        <f t="shared" ca="1" si="58"/>
        <v>#NAME?</v>
      </c>
      <c r="Z129" s="2" t="e">
        <f ca="1"/>
        <v>#NAME?</v>
      </c>
      <c r="AA129" s="2" t="e">
        <f t="shared" ca="1" si="59"/>
        <v>#NAME?</v>
      </c>
      <c r="AB129" s="2" t="e">
        <f ca="1"/>
        <v>#NAME?</v>
      </c>
      <c r="AC129" s="2" t="e">
        <f t="shared" ca="1" si="60"/>
        <v>#NAME?</v>
      </c>
      <c r="AD129" s="2" t="e">
        <f ca="1"/>
        <v>#NAME?</v>
      </c>
      <c r="AE129" s="2" t="e">
        <f t="shared" ca="1" si="61"/>
        <v>#NAME?</v>
      </c>
      <c r="AF129" s="2" t="e">
        <f ca="1"/>
        <v>#NAME?</v>
      </c>
      <c r="AG129" s="2" t="e">
        <f t="shared" ca="1" si="62"/>
        <v>#NAME?</v>
      </c>
      <c r="AH129" s="2" t="e">
        <f ca="1"/>
        <v>#NAME?</v>
      </c>
      <c r="AI129" s="2" t="e">
        <f t="shared" ca="1" si="63"/>
        <v>#NAME?</v>
      </c>
      <c r="AJ129" s="2" t="e">
        <f ca="1"/>
        <v>#NAME?</v>
      </c>
      <c r="AK129" s="2" t="e">
        <f t="shared" ca="1" si="64"/>
        <v>#NAME?</v>
      </c>
      <c r="AL129" s="2" t="e">
        <f ca="1"/>
        <v>#NAME?</v>
      </c>
      <c r="AM129" s="2" t="e">
        <f t="shared" ca="1" si="65"/>
        <v>#NAME?</v>
      </c>
      <c r="AN129" s="2" t="e">
        <f ca="1"/>
        <v>#NAME?</v>
      </c>
      <c r="AO129" s="2" t="e">
        <f t="shared" ca="1" si="66"/>
        <v>#NAME?</v>
      </c>
      <c r="AP129" s="2" t="e">
        <f ca="1"/>
        <v>#NAME?</v>
      </c>
      <c r="AQ129" s="2" t="e">
        <f t="shared" ca="1" si="67"/>
        <v>#NAME?</v>
      </c>
      <c r="AR129" s="2" t="e">
        <f ca="1"/>
        <v>#NAME?</v>
      </c>
      <c r="AS129" s="2" t="e">
        <f t="shared" ca="1" si="68"/>
        <v>#NAME?</v>
      </c>
      <c r="AT129" s="2" t="e">
        <f ca="1"/>
        <v>#NAME?</v>
      </c>
      <c r="AU129" s="2" t="e">
        <f t="shared" ca="1" si="69"/>
        <v>#NAME?</v>
      </c>
      <c r="AV129" s="2" t="e">
        <f ca="1"/>
        <v>#NAME?</v>
      </c>
      <c r="AW129" s="2" t="e">
        <f t="shared" ca="1" si="70"/>
        <v>#NAME?</v>
      </c>
      <c r="AX129" s="2" t="e">
        <f ca="1"/>
        <v>#NAME?</v>
      </c>
      <c r="AY129" s="2" t="e">
        <f t="shared" ca="1" si="71"/>
        <v>#NAME?</v>
      </c>
      <c r="AZ129" s="2" t="e">
        <f ca="1"/>
        <v>#NAME?</v>
      </c>
      <c r="BA129" s="2" t="e">
        <f t="shared" ca="1" si="72"/>
        <v>#NAME?</v>
      </c>
      <c r="BB129" s="2" t="e">
        <f ca="1"/>
        <v>#NAME?</v>
      </c>
      <c r="BC129" s="2" t="e">
        <f t="shared" ca="1" si="73"/>
        <v>#NAME?</v>
      </c>
      <c r="BD129" s="2" t="e">
        <f ca="1"/>
        <v>#NAME?</v>
      </c>
      <c r="BE129" s="2" t="e">
        <f t="shared" ca="1" si="74"/>
        <v>#NAME?</v>
      </c>
      <c r="BF129" s="2" t="e">
        <f ca="1"/>
        <v>#NAME?</v>
      </c>
      <c r="BG129" s="2" t="e">
        <f t="shared" ca="1" si="75"/>
        <v>#NAME?</v>
      </c>
      <c r="BH129" s="2" t="e">
        <f ca="1"/>
        <v>#NAME?</v>
      </c>
      <c r="BI129" s="2" t="e">
        <f t="shared" ca="1" si="76"/>
        <v>#NAME?</v>
      </c>
      <c r="BJ129" s="2" t="e">
        <f ca="1"/>
        <v>#NAME?</v>
      </c>
      <c r="BK129" s="2" t="e">
        <f t="shared" ca="1" si="77"/>
        <v>#NAME?</v>
      </c>
      <c r="BL129" s="2" t="e">
        <f ca="1"/>
        <v>#NAME?</v>
      </c>
      <c r="BM129" s="2" t="e">
        <f t="shared" ca="1" si="78"/>
        <v>#NAME?</v>
      </c>
      <c r="BN129" s="2" t="e">
        <f ca="1"/>
        <v>#NAME?</v>
      </c>
      <c r="BO129" s="2" t="e">
        <f t="shared" ca="1" si="79"/>
        <v>#NAME?</v>
      </c>
      <c r="BP129" s="2" t="e">
        <f ca="1"/>
        <v>#NAME?</v>
      </c>
      <c r="BQ129" s="2" t="e">
        <f t="shared" ca="1" si="80"/>
        <v>#NAME?</v>
      </c>
      <c r="BR129" s="2" t="e">
        <f ca="1"/>
        <v>#NAME?</v>
      </c>
      <c r="BS129" s="2" t="e">
        <f t="shared" ca="1" si="81"/>
        <v>#NAME?</v>
      </c>
      <c r="BT129" s="2" t="e">
        <f ca="1"/>
        <v>#NAME?</v>
      </c>
      <c r="BU129" s="2" t="e">
        <f t="shared" ca="1" si="82"/>
        <v>#NAME?</v>
      </c>
      <c r="BV129" s="2" t="e">
        <f ca="1"/>
        <v>#NAME?</v>
      </c>
      <c r="BW129" s="2" t="e">
        <f t="shared" ca="1" si="83"/>
        <v>#NAME?</v>
      </c>
      <c r="BX129" s="2" t="e">
        <f ca="1"/>
        <v>#NAME?</v>
      </c>
      <c r="BY129" s="2" t="e">
        <f t="shared" ca="1" si="84"/>
        <v>#NAME?</v>
      </c>
      <c r="BZ129" s="2" t="e">
        <f ca="1"/>
        <v>#NAME?</v>
      </c>
      <c r="CA129" s="2" t="e">
        <f t="shared" ca="1" si="85"/>
        <v>#NAME?</v>
      </c>
      <c r="CB129" s="2" t="e">
        <f ca="1"/>
        <v>#NAME?</v>
      </c>
      <c r="CC129" s="2" t="e">
        <f t="shared" ca="1" si="86"/>
        <v>#NAME?</v>
      </c>
      <c r="CD129" s="2" t="e">
        <f ca="1"/>
        <v>#NAME?</v>
      </c>
      <c r="CE129" s="2" t="e">
        <f t="shared" ca="1" si="87"/>
        <v>#NAME?</v>
      </c>
      <c r="CF129" s="2" t="e">
        <f ca="1"/>
        <v>#NAME?</v>
      </c>
      <c r="CG129" s="2" t="e">
        <f t="shared" ca="1" si="88"/>
        <v>#NAME?</v>
      </c>
      <c r="CH129" s="2" t="e">
        <f ca="1"/>
        <v>#NAME?</v>
      </c>
      <c r="CI129" s="2" t="e">
        <f t="shared" ca="1" si="89"/>
        <v>#NAME?</v>
      </c>
      <c r="CJ129" s="2" t="e">
        <f ca="1"/>
        <v>#NAME?</v>
      </c>
      <c r="CK129" s="2" t="e">
        <f t="shared" ca="1" si="90"/>
        <v>#NAME?</v>
      </c>
      <c r="CL129" s="2" t="e">
        <f ca="1"/>
        <v>#NAME?</v>
      </c>
      <c r="CM129" s="2" t="e">
        <f t="shared" ca="1" si="91"/>
        <v>#NAME?</v>
      </c>
      <c r="CN129" s="2" t="e">
        <f ca="1"/>
        <v>#NAME?</v>
      </c>
      <c r="CO129" s="2" t="e">
        <f t="shared" ca="1" si="92"/>
        <v>#NAME?</v>
      </c>
      <c r="CP129" s="2" t="e">
        <f ca="1"/>
        <v>#NAME?</v>
      </c>
      <c r="CQ129" s="2" t="e">
        <f t="shared" ca="1" si="93"/>
        <v>#NAME?</v>
      </c>
    </row>
    <row r="130" spans="1:95">
      <c r="A130" s="7" t="e">
        <f ca="1"/>
        <v>#NAME?</v>
      </c>
      <c r="B130" s="2" t="e">
        <f ca="1"/>
        <v>#NAME?</v>
      </c>
      <c r="C130" s="2" t="e">
        <f t="shared" ca="1" si="47"/>
        <v>#NAME?</v>
      </c>
      <c r="D130" s="2" t="e">
        <f ca="1"/>
        <v>#NAME?</v>
      </c>
      <c r="E130" s="2" t="e">
        <f t="shared" ca="1" si="48"/>
        <v>#NAME?</v>
      </c>
      <c r="F130" s="2" t="e">
        <f ca="1"/>
        <v>#NAME?</v>
      </c>
      <c r="G130" s="2" t="e">
        <f t="shared" ca="1" si="49"/>
        <v>#NAME?</v>
      </c>
      <c r="H130" s="2" t="e">
        <f ca="1"/>
        <v>#NAME?</v>
      </c>
      <c r="I130" s="2" t="e">
        <f t="shared" ca="1" si="50"/>
        <v>#NAME?</v>
      </c>
      <c r="J130" s="2" t="e">
        <f ca="1"/>
        <v>#NAME?</v>
      </c>
      <c r="K130" s="2" t="e">
        <f t="shared" ca="1" si="51"/>
        <v>#NAME?</v>
      </c>
      <c r="L130" s="2" t="e">
        <f ca="1"/>
        <v>#NAME?</v>
      </c>
      <c r="M130" s="2" t="e">
        <f t="shared" ca="1" si="52"/>
        <v>#NAME?</v>
      </c>
      <c r="N130" s="2" t="e">
        <f ca="1"/>
        <v>#NAME?</v>
      </c>
      <c r="O130" s="2" t="e">
        <f t="shared" ca="1" si="53"/>
        <v>#NAME?</v>
      </c>
      <c r="P130" s="2" t="e">
        <f ca="1"/>
        <v>#NAME?</v>
      </c>
      <c r="Q130" s="2" t="e">
        <f t="shared" ca="1" si="54"/>
        <v>#NAME?</v>
      </c>
      <c r="R130" s="2" t="e">
        <f ca="1"/>
        <v>#NAME?</v>
      </c>
      <c r="S130" s="2" t="e">
        <f t="shared" ca="1" si="55"/>
        <v>#NAME?</v>
      </c>
      <c r="T130" s="2" t="e">
        <f ca="1"/>
        <v>#NAME?</v>
      </c>
      <c r="U130" s="2" t="e">
        <f t="shared" ca="1" si="56"/>
        <v>#NAME?</v>
      </c>
      <c r="V130" s="2" t="e">
        <f ca="1"/>
        <v>#NAME?</v>
      </c>
      <c r="W130" s="2" t="e">
        <f t="shared" ca="1" si="57"/>
        <v>#NAME?</v>
      </c>
      <c r="X130" s="2" t="e">
        <f ca="1"/>
        <v>#NAME?</v>
      </c>
      <c r="Y130" s="2" t="e">
        <f t="shared" ca="1" si="58"/>
        <v>#NAME?</v>
      </c>
      <c r="Z130" s="2" t="e">
        <f ca="1"/>
        <v>#NAME?</v>
      </c>
      <c r="AA130" s="2" t="e">
        <f t="shared" ca="1" si="59"/>
        <v>#NAME?</v>
      </c>
      <c r="AB130" s="2" t="e">
        <f ca="1"/>
        <v>#NAME?</v>
      </c>
      <c r="AC130" s="2" t="e">
        <f t="shared" ca="1" si="60"/>
        <v>#NAME?</v>
      </c>
      <c r="AD130" s="2" t="e">
        <f ca="1"/>
        <v>#NAME?</v>
      </c>
      <c r="AE130" s="2" t="e">
        <f t="shared" ca="1" si="61"/>
        <v>#NAME?</v>
      </c>
      <c r="AF130" s="2" t="e">
        <f ca="1"/>
        <v>#NAME?</v>
      </c>
      <c r="AG130" s="2" t="e">
        <f t="shared" ca="1" si="62"/>
        <v>#NAME?</v>
      </c>
      <c r="AH130" s="2" t="e">
        <f ca="1"/>
        <v>#NAME?</v>
      </c>
      <c r="AI130" s="2" t="e">
        <f t="shared" ca="1" si="63"/>
        <v>#NAME?</v>
      </c>
      <c r="AJ130" s="2" t="e">
        <f ca="1"/>
        <v>#NAME?</v>
      </c>
      <c r="AK130" s="2" t="e">
        <f t="shared" ca="1" si="64"/>
        <v>#NAME?</v>
      </c>
      <c r="AL130" s="2" t="e">
        <f ca="1"/>
        <v>#NAME?</v>
      </c>
      <c r="AM130" s="2" t="e">
        <f t="shared" ca="1" si="65"/>
        <v>#NAME?</v>
      </c>
      <c r="AN130" s="2" t="e">
        <f ca="1"/>
        <v>#NAME?</v>
      </c>
      <c r="AO130" s="2" t="e">
        <f t="shared" ca="1" si="66"/>
        <v>#NAME?</v>
      </c>
      <c r="AP130" s="2" t="e">
        <f ca="1"/>
        <v>#NAME?</v>
      </c>
      <c r="AQ130" s="2" t="e">
        <f t="shared" ca="1" si="67"/>
        <v>#NAME?</v>
      </c>
      <c r="AR130" s="2" t="e">
        <f ca="1"/>
        <v>#NAME?</v>
      </c>
      <c r="AS130" s="2" t="e">
        <f t="shared" ca="1" si="68"/>
        <v>#NAME?</v>
      </c>
      <c r="AT130" s="2" t="e">
        <f ca="1"/>
        <v>#NAME?</v>
      </c>
      <c r="AU130" s="2" t="e">
        <f t="shared" ca="1" si="69"/>
        <v>#NAME?</v>
      </c>
      <c r="AV130" s="2" t="e">
        <f ca="1"/>
        <v>#NAME?</v>
      </c>
      <c r="AW130" s="2" t="e">
        <f t="shared" ca="1" si="70"/>
        <v>#NAME?</v>
      </c>
      <c r="AX130" s="2" t="e">
        <f ca="1"/>
        <v>#NAME?</v>
      </c>
      <c r="AY130" s="2" t="e">
        <f t="shared" ca="1" si="71"/>
        <v>#NAME?</v>
      </c>
      <c r="AZ130" s="2" t="e">
        <f ca="1"/>
        <v>#NAME?</v>
      </c>
      <c r="BA130" s="2" t="e">
        <f t="shared" ca="1" si="72"/>
        <v>#NAME?</v>
      </c>
      <c r="BB130" s="2" t="e">
        <f ca="1"/>
        <v>#NAME?</v>
      </c>
      <c r="BC130" s="2" t="e">
        <f t="shared" ca="1" si="73"/>
        <v>#NAME?</v>
      </c>
      <c r="BD130" s="2" t="e">
        <f ca="1"/>
        <v>#NAME?</v>
      </c>
      <c r="BE130" s="2" t="e">
        <f t="shared" ca="1" si="74"/>
        <v>#NAME?</v>
      </c>
      <c r="BF130" s="2" t="e">
        <f ca="1"/>
        <v>#NAME?</v>
      </c>
      <c r="BG130" s="2" t="e">
        <f t="shared" ca="1" si="75"/>
        <v>#NAME?</v>
      </c>
      <c r="BH130" s="2" t="e">
        <f ca="1"/>
        <v>#NAME?</v>
      </c>
      <c r="BI130" s="2" t="e">
        <f t="shared" ca="1" si="76"/>
        <v>#NAME?</v>
      </c>
      <c r="BJ130" s="2" t="e">
        <f ca="1"/>
        <v>#NAME?</v>
      </c>
      <c r="BK130" s="2" t="e">
        <f t="shared" ca="1" si="77"/>
        <v>#NAME?</v>
      </c>
      <c r="BL130" s="2" t="e">
        <f ca="1"/>
        <v>#NAME?</v>
      </c>
      <c r="BM130" s="2" t="e">
        <f t="shared" ca="1" si="78"/>
        <v>#NAME?</v>
      </c>
      <c r="BN130" s="2" t="e">
        <f ca="1"/>
        <v>#NAME?</v>
      </c>
      <c r="BO130" s="2" t="e">
        <f t="shared" ca="1" si="79"/>
        <v>#NAME?</v>
      </c>
      <c r="BP130" s="2" t="e">
        <f ca="1"/>
        <v>#NAME?</v>
      </c>
      <c r="BQ130" s="2" t="e">
        <f t="shared" ca="1" si="80"/>
        <v>#NAME?</v>
      </c>
      <c r="BR130" s="2" t="e">
        <f ca="1"/>
        <v>#NAME?</v>
      </c>
      <c r="BS130" s="2" t="e">
        <f t="shared" ca="1" si="81"/>
        <v>#NAME?</v>
      </c>
      <c r="BT130" s="2" t="e">
        <f ca="1"/>
        <v>#NAME?</v>
      </c>
      <c r="BU130" s="2" t="e">
        <f t="shared" ca="1" si="82"/>
        <v>#NAME?</v>
      </c>
      <c r="BV130" s="2" t="e">
        <f ca="1"/>
        <v>#NAME?</v>
      </c>
      <c r="BW130" s="2" t="e">
        <f t="shared" ca="1" si="83"/>
        <v>#NAME?</v>
      </c>
      <c r="BX130" s="2" t="e">
        <f ca="1"/>
        <v>#NAME?</v>
      </c>
      <c r="BY130" s="2" t="e">
        <f t="shared" ca="1" si="84"/>
        <v>#NAME?</v>
      </c>
      <c r="BZ130" s="2" t="e">
        <f ca="1"/>
        <v>#NAME?</v>
      </c>
      <c r="CA130" s="2" t="e">
        <f t="shared" ca="1" si="85"/>
        <v>#NAME?</v>
      </c>
      <c r="CB130" s="2" t="e">
        <f ca="1"/>
        <v>#NAME?</v>
      </c>
      <c r="CC130" s="2" t="e">
        <f t="shared" ca="1" si="86"/>
        <v>#NAME?</v>
      </c>
      <c r="CD130" s="2" t="e">
        <f ca="1"/>
        <v>#NAME?</v>
      </c>
      <c r="CE130" s="2" t="e">
        <f t="shared" ca="1" si="87"/>
        <v>#NAME?</v>
      </c>
      <c r="CF130" s="2" t="e">
        <f ca="1"/>
        <v>#NAME?</v>
      </c>
      <c r="CG130" s="2" t="e">
        <f t="shared" ca="1" si="88"/>
        <v>#NAME?</v>
      </c>
      <c r="CH130" s="2" t="e">
        <f ca="1"/>
        <v>#NAME?</v>
      </c>
      <c r="CI130" s="2" t="e">
        <f t="shared" ca="1" si="89"/>
        <v>#NAME?</v>
      </c>
      <c r="CJ130" s="2" t="e">
        <f ca="1"/>
        <v>#NAME?</v>
      </c>
      <c r="CK130" s="2" t="e">
        <f t="shared" ca="1" si="90"/>
        <v>#NAME?</v>
      </c>
      <c r="CL130" s="2" t="e">
        <f ca="1"/>
        <v>#NAME?</v>
      </c>
      <c r="CM130" s="2" t="e">
        <f t="shared" ca="1" si="91"/>
        <v>#NAME?</v>
      </c>
      <c r="CN130" s="2" t="e">
        <f ca="1"/>
        <v>#NAME?</v>
      </c>
      <c r="CO130" s="2" t="e">
        <f t="shared" ca="1" si="92"/>
        <v>#NAME?</v>
      </c>
      <c r="CP130" s="2" t="e">
        <f ca="1"/>
        <v>#NAME?</v>
      </c>
      <c r="CQ130" s="2" t="e">
        <f t="shared" ca="1" si="93"/>
        <v>#NAME?</v>
      </c>
    </row>
    <row r="131" spans="1:95">
      <c r="A131" s="7" t="e">
        <f ca="1"/>
        <v>#NAME?</v>
      </c>
      <c r="B131" s="2" t="e">
        <f ca="1"/>
        <v>#NAME?</v>
      </c>
      <c r="C131" s="2" t="e">
        <f t="shared" ca="1" si="47"/>
        <v>#NAME?</v>
      </c>
      <c r="D131" s="2" t="e">
        <f ca="1"/>
        <v>#NAME?</v>
      </c>
      <c r="E131" s="2" t="e">
        <f t="shared" ca="1" si="48"/>
        <v>#NAME?</v>
      </c>
      <c r="F131" s="2" t="e">
        <f ca="1"/>
        <v>#NAME?</v>
      </c>
      <c r="G131" s="2" t="e">
        <f t="shared" ca="1" si="49"/>
        <v>#NAME?</v>
      </c>
      <c r="H131" s="2" t="e">
        <f ca="1"/>
        <v>#NAME?</v>
      </c>
      <c r="I131" s="2" t="e">
        <f t="shared" ca="1" si="50"/>
        <v>#NAME?</v>
      </c>
      <c r="J131" s="2" t="e">
        <f ca="1"/>
        <v>#NAME?</v>
      </c>
      <c r="K131" s="2" t="e">
        <f t="shared" ca="1" si="51"/>
        <v>#NAME?</v>
      </c>
      <c r="L131" s="2" t="e">
        <f ca="1"/>
        <v>#NAME?</v>
      </c>
      <c r="M131" s="2" t="e">
        <f t="shared" ca="1" si="52"/>
        <v>#NAME?</v>
      </c>
      <c r="N131" s="2" t="e">
        <f ca="1"/>
        <v>#NAME?</v>
      </c>
      <c r="O131" s="2" t="e">
        <f t="shared" ca="1" si="53"/>
        <v>#NAME?</v>
      </c>
      <c r="P131" s="2" t="e">
        <f ca="1"/>
        <v>#NAME?</v>
      </c>
      <c r="Q131" s="2" t="e">
        <f t="shared" ca="1" si="54"/>
        <v>#NAME?</v>
      </c>
      <c r="R131" s="2" t="e">
        <f ca="1"/>
        <v>#NAME?</v>
      </c>
      <c r="S131" s="2" t="e">
        <f t="shared" ca="1" si="55"/>
        <v>#NAME?</v>
      </c>
      <c r="T131" s="2" t="e">
        <f ca="1"/>
        <v>#NAME?</v>
      </c>
      <c r="U131" s="2" t="e">
        <f t="shared" ca="1" si="56"/>
        <v>#NAME?</v>
      </c>
      <c r="V131" s="2" t="e">
        <f ca="1"/>
        <v>#NAME?</v>
      </c>
      <c r="W131" s="2" t="e">
        <f t="shared" ca="1" si="57"/>
        <v>#NAME?</v>
      </c>
      <c r="X131" s="2" t="e">
        <f ca="1"/>
        <v>#NAME?</v>
      </c>
      <c r="Y131" s="2" t="e">
        <f t="shared" ca="1" si="58"/>
        <v>#NAME?</v>
      </c>
      <c r="Z131" s="2" t="e">
        <f ca="1"/>
        <v>#NAME?</v>
      </c>
      <c r="AA131" s="2" t="e">
        <f t="shared" ca="1" si="59"/>
        <v>#NAME?</v>
      </c>
      <c r="AB131" s="2" t="e">
        <f ca="1"/>
        <v>#NAME?</v>
      </c>
      <c r="AC131" s="2" t="e">
        <f t="shared" ca="1" si="60"/>
        <v>#NAME?</v>
      </c>
      <c r="AD131" s="2" t="e">
        <f ca="1"/>
        <v>#NAME?</v>
      </c>
      <c r="AE131" s="2" t="e">
        <f t="shared" ca="1" si="61"/>
        <v>#NAME?</v>
      </c>
      <c r="AF131" s="2" t="e">
        <f ca="1"/>
        <v>#NAME?</v>
      </c>
      <c r="AG131" s="2" t="e">
        <f t="shared" ca="1" si="62"/>
        <v>#NAME?</v>
      </c>
      <c r="AH131" s="2" t="e">
        <f ca="1"/>
        <v>#NAME?</v>
      </c>
      <c r="AI131" s="2" t="e">
        <f t="shared" ca="1" si="63"/>
        <v>#NAME?</v>
      </c>
      <c r="AJ131" s="2" t="e">
        <f ca="1"/>
        <v>#NAME?</v>
      </c>
      <c r="AK131" s="2" t="e">
        <f t="shared" ca="1" si="64"/>
        <v>#NAME?</v>
      </c>
      <c r="AL131" s="2" t="e">
        <f ca="1"/>
        <v>#NAME?</v>
      </c>
      <c r="AM131" s="2" t="e">
        <f t="shared" ca="1" si="65"/>
        <v>#NAME?</v>
      </c>
      <c r="AN131" s="2" t="e">
        <f ca="1"/>
        <v>#NAME?</v>
      </c>
      <c r="AO131" s="2" t="e">
        <f t="shared" ca="1" si="66"/>
        <v>#NAME?</v>
      </c>
      <c r="AP131" s="2" t="e">
        <f ca="1"/>
        <v>#NAME?</v>
      </c>
      <c r="AQ131" s="2" t="e">
        <f t="shared" ca="1" si="67"/>
        <v>#NAME?</v>
      </c>
      <c r="AR131" s="2" t="e">
        <f ca="1"/>
        <v>#NAME?</v>
      </c>
      <c r="AS131" s="2" t="e">
        <f t="shared" ca="1" si="68"/>
        <v>#NAME?</v>
      </c>
      <c r="AT131" s="2" t="e">
        <f ca="1"/>
        <v>#NAME?</v>
      </c>
      <c r="AU131" s="2" t="e">
        <f t="shared" ca="1" si="69"/>
        <v>#NAME?</v>
      </c>
      <c r="AV131" s="2" t="e">
        <f ca="1"/>
        <v>#NAME?</v>
      </c>
      <c r="AW131" s="2" t="e">
        <f t="shared" ca="1" si="70"/>
        <v>#NAME?</v>
      </c>
      <c r="AX131" s="2" t="e">
        <f ca="1"/>
        <v>#NAME?</v>
      </c>
      <c r="AY131" s="2" t="e">
        <f t="shared" ca="1" si="71"/>
        <v>#NAME?</v>
      </c>
      <c r="AZ131" s="2" t="e">
        <f ca="1"/>
        <v>#NAME?</v>
      </c>
      <c r="BA131" s="2" t="e">
        <f t="shared" ca="1" si="72"/>
        <v>#NAME?</v>
      </c>
      <c r="BB131" s="2" t="e">
        <f ca="1"/>
        <v>#NAME?</v>
      </c>
      <c r="BC131" s="2" t="e">
        <f t="shared" ca="1" si="73"/>
        <v>#NAME?</v>
      </c>
      <c r="BD131" s="2" t="e">
        <f ca="1"/>
        <v>#NAME?</v>
      </c>
      <c r="BE131" s="2" t="e">
        <f t="shared" ca="1" si="74"/>
        <v>#NAME?</v>
      </c>
      <c r="BF131" s="2" t="e">
        <f ca="1"/>
        <v>#NAME?</v>
      </c>
      <c r="BG131" s="2" t="e">
        <f t="shared" ca="1" si="75"/>
        <v>#NAME?</v>
      </c>
      <c r="BH131" s="2" t="e">
        <f ca="1"/>
        <v>#NAME?</v>
      </c>
      <c r="BI131" s="2" t="e">
        <f t="shared" ca="1" si="76"/>
        <v>#NAME?</v>
      </c>
      <c r="BJ131" s="2" t="e">
        <f ca="1"/>
        <v>#NAME?</v>
      </c>
      <c r="BK131" s="2" t="e">
        <f t="shared" ca="1" si="77"/>
        <v>#NAME?</v>
      </c>
      <c r="BL131" s="2" t="e">
        <f ca="1"/>
        <v>#NAME?</v>
      </c>
      <c r="BM131" s="2" t="e">
        <f t="shared" ca="1" si="78"/>
        <v>#NAME?</v>
      </c>
      <c r="BN131" s="2" t="e">
        <f ca="1"/>
        <v>#NAME?</v>
      </c>
      <c r="BO131" s="2" t="e">
        <f t="shared" ca="1" si="79"/>
        <v>#NAME?</v>
      </c>
      <c r="BP131" s="2" t="e">
        <f ca="1"/>
        <v>#NAME?</v>
      </c>
      <c r="BQ131" s="2" t="e">
        <f t="shared" ca="1" si="80"/>
        <v>#NAME?</v>
      </c>
      <c r="BR131" s="2" t="e">
        <f ca="1"/>
        <v>#NAME?</v>
      </c>
      <c r="BS131" s="2" t="e">
        <f t="shared" ca="1" si="81"/>
        <v>#NAME?</v>
      </c>
      <c r="BT131" s="2" t="e">
        <f ca="1"/>
        <v>#NAME?</v>
      </c>
      <c r="BU131" s="2" t="e">
        <f t="shared" ca="1" si="82"/>
        <v>#NAME?</v>
      </c>
      <c r="BV131" s="2" t="e">
        <f ca="1"/>
        <v>#NAME?</v>
      </c>
      <c r="BW131" s="2" t="e">
        <f t="shared" ca="1" si="83"/>
        <v>#NAME?</v>
      </c>
      <c r="BX131" s="2" t="e">
        <f ca="1"/>
        <v>#NAME?</v>
      </c>
      <c r="BY131" s="2" t="e">
        <f t="shared" ca="1" si="84"/>
        <v>#NAME?</v>
      </c>
      <c r="BZ131" s="2" t="e">
        <f ca="1"/>
        <v>#NAME?</v>
      </c>
      <c r="CA131" s="2" t="e">
        <f t="shared" ca="1" si="85"/>
        <v>#NAME?</v>
      </c>
      <c r="CB131" s="2" t="e">
        <f ca="1"/>
        <v>#NAME?</v>
      </c>
      <c r="CC131" s="2" t="e">
        <f t="shared" ca="1" si="86"/>
        <v>#NAME?</v>
      </c>
      <c r="CD131" s="2" t="e">
        <f ca="1"/>
        <v>#NAME?</v>
      </c>
      <c r="CE131" s="2" t="e">
        <f t="shared" ca="1" si="87"/>
        <v>#NAME?</v>
      </c>
      <c r="CF131" s="2" t="e">
        <f ca="1"/>
        <v>#NAME?</v>
      </c>
      <c r="CG131" s="2" t="e">
        <f t="shared" ca="1" si="88"/>
        <v>#NAME?</v>
      </c>
      <c r="CH131" s="2" t="e">
        <f ca="1"/>
        <v>#NAME?</v>
      </c>
      <c r="CI131" s="2" t="e">
        <f t="shared" ca="1" si="89"/>
        <v>#NAME?</v>
      </c>
      <c r="CJ131" s="2" t="e">
        <f ca="1"/>
        <v>#NAME?</v>
      </c>
      <c r="CK131" s="2" t="e">
        <f t="shared" ca="1" si="90"/>
        <v>#NAME?</v>
      </c>
      <c r="CL131" s="2" t="e">
        <f ca="1"/>
        <v>#NAME?</v>
      </c>
      <c r="CM131" s="2" t="e">
        <f t="shared" ca="1" si="91"/>
        <v>#NAME?</v>
      </c>
      <c r="CN131" s="2" t="e">
        <f ca="1"/>
        <v>#NAME?</v>
      </c>
      <c r="CO131" s="2" t="e">
        <f t="shared" ca="1" si="92"/>
        <v>#NAME?</v>
      </c>
      <c r="CP131" s="2" t="e">
        <f ca="1"/>
        <v>#NAME?</v>
      </c>
      <c r="CQ131" s="2" t="e">
        <f t="shared" ca="1" si="93"/>
        <v>#NAME?</v>
      </c>
    </row>
    <row r="132" spans="1:95">
      <c r="A132" s="7" t="e">
        <f ca="1"/>
        <v>#NAME?</v>
      </c>
      <c r="B132" s="2" t="e">
        <f ca="1"/>
        <v>#NAME?</v>
      </c>
      <c r="C132" s="2" t="e">
        <f t="shared" ca="1" si="47"/>
        <v>#NAME?</v>
      </c>
      <c r="D132" s="2" t="e">
        <f ca="1"/>
        <v>#NAME?</v>
      </c>
      <c r="E132" s="2" t="e">
        <f t="shared" ca="1" si="48"/>
        <v>#NAME?</v>
      </c>
      <c r="F132" s="2" t="e">
        <f ca="1"/>
        <v>#NAME?</v>
      </c>
      <c r="G132" s="2" t="e">
        <f t="shared" ca="1" si="49"/>
        <v>#NAME?</v>
      </c>
      <c r="H132" s="2" t="e">
        <f ca="1"/>
        <v>#NAME?</v>
      </c>
      <c r="I132" s="2" t="e">
        <f t="shared" ca="1" si="50"/>
        <v>#NAME?</v>
      </c>
      <c r="J132" s="2" t="e">
        <f ca="1"/>
        <v>#NAME?</v>
      </c>
      <c r="K132" s="2" t="e">
        <f t="shared" ca="1" si="51"/>
        <v>#NAME?</v>
      </c>
      <c r="L132" s="2" t="e">
        <f ca="1"/>
        <v>#NAME?</v>
      </c>
      <c r="M132" s="2" t="e">
        <f t="shared" ca="1" si="52"/>
        <v>#NAME?</v>
      </c>
      <c r="N132" s="2" t="e">
        <f ca="1"/>
        <v>#NAME?</v>
      </c>
      <c r="O132" s="2" t="e">
        <f t="shared" ca="1" si="53"/>
        <v>#NAME?</v>
      </c>
      <c r="P132" s="2" t="e">
        <f ca="1"/>
        <v>#NAME?</v>
      </c>
      <c r="Q132" s="2" t="e">
        <f t="shared" ca="1" si="54"/>
        <v>#NAME?</v>
      </c>
      <c r="R132" s="2" t="e">
        <f ca="1"/>
        <v>#NAME?</v>
      </c>
      <c r="S132" s="2" t="e">
        <f t="shared" ca="1" si="55"/>
        <v>#NAME?</v>
      </c>
      <c r="T132" s="2" t="e">
        <f ca="1"/>
        <v>#NAME?</v>
      </c>
      <c r="U132" s="2" t="e">
        <f t="shared" ca="1" si="56"/>
        <v>#NAME?</v>
      </c>
      <c r="V132" s="2" t="e">
        <f ca="1"/>
        <v>#NAME?</v>
      </c>
      <c r="W132" s="2" t="e">
        <f t="shared" ca="1" si="57"/>
        <v>#NAME?</v>
      </c>
      <c r="X132" s="2" t="e">
        <f ca="1"/>
        <v>#NAME?</v>
      </c>
      <c r="Y132" s="2" t="e">
        <f t="shared" ca="1" si="58"/>
        <v>#NAME?</v>
      </c>
      <c r="Z132" s="2" t="e">
        <f ca="1"/>
        <v>#NAME?</v>
      </c>
      <c r="AA132" s="2" t="e">
        <f t="shared" ca="1" si="59"/>
        <v>#NAME?</v>
      </c>
      <c r="AB132" s="2" t="e">
        <f ca="1"/>
        <v>#NAME?</v>
      </c>
      <c r="AC132" s="2" t="e">
        <f t="shared" ca="1" si="60"/>
        <v>#NAME?</v>
      </c>
      <c r="AD132" s="2" t="e">
        <f ca="1"/>
        <v>#NAME?</v>
      </c>
      <c r="AE132" s="2" t="e">
        <f t="shared" ca="1" si="61"/>
        <v>#NAME?</v>
      </c>
      <c r="AF132" s="2" t="e">
        <f ca="1"/>
        <v>#NAME?</v>
      </c>
      <c r="AG132" s="2" t="e">
        <f t="shared" ca="1" si="62"/>
        <v>#NAME?</v>
      </c>
      <c r="AH132" s="2" t="e">
        <f ca="1"/>
        <v>#NAME?</v>
      </c>
      <c r="AI132" s="2" t="e">
        <f t="shared" ca="1" si="63"/>
        <v>#NAME?</v>
      </c>
      <c r="AJ132" s="2" t="e">
        <f ca="1"/>
        <v>#NAME?</v>
      </c>
      <c r="AK132" s="2" t="e">
        <f t="shared" ca="1" si="64"/>
        <v>#NAME?</v>
      </c>
      <c r="AL132" s="2" t="e">
        <f ca="1"/>
        <v>#NAME?</v>
      </c>
      <c r="AM132" s="2" t="e">
        <f t="shared" ca="1" si="65"/>
        <v>#NAME?</v>
      </c>
      <c r="AN132" s="2" t="e">
        <f ca="1"/>
        <v>#NAME?</v>
      </c>
      <c r="AO132" s="2" t="e">
        <f t="shared" ca="1" si="66"/>
        <v>#NAME?</v>
      </c>
      <c r="AP132" s="2" t="e">
        <f ca="1"/>
        <v>#NAME?</v>
      </c>
      <c r="AQ132" s="2" t="e">
        <f t="shared" ca="1" si="67"/>
        <v>#NAME?</v>
      </c>
      <c r="AR132" s="2" t="e">
        <f ca="1"/>
        <v>#NAME?</v>
      </c>
      <c r="AS132" s="2" t="e">
        <f t="shared" ca="1" si="68"/>
        <v>#NAME?</v>
      </c>
      <c r="AT132" s="2" t="e">
        <f ca="1"/>
        <v>#NAME?</v>
      </c>
      <c r="AU132" s="2" t="e">
        <f t="shared" ca="1" si="69"/>
        <v>#NAME?</v>
      </c>
      <c r="AV132" s="2" t="e">
        <f ca="1"/>
        <v>#NAME?</v>
      </c>
      <c r="AW132" s="2" t="e">
        <f t="shared" ca="1" si="70"/>
        <v>#NAME?</v>
      </c>
      <c r="AX132" s="2" t="e">
        <f ca="1"/>
        <v>#NAME?</v>
      </c>
      <c r="AY132" s="2" t="e">
        <f t="shared" ca="1" si="71"/>
        <v>#NAME?</v>
      </c>
      <c r="AZ132" s="2" t="e">
        <f ca="1"/>
        <v>#NAME?</v>
      </c>
      <c r="BA132" s="2" t="e">
        <f t="shared" ca="1" si="72"/>
        <v>#NAME?</v>
      </c>
      <c r="BB132" s="2" t="e">
        <f ca="1"/>
        <v>#NAME?</v>
      </c>
      <c r="BC132" s="2" t="e">
        <f t="shared" ca="1" si="73"/>
        <v>#NAME?</v>
      </c>
      <c r="BD132" s="2" t="e">
        <f ca="1"/>
        <v>#NAME?</v>
      </c>
      <c r="BE132" s="2" t="e">
        <f t="shared" ca="1" si="74"/>
        <v>#NAME?</v>
      </c>
      <c r="BF132" s="2" t="e">
        <f ca="1"/>
        <v>#NAME?</v>
      </c>
      <c r="BG132" s="2" t="e">
        <f t="shared" ca="1" si="75"/>
        <v>#NAME?</v>
      </c>
      <c r="BH132" s="2" t="e">
        <f ca="1"/>
        <v>#NAME?</v>
      </c>
      <c r="BI132" s="2" t="e">
        <f t="shared" ca="1" si="76"/>
        <v>#NAME?</v>
      </c>
      <c r="BJ132" s="2" t="e">
        <f ca="1"/>
        <v>#NAME?</v>
      </c>
      <c r="BK132" s="2" t="e">
        <f t="shared" ca="1" si="77"/>
        <v>#NAME?</v>
      </c>
      <c r="BL132" s="2" t="e">
        <f ca="1"/>
        <v>#NAME?</v>
      </c>
      <c r="BM132" s="2" t="e">
        <f t="shared" ca="1" si="78"/>
        <v>#NAME?</v>
      </c>
      <c r="BN132" s="2" t="e">
        <f ca="1"/>
        <v>#NAME?</v>
      </c>
      <c r="BO132" s="2" t="e">
        <f t="shared" ca="1" si="79"/>
        <v>#NAME?</v>
      </c>
      <c r="BP132" s="2" t="e">
        <f ca="1"/>
        <v>#NAME?</v>
      </c>
      <c r="BQ132" s="2" t="e">
        <f t="shared" ca="1" si="80"/>
        <v>#NAME?</v>
      </c>
      <c r="BR132" s="2" t="e">
        <f ca="1"/>
        <v>#NAME?</v>
      </c>
      <c r="BS132" s="2" t="e">
        <f t="shared" ca="1" si="81"/>
        <v>#NAME?</v>
      </c>
      <c r="BT132" s="2" t="e">
        <f ca="1"/>
        <v>#NAME?</v>
      </c>
      <c r="BU132" s="2" t="e">
        <f t="shared" ca="1" si="82"/>
        <v>#NAME?</v>
      </c>
      <c r="BV132" s="2" t="e">
        <f ca="1"/>
        <v>#NAME?</v>
      </c>
      <c r="BW132" s="2" t="e">
        <f t="shared" ca="1" si="83"/>
        <v>#NAME?</v>
      </c>
      <c r="BX132" s="2" t="e">
        <f ca="1"/>
        <v>#NAME?</v>
      </c>
      <c r="BY132" s="2" t="e">
        <f t="shared" ca="1" si="84"/>
        <v>#NAME?</v>
      </c>
      <c r="BZ132" s="2" t="e">
        <f ca="1"/>
        <v>#NAME?</v>
      </c>
      <c r="CA132" s="2" t="e">
        <f t="shared" ca="1" si="85"/>
        <v>#NAME?</v>
      </c>
      <c r="CB132" s="2" t="e">
        <f ca="1"/>
        <v>#NAME?</v>
      </c>
      <c r="CC132" s="2" t="e">
        <f t="shared" ca="1" si="86"/>
        <v>#NAME?</v>
      </c>
      <c r="CD132" s="2" t="e">
        <f ca="1"/>
        <v>#NAME?</v>
      </c>
      <c r="CE132" s="2" t="e">
        <f t="shared" ca="1" si="87"/>
        <v>#NAME?</v>
      </c>
      <c r="CF132" s="2" t="e">
        <f ca="1"/>
        <v>#NAME?</v>
      </c>
      <c r="CG132" s="2" t="e">
        <f t="shared" ca="1" si="88"/>
        <v>#NAME?</v>
      </c>
      <c r="CH132" s="2" t="e">
        <f ca="1"/>
        <v>#NAME?</v>
      </c>
      <c r="CI132" s="2" t="e">
        <f t="shared" ca="1" si="89"/>
        <v>#NAME?</v>
      </c>
      <c r="CJ132" s="2" t="e">
        <f ca="1"/>
        <v>#NAME?</v>
      </c>
      <c r="CK132" s="2" t="e">
        <f t="shared" ca="1" si="90"/>
        <v>#NAME?</v>
      </c>
      <c r="CL132" s="2" t="e">
        <f ca="1"/>
        <v>#NAME?</v>
      </c>
      <c r="CM132" s="2" t="e">
        <f t="shared" ca="1" si="91"/>
        <v>#NAME?</v>
      </c>
      <c r="CN132" s="2" t="e">
        <f ca="1"/>
        <v>#NAME?</v>
      </c>
      <c r="CO132" s="2" t="e">
        <f t="shared" ca="1" si="92"/>
        <v>#NAME?</v>
      </c>
      <c r="CP132" s="2" t="e">
        <f ca="1"/>
        <v>#NAME?</v>
      </c>
      <c r="CQ132" s="2" t="e">
        <f t="shared" ca="1" si="93"/>
        <v>#NAME?</v>
      </c>
    </row>
    <row r="133" spans="1:95">
      <c r="A133" s="7" t="e">
        <f ca="1"/>
        <v>#NAME?</v>
      </c>
      <c r="B133" s="2" t="e">
        <f ca="1"/>
        <v>#NAME?</v>
      </c>
      <c r="C133" s="2" t="e">
        <f t="shared" ref="C133:C196" ca="1" si="94">(B133-B132)/B132</f>
        <v>#NAME?</v>
      </c>
      <c r="D133" s="2" t="e">
        <f ca="1"/>
        <v>#NAME?</v>
      </c>
      <c r="E133" s="2" t="e">
        <f t="shared" ref="E133:E196" ca="1" si="95">(D133-D132)/D132</f>
        <v>#NAME?</v>
      </c>
      <c r="F133" s="2" t="e">
        <f ca="1"/>
        <v>#NAME?</v>
      </c>
      <c r="G133" s="2" t="e">
        <f t="shared" ref="G133:G196" ca="1" si="96">(F133-F132)/F132</f>
        <v>#NAME?</v>
      </c>
      <c r="H133" s="2" t="e">
        <f ca="1"/>
        <v>#NAME?</v>
      </c>
      <c r="I133" s="2" t="e">
        <f t="shared" ref="I133:I196" ca="1" si="97">(H133-H132)/H132</f>
        <v>#NAME?</v>
      </c>
      <c r="J133" s="2" t="e">
        <f ca="1"/>
        <v>#NAME?</v>
      </c>
      <c r="K133" s="2" t="e">
        <f t="shared" ref="K133:K196" ca="1" si="98">(J133-J132)/J132</f>
        <v>#NAME?</v>
      </c>
      <c r="L133" s="2" t="e">
        <f ca="1"/>
        <v>#NAME?</v>
      </c>
      <c r="M133" s="2" t="e">
        <f t="shared" ref="M133:M196" ca="1" si="99">(L133-L132)/L132</f>
        <v>#NAME?</v>
      </c>
      <c r="N133" s="2" t="e">
        <f ca="1"/>
        <v>#NAME?</v>
      </c>
      <c r="O133" s="2" t="e">
        <f t="shared" ref="O133:O196" ca="1" si="100">(N133-N132)/N132</f>
        <v>#NAME?</v>
      </c>
      <c r="P133" s="2" t="e">
        <f ca="1"/>
        <v>#NAME?</v>
      </c>
      <c r="Q133" s="2" t="e">
        <f t="shared" ref="Q133:Q196" ca="1" si="101">(P133-P132)/P132</f>
        <v>#NAME?</v>
      </c>
      <c r="R133" s="2" t="e">
        <f ca="1"/>
        <v>#NAME?</v>
      </c>
      <c r="S133" s="2" t="e">
        <f t="shared" ref="S133:S196" ca="1" si="102">(R133-R132)/R132</f>
        <v>#NAME?</v>
      </c>
      <c r="T133" s="2" t="e">
        <f ca="1"/>
        <v>#NAME?</v>
      </c>
      <c r="U133" s="2" t="e">
        <f t="shared" ref="U133:U196" ca="1" si="103">(T133-T132)/T132</f>
        <v>#NAME?</v>
      </c>
      <c r="V133" s="2" t="e">
        <f ca="1"/>
        <v>#NAME?</v>
      </c>
      <c r="W133" s="2" t="e">
        <f t="shared" ref="W133:W196" ca="1" si="104">(V133-V132)/V132</f>
        <v>#NAME?</v>
      </c>
      <c r="X133" s="2" t="e">
        <f ca="1"/>
        <v>#NAME?</v>
      </c>
      <c r="Y133" s="2" t="e">
        <f t="shared" ref="Y133:Y196" ca="1" si="105">(X133-X132)/X132</f>
        <v>#NAME?</v>
      </c>
      <c r="Z133" s="2" t="e">
        <f ca="1"/>
        <v>#NAME?</v>
      </c>
      <c r="AA133" s="2" t="e">
        <f t="shared" ref="AA133:AA196" ca="1" si="106">(Z133-Z132)/Z132</f>
        <v>#NAME?</v>
      </c>
      <c r="AB133" s="2" t="e">
        <f ca="1"/>
        <v>#NAME?</v>
      </c>
      <c r="AC133" s="2" t="e">
        <f t="shared" ref="AC133:AC196" ca="1" si="107">(AB133-AB132)/AB132</f>
        <v>#NAME?</v>
      </c>
      <c r="AD133" s="2" t="e">
        <f ca="1"/>
        <v>#NAME?</v>
      </c>
      <c r="AE133" s="2" t="e">
        <f t="shared" ref="AE133:AE196" ca="1" si="108">(AD133-AD132)/AD132</f>
        <v>#NAME?</v>
      </c>
      <c r="AF133" s="2" t="e">
        <f ca="1"/>
        <v>#NAME?</v>
      </c>
      <c r="AG133" s="2" t="e">
        <f t="shared" ref="AG133:AG196" ca="1" si="109">(AF133-AF132)/AF132</f>
        <v>#NAME?</v>
      </c>
      <c r="AH133" s="2" t="e">
        <f ca="1"/>
        <v>#NAME?</v>
      </c>
      <c r="AI133" s="2" t="e">
        <f t="shared" ref="AI133:AI196" ca="1" si="110">(AH133-AH132)/AH132</f>
        <v>#NAME?</v>
      </c>
      <c r="AJ133" s="2" t="e">
        <f ca="1"/>
        <v>#NAME?</v>
      </c>
      <c r="AK133" s="2" t="e">
        <f t="shared" ref="AK133:AK196" ca="1" si="111">(AJ133-AJ132)/AJ132</f>
        <v>#NAME?</v>
      </c>
      <c r="AL133" s="2" t="e">
        <f ca="1"/>
        <v>#NAME?</v>
      </c>
      <c r="AM133" s="2" t="e">
        <f t="shared" ref="AM133:AM196" ca="1" si="112">(AL133-AL132)/AL132</f>
        <v>#NAME?</v>
      </c>
      <c r="AN133" s="2" t="e">
        <f ca="1"/>
        <v>#NAME?</v>
      </c>
      <c r="AO133" s="2" t="e">
        <f t="shared" ref="AO133:AO196" ca="1" si="113">(AN133-AN132)/AN132</f>
        <v>#NAME?</v>
      </c>
      <c r="AP133" s="2" t="e">
        <f ca="1"/>
        <v>#NAME?</v>
      </c>
      <c r="AQ133" s="2" t="e">
        <f t="shared" ref="AQ133:AQ196" ca="1" si="114">(AP133-AP132)/AP132</f>
        <v>#NAME?</v>
      </c>
      <c r="AR133" s="2" t="e">
        <f ca="1"/>
        <v>#NAME?</v>
      </c>
      <c r="AS133" s="2" t="e">
        <f t="shared" ref="AS133:AS196" ca="1" si="115">(AR133-AR132)/AR132</f>
        <v>#NAME?</v>
      </c>
      <c r="AT133" s="2" t="e">
        <f ca="1"/>
        <v>#NAME?</v>
      </c>
      <c r="AU133" s="2" t="e">
        <f t="shared" ref="AU133:AU196" ca="1" si="116">(AT133-AT132)/AT132</f>
        <v>#NAME?</v>
      </c>
      <c r="AV133" s="2" t="e">
        <f ca="1"/>
        <v>#NAME?</v>
      </c>
      <c r="AW133" s="2" t="e">
        <f t="shared" ref="AW133:AW196" ca="1" si="117">(AV133-AV132)/AV132</f>
        <v>#NAME?</v>
      </c>
      <c r="AX133" s="2" t="e">
        <f ca="1"/>
        <v>#NAME?</v>
      </c>
      <c r="AY133" s="2" t="e">
        <f t="shared" ref="AY133:AY196" ca="1" si="118">(AX133-AX132)/AX132</f>
        <v>#NAME?</v>
      </c>
      <c r="AZ133" s="2" t="e">
        <f ca="1"/>
        <v>#NAME?</v>
      </c>
      <c r="BA133" s="2" t="e">
        <f t="shared" ref="BA133:BA196" ca="1" si="119">(AZ133-AZ132)/AZ132</f>
        <v>#NAME?</v>
      </c>
      <c r="BB133" s="2" t="e">
        <f ca="1"/>
        <v>#NAME?</v>
      </c>
      <c r="BC133" s="2" t="e">
        <f t="shared" ref="BC133:BC196" ca="1" si="120">(BB133-BB132)/BB132</f>
        <v>#NAME?</v>
      </c>
      <c r="BD133" s="2" t="e">
        <f ca="1"/>
        <v>#NAME?</v>
      </c>
      <c r="BE133" s="2" t="e">
        <f t="shared" ref="BE133:BE196" ca="1" si="121">(BD133-BD132)/BD132</f>
        <v>#NAME?</v>
      </c>
      <c r="BF133" s="2" t="e">
        <f ca="1"/>
        <v>#NAME?</v>
      </c>
      <c r="BG133" s="2" t="e">
        <f t="shared" ref="BG133:BG196" ca="1" si="122">(BF133-BF132)/BF132</f>
        <v>#NAME?</v>
      </c>
      <c r="BH133" s="2" t="e">
        <f ca="1"/>
        <v>#NAME?</v>
      </c>
      <c r="BI133" s="2" t="e">
        <f t="shared" ref="BI133:BI196" ca="1" si="123">(BH133-BH132)/BH132</f>
        <v>#NAME?</v>
      </c>
      <c r="BJ133" s="2" t="e">
        <f ca="1"/>
        <v>#NAME?</v>
      </c>
      <c r="BK133" s="2" t="e">
        <f t="shared" ref="BK133:BK196" ca="1" si="124">(BJ133-BJ132)/BJ132</f>
        <v>#NAME?</v>
      </c>
      <c r="BL133" s="2" t="e">
        <f ca="1"/>
        <v>#NAME?</v>
      </c>
      <c r="BM133" s="2" t="e">
        <f t="shared" ref="BM133:BM196" ca="1" si="125">(BL133-BL132)/BL132</f>
        <v>#NAME?</v>
      </c>
      <c r="BN133" s="2" t="e">
        <f ca="1"/>
        <v>#NAME?</v>
      </c>
      <c r="BO133" s="2" t="e">
        <f t="shared" ref="BO133:BO196" ca="1" si="126">(BN133-BN132)/BN132</f>
        <v>#NAME?</v>
      </c>
      <c r="BP133" s="2" t="e">
        <f ca="1"/>
        <v>#NAME?</v>
      </c>
      <c r="BQ133" s="2" t="e">
        <f t="shared" ref="BQ133:BQ196" ca="1" si="127">(BP133-BP132)/BP132</f>
        <v>#NAME?</v>
      </c>
      <c r="BR133" s="2" t="e">
        <f ca="1"/>
        <v>#NAME?</v>
      </c>
      <c r="BS133" s="2" t="e">
        <f t="shared" ref="BS133:BS196" ca="1" si="128">(BR133-BR132)/BR132</f>
        <v>#NAME?</v>
      </c>
      <c r="BT133" s="2" t="e">
        <f ca="1"/>
        <v>#NAME?</v>
      </c>
      <c r="BU133" s="2" t="e">
        <f t="shared" ref="BU133:BU196" ca="1" si="129">(BT133-BT132)/BT132</f>
        <v>#NAME?</v>
      </c>
      <c r="BV133" s="2" t="e">
        <f ca="1"/>
        <v>#NAME?</v>
      </c>
      <c r="BW133" s="2" t="e">
        <f t="shared" ref="BW133:BW196" ca="1" si="130">(BV133-BV132)/BV132</f>
        <v>#NAME?</v>
      </c>
      <c r="BX133" s="2" t="e">
        <f ca="1"/>
        <v>#NAME?</v>
      </c>
      <c r="BY133" s="2" t="e">
        <f t="shared" ref="BY133:BY196" ca="1" si="131">(BX133-BX132)/BX132</f>
        <v>#NAME?</v>
      </c>
      <c r="BZ133" s="2" t="e">
        <f ca="1"/>
        <v>#NAME?</v>
      </c>
      <c r="CA133" s="2" t="e">
        <f t="shared" ref="CA133:CA196" ca="1" si="132">(BZ133-BZ132)/BZ132</f>
        <v>#NAME?</v>
      </c>
      <c r="CB133" s="2" t="e">
        <f ca="1"/>
        <v>#NAME?</v>
      </c>
      <c r="CC133" s="2" t="e">
        <f t="shared" ref="CC133:CC196" ca="1" si="133">(CB133-CB132)/CB132</f>
        <v>#NAME?</v>
      </c>
      <c r="CD133" s="2" t="e">
        <f ca="1"/>
        <v>#NAME?</v>
      </c>
      <c r="CE133" s="2" t="e">
        <f t="shared" ref="CE133:CE196" ca="1" si="134">(CD133-CD132)/CD132</f>
        <v>#NAME?</v>
      </c>
      <c r="CF133" s="2" t="e">
        <f ca="1"/>
        <v>#NAME?</v>
      </c>
      <c r="CG133" s="2" t="e">
        <f t="shared" ref="CG133:CG196" ca="1" si="135">(CF133-CF132)/CF132</f>
        <v>#NAME?</v>
      </c>
      <c r="CH133" s="2" t="e">
        <f ca="1"/>
        <v>#NAME?</v>
      </c>
      <c r="CI133" s="2" t="e">
        <f t="shared" ref="CI133:CI196" ca="1" si="136">(CH133-CH132)/CH132</f>
        <v>#NAME?</v>
      </c>
      <c r="CJ133" s="2" t="e">
        <f ca="1"/>
        <v>#NAME?</v>
      </c>
      <c r="CK133" s="2" t="e">
        <f t="shared" ref="CK133:CK196" ca="1" si="137">(CJ133-CJ132)/CJ132</f>
        <v>#NAME?</v>
      </c>
      <c r="CL133" s="2" t="e">
        <f ca="1"/>
        <v>#NAME?</v>
      </c>
      <c r="CM133" s="2" t="e">
        <f t="shared" ref="CM133:CM196" ca="1" si="138">(CL133-CL132)/CL132</f>
        <v>#NAME?</v>
      </c>
      <c r="CN133" s="2" t="e">
        <f ca="1"/>
        <v>#NAME?</v>
      </c>
      <c r="CO133" s="2" t="e">
        <f t="shared" ref="CO133:CO196" ca="1" si="139">(CN133-CN132)/CN132</f>
        <v>#NAME?</v>
      </c>
      <c r="CP133" s="2" t="e">
        <f ca="1"/>
        <v>#NAME?</v>
      </c>
      <c r="CQ133" s="2" t="e">
        <f t="shared" ref="CQ133:CQ196" ca="1" si="140">(CP133-CP132)/CP132</f>
        <v>#NAME?</v>
      </c>
    </row>
    <row r="134" spans="1:95">
      <c r="A134" s="7" t="e">
        <f ca="1"/>
        <v>#NAME?</v>
      </c>
      <c r="B134" s="2" t="e">
        <f ca="1"/>
        <v>#NAME?</v>
      </c>
      <c r="C134" s="2" t="e">
        <f t="shared" ca="1" si="94"/>
        <v>#NAME?</v>
      </c>
      <c r="D134" s="2" t="e">
        <f ca="1"/>
        <v>#NAME?</v>
      </c>
      <c r="E134" s="2" t="e">
        <f t="shared" ca="1" si="95"/>
        <v>#NAME?</v>
      </c>
      <c r="F134" s="2" t="e">
        <f ca="1"/>
        <v>#NAME?</v>
      </c>
      <c r="G134" s="2" t="e">
        <f t="shared" ca="1" si="96"/>
        <v>#NAME?</v>
      </c>
      <c r="H134" s="2" t="e">
        <f ca="1"/>
        <v>#NAME?</v>
      </c>
      <c r="I134" s="2" t="e">
        <f t="shared" ca="1" si="97"/>
        <v>#NAME?</v>
      </c>
      <c r="J134" s="2" t="e">
        <f ca="1"/>
        <v>#NAME?</v>
      </c>
      <c r="K134" s="2" t="e">
        <f t="shared" ca="1" si="98"/>
        <v>#NAME?</v>
      </c>
      <c r="L134" s="2" t="e">
        <f ca="1"/>
        <v>#NAME?</v>
      </c>
      <c r="M134" s="2" t="e">
        <f t="shared" ca="1" si="99"/>
        <v>#NAME?</v>
      </c>
      <c r="N134" s="2" t="e">
        <f ca="1"/>
        <v>#NAME?</v>
      </c>
      <c r="O134" s="2" t="e">
        <f t="shared" ca="1" si="100"/>
        <v>#NAME?</v>
      </c>
      <c r="P134" s="2" t="e">
        <f ca="1"/>
        <v>#NAME?</v>
      </c>
      <c r="Q134" s="2" t="e">
        <f t="shared" ca="1" si="101"/>
        <v>#NAME?</v>
      </c>
      <c r="R134" s="2" t="e">
        <f ca="1"/>
        <v>#NAME?</v>
      </c>
      <c r="S134" s="2" t="e">
        <f t="shared" ca="1" si="102"/>
        <v>#NAME?</v>
      </c>
      <c r="T134" s="2" t="e">
        <f ca="1"/>
        <v>#NAME?</v>
      </c>
      <c r="U134" s="2" t="e">
        <f t="shared" ca="1" si="103"/>
        <v>#NAME?</v>
      </c>
      <c r="V134" s="2" t="e">
        <f ca="1"/>
        <v>#NAME?</v>
      </c>
      <c r="W134" s="2" t="e">
        <f t="shared" ca="1" si="104"/>
        <v>#NAME?</v>
      </c>
      <c r="X134" s="2" t="e">
        <f ca="1"/>
        <v>#NAME?</v>
      </c>
      <c r="Y134" s="2" t="e">
        <f t="shared" ca="1" si="105"/>
        <v>#NAME?</v>
      </c>
      <c r="Z134" s="2" t="e">
        <f ca="1"/>
        <v>#NAME?</v>
      </c>
      <c r="AA134" s="2" t="e">
        <f t="shared" ca="1" si="106"/>
        <v>#NAME?</v>
      </c>
      <c r="AB134" s="2" t="e">
        <f ca="1"/>
        <v>#NAME?</v>
      </c>
      <c r="AC134" s="2" t="e">
        <f t="shared" ca="1" si="107"/>
        <v>#NAME?</v>
      </c>
      <c r="AD134" s="2" t="e">
        <f ca="1"/>
        <v>#NAME?</v>
      </c>
      <c r="AE134" s="2" t="e">
        <f t="shared" ca="1" si="108"/>
        <v>#NAME?</v>
      </c>
      <c r="AF134" s="2" t="e">
        <f ca="1"/>
        <v>#NAME?</v>
      </c>
      <c r="AG134" s="2" t="e">
        <f t="shared" ca="1" si="109"/>
        <v>#NAME?</v>
      </c>
      <c r="AH134" s="2" t="e">
        <f ca="1"/>
        <v>#NAME?</v>
      </c>
      <c r="AI134" s="2" t="e">
        <f t="shared" ca="1" si="110"/>
        <v>#NAME?</v>
      </c>
      <c r="AJ134" s="2" t="e">
        <f ca="1"/>
        <v>#NAME?</v>
      </c>
      <c r="AK134" s="2" t="e">
        <f t="shared" ca="1" si="111"/>
        <v>#NAME?</v>
      </c>
      <c r="AL134" s="2" t="e">
        <f ca="1"/>
        <v>#NAME?</v>
      </c>
      <c r="AM134" s="2" t="e">
        <f t="shared" ca="1" si="112"/>
        <v>#NAME?</v>
      </c>
      <c r="AN134" s="2" t="e">
        <f ca="1"/>
        <v>#NAME?</v>
      </c>
      <c r="AO134" s="2" t="e">
        <f t="shared" ca="1" si="113"/>
        <v>#NAME?</v>
      </c>
      <c r="AP134" s="2" t="e">
        <f ca="1"/>
        <v>#NAME?</v>
      </c>
      <c r="AQ134" s="2" t="e">
        <f t="shared" ca="1" si="114"/>
        <v>#NAME?</v>
      </c>
      <c r="AR134" s="2" t="e">
        <f ca="1"/>
        <v>#NAME?</v>
      </c>
      <c r="AS134" s="2" t="e">
        <f t="shared" ca="1" si="115"/>
        <v>#NAME?</v>
      </c>
      <c r="AT134" s="2" t="e">
        <f ca="1"/>
        <v>#NAME?</v>
      </c>
      <c r="AU134" s="2" t="e">
        <f t="shared" ca="1" si="116"/>
        <v>#NAME?</v>
      </c>
      <c r="AV134" s="2" t="e">
        <f ca="1"/>
        <v>#NAME?</v>
      </c>
      <c r="AW134" s="2" t="e">
        <f t="shared" ca="1" si="117"/>
        <v>#NAME?</v>
      </c>
      <c r="AX134" s="2" t="e">
        <f ca="1"/>
        <v>#NAME?</v>
      </c>
      <c r="AY134" s="2" t="e">
        <f t="shared" ca="1" si="118"/>
        <v>#NAME?</v>
      </c>
      <c r="AZ134" s="2" t="e">
        <f ca="1"/>
        <v>#NAME?</v>
      </c>
      <c r="BA134" s="2" t="e">
        <f t="shared" ca="1" si="119"/>
        <v>#NAME?</v>
      </c>
      <c r="BB134" s="2" t="e">
        <f ca="1"/>
        <v>#NAME?</v>
      </c>
      <c r="BC134" s="2" t="e">
        <f t="shared" ca="1" si="120"/>
        <v>#NAME?</v>
      </c>
      <c r="BD134" s="2" t="e">
        <f ca="1"/>
        <v>#NAME?</v>
      </c>
      <c r="BE134" s="2" t="e">
        <f t="shared" ca="1" si="121"/>
        <v>#NAME?</v>
      </c>
      <c r="BF134" s="2" t="e">
        <f ca="1"/>
        <v>#NAME?</v>
      </c>
      <c r="BG134" s="2" t="e">
        <f t="shared" ca="1" si="122"/>
        <v>#NAME?</v>
      </c>
      <c r="BH134" s="2" t="e">
        <f ca="1"/>
        <v>#NAME?</v>
      </c>
      <c r="BI134" s="2" t="e">
        <f t="shared" ca="1" si="123"/>
        <v>#NAME?</v>
      </c>
      <c r="BJ134" s="2" t="e">
        <f ca="1"/>
        <v>#NAME?</v>
      </c>
      <c r="BK134" s="2" t="e">
        <f t="shared" ca="1" si="124"/>
        <v>#NAME?</v>
      </c>
      <c r="BL134" s="2" t="e">
        <f ca="1"/>
        <v>#NAME?</v>
      </c>
      <c r="BM134" s="2" t="e">
        <f t="shared" ca="1" si="125"/>
        <v>#NAME?</v>
      </c>
      <c r="BN134" s="2" t="e">
        <f ca="1"/>
        <v>#NAME?</v>
      </c>
      <c r="BO134" s="2" t="e">
        <f t="shared" ca="1" si="126"/>
        <v>#NAME?</v>
      </c>
      <c r="BP134" s="2" t="e">
        <f ca="1"/>
        <v>#NAME?</v>
      </c>
      <c r="BQ134" s="2" t="e">
        <f t="shared" ca="1" si="127"/>
        <v>#NAME?</v>
      </c>
      <c r="BR134" s="2" t="e">
        <f ca="1"/>
        <v>#NAME?</v>
      </c>
      <c r="BS134" s="2" t="e">
        <f t="shared" ca="1" si="128"/>
        <v>#NAME?</v>
      </c>
      <c r="BT134" s="2" t="e">
        <f ca="1"/>
        <v>#NAME?</v>
      </c>
      <c r="BU134" s="2" t="e">
        <f t="shared" ca="1" si="129"/>
        <v>#NAME?</v>
      </c>
      <c r="BV134" s="2" t="e">
        <f ca="1"/>
        <v>#NAME?</v>
      </c>
      <c r="BW134" s="2" t="e">
        <f t="shared" ca="1" si="130"/>
        <v>#NAME?</v>
      </c>
      <c r="BX134" s="2" t="e">
        <f ca="1"/>
        <v>#NAME?</v>
      </c>
      <c r="BY134" s="2" t="e">
        <f t="shared" ca="1" si="131"/>
        <v>#NAME?</v>
      </c>
      <c r="BZ134" s="2" t="e">
        <f ca="1"/>
        <v>#NAME?</v>
      </c>
      <c r="CA134" s="2" t="e">
        <f t="shared" ca="1" si="132"/>
        <v>#NAME?</v>
      </c>
      <c r="CB134" s="2" t="e">
        <f ca="1"/>
        <v>#NAME?</v>
      </c>
      <c r="CC134" s="2" t="e">
        <f t="shared" ca="1" si="133"/>
        <v>#NAME?</v>
      </c>
      <c r="CD134" s="2" t="e">
        <f ca="1"/>
        <v>#NAME?</v>
      </c>
      <c r="CE134" s="2" t="e">
        <f t="shared" ca="1" si="134"/>
        <v>#NAME?</v>
      </c>
      <c r="CF134" s="2" t="e">
        <f ca="1"/>
        <v>#NAME?</v>
      </c>
      <c r="CG134" s="2" t="e">
        <f t="shared" ca="1" si="135"/>
        <v>#NAME?</v>
      </c>
      <c r="CH134" s="2" t="e">
        <f ca="1"/>
        <v>#NAME?</v>
      </c>
      <c r="CI134" s="2" t="e">
        <f t="shared" ca="1" si="136"/>
        <v>#NAME?</v>
      </c>
      <c r="CJ134" s="2" t="e">
        <f ca="1"/>
        <v>#NAME?</v>
      </c>
      <c r="CK134" s="2" t="e">
        <f t="shared" ca="1" si="137"/>
        <v>#NAME?</v>
      </c>
      <c r="CL134" s="2" t="e">
        <f ca="1"/>
        <v>#NAME?</v>
      </c>
      <c r="CM134" s="2" t="e">
        <f t="shared" ca="1" si="138"/>
        <v>#NAME?</v>
      </c>
      <c r="CN134" s="2" t="e">
        <f ca="1"/>
        <v>#NAME?</v>
      </c>
      <c r="CO134" s="2" t="e">
        <f t="shared" ca="1" si="139"/>
        <v>#NAME?</v>
      </c>
      <c r="CP134" s="2" t="e">
        <f ca="1"/>
        <v>#NAME?</v>
      </c>
      <c r="CQ134" s="2" t="e">
        <f t="shared" ca="1" si="140"/>
        <v>#NAME?</v>
      </c>
    </row>
    <row r="135" spans="1:95">
      <c r="A135" s="7" t="e">
        <f ca="1"/>
        <v>#NAME?</v>
      </c>
      <c r="B135" s="2" t="e">
        <f ca="1"/>
        <v>#NAME?</v>
      </c>
      <c r="C135" s="2" t="e">
        <f t="shared" ca="1" si="94"/>
        <v>#NAME?</v>
      </c>
      <c r="D135" s="2" t="e">
        <f ca="1"/>
        <v>#NAME?</v>
      </c>
      <c r="E135" s="2" t="e">
        <f t="shared" ca="1" si="95"/>
        <v>#NAME?</v>
      </c>
      <c r="F135" s="2" t="e">
        <f ca="1"/>
        <v>#NAME?</v>
      </c>
      <c r="G135" s="2" t="e">
        <f t="shared" ca="1" si="96"/>
        <v>#NAME?</v>
      </c>
      <c r="H135" s="2" t="e">
        <f ca="1"/>
        <v>#NAME?</v>
      </c>
      <c r="I135" s="2" t="e">
        <f t="shared" ca="1" si="97"/>
        <v>#NAME?</v>
      </c>
      <c r="J135" s="2" t="e">
        <f ca="1"/>
        <v>#NAME?</v>
      </c>
      <c r="K135" s="2" t="e">
        <f t="shared" ca="1" si="98"/>
        <v>#NAME?</v>
      </c>
      <c r="L135" s="2" t="e">
        <f ca="1"/>
        <v>#NAME?</v>
      </c>
      <c r="M135" s="2" t="e">
        <f t="shared" ca="1" si="99"/>
        <v>#NAME?</v>
      </c>
      <c r="N135" s="2" t="e">
        <f ca="1"/>
        <v>#NAME?</v>
      </c>
      <c r="O135" s="2" t="e">
        <f t="shared" ca="1" si="100"/>
        <v>#NAME?</v>
      </c>
      <c r="P135" s="2" t="e">
        <f ca="1"/>
        <v>#NAME?</v>
      </c>
      <c r="Q135" s="2" t="e">
        <f t="shared" ca="1" si="101"/>
        <v>#NAME?</v>
      </c>
      <c r="R135" s="2" t="e">
        <f ca="1"/>
        <v>#NAME?</v>
      </c>
      <c r="S135" s="2" t="e">
        <f t="shared" ca="1" si="102"/>
        <v>#NAME?</v>
      </c>
      <c r="T135" s="2" t="e">
        <f ca="1"/>
        <v>#NAME?</v>
      </c>
      <c r="U135" s="2" t="e">
        <f t="shared" ca="1" si="103"/>
        <v>#NAME?</v>
      </c>
      <c r="V135" s="2" t="e">
        <f ca="1"/>
        <v>#NAME?</v>
      </c>
      <c r="W135" s="2" t="e">
        <f t="shared" ca="1" si="104"/>
        <v>#NAME?</v>
      </c>
      <c r="X135" s="2" t="e">
        <f ca="1"/>
        <v>#NAME?</v>
      </c>
      <c r="Y135" s="2" t="e">
        <f t="shared" ca="1" si="105"/>
        <v>#NAME?</v>
      </c>
      <c r="Z135" s="2" t="e">
        <f ca="1"/>
        <v>#NAME?</v>
      </c>
      <c r="AA135" s="2" t="e">
        <f t="shared" ca="1" si="106"/>
        <v>#NAME?</v>
      </c>
      <c r="AB135" s="2" t="e">
        <f ca="1"/>
        <v>#NAME?</v>
      </c>
      <c r="AC135" s="2" t="e">
        <f t="shared" ca="1" si="107"/>
        <v>#NAME?</v>
      </c>
      <c r="AD135" s="2" t="e">
        <f ca="1"/>
        <v>#NAME?</v>
      </c>
      <c r="AE135" s="2" t="e">
        <f t="shared" ca="1" si="108"/>
        <v>#NAME?</v>
      </c>
      <c r="AF135" s="2" t="e">
        <f ca="1"/>
        <v>#NAME?</v>
      </c>
      <c r="AG135" s="2" t="e">
        <f t="shared" ca="1" si="109"/>
        <v>#NAME?</v>
      </c>
      <c r="AH135" s="2" t="e">
        <f ca="1"/>
        <v>#NAME?</v>
      </c>
      <c r="AI135" s="2" t="e">
        <f t="shared" ca="1" si="110"/>
        <v>#NAME?</v>
      </c>
      <c r="AJ135" s="2" t="e">
        <f ca="1"/>
        <v>#NAME?</v>
      </c>
      <c r="AK135" s="2" t="e">
        <f t="shared" ca="1" si="111"/>
        <v>#NAME?</v>
      </c>
      <c r="AL135" s="2" t="e">
        <f ca="1"/>
        <v>#NAME?</v>
      </c>
      <c r="AM135" s="2" t="e">
        <f t="shared" ca="1" si="112"/>
        <v>#NAME?</v>
      </c>
      <c r="AN135" s="2" t="e">
        <f ca="1"/>
        <v>#NAME?</v>
      </c>
      <c r="AO135" s="2" t="e">
        <f t="shared" ca="1" si="113"/>
        <v>#NAME?</v>
      </c>
      <c r="AP135" s="2" t="e">
        <f ca="1"/>
        <v>#NAME?</v>
      </c>
      <c r="AQ135" s="2" t="e">
        <f t="shared" ca="1" si="114"/>
        <v>#NAME?</v>
      </c>
      <c r="AR135" s="2" t="e">
        <f ca="1"/>
        <v>#NAME?</v>
      </c>
      <c r="AS135" s="2" t="e">
        <f t="shared" ca="1" si="115"/>
        <v>#NAME?</v>
      </c>
      <c r="AT135" s="2" t="e">
        <f ca="1"/>
        <v>#NAME?</v>
      </c>
      <c r="AU135" s="2" t="e">
        <f t="shared" ca="1" si="116"/>
        <v>#NAME?</v>
      </c>
      <c r="AV135" s="2" t="e">
        <f ca="1"/>
        <v>#NAME?</v>
      </c>
      <c r="AW135" s="2" t="e">
        <f t="shared" ca="1" si="117"/>
        <v>#NAME?</v>
      </c>
      <c r="AX135" s="2" t="e">
        <f ca="1"/>
        <v>#NAME?</v>
      </c>
      <c r="AY135" s="2" t="e">
        <f t="shared" ca="1" si="118"/>
        <v>#NAME?</v>
      </c>
      <c r="AZ135" s="2" t="e">
        <f ca="1"/>
        <v>#NAME?</v>
      </c>
      <c r="BA135" s="2" t="e">
        <f t="shared" ca="1" si="119"/>
        <v>#NAME?</v>
      </c>
      <c r="BB135" s="2" t="e">
        <f ca="1"/>
        <v>#NAME?</v>
      </c>
      <c r="BC135" s="2" t="e">
        <f t="shared" ca="1" si="120"/>
        <v>#NAME?</v>
      </c>
      <c r="BD135" s="2" t="e">
        <f ca="1"/>
        <v>#NAME?</v>
      </c>
      <c r="BE135" s="2" t="e">
        <f t="shared" ca="1" si="121"/>
        <v>#NAME?</v>
      </c>
      <c r="BF135" s="2" t="e">
        <f ca="1"/>
        <v>#NAME?</v>
      </c>
      <c r="BG135" s="2" t="e">
        <f t="shared" ca="1" si="122"/>
        <v>#NAME?</v>
      </c>
      <c r="BH135" s="2" t="e">
        <f ca="1"/>
        <v>#NAME?</v>
      </c>
      <c r="BI135" s="2" t="e">
        <f t="shared" ca="1" si="123"/>
        <v>#NAME?</v>
      </c>
      <c r="BJ135" s="2" t="e">
        <f ca="1"/>
        <v>#NAME?</v>
      </c>
      <c r="BK135" s="2" t="e">
        <f t="shared" ca="1" si="124"/>
        <v>#NAME?</v>
      </c>
      <c r="BL135" s="2" t="e">
        <f ca="1"/>
        <v>#NAME?</v>
      </c>
      <c r="BM135" s="2" t="e">
        <f t="shared" ca="1" si="125"/>
        <v>#NAME?</v>
      </c>
      <c r="BN135" s="2" t="e">
        <f ca="1"/>
        <v>#NAME?</v>
      </c>
      <c r="BO135" s="2" t="e">
        <f t="shared" ca="1" si="126"/>
        <v>#NAME?</v>
      </c>
      <c r="BP135" s="2" t="e">
        <f ca="1"/>
        <v>#NAME?</v>
      </c>
      <c r="BQ135" s="2" t="e">
        <f t="shared" ca="1" si="127"/>
        <v>#NAME?</v>
      </c>
      <c r="BR135" s="2" t="e">
        <f ca="1"/>
        <v>#NAME?</v>
      </c>
      <c r="BS135" s="2" t="e">
        <f t="shared" ca="1" si="128"/>
        <v>#NAME?</v>
      </c>
      <c r="BT135" s="2" t="e">
        <f ca="1"/>
        <v>#NAME?</v>
      </c>
      <c r="BU135" s="2" t="e">
        <f t="shared" ca="1" si="129"/>
        <v>#NAME?</v>
      </c>
      <c r="BV135" s="2" t="e">
        <f ca="1"/>
        <v>#NAME?</v>
      </c>
      <c r="BW135" s="2" t="e">
        <f t="shared" ca="1" si="130"/>
        <v>#NAME?</v>
      </c>
      <c r="BX135" s="2" t="e">
        <f ca="1"/>
        <v>#NAME?</v>
      </c>
      <c r="BY135" s="2" t="e">
        <f t="shared" ca="1" si="131"/>
        <v>#NAME?</v>
      </c>
      <c r="BZ135" s="2" t="e">
        <f ca="1"/>
        <v>#NAME?</v>
      </c>
      <c r="CA135" s="2" t="e">
        <f t="shared" ca="1" si="132"/>
        <v>#NAME?</v>
      </c>
      <c r="CB135" s="2" t="e">
        <f ca="1"/>
        <v>#NAME?</v>
      </c>
      <c r="CC135" s="2" t="e">
        <f t="shared" ca="1" si="133"/>
        <v>#NAME?</v>
      </c>
      <c r="CD135" s="2" t="e">
        <f ca="1"/>
        <v>#NAME?</v>
      </c>
      <c r="CE135" s="2" t="e">
        <f t="shared" ca="1" si="134"/>
        <v>#NAME?</v>
      </c>
      <c r="CF135" s="2" t="e">
        <f ca="1"/>
        <v>#NAME?</v>
      </c>
      <c r="CG135" s="2" t="e">
        <f t="shared" ca="1" si="135"/>
        <v>#NAME?</v>
      </c>
      <c r="CH135" s="2" t="e">
        <f ca="1"/>
        <v>#NAME?</v>
      </c>
      <c r="CI135" s="2" t="e">
        <f t="shared" ca="1" si="136"/>
        <v>#NAME?</v>
      </c>
      <c r="CJ135" s="2" t="e">
        <f ca="1"/>
        <v>#NAME?</v>
      </c>
      <c r="CK135" s="2" t="e">
        <f t="shared" ca="1" si="137"/>
        <v>#NAME?</v>
      </c>
      <c r="CL135" s="2" t="e">
        <f ca="1"/>
        <v>#NAME?</v>
      </c>
      <c r="CM135" s="2" t="e">
        <f t="shared" ca="1" si="138"/>
        <v>#NAME?</v>
      </c>
      <c r="CN135" s="2" t="e">
        <f ca="1"/>
        <v>#NAME?</v>
      </c>
      <c r="CO135" s="2" t="e">
        <f t="shared" ca="1" si="139"/>
        <v>#NAME?</v>
      </c>
      <c r="CP135" s="2" t="e">
        <f ca="1"/>
        <v>#NAME?</v>
      </c>
      <c r="CQ135" s="2" t="e">
        <f t="shared" ca="1" si="140"/>
        <v>#NAME?</v>
      </c>
    </row>
    <row r="136" spans="1:95">
      <c r="A136" s="7" t="e">
        <f ca="1"/>
        <v>#NAME?</v>
      </c>
      <c r="B136" s="2" t="e">
        <f ca="1"/>
        <v>#NAME?</v>
      </c>
      <c r="C136" s="2" t="e">
        <f t="shared" ca="1" si="94"/>
        <v>#NAME?</v>
      </c>
      <c r="D136" s="2" t="e">
        <f ca="1"/>
        <v>#NAME?</v>
      </c>
      <c r="E136" s="2" t="e">
        <f t="shared" ca="1" si="95"/>
        <v>#NAME?</v>
      </c>
      <c r="F136" s="2" t="e">
        <f ca="1"/>
        <v>#NAME?</v>
      </c>
      <c r="G136" s="2" t="e">
        <f t="shared" ca="1" si="96"/>
        <v>#NAME?</v>
      </c>
      <c r="H136" s="2" t="e">
        <f ca="1"/>
        <v>#NAME?</v>
      </c>
      <c r="I136" s="2" t="e">
        <f t="shared" ca="1" si="97"/>
        <v>#NAME?</v>
      </c>
      <c r="J136" s="2" t="e">
        <f ca="1"/>
        <v>#NAME?</v>
      </c>
      <c r="K136" s="2" t="e">
        <f t="shared" ca="1" si="98"/>
        <v>#NAME?</v>
      </c>
      <c r="L136" s="2" t="e">
        <f ca="1"/>
        <v>#NAME?</v>
      </c>
      <c r="M136" s="2" t="e">
        <f t="shared" ca="1" si="99"/>
        <v>#NAME?</v>
      </c>
      <c r="N136" s="2" t="e">
        <f ca="1"/>
        <v>#NAME?</v>
      </c>
      <c r="O136" s="2" t="e">
        <f t="shared" ca="1" si="100"/>
        <v>#NAME?</v>
      </c>
      <c r="P136" s="2" t="e">
        <f ca="1"/>
        <v>#NAME?</v>
      </c>
      <c r="Q136" s="2" t="e">
        <f t="shared" ca="1" si="101"/>
        <v>#NAME?</v>
      </c>
      <c r="R136" s="2" t="e">
        <f ca="1"/>
        <v>#NAME?</v>
      </c>
      <c r="S136" s="2" t="e">
        <f t="shared" ca="1" si="102"/>
        <v>#NAME?</v>
      </c>
      <c r="T136" s="2" t="e">
        <f ca="1"/>
        <v>#NAME?</v>
      </c>
      <c r="U136" s="2" t="e">
        <f t="shared" ca="1" si="103"/>
        <v>#NAME?</v>
      </c>
      <c r="V136" s="2" t="e">
        <f ca="1"/>
        <v>#NAME?</v>
      </c>
      <c r="W136" s="2" t="e">
        <f t="shared" ca="1" si="104"/>
        <v>#NAME?</v>
      </c>
      <c r="X136" s="2" t="e">
        <f ca="1"/>
        <v>#NAME?</v>
      </c>
      <c r="Y136" s="2" t="e">
        <f t="shared" ca="1" si="105"/>
        <v>#NAME?</v>
      </c>
      <c r="Z136" s="2" t="e">
        <f ca="1"/>
        <v>#NAME?</v>
      </c>
      <c r="AA136" s="2" t="e">
        <f t="shared" ca="1" si="106"/>
        <v>#NAME?</v>
      </c>
      <c r="AB136" s="2" t="e">
        <f ca="1"/>
        <v>#NAME?</v>
      </c>
      <c r="AC136" s="2" t="e">
        <f t="shared" ca="1" si="107"/>
        <v>#NAME?</v>
      </c>
      <c r="AD136" s="2" t="e">
        <f ca="1"/>
        <v>#NAME?</v>
      </c>
      <c r="AE136" s="2" t="e">
        <f t="shared" ca="1" si="108"/>
        <v>#NAME?</v>
      </c>
      <c r="AF136" s="2" t="e">
        <f ca="1"/>
        <v>#NAME?</v>
      </c>
      <c r="AG136" s="2" t="e">
        <f t="shared" ca="1" si="109"/>
        <v>#NAME?</v>
      </c>
      <c r="AH136" s="2" t="e">
        <f ca="1"/>
        <v>#NAME?</v>
      </c>
      <c r="AI136" s="2" t="e">
        <f t="shared" ca="1" si="110"/>
        <v>#NAME?</v>
      </c>
      <c r="AJ136" s="2" t="e">
        <f ca="1"/>
        <v>#NAME?</v>
      </c>
      <c r="AK136" s="2" t="e">
        <f t="shared" ca="1" si="111"/>
        <v>#NAME?</v>
      </c>
      <c r="AL136" s="2" t="e">
        <f ca="1"/>
        <v>#NAME?</v>
      </c>
      <c r="AM136" s="2" t="e">
        <f t="shared" ca="1" si="112"/>
        <v>#NAME?</v>
      </c>
      <c r="AN136" s="2" t="e">
        <f ca="1"/>
        <v>#NAME?</v>
      </c>
      <c r="AO136" s="2" t="e">
        <f t="shared" ca="1" si="113"/>
        <v>#NAME?</v>
      </c>
      <c r="AP136" s="2" t="e">
        <f ca="1"/>
        <v>#NAME?</v>
      </c>
      <c r="AQ136" s="2" t="e">
        <f t="shared" ca="1" si="114"/>
        <v>#NAME?</v>
      </c>
      <c r="AR136" s="2" t="e">
        <f ca="1"/>
        <v>#NAME?</v>
      </c>
      <c r="AS136" s="2" t="e">
        <f t="shared" ca="1" si="115"/>
        <v>#NAME?</v>
      </c>
      <c r="AT136" s="2" t="e">
        <f ca="1"/>
        <v>#NAME?</v>
      </c>
      <c r="AU136" s="2" t="e">
        <f t="shared" ca="1" si="116"/>
        <v>#NAME?</v>
      </c>
      <c r="AV136" s="2" t="e">
        <f ca="1"/>
        <v>#NAME?</v>
      </c>
      <c r="AW136" s="2" t="e">
        <f t="shared" ca="1" si="117"/>
        <v>#NAME?</v>
      </c>
      <c r="AX136" s="2" t="e">
        <f ca="1"/>
        <v>#NAME?</v>
      </c>
      <c r="AY136" s="2" t="e">
        <f t="shared" ca="1" si="118"/>
        <v>#NAME?</v>
      </c>
      <c r="AZ136" s="2" t="e">
        <f ca="1"/>
        <v>#NAME?</v>
      </c>
      <c r="BA136" s="2" t="e">
        <f t="shared" ca="1" si="119"/>
        <v>#NAME?</v>
      </c>
      <c r="BB136" s="2" t="e">
        <f ca="1"/>
        <v>#NAME?</v>
      </c>
      <c r="BC136" s="2" t="e">
        <f t="shared" ca="1" si="120"/>
        <v>#NAME?</v>
      </c>
      <c r="BD136" s="2" t="e">
        <f ca="1"/>
        <v>#NAME?</v>
      </c>
      <c r="BE136" s="2" t="e">
        <f t="shared" ca="1" si="121"/>
        <v>#NAME?</v>
      </c>
      <c r="BF136" s="2" t="e">
        <f ca="1"/>
        <v>#NAME?</v>
      </c>
      <c r="BG136" s="2" t="e">
        <f t="shared" ca="1" si="122"/>
        <v>#NAME?</v>
      </c>
      <c r="BH136" s="2" t="e">
        <f ca="1"/>
        <v>#NAME?</v>
      </c>
      <c r="BI136" s="2" t="e">
        <f t="shared" ca="1" si="123"/>
        <v>#NAME?</v>
      </c>
      <c r="BJ136" s="2" t="e">
        <f ca="1"/>
        <v>#NAME?</v>
      </c>
      <c r="BK136" s="2" t="e">
        <f t="shared" ca="1" si="124"/>
        <v>#NAME?</v>
      </c>
      <c r="BL136" s="2" t="e">
        <f ca="1"/>
        <v>#NAME?</v>
      </c>
      <c r="BM136" s="2" t="e">
        <f t="shared" ca="1" si="125"/>
        <v>#NAME?</v>
      </c>
      <c r="BN136" s="2" t="e">
        <f ca="1"/>
        <v>#NAME?</v>
      </c>
      <c r="BO136" s="2" t="e">
        <f t="shared" ca="1" si="126"/>
        <v>#NAME?</v>
      </c>
      <c r="BP136" s="2" t="e">
        <f ca="1"/>
        <v>#NAME?</v>
      </c>
      <c r="BQ136" s="2" t="e">
        <f t="shared" ca="1" si="127"/>
        <v>#NAME?</v>
      </c>
      <c r="BR136" s="2" t="e">
        <f ca="1"/>
        <v>#NAME?</v>
      </c>
      <c r="BS136" s="2" t="e">
        <f t="shared" ca="1" si="128"/>
        <v>#NAME?</v>
      </c>
      <c r="BT136" s="2" t="e">
        <f ca="1"/>
        <v>#NAME?</v>
      </c>
      <c r="BU136" s="2" t="e">
        <f t="shared" ca="1" si="129"/>
        <v>#NAME?</v>
      </c>
      <c r="BV136" s="2" t="e">
        <f ca="1"/>
        <v>#NAME?</v>
      </c>
      <c r="BW136" s="2" t="e">
        <f t="shared" ca="1" si="130"/>
        <v>#NAME?</v>
      </c>
      <c r="BX136" s="2" t="e">
        <f ca="1"/>
        <v>#NAME?</v>
      </c>
      <c r="BY136" s="2" t="e">
        <f t="shared" ca="1" si="131"/>
        <v>#NAME?</v>
      </c>
      <c r="BZ136" s="2" t="e">
        <f ca="1"/>
        <v>#NAME?</v>
      </c>
      <c r="CA136" s="2" t="e">
        <f t="shared" ca="1" si="132"/>
        <v>#NAME?</v>
      </c>
      <c r="CB136" s="2" t="e">
        <f ca="1"/>
        <v>#NAME?</v>
      </c>
      <c r="CC136" s="2" t="e">
        <f t="shared" ca="1" si="133"/>
        <v>#NAME?</v>
      </c>
      <c r="CD136" s="2" t="e">
        <f ca="1"/>
        <v>#NAME?</v>
      </c>
      <c r="CE136" s="2" t="e">
        <f t="shared" ca="1" si="134"/>
        <v>#NAME?</v>
      </c>
      <c r="CF136" s="2" t="e">
        <f ca="1"/>
        <v>#NAME?</v>
      </c>
      <c r="CG136" s="2" t="e">
        <f t="shared" ca="1" si="135"/>
        <v>#NAME?</v>
      </c>
      <c r="CH136" s="2" t="e">
        <f ca="1"/>
        <v>#NAME?</v>
      </c>
      <c r="CI136" s="2" t="e">
        <f t="shared" ca="1" si="136"/>
        <v>#NAME?</v>
      </c>
      <c r="CJ136" s="2" t="e">
        <f ca="1"/>
        <v>#NAME?</v>
      </c>
      <c r="CK136" s="2" t="e">
        <f t="shared" ca="1" si="137"/>
        <v>#NAME?</v>
      </c>
      <c r="CL136" s="2" t="e">
        <f ca="1"/>
        <v>#NAME?</v>
      </c>
      <c r="CM136" s="2" t="e">
        <f t="shared" ca="1" si="138"/>
        <v>#NAME?</v>
      </c>
      <c r="CN136" s="2" t="e">
        <f ca="1"/>
        <v>#NAME?</v>
      </c>
      <c r="CO136" s="2" t="e">
        <f t="shared" ca="1" si="139"/>
        <v>#NAME?</v>
      </c>
      <c r="CP136" s="2" t="e">
        <f ca="1"/>
        <v>#NAME?</v>
      </c>
      <c r="CQ136" s="2" t="e">
        <f t="shared" ca="1" si="140"/>
        <v>#NAME?</v>
      </c>
    </row>
    <row r="137" spans="1:95">
      <c r="A137" s="7" t="e">
        <f ca="1"/>
        <v>#NAME?</v>
      </c>
      <c r="B137" s="2" t="e">
        <f ca="1"/>
        <v>#NAME?</v>
      </c>
      <c r="C137" s="2" t="e">
        <f t="shared" ca="1" si="94"/>
        <v>#NAME?</v>
      </c>
      <c r="D137" s="2" t="e">
        <f ca="1"/>
        <v>#NAME?</v>
      </c>
      <c r="E137" s="2" t="e">
        <f t="shared" ca="1" si="95"/>
        <v>#NAME?</v>
      </c>
      <c r="F137" s="2" t="e">
        <f ca="1"/>
        <v>#NAME?</v>
      </c>
      <c r="G137" s="2" t="e">
        <f t="shared" ca="1" si="96"/>
        <v>#NAME?</v>
      </c>
      <c r="H137" s="2" t="e">
        <f ca="1"/>
        <v>#NAME?</v>
      </c>
      <c r="I137" s="2" t="e">
        <f t="shared" ca="1" si="97"/>
        <v>#NAME?</v>
      </c>
      <c r="J137" s="2" t="e">
        <f ca="1"/>
        <v>#NAME?</v>
      </c>
      <c r="K137" s="2" t="e">
        <f t="shared" ca="1" si="98"/>
        <v>#NAME?</v>
      </c>
      <c r="L137" s="2" t="e">
        <f ca="1"/>
        <v>#NAME?</v>
      </c>
      <c r="M137" s="2" t="e">
        <f t="shared" ca="1" si="99"/>
        <v>#NAME?</v>
      </c>
      <c r="N137" s="2" t="e">
        <f ca="1"/>
        <v>#NAME?</v>
      </c>
      <c r="O137" s="2" t="e">
        <f t="shared" ca="1" si="100"/>
        <v>#NAME?</v>
      </c>
      <c r="P137" s="2" t="e">
        <f ca="1"/>
        <v>#NAME?</v>
      </c>
      <c r="Q137" s="2" t="e">
        <f t="shared" ca="1" si="101"/>
        <v>#NAME?</v>
      </c>
      <c r="R137" s="2" t="e">
        <f ca="1"/>
        <v>#NAME?</v>
      </c>
      <c r="S137" s="2" t="e">
        <f t="shared" ca="1" si="102"/>
        <v>#NAME?</v>
      </c>
      <c r="T137" s="2" t="e">
        <f ca="1"/>
        <v>#NAME?</v>
      </c>
      <c r="U137" s="2" t="e">
        <f t="shared" ca="1" si="103"/>
        <v>#NAME?</v>
      </c>
      <c r="V137" s="2" t="e">
        <f ca="1"/>
        <v>#NAME?</v>
      </c>
      <c r="W137" s="2" t="e">
        <f t="shared" ca="1" si="104"/>
        <v>#NAME?</v>
      </c>
      <c r="X137" s="2" t="e">
        <f ca="1"/>
        <v>#NAME?</v>
      </c>
      <c r="Y137" s="2" t="e">
        <f t="shared" ca="1" si="105"/>
        <v>#NAME?</v>
      </c>
      <c r="Z137" s="2" t="e">
        <f ca="1"/>
        <v>#NAME?</v>
      </c>
      <c r="AA137" s="2" t="e">
        <f t="shared" ca="1" si="106"/>
        <v>#NAME?</v>
      </c>
      <c r="AB137" s="2" t="e">
        <f ca="1"/>
        <v>#NAME?</v>
      </c>
      <c r="AC137" s="2" t="e">
        <f t="shared" ca="1" si="107"/>
        <v>#NAME?</v>
      </c>
      <c r="AD137" s="2" t="e">
        <f ca="1"/>
        <v>#NAME?</v>
      </c>
      <c r="AE137" s="2" t="e">
        <f t="shared" ca="1" si="108"/>
        <v>#NAME?</v>
      </c>
      <c r="AF137" s="2" t="e">
        <f ca="1"/>
        <v>#NAME?</v>
      </c>
      <c r="AG137" s="2" t="e">
        <f t="shared" ca="1" si="109"/>
        <v>#NAME?</v>
      </c>
      <c r="AH137" s="2" t="e">
        <f ca="1"/>
        <v>#NAME?</v>
      </c>
      <c r="AI137" s="2" t="e">
        <f t="shared" ca="1" si="110"/>
        <v>#NAME?</v>
      </c>
      <c r="AJ137" s="2" t="e">
        <f ca="1"/>
        <v>#NAME?</v>
      </c>
      <c r="AK137" s="2" t="e">
        <f t="shared" ca="1" si="111"/>
        <v>#NAME?</v>
      </c>
      <c r="AL137" s="2" t="e">
        <f ca="1"/>
        <v>#NAME?</v>
      </c>
      <c r="AM137" s="2" t="e">
        <f t="shared" ca="1" si="112"/>
        <v>#NAME?</v>
      </c>
      <c r="AN137" s="2" t="e">
        <f ca="1"/>
        <v>#NAME?</v>
      </c>
      <c r="AO137" s="2" t="e">
        <f t="shared" ca="1" si="113"/>
        <v>#NAME?</v>
      </c>
      <c r="AP137" s="2" t="e">
        <f ca="1"/>
        <v>#NAME?</v>
      </c>
      <c r="AQ137" s="2" t="e">
        <f t="shared" ca="1" si="114"/>
        <v>#NAME?</v>
      </c>
      <c r="AR137" s="2" t="e">
        <f ca="1"/>
        <v>#NAME?</v>
      </c>
      <c r="AS137" s="2" t="e">
        <f t="shared" ca="1" si="115"/>
        <v>#NAME?</v>
      </c>
      <c r="AT137" s="2" t="e">
        <f ca="1"/>
        <v>#NAME?</v>
      </c>
      <c r="AU137" s="2" t="e">
        <f t="shared" ca="1" si="116"/>
        <v>#NAME?</v>
      </c>
      <c r="AV137" s="2" t="e">
        <f ca="1"/>
        <v>#NAME?</v>
      </c>
      <c r="AW137" s="2" t="e">
        <f t="shared" ca="1" si="117"/>
        <v>#NAME?</v>
      </c>
      <c r="AX137" s="2" t="e">
        <f ca="1"/>
        <v>#NAME?</v>
      </c>
      <c r="AY137" s="2" t="e">
        <f t="shared" ca="1" si="118"/>
        <v>#NAME?</v>
      </c>
      <c r="AZ137" s="2" t="e">
        <f ca="1"/>
        <v>#NAME?</v>
      </c>
      <c r="BA137" s="2" t="e">
        <f t="shared" ca="1" si="119"/>
        <v>#NAME?</v>
      </c>
      <c r="BB137" s="2" t="e">
        <f ca="1"/>
        <v>#NAME?</v>
      </c>
      <c r="BC137" s="2" t="e">
        <f t="shared" ca="1" si="120"/>
        <v>#NAME?</v>
      </c>
      <c r="BD137" s="2" t="e">
        <f ca="1"/>
        <v>#NAME?</v>
      </c>
      <c r="BE137" s="2" t="e">
        <f t="shared" ca="1" si="121"/>
        <v>#NAME?</v>
      </c>
      <c r="BF137" s="2" t="e">
        <f ca="1"/>
        <v>#NAME?</v>
      </c>
      <c r="BG137" s="2" t="e">
        <f t="shared" ca="1" si="122"/>
        <v>#NAME?</v>
      </c>
      <c r="BH137" s="2" t="e">
        <f ca="1"/>
        <v>#NAME?</v>
      </c>
      <c r="BI137" s="2" t="e">
        <f t="shared" ca="1" si="123"/>
        <v>#NAME?</v>
      </c>
      <c r="BJ137" s="2" t="e">
        <f ca="1"/>
        <v>#NAME?</v>
      </c>
      <c r="BK137" s="2" t="e">
        <f t="shared" ca="1" si="124"/>
        <v>#NAME?</v>
      </c>
      <c r="BL137" s="2" t="e">
        <f ca="1"/>
        <v>#NAME?</v>
      </c>
      <c r="BM137" s="2" t="e">
        <f t="shared" ca="1" si="125"/>
        <v>#NAME?</v>
      </c>
      <c r="BN137" s="2" t="e">
        <f ca="1"/>
        <v>#NAME?</v>
      </c>
      <c r="BO137" s="2" t="e">
        <f t="shared" ca="1" si="126"/>
        <v>#NAME?</v>
      </c>
      <c r="BP137" s="2" t="e">
        <f ca="1"/>
        <v>#NAME?</v>
      </c>
      <c r="BQ137" s="2" t="e">
        <f t="shared" ca="1" si="127"/>
        <v>#NAME?</v>
      </c>
      <c r="BR137" s="2" t="e">
        <f ca="1"/>
        <v>#NAME?</v>
      </c>
      <c r="BS137" s="2" t="e">
        <f t="shared" ca="1" si="128"/>
        <v>#NAME?</v>
      </c>
      <c r="BT137" s="2" t="e">
        <f ca="1"/>
        <v>#NAME?</v>
      </c>
      <c r="BU137" s="2" t="e">
        <f t="shared" ca="1" si="129"/>
        <v>#NAME?</v>
      </c>
      <c r="BV137" s="2" t="e">
        <f ca="1"/>
        <v>#NAME?</v>
      </c>
      <c r="BW137" s="2" t="e">
        <f t="shared" ca="1" si="130"/>
        <v>#NAME?</v>
      </c>
      <c r="BX137" s="2" t="e">
        <f ca="1"/>
        <v>#NAME?</v>
      </c>
      <c r="BY137" s="2" t="e">
        <f t="shared" ca="1" si="131"/>
        <v>#NAME?</v>
      </c>
      <c r="BZ137" s="2" t="e">
        <f ca="1"/>
        <v>#NAME?</v>
      </c>
      <c r="CA137" s="2" t="e">
        <f t="shared" ca="1" si="132"/>
        <v>#NAME?</v>
      </c>
      <c r="CB137" s="2" t="e">
        <f ca="1"/>
        <v>#NAME?</v>
      </c>
      <c r="CC137" s="2" t="e">
        <f t="shared" ca="1" si="133"/>
        <v>#NAME?</v>
      </c>
      <c r="CD137" s="2" t="e">
        <f ca="1"/>
        <v>#NAME?</v>
      </c>
      <c r="CE137" s="2" t="e">
        <f t="shared" ca="1" si="134"/>
        <v>#NAME?</v>
      </c>
      <c r="CF137" s="2" t="e">
        <f ca="1"/>
        <v>#NAME?</v>
      </c>
      <c r="CG137" s="2" t="e">
        <f t="shared" ca="1" si="135"/>
        <v>#NAME?</v>
      </c>
      <c r="CH137" s="2" t="e">
        <f ca="1"/>
        <v>#NAME?</v>
      </c>
      <c r="CI137" s="2" t="e">
        <f t="shared" ca="1" si="136"/>
        <v>#NAME?</v>
      </c>
      <c r="CJ137" s="2" t="e">
        <f ca="1"/>
        <v>#NAME?</v>
      </c>
      <c r="CK137" s="2" t="e">
        <f t="shared" ca="1" si="137"/>
        <v>#NAME?</v>
      </c>
      <c r="CL137" s="2" t="e">
        <f ca="1"/>
        <v>#NAME?</v>
      </c>
      <c r="CM137" s="2" t="e">
        <f t="shared" ca="1" si="138"/>
        <v>#NAME?</v>
      </c>
      <c r="CN137" s="2" t="e">
        <f ca="1"/>
        <v>#NAME?</v>
      </c>
      <c r="CO137" s="2" t="e">
        <f t="shared" ca="1" si="139"/>
        <v>#NAME?</v>
      </c>
      <c r="CP137" s="2" t="e">
        <f ca="1"/>
        <v>#NAME?</v>
      </c>
      <c r="CQ137" s="2" t="e">
        <f t="shared" ca="1" si="140"/>
        <v>#NAME?</v>
      </c>
    </row>
    <row r="138" spans="1:95">
      <c r="A138" s="7" t="e">
        <f ca="1"/>
        <v>#NAME?</v>
      </c>
      <c r="B138" s="2" t="e">
        <f ca="1"/>
        <v>#NAME?</v>
      </c>
      <c r="C138" s="2" t="e">
        <f t="shared" ca="1" si="94"/>
        <v>#NAME?</v>
      </c>
      <c r="D138" s="2" t="e">
        <f ca="1"/>
        <v>#NAME?</v>
      </c>
      <c r="E138" s="2" t="e">
        <f t="shared" ca="1" si="95"/>
        <v>#NAME?</v>
      </c>
      <c r="F138" s="2" t="e">
        <f ca="1"/>
        <v>#NAME?</v>
      </c>
      <c r="G138" s="2" t="e">
        <f t="shared" ca="1" si="96"/>
        <v>#NAME?</v>
      </c>
      <c r="H138" s="2" t="e">
        <f ca="1"/>
        <v>#NAME?</v>
      </c>
      <c r="I138" s="2" t="e">
        <f t="shared" ca="1" si="97"/>
        <v>#NAME?</v>
      </c>
      <c r="J138" s="2" t="e">
        <f ca="1"/>
        <v>#NAME?</v>
      </c>
      <c r="K138" s="2" t="e">
        <f t="shared" ca="1" si="98"/>
        <v>#NAME?</v>
      </c>
      <c r="L138" s="2" t="e">
        <f ca="1"/>
        <v>#NAME?</v>
      </c>
      <c r="M138" s="2" t="e">
        <f t="shared" ca="1" si="99"/>
        <v>#NAME?</v>
      </c>
      <c r="N138" s="2" t="e">
        <f ca="1"/>
        <v>#NAME?</v>
      </c>
      <c r="O138" s="2" t="e">
        <f t="shared" ca="1" si="100"/>
        <v>#NAME?</v>
      </c>
      <c r="P138" s="2" t="e">
        <f ca="1"/>
        <v>#NAME?</v>
      </c>
      <c r="Q138" s="2" t="e">
        <f t="shared" ca="1" si="101"/>
        <v>#NAME?</v>
      </c>
      <c r="R138" s="2" t="e">
        <f ca="1"/>
        <v>#NAME?</v>
      </c>
      <c r="S138" s="2" t="e">
        <f t="shared" ca="1" si="102"/>
        <v>#NAME?</v>
      </c>
      <c r="T138" s="2" t="e">
        <f ca="1"/>
        <v>#NAME?</v>
      </c>
      <c r="U138" s="2" t="e">
        <f t="shared" ca="1" si="103"/>
        <v>#NAME?</v>
      </c>
      <c r="V138" s="2" t="e">
        <f ca="1"/>
        <v>#NAME?</v>
      </c>
      <c r="W138" s="2" t="e">
        <f t="shared" ca="1" si="104"/>
        <v>#NAME?</v>
      </c>
      <c r="X138" s="2" t="e">
        <f ca="1"/>
        <v>#NAME?</v>
      </c>
      <c r="Y138" s="2" t="e">
        <f t="shared" ca="1" si="105"/>
        <v>#NAME?</v>
      </c>
      <c r="Z138" s="2" t="e">
        <f ca="1"/>
        <v>#NAME?</v>
      </c>
      <c r="AA138" s="2" t="e">
        <f t="shared" ca="1" si="106"/>
        <v>#NAME?</v>
      </c>
      <c r="AB138" s="2" t="e">
        <f ca="1"/>
        <v>#NAME?</v>
      </c>
      <c r="AC138" s="2" t="e">
        <f t="shared" ca="1" si="107"/>
        <v>#NAME?</v>
      </c>
      <c r="AD138" s="2" t="e">
        <f ca="1"/>
        <v>#NAME?</v>
      </c>
      <c r="AE138" s="2" t="e">
        <f t="shared" ca="1" si="108"/>
        <v>#NAME?</v>
      </c>
      <c r="AF138" s="2" t="e">
        <f ca="1"/>
        <v>#NAME?</v>
      </c>
      <c r="AG138" s="2" t="e">
        <f t="shared" ca="1" si="109"/>
        <v>#NAME?</v>
      </c>
      <c r="AH138" s="2" t="e">
        <f ca="1"/>
        <v>#NAME?</v>
      </c>
      <c r="AI138" s="2" t="e">
        <f t="shared" ca="1" si="110"/>
        <v>#NAME?</v>
      </c>
      <c r="AJ138" s="2" t="e">
        <f ca="1"/>
        <v>#NAME?</v>
      </c>
      <c r="AK138" s="2" t="e">
        <f t="shared" ca="1" si="111"/>
        <v>#NAME?</v>
      </c>
      <c r="AL138" s="2" t="e">
        <f ca="1"/>
        <v>#NAME?</v>
      </c>
      <c r="AM138" s="2" t="e">
        <f t="shared" ca="1" si="112"/>
        <v>#NAME?</v>
      </c>
      <c r="AN138" s="2" t="e">
        <f ca="1"/>
        <v>#NAME?</v>
      </c>
      <c r="AO138" s="2" t="e">
        <f t="shared" ca="1" si="113"/>
        <v>#NAME?</v>
      </c>
      <c r="AP138" s="2" t="e">
        <f ca="1"/>
        <v>#NAME?</v>
      </c>
      <c r="AQ138" s="2" t="e">
        <f t="shared" ca="1" si="114"/>
        <v>#NAME?</v>
      </c>
      <c r="AR138" s="2" t="e">
        <f ca="1"/>
        <v>#NAME?</v>
      </c>
      <c r="AS138" s="2" t="e">
        <f t="shared" ca="1" si="115"/>
        <v>#NAME?</v>
      </c>
      <c r="AT138" s="2" t="e">
        <f ca="1"/>
        <v>#NAME?</v>
      </c>
      <c r="AU138" s="2" t="e">
        <f t="shared" ca="1" si="116"/>
        <v>#NAME?</v>
      </c>
      <c r="AV138" s="2" t="e">
        <f ca="1"/>
        <v>#NAME?</v>
      </c>
      <c r="AW138" s="2" t="e">
        <f t="shared" ca="1" si="117"/>
        <v>#NAME?</v>
      </c>
      <c r="AX138" s="2" t="e">
        <f ca="1"/>
        <v>#NAME?</v>
      </c>
      <c r="AY138" s="2" t="e">
        <f t="shared" ca="1" si="118"/>
        <v>#NAME?</v>
      </c>
      <c r="AZ138" s="2" t="e">
        <f ca="1"/>
        <v>#NAME?</v>
      </c>
      <c r="BA138" s="2" t="e">
        <f t="shared" ca="1" si="119"/>
        <v>#NAME?</v>
      </c>
      <c r="BB138" s="2" t="e">
        <f ca="1"/>
        <v>#NAME?</v>
      </c>
      <c r="BC138" s="2" t="e">
        <f t="shared" ca="1" si="120"/>
        <v>#NAME?</v>
      </c>
      <c r="BD138" s="2" t="e">
        <f ca="1"/>
        <v>#NAME?</v>
      </c>
      <c r="BE138" s="2" t="e">
        <f t="shared" ca="1" si="121"/>
        <v>#NAME?</v>
      </c>
      <c r="BF138" s="2" t="e">
        <f ca="1"/>
        <v>#NAME?</v>
      </c>
      <c r="BG138" s="2" t="e">
        <f t="shared" ca="1" si="122"/>
        <v>#NAME?</v>
      </c>
      <c r="BH138" s="2" t="e">
        <f ca="1"/>
        <v>#NAME?</v>
      </c>
      <c r="BI138" s="2" t="e">
        <f t="shared" ca="1" si="123"/>
        <v>#NAME?</v>
      </c>
      <c r="BJ138" s="2" t="e">
        <f ca="1"/>
        <v>#NAME?</v>
      </c>
      <c r="BK138" s="2" t="e">
        <f t="shared" ca="1" si="124"/>
        <v>#NAME?</v>
      </c>
      <c r="BL138" s="2" t="e">
        <f ca="1"/>
        <v>#NAME?</v>
      </c>
      <c r="BM138" s="2" t="e">
        <f t="shared" ca="1" si="125"/>
        <v>#NAME?</v>
      </c>
      <c r="BN138" s="2" t="e">
        <f ca="1"/>
        <v>#NAME?</v>
      </c>
      <c r="BO138" s="2" t="e">
        <f t="shared" ca="1" si="126"/>
        <v>#NAME?</v>
      </c>
      <c r="BP138" s="2" t="e">
        <f ca="1"/>
        <v>#NAME?</v>
      </c>
      <c r="BQ138" s="2" t="e">
        <f t="shared" ca="1" si="127"/>
        <v>#NAME?</v>
      </c>
      <c r="BR138" s="2" t="e">
        <f ca="1"/>
        <v>#NAME?</v>
      </c>
      <c r="BS138" s="2" t="e">
        <f t="shared" ca="1" si="128"/>
        <v>#NAME?</v>
      </c>
      <c r="BT138" s="2" t="e">
        <f ca="1"/>
        <v>#NAME?</v>
      </c>
      <c r="BU138" s="2" t="e">
        <f t="shared" ca="1" si="129"/>
        <v>#NAME?</v>
      </c>
      <c r="BV138" s="2" t="e">
        <f ca="1"/>
        <v>#NAME?</v>
      </c>
      <c r="BW138" s="2" t="e">
        <f t="shared" ca="1" si="130"/>
        <v>#NAME?</v>
      </c>
      <c r="BX138" s="2" t="e">
        <f ca="1"/>
        <v>#NAME?</v>
      </c>
      <c r="BY138" s="2" t="e">
        <f t="shared" ca="1" si="131"/>
        <v>#NAME?</v>
      </c>
      <c r="BZ138" s="2" t="e">
        <f ca="1"/>
        <v>#NAME?</v>
      </c>
      <c r="CA138" s="2" t="e">
        <f t="shared" ca="1" si="132"/>
        <v>#NAME?</v>
      </c>
      <c r="CB138" s="2" t="e">
        <f ca="1"/>
        <v>#NAME?</v>
      </c>
      <c r="CC138" s="2" t="e">
        <f t="shared" ca="1" si="133"/>
        <v>#NAME?</v>
      </c>
      <c r="CD138" s="2" t="e">
        <f ca="1"/>
        <v>#NAME?</v>
      </c>
      <c r="CE138" s="2" t="e">
        <f t="shared" ca="1" si="134"/>
        <v>#NAME?</v>
      </c>
      <c r="CF138" s="2" t="e">
        <f ca="1"/>
        <v>#NAME?</v>
      </c>
      <c r="CG138" s="2" t="e">
        <f t="shared" ca="1" si="135"/>
        <v>#NAME?</v>
      </c>
      <c r="CH138" s="2" t="e">
        <f ca="1"/>
        <v>#NAME?</v>
      </c>
      <c r="CI138" s="2" t="e">
        <f t="shared" ca="1" si="136"/>
        <v>#NAME?</v>
      </c>
      <c r="CJ138" s="2" t="e">
        <f ca="1"/>
        <v>#NAME?</v>
      </c>
      <c r="CK138" s="2" t="e">
        <f t="shared" ca="1" si="137"/>
        <v>#NAME?</v>
      </c>
      <c r="CL138" s="2" t="e">
        <f ca="1"/>
        <v>#NAME?</v>
      </c>
      <c r="CM138" s="2" t="e">
        <f t="shared" ca="1" si="138"/>
        <v>#NAME?</v>
      </c>
      <c r="CN138" s="2" t="e">
        <f ca="1"/>
        <v>#NAME?</v>
      </c>
      <c r="CO138" s="2" t="e">
        <f t="shared" ca="1" si="139"/>
        <v>#NAME?</v>
      </c>
      <c r="CP138" s="2" t="e">
        <f ca="1"/>
        <v>#NAME?</v>
      </c>
      <c r="CQ138" s="2" t="e">
        <f t="shared" ca="1" si="140"/>
        <v>#NAME?</v>
      </c>
    </row>
    <row r="139" spans="1:95">
      <c r="A139" s="7" t="e">
        <f ca="1"/>
        <v>#NAME?</v>
      </c>
      <c r="B139" s="2" t="e">
        <f ca="1"/>
        <v>#NAME?</v>
      </c>
      <c r="C139" s="2" t="e">
        <f t="shared" ca="1" si="94"/>
        <v>#NAME?</v>
      </c>
      <c r="D139" s="2" t="e">
        <f ca="1"/>
        <v>#NAME?</v>
      </c>
      <c r="E139" s="2" t="e">
        <f t="shared" ca="1" si="95"/>
        <v>#NAME?</v>
      </c>
      <c r="F139" s="2" t="e">
        <f ca="1"/>
        <v>#NAME?</v>
      </c>
      <c r="G139" s="2" t="e">
        <f t="shared" ca="1" si="96"/>
        <v>#NAME?</v>
      </c>
      <c r="H139" s="2" t="e">
        <f ca="1"/>
        <v>#NAME?</v>
      </c>
      <c r="I139" s="2" t="e">
        <f t="shared" ca="1" si="97"/>
        <v>#NAME?</v>
      </c>
      <c r="J139" s="2" t="e">
        <f ca="1"/>
        <v>#NAME?</v>
      </c>
      <c r="K139" s="2" t="e">
        <f t="shared" ca="1" si="98"/>
        <v>#NAME?</v>
      </c>
      <c r="L139" s="2" t="e">
        <f ca="1"/>
        <v>#NAME?</v>
      </c>
      <c r="M139" s="2" t="e">
        <f t="shared" ca="1" si="99"/>
        <v>#NAME?</v>
      </c>
      <c r="N139" s="2" t="e">
        <f ca="1"/>
        <v>#NAME?</v>
      </c>
      <c r="O139" s="2" t="e">
        <f t="shared" ca="1" si="100"/>
        <v>#NAME?</v>
      </c>
      <c r="P139" s="2" t="e">
        <f ca="1"/>
        <v>#NAME?</v>
      </c>
      <c r="Q139" s="2" t="e">
        <f t="shared" ca="1" si="101"/>
        <v>#NAME?</v>
      </c>
      <c r="R139" s="2" t="e">
        <f ca="1"/>
        <v>#NAME?</v>
      </c>
      <c r="S139" s="2" t="e">
        <f t="shared" ca="1" si="102"/>
        <v>#NAME?</v>
      </c>
      <c r="T139" s="2" t="e">
        <f ca="1"/>
        <v>#NAME?</v>
      </c>
      <c r="U139" s="2" t="e">
        <f t="shared" ca="1" si="103"/>
        <v>#NAME?</v>
      </c>
      <c r="V139" s="2" t="e">
        <f ca="1"/>
        <v>#NAME?</v>
      </c>
      <c r="W139" s="2" t="e">
        <f t="shared" ca="1" si="104"/>
        <v>#NAME?</v>
      </c>
      <c r="X139" s="2" t="e">
        <f ca="1"/>
        <v>#NAME?</v>
      </c>
      <c r="Y139" s="2" t="e">
        <f t="shared" ca="1" si="105"/>
        <v>#NAME?</v>
      </c>
      <c r="Z139" s="2" t="e">
        <f ca="1"/>
        <v>#NAME?</v>
      </c>
      <c r="AA139" s="2" t="e">
        <f t="shared" ca="1" si="106"/>
        <v>#NAME?</v>
      </c>
      <c r="AB139" s="2" t="e">
        <f ca="1"/>
        <v>#NAME?</v>
      </c>
      <c r="AC139" s="2" t="e">
        <f t="shared" ca="1" si="107"/>
        <v>#NAME?</v>
      </c>
      <c r="AD139" s="2" t="e">
        <f ca="1"/>
        <v>#NAME?</v>
      </c>
      <c r="AE139" s="2" t="e">
        <f t="shared" ca="1" si="108"/>
        <v>#NAME?</v>
      </c>
      <c r="AF139" s="2" t="e">
        <f ca="1"/>
        <v>#NAME?</v>
      </c>
      <c r="AG139" s="2" t="e">
        <f t="shared" ca="1" si="109"/>
        <v>#NAME?</v>
      </c>
      <c r="AH139" s="2" t="e">
        <f ca="1"/>
        <v>#NAME?</v>
      </c>
      <c r="AI139" s="2" t="e">
        <f t="shared" ca="1" si="110"/>
        <v>#NAME?</v>
      </c>
      <c r="AJ139" s="2" t="e">
        <f ca="1"/>
        <v>#NAME?</v>
      </c>
      <c r="AK139" s="2" t="e">
        <f t="shared" ca="1" si="111"/>
        <v>#NAME?</v>
      </c>
      <c r="AL139" s="2" t="e">
        <f ca="1"/>
        <v>#NAME?</v>
      </c>
      <c r="AM139" s="2" t="e">
        <f t="shared" ca="1" si="112"/>
        <v>#NAME?</v>
      </c>
      <c r="AN139" s="2" t="e">
        <f ca="1"/>
        <v>#NAME?</v>
      </c>
      <c r="AO139" s="2" t="e">
        <f t="shared" ca="1" si="113"/>
        <v>#NAME?</v>
      </c>
      <c r="AP139" s="2" t="e">
        <f ca="1"/>
        <v>#NAME?</v>
      </c>
      <c r="AQ139" s="2" t="e">
        <f t="shared" ca="1" si="114"/>
        <v>#NAME?</v>
      </c>
      <c r="AR139" s="2" t="e">
        <f ca="1"/>
        <v>#NAME?</v>
      </c>
      <c r="AS139" s="2" t="e">
        <f t="shared" ca="1" si="115"/>
        <v>#NAME?</v>
      </c>
      <c r="AT139" s="2" t="e">
        <f ca="1"/>
        <v>#NAME?</v>
      </c>
      <c r="AU139" s="2" t="e">
        <f t="shared" ca="1" si="116"/>
        <v>#NAME?</v>
      </c>
      <c r="AV139" s="2" t="e">
        <f ca="1"/>
        <v>#NAME?</v>
      </c>
      <c r="AW139" s="2" t="e">
        <f t="shared" ca="1" si="117"/>
        <v>#NAME?</v>
      </c>
      <c r="AX139" s="2" t="e">
        <f ca="1"/>
        <v>#NAME?</v>
      </c>
      <c r="AY139" s="2" t="e">
        <f t="shared" ca="1" si="118"/>
        <v>#NAME?</v>
      </c>
      <c r="AZ139" s="2" t="e">
        <f ca="1"/>
        <v>#NAME?</v>
      </c>
      <c r="BA139" s="2" t="e">
        <f t="shared" ca="1" si="119"/>
        <v>#NAME?</v>
      </c>
      <c r="BB139" s="2" t="e">
        <f ca="1"/>
        <v>#NAME?</v>
      </c>
      <c r="BC139" s="2" t="e">
        <f t="shared" ca="1" si="120"/>
        <v>#NAME?</v>
      </c>
      <c r="BD139" s="2" t="e">
        <f ca="1"/>
        <v>#NAME?</v>
      </c>
      <c r="BE139" s="2" t="e">
        <f t="shared" ca="1" si="121"/>
        <v>#NAME?</v>
      </c>
      <c r="BF139" s="2" t="e">
        <f ca="1"/>
        <v>#NAME?</v>
      </c>
      <c r="BG139" s="2" t="e">
        <f t="shared" ca="1" si="122"/>
        <v>#NAME?</v>
      </c>
      <c r="BH139" s="2" t="e">
        <f ca="1"/>
        <v>#NAME?</v>
      </c>
      <c r="BI139" s="2" t="e">
        <f t="shared" ca="1" si="123"/>
        <v>#NAME?</v>
      </c>
      <c r="BJ139" s="2" t="e">
        <f ca="1"/>
        <v>#NAME?</v>
      </c>
      <c r="BK139" s="2" t="e">
        <f t="shared" ca="1" si="124"/>
        <v>#NAME?</v>
      </c>
      <c r="BL139" s="2" t="e">
        <f ca="1"/>
        <v>#NAME?</v>
      </c>
      <c r="BM139" s="2" t="e">
        <f t="shared" ca="1" si="125"/>
        <v>#NAME?</v>
      </c>
      <c r="BN139" s="2" t="e">
        <f ca="1"/>
        <v>#NAME?</v>
      </c>
      <c r="BO139" s="2" t="e">
        <f t="shared" ca="1" si="126"/>
        <v>#NAME?</v>
      </c>
      <c r="BP139" s="2" t="e">
        <f ca="1"/>
        <v>#NAME?</v>
      </c>
      <c r="BQ139" s="2" t="e">
        <f t="shared" ca="1" si="127"/>
        <v>#NAME?</v>
      </c>
      <c r="BR139" s="2" t="e">
        <f ca="1"/>
        <v>#NAME?</v>
      </c>
      <c r="BS139" s="2" t="e">
        <f t="shared" ca="1" si="128"/>
        <v>#NAME?</v>
      </c>
      <c r="BT139" s="2" t="e">
        <f ca="1"/>
        <v>#NAME?</v>
      </c>
      <c r="BU139" s="2" t="e">
        <f t="shared" ca="1" si="129"/>
        <v>#NAME?</v>
      </c>
      <c r="BV139" s="2" t="e">
        <f ca="1"/>
        <v>#NAME?</v>
      </c>
      <c r="BW139" s="2" t="e">
        <f t="shared" ca="1" si="130"/>
        <v>#NAME?</v>
      </c>
      <c r="BX139" s="2" t="e">
        <f ca="1"/>
        <v>#NAME?</v>
      </c>
      <c r="BY139" s="2" t="e">
        <f t="shared" ca="1" si="131"/>
        <v>#NAME?</v>
      </c>
      <c r="BZ139" s="2" t="e">
        <f ca="1"/>
        <v>#NAME?</v>
      </c>
      <c r="CA139" s="2" t="e">
        <f t="shared" ca="1" si="132"/>
        <v>#NAME?</v>
      </c>
      <c r="CB139" s="2" t="e">
        <f ca="1"/>
        <v>#NAME?</v>
      </c>
      <c r="CC139" s="2" t="e">
        <f t="shared" ca="1" si="133"/>
        <v>#NAME?</v>
      </c>
      <c r="CD139" s="2" t="e">
        <f ca="1"/>
        <v>#NAME?</v>
      </c>
      <c r="CE139" s="2" t="e">
        <f t="shared" ca="1" si="134"/>
        <v>#NAME?</v>
      </c>
      <c r="CF139" s="2" t="e">
        <f ca="1"/>
        <v>#NAME?</v>
      </c>
      <c r="CG139" s="2" t="e">
        <f t="shared" ca="1" si="135"/>
        <v>#NAME?</v>
      </c>
      <c r="CH139" s="2" t="e">
        <f ca="1"/>
        <v>#NAME?</v>
      </c>
      <c r="CI139" s="2" t="e">
        <f t="shared" ca="1" si="136"/>
        <v>#NAME?</v>
      </c>
      <c r="CJ139" s="2" t="e">
        <f ca="1"/>
        <v>#NAME?</v>
      </c>
      <c r="CK139" s="2" t="e">
        <f t="shared" ca="1" si="137"/>
        <v>#NAME?</v>
      </c>
      <c r="CL139" s="2" t="e">
        <f ca="1"/>
        <v>#NAME?</v>
      </c>
      <c r="CM139" s="2" t="e">
        <f t="shared" ca="1" si="138"/>
        <v>#NAME?</v>
      </c>
      <c r="CN139" s="2" t="e">
        <f ca="1"/>
        <v>#NAME?</v>
      </c>
      <c r="CO139" s="2" t="e">
        <f t="shared" ca="1" si="139"/>
        <v>#NAME?</v>
      </c>
      <c r="CP139" s="2" t="e">
        <f ca="1"/>
        <v>#NAME?</v>
      </c>
      <c r="CQ139" s="2" t="e">
        <f t="shared" ca="1" si="140"/>
        <v>#NAME?</v>
      </c>
    </row>
    <row r="140" spans="1:95">
      <c r="A140" s="7" t="e">
        <f ca="1"/>
        <v>#NAME?</v>
      </c>
      <c r="B140" s="2" t="e">
        <f ca="1"/>
        <v>#NAME?</v>
      </c>
      <c r="C140" s="2" t="e">
        <f t="shared" ca="1" si="94"/>
        <v>#NAME?</v>
      </c>
      <c r="D140" s="2" t="e">
        <f ca="1"/>
        <v>#NAME?</v>
      </c>
      <c r="E140" s="2" t="e">
        <f t="shared" ca="1" si="95"/>
        <v>#NAME?</v>
      </c>
      <c r="F140" s="2" t="e">
        <f ca="1"/>
        <v>#NAME?</v>
      </c>
      <c r="G140" s="2" t="e">
        <f t="shared" ca="1" si="96"/>
        <v>#NAME?</v>
      </c>
      <c r="H140" s="2" t="e">
        <f ca="1"/>
        <v>#NAME?</v>
      </c>
      <c r="I140" s="2" t="e">
        <f t="shared" ca="1" si="97"/>
        <v>#NAME?</v>
      </c>
      <c r="J140" s="2" t="e">
        <f ca="1"/>
        <v>#NAME?</v>
      </c>
      <c r="K140" s="2" t="e">
        <f t="shared" ca="1" si="98"/>
        <v>#NAME?</v>
      </c>
      <c r="L140" s="2" t="e">
        <f ca="1"/>
        <v>#NAME?</v>
      </c>
      <c r="M140" s="2" t="e">
        <f t="shared" ca="1" si="99"/>
        <v>#NAME?</v>
      </c>
      <c r="N140" s="2" t="e">
        <f ca="1"/>
        <v>#NAME?</v>
      </c>
      <c r="O140" s="2" t="e">
        <f t="shared" ca="1" si="100"/>
        <v>#NAME?</v>
      </c>
      <c r="P140" s="2" t="e">
        <f ca="1"/>
        <v>#NAME?</v>
      </c>
      <c r="Q140" s="2" t="e">
        <f t="shared" ca="1" si="101"/>
        <v>#NAME?</v>
      </c>
      <c r="R140" s="2" t="e">
        <f ca="1"/>
        <v>#NAME?</v>
      </c>
      <c r="S140" s="2" t="e">
        <f t="shared" ca="1" si="102"/>
        <v>#NAME?</v>
      </c>
      <c r="T140" s="2" t="e">
        <f ca="1"/>
        <v>#NAME?</v>
      </c>
      <c r="U140" s="2" t="e">
        <f t="shared" ca="1" si="103"/>
        <v>#NAME?</v>
      </c>
      <c r="V140" s="2" t="e">
        <f ca="1"/>
        <v>#NAME?</v>
      </c>
      <c r="W140" s="2" t="e">
        <f t="shared" ca="1" si="104"/>
        <v>#NAME?</v>
      </c>
      <c r="X140" s="2" t="e">
        <f ca="1"/>
        <v>#NAME?</v>
      </c>
      <c r="Y140" s="2" t="e">
        <f t="shared" ca="1" si="105"/>
        <v>#NAME?</v>
      </c>
      <c r="Z140" s="2" t="e">
        <f ca="1"/>
        <v>#NAME?</v>
      </c>
      <c r="AA140" s="2" t="e">
        <f t="shared" ca="1" si="106"/>
        <v>#NAME?</v>
      </c>
      <c r="AB140" s="2" t="e">
        <f ca="1"/>
        <v>#NAME?</v>
      </c>
      <c r="AC140" s="2" t="e">
        <f t="shared" ca="1" si="107"/>
        <v>#NAME?</v>
      </c>
      <c r="AD140" s="2" t="e">
        <f ca="1"/>
        <v>#NAME?</v>
      </c>
      <c r="AE140" s="2" t="e">
        <f t="shared" ca="1" si="108"/>
        <v>#NAME?</v>
      </c>
      <c r="AF140" s="2" t="e">
        <f ca="1"/>
        <v>#NAME?</v>
      </c>
      <c r="AG140" s="2" t="e">
        <f t="shared" ca="1" si="109"/>
        <v>#NAME?</v>
      </c>
      <c r="AH140" s="2" t="e">
        <f ca="1"/>
        <v>#NAME?</v>
      </c>
      <c r="AI140" s="2" t="e">
        <f t="shared" ca="1" si="110"/>
        <v>#NAME?</v>
      </c>
      <c r="AJ140" s="2" t="e">
        <f ca="1"/>
        <v>#NAME?</v>
      </c>
      <c r="AK140" s="2" t="e">
        <f t="shared" ca="1" si="111"/>
        <v>#NAME?</v>
      </c>
      <c r="AL140" s="2" t="e">
        <f ca="1"/>
        <v>#NAME?</v>
      </c>
      <c r="AM140" s="2" t="e">
        <f t="shared" ca="1" si="112"/>
        <v>#NAME?</v>
      </c>
      <c r="AN140" s="2" t="e">
        <f ca="1"/>
        <v>#NAME?</v>
      </c>
      <c r="AO140" s="2" t="e">
        <f t="shared" ca="1" si="113"/>
        <v>#NAME?</v>
      </c>
      <c r="AP140" s="2" t="e">
        <f ca="1"/>
        <v>#NAME?</v>
      </c>
      <c r="AQ140" s="2" t="e">
        <f t="shared" ca="1" si="114"/>
        <v>#NAME?</v>
      </c>
      <c r="AR140" s="2" t="e">
        <f ca="1"/>
        <v>#NAME?</v>
      </c>
      <c r="AS140" s="2" t="e">
        <f t="shared" ca="1" si="115"/>
        <v>#NAME?</v>
      </c>
      <c r="AT140" s="2" t="e">
        <f ca="1"/>
        <v>#NAME?</v>
      </c>
      <c r="AU140" s="2" t="e">
        <f t="shared" ca="1" si="116"/>
        <v>#NAME?</v>
      </c>
      <c r="AV140" s="2" t="e">
        <f ca="1"/>
        <v>#NAME?</v>
      </c>
      <c r="AW140" s="2" t="e">
        <f t="shared" ca="1" si="117"/>
        <v>#NAME?</v>
      </c>
      <c r="AX140" s="2" t="e">
        <f ca="1"/>
        <v>#NAME?</v>
      </c>
      <c r="AY140" s="2" t="e">
        <f t="shared" ca="1" si="118"/>
        <v>#NAME?</v>
      </c>
      <c r="AZ140" s="2" t="e">
        <f ca="1"/>
        <v>#NAME?</v>
      </c>
      <c r="BA140" s="2" t="e">
        <f t="shared" ca="1" si="119"/>
        <v>#NAME?</v>
      </c>
      <c r="BB140" s="2" t="e">
        <f ca="1"/>
        <v>#NAME?</v>
      </c>
      <c r="BC140" s="2" t="e">
        <f t="shared" ca="1" si="120"/>
        <v>#NAME?</v>
      </c>
      <c r="BD140" s="2" t="e">
        <f ca="1"/>
        <v>#NAME?</v>
      </c>
      <c r="BE140" s="2" t="e">
        <f t="shared" ca="1" si="121"/>
        <v>#NAME?</v>
      </c>
      <c r="BF140" s="2" t="e">
        <f ca="1"/>
        <v>#NAME?</v>
      </c>
      <c r="BG140" s="2" t="e">
        <f t="shared" ca="1" si="122"/>
        <v>#NAME?</v>
      </c>
      <c r="BH140" s="2" t="e">
        <f ca="1"/>
        <v>#NAME?</v>
      </c>
      <c r="BI140" s="2" t="e">
        <f t="shared" ca="1" si="123"/>
        <v>#NAME?</v>
      </c>
      <c r="BJ140" s="2" t="e">
        <f ca="1"/>
        <v>#NAME?</v>
      </c>
      <c r="BK140" s="2" t="e">
        <f t="shared" ca="1" si="124"/>
        <v>#NAME?</v>
      </c>
      <c r="BL140" s="2" t="e">
        <f ca="1"/>
        <v>#NAME?</v>
      </c>
      <c r="BM140" s="2" t="e">
        <f t="shared" ca="1" si="125"/>
        <v>#NAME?</v>
      </c>
      <c r="BN140" s="2" t="e">
        <f ca="1"/>
        <v>#NAME?</v>
      </c>
      <c r="BO140" s="2" t="e">
        <f t="shared" ca="1" si="126"/>
        <v>#NAME?</v>
      </c>
      <c r="BP140" s="2" t="e">
        <f ca="1"/>
        <v>#NAME?</v>
      </c>
      <c r="BQ140" s="2" t="e">
        <f t="shared" ca="1" si="127"/>
        <v>#NAME?</v>
      </c>
      <c r="BR140" s="2" t="e">
        <f ca="1"/>
        <v>#NAME?</v>
      </c>
      <c r="BS140" s="2" t="e">
        <f t="shared" ca="1" si="128"/>
        <v>#NAME?</v>
      </c>
      <c r="BT140" s="2" t="e">
        <f ca="1"/>
        <v>#NAME?</v>
      </c>
      <c r="BU140" s="2" t="e">
        <f t="shared" ca="1" si="129"/>
        <v>#NAME?</v>
      </c>
      <c r="BV140" s="2" t="e">
        <f ca="1"/>
        <v>#NAME?</v>
      </c>
      <c r="BW140" s="2" t="e">
        <f t="shared" ca="1" si="130"/>
        <v>#NAME?</v>
      </c>
      <c r="BX140" s="2" t="e">
        <f ca="1"/>
        <v>#NAME?</v>
      </c>
      <c r="BY140" s="2" t="e">
        <f t="shared" ca="1" si="131"/>
        <v>#NAME?</v>
      </c>
      <c r="BZ140" s="2" t="e">
        <f ca="1"/>
        <v>#NAME?</v>
      </c>
      <c r="CA140" s="2" t="e">
        <f t="shared" ca="1" si="132"/>
        <v>#NAME?</v>
      </c>
      <c r="CB140" s="2" t="e">
        <f ca="1"/>
        <v>#NAME?</v>
      </c>
      <c r="CC140" s="2" t="e">
        <f t="shared" ca="1" si="133"/>
        <v>#NAME?</v>
      </c>
      <c r="CD140" s="2" t="e">
        <f ca="1"/>
        <v>#NAME?</v>
      </c>
      <c r="CE140" s="2" t="e">
        <f t="shared" ca="1" si="134"/>
        <v>#NAME?</v>
      </c>
      <c r="CF140" s="2" t="e">
        <f ca="1"/>
        <v>#NAME?</v>
      </c>
      <c r="CG140" s="2" t="e">
        <f t="shared" ca="1" si="135"/>
        <v>#NAME?</v>
      </c>
      <c r="CH140" s="2" t="e">
        <f ca="1"/>
        <v>#NAME?</v>
      </c>
      <c r="CI140" s="2" t="e">
        <f t="shared" ca="1" si="136"/>
        <v>#NAME?</v>
      </c>
      <c r="CJ140" s="2" t="e">
        <f ca="1"/>
        <v>#NAME?</v>
      </c>
      <c r="CK140" s="2" t="e">
        <f t="shared" ca="1" si="137"/>
        <v>#NAME?</v>
      </c>
      <c r="CL140" s="2" t="e">
        <f ca="1"/>
        <v>#NAME?</v>
      </c>
      <c r="CM140" s="2" t="e">
        <f t="shared" ca="1" si="138"/>
        <v>#NAME?</v>
      </c>
      <c r="CN140" s="2" t="e">
        <f ca="1"/>
        <v>#NAME?</v>
      </c>
      <c r="CO140" s="2" t="e">
        <f t="shared" ca="1" si="139"/>
        <v>#NAME?</v>
      </c>
      <c r="CP140" s="2" t="e">
        <f ca="1"/>
        <v>#NAME?</v>
      </c>
      <c r="CQ140" s="2" t="e">
        <f t="shared" ca="1" si="140"/>
        <v>#NAME?</v>
      </c>
    </row>
    <row r="141" spans="1:95">
      <c r="A141" s="7" t="e">
        <f ca="1"/>
        <v>#NAME?</v>
      </c>
      <c r="B141" s="2" t="e">
        <f ca="1"/>
        <v>#NAME?</v>
      </c>
      <c r="C141" s="2" t="e">
        <f t="shared" ca="1" si="94"/>
        <v>#NAME?</v>
      </c>
      <c r="D141" s="2" t="e">
        <f ca="1"/>
        <v>#NAME?</v>
      </c>
      <c r="E141" s="2" t="e">
        <f t="shared" ca="1" si="95"/>
        <v>#NAME?</v>
      </c>
      <c r="F141" s="2" t="e">
        <f ca="1"/>
        <v>#NAME?</v>
      </c>
      <c r="G141" s="2" t="e">
        <f t="shared" ca="1" si="96"/>
        <v>#NAME?</v>
      </c>
      <c r="H141" s="2" t="e">
        <f ca="1"/>
        <v>#NAME?</v>
      </c>
      <c r="I141" s="2" t="e">
        <f t="shared" ca="1" si="97"/>
        <v>#NAME?</v>
      </c>
      <c r="J141" s="2" t="e">
        <f ca="1"/>
        <v>#NAME?</v>
      </c>
      <c r="K141" s="2" t="e">
        <f t="shared" ca="1" si="98"/>
        <v>#NAME?</v>
      </c>
      <c r="L141" s="2" t="e">
        <f ca="1"/>
        <v>#NAME?</v>
      </c>
      <c r="M141" s="2" t="e">
        <f t="shared" ca="1" si="99"/>
        <v>#NAME?</v>
      </c>
      <c r="N141" s="2" t="e">
        <f ca="1"/>
        <v>#NAME?</v>
      </c>
      <c r="O141" s="2" t="e">
        <f t="shared" ca="1" si="100"/>
        <v>#NAME?</v>
      </c>
      <c r="P141" s="2" t="e">
        <f ca="1"/>
        <v>#NAME?</v>
      </c>
      <c r="Q141" s="2" t="e">
        <f t="shared" ca="1" si="101"/>
        <v>#NAME?</v>
      </c>
      <c r="R141" s="2" t="e">
        <f ca="1"/>
        <v>#NAME?</v>
      </c>
      <c r="S141" s="2" t="e">
        <f t="shared" ca="1" si="102"/>
        <v>#NAME?</v>
      </c>
      <c r="T141" s="2" t="e">
        <f ca="1"/>
        <v>#NAME?</v>
      </c>
      <c r="U141" s="2" t="e">
        <f t="shared" ca="1" si="103"/>
        <v>#NAME?</v>
      </c>
      <c r="V141" s="2" t="e">
        <f ca="1"/>
        <v>#NAME?</v>
      </c>
      <c r="W141" s="2" t="e">
        <f t="shared" ca="1" si="104"/>
        <v>#NAME?</v>
      </c>
      <c r="X141" s="2" t="e">
        <f ca="1"/>
        <v>#NAME?</v>
      </c>
      <c r="Y141" s="2" t="e">
        <f t="shared" ca="1" si="105"/>
        <v>#NAME?</v>
      </c>
      <c r="Z141" s="2" t="e">
        <f ca="1"/>
        <v>#NAME?</v>
      </c>
      <c r="AA141" s="2" t="e">
        <f t="shared" ca="1" si="106"/>
        <v>#NAME?</v>
      </c>
      <c r="AB141" s="2" t="e">
        <f ca="1"/>
        <v>#NAME?</v>
      </c>
      <c r="AC141" s="2" t="e">
        <f t="shared" ca="1" si="107"/>
        <v>#NAME?</v>
      </c>
      <c r="AD141" s="2" t="e">
        <f ca="1"/>
        <v>#NAME?</v>
      </c>
      <c r="AE141" s="2" t="e">
        <f t="shared" ca="1" si="108"/>
        <v>#NAME?</v>
      </c>
      <c r="AF141" s="2" t="e">
        <f ca="1"/>
        <v>#NAME?</v>
      </c>
      <c r="AG141" s="2" t="e">
        <f t="shared" ca="1" si="109"/>
        <v>#NAME?</v>
      </c>
      <c r="AH141" s="2" t="e">
        <f ca="1"/>
        <v>#NAME?</v>
      </c>
      <c r="AI141" s="2" t="e">
        <f t="shared" ca="1" si="110"/>
        <v>#NAME?</v>
      </c>
      <c r="AJ141" s="2" t="e">
        <f ca="1"/>
        <v>#NAME?</v>
      </c>
      <c r="AK141" s="2" t="e">
        <f t="shared" ca="1" si="111"/>
        <v>#NAME?</v>
      </c>
      <c r="AL141" s="2" t="e">
        <f ca="1"/>
        <v>#NAME?</v>
      </c>
      <c r="AM141" s="2" t="e">
        <f t="shared" ca="1" si="112"/>
        <v>#NAME?</v>
      </c>
      <c r="AN141" s="2" t="e">
        <f ca="1"/>
        <v>#NAME?</v>
      </c>
      <c r="AO141" s="2" t="e">
        <f t="shared" ca="1" si="113"/>
        <v>#NAME?</v>
      </c>
      <c r="AP141" s="2" t="e">
        <f ca="1"/>
        <v>#NAME?</v>
      </c>
      <c r="AQ141" s="2" t="e">
        <f t="shared" ca="1" si="114"/>
        <v>#NAME?</v>
      </c>
      <c r="AR141" s="2" t="e">
        <f ca="1"/>
        <v>#NAME?</v>
      </c>
      <c r="AS141" s="2" t="e">
        <f t="shared" ca="1" si="115"/>
        <v>#NAME?</v>
      </c>
      <c r="AT141" s="2" t="e">
        <f ca="1"/>
        <v>#NAME?</v>
      </c>
      <c r="AU141" s="2" t="e">
        <f t="shared" ca="1" si="116"/>
        <v>#NAME?</v>
      </c>
      <c r="AV141" s="2" t="e">
        <f ca="1"/>
        <v>#NAME?</v>
      </c>
      <c r="AW141" s="2" t="e">
        <f t="shared" ca="1" si="117"/>
        <v>#NAME?</v>
      </c>
      <c r="AX141" s="2" t="e">
        <f ca="1"/>
        <v>#NAME?</v>
      </c>
      <c r="AY141" s="2" t="e">
        <f t="shared" ca="1" si="118"/>
        <v>#NAME?</v>
      </c>
      <c r="AZ141" s="2" t="e">
        <f ca="1"/>
        <v>#NAME?</v>
      </c>
      <c r="BA141" s="2" t="e">
        <f t="shared" ca="1" si="119"/>
        <v>#NAME?</v>
      </c>
      <c r="BB141" s="2" t="e">
        <f ca="1"/>
        <v>#NAME?</v>
      </c>
      <c r="BC141" s="2" t="e">
        <f t="shared" ca="1" si="120"/>
        <v>#NAME?</v>
      </c>
      <c r="BD141" s="2" t="e">
        <f ca="1"/>
        <v>#NAME?</v>
      </c>
      <c r="BE141" s="2" t="e">
        <f t="shared" ca="1" si="121"/>
        <v>#NAME?</v>
      </c>
      <c r="BF141" s="2" t="e">
        <f ca="1"/>
        <v>#NAME?</v>
      </c>
      <c r="BG141" s="2" t="e">
        <f t="shared" ca="1" si="122"/>
        <v>#NAME?</v>
      </c>
      <c r="BH141" s="2" t="e">
        <f ca="1"/>
        <v>#NAME?</v>
      </c>
      <c r="BI141" s="2" t="e">
        <f t="shared" ca="1" si="123"/>
        <v>#NAME?</v>
      </c>
      <c r="BJ141" s="2" t="e">
        <f ca="1"/>
        <v>#NAME?</v>
      </c>
      <c r="BK141" s="2" t="e">
        <f t="shared" ca="1" si="124"/>
        <v>#NAME?</v>
      </c>
      <c r="BL141" s="2" t="e">
        <f ca="1"/>
        <v>#NAME?</v>
      </c>
      <c r="BM141" s="2" t="e">
        <f t="shared" ca="1" si="125"/>
        <v>#NAME?</v>
      </c>
      <c r="BN141" s="2" t="e">
        <f ca="1"/>
        <v>#NAME?</v>
      </c>
      <c r="BO141" s="2" t="e">
        <f t="shared" ca="1" si="126"/>
        <v>#NAME?</v>
      </c>
      <c r="BP141" s="2" t="e">
        <f ca="1"/>
        <v>#NAME?</v>
      </c>
      <c r="BQ141" s="2" t="e">
        <f t="shared" ca="1" si="127"/>
        <v>#NAME?</v>
      </c>
      <c r="BR141" s="2" t="e">
        <f ca="1"/>
        <v>#NAME?</v>
      </c>
      <c r="BS141" s="2" t="e">
        <f t="shared" ca="1" si="128"/>
        <v>#NAME?</v>
      </c>
      <c r="BT141" s="2" t="e">
        <f ca="1"/>
        <v>#NAME?</v>
      </c>
      <c r="BU141" s="2" t="e">
        <f t="shared" ca="1" si="129"/>
        <v>#NAME?</v>
      </c>
      <c r="BV141" s="2" t="e">
        <f ca="1"/>
        <v>#NAME?</v>
      </c>
      <c r="BW141" s="2" t="e">
        <f t="shared" ca="1" si="130"/>
        <v>#NAME?</v>
      </c>
      <c r="BX141" s="2" t="e">
        <f ca="1"/>
        <v>#NAME?</v>
      </c>
      <c r="BY141" s="2" t="e">
        <f t="shared" ca="1" si="131"/>
        <v>#NAME?</v>
      </c>
      <c r="BZ141" s="2" t="e">
        <f ca="1"/>
        <v>#NAME?</v>
      </c>
      <c r="CA141" s="2" t="e">
        <f t="shared" ca="1" si="132"/>
        <v>#NAME?</v>
      </c>
      <c r="CB141" s="2" t="e">
        <f ca="1"/>
        <v>#NAME?</v>
      </c>
      <c r="CC141" s="2" t="e">
        <f t="shared" ca="1" si="133"/>
        <v>#NAME?</v>
      </c>
      <c r="CD141" s="2" t="e">
        <f ca="1"/>
        <v>#NAME?</v>
      </c>
      <c r="CE141" s="2" t="e">
        <f t="shared" ca="1" si="134"/>
        <v>#NAME?</v>
      </c>
      <c r="CF141" s="2" t="e">
        <f ca="1"/>
        <v>#NAME?</v>
      </c>
      <c r="CG141" s="2" t="e">
        <f t="shared" ca="1" si="135"/>
        <v>#NAME?</v>
      </c>
      <c r="CH141" s="2" t="e">
        <f ca="1"/>
        <v>#NAME?</v>
      </c>
      <c r="CI141" s="2" t="e">
        <f t="shared" ca="1" si="136"/>
        <v>#NAME?</v>
      </c>
      <c r="CJ141" s="2" t="e">
        <f ca="1"/>
        <v>#NAME?</v>
      </c>
      <c r="CK141" s="2" t="e">
        <f t="shared" ca="1" si="137"/>
        <v>#NAME?</v>
      </c>
      <c r="CL141" s="2" t="e">
        <f ca="1"/>
        <v>#NAME?</v>
      </c>
      <c r="CM141" s="2" t="e">
        <f t="shared" ca="1" si="138"/>
        <v>#NAME?</v>
      </c>
      <c r="CN141" s="2" t="e">
        <f ca="1"/>
        <v>#NAME?</v>
      </c>
      <c r="CO141" s="2" t="e">
        <f t="shared" ca="1" si="139"/>
        <v>#NAME?</v>
      </c>
      <c r="CP141" s="2" t="e">
        <f ca="1"/>
        <v>#NAME?</v>
      </c>
      <c r="CQ141" s="2" t="e">
        <f t="shared" ca="1" si="140"/>
        <v>#NAME?</v>
      </c>
    </row>
    <row r="142" spans="1:95">
      <c r="A142" s="7" t="e">
        <f ca="1"/>
        <v>#NAME?</v>
      </c>
      <c r="B142" s="2" t="e">
        <f ca="1"/>
        <v>#NAME?</v>
      </c>
      <c r="C142" s="2" t="e">
        <f t="shared" ca="1" si="94"/>
        <v>#NAME?</v>
      </c>
      <c r="D142" s="2" t="e">
        <f ca="1"/>
        <v>#NAME?</v>
      </c>
      <c r="E142" s="2" t="e">
        <f t="shared" ca="1" si="95"/>
        <v>#NAME?</v>
      </c>
      <c r="F142" s="2" t="e">
        <f ca="1"/>
        <v>#NAME?</v>
      </c>
      <c r="G142" s="2" t="e">
        <f t="shared" ca="1" si="96"/>
        <v>#NAME?</v>
      </c>
      <c r="H142" s="2" t="e">
        <f ca="1"/>
        <v>#NAME?</v>
      </c>
      <c r="I142" s="2" t="e">
        <f t="shared" ca="1" si="97"/>
        <v>#NAME?</v>
      </c>
      <c r="J142" s="2" t="e">
        <f ca="1"/>
        <v>#NAME?</v>
      </c>
      <c r="K142" s="2" t="e">
        <f t="shared" ca="1" si="98"/>
        <v>#NAME?</v>
      </c>
      <c r="L142" s="2" t="e">
        <f ca="1"/>
        <v>#NAME?</v>
      </c>
      <c r="M142" s="2" t="e">
        <f t="shared" ca="1" si="99"/>
        <v>#NAME?</v>
      </c>
      <c r="N142" s="2" t="e">
        <f ca="1"/>
        <v>#NAME?</v>
      </c>
      <c r="O142" s="2" t="e">
        <f t="shared" ca="1" si="100"/>
        <v>#NAME?</v>
      </c>
      <c r="P142" s="2" t="e">
        <f ca="1"/>
        <v>#NAME?</v>
      </c>
      <c r="Q142" s="2" t="e">
        <f t="shared" ca="1" si="101"/>
        <v>#NAME?</v>
      </c>
      <c r="R142" s="2" t="e">
        <f ca="1"/>
        <v>#NAME?</v>
      </c>
      <c r="S142" s="2" t="e">
        <f t="shared" ca="1" si="102"/>
        <v>#NAME?</v>
      </c>
      <c r="T142" s="2" t="e">
        <f ca="1"/>
        <v>#NAME?</v>
      </c>
      <c r="U142" s="2" t="e">
        <f t="shared" ca="1" si="103"/>
        <v>#NAME?</v>
      </c>
      <c r="V142" s="2" t="e">
        <f ca="1"/>
        <v>#NAME?</v>
      </c>
      <c r="W142" s="2" t="e">
        <f t="shared" ca="1" si="104"/>
        <v>#NAME?</v>
      </c>
      <c r="X142" s="2" t="e">
        <f ca="1"/>
        <v>#NAME?</v>
      </c>
      <c r="Y142" s="2" t="e">
        <f t="shared" ca="1" si="105"/>
        <v>#NAME?</v>
      </c>
      <c r="Z142" s="2" t="e">
        <f ca="1"/>
        <v>#NAME?</v>
      </c>
      <c r="AA142" s="2" t="e">
        <f t="shared" ca="1" si="106"/>
        <v>#NAME?</v>
      </c>
      <c r="AB142" s="2" t="e">
        <f ca="1"/>
        <v>#NAME?</v>
      </c>
      <c r="AC142" s="2" t="e">
        <f t="shared" ca="1" si="107"/>
        <v>#NAME?</v>
      </c>
      <c r="AD142" s="2" t="e">
        <f ca="1"/>
        <v>#NAME?</v>
      </c>
      <c r="AE142" s="2" t="e">
        <f t="shared" ca="1" si="108"/>
        <v>#NAME?</v>
      </c>
      <c r="AF142" s="2" t="e">
        <f ca="1"/>
        <v>#NAME?</v>
      </c>
      <c r="AG142" s="2" t="e">
        <f t="shared" ca="1" si="109"/>
        <v>#NAME?</v>
      </c>
      <c r="AH142" s="2" t="e">
        <f ca="1"/>
        <v>#NAME?</v>
      </c>
      <c r="AI142" s="2" t="e">
        <f t="shared" ca="1" si="110"/>
        <v>#NAME?</v>
      </c>
      <c r="AJ142" s="2" t="e">
        <f ca="1"/>
        <v>#NAME?</v>
      </c>
      <c r="AK142" s="2" t="e">
        <f t="shared" ca="1" si="111"/>
        <v>#NAME?</v>
      </c>
      <c r="AL142" s="2" t="e">
        <f ca="1"/>
        <v>#NAME?</v>
      </c>
      <c r="AM142" s="2" t="e">
        <f t="shared" ca="1" si="112"/>
        <v>#NAME?</v>
      </c>
      <c r="AN142" s="2" t="e">
        <f ca="1"/>
        <v>#NAME?</v>
      </c>
      <c r="AO142" s="2" t="e">
        <f t="shared" ca="1" si="113"/>
        <v>#NAME?</v>
      </c>
      <c r="AP142" s="2" t="e">
        <f ca="1"/>
        <v>#NAME?</v>
      </c>
      <c r="AQ142" s="2" t="e">
        <f t="shared" ca="1" si="114"/>
        <v>#NAME?</v>
      </c>
      <c r="AR142" s="2" t="e">
        <f ca="1"/>
        <v>#NAME?</v>
      </c>
      <c r="AS142" s="2" t="e">
        <f t="shared" ca="1" si="115"/>
        <v>#NAME?</v>
      </c>
      <c r="AT142" s="2" t="e">
        <f ca="1"/>
        <v>#NAME?</v>
      </c>
      <c r="AU142" s="2" t="e">
        <f t="shared" ca="1" si="116"/>
        <v>#NAME?</v>
      </c>
      <c r="AV142" s="2" t="e">
        <f ca="1"/>
        <v>#NAME?</v>
      </c>
      <c r="AW142" s="2" t="e">
        <f t="shared" ca="1" si="117"/>
        <v>#NAME?</v>
      </c>
      <c r="AX142" s="2" t="e">
        <f ca="1"/>
        <v>#NAME?</v>
      </c>
      <c r="AY142" s="2" t="e">
        <f t="shared" ca="1" si="118"/>
        <v>#NAME?</v>
      </c>
      <c r="AZ142" s="2" t="e">
        <f ca="1"/>
        <v>#NAME?</v>
      </c>
      <c r="BA142" s="2" t="e">
        <f t="shared" ca="1" si="119"/>
        <v>#NAME?</v>
      </c>
      <c r="BB142" s="2" t="e">
        <f ca="1"/>
        <v>#NAME?</v>
      </c>
      <c r="BC142" s="2" t="e">
        <f t="shared" ca="1" si="120"/>
        <v>#NAME?</v>
      </c>
      <c r="BD142" s="2" t="e">
        <f ca="1"/>
        <v>#NAME?</v>
      </c>
      <c r="BE142" s="2" t="e">
        <f t="shared" ca="1" si="121"/>
        <v>#NAME?</v>
      </c>
      <c r="BF142" s="2" t="e">
        <f ca="1"/>
        <v>#NAME?</v>
      </c>
      <c r="BG142" s="2" t="e">
        <f t="shared" ca="1" si="122"/>
        <v>#NAME?</v>
      </c>
      <c r="BH142" s="2" t="e">
        <f ca="1"/>
        <v>#NAME?</v>
      </c>
      <c r="BI142" s="2" t="e">
        <f t="shared" ca="1" si="123"/>
        <v>#NAME?</v>
      </c>
      <c r="BJ142" s="2" t="e">
        <f ca="1"/>
        <v>#NAME?</v>
      </c>
      <c r="BK142" s="2" t="e">
        <f t="shared" ca="1" si="124"/>
        <v>#NAME?</v>
      </c>
      <c r="BL142" s="2" t="e">
        <f ca="1"/>
        <v>#NAME?</v>
      </c>
      <c r="BM142" s="2" t="e">
        <f t="shared" ca="1" si="125"/>
        <v>#NAME?</v>
      </c>
      <c r="BN142" s="2" t="e">
        <f ca="1"/>
        <v>#NAME?</v>
      </c>
      <c r="BO142" s="2" t="e">
        <f t="shared" ca="1" si="126"/>
        <v>#NAME?</v>
      </c>
      <c r="BP142" s="2" t="e">
        <f ca="1"/>
        <v>#NAME?</v>
      </c>
      <c r="BQ142" s="2" t="e">
        <f t="shared" ca="1" si="127"/>
        <v>#NAME?</v>
      </c>
      <c r="BR142" s="2" t="e">
        <f ca="1"/>
        <v>#NAME?</v>
      </c>
      <c r="BS142" s="2" t="e">
        <f t="shared" ca="1" si="128"/>
        <v>#NAME?</v>
      </c>
      <c r="BT142" s="2" t="e">
        <f ca="1"/>
        <v>#NAME?</v>
      </c>
      <c r="BU142" s="2" t="e">
        <f t="shared" ca="1" si="129"/>
        <v>#NAME?</v>
      </c>
      <c r="BV142" s="2" t="e">
        <f ca="1"/>
        <v>#NAME?</v>
      </c>
      <c r="BW142" s="2" t="e">
        <f t="shared" ca="1" si="130"/>
        <v>#NAME?</v>
      </c>
      <c r="BX142" s="2" t="e">
        <f ca="1"/>
        <v>#NAME?</v>
      </c>
      <c r="BY142" s="2" t="e">
        <f t="shared" ca="1" si="131"/>
        <v>#NAME?</v>
      </c>
      <c r="BZ142" s="2" t="e">
        <f ca="1"/>
        <v>#NAME?</v>
      </c>
      <c r="CA142" s="2" t="e">
        <f t="shared" ca="1" si="132"/>
        <v>#NAME?</v>
      </c>
      <c r="CB142" s="2" t="e">
        <f ca="1"/>
        <v>#NAME?</v>
      </c>
      <c r="CC142" s="2" t="e">
        <f t="shared" ca="1" si="133"/>
        <v>#NAME?</v>
      </c>
      <c r="CD142" s="2" t="e">
        <f ca="1"/>
        <v>#NAME?</v>
      </c>
      <c r="CE142" s="2" t="e">
        <f t="shared" ca="1" si="134"/>
        <v>#NAME?</v>
      </c>
      <c r="CF142" s="2" t="e">
        <f ca="1"/>
        <v>#NAME?</v>
      </c>
      <c r="CG142" s="2" t="e">
        <f t="shared" ca="1" si="135"/>
        <v>#NAME?</v>
      </c>
      <c r="CH142" s="2" t="e">
        <f ca="1"/>
        <v>#NAME?</v>
      </c>
      <c r="CI142" s="2" t="e">
        <f t="shared" ca="1" si="136"/>
        <v>#NAME?</v>
      </c>
      <c r="CJ142" s="2" t="e">
        <f ca="1"/>
        <v>#NAME?</v>
      </c>
      <c r="CK142" s="2" t="e">
        <f t="shared" ca="1" si="137"/>
        <v>#NAME?</v>
      </c>
      <c r="CL142" s="2" t="e">
        <f ca="1"/>
        <v>#NAME?</v>
      </c>
      <c r="CM142" s="2" t="e">
        <f t="shared" ca="1" si="138"/>
        <v>#NAME?</v>
      </c>
      <c r="CN142" s="2" t="e">
        <f ca="1"/>
        <v>#NAME?</v>
      </c>
      <c r="CO142" s="2" t="e">
        <f t="shared" ca="1" si="139"/>
        <v>#NAME?</v>
      </c>
      <c r="CP142" s="2" t="e">
        <f ca="1"/>
        <v>#NAME?</v>
      </c>
      <c r="CQ142" s="2" t="e">
        <f t="shared" ca="1" si="140"/>
        <v>#NAME?</v>
      </c>
    </row>
    <row r="143" spans="1:95">
      <c r="A143" s="7" t="e">
        <f ca="1"/>
        <v>#NAME?</v>
      </c>
      <c r="B143" s="2" t="e">
        <f ca="1"/>
        <v>#NAME?</v>
      </c>
      <c r="C143" s="2" t="e">
        <f t="shared" ca="1" si="94"/>
        <v>#NAME?</v>
      </c>
      <c r="D143" s="2" t="e">
        <f ca="1"/>
        <v>#NAME?</v>
      </c>
      <c r="E143" s="2" t="e">
        <f t="shared" ca="1" si="95"/>
        <v>#NAME?</v>
      </c>
      <c r="F143" s="2" t="e">
        <f ca="1"/>
        <v>#NAME?</v>
      </c>
      <c r="G143" s="2" t="e">
        <f t="shared" ca="1" si="96"/>
        <v>#NAME?</v>
      </c>
      <c r="H143" s="2" t="e">
        <f ca="1"/>
        <v>#NAME?</v>
      </c>
      <c r="I143" s="2" t="e">
        <f t="shared" ca="1" si="97"/>
        <v>#NAME?</v>
      </c>
      <c r="J143" s="2" t="e">
        <f ca="1"/>
        <v>#NAME?</v>
      </c>
      <c r="K143" s="2" t="e">
        <f t="shared" ca="1" si="98"/>
        <v>#NAME?</v>
      </c>
      <c r="L143" s="2" t="e">
        <f ca="1"/>
        <v>#NAME?</v>
      </c>
      <c r="M143" s="2" t="e">
        <f t="shared" ca="1" si="99"/>
        <v>#NAME?</v>
      </c>
      <c r="N143" s="2" t="e">
        <f ca="1"/>
        <v>#NAME?</v>
      </c>
      <c r="O143" s="2" t="e">
        <f t="shared" ca="1" si="100"/>
        <v>#NAME?</v>
      </c>
      <c r="P143" s="2" t="e">
        <f ca="1"/>
        <v>#NAME?</v>
      </c>
      <c r="Q143" s="2" t="e">
        <f t="shared" ca="1" si="101"/>
        <v>#NAME?</v>
      </c>
      <c r="R143" s="2" t="e">
        <f ca="1"/>
        <v>#NAME?</v>
      </c>
      <c r="S143" s="2" t="e">
        <f t="shared" ca="1" si="102"/>
        <v>#NAME?</v>
      </c>
      <c r="T143" s="2" t="e">
        <f ca="1"/>
        <v>#NAME?</v>
      </c>
      <c r="U143" s="2" t="e">
        <f t="shared" ca="1" si="103"/>
        <v>#NAME?</v>
      </c>
      <c r="V143" s="2" t="e">
        <f ca="1"/>
        <v>#NAME?</v>
      </c>
      <c r="W143" s="2" t="e">
        <f t="shared" ca="1" si="104"/>
        <v>#NAME?</v>
      </c>
      <c r="X143" s="2" t="e">
        <f ca="1"/>
        <v>#NAME?</v>
      </c>
      <c r="Y143" s="2" t="e">
        <f t="shared" ca="1" si="105"/>
        <v>#NAME?</v>
      </c>
      <c r="Z143" s="2" t="e">
        <f ca="1"/>
        <v>#NAME?</v>
      </c>
      <c r="AA143" s="2" t="e">
        <f t="shared" ca="1" si="106"/>
        <v>#NAME?</v>
      </c>
      <c r="AB143" s="2" t="e">
        <f ca="1"/>
        <v>#NAME?</v>
      </c>
      <c r="AC143" s="2" t="e">
        <f t="shared" ca="1" si="107"/>
        <v>#NAME?</v>
      </c>
      <c r="AD143" s="2" t="e">
        <f ca="1"/>
        <v>#NAME?</v>
      </c>
      <c r="AE143" s="2" t="e">
        <f t="shared" ca="1" si="108"/>
        <v>#NAME?</v>
      </c>
      <c r="AF143" s="2" t="e">
        <f ca="1"/>
        <v>#NAME?</v>
      </c>
      <c r="AG143" s="2" t="e">
        <f t="shared" ca="1" si="109"/>
        <v>#NAME?</v>
      </c>
      <c r="AH143" s="2" t="e">
        <f ca="1"/>
        <v>#NAME?</v>
      </c>
      <c r="AI143" s="2" t="e">
        <f t="shared" ca="1" si="110"/>
        <v>#NAME?</v>
      </c>
      <c r="AJ143" s="2" t="e">
        <f ca="1"/>
        <v>#NAME?</v>
      </c>
      <c r="AK143" s="2" t="e">
        <f t="shared" ca="1" si="111"/>
        <v>#NAME?</v>
      </c>
      <c r="AL143" s="2" t="e">
        <f ca="1"/>
        <v>#NAME?</v>
      </c>
      <c r="AM143" s="2" t="e">
        <f t="shared" ca="1" si="112"/>
        <v>#NAME?</v>
      </c>
      <c r="AN143" s="2" t="e">
        <f ca="1"/>
        <v>#NAME?</v>
      </c>
      <c r="AO143" s="2" t="e">
        <f t="shared" ca="1" si="113"/>
        <v>#NAME?</v>
      </c>
      <c r="AP143" s="2" t="e">
        <f ca="1"/>
        <v>#NAME?</v>
      </c>
      <c r="AQ143" s="2" t="e">
        <f t="shared" ca="1" si="114"/>
        <v>#NAME?</v>
      </c>
      <c r="AR143" s="2" t="e">
        <f ca="1"/>
        <v>#NAME?</v>
      </c>
      <c r="AS143" s="2" t="e">
        <f t="shared" ca="1" si="115"/>
        <v>#NAME?</v>
      </c>
      <c r="AT143" s="2" t="e">
        <f ca="1"/>
        <v>#NAME?</v>
      </c>
      <c r="AU143" s="2" t="e">
        <f t="shared" ca="1" si="116"/>
        <v>#NAME?</v>
      </c>
      <c r="AV143" s="2" t="e">
        <f ca="1"/>
        <v>#NAME?</v>
      </c>
      <c r="AW143" s="2" t="e">
        <f t="shared" ca="1" si="117"/>
        <v>#NAME?</v>
      </c>
      <c r="AX143" s="2" t="e">
        <f ca="1"/>
        <v>#NAME?</v>
      </c>
      <c r="AY143" s="2" t="e">
        <f t="shared" ca="1" si="118"/>
        <v>#NAME?</v>
      </c>
      <c r="AZ143" s="2" t="e">
        <f ca="1"/>
        <v>#NAME?</v>
      </c>
      <c r="BA143" s="2" t="e">
        <f t="shared" ca="1" si="119"/>
        <v>#NAME?</v>
      </c>
      <c r="BB143" s="2" t="e">
        <f ca="1"/>
        <v>#NAME?</v>
      </c>
      <c r="BC143" s="2" t="e">
        <f t="shared" ca="1" si="120"/>
        <v>#NAME?</v>
      </c>
      <c r="BD143" s="2" t="e">
        <f ca="1"/>
        <v>#NAME?</v>
      </c>
      <c r="BE143" s="2" t="e">
        <f t="shared" ca="1" si="121"/>
        <v>#NAME?</v>
      </c>
      <c r="BF143" s="2" t="e">
        <f ca="1"/>
        <v>#NAME?</v>
      </c>
      <c r="BG143" s="2" t="e">
        <f t="shared" ca="1" si="122"/>
        <v>#NAME?</v>
      </c>
      <c r="BH143" s="2" t="e">
        <f ca="1"/>
        <v>#NAME?</v>
      </c>
      <c r="BI143" s="2" t="e">
        <f t="shared" ca="1" si="123"/>
        <v>#NAME?</v>
      </c>
      <c r="BJ143" s="2" t="e">
        <f ca="1"/>
        <v>#NAME?</v>
      </c>
      <c r="BK143" s="2" t="e">
        <f t="shared" ca="1" si="124"/>
        <v>#NAME?</v>
      </c>
      <c r="BL143" s="2" t="e">
        <f ca="1"/>
        <v>#NAME?</v>
      </c>
      <c r="BM143" s="2" t="e">
        <f t="shared" ca="1" si="125"/>
        <v>#NAME?</v>
      </c>
      <c r="BN143" s="2" t="e">
        <f ca="1"/>
        <v>#NAME?</v>
      </c>
      <c r="BO143" s="2" t="e">
        <f t="shared" ca="1" si="126"/>
        <v>#NAME?</v>
      </c>
      <c r="BP143" s="2" t="e">
        <f ca="1"/>
        <v>#NAME?</v>
      </c>
      <c r="BQ143" s="2" t="e">
        <f t="shared" ca="1" si="127"/>
        <v>#NAME?</v>
      </c>
      <c r="BR143" s="2" t="e">
        <f ca="1"/>
        <v>#NAME?</v>
      </c>
      <c r="BS143" s="2" t="e">
        <f t="shared" ca="1" si="128"/>
        <v>#NAME?</v>
      </c>
      <c r="BT143" s="2" t="e">
        <f ca="1"/>
        <v>#NAME?</v>
      </c>
      <c r="BU143" s="2" t="e">
        <f t="shared" ca="1" si="129"/>
        <v>#NAME?</v>
      </c>
      <c r="BV143" s="2" t="e">
        <f ca="1"/>
        <v>#NAME?</v>
      </c>
      <c r="BW143" s="2" t="e">
        <f t="shared" ca="1" si="130"/>
        <v>#NAME?</v>
      </c>
      <c r="BX143" s="2" t="e">
        <f ca="1"/>
        <v>#NAME?</v>
      </c>
      <c r="BY143" s="2" t="e">
        <f t="shared" ca="1" si="131"/>
        <v>#NAME?</v>
      </c>
      <c r="BZ143" s="2" t="e">
        <f ca="1"/>
        <v>#NAME?</v>
      </c>
      <c r="CA143" s="2" t="e">
        <f t="shared" ca="1" si="132"/>
        <v>#NAME?</v>
      </c>
      <c r="CB143" s="2" t="e">
        <f ca="1"/>
        <v>#NAME?</v>
      </c>
      <c r="CC143" s="2" t="e">
        <f t="shared" ca="1" si="133"/>
        <v>#NAME?</v>
      </c>
      <c r="CD143" s="2" t="e">
        <f ca="1"/>
        <v>#NAME?</v>
      </c>
      <c r="CE143" s="2" t="e">
        <f t="shared" ca="1" si="134"/>
        <v>#NAME?</v>
      </c>
      <c r="CF143" s="2" t="e">
        <f ca="1"/>
        <v>#NAME?</v>
      </c>
      <c r="CG143" s="2" t="e">
        <f t="shared" ca="1" si="135"/>
        <v>#NAME?</v>
      </c>
      <c r="CH143" s="2" t="e">
        <f ca="1"/>
        <v>#NAME?</v>
      </c>
      <c r="CI143" s="2" t="e">
        <f t="shared" ca="1" si="136"/>
        <v>#NAME?</v>
      </c>
      <c r="CJ143" s="2" t="e">
        <f ca="1"/>
        <v>#NAME?</v>
      </c>
      <c r="CK143" s="2" t="e">
        <f t="shared" ca="1" si="137"/>
        <v>#NAME?</v>
      </c>
      <c r="CL143" s="2" t="e">
        <f ca="1"/>
        <v>#NAME?</v>
      </c>
      <c r="CM143" s="2" t="e">
        <f t="shared" ca="1" si="138"/>
        <v>#NAME?</v>
      </c>
      <c r="CN143" s="2" t="e">
        <f ca="1"/>
        <v>#NAME?</v>
      </c>
      <c r="CO143" s="2" t="e">
        <f t="shared" ca="1" si="139"/>
        <v>#NAME?</v>
      </c>
      <c r="CP143" s="2" t="e">
        <f ca="1"/>
        <v>#NAME?</v>
      </c>
      <c r="CQ143" s="2" t="e">
        <f t="shared" ca="1" si="140"/>
        <v>#NAME?</v>
      </c>
    </row>
    <row r="144" spans="1:95">
      <c r="A144" s="7" t="e">
        <f ca="1"/>
        <v>#NAME?</v>
      </c>
      <c r="B144" s="2" t="e">
        <f ca="1"/>
        <v>#NAME?</v>
      </c>
      <c r="C144" s="2" t="e">
        <f t="shared" ca="1" si="94"/>
        <v>#NAME?</v>
      </c>
      <c r="D144" s="2" t="e">
        <f ca="1"/>
        <v>#NAME?</v>
      </c>
      <c r="E144" s="2" t="e">
        <f t="shared" ca="1" si="95"/>
        <v>#NAME?</v>
      </c>
      <c r="F144" s="2" t="e">
        <f ca="1"/>
        <v>#NAME?</v>
      </c>
      <c r="G144" s="2" t="e">
        <f t="shared" ca="1" si="96"/>
        <v>#NAME?</v>
      </c>
      <c r="H144" s="2" t="e">
        <f ca="1"/>
        <v>#NAME?</v>
      </c>
      <c r="I144" s="2" t="e">
        <f t="shared" ca="1" si="97"/>
        <v>#NAME?</v>
      </c>
      <c r="J144" s="2" t="e">
        <f ca="1"/>
        <v>#NAME?</v>
      </c>
      <c r="K144" s="2" t="e">
        <f t="shared" ca="1" si="98"/>
        <v>#NAME?</v>
      </c>
      <c r="L144" s="2" t="e">
        <f ca="1"/>
        <v>#NAME?</v>
      </c>
      <c r="M144" s="2" t="e">
        <f t="shared" ca="1" si="99"/>
        <v>#NAME?</v>
      </c>
      <c r="N144" s="2" t="e">
        <f ca="1"/>
        <v>#NAME?</v>
      </c>
      <c r="O144" s="2" t="e">
        <f t="shared" ca="1" si="100"/>
        <v>#NAME?</v>
      </c>
      <c r="P144" s="2" t="e">
        <f ca="1"/>
        <v>#NAME?</v>
      </c>
      <c r="Q144" s="2" t="e">
        <f t="shared" ca="1" si="101"/>
        <v>#NAME?</v>
      </c>
      <c r="R144" s="2" t="e">
        <f ca="1"/>
        <v>#NAME?</v>
      </c>
      <c r="S144" s="2" t="e">
        <f t="shared" ca="1" si="102"/>
        <v>#NAME?</v>
      </c>
      <c r="T144" s="2" t="e">
        <f ca="1"/>
        <v>#NAME?</v>
      </c>
      <c r="U144" s="2" t="e">
        <f t="shared" ca="1" si="103"/>
        <v>#NAME?</v>
      </c>
      <c r="V144" s="2" t="e">
        <f ca="1"/>
        <v>#NAME?</v>
      </c>
      <c r="W144" s="2" t="e">
        <f t="shared" ca="1" si="104"/>
        <v>#NAME?</v>
      </c>
      <c r="X144" s="2" t="e">
        <f ca="1"/>
        <v>#NAME?</v>
      </c>
      <c r="Y144" s="2" t="e">
        <f t="shared" ca="1" si="105"/>
        <v>#NAME?</v>
      </c>
      <c r="Z144" s="2" t="e">
        <f ca="1"/>
        <v>#NAME?</v>
      </c>
      <c r="AA144" s="2" t="e">
        <f t="shared" ca="1" si="106"/>
        <v>#NAME?</v>
      </c>
      <c r="AB144" s="2" t="e">
        <f ca="1"/>
        <v>#NAME?</v>
      </c>
      <c r="AC144" s="2" t="e">
        <f t="shared" ca="1" si="107"/>
        <v>#NAME?</v>
      </c>
      <c r="AD144" s="2" t="e">
        <f ca="1"/>
        <v>#NAME?</v>
      </c>
      <c r="AE144" s="2" t="e">
        <f t="shared" ca="1" si="108"/>
        <v>#NAME?</v>
      </c>
      <c r="AF144" s="2" t="e">
        <f ca="1"/>
        <v>#NAME?</v>
      </c>
      <c r="AG144" s="2" t="e">
        <f t="shared" ca="1" si="109"/>
        <v>#NAME?</v>
      </c>
      <c r="AH144" s="2" t="e">
        <f ca="1"/>
        <v>#NAME?</v>
      </c>
      <c r="AI144" s="2" t="e">
        <f t="shared" ca="1" si="110"/>
        <v>#NAME?</v>
      </c>
      <c r="AJ144" s="2" t="e">
        <f ca="1"/>
        <v>#NAME?</v>
      </c>
      <c r="AK144" s="2" t="e">
        <f t="shared" ca="1" si="111"/>
        <v>#NAME?</v>
      </c>
      <c r="AL144" s="2" t="e">
        <f ca="1"/>
        <v>#NAME?</v>
      </c>
      <c r="AM144" s="2" t="e">
        <f t="shared" ca="1" si="112"/>
        <v>#NAME?</v>
      </c>
      <c r="AN144" s="2" t="e">
        <f ca="1"/>
        <v>#NAME?</v>
      </c>
      <c r="AO144" s="2" t="e">
        <f t="shared" ca="1" si="113"/>
        <v>#NAME?</v>
      </c>
      <c r="AP144" s="2" t="e">
        <f ca="1"/>
        <v>#NAME?</v>
      </c>
      <c r="AQ144" s="2" t="e">
        <f t="shared" ca="1" si="114"/>
        <v>#NAME?</v>
      </c>
      <c r="AR144" s="2" t="e">
        <f ca="1"/>
        <v>#NAME?</v>
      </c>
      <c r="AS144" s="2" t="e">
        <f t="shared" ca="1" si="115"/>
        <v>#NAME?</v>
      </c>
      <c r="AT144" s="2" t="e">
        <f ca="1"/>
        <v>#NAME?</v>
      </c>
      <c r="AU144" s="2" t="e">
        <f t="shared" ca="1" si="116"/>
        <v>#NAME?</v>
      </c>
      <c r="AV144" s="2" t="e">
        <f ca="1"/>
        <v>#NAME?</v>
      </c>
      <c r="AW144" s="2" t="e">
        <f t="shared" ca="1" si="117"/>
        <v>#NAME?</v>
      </c>
      <c r="AX144" s="2" t="e">
        <f ca="1"/>
        <v>#NAME?</v>
      </c>
      <c r="AY144" s="2" t="e">
        <f t="shared" ca="1" si="118"/>
        <v>#NAME?</v>
      </c>
      <c r="AZ144" s="2" t="e">
        <f ca="1"/>
        <v>#NAME?</v>
      </c>
      <c r="BA144" s="2" t="e">
        <f t="shared" ca="1" si="119"/>
        <v>#NAME?</v>
      </c>
      <c r="BB144" s="2" t="e">
        <f ca="1"/>
        <v>#NAME?</v>
      </c>
      <c r="BC144" s="2" t="e">
        <f t="shared" ca="1" si="120"/>
        <v>#NAME?</v>
      </c>
      <c r="BD144" s="2" t="e">
        <f ca="1"/>
        <v>#NAME?</v>
      </c>
      <c r="BE144" s="2" t="e">
        <f t="shared" ca="1" si="121"/>
        <v>#NAME?</v>
      </c>
      <c r="BF144" s="2" t="e">
        <f ca="1"/>
        <v>#NAME?</v>
      </c>
      <c r="BG144" s="2" t="e">
        <f t="shared" ca="1" si="122"/>
        <v>#NAME?</v>
      </c>
      <c r="BH144" s="2" t="e">
        <f ca="1"/>
        <v>#NAME?</v>
      </c>
      <c r="BI144" s="2" t="e">
        <f t="shared" ca="1" si="123"/>
        <v>#NAME?</v>
      </c>
      <c r="BJ144" s="2" t="e">
        <f ca="1"/>
        <v>#NAME?</v>
      </c>
      <c r="BK144" s="2" t="e">
        <f t="shared" ca="1" si="124"/>
        <v>#NAME?</v>
      </c>
      <c r="BL144" s="2" t="e">
        <f ca="1"/>
        <v>#NAME?</v>
      </c>
      <c r="BM144" s="2" t="e">
        <f t="shared" ca="1" si="125"/>
        <v>#NAME?</v>
      </c>
      <c r="BN144" s="2" t="e">
        <f ca="1"/>
        <v>#NAME?</v>
      </c>
      <c r="BO144" s="2" t="e">
        <f t="shared" ca="1" si="126"/>
        <v>#NAME?</v>
      </c>
      <c r="BP144" s="2" t="e">
        <f ca="1"/>
        <v>#NAME?</v>
      </c>
      <c r="BQ144" s="2" t="e">
        <f t="shared" ca="1" si="127"/>
        <v>#NAME?</v>
      </c>
      <c r="BR144" s="2" t="e">
        <f ca="1"/>
        <v>#NAME?</v>
      </c>
      <c r="BS144" s="2" t="e">
        <f t="shared" ca="1" si="128"/>
        <v>#NAME?</v>
      </c>
      <c r="BT144" s="2" t="e">
        <f ca="1"/>
        <v>#NAME?</v>
      </c>
      <c r="BU144" s="2" t="e">
        <f t="shared" ca="1" si="129"/>
        <v>#NAME?</v>
      </c>
      <c r="BV144" s="2" t="e">
        <f ca="1"/>
        <v>#NAME?</v>
      </c>
      <c r="BW144" s="2" t="e">
        <f t="shared" ca="1" si="130"/>
        <v>#NAME?</v>
      </c>
      <c r="BX144" s="2" t="e">
        <f ca="1"/>
        <v>#NAME?</v>
      </c>
      <c r="BY144" s="2" t="e">
        <f t="shared" ca="1" si="131"/>
        <v>#NAME?</v>
      </c>
      <c r="BZ144" s="2" t="e">
        <f ca="1"/>
        <v>#NAME?</v>
      </c>
      <c r="CA144" s="2" t="e">
        <f t="shared" ca="1" si="132"/>
        <v>#NAME?</v>
      </c>
      <c r="CB144" s="2" t="e">
        <f ca="1"/>
        <v>#NAME?</v>
      </c>
      <c r="CC144" s="2" t="e">
        <f t="shared" ca="1" si="133"/>
        <v>#NAME?</v>
      </c>
      <c r="CD144" s="2" t="e">
        <f ca="1"/>
        <v>#NAME?</v>
      </c>
      <c r="CE144" s="2" t="e">
        <f t="shared" ca="1" si="134"/>
        <v>#NAME?</v>
      </c>
      <c r="CF144" s="2" t="e">
        <f ca="1"/>
        <v>#NAME?</v>
      </c>
      <c r="CG144" s="2" t="e">
        <f t="shared" ca="1" si="135"/>
        <v>#NAME?</v>
      </c>
      <c r="CH144" s="2" t="e">
        <f ca="1"/>
        <v>#NAME?</v>
      </c>
      <c r="CI144" s="2" t="e">
        <f t="shared" ca="1" si="136"/>
        <v>#NAME?</v>
      </c>
      <c r="CJ144" s="2" t="e">
        <f ca="1"/>
        <v>#NAME?</v>
      </c>
      <c r="CK144" s="2" t="e">
        <f t="shared" ca="1" si="137"/>
        <v>#NAME?</v>
      </c>
      <c r="CL144" s="2" t="e">
        <f ca="1"/>
        <v>#NAME?</v>
      </c>
      <c r="CM144" s="2" t="e">
        <f t="shared" ca="1" si="138"/>
        <v>#NAME?</v>
      </c>
      <c r="CN144" s="2" t="e">
        <f ca="1"/>
        <v>#NAME?</v>
      </c>
      <c r="CO144" s="2" t="e">
        <f t="shared" ca="1" si="139"/>
        <v>#NAME?</v>
      </c>
      <c r="CP144" s="2" t="e">
        <f ca="1"/>
        <v>#NAME?</v>
      </c>
      <c r="CQ144" s="2" t="e">
        <f t="shared" ca="1" si="140"/>
        <v>#NAME?</v>
      </c>
    </row>
    <row r="145" spans="1:95">
      <c r="A145" s="7" t="e">
        <f ca="1"/>
        <v>#NAME?</v>
      </c>
      <c r="B145" s="2" t="e">
        <f ca="1"/>
        <v>#NAME?</v>
      </c>
      <c r="C145" s="2" t="e">
        <f t="shared" ca="1" si="94"/>
        <v>#NAME?</v>
      </c>
      <c r="D145" s="2" t="e">
        <f ca="1"/>
        <v>#NAME?</v>
      </c>
      <c r="E145" s="2" t="e">
        <f t="shared" ca="1" si="95"/>
        <v>#NAME?</v>
      </c>
      <c r="F145" s="2" t="e">
        <f ca="1"/>
        <v>#NAME?</v>
      </c>
      <c r="G145" s="2" t="e">
        <f t="shared" ca="1" si="96"/>
        <v>#NAME?</v>
      </c>
      <c r="H145" s="2" t="e">
        <f ca="1"/>
        <v>#NAME?</v>
      </c>
      <c r="I145" s="2" t="e">
        <f t="shared" ca="1" si="97"/>
        <v>#NAME?</v>
      </c>
      <c r="J145" s="2" t="e">
        <f ca="1"/>
        <v>#NAME?</v>
      </c>
      <c r="K145" s="2" t="e">
        <f t="shared" ca="1" si="98"/>
        <v>#NAME?</v>
      </c>
      <c r="L145" s="2" t="e">
        <f ca="1"/>
        <v>#NAME?</v>
      </c>
      <c r="M145" s="2" t="e">
        <f t="shared" ca="1" si="99"/>
        <v>#NAME?</v>
      </c>
      <c r="N145" s="2" t="e">
        <f ca="1"/>
        <v>#NAME?</v>
      </c>
      <c r="O145" s="2" t="e">
        <f t="shared" ca="1" si="100"/>
        <v>#NAME?</v>
      </c>
      <c r="P145" s="2" t="e">
        <f ca="1"/>
        <v>#NAME?</v>
      </c>
      <c r="Q145" s="2" t="e">
        <f t="shared" ca="1" si="101"/>
        <v>#NAME?</v>
      </c>
      <c r="R145" s="2" t="e">
        <f ca="1"/>
        <v>#NAME?</v>
      </c>
      <c r="S145" s="2" t="e">
        <f t="shared" ca="1" si="102"/>
        <v>#NAME?</v>
      </c>
      <c r="T145" s="2" t="e">
        <f ca="1"/>
        <v>#NAME?</v>
      </c>
      <c r="U145" s="2" t="e">
        <f t="shared" ca="1" si="103"/>
        <v>#NAME?</v>
      </c>
      <c r="V145" s="2" t="e">
        <f ca="1"/>
        <v>#NAME?</v>
      </c>
      <c r="W145" s="2" t="e">
        <f t="shared" ca="1" si="104"/>
        <v>#NAME?</v>
      </c>
      <c r="X145" s="2" t="e">
        <f ca="1"/>
        <v>#NAME?</v>
      </c>
      <c r="Y145" s="2" t="e">
        <f t="shared" ca="1" si="105"/>
        <v>#NAME?</v>
      </c>
      <c r="Z145" s="2" t="e">
        <f ca="1"/>
        <v>#NAME?</v>
      </c>
      <c r="AA145" s="2" t="e">
        <f t="shared" ca="1" si="106"/>
        <v>#NAME?</v>
      </c>
      <c r="AB145" s="2" t="e">
        <f ca="1"/>
        <v>#NAME?</v>
      </c>
      <c r="AC145" s="2" t="e">
        <f t="shared" ca="1" si="107"/>
        <v>#NAME?</v>
      </c>
      <c r="AD145" s="2" t="e">
        <f ca="1"/>
        <v>#NAME?</v>
      </c>
      <c r="AE145" s="2" t="e">
        <f t="shared" ca="1" si="108"/>
        <v>#NAME?</v>
      </c>
      <c r="AF145" s="2" t="e">
        <f ca="1"/>
        <v>#NAME?</v>
      </c>
      <c r="AG145" s="2" t="e">
        <f t="shared" ca="1" si="109"/>
        <v>#NAME?</v>
      </c>
      <c r="AH145" s="2" t="e">
        <f ca="1"/>
        <v>#NAME?</v>
      </c>
      <c r="AI145" s="2" t="e">
        <f t="shared" ca="1" si="110"/>
        <v>#NAME?</v>
      </c>
      <c r="AJ145" s="2" t="e">
        <f ca="1"/>
        <v>#NAME?</v>
      </c>
      <c r="AK145" s="2" t="e">
        <f t="shared" ca="1" si="111"/>
        <v>#NAME?</v>
      </c>
      <c r="AL145" s="2" t="e">
        <f ca="1"/>
        <v>#NAME?</v>
      </c>
      <c r="AM145" s="2" t="e">
        <f t="shared" ca="1" si="112"/>
        <v>#NAME?</v>
      </c>
      <c r="AN145" s="2" t="e">
        <f ca="1"/>
        <v>#NAME?</v>
      </c>
      <c r="AO145" s="2" t="e">
        <f t="shared" ca="1" si="113"/>
        <v>#NAME?</v>
      </c>
      <c r="AP145" s="2" t="e">
        <f ca="1"/>
        <v>#NAME?</v>
      </c>
      <c r="AQ145" s="2" t="e">
        <f t="shared" ca="1" si="114"/>
        <v>#NAME?</v>
      </c>
      <c r="AR145" s="2" t="e">
        <f ca="1"/>
        <v>#NAME?</v>
      </c>
      <c r="AS145" s="2" t="e">
        <f t="shared" ca="1" si="115"/>
        <v>#NAME?</v>
      </c>
      <c r="AT145" s="2" t="e">
        <f ca="1"/>
        <v>#NAME?</v>
      </c>
      <c r="AU145" s="2" t="e">
        <f t="shared" ca="1" si="116"/>
        <v>#NAME?</v>
      </c>
      <c r="AV145" s="2" t="e">
        <f ca="1"/>
        <v>#NAME?</v>
      </c>
      <c r="AW145" s="2" t="e">
        <f t="shared" ca="1" si="117"/>
        <v>#NAME?</v>
      </c>
      <c r="AX145" s="2" t="e">
        <f ca="1"/>
        <v>#NAME?</v>
      </c>
      <c r="AY145" s="2" t="e">
        <f t="shared" ca="1" si="118"/>
        <v>#NAME?</v>
      </c>
      <c r="AZ145" s="2" t="e">
        <f ca="1"/>
        <v>#NAME?</v>
      </c>
      <c r="BA145" s="2" t="e">
        <f t="shared" ca="1" si="119"/>
        <v>#NAME?</v>
      </c>
      <c r="BB145" s="2" t="e">
        <f ca="1"/>
        <v>#NAME?</v>
      </c>
      <c r="BC145" s="2" t="e">
        <f t="shared" ca="1" si="120"/>
        <v>#NAME?</v>
      </c>
      <c r="BD145" s="2" t="e">
        <f ca="1"/>
        <v>#NAME?</v>
      </c>
      <c r="BE145" s="2" t="e">
        <f t="shared" ca="1" si="121"/>
        <v>#NAME?</v>
      </c>
      <c r="BF145" s="2" t="e">
        <f ca="1"/>
        <v>#NAME?</v>
      </c>
      <c r="BG145" s="2" t="e">
        <f t="shared" ca="1" si="122"/>
        <v>#NAME?</v>
      </c>
      <c r="BH145" s="2" t="e">
        <f ca="1"/>
        <v>#NAME?</v>
      </c>
      <c r="BI145" s="2" t="e">
        <f t="shared" ca="1" si="123"/>
        <v>#NAME?</v>
      </c>
      <c r="BJ145" s="2" t="e">
        <f ca="1"/>
        <v>#NAME?</v>
      </c>
      <c r="BK145" s="2" t="e">
        <f t="shared" ca="1" si="124"/>
        <v>#NAME?</v>
      </c>
      <c r="BL145" s="2" t="e">
        <f ca="1"/>
        <v>#NAME?</v>
      </c>
      <c r="BM145" s="2" t="e">
        <f t="shared" ca="1" si="125"/>
        <v>#NAME?</v>
      </c>
      <c r="BN145" s="2" t="e">
        <f ca="1"/>
        <v>#NAME?</v>
      </c>
      <c r="BO145" s="2" t="e">
        <f t="shared" ca="1" si="126"/>
        <v>#NAME?</v>
      </c>
      <c r="BP145" s="2" t="e">
        <f ca="1"/>
        <v>#NAME?</v>
      </c>
      <c r="BQ145" s="2" t="e">
        <f t="shared" ca="1" si="127"/>
        <v>#NAME?</v>
      </c>
      <c r="BR145" s="2" t="e">
        <f ca="1"/>
        <v>#NAME?</v>
      </c>
      <c r="BS145" s="2" t="e">
        <f t="shared" ca="1" si="128"/>
        <v>#NAME?</v>
      </c>
      <c r="BT145" s="2" t="e">
        <f ca="1"/>
        <v>#NAME?</v>
      </c>
      <c r="BU145" s="2" t="e">
        <f t="shared" ca="1" si="129"/>
        <v>#NAME?</v>
      </c>
      <c r="BV145" s="2" t="e">
        <f ca="1"/>
        <v>#NAME?</v>
      </c>
      <c r="BW145" s="2" t="e">
        <f t="shared" ca="1" si="130"/>
        <v>#NAME?</v>
      </c>
      <c r="BX145" s="2" t="e">
        <f ca="1"/>
        <v>#NAME?</v>
      </c>
      <c r="BY145" s="2" t="e">
        <f t="shared" ca="1" si="131"/>
        <v>#NAME?</v>
      </c>
      <c r="BZ145" s="2" t="e">
        <f ca="1"/>
        <v>#NAME?</v>
      </c>
      <c r="CA145" s="2" t="e">
        <f t="shared" ca="1" si="132"/>
        <v>#NAME?</v>
      </c>
      <c r="CB145" s="2" t="e">
        <f ca="1"/>
        <v>#NAME?</v>
      </c>
      <c r="CC145" s="2" t="e">
        <f t="shared" ca="1" si="133"/>
        <v>#NAME?</v>
      </c>
      <c r="CD145" s="2" t="e">
        <f ca="1"/>
        <v>#NAME?</v>
      </c>
      <c r="CE145" s="2" t="e">
        <f t="shared" ca="1" si="134"/>
        <v>#NAME?</v>
      </c>
      <c r="CF145" s="2" t="e">
        <f ca="1"/>
        <v>#NAME?</v>
      </c>
      <c r="CG145" s="2" t="e">
        <f t="shared" ca="1" si="135"/>
        <v>#NAME?</v>
      </c>
      <c r="CH145" s="2" t="e">
        <f ca="1"/>
        <v>#NAME?</v>
      </c>
      <c r="CI145" s="2" t="e">
        <f t="shared" ca="1" si="136"/>
        <v>#NAME?</v>
      </c>
      <c r="CJ145" s="2" t="e">
        <f ca="1"/>
        <v>#NAME?</v>
      </c>
      <c r="CK145" s="2" t="e">
        <f t="shared" ca="1" si="137"/>
        <v>#NAME?</v>
      </c>
      <c r="CL145" s="2" t="e">
        <f ca="1"/>
        <v>#NAME?</v>
      </c>
      <c r="CM145" s="2" t="e">
        <f t="shared" ca="1" si="138"/>
        <v>#NAME?</v>
      </c>
      <c r="CN145" s="2" t="e">
        <f ca="1"/>
        <v>#NAME?</v>
      </c>
      <c r="CO145" s="2" t="e">
        <f t="shared" ca="1" si="139"/>
        <v>#NAME?</v>
      </c>
      <c r="CP145" s="2" t="e">
        <f ca="1"/>
        <v>#NAME?</v>
      </c>
      <c r="CQ145" s="2" t="e">
        <f t="shared" ca="1" si="140"/>
        <v>#NAME?</v>
      </c>
    </row>
    <row r="146" spans="1:95">
      <c r="A146" s="7" t="e">
        <f ca="1"/>
        <v>#NAME?</v>
      </c>
      <c r="B146" s="2" t="e">
        <f ca="1"/>
        <v>#NAME?</v>
      </c>
      <c r="C146" s="2" t="e">
        <f t="shared" ca="1" si="94"/>
        <v>#NAME?</v>
      </c>
      <c r="D146" s="2" t="e">
        <f ca="1"/>
        <v>#NAME?</v>
      </c>
      <c r="E146" s="2" t="e">
        <f t="shared" ca="1" si="95"/>
        <v>#NAME?</v>
      </c>
      <c r="F146" s="2" t="e">
        <f ca="1"/>
        <v>#NAME?</v>
      </c>
      <c r="G146" s="2" t="e">
        <f t="shared" ca="1" si="96"/>
        <v>#NAME?</v>
      </c>
      <c r="H146" s="2" t="e">
        <f ca="1"/>
        <v>#NAME?</v>
      </c>
      <c r="I146" s="2" t="e">
        <f t="shared" ca="1" si="97"/>
        <v>#NAME?</v>
      </c>
      <c r="J146" s="2" t="e">
        <f ca="1"/>
        <v>#NAME?</v>
      </c>
      <c r="K146" s="2" t="e">
        <f t="shared" ca="1" si="98"/>
        <v>#NAME?</v>
      </c>
      <c r="L146" s="2" t="e">
        <f ca="1"/>
        <v>#NAME?</v>
      </c>
      <c r="M146" s="2" t="e">
        <f t="shared" ca="1" si="99"/>
        <v>#NAME?</v>
      </c>
      <c r="N146" s="2" t="e">
        <f ca="1"/>
        <v>#NAME?</v>
      </c>
      <c r="O146" s="2" t="e">
        <f t="shared" ca="1" si="100"/>
        <v>#NAME?</v>
      </c>
      <c r="P146" s="2" t="e">
        <f ca="1"/>
        <v>#NAME?</v>
      </c>
      <c r="Q146" s="2" t="e">
        <f t="shared" ca="1" si="101"/>
        <v>#NAME?</v>
      </c>
      <c r="R146" s="2" t="e">
        <f ca="1"/>
        <v>#NAME?</v>
      </c>
      <c r="S146" s="2" t="e">
        <f t="shared" ca="1" si="102"/>
        <v>#NAME?</v>
      </c>
      <c r="T146" s="2" t="e">
        <f ca="1"/>
        <v>#NAME?</v>
      </c>
      <c r="U146" s="2" t="e">
        <f t="shared" ca="1" si="103"/>
        <v>#NAME?</v>
      </c>
      <c r="V146" s="2" t="e">
        <f ca="1"/>
        <v>#NAME?</v>
      </c>
      <c r="W146" s="2" t="e">
        <f t="shared" ca="1" si="104"/>
        <v>#NAME?</v>
      </c>
      <c r="X146" s="2" t="e">
        <f ca="1"/>
        <v>#NAME?</v>
      </c>
      <c r="Y146" s="2" t="e">
        <f t="shared" ca="1" si="105"/>
        <v>#NAME?</v>
      </c>
      <c r="Z146" s="2" t="e">
        <f ca="1"/>
        <v>#NAME?</v>
      </c>
      <c r="AA146" s="2" t="e">
        <f t="shared" ca="1" si="106"/>
        <v>#NAME?</v>
      </c>
      <c r="AB146" s="2" t="e">
        <f ca="1"/>
        <v>#NAME?</v>
      </c>
      <c r="AC146" s="2" t="e">
        <f t="shared" ca="1" si="107"/>
        <v>#NAME?</v>
      </c>
      <c r="AD146" s="2" t="e">
        <f ca="1"/>
        <v>#NAME?</v>
      </c>
      <c r="AE146" s="2" t="e">
        <f t="shared" ca="1" si="108"/>
        <v>#NAME?</v>
      </c>
      <c r="AF146" s="2" t="e">
        <f ca="1"/>
        <v>#NAME?</v>
      </c>
      <c r="AG146" s="2" t="e">
        <f t="shared" ca="1" si="109"/>
        <v>#NAME?</v>
      </c>
      <c r="AH146" s="2" t="e">
        <f ca="1"/>
        <v>#NAME?</v>
      </c>
      <c r="AI146" s="2" t="e">
        <f t="shared" ca="1" si="110"/>
        <v>#NAME?</v>
      </c>
      <c r="AJ146" s="2" t="e">
        <f ca="1"/>
        <v>#NAME?</v>
      </c>
      <c r="AK146" s="2" t="e">
        <f t="shared" ca="1" si="111"/>
        <v>#NAME?</v>
      </c>
      <c r="AL146" s="2" t="e">
        <f ca="1"/>
        <v>#NAME?</v>
      </c>
      <c r="AM146" s="2" t="e">
        <f t="shared" ca="1" si="112"/>
        <v>#NAME?</v>
      </c>
      <c r="AN146" s="2" t="e">
        <f ca="1"/>
        <v>#NAME?</v>
      </c>
      <c r="AO146" s="2" t="e">
        <f t="shared" ca="1" si="113"/>
        <v>#NAME?</v>
      </c>
      <c r="AP146" s="2" t="e">
        <f ca="1"/>
        <v>#NAME?</v>
      </c>
      <c r="AQ146" s="2" t="e">
        <f t="shared" ca="1" si="114"/>
        <v>#NAME?</v>
      </c>
      <c r="AR146" s="2" t="e">
        <f ca="1"/>
        <v>#NAME?</v>
      </c>
      <c r="AS146" s="2" t="e">
        <f t="shared" ca="1" si="115"/>
        <v>#NAME?</v>
      </c>
      <c r="AT146" s="2" t="e">
        <f ca="1"/>
        <v>#NAME?</v>
      </c>
      <c r="AU146" s="2" t="e">
        <f t="shared" ca="1" si="116"/>
        <v>#NAME?</v>
      </c>
      <c r="AV146" s="2" t="e">
        <f ca="1"/>
        <v>#NAME?</v>
      </c>
      <c r="AW146" s="2" t="e">
        <f t="shared" ca="1" si="117"/>
        <v>#NAME?</v>
      </c>
      <c r="AX146" s="2" t="e">
        <f ca="1"/>
        <v>#NAME?</v>
      </c>
      <c r="AY146" s="2" t="e">
        <f t="shared" ca="1" si="118"/>
        <v>#NAME?</v>
      </c>
      <c r="AZ146" s="2" t="e">
        <f ca="1"/>
        <v>#NAME?</v>
      </c>
      <c r="BA146" s="2" t="e">
        <f t="shared" ca="1" si="119"/>
        <v>#NAME?</v>
      </c>
      <c r="BB146" s="2" t="e">
        <f ca="1"/>
        <v>#NAME?</v>
      </c>
      <c r="BC146" s="2" t="e">
        <f t="shared" ca="1" si="120"/>
        <v>#NAME?</v>
      </c>
      <c r="BD146" s="2" t="e">
        <f ca="1"/>
        <v>#NAME?</v>
      </c>
      <c r="BE146" s="2" t="e">
        <f t="shared" ca="1" si="121"/>
        <v>#NAME?</v>
      </c>
      <c r="BF146" s="2" t="e">
        <f ca="1"/>
        <v>#NAME?</v>
      </c>
      <c r="BG146" s="2" t="e">
        <f t="shared" ca="1" si="122"/>
        <v>#NAME?</v>
      </c>
      <c r="BH146" s="2" t="e">
        <f ca="1"/>
        <v>#NAME?</v>
      </c>
      <c r="BI146" s="2" t="e">
        <f t="shared" ca="1" si="123"/>
        <v>#NAME?</v>
      </c>
      <c r="BJ146" s="2" t="e">
        <f ca="1"/>
        <v>#NAME?</v>
      </c>
      <c r="BK146" s="2" t="e">
        <f t="shared" ca="1" si="124"/>
        <v>#NAME?</v>
      </c>
      <c r="BL146" s="2" t="e">
        <f ca="1"/>
        <v>#NAME?</v>
      </c>
      <c r="BM146" s="2" t="e">
        <f t="shared" ca="1" si="125"/>
        <v>#NAME?</v>
      </c>
      <c r="BN146" s="2" t="e">
        <f ca="1"/>
        <v>#NAME?</v>
      </c>
      <c r="BO146" s="2" t="e">
        <f t="shared" ca="1" si="126"/>
        <v>#NAME?</v>
      </c>
      <c r="BP146" s="2" t="e">
        <f ca="1"/>
        <v>#NAME?</v>
      </c>
      <c r="BQ146" s="2" t="e">
        <f t="shared" ca="1" si="127"/>
        <v>#NAME?</v>
      </c>
      <c r="BR146" s="2" t="e">
        <f ca="1"/>
        <v>#NAME?</v>
      </c>
      <c r="BS146" s="2" t="e">
        <f t="shared" ca="1" si="128"/>
        <v>#NAME?</v>
      </c>
      <c r="BT146" s="2" t="e">
        <f ca="1"/>
        <v>#NAME?</v>
      </c>
      <c r="BU146" s="2" t="e">
        <f t="shared" ca="1" si="129"/>
        <v>#NAME?</v>
      </c>
      <c r="BV146" s="2" t="e">
        <f ca="1"/>
        <v>#NAME?</v>
      </c>
      <c r="BW146" s="2" t="e">
        <f t="shared" ca="1" si="130"/>
        <v>#NAME?</v>
      </c>
      <c r="BX146" s="2" t="e">
        <f ca="1"/>
        <v>#NAME?</v>
      </c>
      <c r="BY146" s="2" t="e">
        <f t="shared" ca="1" si="131"/>
        <v>#NAME?</v>
      </c>
      <c r="BZ146" s="2" t="e">
        <f ca="1"/>
        <v>#NAME?</v>
      </c>
      <c r="CA146" s="2" t="e">
        <f t="shared" ca="1" si="132"/>
        <v>#NAME?</v>
      </c>
      <c r="CB146" s="2" t="e">
        <f ca="1"/>
        <v>#NAME?</v>
      </c>
      <c r="CC146" s="2" t="e">
        <f t="shared" ca="1" si="133"/>
        <v>#NAME?</v>
      </c>
      <c r="CD146" s="2" t="e">
        <f ca="1"/>
        <v>#NAME?</v>
      </c>
      <c r="CE146" s="2" t="e">
        <f t="shared" ca="1" si="134"/>
        <v>#NAME?</v>
      </c>
      <c r="CF146" s="2" t="e">
        <f ca="1"/>
        <v>#NAME?</v>
      </c>
      <c r="CG146" s="2" t="e">
        <f t="shared" ca="1" si="135"/>
        <v>#NAME?</v>
      </c>
      <c r="CH146" s="2" t="e">
        <f ca="1"/>
        <v>#NAME?</v>
      </c>
      <c r="CI146" s="2" t="e">
        <f t="shared" ca="1" si="136"/>
        <v>#NAME?</v>
      </c>
      <c r="CJ146" s="2" t="e">
        <f ca="1"/>
        <v>#NAME?</v>
      </c>
      <c r="CK146" s="2" t="e">
        <f t="shared" ca="1" si="137"/>
        <v>#NAME?</v>
      </c>
      <c r="CL146" s="2" t="e">
        <f ca="1"/>
        <v>#NAME?</v>
      </c>
      <c r="CM146" s="2" t="e">
        <f t="shared" ca="1" si="138"/>
        <v>#NAME?</v>
      </c>
      <c r="CN146" s="2" t="e">
        <f ca="1"/>
        <v>#NAME?</v>
      </c>
      <c r="CO146" s="2" t="e">
        <f t="shared" ca="1" si="139"/>
        <v>#NAME?</v>
      </c>
      <c r="CP146" s="2" t="e">
        <f ca="1"/>
        <v>#NAME?</v>
      </c>
      <c r="CQ146" s="2" t="e">
        <f t="shared" ca="1" si="140"/>
        <v>#NAME?</v>
      </c>
    </row>
    <row r="147" spans="1:95">
      <c r="A147" s="7" t="e">
        <f ca="1"/>
        <v>#NAME?</v>
      </c>
      <c r="B147" s="2" t="e">
        <f ca="1"/>
        <v>#NAME?</v>
      </c>
      <c r="C147" s="2" t="e">
        <f t="shared" ca="1" si="94"/>
        <v>#NAME?</v>
      </c>
      <c r="D147" s="2" t="e">
        <f ca="1"/>
        <v>#NAME?</v>
      </c>
      <c r="E147" s="2" t="e">
        <f t="shared" ca="1" si="95"/>
        <v>#NAME?</v>
      </c>
      <c r="F147" s="2" t="e">
        <f ca="1"/>
        <v>#NAME?</v>
      </c>
      <c r="G147" s="2" t="e">
        <f t="shared" ca="1" si="96"/>
        <v>#NAME?</v>
      </c>
      <c r="H147" s="2" t="e">
        <f ca="1"/>
        <v>#NAME?</v>
      </c>
      <c r="I147" s="2" t="e">
        <f t="shared" ca="1" si="97"/>
        <v>#NAME?</v>
      </c>
      <c r="J147" s="2" t="e">
        <f ca="1"/>
        <v>#NAME?</v>
      </c>
      <c r="K147" s="2" t="e">
        <f t="shared" ca="1" si="98"/>
        <v>#NAME?</v>
      </c>
      <c r="L147" s="2" t="e">
        <f ca="1"/>
        <v>#NAME?</v>
      </c>
      <c r="M147" s="2" t="e">
        <f t="shared" ca="1" si="99"/>
        <v>#NAME?</v>
      </c>
      <c r="N147" s="2" t="e">
        <f ca="1"/>
        <v>#NAME?</v>
      </c>
      <c r="O147" s="2" t="e">
        <f t="shared" ca="1" si="100"/>
        <v>#NAME?</v>
      </c>
      <c r="P147" s="2" t="e">
        <f ca="1"/>
        <v>#NAME?</v>
      </c>
      <c r="Q147" s="2" t="e">
        <f t="shared" ca="1" si="101"/>
        <v>#NAME?</v>
      </c>
      <c r="R147" s="2" t="e">
        <f ca="1"/>
        <v>#NAME?</v>
      </c>
      <c r="S147" s="2" t="e">
        <f t="shared" ca="1" si="102"/>
        <v>#NAME?</v>
      </c>
      <c r="T147" s="2" t="e">
        <f ca="1"/>
        <v>#NAME?</v>
      </c>
      <c r="U147" s="2" t="e">
        <f t="shared" ca="1" si="103"/>
        <v>#NAME?</v>
      </c>
      <c r="V147" s="2" t="e">
        <f ca="1"/>
        <v>#NAME?</v>
      </c>
      <c r="W147" s="2" t="e">
        <f t="shared" ca="1" si="104"/>
        <v>#NAME?</v>
      </c>
      <c r="X147" s="2" t="e">
        <f ca="1"/>
        <v>#NAME?</v>
      </c>
      <c r="Y147" s="2" t="e">
        <f t="shared" ca="1" si="105"/>
        <v>#NAME?</v>
      </c>
      <c r="Z147" s="2" t="e">
        <f ca="1"/>
        <v>#NAME?</v>
      </c>
      <c r="AA147" s="2" t="e">
        <f t="shared" ca="1" si="106"/>
        <v>#NAME?</v>
      </c>
      <c r="AB147" s="2" t="e">
        <f ca="1"/>
        <v>#NAME?</v>
      </c>
      <c r="AC147" s="2" t="e">
        <f t="shared" ca="1" si="107"/>
        <v>#NAME?</v>
      </c>
      <c r="AD147" s="2" t="e">
        <f ca="1"/>
        <v>#NAME?</v>
      </c>
      <c r="AE147" s="2" t="e">
        <f t="shared" ca="1" si="108"/>
        <v>#NAME?</v>
      </c>
      <c r="AF147" s="2" t="e">
        <f ca="1"/>
        <v>#NAME?</v>
      </c>
      <c r="AG147" s="2" t="e">
        <f t="shared" ca="1" si="109"/>
        <v>#NAME?</v>
      </c>
      <c r="AH147" s="2" t="e">
        <f ca="1"/>
        <v>#NAME?</v>
      </c>
      <c r="AI147" s="2" t="e">
        <f t="shared" ca="1" si="110"/>
        <v>#NAME?</v>
      </c>
      <c r="AJ147" s="2" t="e">
        <f ca="1"/>
        <v>#NAME?</v>
      </c>
      <c r="AK147" s="2" t="e">
        <f t="shared" ca="1" si="111"/>
        <v>#NAME?</v>
      </c>
      <c r="AL147" s="2" t="e">
        <f ca="1"/>
        <v>#NAME?</v>
      </c>
      <c r="AM147" s="2" t="e">
        <f t="shared" ca="1" si="112"/>
        <v>#NAME?</v>
      </c>
      <c r="AN147" s="2" t="e">
        <f ca="1"/>
        <v>#NAME?</v>
      </c>
      <c r="AO147" s="2" t="e">
        <f t="shared" ca="1" si="113"/>
        <v>#NAME?</v>
      </c>
      <c r="AP147" s="2" t="e">
        <f ca="1"/>
        <v>#NAME?</v>
      </c>
      <c r="AQ147" s="2" t="e">
        <f t="shared" ca="1" si="114"/>
        <v>#NAME?</v>
      </c>
      <c r="AR147" s="2" t="e">
        <f ca="1"/>
        <v>#NAME?</v>
      </c>
      <c r="AS147" s="2" t="e">
        <f t="shared" ca="1" si="115"/>
        <v>#NAME?</v>
      </c>
      <c r="AT147" s="2" t="e">
        <f ca="1"/>
        <v>#NAME?</v>
      </c>
      <c r="AU147" s="2" t="e">
        <f t="shared" ca="1" si="116"/>
        <v>#NAME?</v>
      </c>
      <c r="AV147" s="2" t="e">
        <f ca="1"/>
        <v>#NAME?</v>
      </c>
      <c r="AW147" s="2" t="e">
        <f t="shared" ca="1" si="117"/>
        <v>#NAME?</v>
      </c>
      <c r="AX147" s="2" t="e">
        <f ca="1"/>
        <v>#NAME?</v>
      </c>
      <c r="AY147" s="2" t="e">
        <f t="shared" ca="1" si="118"/>
        <v>#NAME?</v>
      </c>
      <c r="AZ147" s="2" t="e">
        <f ca="1"/>
        <v>#NAME?</v>
      </c>
      <c r="BA147" s="2" t="e">
        <f t="shared" ca="1" si="119"/>
        <v>#NAME?</v>
      </c>
      <c r="BB147" s="2" t="e">
        <f ca="1"/>
        <v>#NAME?</v>
      </c>
      <c r="BC147" s="2" t="e">
        <f t="shared" ca="1" si="120"/>
        <v>#NAME?</v>
      </c>
      <c r="BD147" s="2" t="e">
        <f ca="1"/>
        <v>#NAME?</v>
      </c>
      <c r="BE147" s="2" t="e">
        <f t="shared" ca="1" si="121"/>
        <v>#NAME?</v>
      </c>
      <c r="BF147" s="2" t="e">
        <f ca="1"/>
        <v>#NAME?</v>
      </c>
      <c r="BG147" s="2" t="e">
        <f t="shared" ca="1" si="122"/>
        <v>#NAME?</v>
      </c>
      <c r="BH147" s="2" t="e">
        <f ca="1"/>
        <v>#NAME?</v>
      </c>
      <c r="BI147" s="2" t="e">
        <f t="shared" ca="1" si="123"/>
        <v>#NAME?</v>
      </c>
      <c r="BJ147" s="2" t="e">
        <f ca="1"/>
        <v>#NAME?</v>
      </c>
      <c r="BK147" s="2" t="e">
        <f t="shared" ca="1" si="124"/>
        <v>#NAME?</v>
      </c>
      <c r="BL147" s="2" t="e">
        <f ca="1"/>
        <v>#NAME?</v>
      </c>
      <c r="BM147" s="2" t="e">
        <f t="shared" ca="1" si="125"/>
        <v>#NAME?</v>
      </c>
      <c r="BN147" s="2" t="e">
        <f ca="1"/>
        <v>#NAME?</v>
      </c>
      <c r="BO147" s="2" t="e">
        <f t="shared" ca="1" si="126"/>
        <v>#NAME?</v>
      </c>
      <c r="BP147" s="2" t="e">
        <f ca="1"/>
        <v>#NAME?</v>
      </c>
      <c r="BQ147" s="2" t="e">
        <f t="shared" ca="1" si="127"/>
        <v>#NAME?</v>
      </c>
      <c r="BR147" s="2" t="e">
        <f ca="1"/>
        <v>#NAME?</v>
      </c>
      <c r="BS147" s="2" t="e">
        <f t="shared" ca="1" si="128"/>
        <v>#NAME?</v>
      </c>
      <c r="BT147" s="2" t="e">
        <f ca="1"/>
        <v>#NAME?</v>
      </c>
      <c r="BU147" s="2" t="e">
        <f t="shared" ca="1" si="129"/>
        <v>#NAME?</v>
      </c>
      <c r="BV147" s="2" t="e">
        <f ca="1"/>
        <v>#NAME?</v>
      </c>
      <c r="BW147" s="2" t="e">
        <f t="shared" ca="1" si="130"/>
        <v>#NAME?</v>
      </c>
      <c r="BX147" s="2" t="e">
        <f ca="1"/>
        <v>#NAME?</v>
      </c>
      <c r="BY147" s="2" t="e">
        <f t="shared" ca="1" si="131"/>
        <v>#NAME?</v>
      </c>
      <c r="BZ147" s="2" t="e">
        <f ca="1"/>
        <v>#NAME?</v>
      </c>
      <c r="CA147" s="2" t="e">
        <f t="shared" ca="1" si="132"/>
        <v>#NAME?</v>
      </c>
      <c r="CB147" s="2" t="e">
        <f ca="1"/>
        <v>#NAME?</v>
      </c>
      <c r="CC147" s="2" t="e">
        <f t="shared" ca="1" si="133"/>
        <v>#NAME?</v>
      </c>
      <c r="CD147" s="2" t="e">
        <f ca="1"/>
        <v>#NAME?</v>
      </c>
      <c r="CE147" s="2" t="e">
        <f t="shared" ca="1" si="134"/>
        <v>#NAME?</v>
      </c>
      <c r="CF147" s="2" t="e">
        <f ca="1"/>
        <v>#NAME?</v>
      </c>
      <c r="CG147" s="2" t="e">
        <f t="shared" ca="1" si="135"/>
        <v>#NAME?</v>
      </c>
      <c r="CH147" s="2" t="e">
        <f ca="1"/>
        <v>#NAME?</v>
      </c>
      <c r="CI147" s="2" t="e">
        <f t="shared" ca="1" si="136"/>
        <v>#NAME?</v>
      </c>
      <c r="CJ147" s="2" t="e">
        <f ca="1"/>
        <v>#NAME?</v>
      </c>
      <c r="CK147" s="2" t="e">
        <f t="shared" ca="1" si="137"/>
        <v>#NAME?</v>
      </c>
      <c r="CL147" s="2" t="e">
        <f ca="1"/>
        <v>#NAME?</v>
      </c>
      <c r="CM147" s="2" t="e">
        <f t="shared" ca="1" si="138"/>
        <v>#NAME?</v>
      </c>
      <c r="CN147" s="2" t="e">
        <f ca="1"/>
        <v>#NAME?</v>
      </c>
      <c r="CO147" s="2" t="e">
        <f t="shared" ca="1" si="139"/>
        <v>#NAME?</v>
      </c>
      <c r="CP147" s="2" t="e">
        <f ca="1"/>
        <v>#NAME?</v>
      </c>
      <c r="CQ147" s="2" t="e">
        <f t="shared" ca="1" si="140"/>
        <v>#NAME?</v>
      </c>
    </row>
    <row r="148" spans="1:95">
      <c r="A148" s="7" t="e">
        <f ca="1"/>
        <v>#NAME?</v>
      </c>
      <c r="B148" s="2" t="e">
        <f ca="1"/>
        <v>#NAME?</v>
      </c>
      <c r="C148" s="2" t="e">
        <f t="shared" ca="1" si="94"/>
        <v>#NAME?</v>
      </c>
      <c r="D148" s="2" t="e">
        <f ca="1"/>
        <v>#NAME?</v>
      </c>
      <c r="E148" s="2" t="e">
        <f t="shared" ca="1" si="95"/>
        <v>#NAME?</v>
      </c>
      <c r="F148" s="2" t="e">
        <f ca="1"/>
        <v>#NAME?</v>
      </c>
      <c r="G148" s="2" t="e">
        <f t="shared" ca="1" si="96"/>
        <v>#NAME?</v>
      </c>
      <c r="H148" s="2" t="e">
        <f ca="1"/>
        <v>#NAME?</v>
      </c>
      <c r="I148" s="2" t="e">
        <f t="shared" ca="1" si="97"/>
        <v>#NAME?</v>
      </c>
      <c r="J148" s="2" t="e">
        <f ca="1"/>
        <v>#NAME?</v>
      </c>
      <c r="K148" s="2" t="e">
        <f t="shared" ca="1" si="98"/>
        <v>#NAME?</v>
      </c>
      <c r="L148" s="2" t="e">
        <f ca="1"/>
        <v>#NAME?</v>
      </c>
      <c r="M148" s="2" t="e">
        <f t="shared" ca="1" si="99"/>
        <v>#NAME?</v>
      </c>
      <c r="N148" s="2" t="e">
        <f ca="1"/>
        <v>#NAME?</v>
      </c>
      <c r="O148" s="2" t="e">
        <f t="shared" ca="1" si="100"/>
        <v>#NAME?</v>
      </c>
      <c r="P148" s="2" t="e">
        <f ca="1"/>
        <v>#NAME?</v>
      </c>
      <c r="Q148" s="2" t="e">
        <f t="shared" ca="1" si="101"/>
        <v>#NAME?</v>
      </c>
      <c r="R148" s="2" t="e">
        <f ca="1"/>
        <v>#NAME?</v>
      </c>
      <c r="S148" s="2" t="e">
        <f t="shared" ca="1" si="102"/>
        <v>#NAME?</v>
      </c>
      <c r="T148" s="2" t="e">
        <f ca="1"/>
        <v>#NAME?</v>
      </c>
      <c r="U148" s="2" t="e">
        <f t="shared" ca="1" si="103"/>
        <v>#NAME?</v>
      </c>
      <c r="V148" s="2" t="e">
        <f ca="1"/>
        <v>#NAME?</v>
      </c>
      <c r="W148" s="2" t="e">
        <f t="shared" ca="1" si="104"/>
        <v>#NAME?</v>
      </c>
      <c r="X148" s="2" t="e">
        <f ca="1"/>
        <v>#NAME?</v>
      </c>
      <c r="Y148" s="2" t="e">
        <f t="shared" ca="1" si="105"/>
        <v>#NAME?</v>
      </c>
      <c r="Z148" s="2" t="e">
        <f ca="1"/>
        <v>#NAME?</v>
      </c>
      <c r="AA148" s="2" t="e">
        <f t="shared" ca="1" si="106"/>
        <v>#NAME?</v>
      </c>
      <c r="AB148" s="2" t="e">
        <f ca="1"/>
        <v>#NAME?</v>
      </c>
      <c r="AC148" s="2" t="e">
        <f t="shared" ca="1" si="107"/>
        <v>#NAME?</v>
      </c>
      <c r="AD148" s="2" t="e">
        <f ca="1"/>
        <v>#NAME?</v>
      </c>
      <c r="AE148" s="2" t="e">
        <f t="shared" ca="1" si="108"/>
        <v>#NAME?</v>
      </c>
      <c r="AF148" s="2" t="e">
        <f ca="1"/>
        <v>#NAME?</v>
      </c>
      <c r="AG148" s="2" t="e">
        <f t="shared" ca="1" si="109"/>
        <v>#NAME?</v>
      </c>
      <c r="AH148" s="2" t="e">
        <f ca="1"/>
        <v>#NAME?</v>
      </c>
      <c r="AI148" s="2" t="e">
        <f t="shared" ca="1" si="110"/>
        <v>#NAME?</v>
      </c>
      <c r="AJ148" s="2" t="e">
        <f ca="1"/>
        <v>#NAME?</v>
      </c>
      <c r="AK148" s="2" t="e">
        <f t="shared" ca="1" si="111"/>
        <v>#NAME?</v>
      </c>
      <c r="AL148" s="2" t="e">
        <f ca="1"/>
        <v>#NAME?</v>
      </c>
      <c r="AM148" s="2" t="e">
        <f t="shared" ca="1" si="112"/>
        <v>#NAME?</v>
      </c>
      <c r="AN148" s="2" t="e">
        <f ca="1"/>
        <v>#NAME?</v>
      </c>
      <c r="AO148" s="2" t="e">
        <f t="shared" ca="1" si="113"/>
        <v>#NAME?</v>
      </c>
      <c r="AP148" s="2" t="e">
        <f ca="1"/>
        <v>#NAME?</v>
      </c>
      <c r="AQ148" s="2" t="e">
        <f t="shared" ca="1" si="114"/>
        <v>#NAME?</v>
      </c>
      <c r="AR148" s="2" t="e">
        <f ca="1"/>
        <v>#NAME?</v>
      </c>
      <c r="AS148" s="2" t="e">
        <f t="shared" ca="1" si="115"/>
        <v>#NAME?</v>
      </c>
      <c r="AT148" s="2" t="e">
        <f ca="1"/>
        <v>#NAME?</v>
      </c>
      <c r="AU148" s="2" t="e">
        <f t="shared" ca="1" si="116"/>
        <v>#NAME?</v>
      </c>
      <c r="AV148" s="2" t="e">
        <f ca="1"/>
        <v>#NAME?</v>
      </c>
      <c r="AW148" s="2" t="e">
        <f t="shared" ca="1" si="117"/>
        <v>#NAME?</v>
      </c>
      <c r="AX148" s="2" t="e">
        <f ca="1"/>
        <v>#NAME?</v>
      </c>
      <c r="AY148" s="2" t="e">
        <f t="shared" ca="1" si="118"/>
        <v>#NAME?</v>
      </c>
      <c r="AZ148" s="2" t="e">
        <f ca="1"/>
        <v>#NAME?</v>
      </c>
      <c r="BA148" s="2" t="e">
        <f t="shared" ca="1" si="119"/>
        <v>#NAME?</v>
      </c>
      <c r="BB148" s="2" t="e">
        <f ca="1"/>
        <v>#NAME?</v>
      </c>
      <c r="BC148" s="2" t="e">
        <f t="shared" ca="1" si="120"/>
        <v>#NAME?</v>
      </c>
      <c r="BD148" s="2" t="e">
        <f ca="1"/>
        <v>#NAME?</v>
      </c>
      <c r="BE148" s="2" t="e">
        <f t="shared" ca="1" si="121"/>
        <v>#NAME?</v>
      </c>
      <c r="BF148" s="2" t="e">
        <f ca="1"/>
        <v>#NAME?</v>
      </c>
      <c r="BG148" s="2" t="e">
        <f t="shared" ca="1" si="122"/>
        <v>#NAME?</v>
      </c>
      <c r="BH148" s="2" t="e">
        <f ca="1"/>
        <v>#NAME?</v>
      </c>
      <c r="BI148" s="2" t="e">
        <f t="shared" ca="1" si="123"/>
        <v>#NAME?</v>
      </c>
      <c r="BJ148" s="2" t="e">
        <f ca="1"/>
        <v>#NAME?</v>
      </c>
      <c r="BK148" s="2" t="e">
        <f t="shared" ca="1" si="124"/>
        <v>#NAME?</v>
      </c>
      <c r="BL148" s="2" t="e">
        <f ca="1"/>
        <v>#NAME?</v>
      </c>
      <c r="BM148" s="2" t="e">
        <f t="shared" ca="1" si="125"/>
        <v>#NAME?</v>
      </c>
      <c r="BN148" s="2" t="e">
        <f ca="1"/>
        <v>#NAME?</v>
      </c>
      <c r="BO148" s="2" t="e">
        <f t="shared" ca="1" si="126"/>
        <v>#NAME?</v>
      </c>
      <c r="BP148" s="2" t="e">
        <f ca="1"/>
        <v>#NAME?</v>
      </c>
      <c r="BQ148" s="2" t="e">
        <f t="shared" ca="1" si="127"/>
        <v>#NAME?</v>
      </c>
      <c r="BR148" s="2" t="e">
        <f ca="1"/>
        <v>#NAME?</v>
      </c>
      <c r="BS148" s="2" t="e">
        <f t="shared" ca="1" si="128"/>
        <v>#NAME?</v>
      </c>
      <c r="BT148" s="2" t="e">
        <f ca="1"/>
        <v>#NAME?</v>
      </c>
      <c r="BU148" s="2" t="e">
        <f t="shared" ca="1" si="129"/>
        <v>#NAME?</v>
      </c>
      <c r="BV148" s="2" t="e">
        <f ca="1"/>
        <v>#NAME?</v>
      </c>
      <c r="BW148" s="2" t="e">
        <f t="shared" ca="1" si="130"/>
        <v>#NAME?</v>
      </c>
      <c r="BX148" s="2" t="e">
        <f ca="1"/>
        <v>#NAME?</v>
      </c>
      <c r="BY148" s="2" t="e">
        <f t="shared" ca="1" si="131"/>
        <v>#NAME?</v>
      </c>
      <c r="BZ148" s="2" t="e">
        <f ca="1"/>
        <v>#NAME?</v>
      </c>
      <c r="CA148" s="2" t="e">
        <f t="shared" ca="1" si="132"/>
        <v>#NAME?</v>
      </c>
      <c r="CB148" s="2" t="e">
        <f ca="1"/>
        <v>#NAME?</v>
      </c>
      <c r="CC148" s="2" t="e">
        <f t="shared" ca="1" si="133"/>
        <v>#NAME?</v>
      </c>
      <c r="CD148" s="2" t="e">
        <f ca="1"/>
        <v>#NAME?</v>
      </c>
      <c r="CE148" s="2" t="e">
        <f t="shared" ca="1" si="134"/>
        <v>#NAME?</v>
      </c>
      <c r="CF148" s="2" t="e">
        <f ca="1"/>
        <v>#NAME?</v>
      </c>
      <c r="CG148" s="2" t="e">
        <f t="shared" ca="1" si="135"/>
        <v>#NAME?</v>
      </c>
      <c r="CH148" s="2" t="e">
        <f ca="1"/>
        <v>#NAME?</v>
      </c>
      <c r="CI148" s="2" t="e">
        <f t="shared" ca="1" si="136"/>
        <v>#NAME?</v>
      </c>
      <c r="CJ148" s="2" t="e">
        <f ca="1"/>
        <v>#NAME?</v>
      </c>
      <c r="CK148" s="2" t="e">
        <f t="shared" ca="1" si="137"/>
        <v>#NAME?</v>
      </c>
      <c r="CL148" s="2" t="e">
        <f ca="1"/>
        <v>#NAME?</v>
      </c>
      <c r="CM148" s="2" t="e">
        <f t="shared" ca="1" si="138"/>
        <v>#NAME?</v>
      </c>
      <c r="CN148" s="2" t="e">
        <f ca="1"/>
        <v>#NAME?</v>
      </c>
      <c r="CO148" s="2" t="e">
        <f t="shared" ca="1" si="139"/>
        <v>#NAME?</v>
      </c>
      <c r="CP148" s="2" t="e">
        <f ca="1"/>
        <v>#NAME?</v>
      </c>
      <c r="CQ148" s="2" t="e">
        <f t="shared" ca="1" si="140"/>
        <v>#NAME?</v>
      </c>
    </row>
    <row r="149" spans="1:95">
      <c r="A149" s="7" t="e">
        <f ca="1"/>
        <v>#NAME?</v>
      </c>
      <c r="B149" s="2" t="e">
        <f ca="1"/>
        <v>#NAME?</v>
      </c>
      <c r="C149" s="2" t="e">
        <f t="shared" ca="1" si="94"/>
        <v>#NAME?</v>
      </c>
      <c r="D149" s="2" t="e">
        <f ca="1"/>
        <v>#NAME?</v>
      </c>
      <c r="E149" s="2" t="e">
        <f t="shared" ca="1" si="95"/>
        <v>#NAME?</v>
      </c>
      <c r="F149" s="2" t="e">
        <f ca="1"/>
        <v>#NAME?</v>
      </c>
      <c r="G149" s="2" t="e">
        <f t="shared" ca="1" si="96"/>
        <v>#NAME?</v>
      </c>
      <c r="H149" s="2" t="e">
        <f ca="1"/>
        <v>#NAME?</v>
      </c>
      <c r="I149" s="2" t="e">
        <f t="shared" ca="1" si="97"/>
        <v>#NAME?</v>
      </c>
      <c r="J149" s="2" t="e">
        <f ca="1"/>
        <v>#NAME?</v>
      </c>
      <c r="K149" s="2" t="e">
        <f t="shared" ca="1" si="98"/>
        <v>#NAME?</v>
      </c>
      <c r="L149" s="2" t="e">
        <f ca="1"/>
        <v>#NAME?</v>
      </c>
      <c r="M149" s="2" t="e">
        <f t="shared" ca="1" si="99"/>
        <v>#NAME?</v>
      </c>
      <c r="N149" s="2" t="e">
        <f ca="1"/>
        <v>#NAME?</v>
      </c>
      <c r="O149" s="2" t="e">
        <f t="shared" ca="1" si="100"/>
        <v>#NAME?</v>
      </c>
      <c r="P149" s="2" t="e">
        <f ca="1"/>
        <v>#NAME?</v>
      </c>
      <c r="Q149" s="2" t="e">
        <f t="shared" ca="1" si="101"/>
        <v>#NAME?</v>
      </c>
      <c r="R149" s="2" t="e">
        <f ca="1"/>
        <v>#NAME?</v>
      </c>
      <c r="S149" s="2" t="e">
        <f t="shared" ca="1" si="102"/>
        <v>#NAME?</v>
      </c>
      <c r="T149" s="2" t="e">
        <f ca="1"/>
        <v>#NAME?</v>
      </c>
      <c r="U149" s="2" t="e">
        <f t="shared" ca="1" si="103"/>
        <v>#NAME?</v>
      </c>
      <c r="V149" s="2" t="e">
        <f ca="1"/>
        <v>#NAME?</v>
      </c>
      <c r="W149" s="2" t="e">
        <f t="shared" ca="1" si="104"/>
        <v>#NAME?</v>
      </c>
      <c r="X149" s="2" t="e">
        <f ca="1"/>
        <v>#NAME?</v>
      </c>
      <c r="Y149" s="2" t="e">
        <f t="shared" ca="1" si="105"/>
        <v>#NAME?</v>
      </c>
      <c r="Z149" s="2" t="e">
        <f ca="1"/>
        <v>#NAME?</v>
      </c>
      <c r="AA149" s="2" t="e">
        <f t="shared" ca="1" si="106"/>
        <v>#NAME?</v>
      </c>
      <c r="AB149" s="2" t="e">
        <f ca="1"/>
        <v>#NAME?</v>
      </c>
      <c r="AC149" s="2" t="e">
        <f t="shared" ca="1" si="107"/>
        <v>#NAME?</v>
      </c>
      <c r="AD149" s="2" t="e">
        <f ca="1"/>
        <v>#NAME?</v>
      </c>
      <c r="AE149" s="2" t="e">
        <f t="shared" ca="1" si="108"/>
        <v>#NAME?</v>
      </c>
      <c r="AF149" s="2" t="e">
        <f ca="1"/>
        <v>#NAME?</v>
      </c>
      <c r="AG149" s="2" t="e">
        <f t="shared" ca="1" si="109"/>
        <v>#NAME?</v>
      </c>
      <c r="AH149" s="2" t="e">
        <f ca="1"/>
        <v>#NAME?</v>
      </c>
      <c r="AI149" s="2" t="e">
        <f t="shared" ca="1" si="110"/>
        <v>#NAME?</v>
      </c>
      <c r="AJ149" s="2" t="e">
        <f ca="1"/>
        <v>#NAME?</v>
      </c>
      <c r="AK149" s="2" t="e">
        <f t="shared" ca="1" si="111"/>
        <v>#NAME?</v>
      </c>
      <c r="AL149" s="2" t="e">
        <f ca="1"/>
        <v>#NAME?</v>
      </c>
      <c r="AM149" s="2" t="e">
        <f t="shared" ca="1" si="112"/>
        <v>#NAME?</v>
      </c>
      <c r="AN149" s="2" t="e">
        <f ca="1"/>
        <v>#NAME?</v>
      </c>
      <c r="AO149" s="2" t="e">
        <f t="shared" ca="1" si="113"/>
        <v>#NAME?</v>
      </c>
      <c r="AP149" s="2" t="e">
        <f ca="1"/>
        <v>#NAME?</v>
      </c>
      <c r="AQ149" s="2" t="e">
        <f t="shared" ca="1" si="114"/>
        <v>#NAME?</v>
      </c>
      <c r="AR149" s="2" t="e">
        <f ca="1"/>
        <v>#NAME?</v>
      </c>
      <c r="AS149" s="2" t="e">
        <f t="shared" ca="1" si="115"/>
        <v>#NAME?</v>
      </c>
      <c r="AT149" s="2" t="e">
        <f ca="1"/>
        <v>#NAME?</v>
      </c>
      <c r="AU149" s="2" t="e">
        <f t="shared" ca="1" si="116"/>
        <v>#NAME?</v>
      </c>
      <c r="AV149" s="2" t="e">
        <f ca="1"/>
        <v>#NAME?</v>
      </c>
      <c r="AW149" s="2" t="e">
        <f t="shared" ca="1" si="117"/>
        <v>#NAME?</v>
      </c>
      <c r="AX149" s="2" t="e">
        <f ca="1"/>
        <v>#NAME?</v>
      </c>
      <c r="AY149" s="2" t="e">
        <f t="shared" ca="1" si="118"/>
        <v>#NAME?</v>
      </c>
      <c r="AZ149" s="2" t="e">
        <f ca="1"/>
        <v>#NAME?</v>
      </c>
      <c r="BA149" s="2" t="e">
        <f t="shared" ca="1" si="119"/>
        <v>#NAME?</v>
      </c>
      <c r="BB149" s="2" t="e">
        <f ca="1"/>
        <v>#NAME?</v>
      </c>
      <c r="BC149" s="2" t="e">
        <f t="shared" ca="1" si="120"/>
        <v>#NAME?</v>
      </c>
      <c r="BD149" s="2" t="e">
        <f ca="1"/>
        <v>#NAME?</v>
      </c>
      <c r="BE149" s="2" t="e">
        <f t="shared" ca="1" si="121"/>
        <v>#NAME?</v>
      </c>
      <c r="BF149" s="2" t="e">
        <f ca="1"/>
        <v>#NAME?</v>
      </c>
      <c r="BG149" s="2" t="e">
        <f t="shared" ca="1" si="122"/>
        <v>#NAME?</v>
      </c>
      <c r="BH149" s="2" t="e">
        <f ca="1"/>
        <v>#NAME?</v>
      </c>
      <c r="BI149" s="2" t="e">
        <f t="shared" ca="1" si="123"/>
        <v>#NAME?</v>
      </c>
      <c r="BJ149" s="2" t="e">
        <f ca="1"/>
        <v>#NAME?</v>
      </c>
      <c r="BK149" s="2" t="e">
        <f t="shared" ca="1" si="124"/>
        <v>#NAME?</v>
      </c>
      <c r="BL149" s="2" t="e">
        <f ca="1"/>
        <v>#NAME?</v>
      </c>
      <c r="BM149" s="2" t="e">
        <f t="shared" ca="1" si="125"/>
        <v>#NAME?</v>
      </c>
      <c r="BN149" s="2" t="e">
        <f ca="1"/>
        <v>#NAME?</v>
      </c>
      <c r="BO149" s="2" t="e">
        <f t="shared" ca="1" si="126"/>
        <v>#NAME?</v>
      </c>
      <c r="BP149" s="2" t="e">
        <f ca="1"/>
        <v>#NAME?</v>
      </c>
      <c r="BQ149" s="2" t="e">
        <f t="shared" ca="1" si="127"/>
        <v>#NAME?</v>
      </c>
      <c r="BR149" s="2" t="e">
        <f ca="1"/>
        <v>#NAME?</v>
      </c>
      <c r="BS149" s="2" t="e">
        <f t="shared" ca="1" si="128"/>
        <v>#NAME?</v>
      </c>
      <c r="BT149" s="2" t="e">
        <f ca="1"/>
        <v>#NAME?</v>
      </c>
      <c r="BU149" s="2" t="e">
        <f t="shared" ca="1" si="129"/>
        <v>#NAME?</v>
      </c>
      <c r="BV149" s="2" t="e">
        <f ca="1"/>
        <v>#NAME?</v>
      </c>
      <c r="BW149" s="2" t="e">
        <f t="shared" ca="1" si="130"/>
        <v>#NAME?</v>
      </c>
      <c r="BX149" s="2" t="e">
        <f ca="1"/>
        <v>#NAME?</v>
      </c>
      <c r="BY149" s="2" t="e">
        <f t="shared" ca="1" si="131"/>
        <v>#NAME?</v>
      </c>
      <c r="BZ149" s="2" t="e">
        <f ca="1"/>
        <v>#NAME?</v>
      </c>
      <c r="CA149" s="2" t="e">
        <f t="shared" ca="1" si="132"/>
        <v>#NAME?</v>
      </c>
      <c r="CB149" s="2" t="e">
        <f ca="1"/>
        <v>#NAME?</v>
      </c>
      <c r="CC149" s="2" t="e">
        <f t="shared" ca="1" si="133"/>
        <v>#NAME?</v>
      </c>
      <c r="CD149" s="2" t="e">
        <f ca="1"/>
        <v>#NAME?</v>
      </c>
      <c r="CE149" s="2" t="e">
        <f t="shared" ca="1" si="134"/>
        <v>#NAME?</v>
      </c>
      <c r="CF149" s="2" t="e">
        <f ca="1"/>
        <v>#NAME?</v>
      </c>
      <c r="CG149" s="2" t="e">
        <f t="shared" ca="1" si="135"/>
        <v>#NAME?</v>
      </c>
      <c r="CH149" s="2" t="e">
        <f ca="1"/>
        <v>#NAME?</v>
      </c>
      <c r="CI149" s="2" t="e">
        <f t="shared" ca="1" si="136"/>
        <v>#NAME?</v>
      </c>
      <c r="CJ149" s="2" t="e">
        <f ca="1"/>
        <v>#NAME?</v>
      </c>
      <c r="CK149" s="2" t="e">
        <f t="shared" ca="1" si="137"/>
        <v>#NAME?</v>
      </c>
      <c r="CL149" s="2" t="e">
        <f ca="1"/>
        <v>#NAME?</v>
      </c>
      <c r="CM149" s="2" t="e">
        <f t="shared" ca="1" si="138"/>
        <v>#NAME?</v>
      </c>
      <c r="CN149" s="2" t="e">
        <f ca="1"/>
        <v>#NAME?</v>
      </c>
      <c r="CO149" s="2" t="e">
        <f t="shared" ca="1" si="139"/>
        <v>#NAME?</v>
      </c>
      <c r="CP149" s="2" t="e">
        <f ca="1"/>
        <v>#NAME?</v>
      </c>
      <c r="CQ149" s="2" t="e">
        <f t="shared" ca="1" si="140"/>
        <v>#NAME?</v>
      </c>
    </row>
    <row r="150" spans="1:95">
      <c r="A150" s="7" t="e">
        <f ca="1"/>
        <v>#NAME?</v>
      </c>
      <c r="B150" s="2" t="e">
        <f ca="1"/>
        <v>#NAME?</v>
      </c>
      <c r="C150" s="2" t="e">
        <f t="shared" ca="1" si="94"/>
        <v>#NAME?</v>
      </c>
      <c r="D150" s="2" t="e">
        <f ca="1"/>
        <v>#NAME?</v>
      </c>
      <c r="E150" s="2" t="e">
        <f t="shared" ca="1" si="95"/>
        <v>#NAME?</v>
      </c>
      <c r="F150" s="2" t="e">
        <f ca="1"/>
        <v>#NAME?</v>
      </c>
      <c r="G150" s="2" t="e">
        <f t="shared" ca="1" si="96"/>
        <v>#NAME?</v>
      </c>
      <c r="H150" s="2" t="e">
        <f ca="1"/>
        <v>#NAME?</v>
      </c>
      <c r="I150" s="2" t="e">
        <f t="shared" ca="1" si="97"/>
        <v>#NAME?</v>
      </c>
      <c r="J150" s="2" t="e">
        <f ca="1"/>
        <v>#NAME?</v>
      </c>
      <c r="K150" s="2" t="e">
        <f t="shared" ca="1" si="98"/>
        <v>#NAME?</v>
      </c>
      <c r="L150" s="2" t="e">
        <f ca="1"/>
        <v>#NAME?</v>
      </c>
      <c r="M150" s="2" t="e">
        <f t="shared" ca="1" si="99"/>
        <v>#NAME?</v>
      </c>
      <c r="N150" s="2" t="e">
        <f ca="1"/>
        <v>#NAME?</v>
      </c>
      <c r="O150" s="2" t="e">
        <f t="shared" ca="1" si="100"/>
        <v>#NAME?</v>
      </c>
      <c r="P150" s="2" t="e">
        <f ca="1"/>
        <v>#NAME?</v>
      </c>
      <c r="Q150" s="2" t="e">
        <f t="shared" ca="1" si="101"/>
        <v>#NAME?</v>
      </c>
      <c r="R150" s="2" t="e">
        <f ca="1"/>
        <v>#NAME?</v>
      </c>
      <c r="S150" s="2" t="e">
        <f t="shared" ca="1" si="102"/>
        <v>#NAME?</v>
      </c>
      <c r="T150" s="2" t="e">
        <f ca="1"/>
        <v>#NAME?</v>
      </c>
      <c r="U150" s="2" t="e">
        <f t="shared" ca="1" si="103"/>
        <v>#NAME?</v>
      </c>
      <c r="V150" s="2" t="e">
        <f ca="1"/>
        <v>#NAME?</v>
      </c>
      <c r="W150" s="2" t="e">
        <f t="shared" ca="1" si="104"/>
        <v>#NAME?</v>
      </c>
      <c r="X150" s="2" t="e">
        <f ca="1"/>
        <v>#NAME?</v>
      </c>
      <c r="Y150" s="2" t="e">
        <f t="shared" ca="1" si="105"/>
        <v>#NAME?</v>
      </c>
      <c r="Z150" s="2" t="e">
        <f ca="1"/>
        <v>#NAME?</v>
      </c>
      <c r="AA150" s="2" t="e">
        <f t="shared" ca="1" si="106"/>
        <v>#NAME?</v>
      </c>
      <c r="AB150" s="2" t="e">
        <f ca="1"/>
        <v>#NAME?</v>
      </c>
      <c r="AC150" s="2" t="e">
        <f t="shared" ca="1" si="107"/>
        <v>#NAME?</v>
      </c>
      <c r="AD150" s="2" t="e">
        <f ca="1"/>
        <v>#NAME?</v>
      </c>
      <c r="AE150" s="2" t="e">
        <f t="shared" ca="1" si="108"/>
        <v>#NAME?</v>
      </c>
      <c r="AF150" s="2" t="e">
        <f ca="1"/>
        <v>#NAME?</v>
      </c>
      <c r="AG150" s="2" t="e">
        <f t="shared" ca="1" si="109"/>
        <v>#NAME?</v>
      </c>
      <c r="AH150" s="2" t="e">
        <f ca="1"/>
        <v>#NAME?</v>
      </c>
      <c r="AI150" s="2" t="e">
        <f t="shared" ca="1" si="110"/>
        <v>#NAME?</v>
      </c>
      <c r="AJ150" s="2" t="e">
        <f ca="1"/>
        <v>#NAME?</v>
      </c>
      <c r="AK150" s="2" t="e">
        <f t="shared" ca="1" si="111"/>
        <v>#NAME?</v>
      </c>
      <c r="AL150" s="2" t="e">
        <f ca="1"/>
        <v>#NAME?</v>
      </c>
      <c r="AM150" s="2" t="e">
        <f t="shared" ca="1" si="112"/>
        <v>#NAME?</v>
      </c>
      <c r="AN150" s="2" t="e">
        <f ca="1"/>
        <v>#NAME?</v>
      </c>
      <c r="AO150" s="2" t="e">
        <f t="shared" ca="1" si="113"/>
        <v>#NAME?</v>
      </c>
      <c r="AP150" s="2" t="e">
        <f ca="1"/>
        <v>#NAME?</v>
      </c>
      <c r="AQ150" s="2" t="e">
        <f t="shared" ca="1" si="114"/>
        <v>#NAME?</v>
      </c>
      <c r="AR150" s="2" t="e">
        <f ca="1"/>
        <v>#NAME?</v>
      </c>
      <c r="AS150" s="2" t="e">
        <f t="shared" ca="1" si="115"/>
        <v>#NAME?</v>
      </c>
      <c r="AT150" s="2" t="e">
        <f ca="1"/>
        <v>#NAME?</v>
      </c>
      <c r="AU150" s="2" t="e">
        <f t="shared" ca="1" si="116"/>
        <v>#NAME?</v>
      </c>
      <c r="AV150" s="2" t="e">
        <f ca="1"/>
        <v>#NAME?</v>
      </c>
      <c r="AW150" s="2" t="e">
        <f t="shared" ca="1" si="117"/>
        <v>#NAME?</v>
      </c>
      <c r="AX150" s="2" t="e">
        <f ca="1"/>
        <v>#NAME?</v>
      </c>
      <c r="AY150" s="2" t="e">
        <f t="shared" ca="1" si="118"/>
        <v>#NAME?</v>
      </c>
      <c r="AZ150" s="2" t="e">
        <f ca="1"/>
        <v>#NAME?</v>
      </c>
      <c r="BA150" s="2" t="e">
        <f t="shared" ca="1" si="119"/>
        <v>#NAME?</v>
      </c>
      <c r="BB150" s="2" t="e">
        <f ca="1"/>
        <v>#NAME?</v>
      </c>
      <c r="BC150" s="2" t="e">
        <f t="shared" ca="1" si="120"/>
        <v>#NAME?</v>
      </c>
      <c r="BD150" s="2" t="e">
        <f ca="1"/>
        <v>#NAME?</v>
      </c>
      <c r="BE150" s="2" t="e">
        <f t="shared" ca="1" si="121"/>
        <v>#NAME?</v>
      </c>
      <c r="BF150" s="2" t="e">
        <f ca="1"/>
        <v>#NAME?</v>
      </c>
      <c r="BG150" s="2" t="e">
        <f t="shared" ca="1" si="122"/>
        <v>#NAME?</v>
      </c>
      <c r="BH150" s="2" t="e">
        <f ca="1"/>
        <v>#NAME?</v>
      </c>
      <c r="BI150" s="2" t="e">
        <f t="shared" ca="1" si="123"/>
        <v>#NAME?</v>
      </c>
      <c r="BJ150" s="2" t="e">
        <f ca="1"/>
        <v>#NAME?</v>
      </c>
      <c r="BK150" s="2" t="e">
        <f t="shared" ca="1" si="124"/>
        <v>#NAME?</v>
      </c>
      <c r="BL150" s="2" t="e">
        <f ca="1"/>
        <v>#NAME?</v>
      </c>
      <c r="BM150" s="2" t="e">
        <f t="shared" ca="1" si="125"/>
        <v>#NAME?</v>
      </c>
      <c r="BN150" s="2" t="e">
        <f ca="1"/>
        <v>#NAME?</v>
      </c>
      <c r="BO150" s="2" t="e">
        <f t="shared" ca="1" si="126"/>
        <v>#NAME?</v>
      </c>
      <c r="BP150" s="2" t="e">
        <f ca="1"/>
        <v>#NAME?</v>
      </c>
      <c r="BQ150" s="2" t="e">
        <f t="shared" ca="1" si="127"/>
        <v>#NAME?</v>
      </c>
      <c r="BR150" s="2" t="e">
        <f ca="1"/>
        <v>#NAME?</v>
      </c>
      <c r="BS150" s="2" t="e">
        <f t="shared" ca="1" si="128"/>
        <v>#NAME?</v>
      </c>
      <c r="BT150" s="2" t="e">
        <f ca="1"/>
        <v>#NAME?</v>
      </c>
      <c r="BU150" s="2" t="e">
        <f t="shared" ca="1" si="129"/>
        <v>#NAME?</v>
      </c>
      <c r="BV150" s="2" t="e">
        <f ca="1"/>
        <v>#NAME?</v>
      </c>
      <c r="BW150" s="2" t="e">
        <f t="shared" ca="1" si="130"/>
        <v>#NAME?</v>
      </c>
      <c r="BX150" s="2" t="e">
        <f ca="1"/>
        <v>#NAME?</v>
      </c>
      <c r="BY150" s="2" t="e">
        <f t="shared" ca="1" si="131"/>
        <v>#NAME?</v>
      </c>
      <c r="BZ150" s="2" t="e">
        <f ca="1"/>
        <v>#NAME?</v>
      </c>
      <c r="CA150" s="2" t="e">
        <f t="shared" ca="1" si="132"/>
        <v>#NAME?</v>
      </c>
      <c r="CB150" s="2" t="e">
        <f ca="1"/>
        <v>#NAME?</v>
      </c>
      <c r="CC150" s="2" t="e">
        <f t="shared" ca="1" si="133"/>
        <v>#NAME?</v>
      </c>
      <c r="CD150" s="2" t="e">
        <f ca="1"/>
        <v>#NAME?</v>
      </c>
      <c r="CE150" s="2" t="e">
        <f t="shared" ca="1" si="134"/>
        <v>#NAME?</v>
      </c>
      <c r="CF150" s="2" t="e">
        <f ca="1"/>
        <v>#NAME?</v>
      </c>
      <c r="CG150" s="2" t="e">
        <f t="shared" ca="1" si="135"/>
        <v>#NAME?</v>
      </c>
      <c r="CH150" s="2" t="e">
        <f ca="1"/>
        <v>#NAME?</v>
      </c>
      <c r="CI150" s="2" t="e">
        <f t="shared" ca="1" si="136"/>
        <v>#NAME?</v>
      </c>
      <c r="CJ150" s="2" t="e">
        <f ca="1"/>
        <v>#NAME?</v>
      </c>
      <c r="CK150" s="2" t="e">
        <f t="shared" ca="1" si="137"/>
        <v>#NAME?</v>
      </c>
      <c r="CL150" s="2" t="e">
        <f ca="1"/>
        <v>#NAME?</v>
      </c>
      <c r="CM150" s="2" t="e">
        <f t="shared" ca="1" si="138"/>
        <v>#NAME?</v>
      </c>
      <c r="CN150" s="2" t="e">
        <f ca="1"/>
        <v>#NAME?</v>
      </c>
      <c r="CO150" s="2" t="e">
        <f t="shared" ca="1" si="139"/>
        <v>#NAME?</v>
      </c>
      <c r="CP150" s="2" t="e">
        <f ca="1"/>
        <v>#NAME?</v>
      </c>
      <c r="CQ150" s="2" t="e">
        <f t="shared" ca="1" si="140"/>
        <v>#NAME?</v>
      </c>
    </row>
    <row r="151" spans="1:95">
      <c r="A151" s="7" t="e">
        <f ca="1"/>
        <v>#NAME?</v>
      </c>
      <c r="B151" s="2" t="e">
        <f ca="1"/>
        <v>#NAME?</v>
      </c>
      <c r="C151" s="2" t="e">
        <f t="shared" ca="1" si="94"/>
        <v>#NAME?</v>
      </c>
      <c r="D151" s="2" t="e">
        <f ca="1"/>
        <v>#NAME?</v>
      </c>
      <c r="E151" s="2" t="e">
        <f t="shared" ca="1" si="95"/>
        <v>#NAME?</v>
      </c>
      <c r="F151" s="2" t="e">
        <f ca="1"/>
        <v>#NAME?</v>
      </c>
      <c r="G151" s="2" t="e">
        <f t="shared" ca="1" si="96"/>
        <v>#NAME?</v>
      </c>
      <c r="H151" s="2" t="e">
        <f ca="1"/>
        <v>#NAME?</v>
      </c>
      <c r="I151" s="2" t="e">
        <f t="shared" ca="1" si="97"/>
        <v>#NAME?</v>
      </c>
      <c r="J151" s="2" t="e">
        <f ca="1"/>
        <v>#NAME?</v>
      </c>
      <c r="K151" s="2" t="e">
        <f t="shared" ca="1" si="98"/>
        <v>#NAME?</v>
      </c>
      <c r="L151" s="2" t="e">
        <f ca="1"/>
        <v>#NAME?</v>
      </c>
      <c r="M151" s="2" t="e">
        <f t="shared" ca="1" si="99"/>
        <v>#NAME?</v>
      </c>
      <c r="N151" s="2" t="e">
        <f ca="1"/>
        <v>#NAME?</v>
      </c>
      <c r="O151" s="2" t="e">
        <f t="shared" ca="1" si="100"/>
        <v>#NAME?</v>
      </c>
      <c r="P151" s="2" t="e">
        <f ca="1"/>
        <v>#NAME?</v>
      </c>
      <c r="Q151" s="2" t="e">
        <f t="shared" ca="1" si="101"/>
        <v>#NAME?</v>
      </c>
      <c r="R151" s="2" t="e">
        <f ca="1"/>
        <v>#NAME?</v>
      </c>
      <c r="S151" s="2" t="e">
        <f t="shared" ca="1" si="102"/>
        <v>#NAME?</v>
      </c>
      <c r="T151" s="2" t="e">
        <f ca="1"/>
        <v>#NAME?</v>
      </c>
      <c r="U151" s="2" t="e">
        <f t="shared" ca="1" si="103"/>
        <v>#NAME?</v>
      </c>
      <c r="V151" s="2" t="e">
        <f ca="1"/>
        <v>#NAME?</v>
      </c>
      <c r="W151" s="2" t="e">
        <f t="shared" ca="1" si="104"/>
        <v>#NAME?</v>
      </c>
      <c r="X151" s="2" t="e">
        <f ca="1"/>
        <v>#NAME?</v>
      </c>
      <c r="Y151" s="2" t="e">
        <f t="shared" ca="1" si="105"/>
        <v>#NAME?</v>
      </c>
      <c r="Z151" s="2" t="e">
        <f ca="1"/>
        <v>#NAME?</v>
      </c>
      <c r="AA151" s="2" t="e">
        <f t="shared" ca="1" si="106"/>
        <v>#NAME?</v>
      </c>
      <c r="AB151" s="2" t="e">
        <f ca="1"/>
        <v>#NAME?</v>
      </c>
      <c r="AC151" s="2" t="e">
        <f t="shared" ca="1" si="107"/>
        <v>#NAME?</v>
      </c>
      <c r="AD151" s="2" t="e">
        <f ca="1"/>
        <v>#NAME?</v>
      </c>
      <c r="AE151" s="2" t="e">
        <f t="shared" ca="1" si="108"/>
        <v>#NAME?</v>
      </c>
      <c r="AF151" s="2" t="e">
        <f ca="1"/>
        <v>#NAME?</v>
      </c>
      <c r="AG151" s="2" t="e">
        <f t="shared" ca="1" si="109"/>
        <v>#NAME?</v>
      </c>
      <c r="AH151" s="2" t="e">
        <f ca="1"/>
        <v>#NAME?</v>
      </c>
      <c r="AI151" s="2" t="e">
        <f t="shared" ca="1" si="110"/>
        <v>#NAME?</v>
      </c>
      <c r="AJ151" s="2" t="e">
        <f ca="1"/>
        <v>#NAME?</v>
      </c>
      <c r="AK151" s="2" t="e">
        <f t="shared" ca="1" si="111"/>
        <v>#NAME?</v>
      </c>
      <c r="AL151" s="2" t="e">
        <f ca="1"/>
        <v>#NAME?</v>
      </c>
      <c r="AM151" s="2" t="e">
        <f t="shared" ca="1" si="112"/>
        <v>#NAME?</v>
      </c>
      <c r="AN151" s="2" t="e">
        <f ca="1"/>
        <v>#NAME?</v>
      </c>
      <c r="AO151" s="2" t="e">
        <f t="shared" ca="1" si="113"/>
        <v>#NAME?</v>
      </c>
      <c r="AP151" s="2" t="e">
        <f ca="1"/>
        <v>#NAME?</v>
      </c>
      <c r="AQ151" s="2" t="e">
        <f t="shared" ca="1" si="114"/>
        <v>#NAME?</v>
      </c>
      <c r="AR151" s="2" t="e">
        <f ca="1"/>
        <v>#NAME?</v>
      </c>
      <c r="AS151" s="2" t="e">
        <f t="shared" ca="1" si="115"/>
        <v>#NAME?</v>
      </c>
      <c r="AT151" s="2" t="e">
        <f ca="1"/>
        <v>#NAME?</v>
      </c>
      <c r="AU151" s="2" t="e">
        <f t="shared" ca="1" si="116"/>
        <v>#NAME?</v>
      </c>
      <c r="AV151" s="2" t="e">
        <f ca="1"/>
        <v>#NAME?</v>
      </c>
      <c r="AW151" s="2" t="e">
        <f t="shared" ca="1" si="117"/>
        <v>#NAME?</v>
      </c>
      <c r="AX151" s="2" t="e">
        <f ca="1"/>
        <v>#NAME?</v>
      </c>
      <c r="AY151" s="2" t="e">
        <f t="shared" ca="1" si="118"/>
        <v>#NAME?</v>
      </c>
      <c r="AZ151" s="2" t="e">
        <f ca="1"/>
        <v>#NAME?</v>
      </c>
      <c r="BA151" s="2" t="e">
        <f t="shared" ca="1" si="119"/>
        <v>#NAME?</v>
      </c>
      <c r="BB151" s="2" t="e">
        <f ca="1"/>
        <v>#NAME?</v>
      </c>
      <c r="BC151" s="2" t="e">
        <f t="shared" ca="1" si="120"/>
        <v>#NAME?</v>
      </c>
      <c r="BD151" s="2" t="e">
        <f ca="1"/>
        <v>#NAME?</v>
      </c>
      <c r="BE151" s="2" t="e">
        <f t="shared" ca="1" si="121"/>
        <v>#NAME?</v>
      </c>
      <c r="BF151" s="2" t="e">
        <f ca="1"/>
        <v>#NAME?</v>
      </c>
      <c r="BG151" s="2" t="e">
        <f t="shared" ca="1" si="122"/>
        <v>#NAME?</v>
      </c>
      <c r="BH151" s="2" t="e">
        <f ca="1"/>
        <v>#NAME?</v>
      </c>
      <c r="BI151" s="2" t="e">
        <f t="shared" ca="1" si="123"/>
        <v>#NAME?</v>
      </c>
      <c r="BJ151" s="2" t="e">
        <f ca="1"/>
        <v>#NAME?</v>
      </c>
      <c r="BK151" s="2" t="e">
        <f t="shared" ca="1" si="124"/>
        <v>#NAME?</v>
      </c>
      <c r="BL151" s="2" t="e">
        <f ca="1"/>
        <v>#NAME?</v>
      </c>
      <c r="BM151" s="2" t="e">
        <f t="shared" ca="1" si="125"/>
        <v>#NAME?</v>
      </c>
      <c r="BN151" s="2" t="e">
        <f ca="1"/>
        <v>#NAME?</v>
      </c>
      <c r="BO151" s="2" t="e">
        <f t="shared" ca="1" si="126"/>
        <v>#NAME?</v>
      </c>
      <c r="BP151" s="2" t="e">
        <f ca="1"/>
        <v>#NAME?</v>
      </c>
      <c r="BQ151" s="2" t="e">
        <f t="shared" ca="1" si="127"/>
        <v>#NAME?</v>
      </c>
      <c r="BR151" s="2" t="e">
        <f ca="1"/>
        <v>#NAME?</v>
      </c>
      <c r="BS151" s="2" t="e">
        <f t="shared" ca="1" si="128"/>
        <v>#NAME?</v>
      </c>
      <c r="BT151" s="2" t="e">
        <f ca="1"/>
        <v>#NAME?</v>
      </c>
      <c r="BU151" s="2" t="e">
        <f t="shared" ca="1" si="129"/>
        <v>#NAME?</v>
      </c>
      <c r="BV151" s="2" t="e">
        <f ca="1"/>
        <v>#NAME?</v>
      </c>
      <c r="BW151" s="2" t="e">
        <f t="shared" ca="1" si="130"/>
        <v>#NAME?</v>
      </c>
      <c r="BX151" s="2" t="e">
        <f ca="1"/>
        <v>#NAME?</v>
      </c>
      <c r="BY151" s="2" t="e">
        <f t="shared" ca="1" si="131"/>
        <v>#NAME?</v>
      </c>
      <c r="BZ151" s="2" t="e">
        <f ca="1"/>
        <v>#NAME?</v>
      </c>
      <c r="CA151" s="2" t="e">
        <f t="shared" ca="1" si="132"/>
        <v>#NAME?</v>
      </c>
      <c r="CB151" s="2" t="e">
        <f ca="1"/>
        <v>#NAME?</v>
      </c>
      <c r="CC151" s="2" t="e">
        <f t="shared" ca="1" si="133"/>
        <v>#NAME?</v>
      </c>
      <c r="CD151" s="2" t="e">
        <f ca="1"/>
        <v>#NAME?</v>
      </c>
      <c r="CE151" s="2" t="e">
        <f t="shared" ca="1" si="134"/>
        <v>#NAME?</v>
      </c>
      <c r="CF151" s="2" t="e">
        <f ca="1"/>
        <v>#NAME?</v>
      </c>
      <c r="CG151" s="2" t="e">
        <f t="shared" ca="1" si="135"/>
        <v>#NAME?</v>
      </c>
      <c r="CH151" s="2" t="e">
        <f ca="1"/>
        <v>#NAME?</v>
      </c>
      <c r="CI151" s="2" t="e">
        <f t="shared" ca="1" si="136"/>
        <v>#NAME?</v>
      </c>
      <c r="CJ151" s="2" t="e">
        <f ca="1"/>
        <v>#NAME?</v>
      </c>
      <c r="CK151" s="2" t="e">
        <f t="shared" ca="1" si="137"/>
        <v>#NAME?</v>
      </c>
      <c r="CL151" s="2" t="e">
        <f ca="1"/>
        <v>#NAME?</v>
      </c>
      <c r="CM151" s="2" t="e">
        <f t="shared" ca="1" si="138"/>
        <v>#NAME?</v>
      </c>
      <c r="CN151" s="2" t="e">
        <f ca="1"/>
        <v>#NAME?</v>
      </c>
      <c r="CO151" s="2" t="e">
        <f t="shared" ca="1" si="139"/>
        <v>#NAME?</v>
      </c>
      <c r="CP151" s="2" t="e">
        <f ca="1"/>
        <v>#NAME?</v>
      </c>
      <c r="CQ151" s="2" t="e">
        <f t="shared" ca="1" si="140"/>
        <v>#NAME?</v>
      </c>
    </row>
    <row r="152" spans="1:95">
      <c r="A152" s="7" t="e">
        <f ca="1"/>
        <v>#NAME?</v>
      </c>
      <c r="B152" s="2" t="e">
        <f ca="1"/>
        <v>#NAME?</v>
      </c>
      <c r="C152" s="2" t="e">
        <f t="shared" ca="1" si="94"/>
        <v>#NAME?</v>
      </c>
      <c r="D152" s="2" t="e">
        <f ca="1"/>
        <v>#NAME?</v>
      </c>
      <c r="E152" s="2" t="e">
        <f t="shared" ca="1" si="95"/>
        <v>#NAME?</v>
      </c>
      <c r="F152" s="2" t="e">
        <f ca="1"/>
        <v>#NAME?</v>
      </c>
      <c r="G152" s="2" t="e">
        <f t="shared" ca="1" si="96"/>
        <v>#NAME?</v>
      </c>
      <c r="H152" s="2" t="e">
        <f ca="1"/>
        <v>#NAME?</v>
      </c>
      <c r="I152" s="2" t="e">
        <f t="shared" ca="1" si="97"/>
        <v>#NAME?</v>
      </c>
      <c r="J152" s="2" t="e">
        <f ca="1"/>
        <v>#NAME?</v>
      </c>
      <c r="K152" s="2" t="e">
        <f t="shared" ca="1" si="98"/>
        <v>#NAME?</v>
      </c>
      <c r="L152" s="2" t="e">
        <f ca="1"/>
        <v>#NAME?</v>
      </c>
      <c r="M152" s="2" t="e">
        <f t="shared" ca="1" si="99"/>
        <v>#NAME?</v>
      </c>
      <c r="N152" s="2" t="e">
        <f ca="1"/>
        <v>#NAME?</v>
      </c>
      <c r="O152" s="2" t="e">
        <f t="shared" ca="1" si="100"/>
        <v>#NAME?</v>
      </c>
      <c r="P152" s="2" t="e">
        <f ca="1"/>
        <v>#NAME?</v>
      </c>
      <c r="Q152" s="2" t="e">
        <f t="shared" ca="1" si="101"/>
        <v>#NAME?</v>
      </c>
      <c r="R152" s="2" t="e">
        <f ca="1"/>
        <v>#NAME?</v>
      </c>
      <c r="S152" s="2" t="e">
        <f t="shared" ca="1" si="102"/>
        <v>#NAME?</v>
      </c>
      <c r="T152" s="2" t="e">
        <f ca="1"/>
        <v>#NAME?</v>
      </c>
      <c r="U152" s="2" t="e">
        <f t="shared" ca="1" si="103"/>
        <v>#NAME?</v>
      </c>
      <c r="V152" s="2" t="e">
        <f ca="1"/>
        <v>#NAME?</v>
      </c>
      <c r="W152" s="2" t="e">
        <f t="shared" ca="1" si="104"/>
        <v>#NAME?</v>
      </c>
      <c r="X152" s="2" t="e">
        <f ca="1"/>
        <v>#NAME?</v>
      </c>
      <c r="Y152" s="2" t="e">
        <f t="shared" ca="1" si="105"/>
        <v>#NAME?</v>
      </c>
      <c r="Z152" s="2" t="e">
        <f ca="1"/>
        <v>#NAME?</v>
      </c>
      <c r="AA152" s="2" t="e">
        <f t="shared" ca="1" si="106"/>
        <v>#NAME?</v>
      </c>
      <c r="AB152" s="2" t="e">
        <f ca="1"/>
        <v>#NAME?</v>
      </c>
      <c r="AC152" s="2" t="e">
        <f t="shared" ca="1" si="107"/>
        <v>#NAME?</v>
      </c>
      <c r="AD152" s="2" t="e">
        <f ca="1"/>
        <v>#NAME?</v>
      </c>
      <c r="AE152" s="2" t="e">
        <f t="shared" ca="1" si="108"/>
        <v>#NAME?</v>
      </c>
      <c r="AF152" s="2" t="e">
        <f ca="1"/>
        <v>#NAME?</v>
      </c>
      <c r="AG152" s="2" t="e">
        <f t="shared" ca="1" si="109"/>
        <v>#NAME?</v>
      </c>
      <c r="AH152" s="2" t="e">
        <f ca="1"/>
        <v>#NAME?</v>
      </c>
      <c r="AI152" s="2" t="e">
        <f t="shared" ca="1" si="110"/>
        <v>#NAME?</v>
      </c>
      <c r="AJ152" s="2" t="e">
        <f ca="1"/>
        <v>#NAME?</v>
      </c>
      <c r="AK152" s="2" t="e">
        <f t="shared" ca="1" si="111"/>
        <v>#NAME?</v>
      </c>
      <c r="AL152" s="2" t="e">
        <f ca="1"/>
        <v>#NAME?</v>
      </c>
      <c r="AM152" s="2" t="e">
        <f t="shared" ca="1" si="112"/>
        <v>#NAME?</v>
      </c>
      <c r="AN152" s="2" t="e">
        <f ca="1"/>
        <v>#NAME?</v>
      </c>
      <c r="AO152" s="2" t="e">
        <f t="shared" ca="1" si="113"/>
        <v>#NAME?</v>
      </c>
      <c r="AP152" s="2" t="e">
        <f ca="1"/>
        <v>#NAME?</v>
      </c>
      <c r="AQ152" s="2" t="e">
        <f t="shared" ca="1" si="114"/>
        <v>#NAME?</v>
      </c>
      <c r="AR152" s="2" t="e">
        <f ca="1"/>
        <v>#NAME?</v>
      </c>
      <c r="AS152" s="2" t="e">
        <f t="shared" ca="1" si="115"/>
        <v>#NAME?</v>
      </c>
      <c r="AT152" s="2" t="e">
        <f ca="1"/>
        <v>#NAME?</v>
      </c>
      <c r="AU152" s="2" t="e">
        <f t="shared" ca="1" si="116"/>
        <v>#NAME?</v>
      </c>
      <c r="AV152" s="2" t="e">
        <f ca="1"/>
        <v>#NAME?</v>
      </c>
      <c r="AW152" s="2" t="e">
        <f t="shared" ca="1" si="117"/>
        <v>#NAME?</v>
      </c>
      <c r="AX152" s="2" t="e">
        <f ca="1"/>
        <v>#NAME?</v>
      </c>
      <c r="AY152" s="2" t="e">
        <f t="shared" ca="1" si="118"/>
        <v>#NAME?</v>
      </c>
      <c r="AZ152" s="2" t="e">
        <f ca="1"/>
        <v>#NAME?</v>
      </c>
      <c r="BA152" s="2" t="e">
        <f t="shared" ca="1" si="119"/>
        <v>#NAME?</v>
      </c>
      <c r="BB152" s="2" t="e">
        <f ca="1"/>
        <v>#NAME?</v>
      </c>
      <c r="BC152" s="2" t="e">
        <f t="shared" ca="1" si="120"/>
        <v>#NAME?</v>
      </c>
      <c r="BD152" s="2" t="e">
        <f ca="1"/>
        <v>#NAME?</v>
      </c>
      <c r="BE152" s="2" t="e">
        <f t="shared" ca="1" si="121"/>
        <v>#NAME?</v>
      </c>
      <c r="BF152" s="2" t="e">
        <f ca="1"/>
        <v>#NAME?</v>
      </c>
      <c r="BG152" s="2" t="e">
        <f t="shared" ca="1" si="122"/>
        <v>#NAME?</v>
      </c>
      <c r="BH152" s="2" t="e">
        <f ca="1"/>
        <v>#NAME?</v>
      </c>
      <c r="BI152" s="2" t="e">
        <f t="shared" ca="1" si="123"/>
        <v>#NAME?</v>
      </c>
      <c r="BJ152" s="2" t="e">
        <f ca="1"/>
        <v>#NAME?</v>
      </c>
      <c r="BK152" s="2" t="e">
        <f t="shared" ca="1" si="124"/>
        <v>#NAME?</v>
      </c>
      <c r="BL152" s="2" t="e">
        <f ca="1"/>
        <v>#NAME?</v>
      </c>
      <c r="BM152" s="2" t="e">
        <f t="shared" ca="1" si="125"/>
        <v>#NAME?</v>
      </c>
      <c r="BN152" s="2" t="e">
        <f ca="1"/>
        <v>#NAME?</v>
      </c>
      <c r="BO152" s="2" t="e">
        <f t="shared" ca="1" si="126"/>
        <v>#NAME?</v>
      </c>
      <c r="BP152" s="2" t="e">
        <f ca="1"/>
        <v>#NAME?</v>
      </c>
      <c r="BQ152" s="2" t="e">
        <f t="shared" ca="1" si="127"/>
        <v>#NAME?</v>
      </c>
      <c r="BR152" s="2" t="e">
        <f ca="1"/>
        <v>#NAME?</v>
      </c>
      <c r="BS152" s="2" t="e">
        <f t="shared" ca="1" si="128"/>
        <v>#NAME?</v>
      </c>
      <c r="BT152" s="2" t="e">
        <f ca="1"/>
        <v>#NAME?</v>
      </c>
      <c r="BU152" s="2" t="e">
        <f t="shared" ca="1" si="129"/>
        <v>#NAME?</v>
      </c>
      <c r="BV152" s="2" t="e">
        <f ca="1"/>
        <v>#NAME?</v>
      </c>
      <c r="BW152" s="2" t="e">
        <f t="shared" ca="1" si="130"/>
        <v>#NAME?</v>
      </c>
      <c r="BX152" s="2" t="e">
        <f ca="1"/>
        <v>#NAME?</v>
      </c>
      <c r="BY152" s="2" t="e">
        <f t="shared" ca="1" si="131"/>
        <v>#NAME?</v>
      </c>
      <c r="BZ152" s="2" t="e">
        <f ca="1"/>
        <v>#NAME?</v>
      </c>
      <c r="CA152" s="2" t="e">
        <f t="shared" ca="1" si="132"/>
        <v>#NAME?</v>
      </c>
      <c r="CB152" s="2" t="e">
        <f ca="1"/>
        <v>#NAME?</v>
      </c>
      <c r="CC152" s="2" t="e">
        <f t="shared" ca="1" si="133"/>
        <v>#NAME?</v>
      </c>
      <c r="CD152" s="2" t="e">
        <f ca="1"/>
        <v>#NAME?</v>
      </c>
      <c r="CE152" s="2" t="e">
        <f t="shared" ca="1" si="134"/>
        <v>#NAME?</v>
      </c>
      <c r="CF152" s="2" t="e">
        <f ca="1"/>
        <v>#NAME?</v>
      </c>
      <c r="CG152" s="2" t="e">
        <f t="shared" ca="1" si="135"/>
        <v>#NAME?</v>
      </c>
      <c r="CH152" s="2" t="e">
        <f ca="1"/>
        <v>#NAME?</v>
      </c>
      <c r="CI152" s="2" t="e">
        <f t="shared" ca="1" si="136"/>
        <v>#NAME?</v>
      </c>
      <c r="CJ152" s="2" t="e">
        <f ca="1"/>
        <v>#NAME?</v>
      </c>
      <c r="CK152" s="2" t="e">
        <f t="shared" ca="1" si="137"/>
        <v>#NAME?</v>
      </c>
      <c r="CL152" s="2" t="e">
        <f ca="1"/>
        <v>#NAME?</v>
      </c>
      <c r="CM152" s="2" t="e">
        <f t="shared" ca="1" si="138"/>
        <v>#NAME?</v>
      </c>
      <c r="CN152" s="2" t="e">
        <f ca="1"/>
        <v>#NAME?</v>
      </c>
      <c r="CO152" s="2" t="e">
        <f t="shared" ca="1" si="139"/>
        <v>#NAME?</v>
      </c>
      <c r="CP152" s="2" t="e">
        <f ca="1"/>
        <v>#NAME?</v>
      </c>
      <c r="CQ152" s="2" t="e">
        <f t="shared" ca="1" si="140"/>
        <v>#NAME?</v>
      </c>
    </row>
    <row r="153" spans="1:95">
      <c r="A153" s="7" t="e">
        <f ca="1"/>
        <v>#NAME?</v>
      </c>
      <c r="B153" s="2" t="e">
        <f ca="1"/>
        <v>#NAME?</v>
      </c>
      <c r="C153" s="2" t="e">
        <f t="shared" ca="1" si="94"/>
        <v>#NAME?</v>
      </c>
      <c r="D153" s="2" t="e">
        <f ca="1"/>
        <v>#NAME?</v>
      </c>
      <c r="E153" s="2" t="e">
        <f t="shared" ca="1" si="95"/>
        <v>#NAME?</v>
      </c>
      <c r="F153" s="2" t="e">
        <f ca="1"/>
        <v>#NAME?</v>
      </c>
      <c r="G153" s="2" t="e">
        <f t="shared" ca="1" si="96"/>
        <v>#NAME?</v>
      </c>
      <c r="H153" s="2" t="e">
        <f ca="1"/>
        <v>#NAME?</v>
      </c>
      <c r="I153" s="2" t="e">
        <f t="shared" ca="1" si="97"/>
        <v>#NAME?</v>
      </c>
      <c r="J153" s="2" t="e">
        <f ca="1"/>
        <v>#NAME?</v>
      </c>
      <c r="K153" s="2" t="e">
        <f t="shared" ca="1" si="98"/>
        <v>#NAME?</v>
      </c>
      <c r="L153" s="2" t="e">
        <f ca="1"/>
        <v>#NAME?</v>
      </c>
      <c r="M153" s="2" t="e">
        <f t="shared" ca="1" si="99"/>
        <v>#NAME?</v>
      </c>
      <c r="N153" s="2" t="e">
        <f ca="1"/>
        <v>#NAME?</v>
      </c>
      <c r="O153" s="2" t="e">
        <f t="shared" ca="1" si="100"/>
        <v>#NAME?</v>
      </c>
      <c r="P153" s="2" t="e">
        <f ca="1"/>
        <v>#NAME?</v>
      </c>
      <c r="Q153" s="2" t="e">
        <f t="shared" ca="1" si="101"/>
        <v>#NAME?</v>
      </c>
      <c r="R153" s="2" t="e">
        <f ca="1"/>
        <v>#NAME?</v>
      </c>
      <c r="S153" s="2" t="e">
        <f t="shared" ca="1" si="102"/>
        <v>#NAME?</v>
      </c>
      <c r="T153" s="2" t="e">
        <f ca="1"/>
        <v>#NAME?</v>
      </c>
      <c r="U153" s="2" t="e">
        <f t="shared" ca="1" si="103"/>
        <v>#NAME?</v>
      </c>
      <c r="V153" s="2" t="e">
        <f ca="1"/>
        <v>#NAME?</v>
      </c>
      <c r="W153" s="2" t="e">
        <f t="shared" ca="1" si="104"/>
        <v>#NAME?</v>
      </c>
      <c r="X153" s="2" t="e">
        <f ca="1"/>
        <v>#NAME?</v>
      </c>
      <c r="Y153" s="2" t="e">
        <f t="shared" ca="1" si="105"/>
        <v>#NAME?</v>
      </c>
      <c r="Z153" s="2" t="e">
        <f ca="1"/>
        <v>#NAME?</v>
      </c>
      <c r="AA153" s="2" t="e">
        <f t="shared" ca="1" si="106"/>
        <v>#NAME?</v>
      </c>
      <c r="AB153" s="2" t="e">
        <f ca="1"/>
        <v>#NAME?</v>
      </c>
      <c r="AC153" s="2" t="e">
        <f t="shared" ca="1" si="107"/>
        <v>#NAME?</v>
      </c>
      <c r="AD153" s="2" t="e">
        <f ca="1"/>
        <v>#NAME?</v>
      </c>
      <c r="AE153" s="2" t="e">
        <f t="shared" ca="1" si="108"/>
        <v>#NAME?</v>
      </c>
      <c r="AF153" s="2" t="e">
        <f ca="1"/>
        <v>#NAME?</v>
      </c>
      <c r="AG153" s="2" t="e">
        <f t="shared" ca="1" si="109"/>
        <v>#NAME?</v>
      </c>
      <c r="AH153" s="2" t="e">
        <f ca="1"/>
        <v>#NAME?</v>
      </c>
      <c r="AI153" s="2" t="e">
        <f t="shared" ca="1" si="110"/>
        <v>#NAME?</v>
      </c>
      <c r="AJ153" s="2" t="e">
        <f ca="1"/>
        <v>#NAME?</v>
      </c>
      <c r="AK153" s="2" t="e">
        <f t="shared" ca="1" si="111"/>
        <v>#NAME?</v>
      </c>
      <c r="AL153" s="2" t="e">
        <f ca="1"/>
        <v>#NAME?</v>
      </c>
      <c r="AM153" s="2" t="e">
        <f t="shared" ca="1" si="112"/>
        <v>#NAME?</v>
      </c>
      <c r="AN153" s="2" t="e">
        <f ca="1"/>
        <v>#NAME?</v>
      </c>
      <c r="AO153" s="2" t="e">
        <f t="shared" ca="1" si="113"/>
        <v>#NAME?</v>
      </c>
      <c r="AP153" s="2" t="e">
        <f ca="1"/>
        <v>#NAME?</v>
      </c>
      <c r="AQ153" s="2" t="e">
        <f t="shared" ca="1" si="114"/>
        <v>#NAME?</v>
      </c>
      <c r="AR153" s="2" t="e">
        <f ca="1"/>
        <v>#NAME?</v>
      </c>
      <c r="AS153" s="2" t="e">
        <f t="shared" ca="1" si="115"/>
        <v>#NAME?</v>
      </c>
      <c r="AT153" s="2" t="e">
        <f ca="1"/>
        <v>#NAME?</v>
      </c>
      <c r="AU153" s="2" t="e">
        <f t="shared" ca="1" si="116"/>
        <v>#NAME?</v>
      </c>
      <c r="AV153" s="2" t="e">
        <f ca="1"/>
        <v>#NAME?</v>
      </c>
      <c r="AW153" s="2" t="e">
        <f t="shared" ca="1" si="117"/>
        <v>#NAME?</v>
      </c>
      <c r="AX153" s="2" t="e">
        <f ca="1"/>
        <v>#NAME?</v>
      </c>
      <c r="AY153" s="2" t="e">
        <f t="shared" ca="1" si="118"/>
        <v>#NAME?</v>
      </c>
      <c r="AZ153" s="2" t="e">
        <f ca="1"/>
        <v>#NAME?</v>
      </c>
      <c r="BA153" s="2" t="e">
        <f t="shared" ca="1" si="119"/>
        <v>#NAME?</v>
      </c>
      <c r="BB153" s="2" t="e">
        <f ca="1"/>
        <v>#NAME?</v>
      </c>
      <c r="BC153" s="2" t="e">
        <f t="shared" ca="1" si="120"/>
        <v>#NAME?</v>
      </c>
      <c r="BD153" s="2" t="e">
        <f ca="1"/>
        <v>#NAME?</v>
      </c>
      <c r="BE153" s="2" t="e">
        <f t="shared" ca="1" si="121"/>
        <v>#NAME?</v>
      </c>
      <c r="BF153" s="2" t="e">
        <f ca="1"/>
        <v>#NAME?</v>
      </c>
      <c r="BG153" s="2" t="e">
        <f t="shared" ca="1" si="122"/>
        <v>#NAME?</v>
      </c>
      <c r="BH153" s="2" t="e">
        <f ca="1"/>
        <v>#NAME?</v>
      </c>
      <c r="BI153" s="2" t="e">
        <f t="shared" ca="1" si="123"/>
        <v>#NAME?</v>
      </c>
      <c r="BJ153" s="2" t="e">
        <f ca="1"/>
        <v>#NAME?</v>
      </c>
      <c r="BK153" s="2" t="e">
        <f t="shared" ca="1" si="124"/>
        <v>#NAME?</v>
      </c>
      <c r="BL153" s="2" t="e">
        <f ca="1"/>
        <v>#NAME?</v>
      </c>
      <c r="BM153" s="2" t="e">
        <f t="shared" ca="1" si="125"/>
        <v>#NAME?</v>
      </c>
      <c r="BN153" s="2" t="e">
        <f ca="1"/>
        <v>#NAME?</v>
      </c>
      <c r="BO153" s="2" t="e">
        <f t="shared" ca="1" si="126"/>
        <v>#NAME?</v>
      </c>
      <c r="BP153" s="2" t="e">
        <f ca="1"/>
        <v>#NAME?</v>
      </c>
      <c r="BQ153" s="2" t="e">
        <f t="shared" ca="1" si="127"/>
        <v>#NAME?</v>
      </c>
      <c r="BR153" s="2" t="e">
        <f ca="1"/>
        <v>#NAME?</v>
      </c>
      <c r="BS153" s="2" t="e">
        <f t="shared" ca="1" si="128"/>
        <v>#NAME?</v>
      </c>
      <c r="BT153" s="2" t="e">
        <f ca="1"/>
        <v>#NAME?</v>
      </c>
      <c r="BU153" s="2" t="e">
        <f t="shared" ca="1" si="129"/>
        <v>#NAME?</v>
      </c>
      <c r="BV153" s="2" t="e">
        <f ca="1"/>
        <v>#NAME?</v>
      </c>
      <c r="BW153" s="2" t="e">
        <f t="shared" ca="1" si="130"/>
        <v>#NAME?</v>
      </c>
      <c r="BX153" s="2" t="e">
        <f ca="1"/>
        <v>#NAME?</v>
      </c>
      <c r="BY153" s="2" t="e">
        <f t="shared" ca="1" si="131"/>
        <v>#NAME?</v>
      </c>
      <c r="BZ153" s="2" t="e">
        <f ca="1"/>
        <v>#NAME?</v>
      </c>
      <c r="CA153" s="2" t="e">
        <f t="shared" ca="1" si="132"/>
        <v>#NAME?</v>
      </c>
      <c r="CB153" s="2" t="e">
        <f ca="1"/>
        <v>#NAME?</v>
      </c>
      <c r="CC153" s="2" t="e">
        <f t="shared" ca="1" si="133"/>
        <v>#NAME?</v>
      </c>
      <c r="CD153" s="2" t="e">
        <f ca="1"/>
        <v>#NAME?</v>
      </c>
      <c r="CE153" s="2" t="e">
        <f t="shared" ca="1" si="134"/>
        <v>#NAME?</v>
      </c>
      <c r="CF153" s="2" t="e">
        <f ca="1"/>
        <v>#NAME?</v>
      </c>
      <c r="CG153" s="2" t="e">
        <f t="shared" ca="1" si="135"/>
        <v>#NAME?</v>
      </c>
      <c r="CH153" s="2" t="e">
        <f ca="1"/>
        <v>#NAME?</v>
      </c>
      <c r="CI153" s="2" t="e">
        <f t="shared" ca="1" si="136"/>
        <v>#NAME?</v>
      </c>
      <c r="CJ153" s="2" t="e">
        <f ca="1"/>
        <v>#NAME?</v>
      </c>
      <c r="CK153" s="2" t="e">
        <f t="shared" ca="1" si="137"/>
        <v>#NAME?</v>
      </c>
      <c r="CL153" s="2" t="e">
        <f ca="1"/>
        <v>#NAME?</v>
      </c>
      <c r="CM153" s="2" t="e">
        <f t="shared" ca="1" si="138"/>
        <v>#NAME?</v>
      </c>
      <c r="CN153" s="2" t="e">
        <f ca="1"/>
        <v>#NAME?</v>
      </c>
      <c r="CO153" s="2" t="e">
        <f t="shared" ca="1" si="139"/>
        <v>#NAME?</v>
      </c>
      <c r="CP153" s="2" t="e">
        <f ca="1"/>
        <v>#NAME?</v>
      </c>
      <c r="CQ153" s="2" t="e">
        <f t="shared" ca="1" si="140"/>
        <v>#NAME?</v>
      </c>
    </row>
    <row r="154" spans="1:95">
      <c r="A154" s="7" t="e">
        <f ca="1"/>
        <v>#NAME?</v>
      </c>
      <c r="B154" s="2" t="e">
        <f ca="1"/>
        <v>#NAME?</v>
      </c>
      <c r="C154" s="2" t="e">
        <f t="shared" ca="1" si="94"/>
        <v>#NAME?</v>
      </c>
      <c r="D154" s="2" t="e">
        <f ca="1"/>
        <v>#NAME?</v>
      </c>
      <c r="E154" s="2" t="e">
        <f t="shared" ca="1" si="95"/>
        <v>#NAME?</v>
      </c>
      <c r="F154" s="2" t="e">
        <f ca="1"/>
        <v>#NAME?</v>
      </c>
      <c r="G154" s="2" t="e">
        <f t="shared" ca="1" si="96"/>
        <v>#NAME?</v>
      </c>
      <c r="H154" s="2" t="e">
        <f ca="1"/>
        <v>#NAME?</v>
      </c>
      <c r="I154" s="2" t="e">
        <f t="shared" ca="1" si="97"/>
        <v>#NAME?</v>
      </c>
      <c r="J154" s="2" t="e">
        <f ca="1"/>
        <v>#NAME?</v>
      </c>
      <c r="K154" s="2" t="e">
        <f t="shared" ca="1" si="98"/>
        <v>#NAME?</v>
      </c>
      <c r="L154" s="2" t="e">
        <f ca="1"/>
        <v>#NAME?</v>
      </c>
      <c r="M154" s="2" t="e">
        <f t="shared" ca="1" si="99"/>
        <v>#NAME?</v>
      </c>
      <c r="N154" s="2" t="e">
        <f ca="1"/>
        <v>#NAME?</v>
      </c>
      <c r="O154" s="2" t="e">
        <f t="shared" ca="1" si="100"/>
        <v>#NAME?</v>
      </c>
      <c r="P154" s="2" t="e">
        <f ca="1"/>
        <v>#NAME?</v>
      </c>
      <c r="Q154" s="2" t="e">
        <f t="shared" ca="1" si="101"/>
        <v>#NAME?</v>
      </c>
      <c r="R154" s="2" t="e">
        <f ca="1"/>
        <v>#NAME?</v>
      </c>
      <c r="S154" s="2" t="e">
        <f t="shared" ca="1" si="102"/>
        <v>#NAME?</v>
      </c>
      <c r="T154" s="2" t="e">
        <f ca="1"/>
        <v>#NAME?</v>
      </c>
      <c r="U154" s="2" t="e">
        <f t="shared" ca="1" si="103"/>
        <v>#NAME?</v>
      </c>
      <c r="V154" s="2" t="e">
        <f ca="1"/>
        <v>#NAME?</v>
      </c>
      <c r="W154" s="2" t="e">
        <f t="shared" ca="1" si="104"/>
        <v>#NAME?</v>
      </c>
      <c r="X154" s="2" t="e">
        <f ca="1"/>
        <v>#NAME?</v>
      </c>
      <c r="Y154" s="2" t="e">
        <f t="shared" ca="1" si="105"/>
        <v>#NAME?</v>
      </c>
      <c r="Z154" s="2" t="e">
        <f ca="1"/>
        <v>#NAME?</v>
      </c>
      <c r="AA154" s="2" t="e">
        <f t="shared" ca="1" si="106"/>
        <v>#NAME?</v>
      </c>
      <c r="AB154" s="2" t="e">
        <f ca="1"/>
        <v>#NAME?</v>
      </c>
      <c r="AC154" s="2" t="e">
        <f t="shared" ca="1" si="107"/>
        <v>#NAME?</v>
      </c>
      <c r="AD154" s="2" t="e">
        <f ca="1"/>
        <v>#NAME?</v>
      </c>
      <c r="AE154" s="2" t="e">
        <f t="shared" ca="1" si="108"/>
        <v>#NAME?</v>
      </c>
      <c r="AF154" s="2" t="e">
        <f ca="1"/>
        <v>#NAME?</v>
      </c>
      <c r="AG154" s="2" t="e">
        <f t="shared" ca="1" si="109"/>
        <v>#NAME?</v>
      </c>
      <c r="AH154" s="2" t="e">
        <f ca="1"/>
        <v>#NAME?</v>
      </c>
      <c r="AI154" s="2" t="e">
        <f t="shared" ca="1" si="110"/>
        <v>#NAME?</v>
      </c>
      <c r="AJ154" s="2" t="e">
        <f ca="1"/>
        <v>#NAME?</v>
      </c>
      <c r="AK154" s="2" t="e">
        <f t="shared" ca="1" si="111"/>
        <v>#NAME?</v>
      </c>
      <c r="AL154" s="2" t="e">
        <f ca="1"/>
        <v>#NAME?</v>
      </c>
      <c r="AM154" s="2" t="e">
        <f t="shared" ca="1" si="112"/>
        <v>#NAME?</v>
      </c>
      <c r="AN154" s="2" t="e">
        <f ca="1"/>
        <v>#NAME?</v>
      </c>
      <c r="AO154" s="2" t="e">
        <f t="shared" ca="1" si="113"/>
        <v>#NAME?</v>
      </c>
      <c r="AP154" s="2" t="e">
        <f ca="1"/>
        <v>#NAME?</v>
      </c>
      <c r="AQ154" s="2" t="e">
        <f t="shared" ca="1" si="114"/>
        <v>#NAME?</v>
      </c>
      <c r="AR154" s="2" t="e">
        <f ca="1"/>
        <v>#NAME?</v>
      </c>
      <c r="AS154" s="2" t="e">
        <f t="shared" ca="1" si="115"/>
        <v>#NAME?</v>
      </c>
      <c r="AT154" s="2" t="e">
        <f ca="1"/>
        <v>#NAME?</v>
      </c>
      <c r="AU154" s="2" t="e">
        <f t="shared" ca="1" si="116"/>
        <v>#NAME?</v>
      </c>
      <c r="AV154" s="2" t="e">
        <f ca="1"/>
        <v>#NAME?</v>
      </c>
      <c r="AW154" s="2" t="e">
        <f t="shared" ca="1" si="117"/>
        <v>#NAME?</v>
      </c>
      <c r="AX154" s="2" t="e">
        <f ca="1"/>
        <v>#NAME?</v>
      </c>
      <c r="AY154" s="2" t="e">
        <f t="shared" ca="1" si="118"/>
        <v>#NAME?</v>
      </c>
      <c r="AZ154" s="2" t="e">
        <f ca="1"/>
        <v>#NAME?</v>
      </c>
      <c r="BA154" s="2" t="e">
        <f t="shared" ca="1" si="119"/>
        <v>#NAME?</v>
      </c>
      <c r="BB154" s="2" t="e">
        <f ca="1"/>
        <v>#NAME?</v>
      </c>
      <c r="BC154" s="2" t="e">
        <f t="shared" ca="1" si="120"/>
        <v>#NAME?</v>
      </c>
      <c r="BD154" s="2" t="e">
        <f ca="1"/>
        <v>#NAME?</v>
      </c>
      <c r="BE154" s="2" t="e">
        <f t="shared" ca="1" si="121"/>
        <v>#NAME?</v>
      </c>
      <c r="BF154" s="2" t="e">
        <f ca="1"/>
        <v>#NAME?</v>
      </c>
      <c r="BG154" s="2" t="e">
        <f t="shared" ca="1" si="122"/>
        <v>#NAME?</v>
      </c>
      <c r="BH154" s="2" t="e">
        <f ca="1"/>
        <v>#NAME?</v>
      </c>
      <c r="BI154" s="2" t="e">
        <f t="shared" ca="1" si="123"/>
        <v>#NAME?</v>
      </c>
      <c r="BJ154" s="2" t="e">
        <f ca="1"/>
        <v>#NAME?</v>
      </c>
      <c r="BK154" s="2" t="e">
        <f t="shared" ca="1" si="124"/>
        <v>#NAME?</v>
      </c>
      <c r="BL154" s="2" t="e">
        <f ca="1"/>
        <v>#NAME?</v>
      </c>
      <c r="BM154" s="2" t="e">
        <f t="shared" ca="1" si="125"/>
        <v>#NAME?</v>
      </c>
      <c r="BN154" s="2" t="e">
        <f ca="1"/>
        <v>#NAME?</v>
      </c>
      <c r="BO154" s="2" t="e">
        <f t="shared" ca="1" si="126"/>
        <v>#NAME?</v>
      </c>
      <c r="BP154" s="2" t="e">
        <f ca="1"/>
        <v>#NAME?</v>
      </c>
      <c r="BQ154" s="2" t="e">
        <f t="shared" ca="1" si="127"/>
        <v>#NAME?</v>
      </c>
      <c r="BR154" s="2" t="e">
        <f ca="1"/>
        <v>#NAME?</v>
      </c>
      <c r="BS154" s="2" t="e">
        <f t="shared" ca="1" si="128"/>
        <v>#NAME?</v>
      </c>
      <c r="BT154" s="2" t="e">
        <f ca="1"/>
        <v>#NAME?</v>
      </c>
      <c r="BU154" s="2" t="e">
        <f t="shared" ca="1" si="129"/>
        <v>#NAME?</v>
      </c>
      <c r="BV154" s="2" t="e">
        <f ca="1"/>
        <v>#NAME?</v>
      </c>
      <c r="BW154" s="2" t="e">
        <f t="shared" ca="1" si="130"/>
        <v>#NAME?</v>
      </c>
      <c r="BX154" s="2" t="e">
        <f ca="1"/>
        <v>#NAME?</v>
      </c>
      <c r="BY154" s="2" t="e">
        <f t="shared" ca="1" si="131"/>
        <v>#NAME?</v>
      </c>
      <c r="BZ154" s="2" t="e">
        <f ca="1"/>
        <v>#NAME?</v>
      </c>
      <c r="CA154" s="2" t="e">
        <f t="shared" ca="1" si="132"/>
        <v>#NAME?</v>
      </c>
      <c r="CB154" s="2" t="e">
        <f ca="1"/>
        <v>#NAME?</v>
      </c>
      <c r="CC154" s="2" t="e">
        <f t="shared" ca="1" si="133"/>
        <v>#NAME?</v>
      </c>
      <c r="CD154" s="2" t="e">
        <f ca="1"/>
        <v>#NAME?</v>
      </c>
      <c r="CE154" s="2" t="e">
        <f t="shared" ca="1" si="134"/>
        <v>#NAME?</v>
      </c>
      <c r="CF154" s="2" t="e">
        <f ca="1"/>
        <v>#NAME?</v>
      </c>
      <c r="CG154" s="2" t="e">
        <f t="shared" ca="1" si="135"/>
        <v>#NAME?</v>
      </c>
      <c r="CH154" s="2" t="e">
        <f ca="1"/>
        <v>#NAME?</v>
      </c>
      <c r="CI154" s="2" t="e">
        <f t="shared" ca="1" si="136"/>
        <v>#NAME?</v>
      </c>
      <c r="CJ154" s="2" t="e">
        <f ca="1"/>
        <v>#NAME?</v>
      </c>
      <c r="CK154" s="2" t="e">
        <f t="shared" ca="1" si="137"/>
        <v>#NAME?</v>
      </c>
      <c r="CL154" s="2" t="e">
        <f ca="1"/>
        <v>#NAME?</v>
      </c>
      <c r="CM154" s="2" t="e">
        <f t="shared" ca="1" si="138"/>
        <v>#NAME?</v>
      </c>
      <c r="CN154" s="2" t="e">
        <f ca="1"/>
        <v>#NAME?</v>
      </c>
      <c r="CO154" s="2" t="e">
        <f t="shared" ca="1" si="139"/>
        <v>#NAME?</v>
      </c>
      <c r="CP154" s="2" t="e">
        <f ca="1"/>
        <v>#NAME?</v>
      </c>
      <c r="CQ154" s="2" t="e">
        <f t="shared" ca="1" si="140"/>
        <v>#NAME?</v>
      </c>
    </row>
    <row r="155" spans="1:95">
      <c r="A155" s="7" t="e">
        <f ca="1"/>
        <v>#NAME?</v>
      </c>
      <c r="B155" s="2" t="e">
        <f ca="1"/>
        <v>#NAME?</v>
      </c>
      <c r="C155" s="2" t="e">
        <f t="shared" ca="1" si="94"/>
        <v>#NAME?</v>
      </c>
      <c r="D155" s="2" t="e">
        <f ca="1"/>
        <v>#NAME?</v>
      </c>
      <c r="E155" s="2" t="e">
        <f t="shared" ca="1" si="95"/>
        <v>#NAME?</v>
      </c>
      <c r="F155" s="2" t="e">
        <f ca="1"/>
        <v>#NAME?</v>
      </c>
      <c r="G155" s="2" t="e">
        <f t="shared" ca="1" si="96"/>
        <v>#NAME?</v>
      </c>
      <c r="H155" s="2" t="e">
        <f ca="1"/>
        <v>#NAME?</v>
      </c>
      <c r="I155" s="2" t="e">
        <f t="shared" ca="1" si="97"/>
        <v>#NAME?</v>
      </c>
      <c r="J155" s="2" t="e">
        <f ca="1"/>
        <v>#NAME?</v>
      </c>
      <c r="K155" s="2" t="e">
        <f t="shared" ca="1" si="98"/>
        <v>#NAME?</v>
      </c>
      <c r="L155" s="2" t="e">
        <f ca="1"/>
        <v>#NAME?</v>
      </c>
      <c r="M155" s="2" t="e">
        <f t="shared" ca="1" si="99"/>
        <v>#NAME?</v>
      </c>
      <c r="N155" s="2" t="e">
        <f ca="1"/>
        <v>#NAME?</v>
      </c>
      <c r="O155" s="2" t="e">
        <f t="shared" ca="1" si="100"/>
        <v>#NAME?</v>
      </c>
      <c r="P155" s="2" t="e">
        <f ca="1"/>
        <v>#NAME?</v>
      </c>
      <c r="Q155" s="2" t="e">
        <f t="shared" ca="1" si="101"/>
        <v>#NAME?</v>
      </c>
      <c r="R155" s="2" t="e">
        <f ca="1"/>
        <v>#NAME?</v>
      </c>
      <c r="S155" s="2" t="e">
        <f t="shared" ca="1" si="102"/>
        <v>#NAME?</v>
      </c>
      <c r="T155" s="2" t="e">
        <f ca="1"/>
        <v>#NAME?</v>
      </c>
      <c r="U155" s="2" t="e">
        <f t="shared" ca="1" si="103"/>
        <v>#NAME?</v>
      </c>
      <c r="V155" s="2" t="e">
        <f ca="1"/>
        <v>#NAME?</v>
      </c>
      <c r="W155" s="2" t="e">
        <f t="shared" ca="1" si="104"/>
        <v>#NAME?</v>
      </c>
      <c r="X155" s="2" t="e">
        <f ca="1"/>
        <v>#NAME?</v>
      </c>
      <c r="Y155" s="2" t="e">
        <f t="shared" ca="1" si="105"/>
        <v>#NAME?</v>
      </c>
      <c r="Z155" s="2" t="e">
        <f ca="1"/>
        <v>#NAME?</v>
      </c>
      <c r="AA155" s="2" t="e">
        <f t="shared" ca="1" si="106"/>
        <v>#NAME?</v>
      </c>
      <c r="AB155" s="2" t="e">
        <f ca="1"/>
        <v>#NAME?</v>
      </c>
      <c r="AC155" s="2" t="e">
        <f t="shared" ca="1" si="107"/>
        <v>#NAME?</v>
      </c>
      <c r="AD155" s="2" t="e">
        <f ca="1"/>
        <v>#NAME?</v>
      </c>
      <c r="AE155" s="2" t="e">
        <f t="shared" ca="1" si="108"/>
        <v>#NAME?</v>
      </c>
      <c r="AF155" s="2" t="e">
        <f ca="1"/>
        <v>#NAME?</v>
      </c>
      <c r="AG155" s="2" t="e">
        <f t="shared" ca="1" si="109"/>
        <v>#NAME?</v>
      </c>
      <c r="AH155" s="2" t="e">
        <f ca="1"/>
        <v>#NAME?</v>
      </c>
      <c r="AI155" s="2" t="e">
        <f t="shared" ca="1" si="110"/>
        <v>#NAME?</v>
      </c>
      <c r="AJ155" s="2" t="e">
        <f ca="1"/>
        <v>#NAME?</v>
      </c>
      <c r="AK155" s="2" t="e">
        <f t="shared" ca="1" si="111"/>
        <v>#NAME?</v>
      </c>
      <c r="AL155" s="2" t="e">
        <f ca="1"/>
        <v>#NAME?</v>
      </c>
      <c r="AM155" s="2" t="e">
        <f t="shared" ca="1" si="112"/>
        <v>#NAME?</v>
      </c>
      <c r="AN155" s="2" t="e">
        <f ca="1"/>
        <v>#NAME?</v>
      </c>
      <c r="AO155" s="2" t="e">
        <f t="shared" ca="1" si="113"/>
        <v>#NAME?</v>
      </c>
      <c r="AP155" s="2" t="e">
        <f ca="1"/>
        <v>#NAME?</v>
      </c>
      <c r="AQ155" s="2" t="e">
        <f t="shared" ca="1" si="114"/>
        <v>#NAME?</v>
      </c>
      <c r="AR155" s="2" t="e">
        <f ca="1"/>
        <v>#NAME?</v>
      </c>
      <c r="AS155" s="2" t="e">
        <f t="shared" ca="1" si="115"/>
        <v>#NAME?</v>
      </c>
      <c r="AT155" s="2" t="e">
        <f ca="1"/>
        <v>#NAME?</v>
      </c>
      <c r="AU155" s="2" t="e">
        <f t="shared" ca="1" si="116"/>
        <v>#NAME?</v>
      </c>
      <c r="AV155" s="2" t="e">
        <f ca="1"/>
        <v>#NAME?</v>
      </c>
      <c r="AW155" s="2" t="e">
        <f t="shared" ca="1" si="117"/>
        <v>#NAME?</v>
      </c>
      <c r="AX155" s="2" t="e">
        <f ca="1"/>
        <v>#NAME?</v>
      </c>
      <c r="AY155" s="2" t="e">
        <f t="shared" ca="1" si="118"/>
        <v>#NAME?</v>
      </c>
      <c r="AZ155" s="2" t="e">
        <f ca="1"/>
        <v>#NAME?</v>
      </c>
      <c r="BA155" s="2" t="e">
        <f t="shared" ca="1" si="119"/>
        <v>#NAME?</v>
      </c>
      <c r="BB155" s="2" t="e">
        <f ca="1"/>
        <v>#NAME?</v>
      </c>
      <c r="BC155" s="2" t="e">
        <f t="shared" ca="1" si="120"/>
        <v>#NAME?</v>
      </c>
      <c r="BD155" s="2" t="e">
        <f ca="1"/>
        <v>#NAME?</v>
      </c>
      <c r="BE155" s="2" t="e">
        <f t="shared" ca="1" si="121"/>
        <v>#NAME?</v>
      </c>
      <c r="BF155" s="2" t="e">
        <f ca="1"/>
        <v>#NAME?</v>
      </c>
      <c r="BG155" s="2" t="e">
        <f t="shared" ca="1" si="122"/>
        <v>#NAME?</v>
      </c>
      <c r="BH155" s="2" t="e">
        <f ca="1"/>
        <v>#NAME?</v>
      </c>
      <c r="BI155" s="2" t="e">
        <f t="shared" ca="1" si="123"/>
        <v>#NAME?</v>
      </c>
      <c r="BJ155" s="2" t="e">
        <f ca="1"/>
        <v>#NAME?</v>
      </c>
      <c r="BK155" s="2" t="e">
        <f t="shared" ca="1" si="124"/>
        <v>#NAME?</v>
      </c>
      <c r="BL155" s="2" t="e">
        <f ca="1"/>
        <v>#NAME?</v>
      </c>
      <c r="BM155" s="2" t="e">
        <f t="shared" ca="1" si="125"/>
        <v>#NAME?</v>
      </c>
      <c r="BN155" s="2" t="e">
        <f ca="1"/>
        <v>#NAME?</v>
      </c>
      <c r="BO155" s="2" t="e">
        <f t="shared" ca="1" si="126"/>
        <v>#NAME?</v>
      </c>
      <c r="BP155" s="2" t="e">
        <f ca="1"/>
        <v>#NAME?</v>
      </c>
      <c r="BQ155" s="2" t="e">
        <f t="shared" ca="1" si="127"/>
        <v>#NAME?</v>
      </c>
      <c r="BR155" s="2" t="e">
        <f ca="1"/>
        <v>#NAME?</v>
      </c>
      <c r="BS155" s="2" t="e">
        <f t="shared" ca="1" si="128"/>
        <v>#NAME?</v>
      </c>
      <c r="BT155" s="2" t="e">
        <f ca="1"/>
        <v>#NAME?</v>
      </c>
      <c r="BU155" s="2" t="e">
        <f t="shared" ca="1" si="129"/>
        <v>#NAME?</v>
      </c>
      <c r="BV155" s="2" t="e">
        <f ca="1"/>
        <v>#NAME?</v>
      </c>
      <c r="BW155" s="2" t="e">
        <f t="shared" ca="1" si="130"/>
        <v>#NAME?</v>
      </c>
      <c r="BX155" s="2" t="e">
        <f ca="1"/>
        <v>#NAME?</v>
      </c>
      <c r="BY155" s="2" t="e">
        <f t="shared" ca="1" si="131"/>
        <v>#NAME?</v>
      </c>
      <c r="BZ155" s="2" t="e">
        <f ca="1"/>
        <v>#NAME?</v>
      </c>
      <c r="CA155" s="2" t="e">
        <f t="shared" ca="1" si="132"/>
        <v>#NAME?</v>
      </c>
      <c r="CB155" s="2" t="e">
        <f ca="1"/>
        <v>#NAME?</v>
      </c>
      <c r="CC155" s="2" t="e">
        <f t="shared" ca="1" si="133"/>
        <v>#NAME?</v>
      </c>
      <c r="CD155" s="2" t="e">
        <f ca="1"/>
        <v>#NAME?</v>
      </c>
      <c r="CE155" s="2" t="e">
        <f t="shared" ca="1" si="134"/>
        <v>#NAME?</v>
      </c>
      <c r="CF155" s="2" t="e">
        <f ca="1"/>
        <v>#NAME?</v>
      </c>
      <c r="CG155" s="2" t="e">
        <f t="shared" ca="1" si="135"/>
        <v>#NAME?</v>
      </c>
      <c r="CH155" s="2" t="e">
        <f ca="1"/>
        <v>#NAME?</v>
      </c>
      <c r="CI155" s="2" t="e">
        <f t="shared" ca="1" si="136"/>
        <v>#NAME?</v>
      </c>
      <c r="CJ155" s="2" t="e">
        <f ca="1"/>
        <v>#NAME?</v>
      </c>
      <c r="CK155" s="2" t="e">
        <f t="shared" ca="1" si="137"/>
        <v>#NAME?</v>
      </c>
      <c r="CL155" s="2" t="e">
        <f ca="1"/>
        <v>#NAME?</v>
      </c>
      <c r="CM155" s="2" t="e">
        <f t="shared" ca="1" si="138"/>
        <v>#NAME?</v>
      </c>
      <c r="CN155" s="2" t="e">
        <f ca="1"/>
        <v>#NAME?</v>
      </c>
      <c r="CO155" s="2" t="e">
        <f t="shared" ca="1" si="139"/>
        <v>#NAME?</v>
      </c>
      <c r="CP155" s="2" t="e">
        <f ca="1"/>
        <v>#NAME?</v>
      </c>
      <c r="CQ155" s="2" t="e">
        <f t="shared" ca="1" si="140"/>
        <v>#NAME?</v>
      </c>
    </row>
    <row r="156" spans="1:95">
      <c r="A156" s="7" t="e">
        <f ca="1"/>
        <v>#NAME?</v>
      </c>
      <c r="B156" s="2" t="e">
        <f ca="1"/>
        <v>#NAME?</v>
      </c>
      <c r="C156" s="2" t="e">
        <f t="shared" ca="1" si="94"/>
        <v>#NAME?</v>
      </c>
      <c r="D156" s="2" t="e">
        <f ca="1"/>
        <v>#NAME?</v>
      </c>
      <c r="E156" s="2" t="e">
        <f t="shared" ca="1" si="95"/>
        <v>#NAME?</v>
      </c>
      <c r="F156" s="2" t="e">
        <f ca="1"/>
        <v>#NAME?</v>
      </c>
      <c r="G156" s="2" t="e">
        <f t="shared" ca="1" si="96"/>
        <v>#NAME?</v>
      </c>
      <c r="H156" s="2" t="e">
        <f ca="1"/>
        <v>#NAME?</v>
      </c>
      <c r="I156" s="2" t="e">
        <f t="shared" ca="1" si="97"/>
        <v>#NAME?</v>
      </c>
      <c r="J156" s="2" t="e">
        <f ca="1"/>
        <v>#NAME?</v>
      </c>
      <c r="K156" s="2" t="e">
        <f t="shared" ca="1" si="98"/>
        <v>#NAME?</v>
      </c>
      <c r="L156" s="2" t="e">
        <f ca="1"/>
        <v>#NAME?</v>
      </c>
      <c r="M156" s="2" t="e">
        <f t="shared" ca="1" si="99"/>
        <v>#NAME?</v>
      </c>
      <c r="N156" s="2" t="e">
        <f ca="1"/>
        <v>#NAME?</v>
      </c>
      <c r="O156" s="2" t="e">
        <f t="shared" ca="1" si="100"/>
        <v>#NAME?</v>
      </c>
      <c r="P156" s="2" t="e">
        <f ca="1"/>
        <v>#NAME?</v>
      </c>
      <c r="Q156" s="2" t="e">
        <f t="shared" ca="1" si="101"/>
        <v>#NAME?</v>
      </c>
      <c r="R156" s="2" t="e">
        <f ca="1"/>
        <v>#NAME?</v>
      </c>
      <c r="S156" s="2" t="e">
        <f t="shared" ca="1" si="102"/>
        <v>#NAME?</v>
      </c>
      <c r="T156" s="2" t="e">
        <f ca="1"/>
        <v>#NAME?</v>
      </c>
      <c r="U156" s="2" t="e">
        <f t="shared" ca="1" si="103"/>
        <v>#NAME?</v>
      </c>
      <c r="V156" s="2" t="e">
        <f ca="1"/>
        <v>#NAME?</v>
      </c>
      <c r="W156" s="2" t="e">
        <f t="shared" ca="1" si="104"/>
        <v>#NAME?</v>
      </c>
      <c r="X156" s="2" t="e">
        <f ca="1"/>
        <v>#NAME?</v>
      </c>
      <c r="Y156" s="2" t="e">
        <f t="shared" ca="1" si="105"/>
        <v>#NAME?</v>
      </c>
      <c r="Z156" s="2" t="e">
        <f ca="1"/>
        <v>#NAME?</v>
      </c>
      <c r="AA156" s="2" t="e">
        <f t="shared" ca="1" si="106"/>
        <v>#NAME?</v>
      </c>
      <c r="AB156" s="2" t="e">
        <f ca="1"/>
        <v>#NAME?</v>
      </c>
      <c r="AC156" s="2" t="e">
        <f t="shared" ca="1" si="107"/>
        <v>#NAME?</v>
      </c>
      <c r="AD156" s="2" t="e">
        <f ca="1"/>
        <v>#NAME?</v>
      </c>
      <c r="AE156" s="2" t="e">
        <f t="shared" ca="1" si="108"/>
        <v>#NAME?</v>
      </c>
      <c r="AF156" s="2" t="e">
        <f ca="1"/>
        <v>#NAME?</v>
      </c>
      <c r="AG156" s="2" t="e">
        <f t="shared" ca="1" si="109"/>
        <v>#NAME?</v>
      </c>
      <c r="AH156" s="2" t="e">
        <f ca="1"/>
        <v>#NAME?</v>
      </c>
      <c r="AI156" s="2" t="e">
        <f t="shared" ca="1" si="110"/>
        <v>#NAME?</v>
      </c>
      <c r="AJ156" s="2" t="e">
        <f ca="1"/>
        <v>#NAME?</v>
      </c>
      <c r="AK156" s="2" t="e">
        <f t="shared" ca="1" si="111"/>
        <v>#NAME?</v>
      </c>
      <c r="AL156" s="2" t="e">
        <f ca="1"/>
        <v>#NAME?</v>
      </c>
      <c r="AM156" s="2" t="e">
        <f t="shared" ca="1" si="112"/>
        <v>#NAME?</v>
      </c>
      <c r="AN156" s="2" t="e">
        <f ca="1"/>
        <v>#NAME?</v>
      </c>
      <c r="AO156" s="2" t="e">
        <f t="shared" ca="1" si="113"/>
        <v>#NAME?</v>
      </c>
      <c r="AP156" s="2" t="e">
        <f ca="1"/>
        <v>#NAME?</v>
      </c>
      <c r="AQ156" s="2" t="e">
        <f t="shared" ca="1" si="114"/>
        <v>#NAME?</v>
      </c>
      <c r="AR156" s="2" t="e">
        <f ca="1"/>
        <v>#NAME?</v>
      </c>
      <c r="AS156" s="2" t="e">
        <f t="shared" ca="1" si="115"/>
        <v>#NAME?</v>
      </c>
      <c r="AT156" s="2" t="e">
        <f ca="1"/>
        <v>#NAME?</v>
      </c>
      <c r="AU156" s="2" t="e">
        <f t="shared" ca="1" si="116"/>
        <v>#NAME?</v>
      </c>
      <c r="AV156" s="2" t="e">
        <f ca="1"/>
        <v>#NAME?</v>
      </c>
      <c r="AW156" s="2" t="e">
        <f t="shared" ca="1" si="117"/>
        <v>#NAME?</v>
      </c>
      <c r="AX156" s="2" t="e">
        <f ca="1"/>
        <v>#NAME?</v>
      </c>
      <c r="AY156" s="2" t="e">
        <f t="shared" ca="1" si="118"/>
        <v>#NAME?</v>
      </c>
      <c r="AZ156" s="2" t="e">
        <f ca="1"/>
        <v>#NAME?</v>
      </c>
      <c r="BA156" s="2" t="e">
        <f t="shared" ca="1" si="119"/>
        <v>#NAME?</v>
      </c>
      <c r="BB156" s="2" t="e">
        <f ca="1"/>
        <v>#NAME?</v>
      </c>
      <c r="BC156" s="2" t="e">
        <f t="shared" ca="1" si="120"/>
        <v>#NAME?</v>
      </c>
      <c r="BD156" s="2" t="e">
        <f ca="1"/>
        <v>#NAME?</v>
      </c>
      <c r="BE156" s="2" t="e">
        <f t="shared" ca="1" si="121"/>
        <v>#NAME?</v>
      </c>
      <c r="BF156" s="2" t="e">
        <f ca="1"/>
        <v>#NAME?</v>
      </c>
      <c r="BG156" s="2" t="e">
        <f t="shared" ca="1" si="122"/>
        <v>#NAME?</v>
      </c>
      <c r="BH156" s="2" t="e">
        <f ca="1"/>
        <v>#NAME?</v>
      </c>
      <c r="BI156" s="2" t="e">
        <f t="shared" ca="1" si="123"/>
        <v>#NAME?</v>
      </c>
      <c r="BJ156" s="2" t="e">
        <f ca="1"/>
        <v>#NAME?</v>
      </c>
      <c r="BK156" s="2" t="e">
        <f t="shared" ca="1" si="124"/>
        <v>#NAME?</v>
      </c>
      <c r="BL156" s="2" t="e">
        <f ca="1"/>
        <v>#NAME?</v>
      </c>
      <c r="BM156" s="2" t="e">
        <f t="shared" ca="1" si="125"/>
        <v>#NAME?</v>
      </c>
      <c r="BN156" s="2" t="e">
        <f ca="1"/>
        <v>#NAME?</v>
      </c>
      <c r="BO156" s="2" t="e">
        <f t="shared" ca="1" si="126"/>
        <v>#NAME?</v>
      </c>
      <c r="BP156" s="2" t="e">
        <f ca="1"/>
        <v>#NAME?</v>
      </c>
      <c r="BQ156" s="2" t="e">
        <f t="shared" ca="1" si="127"/>
        <v>#NAME?</v>
      </c>
      <c r="BR156" s="2" t="e">
        <f ca="1"/>
        <v>#NAME?</v>
      </c>
      <c r="BS156" s="2" t="e">
        <f t="shared" ca="1" si="128"/>
        <v>#NAME?</v>
      </c>
      <c r="BT156" s="2" t="e">
        <f ca="1"/>
        <v>#NAME?</v>
      </c>
      <c r="BU156" s="2" t="e">
        <f t="shared" ca="1" si="129"/>
        <v>#NAME?</v>
      </c>
      <c r="BV156" s="2" t="e">
        <f ca="1"/>
        <v>#NAME?</v>
      </c>
      <c r="BW156" s="2" t="e">
        <f t="shared" ca="1" si="130"/>
        <v>#NAME?</v>
      </c>
      <c r="BX156" s="2" t="e">
        <f ca="1"/>
        <v>#NAME?</v>
      </c>
      <c r="BY156" s="2" t="e">
        <f t="shared" ca="1" si="131"/>
        <v>#NAME?</v>
      </c>
      <c r="BZ156" s="2" t="e">
        <f ca="1"/>
        <v>#NAME?</v>
      </c>
      <c r="CA156" s="2" t="e">
        <f t="shared" ca="1" si="132"/>
        <v>#NAME?</v>
      </c>
      <c r="CB156" s="2" t="e">
        <f ca="1"/>
        <v>#NAME?</v>
      </c>
      <c r="CC156" s="2" t="e">
        <f t="shared" ca="1" si="133"/>
        <v>#NAME?</v>
      </c>
      <c r="CD156" s="2" t="e">
        <f ca="1"/>
        <v>#NAME?</v>
      </c>
      <c r="CE156" s="2" t="e">
        <f t="shared" ca="1" si="134"/>
        <v>#NAME?</v>
      </c>
      <c r="CF156" s="2" t="e">
        <f ca="1"/>
        <v>#NAME?</v>
      </c>
      <c r="CG156" s="2" t="e">
        <f t="shared" ca="1" si="135"/>
        <v>#NAME?</v>
      </c>
      <c r="CH156" s="2" t="e">
        <f ca="1"/>
        <v>#NAME?</v>
      </c>
      <c r="CI156" s="2" t="e">
        <f t="shared" ca="1" si="136"/>
        <v>#NAME?</v>
      </c>
      <c r="CJ156" s="2" t="e">
        <f ca="1"/>
        <v>#NAME?</v>
      </c>
      <c r="CK156" s="2" t="e">
        <f t="shared" ca="1" si="137"/>
        <v>#NAME?</v>
      </c>
      <c r="CL156" s="2" t="e">
        <f ca="1"/>
        <v>#NAME?</v>
      </c>
      <c r="CM156" s="2" t="e">
        <f t="shared" ca="1" si="138"/>
        <v>#NAME?</v>
      </c>
      <c r="CN156" s="2" t="e">
        <f ca="1"/>
        <v>#NAME?</v>
      </c>
      <c r="CO156" s="2" t="e">
        <f t="shared" ca="1" si="139"/>
        <v>#NAME?</v>
      </c>
      <c r="CP156" s="2" t="e">
        <f ca="1"/>
        <v>#NAME?</v>
      </c>
      <c r="CQ156" s="2" t="e">
        <f t="shared" ca="1" si="140"/>
        <v>#NAME?</v>
      </c>
    </row>
    <row r="157" spans="1:95">
      <c r="A157" s="7" t="e">
        <f ca="1"/>
        <v>#NAME?</v>
      </c>
      <c r="B157" s="2" t="e">
        <f ca="1"/>
        <v>#NAME?</v>
      </c>
      <c r="C157" s="2" t="e">
        <f t="shared" ca="1" si="94"/>
        <v>#NAME?</v>
      </c>
      <c r="D157" s="2" t="e">
        <f ca="1"/>
        <v>#NAME?</v>
      </c>
      <c r="E157" s="2" t="e">
        <f t="shared" ca="1" si="95"/>
        <v>#NAME?</v>
      </c>
      <c r="F157" s="2" t="e">
        <f ca="1"/>
        <v>#NAME?</v>
      </c>
      <c r="G157" s="2" t="e">
        <f t="shared" ca="1" si="96"/>
        <v>#NAME?</v>
      </c>
      <c r="H157" s="2" t="e">
        <f ca="1"/>
        <v>#NAME?</v>
      </c>
      <c r="I157" s="2" t="e">
        <f t="shared" ca="1" si="97"/>
        <v>#NAME?</v>
      </c>
      <c r="J157" s="2" t="e">
        <f ca="1"/>
        <v>#NAME?</v>
      </c>
      <c r="K157" s="2" t="e">
        <f t="shared" ca="1" si="98"/>
        <v>#NAME?</v>
      </c>
      <c r="L157" s="2" t="e">
        <f ca="1"/>
        <v>#NAME?</v>
      </c>
      <c r="M157" s="2" t="e">
        <f t="shared" ca="1" si="99"/>
        <v>#NAME?</v>
      </c>
      <c r="N157" s="2" t="e">
        <f ca="1"/>
        <v>#NAME?</v>
      </c>
      <c r="O157" s="2" t="e">
        <f t="shared" ca="1" si="100"/>
        <v>#NAME?</v>
      </c>
      <c r="P157" s="2" t="e">
        <f ca="1"/>
        <v>#NAME?</v>
      </c>
      <c r="Q157" s="2" t="e">
        <f t="shared" ca="1" si="101"/>
        <v>#NAME?</v>
      </c>
      <c r="R157" s="2" t="e">
        <f ca="1"/>
        <v>#NAME?</v>
      </c>
      <c r="S157" s="2" t="e">
        <f t="shared" ca="1" si="102"/>
        <v>#NAME?</v>
      </c>
      <c r="T157" s="2" t="e">
        <f ca="1"/>
        <v>#NAME?</v>
      </c>
      <c r="U157" s="2" t="e">
        <f t="shared" ca="1" si="103"/>
        <v>#NAME?</v>
      </c>
      <c r="V157" s="2" t="e">
        <f ca="1"/>
        <v>#NAME?</v>
      </c>
      <c r="W157" s="2" t="e">
        <f t="shared" ca="1" si="104"/>
        <v>#NAME?</v>
      </c>
      <c r="X157" s="2" t="e">
        <f ca="1"/>
        <v>#NAME?</v>
      </c>
      <c r="Y157" s="2" t="e">
        <f t="shared" ca="1" si="105"/>
        <v>#NAME?</v>
      </c>
      <c r="Z157" s="2" t="e">
        <f ca="1"/>
        <v>#NAME?</v>
      </c>
      <c r="AA157" s="2" t="e">
        <f t="shared" ca="1" si="106"/>
        <v>#NAME?</v>
      </c>
      <c r="AB157" s="2" t="e">
        <f ca="1"/>
        <v>#NAME?</v>
      </c>
      <c r="AC157" s="2" t="e">
        <f t="shared" ca="1" si="107"/>
        <v>#NAME?</v>
      </c>
      <c r="AD157" s="2" t="e">
        <f ca="1"/>
        <v>#NAME?</v>
      </c>
      <c r="AE157" s="2" t="e">
        <f t="shared" ca="1" si="108"/>
        <v>#NAME?</v>
      </c>
      <c r="AF157" s="2" t="e">
        <f ca="1"/>
        <v>#NAME?</v>
      </c>
      <c r="AG157" s="2" t="e">
        <f t="shared" ca="1" si="109"/>
        <v>#NAME?</v>
      </c>
      <c r="AH157" s="2" t="e">
        <f ca="1"/>
        <v>#NAME?</v>
      </c>
      <c r="AI157" s="2" t="e">
        <f t="shared" ca="1" si="110"/>
        <v>#NAME?</v>
      </c>
      <c r="AJ157" s="2" t="e">
        <f ca="1"/>
        <v>#NAME?</v>
      </c>
      <c r="AK157" s="2" t="e">
        <f t="shared" ca="1" si="111"/>
        <v>#NAME?</v>
      </c>
      <c r="AL157" s="2" t="e">
        <f ca="1"/>
        <v>#NAME?</v>
      </c>
      <c r="AM157" s="2" t="e">
        <f t="shared" ca="1" si="112"/>
        <v>#NAME?</v>
      </c>
      <c r="AN157" s="2" t="e">
        <f ca="1"/>
        <v>#NAME?</v>
      </c>
      <c r="AO157" s="2" t="e">
        <f t="shared" ca="1" si="113"/>
        <v>#NAME?</v>
      </c>
      <c r="AP157" s="2" t="e">
        <f ca="1"/>
        <v>#NAME?</v>
      </c>
      <c r="AQ157" s="2" t="e">
        <f t="shared" ca="1" si="114"/>
        <v>#NAME?</v>
      </c>
      <c r="AR157" s="2" t="e">
        <f ca="1"/>
        <v>#NAME?</v>
      </c>
      <c r="AS157" s="2" t="e">
        <f t="shared" ca="1" si="115"/>
        <v>#NAME?</v>
      </c>
      <c r="AT157" s="2" t="e">
        <f ca="1"/>
        <v>#NAME?</v>
      </c>
      <c r="AU157" s="2" t="e">
        <f t="shared" ca="1" si="116"/>
        <v>#NAME?</v>
      </c>
      <c r="AV157" s="2" t="e">
        <f ca="1"/>
        <v>#NAME?</v>
      </c>
      <c r="AW157" s="2" t="e">
        <f t="shared" ca="1" si="117"/>
        <v>#NAME?</v>
      </c>
      <c r="AX157" s="2" t="e">
        <f ca="1"/>
        <v>#NAME?</v>
      </c>
      <c r="AY157" s="2" t="e">
        <f t="shared" ca="1" si="118"/>
        <v>#NAME?</v>
      </c>
      <c r="AZ157" s="2" t="e">
        <f ca="1"/>
        <v>#NAME?</v>
      </c>
      <c r="BA157" s="2" t="e">
        <f t="shared" ca="1" si="119"/>
        <v>#NAME?</v>
      </c>
      <c r="BB157" s="2" t="e">
        <f ca="1"/>
        <v>#NAME?</v>
      </c>
      <c r="BC157" s="2" t="e">
        <f t="shared" ca="1" si="120"/>
        <v>#NAME?</v>
      </c>
      <c r="BD157" s="2" t="e">
        <f ca="1"/>
        <v>#NAME?</v>
      </c>
      <c r="BE157" s="2" t="e">
        <f t="shared" ca="1" si="121"/>
        <v>#NAME?</v>
      </c>
      <c r="BF157" s="2" t="e">
        <f ca="1"/>
        <v>#NAME?</v>
      </c>
      <c r="BG157" s="2" t="e">
        <f t="shared" ca="1" si="122"/>
        <v>#NAME?</v>
      </c>
      <c r="BH157" s="2" t="e">
        <f ca="1"/>
        <v>#NAME?</v>
      </c>
      <c r="BI157" s="2" t="e">
        <f t="shared" ca="1" si="123"/>
        <v>#NAME?</v>
      </c>
      <c r="BJ157" s="2" t="e">
        <f ca="1"/>
        <v>#NAME?</v>
      </c>
      <c r="BK157" s="2" t="e">
        <f t="shared" ca="1" si="124"/>
        <v>#NAME?</v>
      </c>
      <c r="BL157" s="2" t="e">
        <f ca="1"/>
        <v>#NAME?</v>
      </c>
      <c r="BM157" s="2" t="e">
        <f t="shared" ca="1" si="125"/>
        <v>#NAME?</v>
      </c>
      <c r="BN157" s="2" t="e">
        <f ca="1"/>
        <v>#NAME?</v>
      </c>
      <c r="BO157" s="2" t="e">
        <f t="shared" ca="1" si="126"/>
        <v>#NAME?</v>
      </c>
      <c r="BP157" s="2" t="e">
        <f ca="1"/>
        <v>#NAME?</v>
      </c>
      <c r="BQ157" s="2" t="e">
        <f t="shared" ca="1" si="127"/>
        <v>#NAME?</v>
      </c>
      <c r="BR157" s="2" t="e">
        <f ca="1"/>
        <v>#NAME?</v>
      </c>
      <c r="BS157" s="2" t="e">
        <f t="shared" ca="1" si="128"/>
        <v>#NAME?</v>
      </c>
      <c r="BT157" s="2" t="e">
        <f ca="1"/>
        <v>#NAME?</v>
      </c>
      <c r="BU157" s="2" t="e">
        <f t="shared" ca="1" si="129"/>
        <v>#NAME?</v>
      </c>
      <c r="BV157" s="2" t="e">
        <f ca="1"/>
        <v>#NAME?</v>
      </c>
      <c r="BW157" s="2" t="e">
        <f t="shared" ca="1" si="130"/>
        <v>#NAME?</v>
      </c>
      <c r="BX157" s="2" t="e">
        <f ca="1"/>
        <v>#NAME?</v>
      </c>
      <c r="BY157" s="2" t="e">
        <f t="shared" ca="1" si="131"/>
        <v>#NAME?</v>
      </c>
      <c r="BZ157" s="2" t="e">
        <f ca="1"/>
        <v>#NAME?</v>
      </c>
      <c r="CA157" s="2" t="e">
        <f t="shared" ca="1" si="132"/>
        <v>#NAME?</v>
      </c>
      <c r="CB157" s="2" t="e">
        <f ca="1"/>
        <v>#NAME?</v>
      </c>
      <c r="CC157" s="2" t="e">
        <f t="shared" ca="1" si="133"/>
        <v>#NAME?</v>
      </c>
      <c r="CD157" s="2" t="e">
        <f ca="1"/>
        <v>#NAME?</v>
      </c>
      <c r="CE157" s="2" t="e">
        <f t="shared" ca="1" si="134"/>
        <v>#NAME?</v>
      </c>
      <c r="CF157" s="2" t="e">
        <f ca="1"/>
        <v>#NAME?</v>
      </c>
      <c r="CG157" s="2" t="e">
        <f t="shared" ca="1" si="135"/>
        <v>#NAME?</v>
      </c>
      <c r="CH157" s="2" t="e">
        <f ca="1"/>
        <v>#NAME?</v>
      </c>
      <c r="CI157" s="2" t="e">
        <f t="shared" ca="1" si="136"/>
        <v>#NAME?</v>
      </c>
      <c r="CJ157" s="2" t="e">
        <f ca="1"/>
        <v>#NAME?</v>
      </c>
      <c r="CK157" s="2" t="e">
        <f t="shared" ca="1" si="137"/>
        <v>#NAME?</v>
      </c>
      <c r="CL157" s="2" t="e">
        <f ca="1"/>
        <v>#NAME?</v>
      </c>
      <c r="CM157" s="2" t="e">
        <f t="shared" ca="1" si="138"/>
        <v>#NAME?</v>
      </c>
      <c r="CN157" s="2" t="e">
        <f ca="1"/>
        <v>#NAME?</v>
      </c>
      <c r="CO157" s="2" t="e">
        <f t="shared" ca="1" si="139"/>
        <v>#NAME?</v>
      </c>
      <c r="CP157" s="2" t="e">
        <f ca="1"/>
        <v>#NAME?</v>
      </c>
      <c r="CQ157" s="2" t="e">
        <f t="shared" ca="1" si="140"/>
        <v>#NAME?</v>
      </c>
    </row>
    <row r="158" spans="1:95">
      <c r="A158" s="7" t="e">
        <f ca="1"/>
        <v>#NAME?</v>
      </c>
      <c r="B158" s="2" t="e">
        <f ca="1"/>
        <v>#NAME?</v>
      </c>
      <c r="C158" s="2" t="e">
        <f t="shared" ca="1" si="94"/>
        <v>#NAME?</v>
      </c>
      <c r="D158" s="2" t="e">
        <f ca="1"/>
        <v>#NAME?</v>
      </c>
      <c r="E158" s="2" t="e">
        <f t="shared" ca="1" si="95"/>
        <v>#NAME?</v>
      </c>
      <c r="F158" s="2" t="e">
        <f ca="1"/>
        <v>#NAME?</v>
      </c>
      <c r="G158" s="2" t="e">
        <f t="shared" ca="1" si="96"/>
        <v>#NAME?</v>
      </c>
      <c r="H158" s="2" t="e">
        <f ca="1"/>
        <v>#NAME?</v>
      </c>
      <c r="I158" s="2" t="e">
        <f t="shared" ca="1" si="97"/>
        <v>#NAME?</v>
      </c>
      <c r="J158" s="2" t="e">
        <f ca="1"/>
        <v>#NAME?</v>
      </c>
      <c r="K158" s="2" t="e">
        <f t="shared" ca="1" si="98"/>
        <v>#NAME?</v>
      </c>
      <c r="L158" s="2" t="e">
        <f ca="1"/>
        <v>#NAME?</v>
      </c>
      <c r="M158" s="2" t="e">
        <f t="shared" ca="1" si="99"/>
        <v>#NAME?</v>
      </c>
      <c r="N158" s="2" t="e">
        <f ca="1"/>
        <v>#NAME?</v>
      </c>
      <c r="O158" s="2" t="e">
        <f t="shared" ca="1" si="100"/>
        <v>#NAME?</v>
      </c>
      <c r="P158" s="2" t="e">
        <f ca="1"/>
        <v>#NAME?</v>
      </c>
      <c r="Q158" s="2" t="e">
        <f t="shared" ca="1" si="101"/>
        <v>#NAME?</v>
      </c>
      <c r="R158" s="2" t="e">
        <f ca="1"/>
        <v>#NAME?</v>
      </c>
      <c r="S158" s="2" t="e">
        <f t="shared" ca="1" si="102"/>
        <v>#NAME?</v>
      </c>
      <c r="T158" s="2" t="e">
        <f ca="1"/>
        <v>#NAME?</v>
      </c>
      <c r="U158" s="2" t="e">
        <f t="shared" ca="1" si="103"/>
        <v>#NAME?</v>
      </c>
      <c r="V158" s="2" t="e">
        <f ca="1"/>
        <v>#NAME?</v>
      </c>
      <c r="W158" s="2" t="e">
        <f t="shared" ca="1" si="104"/>
        <v>#NAME?</v>
      </c>
      <c r="X158" s="2" t="e">
        <f ca="1"/>
        <v>#NAME?</v>
      </c>
      <c r="Y158" s="2" t="e">
        <f t="shared" ca="1" si="105"/>
        <v>#NAME?</v>
      </c>
      <c r="Z158" s="2" t="e">
        <f ca="1"/>
        <v>#NAME?</v>
      </c>
      <c r="AA158" s="2" t="e">
        <f t="shared" ca="1" si="106"/>
        <v>#NAME?</v>
      </c>
      <c r="AB158" s="2" t="e">
        <f ca="1"/>
        <v>#NAME?</v>
      </c>
      <c r="AC158" s="2" t="e">
        <f t="shared" ca="1" si="107"/>
        <v>#NAME?</v>
      </c>
      <c r="AD158" s="2" t="e">
        <f ca="1"/>
        <v>#NAME?</v>
      </c>
      <c r="AE158" s="2" t="e">
        <f t="shared" ca="1" si="108"/>
        <v>#NAME?</v>
      </c>
      <c r="AF158" s="2" t="e">
        <f ca="1"/>
        <v>#NAME?</v>
      </c>
      <c r="AG158" s="2" t="e">
        <f t="shared" ca="1" si="109"/>
        <v>#NAME?</v>
      </c>
      <c r="AH158" s="2" t="e">
        <f ca="1"/>
        <v>#NAME?</v>
      </c>
      <c r="AI158" s="2" t="e">
        <f t="shared" ca="1" si="110"/>
        <v>#NAME?</v>
      </c>
      <c r="AJ158" s="2" t="e">
        <f ca="1"/>
        <v>#NAME?</v>
      </c>
      <c r="AK158" s="2" t="e">
        <f t="shared" ca="1" si="111"/>
        <v>#NAME?</v>
      </c>
      <c r="AL158" s="2" t="e">
        <f ca="1"/>
        <v>#NAME?</v>
      </c>
      <c r="AM158" s="2" t="e">
        <f t="shared" ca="1" si="112"/>
        <v>#NAME?</v>
      </c>
      <c r="AN158" s="2" t="e">
        <f ca="1"/>
        <v>#NAME?</v>
      </c>
      <c r="AO158" s="2" t="e">
        <f t="shared" ca="1" si="113"/>
        <v>#NAME?</v>
      </c>
      <c r="AP158" s="2" t="e">
        <f ca="1"/>
        <v>#NAME?</v>
      </c>
      <c r="AQ158" s="2" t="e">
        <f t="shared" ca="1" si="114"/>
        <v>#NAME?</v>
      </c>
      <c r="AR158" s="2" t="e">
        <f ca="1"/>
        <v>#NAME?</v>
      </c>
      <c r="AS158" s="2" t="e">
        <f t="shared" ca="1" si="115"/>
        <v>#NAME?</v>
      </c>
      <c r="AT158" s="2" t="e">
        <f ca="1"/>
        <v>#NAME?</v>
      </c>
      <c r="AU158" s="2" t="e">
        <f t="shared" ca="1" si="116"/>
        <v>#NAME?</v>
      </c>
      <c r="AV158" s="2" t="e">
        <f ca="1"/>
        <v>#NAME?</v>
      </c>
      <c r="AW158" s="2" t="e">
        <f t="shared" ca="1" si="117"/>
        <v>#NAME?</v>
      </c>
      <c r="AX158" s="2" t="e">
        <f ca="1"/>
        <v>#NAME?</v>
      </c>
      <c r="AY158" s="2" t="e">
        <f t="shared" ca="1" si="118"/>
        <v>#NAME?</v>
      </c>
      <c r="AZ158" s="2" t="e">
        <f ca="1"/>
        <v>#NAME?</v>
      </c>
      <c r="BA158" s="2" t="e">
        <f t="shared" ca="1" si="119"/>
        <v>#NAME?</v>
      </c>
      <c r="BB158" s="2" t="e">
        <f ca="1"/>
        <v>#NAME?</v>
      </c>
      <c r="BC158" s="2" t="e">
        <f t="shared" ca="1" si="120"/>
        <v>#NAME?</v>
      </c>
      <c r="BD158" s="2" t="e">
        <f ca="1"/>
        <v>#NAME?</v>
      </c>
      <c r="BE158" s="2" t="e">
        <f t="shared" ca="1" si="121"/>
        <v>#NAME?</v>
      </c>
      <c r="BF158" s="2" t="e">
        <f ca="1"/>
        <v>#NAME?</v>
      </c>
      <c r="BG158" s="2" t="e">
        <f t="shared" ca="1" si="122"/>
        <v>#NAME?</v>
      </c>
      <c r="BH158" s="2" t="e">
        <f ca="1"/>
        <v>#NAME?</v>
      </c>
      <c r="BI158" s="2" t="e">
        <f t="shared" ca="1" si="123"/>
        <v>#NAME?</v>
      </c>
      <c r="BJ158" s="2" t="e">
        <f ca="1"/>
        <v>#NAME?</v>
      </c>
      <c r="BK158" s="2" t="e">
        <f t="shared" ca="1" si="124"/>
        <v>#NAME?</v>
      </c>
      <c r="BL158" s="2" t="e">
        <f ca="1"/>
        <v>#NAME?</v>
      </c>
      <c r="BM158" s="2" t="e">
        <f t="shared" ca="1" si="125"/>
        <v>#NAME?</v>
      </c>
      <c r="BN158" s="2" t="e">
        <f ca="1"/>
        <v>#NAME?</v>
      </c>
      <c r="BO158" s="2" t="e">
        <f t="shared" ca="1" si="126"/>
        <v>#NAME?</v>
      </c>
      <c r="BP158" s="2" t="e">
        <f ca="1"/>
        <v>#NAME?</v>
      </c>
      <c r="BQ158" s="2" t="e">
        <f t="shared" ca="1" si="127"/>
        <v>#NAME?</v>
      </c>
      <c r="BR158" s="2" t="e">
        <f ca="1"/>
        <v>#NAME?</v>
      </c>
      <c r="BS158" s="2" t="e">
        <f t="shared" ca="1" si="128"/>
        <v>#NAME?</v>
      </c>
      <c r="BT158" s="2" t="e">
        <f ca="1"/>
        <v>#NAME?</v>
      </c>
      <c r="BU158" s="2" t="e">
        <f t="shared" ca="1" si="129"/>
        <v>#NAME?</v>
      </c>
      <c r="BV158" s="2" t="e">
        <f ca="1"/>
        <v>#NAME?</v>
      </c>
      <c r="BW158" s="2" t="e">
        <f t="shared" ca="1" si="130"/>
        <v>#NAME?</v>
      </c>
      <c r="BX158" s="2" t="e">
        <f ca="1"/>
        <v>#NAME?</v>
      </c>
      <c r="BY158" s="2" t="e">
        <f t="shared" ca="1" si="131"/>
        <v>#NAME?</v>
      </c>
      <c r="BZ158" s="2" t="e">
        <f ca="1"/>
        <v>#NAME?</v>
      </c>
      <c r="CA158" s="2" t="e">
        <f t="shared" ca="1" si="132"/>
        <v>#NAME?</v>
      </c>
      <c r="CB158" s="2" t="e">
        <f ca="1"/>
        <v>#NAME?</v>
      </c>
      <c r="CC158" s="2" t="e">
        <f t="shared" ca="1" si="133"/>
        <v>#NAME?</v>
      </c>
      <c r="CD158" s="2" t="e">
        <f ca="1"/>
        <v>#NAME?</v>
      </c>
      <c r="CE158" s="2" t="e">
        <f t="shared" ca="1" si="134"/>
        <v>#NAME?</v>
      </c>
      <c r="CF158" s="2" t="e">
        <f ca="1"/>
        <v>#NAME?</v>
      </c>
      <c r="CG158" s="2" t="e">
        <f t="shared" ca="1" si="135"/>
        <v>#NAME?</v>
      </c>
      <c r="CH158" s="2" t="e">
        <f ca="1"/>
        <v>#NAME?</v>
      </c>
      <c r="CI158" s="2" t="e">
        <f t="shared" ca="1" si="136"/>
        <v>#NAME?</v>
      </c>
      <c r="CJ158" s="2" t="e">
        <f ca="1"/>
        <v>#NAME?</v>
      </c>
      <c r="CK158" s="2" t="e">
        <f t="shared" ca="1" si="137"/>
        <v>#NAME?</v>
      </c>
      <c r="CL158" s="2" t="e">
        <f ca="1"/>
        <v>#NAME?</v>
      </c>
      <c r="CM158" s="2" t="e">
        <f t="shared" ca="1" si="138"/>
        <v>#NAME?</v>
      </c>
      <c r="CN158" s="2" t="e">
        <f ca="1"/>
        <v>#NAME?</v>
      </c>
      <c r="CO158" s="2" t="e">
        <f t="shared" ca="1" si="139"/>
        <v>#NAME?</v>
      </c>
      <c r="CP158" s="2" t="e">
        <f ca="1"/>
        <v>#NAME?</v>
      </c>
      <c r="CQ158" s="2" t="e">
        <f t="shared" ca="1" si="140"/>
        <v>#NAME?</v>
      </c>
    </row>
    <row r="159" spans="1:95">
      <c r="A159" s="7" t="e">
        <f ca="1"/>
        <v>#NAME?</v>
      </c>
      <c r="B159" s="2" t="e">
        <f ca="1"/>
        <v>#NAME?</v>
      </c>
      <c r="C159" s="2" t="e">
        <f t="shared" ca="1" si="94"/>
        <v>#NAME?</v>
      </c>
      <c r="D159" s="2" t="e">
        <f ca="1"/>
        <v>#NAME?</v>
      </c>
      <c r="E159" s="2" t="e">
        <f t="shared" ca="1" si="95"/>
        <v>#NAME?</v>
      </c>
      <c r="F159" s="2" t="e">
        <f ca="1"/>
        <v>#NAME?</v>
      </c>
      <c r="G159" s="2" t="e">
        <f t="shared" ca="1" si="96"/>
        <v>#NAME?</v>
      </c>
      <c r="H159" s="2" t="e">
        <f ca="1"/>
        <v>#NAME?</v>
      </c>
      <c r="I159" s="2" t="e">
        <f t="shared" ca="1" si="97"/>
        <v>#NAME?</v>
      </c>
      <c r="J159" s="2" t="e">
        <f ca="1"/>
        <v>#NAME?</v>
      </c>
      <c r="K159" s="2" t="e">
        <f t="shared" ca="1" si="98"/>
        <v>#NAME?</v>
      </c>
      <c r="L159" s="2" t="e">
        <f ca="1"/>
        <v>#NAME?</v>
      </c>
      <c r="M159" s="2" t="e">
        <f t="shared" ca="1" si="99"/>
        <v>#NAME?</v>
      </c>
      <c r="N159" s="2" t="e">
        <f ca="1"/>
        <v>#NAME?</v>
      </c>
      <c r="O159" s="2" t="e">
        <f t="shared" ca="1" si="100"/>
        <v>#NAME?</v>
      </c>
      <c r="P159" s="2" t="e">
        <f ca="1"/>
        <v>#NAME?</v>
      </c>
      <c r="Q159" s="2" t="e">
        <f t="shared" ca="1" si="101"/>
        <v>#NAME?</v>
      </c>
      <c r="R159" s="2" t="e">
        <f ca="1"/>
        <v>#NAME?</v>
      </c>
      <c r="S159" s="2" t="e">
        <f t="shared" ca="1" si="102"/>
        <v>#NAME?</v>
      </c>
      <c r="T159" s="2" t="e">
        <f ca="1"/>
        <v>#NAME?</v>
      </c>
      <c r="U159" s="2" t="e">
        <f t="shared" ca="1" si="103"/>
        <v>#NAME?</v>
      </c>
      <c r="V159" s="2" t="e">
        <f ca="1"/>
        <v>#NAME?</v>
      </c>
      <c r="W159" s="2" t="e">
        <f t="shared" ca="1" si="104"/>
        <v>#NAME?</v>
      </c>
      <c r="X159" s="2" t="e">
        <f ca="1"/>
        <v>#NAME?</v>
      </c>
      <c r="Y159" s="2" t="e">
        <f t="shared" ca="1" si="105"/>
        <v>#NAME?</v>
      </c>
      <c r="Z159" s="2" t="e">
        <f ca="1"/>
        <v>#NAME?</v>
      </c>
      <c r="AA159" s="2" t="e">
        <f t="shared" ca="1" si="106"/>
        <v>#NAME?</v>
      </c>
      <c r="AB159" s="2" t="e">
        <f ca="1"/>
        <v>#NAME?</v>
      </c>
      <c r="AC159" s="2" t="e">
        <f t="shared" ca="1" si="107"/>
        <v>#NAME?</v>
      </c>
      <c r="AD159" s="2" t="e">
        <f ca="1"/>
        <v>#NAME?</v>
      </c>
      <c r="AE159" s="2" t="e">
        <f t="shared" ca="1" si="108"/>
        <v>#NAME?</v>
      </c>
      <c r="AF159" s="2" t="e">
        <f ca="1"/>
        <v>#NAME?</v>
      </c>
      <c r="AG159" s="2" t="e">
        <f t="shared" ca="1" si="109"/>
        <v>#NAME?</v>
      </c>
      <c r="AH159" s="2" t="e">
        <f ca="1"/>
        <v>#NAME?</v>
      </c>
      <c r="AI159" s="2" t="e">
        <f t="shared" ca="1" si="110"/>
        <v>#NAME?</v>
      </c>
      <c r="AJ159" s="2" t="e">
        <f ca="1"/>
        <v>#NAME?</v>
      </c>
      <c r="AK159" s="2" t="e">
        <f t="shared" ca="1" si="111"/>
        <v>#NAME?</v>
      </c>
      <c r="AL159" s="2" t="e">
        <f ca="1"/>
        <v>#NAME?</v>
      </c>
      <c r="AM159" s="2" t="e">
        <f t="shared" ca="1" si="112"/>
        <v>#NAME?</v>
      </c>
      <c r="AN159" s="2" t="e">
        <f ca="1"/>
        <v>#NAME?</v>
      </c>
      <c r="AO159" s="2" t="e">
        <f t="shared" ca="1" si="113"/>
        <v>#NAME?</v>
      </c>
      <c r="AP159" s="2" t="e">
        <f ca="1"/>
        <v>#NAME?</v>
      </c>
      <c r="AQ159" s="2" t="e">
        <f t="shared" ca="1" si="114"/>
        <v>#NAME?</v>
      </c>
      <c r="AR159" s="2" t="e">
        <f ca="1"/>
        <v>#NAME?</v>
      </c>
      <c r="AS159" s="2" t="e">
        <f t="shared" ca="1" si="115"/>
        <v>#NAME?</v>
      </c>
      <c r="AT159" s="2" t="e">
        <f ca="1"/>
        <v>#NAME?</v>
      </c>
      <c r="AU159" s="2" t="e">
        <f t="shared" ca="1" si="116"/>
        <v>#NAME?</v>
      </c>
      <c r="AV159" s="2" t="e">
        <f ca="1"/>
        <v>#NAME?</v>
      </c>
      <c r="AW159" s="2" t="e">
        <f t="shared" ca="1" si="117"/>
        <v>#NAME?</v>
      </c>
      <c r="AX159" s="2" t="e">
        <f ca="1"/>
        <v>#NAME?</v>
      </c>
      <c r="AY159" s="2" t="e">
        <f t="shared" ca="1" si="118"/>
        <v>#NAME?</v>
      </c>
      <c r="AZ159" s="2" t="e">
        <f ca="1"/>
        <v>#NAME?</v>
      </c>
      <c r="BA159" s="2" t="e">
        <f t="shared" ca="1" si="119"/>
        <v>#NAME?</v>
      </c>
      <c r="BB159" s="2" t="e">
        <f ca="1"/>
        <v>#NAME?</v>
      </c>
      <c r="BC159" s="2" t="e">
        <f t="shared" ca="1" si="120"/>
        <v>#NAME?</v>
      </c>
      <c r="BD159" s="2" t="e">
        <f ca="1"/>
        <v>#NAME?</v>
      </c>
      <c r="BE159" s="2" t="e">
        <f t="shared" ca="1" si="121"/>
        <v>#NAME?</v>
      </c>
      <c r="BF159" s="2" t="e">
        <f ca="1"/>
        <v>#NAME?</v>
      </c>
      <c r="BG159" s="2" t="e">
        <f t="shared" ca="1" si="122"/>
        <v>#NAME?</v>
      </c>
      <c r="BH159" s="2" t="e">
        <f ca="1"/>
        <v>#NAME?</v>
      </c>
      <c r="BI159" s="2" t="e">
        <f t="shared" ca="1" si="123"/>
        <v>#NAME?</v>
      </c>
      <c r="BJ159" s="2" t="e">
        <f ca="1"/>
        <v>#NAME?</v>
      </c>
      <c r="BK159" s="2" t="e">
        <f t="shared" ca="1" si="124"/>
        <v>#NAME?</v>
      </c>
      <c r="BL159" s="2" t="e">
        <f ca="1"/>
        <v>#NAME?</v>
      </c>
      <c r="BM159" s="2" t="e">
        <f t="shared" ca="1" si="125"/>
        <v>#NAME?</v>
      </c>
      <c r="BN159" s="2" t="e">
        <f ca="1"/>
        <v>#NAME?</v>
      </c>
      <c r="BO159" s="2" t="e">
        <f t="shared" ca="1" si="126"/>
        <v>#NAME?</v>
      </c>
      <c r="BP159" s="2" t="e">
        <f ca="1"/>
        <v>#NAME?</v>
      </c>
      <c r="BQ159" s="2" t="e">
        <f t="shared" ca="1" si="127"/>
        <v>#NAME?</v>
      </c>
      <c r="BR159" s="2" t="e">
        <f ca="1"/>
        <v>#NAME?</v>
      </c>
      <c r="BS159" s="2" t="e">
        <f t="shared" ca="1" si="128"/>
        <v>#NAME?</v>
      </c>
      <c r="BT159" s="2" t="e">
        <f ca="1"/>
        <v>#NAME?</v>
      </c>
      <c r="BU159" s="2" t="e">
        <f t="shared" ca="1" si="129"/>
        <v>#NAME?</v>
      </c>
      <c r="BV159" s="2" t="e">
        <f ca="1"/>
        <v>#NAME?</v>
      </c>
      <c r="BW159" s="2" t="e">
        <f t="shared" ca="1" si="130"/>
        <v>#NAME?</v>
      </c>
      <c r="BX159" s="2" t="e">
        <f ca="1"/>
        <v>#NAME?</v>
      </c>
      <c r="BY159" s="2" t="e">
        <f t="shared" ca="1" si="131"/>
        <v>#NAME?</v>
      </c>
      <c r="BZ159" s="2" t="e">
        <f ca="1"/>
        <v>#NAME?</v>
      </c>
      <c r="CA159" s="2" t="e">
        <f t="shared" ca="1" si="132"/>
        <v>#NAME?</v>
      </c>
      <c r="CB159" s="2" t="e">
        <f ca="1"/>
        <v>#NAME?</v>
      </c>
      <c r="CC159" s="2" t="e">
        <f t="shared" ca="1" si="133"/>
        <v>#NAME?</v>
      </c>
      <c r="CD159" s="2" t="e">
        <f ca="1"/>
        <v>#NAME?</v>
      </c>
      <c r="CE159" s="2" t="e">
        <f t="shared" ca="1" si="134"/>
        <v>#NAME?</v>
      </c>
      <c r="CF159" s="2" t="e">
        <f ca="1"/>
        <v>#NAME?</v>
      </c>
      <c r="CG159" s="2" t="e">
        <f t="shared" ca="1" si="135"/>
        <v>#NAME?</v>
      </c>
      <c r="CH159" s="2" t="e">
        <f ca="1"/>
        <v>#NAME?</v>
      </c>
      <c r="CI159" s="2" t="e">
        <f t="shared" ca="1" si="136"/>
        <v>#NAME?</v>
      </c>
      <c r="CJ159" s="2" t="e">
        <f ca="1"/>
        <v>#NAME?</v>
      </c>
      <c r="CK159" s="2" t="e">
        <f t="shared" ca="1" si="137"/>
        <v>#NAME?</v>
      </c>
      <c r="CL159" s="2" t="e">
        <f ca="1"/>
        <v>#NAME?</v>
      </c>
      <c r="CM159" s="2" t="e">
        <f t="shared" ca="1" si="138"/>
        <v>#NAME?</v>
      </c>
      <c r="CN159" s="2" t="e">
        <f ca="1"/>
        <v>#NAME?</v>
      </c>
      <c r="CO159" s="2" t="e">
        <f t="shared" ca="1" si="139"/>
        <v>#NAME?</v>
      </c>
      <c r="CP159" s="2" t="e">
        <f ca="1"/>
        <v>#NAME?</v>
      </c>
      <c r="CQ159" s="2" t="e">
        <f t="shared" ca="1" si="140"/>
        <v>#NAME?</v>
      </c>
    </row>
    <row r="160" spans="1:95">
      <c r="A160" s="7" t="e">
        <f ca="1"/>
        <v>#NAME?</v>
      </c>
      <c r="B160" s="2" t="e">
        <f ca="1"/>
        <v>#NAME?</v>
      </c>
      <c r="C160" s="2" t="e">
        <f t="shared" ca="1" si="94"/>
        <v>#NAME?</v>
      </c>
      <c r="D160" s="2" t="e">
        <f ca="1"/>
        <v>#NAME?</v>
      </c>
      <c r="E160" s="2" t="e">
        <f t="shared" ca="1" si="95"/>
        <v>#NAME?</v>
      </c>
      <c r="F160" s="2" t="e">
        <f ca="1"/>
        <v>#NAME?</v>
      </c>
      <c r="G160" s="2" t="e">
        <f t="shared" ca="1" si="96"/>
        <v>#NAME?</v>
      </c>
      <c r="H160" s="2" t="e">
        <f ca="1"/>
        <v>#NAME?</v>
      </c>
      <c r="I160" s="2" t="e">
        <f t="shared" ca="1" si="97"/>
        <v>#NAME?</v>
      </c>
      <c r="J160" s="2" t="e">
        <f ca="1"/>
        <v>#NAME?</v>
      </c>
      <c r="K160" s="2" t="e">
        <f t="shared" ca="1" si="98"/>
        <v>#NAME?</v>
      </c>
      <c r="L160" s="2" t="e">
        <f ca="1"/>
        <v>#NAME?</v>
      </c>
      <c r="M160" s="2" t="e">
        <f t="shared" ca="1" si="99"/>
        <v>#NAME?</v>
      </c>
      <c r="N160" s="2" t="e">
        <f ca="1"/>
        <v>#NAME?</v>
      </c>
      <c r="O160" s="2" t="e">
        <f t="shared" ca="1" si="100"/>
        <v>#NAME?</v>
      </c>
      <c r="P160" s="2" t="e">
        <f ca="1"/>
        <v>#NAME?</v>
      </c>
      <c r="Q160" s="2" t="e">
        <f t="shared" ca="1" si="101"/>
        <v>#NAME?</v>
      </c>
      <c r="R160" s="2" t="e">
        <f ca="1"/>
        <v>#NAME?</v>
      </c>
      <c r="S160" s="2" t="e">
        <f t="shared" ca="1" si="102"/>
        <v>#NAME?</v>
      </c>
      <c r="T160" s="2" t="e">
        <f ca="1"/>
        <v>#NAME?</v>
      </c>
      <c r="U160" s="2" t="e">
        <f t="shared" ca="1" si="103"/>
        <v>#NAME?</v>
      </c>
      <c r="V160" s="2" t="e">
        <f ca="1"/>
        <v>#NAME?</v>
      </c>
      <c r="W160" s="2" t="e">
        <f t="shared" ca="1" si="104"/>
        <v>#NAME?</v>
      </c>
      <c r="X160" s="2" t="e">
        <f ca="1"/>
        <v>#NAME?</v>
      </c>
      <c r="Y160" s="2" t="e">
        <f t="shared" ca="1" si="105"/>
        <v>#NAME?</v>
      </c>
      <c r="Z160" s="2" t="e">
        <f ca="1"/>
        <v>#NAME?</v>
      </c>
      <c r="AA160" s="2" t="e">
        <f t="shared" ca="1" si="106"/>
        <v>#NAME?</v>
      </c>
      <c r="AB160" s="2" t="e">
        <f ca="1"/>
        <v>#NAME?</v>
      </c>
      <c r="AC160" s="2" t="e">
        <f t="shared" ca="1" si="107"/>
        <v>#NAME?</v>
      </c>
      <c r="AD160" s="2" t="e">
        <f ca="1"/>
        <v>#NAME?</v>
      </c>
      <c r="AE160" s="2" t="e">
        <f t="shared" ca="1" si="108"/>
        <v>#NAME?</v>
      </c>
      <c r="AF160" s="2" t="e">
        <f ca="1"/>
        <v>#NAME?</v>
      </c>
      <c r="AG160" s="2" t="e">
        <f t="shared" ca="1" si="109"/>
        <v>#NAME?</v>
      </c>
      <c r="AH160" s="2" t="e">
        <f ca="1"/>
        <v>#NAME?</v>
      </c>
      <c r="AI160" s="2" t="e">
        <f t="shared" ca="1" si="110"/>
        <v>#NAME?</v>
      </c>
      <c r="AJ160" s="2" t="e">
        <f ca="1"/>
        <v>#NAME?</v>
      </c>
      <c r="AK160" s="2" t="e">
        <f t="shared" ca="1" si="111"/>
        <v>#NAME?</v>
      </c>
      <c r="AL160" s="2" t="e">
        <f ca="1"/>
        <v>#NAME?</v>
      </c>
      <c r="AM160" s="2" t="e">
        <f t="shared" ca="1" si="112"/>
        <v>#NAME?</v>
      </c>
      <c r="AN160" s="2" t="e">
        <f ca="1"/>
        <v>#NAME?</v>
      </c>
      <c r="AO160" s="2" t="e">
        <f t="shared" ca="1" si="113"/>
        <v>#NAME?</v>
      </c>
      <c r="AP160" s="2" t="e">
        <f ca="1"/>
        <v>#NAME?</v>
      </c>
      <c r="AQ160" s="2" t="e">
        <f t="shared" ca="1" si="114"/>
        <v>#NAME?</v>
      </c>
      <c r="AR160" s="2" t="e">
        <f ca="1"/>
        <v>#NAME?</v>
      </c>
      <c r="AS160" s="2" t="e">
        <f t="shared" ca="1" si="115"/>
        <v>#NAME?</v>
      </c>
      <c r="AT160" s="2" t="e">
        <f ca="1"/>
        <v>#NAME?</v>
      </c>
      <c r="AU160" s="2" t="e">
        <f t="shared" ca="1" si="116"/>
        <v>#NAME?</v>
      </c>
      <c r="AV160" s="2" t="e">
        <f ca="1"/>
        <v>#NAME?</v>
      </c>
      <c r="AW160" s="2" t="e">
        <f t="shared" ca="1" si="117"/>
        <v>#NAME?</v>
      </c>
      <c r="AX160" s="2" t="e">
        <f ca="1"/>
        <v>#NAME?</v>
      </c>
      <c r="AY160" s="2" t="e">
        <f t="shared" ca="1" si="118"/>
        <v>#NAME?</v>
      </c>
      <c r="AZ160" s="2" t="e">
        <f ca="1"/>
        <v>#NAME?</v>
      </c>
      <c r="BA160" s="2" t="e">
        <f t="shared" ca="1" si="119"/>
        <v>#NAME?</v>
      </c>
      <c r="BB160" s="2" t="e">
        <f ca="1"/>
        <v>#NAME?</v>
      </c>
      <c r="BC160" s="2" t="e">
        <f t="shared" ca="1" si="120"/>
        <v>#NAME?</v>
      </c>
      <c r="BD160" s="2" t="e">
        <f ca="1"/>
        <v>#NAME?</v>
      </c>
      <c r="BE160" s="2" t="e">
        <f t="shared" ca="1" si="121"/>
        <v>#NAME?</v>
      </c>
      <c r="BF160" s="2" t="e">
        <f ca="1"/>
        <v>#NAME?</v>
      </c>
      <c r="BG160" s="2" t="e">
        <f t="shared" ca="1" si="122"/>
        <v>#NAME?</v>
      </c>
      <c r="BH160" s="2" t="e">
        <f ca="1"/>
        <v>#NAME?</v>
      </c>
      <c r="BI160" s="2" t="e">
        <f t="shared" ca="1" si="123"/>
        <v>#NAME?</v>
      </c>
      <c r="BJ160" s="2" t="e">
        <f ca="1"/>
        <v>#NAME?</v>
      </c>
      <c r="BK160" s="2" t="e">
        <f t="shared" ca="1" si="124"/>
        <v>#NAME?</v>
      </c>
      <c r="BL160" s="2" t="e">
        <f ca="1"/>
        <v>#NAME?</v>
      </c>
      <c r="BM160" s="2" t="e">
        <f t="shared" ca="1" si="125"/>
        <v>#NAME?</v>
      </c>
      <c r="BN160" s="2" t="e">
        <f ca="1"/>
        <v>#NAME?</v>
      </c>
      <c r="BO160" s="2" t="e">
        <f t="shared" ca="1" si="126"/>
        <v>#NAME?</v>
      </c>
      <c r="BP160" s="2" t="e">
        <f ca="1"/>
        <v>#NAME?</v>
      </c>
      <c r="BQ160" s="2" t="e">
        <f t="shared" ca="1" si="127"/>
        <v>#NAME?</v>
      </c>
      <c r="BR160" s="2" t="e">
        <f ca="1"/>
        <v>#NAME?</v>
      </c>
      <c r="BS160" s="2" t="e">
        <f t="shared" ca="1" si="128"/>
        <v>#NAME?</v>
      </c>
      <c r="BT160" s="2" t="e">
        <f ca="1"/>
        <v>#NAME?</v>
      </c>
      <c r="BU160" s="2" t="e">
        <f t="shared" ca="1" si="129"/>
        <v>#NAME?</v>
      </c>
      <c r="BV160" s="2" t="e">
        <f ca="1"/>
        <v>#NAME?</v>
      </c>
      <c r="BW160" s="2" t="e">
        <f t="shared" ca="1" si="130"/>
        <v>#NAME?</v>
      </c>
      <c r="BX160" s="2" t="e">
        <f ca="1"/>
        <v>#NAME?</v>
      </c>
      <c r="BY160" s="2" t="e">
        <f t="shared" ca="1" si="131"/>
        <v>#NAME?</v>
      </c>
      <c r="BZ160" s="2" t="e">
        <f ca="1"/>
        <v>#NAME?</v>
      </c>
      <c r="CA160" s="2" t="e">
        <f t="shared" ca="1" si="132"/>
        <v>#NAME?</v>
      </c>
      <c r="CB160" s="2" t="e">
        <f ca="1"/>
        <v>#NAME?</v>
      </c>
      <c r="CC160" s="2" t="e">
        <f t="shared" ca="1" si="133"/>
        <v>#NAME?</v>
      </c>
      <c r="CD160" s="2" t="e">
        <f ca="1"/>
        <v>#NAME?</v>
      </c>
      <c r="CE160" s="2" t="e">
        <f t="shared" ca="1" si="134"/>
        <v>#NAME?</v>
      </c>
      <c r="CF160" s="2" t="e">
        <f ca="1"/>
        <v>#NAME?</v>
      </c>
      <c r="CG160" s="2" t="e">
        <f t="shared" ca="1" si="135"/>
        <v>#NAME?</v>
      </c>
      <c r="CH160" s="2" t="e">
        <f ca="1"/>
        <v>#NAME?</v>
      </c>
      <c r="CI160" s="2" t="e">
        <f t="shared" ca="1" si="136"/>
        <v>#NAME?</v>
      </c>
      <c r="CJ160" s="2" t="e">
        <f ca="1"/>
        <v>#NAME?</v>
      </c>
      <c r="CK160" s="2" t="e">
        <f t="shared" ca="1" si="137"/>
        <v>#NAME?</v>
      </c>
      <c r="CL160" s="2" t="e">
        <f ca="1"/>
        <v>#NAME?</v>
      </c>
      <c r="CM160" s="2" t="e">
        <f t="shared" ca="1" si="138"/>
        <v>#NAME?</v>
      </c>
      <c r="CN160" s="2" t="e">
        <f ca="1"/>
        <v>#NAME?</v>
      </c>
      <c r="CO160" s="2" t="e">
        <f t="shared" ca="1" si="139"/>
        <v>#NAME?</v>
      </c>
      <c r="CP160" s="2" t="e">
        <f ca="1"/>
        <v>#NAME?</v>
      </c>
      <c r="CQ160" s="2" t="e">
        <f t="shared" ca="1" si="140"/>
        <v>#NAME?</v>
      </c>
    </row>
    <row r="161" spans="1:95">
      <c r="A161" s="7" t="e">
        <f ca="1"/>
        <v>#NAME?</v>
      </c>
      <c r="B161" s="2" t="e">
        <f ca="1"/>
        <v>#NAME?</v>
      </c>
      <c r="C161" s="2" t="e">
        <f t="shared" ca="1" si="94"/>
        <v>#NAME?</v>
      </c>
      <c r="D161" s="2" t="e">
        <f ca="1"/>
        <v>#NAME?</v>
      </c>
      <c r="E161" s="2" t="e">
        <f t="shared" ca="1" si="95"/>
        <v>#NAME?</v>
      </c>
      <c r="F161" s="2" t="e">
        <f ca="1"/>
        <v>#NAME?</v>
      </c>
      <c r="G161" s="2" t="e">
        <f t="shared" ca="1" si="96"/>
        <v>#NAME?</v>
      </c>
      <c r="H161" s="2" t="e">
        <f ca="1"/>
        <v>#NAME?</v>
      </c>
      <c r="I161" s="2" t="e">
        <f t="shared" ca="1" si="97"/>
        <v>#NAME?</v>
      </c>
      <c r="J161" s="2" t="e">
        <f ca="1"/>
        <v>#NAME?</v>
      </c>
      <c r="K161" s="2" t="e">
        <f t="shared" ca="1" si="98"/>
        <v>#NAME?</v>
      </c>
      <c r="L161" s="2" t="e">
        <f ca="1"/>
        <v>#NAME?</v>
      </c>
      <c r="M161" s="2" t="e">
        <f t="shared" ca="1" si="99"/>
        <v>#NAME?</v>
      </c>
      <c r="N161" s="2" t="e">
        <f ca="1"/>
        <v>#NAME?</v>
      </c>
      <c r="O161" s="2" t="e">
        <f t="shared" ca="1" si="100"/>
        <v>#NAME?</v>
      </c>
      <c r="P161" s="2" t="e">
        <f ca="1"/>
        <v>#NAME?</v>
      </c>
      <c r="Q161" s="2" t="e">
        <f t="shared" ca="1" si="101"/>
        <v>#NAME?</v>
      </c>
      <c r="R161" s="2" t="e">
        <f ca="1"/>
        <v>#NAME?</v>
      </c>
      <c r="S161" s="2" t="e">
        <f t="shared" ca="1" si="102"/>
        <v>#NAME?</v>
      </c>
      <c r="T161" s="2" t="e">
        <f ca="1"/>
        <v>#NAME?</v>
      </c>
      <c r="U161" s="2" t="e">
        <f t="shared" ca="1" si="103"/>
        <v>#NAME?</v>
      </c>
      <c r="V161" s="2" t="e">
        <f ca="1"/>
        <v>#NAME?</v>
      </c>
      <c r="W161" s="2" t="e">
        <f t="shared" ca="1" si="104"/>
        <v>#NAME?</v>
      </c>
      <c r="X161" s="2" t="e">
        <f ca="1"/>
        <v>#NAME?</v>
      </c>
      <c r="Y161" s="2" t="e">
        <f t="shared" ca="1" si="105"/>
        <v>#NAME?</v>
      </c>
      <c r="Z161" s="2" t="e">
        <f ca="1"/>
        <v>#NAME?</v>
      </c>
      <c r="AA161" s="2" t="e">
        <f t="shared" ca="1" si="106"/>
        <v>#NAME?</v>
      </c>
      <c r="AB161" s="2" t="e">
        <f ca="1"/>
        <v>#NAME?</v>
      </c>
      <c r="AC161" s="2" t="e">
        <f t="shared" ca="1" si="107"/>
        <v>#NAME?</v>
      </c>
      <c r="AD161" s="2" t="e">
        <f ca="1"/>
        <v>#NAME?</v>
      </c>
      <c r="AE161" s="2" t="e">
        <f t="shared" ca="1" si="108"/>
        <v>#NAME?</v>
      </c>
      <c r="AF161" s="2" t="e">
        <f ca="1"/>
        <v>#NAME?</v>
      </c>
      <c r="AG161" s="2" t="e">
        <f t="shared" ca="1" si="109"/>
        <v>#NAME?</v>
      </c>
      <c r="AH161" s="2" t="e">
        <f ca="1"/>
        <v>#NAME?</v>
      </c>
      <c r="AI161" s="2" t="e">
        <f t="shared" ca="1" si="110"/>
        <v>#NAME?</v>
      </c>
      <c r="AJ161" s="2" t="e">
        <f ca="1"/>
        <v>#NAME?</v>
      </c>
      <c r="AK161" s="2" t="e">
        <f t="shared" ca="1" si="111"/>
        <v>#NAME?</v>
      </c>
      <c r="AL161" s="2" t="e">
        <f ca="1"/>
        <v>#NAME?</v>
      </c>
      <c r="AM161" s="2" t="e">
        <f t="shared" ca="1" si="112"/>
        <v>#NAME?</v>
      </c>
      <c r="AN161" s="2" t="e">
        <f ca="1"/>
        <v>#NAME?</v>
      </c>
      <c r="AO161" s="2" t="e">
        <f t="shared" ca="1" si="113"/>
        <v>#NAME?</v>
      </c>
      <c r="AP161" s="2" t="e">
        <f ca="1"/>
        <v>#NAME?</v>
      </c>
      <c r="AQ161" s="2" t="e">
        <f t="shared" ca="1" si="114"/>
        <v>#NAME?</v>
      </c>
      <c r="AR161" s="2" t="e">
        <f ca="1"/>
        <v>#NAME?</v>
      </c>
      <c r="AS161" s="2" t="e">
        <f t="shared" ca="1" si="115"/>
        <v>#NAME?</v>
      </c>
      <c r="AT161" s="2" t="e">
        <f ca="1"/>
        <v>#NAME?</v>
      </c>
      <c r="AU161" s="2" t="e">
        <f t="shared" ca="1" si="116"/>
        <v>#NAME?</v>
      </c>
      <c r="AV161" s="2" t="e">
        <f ca="1"/>
        <v>#NAME?</v>
      </c>
      <c r="AW161" s="2" t="e">
        <f t="shared" ca="1" si="117"/>
        <v>#NAME?</v>
      </c>
      <c r="AX161" s="2" t="e">
        <f ca="1"/>
        <v>#NAME?</v>
      </c>
      <c r="AY161" s="2" t="e">
        <f t="shared" ca="1" si="118"/>
        <v>#NAME?</v>
      </c>
      <c r="AZ161" s="2" t="e">
        <f ca="1"/>
        <v>#NAME?</v>
      </c>
      <c r="BA161" s="2" t="e">
        <f t="shared" ca="1" si="119"/>
        <v>#NAME?</v>
      </c>
      <c r="BB161" s="2" t="e">
        <f ca="1"/>
        <v>#NAME?</v>
      </c>
      <c r="BC161" s="2" t="e">
        <f t="shared" ca="1" si="120"/>
        <v>#NAME?</v>
      </c>
      <c r="BD161" s="2" t="e">
        <f ca="1"/>
        <v>#NAME?</v>
      </c>
      <c r="BE161" s="2" t="e">
        <f t="shared" ca="1" si="121"/>
        <v>#NAME?</v>
      </c>
      <c r="BF161" s="2" t="e">
        <f ca="1"/>
        <v>#NAME?</v>
      </c>
      <c r="BG161" s="2" t="e">
        <f t="shared" ca="1" si="122"/>
        <v>#NAME?</v>
      </c>
      <c r="BH161" s="2" t="e">
        <f ca="1"/>
        <v>#NAME?</v>
      </c>
      <c r="BI161" s="2" t="e">
        <f t="shared" ca="1" si="123"/>
        <v>#NAME?</v>
      </c>
      <c r="BJ161" s="2" t="e">
        <f ca="1"/>
        <v>#NAME?</v>
      </c>
      <c r="BK161" s="2" t="e">
        <f t="shared" ca="1" si="124"/>
        <v>#NAME?</v>
      </c>
      <c r="BL161" s="2" t="e">
        <f ca="1"/>
        <v>#NAME?</v>
      </c>
      <c r="BM161" s="2" t="e">
        <f t="shared" ca="1" si="125"/>
        <v>#NAME?</v>
      </c>
      <c r="BN161" s="2" t="e">
        <f ca="1"/>
        <v>#NAME?</v>
      </c>
      <c r="BO161" s="2" t="e">
        <f t="shared" ca="1" si="126"/>
        <v>#NAME?</v>
      </c>
      <c r="BP161" s="2" t="e">
        <f ca="1"/>
        <v>#NAME?</v>
      </c>
      <c r="BQ161" s="2" t="e">
        <f t="shared" ca="1" si="127"/>
        <v>#NAME?</v>
      </c>
      <c r="BR161" s="2" t="e">
        <f ca="1"/>
        <v>#NAME?</v>
      </c>
      <c r="BS161" s="2" t="e">
        <f t="shared" ca="1" si="128"/>
        <v>#NAME?</v>
      </c>
      <c r="BT161" s="2" t="e">
        <f ca="1"/>
        <v>#NAME?</v>
      </c>
      <c r="BU161" s="2" t="e">
        <f t="shared" ca="1" si="129"/>
        <v>#NAME?</v>
      </c>
      <c r="BV161" s="2" t="e">
        <f ca="1"/>
        <v>#NAME?</v>
      </c>
      <c r="BW161" s="2" t="e">
        <f t="shared" ca="1" si="130"/>
        <v>#NAME?</v>
      </c>
      <c r="BX161" s="2" t="e">
        <f ca="1"/>
        <v>#NAME?</v>
      </c>
      <c r="BY161" s="2" t="e">
        <f t="shared" ca="1" si="131"/>
        <v>#NAME?</v>
      </c>
      <c r="BZ161" s="2" t="e">
        <f ca="1"/>
        <v>#NAME?</v>
      </c>
      <c r="CA161" s="2" t="e">
        <f t="shared" ca="1" si="132"/>
        <v>#NAME?</v>
      </c>
      <c r="CB161" s="2" t="e">
        <f ca="1"/>
        <v>#NAME?</v>
      </c>
      <c r="CC161" s="2" t="e">
        <f t="shared" ca="1" si="133"/>
        <v>#NAME?</v>
      </c>
      <c r="CD161" s="2" t="e">
        <f ca="1"/>
        <v>#NAME?</v>
      </c>
      <c r="CE161" s="2" t="e">
        <f t="shared" ca="1" si="134"/>
        <v>#NAME?</v>
      </c>
      <c r="CF161" s="2" t="e">
        <f ca="1"/>
        <v>#NAME?</v>
      </c>
      <c r="CG161" s="2" t="e">
        <f t="shared" ca="1" si="135"/>
        <v>#NAME?</v>
      </c>
      <c r="CH161" s="2" t="e">
        <f ca="1"/>
        <v>#NAME?</v>
      </c>
      <c r="CI161" s="2" t="e">
        <f t="shared" ca="1" si="136"/>
        <v>#NAME?</v>
      </c>
      <c r="CJ161" s="2" t="e">
        <f ca="1"/>
        <v>#NAME?</v>
      </c>
      <c r="CK161" s="2" t="e">
        <f t="shared" ca="1" si="137"/>
        <v>#NAME?</v>
      </c>
      <c r="CL161" s="2" t="e">
        <f ca="1"/>
        <v>#NAME?</v>
      </c>
      <c r="CM161" s="2" t="e">
        <f t="shared" ca="1" si="138"/>
        <v>#NAME?</v>
      </c>
      <c r="CN161" s="2" t="e">
        <f ca="1"/>
        <v>#NAME?</v>
      </c>
      <c r="CO161" s="2" t="e">
        <f t="shared" ca="1" si="139"/>
        <v>#NAME?</v>
      </c>
      <c r="CP161" s="2" t="e">
        <f ca="1"/>
        <v>#NAME?</v>
      </c>
      <c r="CQ161" s="2" t="e">
        <f t="shared" ca="1" si="140"/>
        <v>#NAME?</v>
      </c>
    </row>
    <row r="162" spans="1:95">
      <c r="A162" s="7" t="e">
        <f ca="1"/>
        <v>#NAME?</v>
      </c>
      <c r="B162" s="2" t="e">
        <f ca="1"/>
        <v>#NAME?</v>
      </c>
      <c r="C162" s="2" t="e">
        <f t="shared" ca="1" si="94"/>
        <v>#NAME?</v>
      </c>
      <c r="D162" s="2" t="e">
        <f ca="1"/>
        <v>#NAME?</v>
      </c>
      <c r="E162" s="2" t="e">
        <f t="shared" ca="1" si="95"/>
        <v>#NAME?</v>
      </c>
      <c r="F162" s="2" t="e">
        <f ca="1"/>
        <v>#NAME?</v>
      </c>
      <c r="G162" s="2" t="e">
        <f t="shared" ca="1" si="96"/>
        <v>#NAME?</v>
      </c>
      <c r="H162" s="2" t="e">
        <f ca="1"/>
        <v>#NAME?</v>
      </c>
      <c r="I162" s="2" t="e">
        <f t="shared" ca="1" si="97"/>
        <v>#NAME?</v>
      </c>
      <c r="J162" s="2" t="e">
        <f ca="1"/>
        <v>#NAME?</v>
      </c>
      <c r="K162" s="2" t="e">
        <f t="shared" ca="1" si="98"/>
        <v>#NAME?</v>
      </c>
      <c r="L162" s="2" t="e">
        <f ca="1"/>
        <v>#NAME?</v>
      </c>
      <c r="M162" s="2" t="e">
        <f t="shared" ca="1" si="99"/>
        <v>#NAME?</v>
      </c>
      <c r="N162" s="2" t="e">
        <f ca="1"/>
        <v>#NAME?</v>
      </c>
      <c r="O162" s="2" t="e">
        <f t="shared" ca="1" si="100"/>
        <v>#NAME?</v>
      </c>
      <c r="P162" s="2" t="e">
        <f ca="1"/>
        <v>#NAME?</v>
      </c>
      <c r="Q162" s="2" t="e">
        <f t="shared" ca="1" si="101"/>
        <v>#NAME?</v>
      </c>
      <c r="R162" s="2" t="e">
        <f ca="1"/>
        <v>#NAME?</v>
      </c>
      <c r="S162" s="2" t="e">
        <f t="shared" ca="1" si="102"/>
        <v>#NAME?</v>
      </c>
      <c r="T162" s="2" t="e">
        <f ca="1"/>
        <v>#NAME?</v>
      </c>
      <c r="U162" s="2" t="e">
        <f t="shared" ca="1" si="103"/>
        <v>#NAME?</v>
      </c>
      <c r="V162" s="2" t="e">
        <f ca="1"/>
        <v>#NAME?</v>
      </c>
      <c r="W162" s="2" t="e">
        <f t="shared" ca="1" si="104"/>
        <v>#NAME?</v>
      </c>
      <c r="X162" s="2" t="e">
        <f ca="1"/>
        <v>#NAME?</v>
      </c>
      <c r="Y162" s="2" t="e">
        <f t="shared" ca="1" si="105"/>
        <v>#NAME?</v>
      </c>
      <c r="Z162" s="2" t="e">
        <f ca="1"/>
        <v>#NAME?</v>
      </c>
      <c r="AA162" s="2" t="e">
        <f t="shared" ca="1" si="106"/>
        <v>#NAME?</v>
      </c>
      <c r="AB162" s="2" t="e">
        <f ca="1"/>
        <v>#NAME?</v>
      </c>
      <c r="AC162" s="2" t="e">
        <f t="shared" ca="1" si="107"/>
        <v>#NAME?</v>
      </c>
      <c r="AD162" s="2" t="e">
        <f ca="1"/>
        <v>#NAME?</v>
      </c>
      <c r="AE162" s="2" t="e">
        <f t="shared" ca="1" si="108"/>
        <v>#NAME?</v>
      </c>
      <c r="AF162" s="2" t="e">
        <f ca="1"/>
        <v>#NAME?</v>
      </c>
      <c r="AG162" s="2" t="e">
        <f t="shared" ca="1" si="109"/>
        <v>#NAME?</v>
      </c>
      <c r="AH162" s="2" t="e">
        <f ca="1"/>
        <v>#NAME?</v>
      </c>
      <c r="AI162" s="2" t="e">
        <f t="shared" ca="1" si="110"/>
        <v>#NAME?</v>
      </c>
      <c r="AJ162" s="2" t="e">
        <f ca="1"/>
        <v>#NAME?</v>
      </c>
      <c r="AK162" s="2" t="e">
        <f t="shared" ca="1" si="111"/>
        <v>#NAME?</v>
      </c>
      <c r="AL162" s="2" t="e">
        <f ca="1"/>
        <v>#NAME?</v>
      </c>
      <c r="AM162" s="2" t="e">
        <f t="shared" ca="1" si="112"/>
        <v>#NAME?</v>
      </c>
      <c r="AN162" s="2" t="e">
        <f ca="1"/>
        <v>#NAME?</v>
      </c>
      <c r="AO162" s="2" t="e">
        <f t="shared" ca="1" si="113"/>
        <v>#NAME?</v>
      </c>
      <c r="AP162" s="2" t="e">
        <f ca="1"/>
        <v>#NAME?</v>
      </c>
      <c r="AQ162" s="2" t="e">
        <f t="shared" ca="1" si="114"/>
        <v>#NAME?</v>
      </c>
      <c r="AR162" s="2" t="e">
        <f ca="1"/>
        <v>#NAME?</v>
      </c>
      <c r="AS162" s="2" t="e">
        <f t="shared" ca="1" si="115"/>
        <v>#NAME?</v>
      </c>
      <c r="AT162" s="2" t="e">
        <f ca="1"/>
        <v>#NAME?</v>
      </c>
      <c r="AU162" s="2" t="e">
        <f t="shared" ca="1" si="116"/>
        <v>#NAME?</v>
      </c>
      <c r="AV162" s="2" t="e">
        <f ca="1"/>
        <v>#NAME?</v>
      </c>
      <c r="AW162" s="2" t="e">
        <f t="shared" ca="1" si="117"/>
        <v>#NAME?</v>
      </c>
      <c r="AX162" s="2" t="e">
        <f ca="1"/>
        <v>#NAME?</v>
      </c>
      <c r="AY162" s="2" t="e">
        <f t="shared" ca="1" si="118"/>
        <v>#NAME?</v>
      </c>
      <c r="AZ162" s="2" t="e">
        <f ca="1"/>
        <v>#NAME?</v>
      </c>
      <c r="BA162" s="2" t="e">
        <f t="shared" ca="1" si="119"/>
        <v>#NAME?</v>
      </c>
      <c r="BB162" s="2" t="e">
        <f ca="1"/>
        <v>#NAME?</v>
      </c>
      <c r="BC162" s="2" t="e">
        <f t="shared" ca="1" si="120"/>
        <v>#NAME?</v>
      </c>
      <c r="BD162" s="2" t="e">
        <f ca="1"/>
        <v>#NAME?</v>
      </c>
      <c r="BE162" s="2" t="e">
        <f t="shared" ca="1" si="121"/>
        <v>#NAME?</v>
      </c>
      <c r="BF162" s="2" t="e">
        <f ca="1"/>
        <v>#NAME?</v>
      </c>
      <c r="BG162" s="2" t="e">
        <f t="shared" ca="1" si="122"/>
        <v>#NAME?</v>
      </c>
      <c r="BH162" s="2" t="e">
        <f ca="1"/>
        <v>#NAME?</v>
      </c>
      <c r="BI162" s="2" t="e">
        <f t="shared" ca="1" si="123"/>
        <v>#NAME?</v>
      </c>
      <c r="BJ162" s="2" t="e">
        <f ca="1"/>
        <v>#NAME?</v>
      </c>
      <c r="BK162" s="2" t="e">
        <f t="shared" ca="1" si="124"/>
        <v>#NAME?</v>
      </c>
      <c r="BL162" s="2" t="e">
        <f ca="1"/>
        <v>#NAME?</v>
      </c>
      <c r="BM162" s="2" t="e">
        <f t="shared" ca="1" si="125"/>
        <v>#NAME?</v>
      </c>
      <c r="BN162" s="2" t="e">
        <f ca="1"/>
        <v>#NAME?</v>
      </c>
      <c r="BO162" s="2" t="e">
        <f t="shared" ca="1" si="126"/>
        <v>#NAME?</v>
      </c>
      <c r="BP162" s="2" t="e">
        <f ca="1"/>
        <v>#NAME?</v>
      </c>
      <c r="BQ162" s="2" t="e">
        <f t="shared" ca="1" si="127"/>
        <v>#NAME?</v>
      </c>
      <c r="BR162" s="2" t="e">
        <f ca="1"/>
        <v>#NAME?</v>
      </c>
      <c r="BS162" s="2" t="e">
        <f t="shared" ca="1" si="128"/>
        <v>#NAME?</v>
      </c>
      <c r="BT162" s="2" t="e">
        <f ca="1"/>
        <v>#NAME?</v>
      </c>
      <c r="BU162" s="2" t="e">
        <f t="shared" ca="1" si="129"/>
        <v>#NAME?</v>
      </c>
      <c r="BV162" s="2" t="e">
        <f ca="1"/>
        <v>#NAME?</v>
      </c>
      <c r="BW162" s="2" t="e">
        <f t="shared" ca="1" si="130"/>
        <v>#NAME?</v>
      </c>
      <c r="BX162" s="2" t="e">
        <f ca="1"/>
        <v>#NAME?</v>
      </c>
      <c r="BY162" s="2" t="e">
        <f t="shared" ca="1" si="131"/>
        <v>#NAME?</v>
      </c>
      <c r="BZ162" s="2" t="e">
        <f ca="1"/>
        <v>#NAME?</v>
      </c>
      <c r="CA162" s="2" t="e">
        <f t="shared" ca="1" si="132"/>
        <v>#NAME?</v>
      </c>
      <c r="CB162" s="2" t="e">
        <f ca="1"/>
        <v>#NAME?</v>
      </c>
      <c r="CC162" s="2" t="e">
        <f t="shared" ca="1" si="133"/>
        <v>#NAME?</v>
      </c>
      <c r="CD162" s="2" t="e">
        <f ca="1"/>
        <v>#NAME?</v>
      </c>
      <c r="CE162" s="2" t="e">
        <f t="shared" ca="1" si="134"/>
        <v>#NAME?</v>
      </c>
      <c r="CF162" s="2" t="e">
        <f ca="1"/>
        <v>#NAME?</v>
      </c>
      <c r="CG162" s="2" t="e">
        <f t="shared" ca="1" si="135"/>
        <v>#NAME?</v>
      </c>
      <c r="CH162" s="2" t="e">
        <f ca="1"/>
        <v>#NAME?</v>
      </c>
      <c r="CI162" s="2" t="e">
        <f t="shared" ca="1" si="136"/>
        <v>#NAME?</v>
      </c>
      <c r="CJ162" s="2" t="e">
        <f ca="1"/>
        <v>#NAME?</v>
      </c>
      <c r="CK162" s="2" t="e">
        <f t="shared" ca="1" si="137"/>
        <v>#NAME?</v>
      </c>
      <c r="CL162" s="2" t="e">
        <f ca="1"/>
        <v>#NAME?</v>
      </c>
      <c r="CM162" s="2" t="e">
        <f t="shared" ca="1" si="138"/>
        <v>#NAME?</v>
      </c>
      <c r="CN162" s="2" t="e">
        <f ca="1"/>
        <v>#NAME?</v>
      </c>
      <c r="CO162" s="2" t="e">
        <f t="shared" ca="1" si="139"/>
        <v>#NAME?</v>
      </c>
      <c r="CP162" s="2" t="e">
        <f ca="1"/>
        <v>#NAME?</v>
      </c>
      <c r="CQ162" s="2" t="e">
        <f t="shared" ca="1" si="140"/>
        <v>#NAME?</v>
      </c>
    </row>
    <row r="163" spans="1:95">
      <c r="A163" s="7" t="e">
        <f ca="1"/>
        <v>#NAME?</v>
      </c>
      <c r="B163" s="2" t="e">
        <f ca="1"/>
        <v>#NAME?</v>
      </c>
      <c r="C163" s="2" t="e">
        <f t="shared" ca="1" si="94"/>
        <v>#NAME?</v>
      </c>
      <c r="D163" s="2" t="e">
        <f ca="1"/>
        <v>#NAME?</v>
      </c>
      <c r="E163" s="2" t="e">
        <f t="shared" ca="1" si="95"/>
        <v>#NAME?</v>
      </c>
      <c r="F163" s="2" t="e">
        <f ca="1"/>
        <v>#NAME?</v>
      </c>
      <c r="G163" s="2" t="e">
        <f t="shared" ca="1" si="96"/>
        <v>#NAME?</v>
      </c>
      <c r="H163" s="2" t="e">
        <f ca="1"/>
        <v>#NAME?</v>
      </c>
      <c r="I163" s="2" t="e">
        <f t="shared" ca="1" si="97"/>
        <v>#NAME?</v>
      </c>
      <c r="J163" s="2" t="e">
        <f ca="1"/>
        <v>#NAME?</v>
      </c>
      <c r="K163" s="2" t="e">
        <f t="shared" ca="1" si="98"/>
        <v>#NAME?</v>
      </c>
      <c r="L163" s="2" t="e">
        <f ca="1"/>
        <v>#NAME?</v>
      </c>
      <c r="M163" s="2" t="e">
        <f t="shared" ca="1" si="99"/>
        <v>#NAME?</v>
      </c>
      <c r="N163" s="2" t="e">
        <f ca="1"/>
        <v>#NAME?</v>
      </c>
      <c r="O163" s="2" t="e">
        <f t="shared" ca="1" si="100"/>
        <v>#NAME?</v>
      </c>
      <c r="P163" s="2" t="e">
        <f ca="1"/>
        <v>#NAME?</v>
      </c>
      <c r="Q163" s="2" t="e">
        <f t="shared" ca="1" si="101"/>
        <v>#NAME?</v>
      </c>
      <c r="R163" s="2" t="e">
        <f ca="1"/>
        <v>#NAME?</v>
      </c>
      <c r="S163" s="2" t="e">
        <f t="shared" ca="1" si="102"/>
        <v>#NAME?</v>
      </c>
      <c r="T163" s="2" t="e">
        <f ca="1"/>
        <v>#NAME?</v>
      </c>
      <c r="U163" s="2" t="e">
        <f t="shared" ca="1" si="103"/>
        <v>#NAME?</v>
      </c>
      <c r="V163" s="2" t="e">
        <f ca="1"/>
        <v>#NAME?</v>
      </c>
      <c r="W163" s="2" t="e">
        <f t="shared" ca="1" si="104"/>
        <v>#NAME?</v>
      </c>
      <c r="X163" s="2" t="e">
        <f ca="1"/>
        <v>#NAME?</v>
      </c>
      <c r="Y163" s="2" t="e">
        <f t="shared" ca="1" si="105"/>
        <v>#NAME?</v>
      </c>
      <c r="Z163" s="2" t="e">
        <f ca="1"/>
        <v>#NAME?</v>
      </c>
      <c r="AA163" s="2" t="e">
        <f t="shared" ca="1" si="106"/>
        <v>#NAME?</v>
      </c>
      <c r="AB163" s="2" t="e">
        <f ca="1"/>
        <v>#NAME?</v>
      </c>
      <c r="AC163" s="2" t="e">
        <f t="shared" ca="1" si="107"/>
        <v>#NAME?</v>
      </c>
      <c r="AD163" s="2" t="e">
        <f ca="1"/>
        <v>#NAME?</v>
      </c>
      <c r="AE163" s="2" t="e">
        <f t="shared" ca="1" si="108"/>
        <v>#NAME?</v>
      </c>
      <c r="AF163" s="2" t="e">
        <f ca="1"/>
        <v>#NAME?</v>
      </c>
      <c r="AG163" s="2" t="e">
        <f t="shared" ca="1" si="109"/>
        <v>#NAME?</v>
      </c>
      <c r="AH163" s="2" t="e">
        <f ca="1"/>
        <v>#NAME?</v>
      </c>
      <c r="AI163" s="2" t="e">
        <f t="shared" ca="1" si="110"/>
        <v>#NAME?</v>
      </c>
      <c r="AJ163" s="2" t="e">
        <f ca="1"/>
        <v>#NAME?</v>
      </c>
      <c r="AK163" s="2" t="e">
        <f t="shared" ca="1" si="111"/>
        <v>#NAME?</v>
      </c>
      <c r="AL163" s="2" t="e">
        <f ca="1"/>
        <v>#NAME?</v>
      </c>
      <c r="AM163" s="2" t="e">
        <f t="shared" ca="1" si="112"/>
        <v>#NAME?</v>
      </c>
      <c r="AN163" s="2" t="e">
        <f ca="1"/>
        <v>#NAME?</v>
      </c>
      <c r="AO163" s="2" t="e">
        <f t="shared" ca="1" si="113"/>
        <v>#NAME?</v>
      </c>
      <c r="AP163" s="2" t="e">
        <f ca="1"/>
        <v>#NAME?</v>
      </c>
      <c r="AQ163" s="2" t="e">
        <f t="shared" ca="1" si="114"/>
        <v>#NAME?</v>
      </c>
      <c r="AR163" s="2" t="e">
        <f ca="1"/>
        <v>#NAME?</v>
      </c>
      <c r="AS163" s="2" t="e">
        <f t="shared" ca="1" si="115"/>
        <v>#NAME?</v>
      </c>
      <c r="AT163" s="2" t="e">
        <f ca="1"/>
        <v>#NAME?</v>
      </c>
      <c r="AU163" s="2" t="e">
        <f t="shared" ca="1" si="116"/>
        <v>#NAME?</v>
      </c>
      <c r="AV163" s="2" t="e">
        <f ca="1"/>
        <v>#NAME?</v>
      </c>
      <c r="AW163" s="2" t="e">
        <f t="shared" ca="1" si="117"/>
        <v>#NAME?</v>
      </c>
      <c r="AX163" s="2" t="e">
        <f ca="1"/>
        <v>#NAME?</v>
      </c>
      <c r="AY163" s="2" t="e">
        <f t="shared" ca="1" si="118"/>
        <v>#NAME?</v>
      </c>
      <c r="AZ163" s="2" t="e">
        <f ca="1"/>
        <v>#NAME?</v>
      </c>
      <c r="BA163" s="2" t="e">
        <f t="shared" ca="1" si="119"/>
        <v>#NAME?</v>
      </c>
      <c r="BB163" s="2" t="e">
        <f ca="1"/>
        <v>#NAME?</v>
      </c>
      <c r="BC163" s="2" t="e">
        <f t="shared" ca="1" si="120"/>
        <v>#NAME?</v>
      </c>
      <c r="BD163" s="2" t="e">
        <f ca="1"/>
        <v>#NAME?</v>
      </c>
      <c r="BE163" s="2" t="e">
        <f t="shared" ca="1" si="121"/>
        <v>#NAME?</v>
      </c>
      <c r="BF163" s="2" t="e">
        <f ca="1"/>
        <v>#NAME?</v>
      </c>
      <c r="BG163" s="2" t="e">
        <f t="shared" ca="1" si="122"/>
        <v>#NAME?</v>
      </c>
      <c r="BH163" s="2" t="e">
        <f ca="1"/>
        <v>#NAME?</v>
      </c>
      <c r="BI163" s="2" t="e">
        <f t="shared" ca="1" si="123"/>
        <v>#NAME?</v>
      </c>
      <c r="BJ163" s="2" t="e">
        <f ca="1"/>
        <v>#NAME?</v>
      </c>
      <c r="BK163" s="2" t="e">
        <f t="shared" ca="1" si="124"/>
        <v>#NAME?</v>
      </c>
      <c r="BL163" s="2" t="e">
        <f ca="1"/>
        <v>#NAME?</v>
      </c>
      <c r="BM163" s="2" t="e">
        <f t="shared" ca="1" si="125"/>
        <v>#NAME?</v>
      </c>
      <c r="BN163" s="2" t="e">
        <f ca="1"/>
        <v>#NAME?</v>
      </c>
      <c r="BO163" s="2" t="e">
        <f t="shared" ca="1" si="126"/>
        <v>#NAME?</v>
      </c>
      <c r="BP163" s="2" t="e">
        <f ca="1"/>
        <v>#NAME?</v>
      </c>
      <c r="BQ163" s="2" t="e">
        <f t="shared" ca="1" si="127"/>
        <v>#NAME?</v>
      </c>
      <c r="BR163" s="2" t="e">
        <f ca="1"/>
        <v>#NAME?</v>
      </c>
      <c r="BS163" s="2" t="e">
        <f t="shared" ca="1" si="128"/>
        <v>#NAME?</v>
      </c>
      <c r="BT163" s="2" t="e">
        <f ca="1"/>
        <v>#NAME?</v>
      </c>
      <c r="BU163" s="2" t="e">
        <f t="shared" ca="1" si="129"/>
        <v>#NAME?</v>
      </c>
      <c r="BV163" s="2" t="e">
        <f ca="1"/>
        <v>#NAME?</v>
      </c>
      <c r="BW163" s="2" t="e">
        <f t="shared" ca="1" si="130"/>
        <v>#NAME?</v>
      </c>
      <c r="BX163" s="2" t="e">
        <f ca="1"/>
        <v>#NAME?</v>
      </c>
      <c r="BY163" s="2" t="e">
        <f t="shared" ca="1" si="131"/>
        <v>#NAME?</v>
      </c>
      <c r="BZ163" s="2" t="e">
        <f ca="1"/>
        <v>#NAME?</v>
      </c>
      <c r="CA163" s="2" t="e">
        <f t="shared" ca="1" si="132"/>
        <v>#NAME?</v>
      </c>
      <c r="CB163" s="2" t="e">
        <f ca="1"/>
        <v>#NAME?</v>
      </c>
      <c r="CC163" s="2" t="e">
        <f t="shared" ca="1" si="133"/>
        <v>#NAME?</v>
      </c>
      <c r="CD163" s="2" t="e">
        <f ca="1"/>
        <v>#NAME?</v>
      </c>
      <c r="CE163" s="2" t="e">
        <f t="shared" ca="1" si="134"/>
        <v>#NAME?</v>
      </c>
      <c r="CF163" s="2" t="e">
        <f ca="1"/>
        <v>#NAME?</v>
      </c>
      <c r="CG163" s="2" t="e">
        <f t="shared" ca="1" si="135"/>
        <v>#NAME?</v>
      </c>
      <c r="CH163" s="2" t="e">
        <f ca="1"/>
        <v>#NAME?</v>
      </c>
      <c r="CI163" s="2" t="e">
        <f t="shared" ca="1" si="136"/>
        <v>#NAME?</v>
      </c>
      <c r="CJ163" s="2" t="e">
        <f ca="1"/>
        <v>#NAME?</v>
      </c>
      <c r="CK163" s="2" t="e">
        <f t="shared" ca="1" si="137"/>
        <v>#NAME?</v>
      </c>
      <c r="CL163" s="2" t="e">
        <f ca="1"/>
        <v>#NAME?</v>
      </c>
      <c r="CM163" s="2" t="e">
        <f t="shared" ca="1" si="138"/>
        <v>#NAME?</v>
      </c>
      <c r="CN163" s="2" t="e">
        <f ca="1"/>
        <v>#NAME?</v>
      </c>
      <c r="CO163" s="2" t="e">
        <f t="shared" ca="1" si="139"/>
        <v>#NAME?</v>
      </c>
      <c r="CP163" s="2" t="e">
        <f ca="1"/>
        <v>#NAME?</v>
      </c>
      <c r="CQ163" s="2" t="e">
        <f t="shared" ca="1" si="140"/>
        <v>#NAME?</v>
      </c>
    </row>
    <row r="164" spans="1:95">
      <c r="A164" s="7" t="e">
        <f ca="1"/>
        <v>#NAME?</v>
      </c>
      <c r="B164" s="2" t="e">
        <f ca="1"/>
        <v>#NAME?</v>
      </c>
      <c r="C164" s="2" t="e">
        <f t="shared" ca="1" si="94"/>
        <v>#NAME?</v>
      </c>
      <c r="D164" s="2" t="e">
        <f ca="1"/>
        <v>#NAME?</v>
      </c>
      <c r="E164" s="2" t="e">
        <f t="shared" ca="1" si="95"/>
        <v>#NAME?</v>
      </c>
      <c r="F164" s="2" t="e">
        <f ca="1"/>
        <v>#NAME?</v>
      </c>
      <c r="G164" s="2" t="e">
        <f t="shared" ca="1" si="96"/>
        <v>#NAME?</v>
      </c>
      <c r="H164" s="2" t="e">
        <f ca="1"/>
        <v>#NAME?</v>
      </c>
      <c r="I164" s="2" t="e">
        <f t="shared" ca="1" si="97"/>
        <v>#NAME?</v>
      </c>
      <c r="J164" s="2" t="e">
        <f ca="1"/>
        <v>#NAME?</v>
      </c>
      <c r="K164" s="2" t="e">
        <f t="shared" ca="1" si="98"/>
        <v>#NAME?</v>
      </c>
      <c r="L164" s="2" t="e">
        <f ca="1"/>
        <v>#NAME?</v>
      </c>
      <c r="M164" s="2" t="e">
        <f t="shared" ca="1" si="99"/>
        <v>#NAME?</v>
      </c>
      <c r="N164" s="2" t="e">
        <f ca="1"/>
        <v>#NAME?</v>
      </c>
      <c r="O164" s="2" t="e">
        <f t="shared" ca="1" si="100"/>
        <v>#NAME?</v>
      </c>
      <c r="P164" s="2" t="e">
        <f ca="1"/>
        <v>#NAME?</v>
      </c>
      <c r="Q164" s="2" t="e">
        <f t="shared" ca="1" si="101"/>
        <v>#NAME?</v>
      </c>
      <c r="R164" s="2" t="e">
        <f ca="1"/>
        <v>#NAME?</v>
      </c>
      <c r="S164" s="2" t="e">
        <f t="shared" ca="1" si="102"/>
        <v>#NAME?</v>
      </c>
      <c r="T164" s="2" t="e">
        <f ca="1"/>
        <v>#NAME?</v>
      </c>
      <c r="U164" s="2" t="e">
        <f t="shared" ca="1" si="103"/>
        <v>#NAME?</v>
      </c>
      <c r="V164" s="2" t="e">
        <f ca="1"/>
        <v>#NAME?</v>
      </c>
      <c r="W164" s="2" t="e">
        <f t="shared" ca="1" si="104"/>
        <v>#NAME?</v>
      </c>
      <c r="X164" s="2" t="e">
        <f ca="1"/>
        <v>#NAME?</v>
      </c>
      <c r="Y164" s="2" t="e">
        <f t="shared" ca="1" si="105"/>
        <v>#NAME?</v>
      </c>
      <c r="Z164" s="2" t="e">
        <f ca="1"/>
        <v>#NAME?</v>
      </c>
      <c r="AA164" s="2" t="e">
        <f t="shared" ca="1" si="106"/>
        <v>#NAME?</v>
      </c>
      <c r="AB164" s="2" t="e">
        <f ca="1"/>
        <v>#NAME?</v>
      </c>
      <c r="AC164" s="2" t="e">
        <f t="shared" ca="1" si="107"/>
        <v>#NAME?</v>
      </c>
      <c r="AD164" s="2" t="e">
        <f ca="1"/>
        <v>#NAME?</v>
      </c>
      <c r="AE164" s="2" t="e">
        <f t="shared" ca="1" si="108"/>
        <v>#NAME?</v>
      </c>
      <c r="AF164" s="2" t="e">
        <f ca="1"/>
        <v>#NAME?</v>
      </c>
      <c r="AG164" s="2" t="e">
        <f t="shared" ca="1" si="109"/>
        <v>#NAME?</v>
      </c>
      <c r="AH164" s="2" t="e">
        <f ca="1"/>
        <v>#NAME?</v>
      </c>
      <c r="AI164" s="2" t="e">
        <f t="shared" ca="1" si="110"/>
        <v>#NAME?</v>
      </c>
      <c r="AJ164" s="2" t="e">
        <f ca="1"/>
        <v>#NAME?</v>
      </c>
      <c r="AK164" s="2" t="e">
        <f t="shared" ca="1" si="111"/>
        <v>#NAME?</v>
      </c>
      <c r="AL164" s="2" t="e">
        <f ca="1"/>
        <v>#NAME?</v>
      </c>
      <c r="AM164" s="2" t="e">
        <f t="shared" ca="1" si="112"/>
        <v>#NAME?</v>
      </c>
      <c r="AN164" s="2" t="e">
        <f ca="1"/>
        <v>#NAME?</v>
      </c>
      <c r="AO164" s="2" t="e">
        <f t="shared" ca="1" si="113"/>
        <v>#NAME?</v>
      </c>
      <c r="AP164" s="2" t="e">
        <f ca="1"/>
        <v>#NAME?</v>
      </c>
      <c r="AQ164" s="2" t="e">
        <f t="shared" ca="1" si="114"/>
        <v>#NAME?</v>
      </c>
      <c r="AR164" s="2" t="e">
        <f ca="1"/>
        <v>#NAME?</v>
      </c>
      <c r="AS164" s="2" t="e">
        <f t="shared" ca="1" si="115"/>
        <v>#NAME?</v>
      </c>
      <c r="AT164" s="2" t="e">
        <f ca="1"/>
        <v>#NAME?</v>
      </c>
      <c r="AU164" s="2" t="e">
        <f t="shared" ca="1" si="116"/>
        <v>#NAME?</v>
      </c>
      <c r="AV164" s="2" t="e">
        <f ca="1"/>
        <v>#NAME?</v>
      </c>
      <c r="AW164" s="2" t="e">
        <f t="shared" ca="1" si="117"/>
        <v>#NAME?</v>
      </c>
      <c r="AX164" s="2" t="e">
        <f ca="1"/>
        <v>#NAME?</v>
      </c>
      <c r="AY164" s="2" t="e">
        <f t="shared" ca="1" si="118"/>
        <v>#NAME?</v>
      </c>
      <c r="AZ164" s="2" t="e">
        <f ca="1"/>
        <v>#NAME?</v>
      </c>
      <c r="BA164" s="2" t="e">
        <f t="shared" ca="1" si="119"/>
        <v>#NAME?</v>
      </c>
      <c r="BB164" s="2" t="e">
        <f ca="1"/>
        <v>#NAME?</v>
      </c>
      <c r="BC164" s="2" t="e">
        <f t="shared" ca="1" si="120"/>
        <v>#NAME?</v>
      </c>
      <c r="BD164" s="2" t="e">
        <f ca="1"/>
        <v>#NAME?</v>
      </c>
      <c r="BE164" s="2" t="e">
        <f t="shared" ca="1" si="121"/>
        <v>#NAME?</v>
      </c>
      <c r="BF164" s="2" t="e">
        <f ca="1"/>
        <v>#NAME?</v>
      </c>
      <c r="BG164" s="2" t="e">
        <f t="shared" ca="1" si="122"/>
        <v>#NAME?</v>
      </c>
      <c r="BH164" s="2" t="e">
        <f ca="1"/>
        <v>#NAME?</v>
      </c>
      <c r="BI164" s="2" t="e">
        <f t="shared" ca="1" si="123"/>
        <v>#NAME?</v>
      </c>
      <c r="BJ164" s="2" t="e">
        <f ca="1"/>
        <v>#NAME?</v>
      </c>
      <c r="BK164" s="2" t="e">
        <f t="shared" ca="1" si="124"/>
        <v>#NAME?</v>
      </c>
      <c r="BL164" s="2" t="e">
        <f ca="1"/>
        <v>#NAME?</v>
      </c>
      <c r="BM164" s="2" t="e">
        <f t="shared" ca="1" si="125"/>
        <v>#NAME?</v>
      </c>
      <c r="BN164" s="2" t="e">
        <f ca="1"/>
        <v>#NAME?</v>
      </c>
      <c r="BO164" s="2" t="e">
        <f t="shared" ca="1" si="126"/>
        <v>#NAME?</v>
      </c>
      <c r="BP164" s="2" t="e">
        <f ca="1"/>
        <v>#NAME?</v>
      </c>
      <c r="BQ164" s="2" t="e">
        <f t="shared" ca="1" si="127"/>
        <v>#NAME?</v>
      </c>
      <c r="BR164" s="2" t="e">
        <f ca="1"/>
        <v>#NAME?</v>
      </c>
      <c r="BS164" s="2" t="e">
        <f t="shared" ca="1" si="128"/>
        <v>#NAME?</v>
      </c>
      <c r="BT164" s="2" t="e">
        <f ca="1"/>
        <v>#NAME?</v>
      </c>
      <c r="BU164" s="2" t="e">
        <f t="shared" ca="1" si="129"/>
        <v>#NAME?</v>
      </c>
      <c r="BV164" s="2" t="e">
        <f ca="1"/>
        <v>#NAME?</v>
      </c>
      <c r="BW164" s="2" t="e">
        <f t="shared" ca="1" si="130"/>
        <v>#NAME?</v>
      </c>
      <c r="BX164" s="2" t="e">
        <f ca="1"/>
        <v>#NAME?</v>
      </c>
      <c r="BY164" s="2" t="e">
        <f t="shared" ca="1" si="131"/>
        <v>#NAME?</v>
      </c>
      <c r="BZ164" s="2" t="e">
        <f ca="1"/>
        <v>#NAME?</v>
      </c>
      <c r="CA164" s="2" t="e">
        <f t="shared" ca="1" si="132"/>
        <v>#NAME?</v>
      </c>
      <c r="CB164" s="2" t="e">
        <f ca="1"/>
        <v>#NAME?</v>
      </c>
      <c r="CC164" s="2" t="e">
        <f t="shared" ca="1" si="133"/>
        <v>#NAME?</v>
      </c>
      <c r="CD164" s="2" t="e">
        <f ca="1"/>
        <v>#NAME?</v>
      </c>
      <c r="CE164" s="2" t="e">
        <f t="shared" ca="1" si="134"/>
        <v>#NAME?</v>
      </c>
      <c r="CF164" s="2" t="e">
        <f ca="1"/>
        <v>#NAME?</v>
      </c>
      <c r="CG164" s="2" t="e">
        <f t="shared" ca="1" si="135"/>
        <v>#NAME?</v>
      </c>
      <c r="CH164" s="2" t="e">
        <f ca="1"/>
        <v>#NAME?</v>
      </c>
      <c r="CI164" s="2" t="e">
        <f t="shared" ca="1" si="136"/>
        <v>#NAME?</v>
      </c>
      <c r="CJ164" s="2" t="e">
        <f ca="1"/>
        <v>#NAME?</v>
      </c>
      <c r="CK164" s="2" t="e">
        <f t="shared" ca="1" si="137"/>
        <v>#NAME?</v>
      </c>
      <c r="CL164" s="2" t="e">
        <f ca="1"/>
        <v>#NAME?</v>
      </c>
      <c r="CM164" s="2" t="e">
        <f t="shared" ca="1" si="138"/>
        <v>#NAME?</v>
      </c>
      <c r="CN164" s="2" t="e">
        <f ca="1"/>
        <v>#NAME?</v>
      </c>
      <c r="CO164" s="2" t="e">
        <f t="shared" ca="1" si="139"/>
        <v>#NAME?</v>
      </c>
      <c r="CP164" s="2" t="e">
        <f ca="1"/>
        <v>#NAME?</v>
      </c>
      <c r="CQ164" s="2" t="e">
        <f t="shared" ca="1" si="140"/>
        <v>#NAME?</v>
      </c>
    </row>
    <row r="165" spans="1:95">
      <c r="A165" s="7" t="e">
        <f ca="1"/>
        <v>#NAME?</v>
      </c>
      <c r="B165" s="2" t="e">
        <f ca="1"/>
        <v>#NAME?</v>
      </c>
      <c r="C165" s="2" t="e">
        <f t="shared" ca="1" si="94"/>
        <v>#NAME?</v>
      </c>
      <c r="D165" s="2" t="e">
        <f ca="1"/>
        <v>#NAME?</v>
      </c>
      <c r="E165" s="2" t="e">
        <f t="shared" ca="1" si="95"/>
        <v>#NAME?</v>
      </c>
      <c r="F165" s="2" t="e">
        <f ca="1"/>
        <v>#NAME?</v>
      </c>
      <c r="G165" s="2" t="e">
        <f t="shared" ca="1" si="96"/>
        <v>#NAME?</v>
      </c>
      <c r="H165" s="2" t="e">
        <f ca="1"/>
        <v>#NAME?</v>
      </c>
      <c r="I165" s="2" t="e">
        <f t="shared" ca="1" si="97"/>
        <v>#NAME?</v>
      </c>
      <c r="J165" s="2" t="e">
        <f ca="1"/>
        <v>#NAME?</v>
      </c>
      <c r="K165" s="2" t="e">
        <f t="shared" ca="1" si="98"/>
        <v>#NAME?</v>
      </c>
      <c r="L165" s="2" t="e">
        <f ca="1"/>
        <v>#NAME?</v>
      </c>
      <c r="M165" s="2" t="e">
        <f t="shared" ca="1" si="99"/>
        <v>#NAME?</v>
      </c>
      <c r="N165" s="2" t="e">
        <f ca="1"/>
        <v>#NAME?</v>
      </c>
      <c r="O165" s="2" t="e">
        <f t="shared" ca="1" si="100"/>
        <v>#NAME?</v>
      </c>
      <c r="P165" s="2" t="e">
        <f ca="1"/>
        <v>#NAME?</v>
      </c>
      <c r="Q165" s="2" t="e">
        <f t="shared" ca="1" si="101"/>
        <v>#NAME?</v>
      </c>
      <c r="R165" s="2" t="e">
        <f ca="1"/>
        <v>#NAME?</v>
      </c>
      <c r="S165" s="2" t="e">
        <f t="shared" ca="1" si="102"/>
        <v>#NAME?</v>
      </c>
      <c r="T165" s="2" t="e">
        <f ca="1"/>
        <v>#NAME?</v>
      </c>
      <c r="U165" s="2" t="e">
        <f t="shared" ca="1" si="103"/>
        <v>#NAME?</v>
      </c>
      <c r="V165" s="2" t="e">
        <f ca="1"/>
        <v>#NAME?</v>
      </c>
      <c r="W165" s="2" t="e">
        <f t="shared" ca="1" si="104"/>
        <v>#NAME?</v>
      </c>
      <c r="X165" s="2" t="e">
        <f ca="1"/>
        <v>#NAME?</v>
      </c>
      <c r="Y165" s="2" t="e">
        <f t="shared" ca="1" si="105"/>
        <v>#NAME?</v>
      </c>
      <c r="Z165" s="2" t="e">
        <f ca="1"/>
        <v>#NAME?</v>
      </c>
      <c r="AA165" s="2" t="e">
        <f t="shared" ca="1" si="106"/>
        <v>#NAME?</v>
      </c>
      <c r="AB165" s="2" t="e">
        <f ca="1"/>
        <v>#NAME?</v>
      </c>
      <c r="AC165" s="2" t="e">
        <f t="shared" ca="1" si="107"/>
        <v>#NAME?</v>
      </c>
      <c r="AD165" s="2" t="e">
        <f ca="1"/>
        <v>#NAME?</v>
      </c>
      <c r="AE165" s="2" t="e">
        <f t="shared" ca="1" si="108"/>
        <v>#NAME?</v>
      </c>
      <c r="AF165" s="2" t="e">
        <f ca="1"/>
        <v>#NAME?</v>
      </c>
      <c r="AG165" s="2" t="e">
        <f t="shared" ca="1" si="109"/>
        <v>#NAME?</v>
      </c>
      <c r="AH165" s="2" t="e">
        <f ca="1"/>
        <v>#NAME?</v>
      </c>
      <c r="AI165" s="2" t="e">
        <f t="shared" ca="1" si="110"/>
        <v>#NAME?</v>
      </c>
      <c r="AJ165" s="2" t="e">
        <f ca="1"/>
        <v>#NAME?</v>
      </c>
      <c r="AK165" s="2" t="e">
        <f t="shared" ca="1" si="111"/>
        <v>#NAME?</v>
      </c>
      <c r="AL165" s="2" t="e">
        <f ca="1"/>
        <v>#NAME?</v>
      </c>
      <c r="AM165" s="2" t="e">
        <f t="shared" ca="1" si="112"/>
        <v>#NAME?</v>
      </c>
      <c r="AN165" s="2" t="e">
        <f ca="1"/>
        <v>#NAME?</v>
      </c>
      <c r="AO165" s="2" t="e">
        <f t="shared" ca="1" si="113"/>
        <v>#NAME?</v>
      </c>
      <c r="AP165" s="2" t="e">
        <f ca="1"/>
        <v>#NAME?</v>
      </c>
      <c r="AQ165" s="2" t="e">
        <f t="shared" ca="1" si="114"/>
        <v>#NAME?</v>
      </c>
      <c r="AR165" s="2" t="e">
        <f ca="1"/>
        <v>#NAME?</v>
      </c>
      <c r="AS165" s="2" t="e">
        <f t="shared" ca="1" si="115"/>
        <v>#NAME?</v>
      </c>
      <c r="AT165" s="2" t="e">
        <f ca="1"/>
        <v>#NAME?</v>
      </c>
      <c r="AU165" s="2" t="e">
        <f t="shared" ca="1" si="116"/>
        <v>#NAME?</v>
      </c>
      <c r="AV165" s="2" t="e">
        <f ca="1"/>
        <v>#NAME?</v>
      </c>
      <c r="AW165" s="2" t="e">
        <f t="shared" ca="1" si="117"/>
        <v>#NAME?</v>
      </c>
      <c r="AX165" s="2" t="e">
        <f ca="1"/>
        <v>#NAME?</v>
      </c>
      <c r="AY165" s="2" t="e">
        <f t="shared" ca="1" si="118"/>
        <v>#NAME?</v>
      </c>
      <c r="AZ165" s="2" t="e">
        <f ca="1"/>
        <v>#NAME?</v>
      </c>
      <c r="BA165" s="2" t="e">
        <f t="shared" ca="1" si="119"/>
        <v>#NAME?</v>
      </c>
      <c r="BB165" s="2" t="e">
        <f ca="1"/>
        <v>#NAME?</v>
      </c>
      <c r="BC165" s="2" t="e">
        <f t="shared" ca="1" si="120"/>
        <v>#NAME?</v>
      </c>
      <c r="BD165" s="2" t="e">
        <f ca="1"/>
        <v>#NAME?</v>
      </c>
      <c r="BE165" s="2" t="e">
        <f t="shared" ca="1" si="121"/>
        <v>#NAME?</v>
      </c>
      <c r="BF165" s="2" t="e">
        <f ca="1"/>
        <v>#NAME?</v>
      </c>
      <c r="BG165" s="2" t="e">
        <f t="shared" ca="1" si="122"/>
        <v>#NAME?</v>
      </c>
      <c r="BH165" s="2" t="e">
        <f ca="1"/>
        <v>#NAME?</v>
      </c>
      <c r="BI165" s="2" t="e">
        <f t="shared" ca="1" si="123"/>
        <v>#NAME?</v>
      </c>
      <c r="BJ165" s="2" t="e">
        <f ca="1"/>
        <v>#NAME?</v>
      </c>
      <c r="BK165" s="2" t="e">
        <f t="shared" ca="1" si="124"/>
        <v>#NAME?</v>
      </c>
      <c r="BL165" s="2" t="e">
        <f ca="1"/>
        <v>#NAME?</v>
      </c>
      <c r="BM165" s="2" t="e">
        <f t="shared" ca="1" si="125"/>
        <v>#NAME?</v>
      </c>
      <c r="BN165" s="2" t="e">
        <f ca="1"/>
        <v>#NAME?</v>
      </c>
      <c r="BO165" s="2" t="e">
        <f t="shared" ca="1" si="126"/>
        <v>#NAME?</v>
      </c>
      <c r="BP165" s="2" t="e">
        <f ca="1"/>
        <v>#NAME?</v>
      </c>
      <c r="BQ165" s="2" t="e">
        <f t="shared" ca="1" si="127"/>
        <v>#NAME?</v>
      </c>
      <c r="BR165" s="2" t="e">
        <f ca="1"/>
        <v>#NAME?</v>
      </c>
      <c r="BS165" s="2" t="e">
        <f t="shared" ca="1" si="128"/>
        <v>#NAME?</v>
      </c>
      <c r="BT165" s="2" t="e">
        <f ca="1"/>
        <v>#NAME?</v>
      </c>
      <c r="BU165" s="2" t="e">
        <f t="shared" ca="1" si="129"/>
        <v>#NAME?</v>
      </c>
      <c r="BV165" s="2" t="e">
        <f ca="1"/>
        <v>#NAME?</v>
      </c>
      <c r="BW165" s="2" t="e">
        <f t="shared" ca="1" si="130"/>
        <v>#NAME?</v>
      </c>
      <c r="BX165" s="2" t="e">
        <f ca="1"/>
        <v>#NAME?</v>
      </c>
      <c r="BY165" s="2" t="e">
        <f t="shared" ca="1" si="131"/>
        <v>#NAME?</v>
      </c>
      <c r="BZ165" s="2" t="e">
        <f ca="1"/>
        <v>#NAME?</v>
      </c>
      <c r="CA165" s="2" t="e">
        <f t="shared" ca="1" si="132"/>
        <v>#NAME?</v>
      </c>
      <c r="CB165" s="2" t="e">
        <f ca="1"/>
        <v>#NAME?</v>
      </c>
      <c r="CC165" s="2" t="e">
        <f t="shared" ca="1" si="133"/>
        <v>#NAME?</v>
      </c>
      <c r="CD165" s="2" t="e">
        <f ca="1"/>
        <v>#NAME?</v>
      </c>
      <c r="CE165" s="2" t="e">
        <f t="shared" ca="1" si="134"/>
        <v>#NAME?</v>
      </c>
      <c r="CF165" s="2" t="e">
        <f ca="1"/>
        <v>#NAME?</v>
      </c>
      <c r="CG165" s="2" t="e">
        <f t="shared" ca="1" si="135"/>
        <v>#NAME?</v>
      </c>
      <c r="CH165" s="2" t="e">
        <f ca="1"/>
        <v>#NAME?</v>
      </c>
      <c r="CI165" s="2" t="e">
        <f t="shared" ca="1" si="136"/>
        <v>#NAME?</v>
      </c>
      <c r="CJ165" s="2" t="e">
        <f ca="1"/>
        <v>#NAME?</v>
      </c>
      <c r="CK165" s="2" t="e">
        <f t="shared" ca="1" si="137"/>
        <v>#NAME?</v>
      </c>
      <c r="CL165" s="2" t="e">
        <f ca="1"/>
        <v>#NAME?</v>
      </c>
      <c r="CM165" s="2" t="e">
        <f t="shared" ca="1" si="138"/>
        <v>#NAME?</v>
      </c>
      <c r="CN165" s="2" t="e">
        <f ca="1"/>
        <v>#NAME?</v>
      </c>
      <c r="CO165" s="2" t="e">
        <f t="shared" ca="1" si="139"/>
        <v>#NAME?</v>
      </c>
      <c r="CP165" s="2" t="e">
        <f ca="1"/>
        <v>#NAME?</v>
      </c>
      <c r="CQ165" s="2" t="e">
        <f t="shared" ca="1" si="140"/>
        <v>#NAME?</v>
      </c>
    </row>
    <row r="166" spans="1:95">
      <c r="A166" s="7" t="e">
        <f ca="1"/>
        <v>#NAME?</v>
      </c>
      <c r="B166" s="2" t="e">
        <f ca="1"/>
        <v>#NAME?</v>
      </c>
      <c r="C166" s="2" t="e">
        <f t="shared" ca="1" si="94"/>
        <v>#NAME?</v>
      </c>
      <c r="D166" s="2" t="e">
        <f ca="1"/>
        <v>#NAME?</v>
      </c>
      <c r="E166" s="2" t="e">
        <f t="shared" ca="1" si="95"/>
        <v>#NAME?</v>
      </c>
      <c r="F166" s="2" t="e">
        <f ca="1"/>
        <v>#NAME?</v>
      </c>
      <c r="G166" s="2" t="e">
        <f t="shared" ca="1" si="96"/>
        <v>#NAME?</v>
      </c>
      <c r="H166" s="2" t="e">
        <f ca="1"/>
        <v>#NAME?</v>
      </c>
      <c r="I166" s="2" t="e">
        <f t="shared" ca="1" si="97"/>
        <v>#NAME?</v>
      </c>
      <c r="J166" s="2" t="e">
        <f ca="1"/>
        <v>#NAME?</v>
      </c>
      <c r="K166" s="2" t="e">
        <f t="shared" ca="1" si="98"/>
        <v>#NAME?</v>
      </c>
      <c r="L166" s="2" t="e">
        <f ca="1"/>
        <v>#NAME?</v>
      </c>
      <c r="M166" s="2" t="e">
        <f t="shared" ca="1" si="99"/>
        <v>#NAME?</v>
      </c>
      <c r="N166" s="2" t="e">
        <f ca="1"/>
        <v>#NAME?</v>
      </c>
      <c r="O166" s="2" t="e">
        <f t="shared" ca="1" si="100"/>
        <v>#NAME?</v>
      </c>
      <c r="P166" s="2" t="e">
        <f ca="1"/>
        <v>#NAME?</v>
      </c>
      <c r="Q166" s="2" t="e">
        <f t="shared" ca="1" si="101"/>
        <v>#NAME?</v>
      </c>
      <c r="R166" s="2" t="e">
        <f ca="1"/>
        <v>#NAME?</v>
      </c>
      <c r="S166" s="2" t="e">
        <f t="shared" ca="1" si="102"/>
        <v>#NAME?</v>
      </c>
      <c r="T166" s="2" t="e">
        <f ca="1"/>
        <v>#NAME?</v>
      </c>
      <c r="U166" s="2" t="e">
        <f t="shared" ca="1" si="103"/>
        <v>#NAME?</v>
      </c>
      <c r="V166" s="2" t="e">
        <f ca="1"/>
        <v>#NAME?</v>
      </c>
      <c r="W166" s="2" t="e">
        <f t="shared" ca="1" si="104"/>
        <v>#NAME?</v>
      </c>
      <c r="X166" s="2" t="e">
        <f ca="1"/>
        <v>#NAME?</v>
      </c>
      <c r="Y166" s="2" t="e">
        <f t="shared" ca="1" si="105"/>
        <v>#NAME?</v>
      </c>
      <c r="Z166" s="2" t="e">
        <f ca="1"/>
        <v>#NAME?</v>
      </c>
      <c r="AA166" s="2" t="e">
        <f t="shared" ca="1" si="106"/>
        <v>#NAME?</v>
      </c>
      <c r="AB166" s="2" t="e">
        <f ca="1"/>
        <v>#NAME?</v>
      </c>
      <c r="AC166" s="2" t="e">
        <f t="shared" ca="1" si="107"/>
        <v>#NAME?</v>
      </c>
      <c r="AD166" s="2" t="e">
        <f ca="1"/>
        <v>#NAME?</v>
      </c>
      <c r="AE166" s="2" t="e">
        <f t="shared" ca="1" si="108"/>
        <v>#NAME?</v>
      </c>
      <c r="AF166" s="2" t="e">
        <f ca="1"/>
        <v>#NAME?</v>
      </c>
      <c r="AG166" s="2" t="e">
        <f t="shared" ca="1" si="109"/>
        <v>#NAME?</v>
      </c>
      <c r="AH166" s="2" t="e">
        <f ca="1"/>
        <v>#NAME?</v>
      </c>
      <c r="AI166" s="2" t="e">
        <f t="shared" ca="1" si="110"/>
        <v>#NAME?</v>
      </c>
      <c r="AJ166" s="2" t="e">
        <f ca="1"/>
        <v>#NAME?</v>
      </c>
      <c r="AK166" s="2" t="e">
        <f t="shared" ca="1" si="111"/>
        <v>#NAME?</v>
      </c>
      <c r="AL166" s="2" t="e">
        <f ca="1"/>
        <v>#NAME?</v>
      </c>
      <c r="AM166" s="2" t="e">
        <f t="shared" ca="1" si="112"/>
        <v>#NAME?</v>
      </c>
      <c r="AN166" s="2" t="e">
        <f ca="1"/>
        <v>#NAME?</v>
      </c>
      <c r="AO166" s="2" t="e">
        <f t="shared" ca="1" si="113"/>
        <v>#NAME?</v>
      </c>
      <c r="AP166" s="2" t="e">
        <f ca="1"/>
        <v>#NAME?</v>
      </c>
      <c r="AQ166" s="2" t="e">
        <f t="shared" ca="1" si="114"/>
        <v>#NAME?</v>
      </c>
      <c r="AR166" s="2" t="e">
        <f ca="1"/>
        <v>#NAME?</v>
      </c>
      <c r="AS166" s="2" t="e">
        <f t="shared" ca="1" si="115"/>
        <v>#NAME?</v>
      </c>
      <c r="AT166" s="2" t="e">
        <f ca="1"/>
        <v>#NAME?</v>
      </c>
      <c r="AU166" s="2" t="e">
        <f t="shared" ca="1" si="116"/>
        <v>#NAME?</v>
      </c>
      <c r="AV166" s="2" t="e">
        <f ca="1"/>
        <v>#NAME?</v>
      </c>
      <c r="AW166" s="2" t="e">
        <f t="shared" ca="1" si="117"/>
        <v>#NAME?</v>
      </c>
      <c r="AX166" s="2" t="e">
        <f ca="1"/>
        <v>#NAME?</v>
      </c>
      <c r="AY166" s="2" t="e">
        <f t="shared" ca="1" si="118"/>
        <v>#NAME?</v>
      </c>
      <c r="AZ166" s="2" t="e">
        <f ca="1"/>
        <v>#NAME?</v>
      </c>
      <c r="BA166" s="2" t="e">
        <f t="shared" ca="1" si="119"/>
        <v>#NAME?</v>
      </c>
      <c r="BB166" s="2" t="e">
        <f ca="1"/>
        <v>#NAME?</v>
      </c>
      <c r="BC166" s="2" t="e">
        <f t="shared" ca="1" si="120"/>
        <v>#NAME?</v>
      </c>
      <c r="BD166" s="2" t="e">
        <f ca="1"/>
        <v>#NAME?</v>
      </c>
      <c r="BE166" s="2" t="e">
        <f t="shared" ca="1" si="121"/>
        <v>#NAME?</v>
      </c>
      <c r="BF166" s="2" t="e">
        <f ca="1"/>
        <v>#NAME?</v>
      </c>
      <c r="BG166" s="2" t="e">
        <f t="shared" ca="1" si="122"/>
        <v>#NAME?</v>
      </c>
      <c r="BH166" s="2" t="e">
        <f ca="1"/>
        <v>#NAME?</v>
      </c>
      <c r="BI166" s="2" t="e">
        <f t="shared" ca="1" si="123"/>
        <v>#NAME?</v>
      </c>
      <c r="BJ166" s="2" t="e">
        <f ca="1"/>
        <v>#NAME?</v>
      </c>
      <c r="BK166" s="2" t="e">
        <f t="shared" ca="1" si="124"/>
        <v>#NAME?</v>
      </c>
      <c r="BL166" s="2" t="e">
        <f ca="1"/>
        <v>#NAME?</v>
      </c>
      <c r="BM166" s="2" t="e">
        <f t="shared" ca="1" si="125"/>
        <v>#NAME?</v>
      </c>
      <c r="BN166" s="2" t="e">
        <f ca="1"/>
        <v>#NAME?</v>
      </c>
      <c r="BO166" s="2" t="e">
        <f t="shared" ca="1" si="126"/>
        <v>#NAME?</v>
      </c>
      <c r="BP166" s="2" t="e">
        <f ca="1"/>
        <v>#NAME?</v>
      </c>
      <c r="BQ166" s="2" t="e">
        <f t="shared" ca="1" si="127"/>
        <v>#NAME?</v>
      </c>
      <c r="BR166" s="2" t="e">
        <f ca="1"/>
        <v>#NAME?</v>
      </c>
      <c r="BS166" s="2" t="e">
        <f t="shared" ca="1" si="128"/>
        <v>#NAME?</v>
      </c>
      <c r="BT166" s="2" t="e">
        <f ca="1"/>
        <v>#NAME?</v>
      </c>
      <c r="BU166" s="2" t="e">
        <f t="shared" ca="1" si="129"/>
        <v>#NAME?</v>
      </c>
      <c r="BV166" s="2" t="e">
        <f ca="1"/>
        <v>#NAME?</v>
      </c>
      <c r="BW166" s="2" t="e">
        <f t="shared" ca="1" si="130"/>
        <v>#NAME?</v>
      </c>
      <c r="BX166" s="2" t="e">
        <f ca="1"/>
        <v>#NAME?</v>
      </c>
      <c r="BY166" s="2" t="e">
        <f t="shared" ca="1" si="131"/>
        <v>#NAME?</v>
      </c>
      <c r="BZ166" s="2" t="e">
        <f ca="1"/>
        <v>#NAME?</v>
      </c>
      <c r="CA166" s="2" t="e">
        <f t="shared" ca="1" si="132"/>
        <v>#NAME?</v>
      </c>
      <c r="CB166" s="2" t="e">
        <f ca="1"/>
        <v>#NAME?</v>
      </c>
      <c r="CC166" s="2" t="e">
        <f t="shared" ca="1" si="133"/>
        <v>#NAME?</v>
      </c>
      <c r="CD166" s="2" t="e">
        <f ca="1"/>
        <v>#NAME?</v>
      </c>
      <c r="CE166" s="2" t="e">
        <f t="shared" ca="1" si="134"/>
        <v>#NAME?</v>
      </c>
      <c r="CF166" s="2" t="e">
        <f ca="1"/>
        <v>#NAME?</v>
      </c>
      <c r="CG166" s="2" t="e">
        <f t="shared" ca="1" si="135"/>
        <v>#NAME?</v>
      </c>
      <c r="CH166" s="2" t="e">
        <f ca="1"/>
        <v>#NAME?</v>
      </c>
      <c r="CI166" s="2" t="e">
        <f t="shared" ca="1" si="136"/>
        <v>#NAME?</v>
      </c>
      <c r="CJ166" s="2" t="e">
        <f ca="1"/>
        <v>#NAME?</v>
      </c>
      <c r="CK166" s="2" t="e">
        <f t="shared" ca="1" si="137"/>
        <v>#NAME?</v>
      </c>
      <c r="CL166" s="2" t="e">
        <f ca="1"/>
        <v>#NAME?</v>
      </c>
      <c r="CM166" s="2" t="e">
        <f t="shared" ca="1" si="138"/>
        <v>#NAME?</v>
      </c>
      <c r="CN166" s="2" t="e">
        <f ca="1"/>
        <v>#NAME?</v>
      </c>
      <c r="CO166" s="2" t="e">
        <f t="shared" ca="1" si="139"/>
        <v>#NAME?</v>
      </c>
      <c r="CP166" s="2" t="e">
        <f ca="1"/>
        <v>#NAME?</v>
      </c>
      <c r="CQ166" s="2" t="e">
        <f t="shared" ca="1" si="140"/>
        <v>#NAME?</v>
      </c>
    </row>
    <row r="167" spans="1:95">
      <c r="A167" s="7" t="e">
        <f ca="1"/>
        <v>#NAME?</v>
      </c>
      <c r="B167" s="2" t="e">
        <f ca="1"/>
        <v>#NAME?</v>
      </c>
      <c r="C167" s="2" t="e">
        <f t="shared" ca="1" si="94"/>
        <v>#NAME?</v>
      </c>
      <c r="D167" s="2" t="e">
        <f ca="1"/>
        <v>#NAME?</v>
      </c>
      <c r="E167" s="2" t="e">
        <f t="shared" ca="1" si="95"/>
        <v>#NAME?</v>
      </c>
      <c r="F167" s="2" t="e">
        <f ca="1"/>
        <v>#NAME?</v>
      </c>
      <c r="G167" s="2" t="e">
        <f t="shared" ca="1" si="96"/>
        <v>#NAME?</v>
      </c>
      <c r="H167" s="2" t="e">
        <f ca="1"/>
        <v>#NAME?</v>
      </c>
      <c r="I167" s="2" t="e">
        <f t="shared" ca="1" si="97"/>
        <v>#NAME?</v>
      </c>
      <c r="J167" s="2" t="e">
        <f ca="1"/>
        <v>#NAME?</v>
      </c>
      <c r="K167" s="2" t="e">
        <f t="shared" ca="1" si="98"/>
        <v>#NAME?</v>
      </c>
      <c r="L167" s="2" t="e">
        <f ca="1"/>
        <v>#NAME?</v>
      </c>
      <c r="M167" s="2" t="e">
        <f t="shared" ca="1" si="99"/>
        <v>#NAME?</v>
      </c>
      <c r="N167" s="2" t="e">
        <f ca="1"/>
        <v>#NAME?</v>
      </c>
      <c r="O167" s="2" t="e">
        <f t="shared" ca="1" si="100"/>
        <v>#NAME?</v>
      </c>
      <c r="P167" s="2" t="e">
        <f ca="1"/>
        <v>#NAME?</v>
      </c>
      <c r="Q167" s="2" t="e">
        <f t="shared" ca="1" si="101"/>
        <v>#NAME?</v>
      </c>
      <c r="R167" s="2" t="e">
        <f ca="1"/>
        <v>#NAME?</v>
      </c>
      <c r="S167" s="2" t="e">
        <f t="shared" ca="1" si="102"/>
        <v>#NAME?</v>
      </c>
      <c r="T167" s="2" t="e">
        <f ca="1"/>
        <v>#NAME?</v>
      </c>
      <c r="U167" s="2" t="e">
        <f t="shared" ca="1" si="103"/>
        <v>#NAME?</v>
      </c>
      <c r="V167" s="2" t="e">
        <f ca="1"/>
        <v>#NAME?</v>
      </c>
      <c r="W167" s="2" t="e">
        <f t="shared" ca="1" si="104"/>
        <v>#NAME?</v>
      </c>
      <c r="X167" s="2" t="e">
        <f ca="1"/>
        <v>#NAME?</v>
      </c>
      <c r="Y167" s="2" t="e">
        <f t="shared" ca="1" si="105"/>
        <v>#NAME?</v>
      </c>
      <c r="Z167" s="2" t="e">
        <f ca="1"/>
        <v>#NAME?</v>
      </c>
      <c r="AA167" s="2" t="e">
        <f t="shared" ca="1" si="106"/>
        <v>#NAME?</v>
      </c>
      <c r="AB167" s="2" t="e">
        <f ca="1"/>
        <v>#NAME?</v>
      </c>
      <c r="AC167" s="2" t="e">
        <f t="shared" ca="1" si="107"/>
        <v>#NAME?</v>
      </c>
      <c r="AD167" s="2" t="e">
        <f ca="1"/>
        <v>#NAME?</v>
      </c>
      <c r="AE167" s="2" t="e">
        <f t="shared" ca="1" si="108"/>
        <v>#NAME?</v>
      </c>
      <c r="AF167" s="2" t="e">
        <f ca="1"/>
        <v>#NAME?</v>
      </c>
      <c r="AG167" s="2" t="e">
        <f t="shared" ca="1" si="109"/>
        <v>#NAME?</v>
      </c>
      <c r="AH167" s="2" t="e">
        <f ca="1"/>
        <v>#NAME?</v>
      </c>
      <c r="AI167" s="2" t="e">
        <f t="shared" ca="1" si="110"/>
        <v>#NAME?</v>
      </c>
      <c r="AJ167" s="2" t="e">
        <f ca="1"/>
        <v>#NAME?</v>
      </c>
      <c r="AK167" s="2" t="e">
        <f t="shared" ca="1" si="111"/>
        <v>#NAME?</v>
      </c>
      <c r="AL167" s="2" t="e">
        <f ca="1"/>
        <v>#NAME?</v>
      </c>
      <c r="AM167" s="2" t="e">
        <f t="shared" ca="1" si="112"/>
        <v>#NAME?</v>
      </c>
      <c r="AN167" s="2" t="e">
        <f ca="1"/>
        <v>#NAME?</v>
      </c>
      <c r="AO167" s="2" t="e">
        <f t="shared" ca="1" si="113"/>
        <v>#NAME?</v>
      </c>
      <c r="AP167" s="2" t="e">
        <f ca="1"/>
        <v>#NAME?</v>
      </c>
      <c r="AQ167" s="2" t="e">
        <f t="shared" ca="1" si="114"/>
        <v>#NAME?</v>
      </c>
      <c r="AR167" s="2" t="e">
        <f ca="1"/>
        <v>#NAME?</v>
      </c>
      <c r="AS167" s="2" t="e">
        <f t="shared" ca="1" si="115"/>
        <v>#NAME?</v>
      </c>
      <c r="AT167" s="2" t="e">
        <f ca="1"/>
        <v>#NAME?</v>
      </c>
      <c r="AU167" s="2" t="e">
        <f t="shared" ca="1" si="116"/>
        <v>#NAME?</v>
      </c>
      <c r="AV167" s="2" t="e">
        <f ca="1"/>
        <v>#NAME?</v>
      </c>
      <c r="AW167" s="2" t="e">
        <f t="shared" ca="1" si="117"/>
        <v>#NAME?</v>
      </c>
      <c r="AX167" s="2" t="e">
        <f ca="1"/>
        <v>#NAME?</v>
      </c>
      <c r="AY167" s="2" t="e">
        <f t="shared" ca="1" si="118"/>
        <v>#NAME?</v>
      </c>
      <c r="AZ167" s="2" t="e">
        <f ca="1"/>
        <v>#NAME?</v>
      </c>
      <c r="BA167" s="2" t="e">
        <f t="shared" ca="1" si="119"/>
        <v>#NAME?</v>
      </c>
      <c r="BB167" s="2" t="e">
        <f ca="1"/>
        <v>#NAME?</v>
      </c>
      <c r="BC167" s="2" t="e">
        <f t="shared" ca="1" si="120"/>
        <v>#NAME?</v>
      </c>
      <c r="BD167" s="2" t="e">
        <f ca="1"/>
        <v>#NAME?</v>
      </c>
      <c r="BE167" s="2" t="e">
        <f t="shared" ca="1" si="121"/>
        <v>#NAME?</v>
      </c>
      <c r="BF167" s="2" t="e">
        <f ca="1"/>
        <v>#NAME?</v>
      </c>
      <c r="BG167" s="2" t="e">
        <f t="shared" ca="1" si="122"/>
        <v>#NAME?</v>
      </c>
      <c r="BH167" s="2" t="e">
        <f ca="1"/>
        <v>#NAME?</v>
      </c>
      <c r="BI167" s="2" t="e">
        <f t="shared" ca="1" si="123"/>
        <v>#NAME?</v>
      </c>
      <c r="BJ167" s="2" t="e">
        <f ca="1"/>
        <v>#NAME?</v>
      </c>
      <c r="BK167" s="2" t="e">
        <f t="shared" ca="1" si="124"/>
        <v>#NAME?</v>
      </c>
      <c r="BL167" s="2" t="e">
        <f ca="1"/>
        <v>#NAME?</v>
      </c>
      <c r="BM167" s="2" t="e">
        <f t="shared" ca="1" si="125"/>
        <v>#NAME?</v>
      </c>
      <c r="BN167" s="2" t="e">
        <f ca="1"/>
        <v>#NAME?</v>
      </c>
      <c r="BO167" s="2" t="e">
        <f t="shared" ca="1" si="126"/>
        <v>#NAME?</v>
      </c>
      <c r="BP167" s="2" t="e">
        <f ca="1"/>
        <v>#NAME?</v>
      </c>
      <c r="BQ167" s="2" t="e">
        <f t="shared" ca="1" si="127"/>
        <v>#NAME?</v>
      </c>
      <c r="BR167" s="2" t="e">
        <f ca="1"/>
        <v>#NAME?</v>
      </c>
      <c r="BS167" s="2" t="e">
        <f t="shared" ca="1" si="128"/>
        <v>#NAME?</v>
      </c>
      <c r="BT167" s="2" t="e">
        <f ca="1"/>
        <v>#NAME?</v>
      </c>
      <c r="BU167" s="2" t="e">
        <f t="shared" ca="1" si="129"/>
        <v>#NAME?</v>
      </c>
      <c r="BV167" s="2" t="e">
        <f ca="1"/>
        <v>#NAME?</v>
      </c>
      <c r="BW167" s="2" t="e">
        <f t="shared" ca="1" si="130"/>
        <v>#NAME?</v>
      </c>
      <c r="BX167" s="2" t="e">
        <f ca="1"/>
        <v>#NAME?</v>
      </c>
      <c r="BY167" s="2" t="e">
        <f t="shared" ca="1" si="131"/>
        <v>#NAME?</v>
      </c>
      <c r="BZ167" s="2" t="e">
        <f ca="1"/>
        <v>#NAME?</v>
      </c>
      <c r="CA167" s="2" t="e">
        <f t="shared" ca="1" si="132"/>
        <v>#NAME?</v>
      </c>
      <c r="CB167" s="2" t="e">
        <f ca="1"/>
        <v>#NAME?</v>
      </c>
      <c r="CC167" s="2" t="e">
        <f t="shared" ca="1" si="133"/>
        <v>#NAME?</v>
      </c>
      <c r="CD167" s="2" t="e">
        <f ca="1"/>
        <v>#NAME?</v>
      </c>
      <c r="CE167" s="2" t="e">
        <f t="shared" ca="1" si="134"/>
        <v>#NAME?</v>
      </c>
      <c r="CF167" s="2" t="e">
        <f ca="1"/>
        <v>#NAME?</v>
      </c>
      <c r="CG167" s="2" t="e">
        <f t="shared" ca="1" si="135"/>
        <v>#NAME?</v>
      </c>
      <c r="CH167" s="2" t="e">
        <f ca="1"/>
        <v>#NAME?</v>
      </c>
      <c r="CI167" s="2" t="e">
        <f t="shared" ca="1" si="136"/>
        <v>#NAME?</v>
      </c>
      <c r="CJ167" s="2" t="e">
        <f ca="1"/>
        <v>#NAME?</v>
      </c>
      <c r="CK167" s="2" t="e">
        <f t="shared" ca="1" si="137"/>
        <v>#NAME?</v>
      </c>
      <c r="CL167" s="2" t="e">
        <f ca="1"/>
        <v>#NAME?</v>
      </c>
      <c r="CM167" s="2" t="e">
        <f t="shared" ca="1" si="138"/>
        <v>#NAME?</v>
      </c>
      <c r="CN167" s="2" t="e">
        <f ca="1"/>
        <v>#NAME?</v>
      </c>
      <c r="CO167" s="2" t="e">
        <f t="shared" ca="1" si="139"/>
        <v>#NAME?</v>
      </c>
      <c r="CP167" s="2" t="e">
        <f ca="1"/>
        <v>#NAME?</v>
      </c>
      <c r="CQ167" s="2" t="e">
        <f t="shared" ca="1" si="140"/>
        <v>#NAME?</v>
      </c>
    </row>
    <row r="168" spans="1:95">
      <c r="A168" s="7" t="e">
        <f ca="1"/>
        <v>#NAME?</v>
      </c>
      <c r="B168" s="2" t="e">
        <f ca="1"/>
        <v>#NAME?</v>
      </c>
      <c r="C168" s="2" t="e">
        <f t="shared" ca="1" si="94"/>
        <v>#NAME?</v>
      </c>
      <c r="D168" s="2" t="e">
        <f ca="1"/>
        <v>#NAME?</v>
      </c>
      <c r="E168" s="2" t="e">
        <f t="shared" ca="1" si="95"/>
        <v>#NAME?</v>
      </c>
      <c r="F168" s="2" t="e">
        <f ca="1"/>
        <v>#NAME?</v>
      </c>
      <c r="G168" s="2" t="e">
        <f t="shared" ca="1" si="96"/>
        <v>#NAME?</v>
      </c>
      <c r="H168" s="2" t="e">
        <f ca="1"/>
        <v>#NAME?</v>
      </c>
      <c r="I168" s="2" t="e">
        <f t="shared" ca="1" si="97"/>
        <v>#NAME?</v>
      </c>
      <c r="J168" s="2" t="e">
        <f ca="1"/>
        <v>#NAME?</v>
      </c>
      <c r="K168" s="2" t="e">
        <f t="shared" ca="1" si="98"/>
        <v>#NAME?</v>
      </c>
      <c r="L168" s="2" t="e">
        <f ca="1"/>
        <v>#NAME?</v>
      </c>
      <c r="M168" s="2" t="e">
        <f t="shared" ca="1" si="99"/>
        <v>#NAME?</v>
      </c>
      <c r="N168" s="2" t="e">
        <f ca="1"/>
        <v>#NAME?</v>
      </c>
      <c r="O168" s="2" t="e">
        <f t="shared" ca="1" si="100"/>
        <v>#NAME?</v>
      </c>
      <c r="P168" s="2" t="e">
        <f ca="1"/>
        <v>#NAME?</v>
      </c>
      <c r="Q168" s="2" t="e">
        <f t="shared" ca="1" si="101"/>
        <v>#NAME?</v>
      </c>
      <c r="R168" s="2" t="e">
        <f ca="1"/>
        <v>#NAME?</v>
      </c>
      <c r="S168" s="2" t="e">
        <f t="shared" ca="1" si="102"/>
        <v>#NAME?</v>
      </c>
      <c r="T168" s="2" t="e">
        <f ca="1"/>
        <v>#NAME?</v>
      </c>
      <c r="U168" s="2" t="e">
        <f t="shared" ca="1" si="103"/>
        <v>#NAME?</v>
      </c>
      <c r="V168" s="2" t="e">
        <f ca="1"/>
        <v>#NAME?</v>
      </c>
      <c r="W168" s="2" t="e">
        <f t="shared" ca="1" si="104"/>
        <v>#NAME?</v>
      </c>
      <c r="X168" s="2" t="e">
        <f ca="1"/>
        <v>#NAME?</v>
      </c>
      <c r="Y168" s="2" t="e">
        <f t="shared" ca="1" si="105"/>
        <v>#NAME?</v>
      </c>
      <c r="Z168" s="2" t="e">
        <f ca="1"/>
        <v>#NAME?</v>
      </c>
      <c r="AA168" s="2" t="e">
        <f t="shared" ca="1" si="106"/>
        <v>#NAME?</v>
      </c>
      <c r="AB168" s="2" t="e">
        <f ca="1"/>
        <v>#NAME?</v>
      </c>
      <c r="AC168" s="2" t="e">
        <f t="shared" ca="1" si="107"/>
        <v>#NAME?</v>
      </c>
      <c r="AD168" s="2" t="e">
        <f ca="1"/>
        <v>#NAME?</v>
      </c>
      <c r="AE168" s="2" t="e">
        <f t="shared" ca="1" si="108"/>
        <v>#NAME?</v>
      </c>
      <c r="AF168" s="2" t="e">
        <f ca="1"/>
        <v>#NAME?</v>
      </c>
      <c r="AG168" s="2" t="e">
        <f t="shared" ca="1" si="109"/>
        <v>#NAME?</v>
      </c>
      <c r="AH168" s="2" t="e">
        <f ca="1"/>
        <v>#NAME?</v>
      </c>
      <c r="AI168" s="2" t="e">
        <f t="shared" ca="1" si="110"/>
        <v>#NAME?</v>
      </c>
      <c r="AJ168" s="2" t="e">
        <f ca="1"/>
        <v>#NAME?</v>
      </c>
      <c r="AK168" s="2" t="e">
        <f t="shared" ca="1" si="111"/>
        <v>#NAME?</v>
      </c>
      <c r="AL168" s="2" t="e">
        <f ca="1"/>
        <v>#NAME?</v>
      </c>
      <c r="AM168" s="2" t="e">
        <f t="shared" ca="1" si="112"/>
        <v>#NAME?</v>
      </c>
      <c r="AN168" s="2" t="e">
        <f ca="1"/>
        <v>#NAME?</v>
      </c>
      <c r="AO168" s="2" t="e">
        <f t="shared" ca="1" si="113"/>
        <v>#NAME?</v>
      </c>
      <c r="AP168" s="2" t="e">
        <f ca="1"/>
        <v>#NAME?</v>
      </c>
      <c r="AQ168" s="2" t="e">
        <f t="shared" ca="1" si="114"/>
        <v>#NAME?</v>
      </c>
      <c r="AR168" s="2" t="e">
        <f ca="1"/>
        <v>#NAME?</v>
      </c>
      <c r="AS168" s="2" t="e">
        <f t="shared" ca="1" si="115"/>
        <v>#NAME?</v>
      </c>
      <c r="AT168" s="2" t="e">
        <f ca="1"/>
        <v>#NAME?</v>
      </c>
      <c r="AU168" s="2" t="e">
        <f t="shared" ca="1" si="116"/>
        <v>#NAME?</v>
      </c>
      <c r="AV168" s="2" t="e">
        <f ca="1"/>
        <v>#NAME?</v>
      </c>
      <c r="AW168" s="2" t="e">
        <f t="shared" ca="1" si="117"/>
        <v>#NAME?</v>
      </c>
      <c r="AX168" s="2" t="e">
        <f ca="1"/>
        <v>#NAME?</v>
      </c>
      <c r="AY168" s="2" t="e">
        <f t="shared" ca="1" si="118"/>
        <v>#NAME?</v>
      </c>
      <c r="AZ168" s="2" t="e">
        <f ca="1"/>
        <v>#NAME?</v>
      </c>
      <c r="BA168" s="2" t="e">
        <f t="shared" ca="1" si="119"/>
        <v>#NAME?</v>
      </c>
      <c r="BB168" s="2" t="e">
        <f ca="1"/>
        <v>#NAME?</v>
      </c>
      <c r="BC168" s="2" t="e">
        <f t="shared" ca="1" si="120"/>
        <v>#NAME?</v>
      </c>
      <c r="BD168" s="2" t="e">
        <f ca="1"/>
        <v>#NAME?</v>
      </c>
      <c r="BE168" s="2" t="e">
        <f t="shared" ca="1" si="121"/>
        <v>#NAME?</v>
      </c>
      <c r="BF168" s="2" t="e">
        <f ca="1"/>
        <v>#NAME?</v>
      </c>
      <c r="BG168" s="2" t="e">
        <f t="shared" ca="1" si="122"/>
        <v>#NAME?</v>
      </c>
      <c r="BH168" s="2" t="e">
        <f ca="1"/>
        <v>#NAME?</v>
      </c>
      <c r="BI168" s="2" t="e">
        <f t="shared" ca="1" si="123"/>
        <v>#NAME?</v>
      </c>
      <c r="BJ168" s="2" t="e">
        <f ca="1"/>
        <v>#NAME?</v>
      </c>
      <c r="BK168" s="2" t="e">
        <f t="shared" ca="1" si="124"/>
        <v>#NAME?</v>
      </c>
      <c r="BL168" s="2" t="e">
        <f ca="1"/>
        <v>#NAME?</v>
      </c>
      <c r="BM168" s="2" t="e">
        <f t="shared" ca="1" si="125"/>
        <v>#NAME?</v>
      </c>
      <c r="BN168" s="2" t="e">
        <f ca="1"/>
        <v>#NAME?</v>
      </c>
      <c r="BO168" s="2" t="e">
        <f t="shared" ca="1" si="126"/>
        <v>#NAME?</v>
      </c>
      <c r="BP168" s="2" t="e">
        <f ca="1"/>
        <v>#NAME?</v>
      </c>
      <c r="BQ168" s="2" t="e">
        <f t="shared" ca="1" si="127"/>
        <v>#NAME?</v>
      </c>
      <c r="BR168" s="2" t="e">
        <f ca="1"/>
        <v>#NAME?</v>
      </c>
      <c r="BS168" s="2" t="e">
        <f t="shared" ca="1" si="128"/>
        <v>#NAME?</v>
      </c>
      <c r="BT168" s="2" t="e">
        <f ca="1"/>
        <v>#NAME?</v>
      </c>
      <c r="BU168" s="2" t="e">
        <f t="shared" ca="1" si="129"/>
        <v>#NAME?</v>
      </c>
      <c r="BV168" s="2" t="e">
        <f ca="1"/>
        <v>#NAME?</v>
      </c>
      <c r="BW168" s="2" t="e">
        <f t="shared" ca="1" si="130"/>
        <v>#NAME?</v>
      </c>
      <c r="BX168" s="2" t="e">
        <f ca="1"/>
        <v>#NAME?</v>
      </c>
      <c r="BY168" s="2" t="e">
        <f t="shared" ca="1" si="131"/>
        <v>#NAME?</v>
      </c>
      <c r="BZ168" s="2" t="e">
        <f ca="1"/>
        <v>#NAME?</v>
      </c>
      <c r="CA168" s="2" t="e">
        <f t="shared" ca="1" si="132"/>
        <v>#NAME?</v>
      </c>
      <c r="CB168" s="2" t="e">
        <f ca="1"/>
        <v>#NAME?</v>
      </c>
      <c r="CC168" s="2" t="e">
        <f t="shared" ca="1" si="133"/>
        <v>#NAME?</v>
      </c>
      <c r="CD168" s="2" t="e">
        <f ca="1"/>
        <v>#NAME?</v>
      </c>
      <c r="CE168" s="2" t="e">
        <f t="shared" ca="1" si="134"/>
        <v>#NAME?</v>
      </c>
      <c r="CF168" s="2" t="e">
        <f ca="1"/>
        <v>#NAME?</v>
      </c>
      <c r="CG168" s="2" t="e">
        <f t="shared" ca="1" si="135"/>
        <v>#NAME?</v>
      </c>
      <c r="CH168" s="2" t="e">
        <f ca="1"/>
        <v>#NAME?</v>
      </c>
      <c r="CI168" s="2" t="e">
        <f t="shared" ca="1" si="136"/>
        <v>#NAME?</v>
      </c>
      <c r="CJ168" s="2" t="e">
        <f ca="1"/>
        <v>#NAME?</v>
      </c>
      <c r="CK168" s="2" t="e">
        <f t="shared" ca="1" si="137"/>
        <v>#NAME?</v>
      </c>
      <c r="CL168" s="2" t="e">
        <f ca="1"/>
        <v>#NAME?</v>
      </c>
      <c r="CM168" s="2" t="e">
        <f t="shared" ca="1" si="138"/>
        <v>#NAME?</v>
      </c>
      <c r="CN168" s="2" t="e">
        <f ca="1"/>
        <v>#NAME?</v>
      </c>
      <c r="CO168" s="2" t="e">
        <f t="shared" ca="1" si="139"/>
        <v>#NAME?</v>
      </c>
      <c r="CP168" s="2" t="e">
        <f ca="1"/>
        <v>#NAME?</v>
      </c>
      <c r="CQ168" s="2" t="e">
        <f t="shared" ca="1" si="140"/>
        <v>#NAME?</v>
      </c>
    </row>
    <row r="169" spans="1:95">
      <c r="A169" s="7" t="e">
        <f ca="1"/>
        <v>#NAME?</v>
      </c>
      <c r="B169" s="2" t="e">
        <f ca="1"/>
        <v>#NAME?</v>
      </c>
      <c r="C169" s="2" t="e">
        <f t="shared" ca="1" si="94"/>
        <v>#NAME?</v>
      </c>
      <c r="D169" s="2" t="e">
        <f ca="1"/>
        <v>#NAME?</v>
      </c>
      <c r="E169" s="2" t="e">
        <f t="shared" ca="1" si="95"/>
        <v>#NAME?</v>
      </c>
      <c r="F169" s="2" t="e">
        <f ca="1"/>
        <v>#NAME?</v>
      </c>
      <c r="G169" s="2" t="e">
        <f t="shared" ca="1" si="96"/>
        <v>#NAME?</v>
      </c>
      <c r="H169" s="2" t="e">
        <f ca="1"/>
        <v>#NAME?</v>
      </c>
      <c r="I169" s="2" t="e">
        <f t="shared" ca="1" si="97"/>
        <v>#NAME?</v>
      </c>
      <c r="J169" s="2" t="e">
        <f ca="1"/>
        <v>#NAME?</v>
      </c>
      <c r="K169" s="2" t="e">
        <f t="shared" ca="1" si="98"/>
        <v>#NAME?</v>
      </c>
      <c r="L169" s="2" t="e">
        <f ca="1"/>
        <v>#NAME?</v>
      </c>
      <c r="M169" s="2" t="e">
        <f t="shared" ca="1" si="99"/>
        <v>#NAME?</v>
      </c>
      <c r="N169" s="2" t="e">
        <f ca="1"/>
        <v>#NAME?</v>
      </c>
      <c r="O169" s="2" t="e">
        <f t="shared" ca="1" si="100"/>
        <v>#NAME?</v>
      </c>
      <c r="P169" s="2" t="e">
        <f ca="1"/>
        <v>#NAME?</v>
      </c>
      <c r="Q169" s="2" t="e">
        <f t="shared" ca="1" si="101"/>
        <v>#NAME?</v>
      </c>
      <c r="R169" s="2" t="e">
        <f ca="1"/>
        <v>#NAME?</v>
      </c>
      <c r="S169" s="2" t="e">
        <f t="shared" ca="1" si="102"/>
        <v>#NAME?</v>
      </c>
      <c r="T169" s="2" t="e">
        <f ca="1"/>
        <v>#NAME?</v>
      </c>
      <c r="U169" s="2" t="e">
        <f t="shared" ca="1" si="103"/>
        <v>#NAME?</v>
      </c>
      <c r="V169" s="2" t="e">
        <f ca="1"/>
        <v>#NAME?</v>
      </c>
      <c r="W169" s="2" t="e">
        <f t="shared" ca="1" si="104"/>
        <v>#NAME?</v>
      </c>
      <c r="X169" s="2" t="e">
        <f ca="1"/>
        <v>#NAME?</v>
      </c>
      <c r="Y169" s="2" t="e">
        <f t="shared" ca="1" si="105"/>
        <v>#NAME?</v>
      </c>
      <c r="Z169" s="2" t="e">
        <f ca="1"/>
        <v>#NAME?</v>
      </c>
      <c r="AA169" s="2" t="e">
        <f t="shared" ca="1" si="106"/>
        <v>#NAME?</v>
      </c>
      <c r="AB169" s="2" t="e">
        <f ca="1"/>
        <v>#NAME?</v>
      </c>
      <c r="AC169" s="2" t="e">
        <f t="shared" ca="1" si="107"/>
        <v>#NAME?</v>
      </c>
      <c r="AD169" s="2" t="e">
        <f ca="1"/>
        <v>#NAME?</v>
      </c>
      <c r="AE169" s="2" t="e">
        <f t="shared" ca="1" si="108"/>
        <v>#NAME?</v>
      </c>
      <c r="AF169" s="2" t="e">
        <f ca="1"/>
        <v>#NAME?</v>
      </c>
      <c r="AG169" s="2" t="e">
        <f t="shared" ca="1" si="109"/>
        <v>#NAME?</v>
      </c>
      <c r="AH169" s="2" t="e">
        <f ca="1"/>
        <v>#NAME?</v>
      </c>
      <c r="AI169" s="2" t="e">
        <f t="shared" ca="1" si="110"/>
        <v>#NAME?</v>
      </c>
      <c r="AJ169" s="2" t="e">
        <f ca="1"/>
        <v>#NAME?</v>
      </c>
      <c r="AK169" s="2" t="e">
        <f t="shared" ca="1" si="111"/>
        <v>#NAME?</v>
      </c>
      <c r="AL169" s="2" t="e">
        <f ca="1"/>
        <v>#NAME?</v>
      </c>
      <c r="AM169" s="2" t="e">
        <f t="shared" ca="1" si="112"/>
        <v>#NAME?</v>
      </c>
      <c r="AN169" s="2" t="e">
        <f ca="1"/>
        <v>#NAME?</v>
      </c>
      <c r="AO169" s="2" t="e">
        <f t="shared" ca="1" si="113"/>
        <v>#NAME?</v>
      </c>
      <c r="AP169" s="2" t="e">
        <f ca="1"/>
        <v>#NAME?</v>
      </c>
      <c r="AQ169" s="2" t="e">
        <f t="shared" ca="1" si="114"/>
        <v>#NAME?</v>
      </c>
      <c r="AR169" s="2" t="e">
        <f ca="1"/>
        <v>#NAME?</v>
      </c>
      <c r="AS169" s="2" t="e">
        <f t="shared" ca="1" si="115"/>
        <v>#NAME?</v>
      </c>
      <c r="AT169" s="2" t="e">
        <f ca="1"/>
        <v>#NAME?</v>
      </c>
      <c r="AU169" s="2" t="e">
        <f t="shared" ca="1" si="116"/>
        <v>#NAME?</v>
      </c>
      <c r="AV169" s="2" t="e">
        <f ca="1"/>
        <v>#NAME?</v>
      </c>
      <c r="AW169" s="2" t="e">
        <f t="shared" ca="1" si="117"/>
        <v>#NAME?</v>
      </c>
      <c r="AX169" s="2" t="e">
        <f ca="1"/>
        <v>#NAME?</v>
      </c>
      <c r="AY169" s="2" t="e">
        <f t="shared" ca="1" si="118"/>
        <v>#NAME?</v>
      </c>
      <c r="AZ169" s="2" t="e">
        <f ca="1"/>
        <v>#NAME?</v>
      </c>
      <c r="BA169" s="2" t="e">
        <f t="shared" ca="1" si="119"/>
        <v>#NAME?</v>
      </c>
      <c r="BB169" s="2" t="e">
        <f ca="1"/>
        <v>#NAME?</v>
      </c>
      <c r="BC169" s="2" t="e">
        <f t="shared" ca="1" si="120"/>
        <v>#NAME?</v>
      </c>
      <c r="BD169" s="2" t="e">
        <f ca="1"/>
        <v>#NAME?</v>
      </c>
      <c r="BE169" s="2" t="e">
        <f t="shared" ca="1" si="121"/>
        <v>#NAME?</v>
      </c>
      <c r="BF169" s="2" t="e">
        <f ca="1"/>
        <v>#NAME?</v>
      </c>
      <c r="BG169" s="2" t="e">
        <f t="shared" ca="1" si="122"/>
        <v>#NAME?</v>
      </c>
      <c r="BH169" s="2" t="e">
        <f ca="1"/>
        <v>#NAME?</v>
      </c>
      <c r="BI169" s="2" t="e">
        <f t="shared" ca="1" si="123"/>
        <v>#NAME?</v>
      </c>
      <c r="BJ169" s="2" t="e">
        <f ca="1"/>
        <v>#NAME?</v>
      </c>
      <c r="BK169" s="2" t="e">
        <f t="shared" ca="1" si="124"/>
        <v>#NAME?</v>
      </c>
      <c r="BL169" s="2" t="e">
        <f ca="1"/>
        <v>#NAME?</v>
      </c>
      <c r="BM169" s="2" t="e">
        <f t="shared" ca="1" si="125"/>
        <v>#NAME?</v>
      </c>
      <c r="BN169" s="2" t="e">
        <f ca="1"/>
        <v>#NAME?</v>
      </c>
      <c r="BO169" s="2" t="e">
        <f t="shared" ca="1" si="126"/>
        <v>#NAME?</v>
      </c>
      <c r="BP169" s="2" t="e">
        <f ca="1"/>
        <v>#NAME?</v>
      </c>
      <c r="BQ169" s="2" t="e">
        <f t="shared" ca="1" si="127"/>
        <v>#NAME?</v>
      </c>
      <c r="BR169" s="2" t="e">
        <f ca="1"/>
        <v>#NAME?</v>
      </c>
      <c r="BS169" s="2" t="e">
        <f t="shared" ca="1" si="128"/>
        <v>#NAME?</v>
      </c>
      <c r="BT169" s="2" t="e">
        <f ca="1"/>
        <v>#NAME?</v>
      </c>
      <c r="BU169" s="2" t="e">
        <f t="shared" ca="1" si="129"/>
        <v>#NAME?</v>
      </c>
      <c r="BV169" s="2" t="e">
        <f ca="1"/>
        <v>#NAME?</v>
      </c>
      <c r="BW169" s="2" t="e">
        <f t="shared" ca="1" si="130"/>
        <v>#NAME?</v>
      </c>
      <c r="BX169" s="2" t="e">
        <f ca="1"/>
        <v>#NAME?</v>
      </c>
      <c r="BY169" s="2" t="e">
        <f t="shared" ca="1" si="131"/>
        <v>#NAME?</v>
      </c>
      <c r="BZ169" s="2" t="e">
        <f ca="1"/>
        <v>#NAME?</v>
      </c>
      <c r="CA169" s="2" t="e">
        <f t="shared" ca="1" si="132"/>
        <v>#NAME?</v>
      </c>
      <c r="CB169" s="2" t="e">
        <f ca="1"/>
        <v>#NAME?</v>
      </c>
      <c r="CC169" s="2" t="e">
        <f t="shared" ca="1" si="133"/>
        <v>#NAME?</v>
      </c>
      <c r="CD169" s="2" t="e">
        <f ca="1"/>
        <v>#NAME?</v>
      </c>
      <c r="CE169" s="2" t="e">
        <f t="shared" ca="1" si="134"/>
        <v>#NAME?</v>
      </c>
      <c r="CF169" s="2" t="e">
        <f ca="1"/>
        <v>#NAME?</v>
      </c>
      <c r="CG169" s="2" t="e">
        <f t="shared" ca="1" si="135"/>
        <v>#NAME?</v>
      </c>
      <c r="CH169" s="2" t="e">
        <f ca="1"/>
        <v>#NAME?</v>
      </c>
      <c r="CI169" s="2" t="e">
        <f t="shared" ca="1" si="136"/>
        <v>#NAME?</v>
      </c>
      <c r="CJ169" s="2" t="e">
        <f ca="1"/>
        <v>#NAME?</v>
      </c>
      <c r="CK169" s="2" t="e">
        <f t="shared" ca="1" si="137"/>
        <v>#NAME?</v>
      </c>
      <c r="CL169" s="2" t="e">
        <f ca="1"/>
        <v>#NAME?</v>
      </c>
      <c r="CM169" s="2" t="e">
        <f t="shared" ca="1" si="138"/>
        <v>#NAME?</v>
      </c>
      <c r="CN169" s="2" t="e">
        <f ca="1"/>
        <v>#NAME?</v>
      </c>
      <c r="CO169" s="2" t="e">
        <f t="shared" ca="1" si="139"/>
        <v>#NAME?</v>
      </c>
      <c r="CP169" s="2" t="e">
        <f ca="1"/>
        <v>#NAME?</v>
      </c>
      <c r="CQ169" s="2" t="e">
        <f t="shared" ca="1" si="140"/>
        <v>#NAME?</v>
      </c>
    </row>
    <row r="170" spans="1:95">
      <c r="A170" s="7" t="e">
        <f ca="1"/>
        <v>#NAME?</v>
      </c>
      <c r="B170" s="2" t="e">
        <f ca="1"/>
        <v>#NAME?</v>
      </c>
      <c r="C170" s="2" t="e">
        <f t="shared" ca="1" si="94"/>
        <v>#NAME?</v>
      </c>
      <c r="D170" s="2" t="e">
        <f ca="1"/>
        <v>#NAME?</v>
      </c>
      <c r="E170" s="2" t="e">
        <f t="shared" ca="1" si="95"/>
        <v>#NAME?</v>
      </c>
      <c r="F170" s="2" t="e">
        <f ca="1"/>
        <v>#NAME?</v>
      </c>
      <c r="G170" s="2" t="e">
        <f t="shared" ca="1" si="96"/>
        <v>#NAME?</v>
      </c>
      <c r="H170" s="2" t="e">
        <f ca="1"/>
        <v>#NAME?</v>
      </c>
      <c r="I170" s="2" t="e">
        <f t="shared" ca="1" si="97"/>
        <v>#NAME?</v>
      </c>
      <c r="J170" s="2" t="e">
        <f ca="1"/>
        <v>#NAME?</v>
      </c>
      <c r="K170" s="2" t="e">
        <f t="shared" ca="1" si="98"/>
        <v>#NAME?</v>
      </c>
      <c r="L170" s="2" t="e">
        <f ca="1"/>
        <v>#NAME?</v>
      </c>
      <c r="M170" s="2" t="e">
        <f t="shared" ca="1" si="99"/>
        <v>#NAME?</v>
      </c>
      <c r="N170" s="2" t="e">
        <f ca="1"/>
        <v>#NAME?</v>
      </c>
      <c r="O170" s="2" t="e">
        <f t="shared" ca="1" si="100"/>
        <v>#NAME?</v>
      </c>
      <c r="P170" s="2" t="e">
        <f ca="1"/>
        <v>#NAME?</v>
      </c>
      <c r="Q170" s="2" t="e">
        <f t="shared" ca="1" si="101"/>
        <v>#NAME?</v>
      </c>
      <c r="R170" s="2" t="e">
        <f ca="1"/>
        <v>#NAME?</v>
      </c>
      <c r="S170" s="2" t="e">
        <f t="shared" ca="1" si="102"/>
        <v>#NAME?</v>
      </c>
      <c r="T170" s="2" t="e">
        <f ca="1"/>
        <v>#NAME?</v>
      </c>
      <c r="U170" s="2" t="e">
        <f t="shared" ca="1" si="103"/>
        <v>#NAME?</v>
      </c>
      <c r="V170" s="2" t="e">
        <f ca="1"/>
        <v>#NAME?</v>
      </c>
      <c r="W170" s="2" t="e">
        <f t="shared" ca="1" si="104"/>
        <v>#NAME?</v>
      </c>
      <c r="X170" s="2" t="e">
        <f ca="1"/>
        <v>#NAME?</v>
      </c>
      <c r="Y170" s="2" t="e">
        <f t="shared" ca="1" si="105"/>
        <v>#NAME?</v>
      </c>
      <c r="Z170" s="2" t="e">
        <f ca="1"/>
        <v>#NAME?</v>
      </c>
      <c r="AA170" s="2" t="e">
        <f t="shared" ca="1" si="106"/>
        <v>#NAME?</v>
      </c>
      <c r="AB170" s="2" t="e">
        <f ca="1"/>
        <v>#NAME?</v>
      </c>
      <c r="AC170" s="2" t="e">
        <f t="shared" ca="1" si="107"/>
        <v>#NAME?</v>
      </c>
      <c r="AD170" s="2" t="e">
        <f ca="1"/>
        <v>#NAME?</v>
      </c>
      <c r="AE170" s="2" t="e">
        <f t="shared" ca="1" si="108"/>
        <v>#NAME?</v>
      </c>
      <c r="AF170" s="2" t="e">
        <f ca="1"/>
        <v>#NAME?</v>
      </c>
      <c r="AG170" s="2" t="e">
        <f t="shared" ca="1" si="109"/>
        <v>#NAME?</v>
      </c>
      <c r="AH170" s="2" t="e">
        <f ca="1"/>
        <v>#NAME?</v>
      </c>
      <c r="AI170" s="2" t="e">
        <f t="shared" ca="1" si="110"/>
        <v>#NAME?</v>
      </c>
      <c r="AJ170" s="2" t="e">
        <f ca="1"/>
        <v>#NAME?</v>
      </c>
      <c r="AK170" s="2" t="e">
        <f t="shared" ca="1" si="111"/>
        <v>#NAME?</v>
      </c>
      <c r="AL170" s="2" t="e">
        <f ca="1"/>
        <v>#NAME?</v>
      </c>
      <c r="AM170" s="2" t="e">
        <f t="shared" ca="1" si="112"/>
        <v>#NAME?</v>
      </c>
      <c r="AN170" s="2" t="e">
        <f ca="1"/>
        <v>#NAME?</v>
      </c>
      <c r="AO170" s="2" t="e">
        <f t="shared" ca="1" si="113"/>
        <v>#NAME?</v>
      </c>
      <c r="AP170" s="2" t="e">
        <f ca="1"/>
        <v>#NAME?</v>
      </c>
      <c r="AQ170" s="2" t="e">
        <f t="shared" ca="1" si="114"/>
        <v>#NAME?</v>
      </c>
      <c r="AR170" s="2" t="e">
        <f ca="1"/>
        <v>#NAME?</v>
      </c>
      <c r="AS170" s="2" t="e">
        <f t="shared" ca="1" si="115"/>
        <v>#NAME?</v>
      </c>
      <c r="AT170" s="2" t="e">
        <f ca="1"/>
        <v>#NAME?</v>
      </c>
      <c r="AU170" s="2" t="e">
        <f t="shared" ca="1" si="116"/>
        <v>#NAME?</v>
      </c>
      <c r="AV170" s="2" t="e">
        <f ca="1"/>
        <v>#NAME?</v>
      </c>
      <c r="AW170" s="2" t="e">
        <f t="shared" ca="1" si="117"/>
        <v>#NAME?</v>
      </c>
      <c r="AX170" s="2" t="e">
        <f ca="1"/>
        <v>#NAME?</v>
      </c>
      <c r="AY170" s="2" t="e">
        <f t="shared" ca="1" si="118"/>
        <v>#NAME?</v>
      </c>
      <c r="AZ170" s="2" t="e">
        <f ca="1"/>
        <v>#NAME?</v>
      </c>
      <c r="BA170" s="2" t="e">
        <f t="shared" ca="1" si="119"/>
        <v>#NAME?</v>
      </c>
      <c r="BB170" s="2" t="e">
        <f ca="1"/>
        <v>#NAME?</v>
      </c>
      <c r="BC170" s="2" t="e">
        <f t="shared" ca="1" si="120"/>
        <v>#NAME?</v>
      </c>
      <c r="BD170" s="2" t="e">
        <f ca="1"/>
        <v>#NAME?</v>
      </c>
      <c r="BE170" s="2" t="e">
        <f t="shared" ca="1" si="121"/>
        <v>#NAME?</v>
      </c>
      <c r="BF170" s="2" t="e">
        <f ca="1"/>
        <v>#NAME?</v>
      </c>
      <c r="BG170" s="2" t="e">
        <f t="shared" ca="1" si="122"/>
        <v>#NAME?</v>
      </c>
      <c r="BH170" s="2" t="e">
        <f ca="1"/>
        <v>#NAME?</v>
      </c>
      <c r="BI170" s="2" t="e">
        <f t="shared" ca="1" si="123"/>
        <v>#NAME?</v>
      </c>
      <c r="BJ170" s="2" t="e">
        <f ca="1"/>
        <v>#NAME?</v>
      </c>
      <c r="BK170" s="2" t="e">
        <f t="shared" ca="1" si="124"/>
        <v>#NAME?</v>
      </c>
      <c r="BL170" s="2" t="e">
        <f ca="1"/>
        <v>#NAME?</v>
      </c>
      <c r="BM170" s="2" t="e">
        <f t="shared" ca="1" si="125"/>
        <v>#NAME?</v>
      </c>
      <c r="BN170" s="2" t="e">
        <f ca="1"/>
        <v>#NAME?</v>
      </c>
      <c r="BO170" s="2" t="e">
        <f t="shared" ca="1" si="126"/>
        <v>#NAME?</v>
      </c>
      <c r="BP170" s="2" t="e">
        <f ca="1"/>
        <v>#NAME?</v>
      </c>
      <c r="BQ170" s="2" t="e">
        <f t="shared" ca="1" si="127"/>
        <v>#NAME?</v>
      </c>
      <c r="BR170" s="2" t="e">
        <f ca="1"/>
        <v>#NAME?</v>
      </c>
      <c r="BS170" s="2" t="e">
        <f t="shared" ca="1" si="128"/>
        <v>#NAME?</v>
      </c>
      <c r="BT170" s="2" t="e">
        <f ca="1"/>
        <v>#NAME?</v>
      </c>
      <c r="BU170" s="2" t="e">
        <f t="shared" ca="1" si="129"/>
        <v>#NAME?</v>
      </c>
      <c r="BV170" s="2" t="e">
        <f ca="1"/>
        <v>#NAME?</v>
      </c>
      <c r="BW170" s="2" t="e">
        <f t="shared" ca="1" si="130"/>
        <v>#NAME?</v>
      </c>
      <c r="BX170" s="2" t="e">
        <f ca="1"/>
        <v>#NAME?</v>
      </c>
      <c r="BY170" s="2" t="e">
        <f t="shared" ca="1" si="131"/>
        <v>#NAME?</v>
      </c>
      <c r="BZ170" s="2" t="e">
        <f ca="1"/>
        <v>#NAME?</v>
      </c>
      <c r="CA170" s="2" t="e">
        <f t="shared" ca="1" si="132"/>
        <v>#NAME?</v>
      </c>
      <c r="CB170" s="2" t="e">
        <f ca="1"/>
        <v>#NAME?</v>
      </c>
      <c r="CC170" s="2" t="e">
        <f t="shared" ca="1" si="133"/>
        <v>#NAME?</v>
      </c>
      <c r="CD170" s="2" t="e">
        <f ca="1"/>
        <v>#NAME?</v>
      </c>
      <c r="CE170" s="2" t="e">
        <f t="shared" ca="1" si="134"/>
        <v>#NAME?</v>
      </c>
      <c r="CF170" s="2" t="e">
        <f ca="1"/>
        <v>#NAME?</v>
      </c>
      <c r="CG170" s="2" t="e">
        <f t="shared" ca="1" si="135"/>
        <v>#NAME?</v>
      </c>
      <c r="CH170" s="2" t="e">
        <f ca="1"/>
        <v>#NAME?</v>
      </c>
      <c r="CI170" s="2" t="e">
        <f t="shared" ca="1" si="136"/>
        <v>#NAME?</v>
      </c>
      <c r="CJ170" s="2" t="e">
        <f ca="1"/>
        <v>#NAME?</v>
      </c>
      <c r="CK170" s="2" t="e">
        <f t="shared" ca="1" si="137"/>
        <v>#NAME?</v>
      </c>
      <c r="CL170" s="2" t="e">
        <f ca="1"/>
        <v>#NAME?</v>
      </c>
      <c r="CM170" s="2" t="e">
        <f t="shared" ca="1" si="138"/>
        <v>#NAME?</v>
      </c>
      <c r="CN170" s="2" t="e">
        <f ca="1"/>
        <v>#NAME?</v>
      </c>
      <c r="CO170" s="2" t="e">
        <f t="shared" ca="1" si="139"/>
        <v>#NAME?</v>
      </c>
      <c r="CP170" s="2" t="e">
        <f ca="1"/>
        <v>#NAME?</v>
      </c>
      <c r="CQ170" s="2" t="e">
        <f t="shared" ca="1" si="140"/>
        <v>#NAME?</v>
      </c>
    </row>
    <row r="171" spans="1:95">
      <c r="A171" s="7" t="e">
        <f ca="1"/>
        <v>#NAME?</v>
      </c>
      <c r="B171" s="2" t="e">
        <f ca="1"/>
        <v>#NAME?</v>
      </c>
      <c r="C171" s="2" t="e">
        <f t="shared" ca="1" si="94"/>
        <v>#NAME?</v>
      </c>
      <c r="D171" s="2" t="e">
        <f ca="1"/>
        <v>#NAME?</v>
      </c>
      <c r="E171" s="2" t="e">
        <f t="shared" ca="1" si="95"/>
        <v>#NAME?</v>
      </c>
      <c r="F171" s="2" t="e">
        <f ca="1"/>
        <v>#NAME?</v>
      </c>
      <c r="G171" s="2" t="e">
        <f t="shared" ca="1" si="96"/>
        <v>#NAME?</v>
      </c>
      <c r="H171" s="2" t="e">
        <f ca="1"/>
        <v>#NAME?</v>
      </c>
      <c r="I171" s="2" t="e">
        <f t="shared" ca="1" si="97"/>
        <v>#NAME?</v>
      </c>
      <c r="J171" s="2" t="e">
        <f ca="1"/>
        <v>#NAME?</v>
      </c>
      <c r="K171" s="2" t="e">
        <f t="shared" ca="1" si="98"/>
        <v>#NAME?</v>
      </c>
      <c r="L171" s="2" t="e">
        <f ca="1"/>
        <v>#NAME?</v>
      </c>
      <c r="M171" s="2" t="e">
        <f t="shared" ca="1" si="99"/>
        <v>#NAME?</v>
      </c>
      <c r="N171" s="2" t="e">
        <f ca="1"/>
        <v>#NAME?</v>
      </c>
      <c r="O171" s="2" t="e">
        <f t="shared" ca="1" si="100"/>
        <v>#NAME?</v>
      </c>
      <c r="P171" s="2" t="e">
        <f ca="1"/>
        <v>#NAME?</v>
      </c>
      <c r="Q171" s="2" t="e">
        <f t="shared" ca="1" si="101"/>
        <v>#NAME?</v>
      </c>
      <c r="R171" s="2" t="e">
        <f ca="1"/>
        <v>#NAME?</v>
      </c>
      <c r="S171" s="2" t="e">
        <f t="shared" ca="1" si="102"/>
        <v>#NAME?</v>
      </c>
      <c r="T171" s="2" t="e">
        <f ca="1"/>
        <v>#NAME?</v>
      </c>
      <c r="U171" s="2" t="e">
        <f t="shared" ca="1" si="103"/>
        <v>#NAME?</v>
      </c>
      <c r="V171" s="2" t="e">
        <f ca="1"/>
        <v>#NAME?</v>
      </c>
      <c r="W171" s="2" t="e">
        <f t="shared" ca="1" si="104"/>
        <v>#NAME?</v>
      </c>
      <c r="X171" s="2" t="e">
        <f ca="1"/>
        <v>#NAME?</v>
      </c>
      <c r="Y171" s="2" t="e">
        <f t="shared" ca="1" si="105"/>
        <v>#NAME?</v>
      </c>
      <c r="Z171" s="2" t="e">
        <f ca="1"/>
        <v>#NAME?</v>
      </c>
      <c r="AA171" s="2" t="e">
        <f t="shared" ca="1" si="106"/>
        <v>#NAME?</v>
      </c>
      <c r="AB171" s="2" t="e">
        <f ca="1"/>
        <v>#NAME?</v>
      </c>
      <c r="AC171" s="2" t="e">
        <f t="shared" ca="1" si="107"/>
        <v>#NAME?</v>
      </c>
      <c r="AD171" s="2" t="e">
        <f ca="1"/>
        <v>#NAME?</v>
      </c>
      <c r="AE171" s="2" t="e">
        <f t="shared" ca="1" si="108"/>
        <v>#NAME?</v>
      </c>
      <c r="AF171" s="2" t="e">
        <f ca="1"/>
        <v>#NAME?</v>
      </c>
      <c r="AG171" s="2" t="e">
        <f t="shared" ca="1" si="109"/>
        <v>#NAME?</v>
      </c>
      <c r="AH171" s="2" t="e">
        <f ca="1"/>
        <v>#NAME?</v>
      </c>
      <c r="AI171" s="2" t="e">
        <f t="shared" ca="1" si="110"/>
        <v>#NAME?</v>
      </c>
      <c r="AJ171" s="2" t="e">
        <f ca="1"/>
        <v>#NAME?</v>
      </c>
      <c r="AK171" s="2" t="e">
        <f t="shared" ca="1" si="111"/>
        <v>#NAME?</v>
      </c>
      <c r="AL171" s="2" t="e">
        <f ca="1"/>
        <v>#NAME?</v>
      </c>
      <c r="AM171" s="2" t="e">
        <f t="shared" ca="1" si="112"/>
        <v>#NAME?</v>
      </c>
      <c r="AN171" s="2" t="e">
        <f ca="1"/>
        <v>#NAME?</v>
      </c>
      <c r="AO171" s="2" t="e">
        <f t="shared" ca="1" si="113"/>
        <v>#NAME?</v>
      </c>
      <c r="AP171" s="2" t="e">
        <f ca="1"/>
        <v>#NAME?</v>
      </c>
      <c r="AQ171" s="2" t="e">
        <f t="shared" ca="1" si="114"/>
        <v>#NAME?</v>
      </c>
      <c r="AR171" s="2" t="e">
        <f ca="1"/>
        <v>#NAME?</v>
      </c>
      <c r="AS171" s="2" t="e">
        <f t="shared" ca="1" si="115"/>
        <v>#NAME?</v>
      </c>
      <c r="AT171" s="2" t="e">
        <f ca="1"/>
        <v>#NAME?</v>
      </c>
      <c r="AU171" s="2" t="e">
        <f t="shared" ca="1" si="116"/>
        <v>#NAME?</v>
      </c>
      <c r="AV171" s="2" t="e">
        <f ca="1"/>
        <v>#NAME?</v>
      </c>
      <c r="AW171" s="2" t="e">
        <f t="shared" ca="1" si="117"/>
        <v>#NAME?</v>
      </c>
      <c r="AX171" s="2" t="e">
        <f ca="1"/>
        <v>#NAME?</v>
      </c>
      <c r="AY171" s="2" t="e">
        <f t="shared" ca="1" si="118"/>
        <v>#NAME?</v>
      </c>
      <c r="AZ171" s="2" t="e">
        <f ca="1"/>
        <v>#NAME?</v>
      </c>
      <c r="BA171" s="2" t="e">
        <f t="shared" ca="1" si="119"/>
        <v>#NAME?</v>
      </c>
      <c r="BB171" s="2" t="e">
        <f ca="1"/>
        <v>#NAME?</v>
      </c>
      <c r="BC171" s="2" t="e">
        <f t="shared" ca="1" si="120"/>
        <v>#NAME?</v>
      </c>
      <c r="BD171" s="2" t="e">
        <f ca="1"/>
        <v>#NAME?</v>
      </c>
      <c r="BE171" s="2" t="e">
        <f t="shared" ca="1" si="121"/>
        <v>#NAME?</v>
      </c>
      <c r="BF171" s="2" t="e">
        <f ca="1"/>
        <v>#NAME?</v>
      </c>
      <c r="BG171" s="2" t="e">
        <f t="shared" ca="1" si="122"/>
        <v>#NAME?</v>
      </c>
      <c r="BH171" s="2" t="e">
        <f ca="1"/>
        <v>#NAME?</v>
      </c>
      <c r="BI171" s="2" t="e">
        <f t="shared" ca="1" si="123"/>
        <v>#NAME?</v>
      </c>
      <c r="BJ171" s="2" t="e">
        <f ca="1"/>
        <v>#NAME?</v>
      </c>
      <c r="BK171" s="2" t="e">
        <f t="shared" ca="1" si="124"/>
        <v>#NAME?</v>
      </c>
      <c r="BL171" s="2" t="e">
        <f ca="1"/>
        <v>#NAME?</v>
      </c>
      <c r="BM171" s="2" t="e">
        <f t="shared" ca="1" si="125"/>
        <v>#NAME?</v>
      </c>
      <c r="BN171" s="2" t="e">
        <f ca="1"/>
        <v>#NAME?</v>
      </c>
      <c r="BO171" s="2" t="e">
        <f t="shared" ca="1" si="126"/>
        <v>#NAME?</v>
      </c>
      <c r="BP171" s="2" t="e">
        <f ca="1"/>
        <v>#NAME?</v>
      </c>
      <c r="BQ171" s="2" t="e">
        <f t="shared" ca="1" si="127"/>
        <v>#NAME?</v>
      </c>
      <c r="BR171" s="2" t="e">
        <f ca="1"/>
        <v>#NAME?</v>
      </c>
      <c r="BS171" s="2" t="e">
        <f t="shared" ca="1" si="128"/>
        <v>#NAME?</v>
      </c>
      <c r="BT171" s="2" t="e">
        <f ca="1"/>
        <v>#NAME?</v>
      </c>
      <c r="BU171" s="2" t="e">
        <f t="shared" ca="1" si="129"/>
        <v>#NAME?</v>
      </c>
      <c r="BV171" s="2" t="e">
        <f ca="1"/>
        <v>#NAME?</v>
      </c>
      <c r="BW171" s="2" t="e">
        <f t="shared" ca="1" si="130"/>
        <v>#NAME?</v>
      </c>
      <c r="BX171" s="2" t="e">
        <f ca="1"/>
        <v>#NAME?</v>
      </c>
      <c r="BY171" s="2" t="e">
        <f t="shared" ca="1" si="131"/>
        <v>#NAME?</v>
      </c>
      <c r="BZ171" s="2" t="e">
        <f ca="1"/>
        <v>#NAME?</v>
      </c>
      <c r="CA171" s="2" t="e">
        <f t="shared" ca="1" si="132"/>
        <v>#NAME?</v>
      </c>
      <c r="CB171" s="2" t="e">
        <f ca="1"/>
        <v>#NAME?</v>
      </c>
      <c r="CC171" s="2" t="e">
        <f t="shared" ca="1" si="133"/>
        <v>#NAME?</v>
      </c>
      <c r="CD171" s="2" t="e">
        <f ca="1"/>
        <v>#NAME?</v>
      </c>
      <c r="CE171" s="2" t="e">
        <f t="shared" ca="1" si="134"/>
        <v>#NAME?</v>
      </c>
      <c r="CF171" s="2" t="e">
        <f ca="1"/>
        <v>#NAME?</v>
      </c>
      <c r="CG171" s="2" t="e">
        <f t="shared" ca="1" si="135"/>
        <v>#NAME?</v>
      </c>
      <c r="CH171" s="2" t="e">
        <f ca="1"/>
        <v>#NAME?</v>
      </c>
      <c r="CI171" s="2" t="e">
        <f t="shared" ca="1" si="136"/>
        <v>#NAME?</v>
      </c>
      <c r="CJ171" s="2" t="e">
        <f ca="1"/>
        <v>#NAME?</v>
      </c>
      <c r="CK171" s="2" t="e">
        <f t="shared" ca="1" si="137"/>
        <v>#NAME?</v>
      </c>
      <c r="CL171" s="2" t="e">
        <f ca="1"/>
        <v>#NAME?</v>
      </c>
      <c r="CM171" s="2" t="e">
        <f t="shared" ca="1" si="138"/>
        <v>#NAME?</v>
      </c>
      <c r="CN171" s="2" t="e">
        <f ca="1"/>
        <v>#NAME?</v>
      </c>
      <c r="CO171" s="2" t="e">
        <f t="shared" ca="1" si="139"/>
        <v>#NAME?</v>
      </c>
      <c r="CP171" s="2" t="e">
        <f ca="1"/>
        <v>#NAME?</v>
      </c>
      <c r="CQ171" s="2" t="e">
        <f t="shared" ca="1" si="140"/>
        <v>#NAME?</v>
      </c>
    </row>
    <row r="172" spans="1:95">
      <c r="A172" s="7" t="e">
        <f ca="1"/>
        <v>#NAME?</v>
      </c>
      <c r="B172" s="2" t="e">
        <f ca="1"/>
        <v>#NAME?</v>
      </c>
      <c r="C172" s="2" t="e">
        <f t="shared" ca="1" si="94"/>
        <v>#NAME?</v>
      </c>
      <c r="D172" s="2" t="e">
        <f ca="1"/>
        <v>#NAME?</v>
      </c>
      <c r="E172" s="2" t="e">
        <f t="shared" ca="1" si="95"/>
        <v>#NAME?</v>
      </c>
      <c r="F172" s="2" t="e">
        <f ca="1"/>
        <v>#NAME?</v>
      </c>
      <c r="G172" s="2" t="e">
        <f t="shared" ca="1" si="96"/>
        <v>#NAME?</v>
      </c>
      <c r="H172" s="2" t="e">
        <f ca="1"/>
        <v>#NAME?</v>
      </c>
      <c r="I172" s="2" t="e">
        <f t="shared" ca="1" si="97"/>
        <v>#NAME?</v>
      </c>
      <c r="J172" s="2" t="e">
        <f ca="1"/>
        <v>#NAME?</v>
      </c>
      <c r="K172" s="2" t="e">
        <f t="shared" ca="1" si="98"/>
        <v>#NAME?</v>
      </c>
      <c r="L172" s="2" t="e">
        <f ca="1"/>
        <v>#NAME?</v>
      </c>
      <c r="M172" s="2" t="e">
        <f t="shared" ca="1" si="99"/>
        <v>#NAME?</v>
      </c>
      <c r="N172" s="2" t="e">
        <f ca="1"/>
        <v>#NAME?</v>
      </c>
      <c r="O172" s="2" t="e">
        <f t="shared" ca="1" si="100"/>
        <v>#NAME?</v>
      </c>
      <c r="P172" s="2" t="e">
        <f ca="1"/>
        <v>#NAME?</v>
      </c>
      <c r="Q172" s="2" t="e">
        <f t="shared" ca="1" si="101"/>
        <v>#NAME?</v>
      </c>
      <c r="R172" s="2" t="e">
        <f ca="1"/>
        <v>#NAME?</v>
      </c>
      <c r="S172" s="2" t="e">
        <f t="shared" ca="1" si="102"/>
        <v>#NAME?</v>
      </c>
      <c r="T172" s="2" t="e">
        <f ca="1"/>
        <v>#NAME?</v>
      </c>
      <c r="U172" s="2" t="e">
        <f t="shared" ca="1" si="103"/>
        <v>#NAME?</v>
      </c>
      <c r="V172" s="2" t="e">
        <f ca="1"/>
        <v>#NAME?</v>
      </c>
      <c r="W172" s="2" t="e">
        <f t="shared" ca="1" si="104"/>
        <v>#NAME?</v>
      </c>
      <c r="X172" s="2" t="e">
        <f ca="1"/>
        <v>#NAME?</v>
      </c>
      <c r="Y172" s="2" t="e">
        <f t="shared" ca="1" si="105"/>
        <v>#NAME?</v>
      </c>
      <c r="Z172" s="2" t="e">
        <f ca="1"/>
        <v>#NAME?</v>
      </c>
      <c r="AA172" s="2" t="e">
        <f t="shared" ca="1" si="106"/>
        <v>#NAME?</v>
      </c>
      <c r="AB172" s="2" t="e">
        <f ca="1"/>
        <v>#NAME?</v>
      </c>
      <c r="AC172" s="2" t="e">
        <f t="shared" ca="1" si="107"/>
        <v>#NAME?</v>
      </c>
      <c r="AD172" s="2" t="e">
        <f ca="1"/>
        <v>#NAME?</v>
      </c>
      <c r="AE172" s="2" t="e">
        <f t="shared" ca="1" si="108"/>
        <v>#NAME?</v>
      </c>
      <c r="AF172" s="2" t="e">
        <f ca="1"/>
        <v>#NAME?</v>
      </c>
      <c r="AG172" s="2" t="e">
        <f t="shared" ca="1" si="109"/>
        <v>#NAME?</v>
      </c>
      <c r="AH172" s="2" t="e">
        <f ca="1"/>
        <v>#NAME?</v>
      </c>
      <c r="AI172" s="2" t="e">
        <f t="shared" ca="1" si="110"/>
        <v>#NAME?</v>
      </c>
      <c r="AJ172" s="2" t="e">
        <f ca="1"/>
        <v>#NAME?</v>
      </c>
      <c r="AK172" s="2" t="e">
        <f t="shared" ca="1" si="111"/>
        <v>#NAME?</v>
      </c>
      <c r="AL172" s="2" t="e">
        <f ca="1"/>
        <v>#NAME?</v>
      </c>
      <c r="AM172" s="2" t="e">
        <f t="shared" ca="1" si="112"/>
        <v>#NAME?</v>
      </c>
      <c r="AN172" s="2" t="e">
        <f ca="1"/>
        <v>#NAME?</v>
      </c>
      <c r="AO172" s="2" t="e">
        <f t="shared" ca="1" si="113"/>
        <v>#NAME?</v>
      </c>
      <c r="AP172" s="2" t="e">
        <f ca="1"/>
        <v>#NAME?</v>
      </c>
      <c r="AQ172" s="2" t="e">
        <f t="shared" ca="1" si="114"/>
        <v>#NAME?</v>
      </c>
      <c r="AR172" s="2" t="e">
        <f ca="1"/>
        <v>#NAME?</v>
      </c>
      <c r="AS172" s="2" t="e">
        <f t="shared" ca="1" si="115"/>
        <v>#NAME?</v>
      </c>
      <c r="AT172" s="2" t="e">
        <f ca="1"/>
        <v>#NAME?</v>
      </c>
      <c r="AU172" s="2" t="e">
        <f t="shared" ca="1" si="116"/>
        <v>#NAME?</v>
      </c>
      <c r="AV172" s="2" t="e">
        <f ca="1"/>
        <v>#NAME?</v>
      </c>
      <c r="AW172" s="2" t="e">
        <f t="shared" ca="1" si="117"/>
        <v>#NAME?</v>
      </c>
      <c r="AX172" s="2" t="e">
        <f ca="1"/>
        <v>#NAME?</v>
      </c>
      <c r="AY172" s="2" t="e">
        <f t="shared" ca="1" si="118"/>
        <v>#NAME?</v>
      </c>
      <c r="AZ172" s="2" t="e">
        <f ca="1"/>
        <v>#NAME?</v>
      </c>
      <c r="BA172" s="2" t="e">
        <f t="shared" ca="1" si="119"/>
        <v>#NAME?</v>
      </c>
      <c r="BB172" s="2" t="e">
        <f ca="1"/>
        <v>#NAME?</v>
      </c>
      <c r="BC172" s="2" t="e">
        <f t="shared" ca="1" si="120"/>
        <v>#NAME?</v>
      </c>
      <c r="BD172" s="2" t="e">
        <f ca="1"/>
        <v>#NAME?</v>
      </c>
      <c r="BE172" s="2" t="e">
        <f t="shared" ca="1" si="121"/>
        <v>#NAME?</v>
      </c>
      <c r="BF172" s="2" t="e">
        <f ca="1"/>
        <v>#NAME?</v>
      </c>
      <c r="BG172" s="2" t="e">
        <f t="shared" ca="1" si="122"/>
        <v>#NAME?</v>
      </c>
      <c r="BH172" s="2" t="e">
        <f ca="1"/>
        <v>#NAME?</v>
      </c>
      <c r="BI172" s="2" t="e">
        <f t="shared" ca="1" si="123"/>
        <v>#NAME?</v>
      </c>
      <c r="BJ172" s="2" t="e">
        <f ca="1"/>
        <v>#NAME?</v>
      </c>
      <c r="BK172" s="2" t="e">
        <f t="shared" ca="1" si="124"/>
        <v>#NAME?</v>
      </c>
      <c r="BL172" s="2" t="e">
        <f ca="1"/>
        <v>#NAME?</v>
      </c>
      <c r="BM172" s="2" t="e">
        <f t="shared" ca="1" si="125"/>
        <v>#NAME?</v>
      </c>
      <c r="BN172" s="2" t="e">
        <f ca="1"/>
        <v>#NAME?</v>
      </c>
      <c r="BO172" s="2" t="e">
        <f t="shared" ca="1" si="126"/>
        <v>#NAME?</v>
      </c>
      <c r="BP172" s="2" t="e">
        <f ca="1"/>
        <v>#NAME?</v>
      </c>
      <c r="BQ172" s="2" t="e">
        <f t="shared" ca="1" si="127"/>
        <v>#NAME?</v>
      </c>
      <c r="BR172" s="2" t="e">
        <f ca="1"/>
        <v>#NAME?</v>
      </c>
      <c r="BS172" s="2" t="e">
        <f t="shared" ca="1" si="128"/>
        <v>#NAME?</v>
      </c>
      <c r="BT172" s="2" t="e">
        <f ca="1"/>
        <v>#NAME?</v>
      </c>
      <c r="BU172" s="2" t="e">
        <f t="shared" ca="1" si="129"/>
        <v>#NAME?</v>
      </c>
      <c r="BV172" s="2" t="e">
        <f ca="1"/>
        <v>#NAME?</v>
      </c>
      <c r="BW172" s="2" t="e">
        <f t="shared" ca="1" si="130"/>
        <v>#NAME?</v>
      </c>
      <c r="BX172" s="2" t="e">
        <f ca="1"/>
        <v>#NAME?</v>
      </c>
      <c r="BY172" s="2" t="e">
        <f t="shared" ca="1" si="131"/>
        <v>#NAME?</v>
      </c>
      <c r="BZ172" s="2" t="e">
        <f ca="1"/>
        <v>#NAME?</v>
      </c>
      <c r="CA172" s="2" t="e">
        <f t="shared" ca="1" si="132"/>
        <v>#NAME?</v>
      </c>
      <c r="CB172" s="2" t="e">
        <f ca="1"/>
        <v>#NAME?</v>
      </c>
      <c r="CC172" s="2" t="e">
        <f t="shared" ca="1" si="133"/>
        <v>#NAME?</v>
      </c>
      <c r="CD172" s="2" t="e">
        <f ca="1"/>
        <v>#NAME?</v>
      </c>
      <c r="CE172" s="2" t="e">
        <f t="shared" ca="1" si="134"/>
        <v>#NAME?</v>
      </c>
      <c r="CF172" s="2" t="e">
        <f ca="1"/>
        <v>#NAME?</v>
      </c>
      <c r="CG172" s="2" t="e">
        <f t="shared" ca="1" si="135"/>
        <v>#NAME?</v>
      </c>
      <c r="CH172" s="2" t="e">
        <f ca="1"/>
        <v>#NAME?</v>
      </c>
      <c r="CI172" s="2" t="e">
        <f t="shared" ca="1" si="136"/>
        <v>#NAME?</v>
      </c>
      <c r="CJ172" s="2" t="e">
        <f ca="1"/>
        <v>#NAME?</v>
      </c>
      <c r="CK172" s="2" t="e">
        <f t="shared" ca="1" si="137"/>
        <v>#NAME?</v>
      </c>
      <c r="CL172" s="2" t="e">
        <f ca="1"/>
        <v>#NAME?</v>
      </c>
      <c r="CM172" s="2" t="e">
        <f t="shared" ca="1" si="138"/>
        <v>#NAME?</v>
      </c>
      <c r="CN172" s="2" t="e">
        <f ca="1"/>
        <v>#NAME?</v>
      </c>
      <c r="CO172" s="2" t="e">
        <f t="shared" ca="1" si="139"/>
        <v>#NAME?</v>
      </c>
      <c r="CP172" s="2" t="e">
        <f ca="1"/>
        <v>#NAME?</v>
      </c>
      <c r="CQ172" s="2" t="e">
        <f t="shared" ca="1" si="140"/>
        <v>#NAME?</v>
      </c>
    </row>
    <row r="173" spans="1:95">
      <c r="A173" s="7" t="e">
        <f ca="1"/>
        <v>#NAME?</v>
      </c>
      <c r="B173" s="2" t="e">
        <f ca="1"/>
        <v>#NAME?</v>
      </c>
      <c r="C173" s="2" t="e">
        <f t="shared" ca="1" si="94"/>
        <v>#NAME?</v>
      </c>
      <c r="D173" s="2" t="e">
        <f ca="1"/>
        <v>#NAME?</v>
      </c>
      <c r="E173" s="2" t="e">
        <f t="shared" ca="1" si="95"/>
        <v>#NAME?</v>
      </c>
      <c r="F173" s="2" t="e">
        <f ca="1"/>
        <v>#NAME?</v>
      </c>
      <c r="G173" s="2" t="e">
        <f t="shared" ca="1" si="96"/>
        <v>#NAME?</v>
      </c>
      <c r="H173" s="2" t="e">
        <f ca="1"/>
        <v>#NAME?</v>
      </c>
      <c r="I173" s="2" t="e">
        <f t="shared" ca="1" si="97"/>
        <v>#NAME?</v>
      </c>
      <c r="J173" s="2" t="e">
        <f ca="1"/>
        <v>#NAME?</v>
      </c>
      <c r="K173" s="2" t="e">
        <f t="shared" ca="1" si="98"/>
        <v>#NAME?</v>
      </c>
      <c r="L173" s="2" t="e">
        <f ca="1"/>
        <v>#NAME?</v>
      </c>
      <c r="M173" s="2" t="e">
        <f t="shared" ca="1" si="99"/>
        <v>#NAME?</v>
      </c>
      <c r="N173" s="2" t="e">
        <f ca="1"/>
        <v>#NAME?</v>
      </c>
      <c r="O173" s="2" t="e">
        <f t="shared" ca="1" si="100"/>
        <v>#NAME?</v>
      </c>
      <c r="P173" s="2" t="e">
        <f ca="1"/>
        <v>#NAME?</v>
      </c>
      <c r="Q173" s="2" t="e">
        <f t="shared" ca="1" si="101"/>
        <v>#NAME?</v>
      </c>
      <c r="R173" s="2" t="e">
        <f ca="1"/>
        <v>#NAME?</v>
      </c>
      <c r="S173" s="2" t="e">
        <f t="shared" ca="1" si="102"/>
        <v>#NAME?</v>
      </c>
      <c r="T173" s="2" t="e">
        <f ca="1"/>
        <v>#NAME?</v>
      </c>
      <c r="U173" s="2" t="e">
        <f t="shared" ca="1" si="103"/>
        <v>#NAME?</v>
      </c>
      <c r="V173" s="2" t="e">
        <f ca="1"/>
        <v>#NAME?</v>
      </c>
      <c r="W173" s="2" t="e">
        <f t="shared" ca="1" si="104"/>
        <v>#NAME?</v>
      </c>
      <c r="X173" s="2" t="e">
        <f ca="1"/>
        <v>#NAME?</v>
      </c>
      <c r="Y173" s="2" t="e">
        <f t="shared" ca="1" si="105"/>
        <v>#NAME?</v>
      </c>
      <c r="Z173" s="2" t="e">
        <f ca="1"/>
        <v>#NAME?</v>
      </c>
      <c r="AA173" s="2" t="e">
        <f t="shared" ca="1" si="106"/>
        <v>#NAME?</v>
      </c>
      <c r="AB173" s="2" t="e">
        <f ca="1"/>
        <v>#NAME?</v>
      </c>
      <c r="AC173" s="2" t="e">
        <f t="shared" ca="1" si="107"/>
        <v>#NAME?</v>
      </c>
      <c r="AD173" s="2" t="e">
        <f ca="1"/>
        <v>#NAME?</v>
      </c>
      <c r="AE173" s="2" t="e">
        <f t="shared" ca="1" si="108"/>
        <v>#NAME?</v>
      </c>
      <c r="AF173" s="2" t="e">
        <f ca="1"/>
        <v>#NAME?</v>
      </c>
      <c r="AG173" s="2" t="e">
        <f t="shared" ca="1" si="109"/>
        <v>#NAME?</v>
      </c>
      <c r="AH173" s="2" t="e">
        <f ca="1"/>
        <v>#NAME?</v>
      </c>
      <c r="AI173" s="2" t="e">
        <f t="shared" ca="1" si="110"/>
        <v>#NAME?</v>
      </c>
      <c r="AJ173" s="2" t="e">
        <f ca="1"/>
        <v>#NAME?</v>
      </c>
      <c r="AK173" s="2" t="e">
        <f t="shared" ca="1" si="111"/>
        <v>#NAME?</v>
      </c>
      <c r="AL173" s="2" t="e">
        <f ca="1"/>
        <v>#NAME?</v>
      </c>
      <c r="AM173" s="2" t="e">
        <f t="shared" ca="1" si="112"/>
        <v>#NAME?</v>
      </c>
      <c r="AN173" s="2" t="e">
        <f ca="1"/>
        <v>#NAME?</v>
      </c>
      <c r="AO173" s="2" t="e">
        <f t="shared" ca="1" si="113"/>
        <v>#NAME?</v>
      </c>
      <c r="AP173" s="2" t="e">
        <f ca="1"/>
        <v>#NAME?</v>
      </c>
      <c r="AQ173" s="2" t="e">
        <f t="shared" ca="1" si="114"/>
        <v>#NAME?</v>
      </c>
      <c r="AR173" s="2" t="e">
        <f ca="1"/>
        <v>#NAME?</v>
      </c>
      <c r="AS173" s="2" t="e">
        <f t="shared" ca="1" si="115"/>
        <v>#NAME?</v>
      </c>
      <c r="AT173" s="2" t="e">
        <f ca="1"/>
        <v>#NAME?</v>
      </c>
      <c r="AU173" s="2" t="e">
        <f t="shared" ca="1" si="116"/>
        <v>#NAME?</v>
      </c>
      <c r="AV173" s="2" t="e">
        <f ca="1"/>
        <v>#NAME?</v>
      </c>
      <c r="AW173" s="2" t="e">
        <f t="shared" ca="1" si="117"/>
        <v>#NAME?</v>
      </c>
      <c r="AX173" s="2" t="e">
        <f ca="1"/>
        <v>#NAME?</v>
      </c>
      <c r="AY173" s="2" t="e">
        <f t="shared" ca="1" si="118"/>
        <v>#NAME?</v>
      </c>
      <c r="AZ173" s="2" t="e">
        <f ca="1"/>
        <v>#NAME?</v>
      </c>
      <c r="BA173" s="2" t="e">
        <f t="shared" ca="1" si="119"/>
        <v>#NAME?</v>
      </c>
      <c r="BB173" s="2" t="e">
        <f ca="1"/>
        <v>#NAME?</v>
      </c>
      <c r="BC173" s="2" t="e">
        <f t="shared" ca="1" si="120"/>
        <v>#NAME?</v>
      </c>
      <c r="BD173" s="2" t="e">
        <f ca="1"/>
        <v>#NAME?</v>
      </c>
      <c r="BE173" s="2" t="e">
        <f t="shared" ca="1" si="121"/>
        <v>#NAME?</v>
      </c>
      <c r="BF173" s="2" t="e">
        <f ca="1"/>
        <v>#NAME?</v>
      </c>
      <c r="BG173" s="2" t="e">
        <f t="shared" ca="1" si="122"/>
        <v>#NAME?</v>
      </c>
      <c r="BH173" s="2" t="e">
        <f ca="1"/>
        <v>#NAME?</v>
      </c>
      <c r="BI173" s="2" t="e">
        <f t="shared" ca="1" si="123"/>
        <v>#NAME?</v>
      </c>
      <c r="BJ173" s="2" t="e">
        <f ca="1"/>
        <v>#NAME?</v>
      </c>
      <c r="BK173" s="2" t="e">
        <f t="shared" ca="1" si="124"/>
        <v>#NAME?</v>
      </c>
      <c r="BL173" s="2" t="e">
        <f ca="1"/>
        <v>#NAME?</v>
      </c>
      <c r="BM173" s="2" t="e">
        <f t="shared" ca="1" si="125"/>
        <v>#NAME?</v>
      </c>
      <c r="BN173" s="2" t="e">
        <f ca="1"/>
        <v>#NAME?</v>
      </c>
      <c r="BO173" s="2" t="e">
        <f t="shared" ca="1" si="126"/>
        <v>#NAME?</v>
      </c>
      <c r="BP173" s="2" t="e">
        <f ca="1"/>
        <v>#NAME?</v>
      </c>
      <c r="BQ173" s="2" t="e">
        <f t="shared" ca="1" si="127"/>
        <v>#NAME?</v>
      </c>
      <c r="BR173" s="2" t="e">
        <f ca="1"/>
        <v>#NAME?</v>
      </c>
      <c r="BS173" s="2" t="e">
        <f t="shared" ca="1" si="128"/>
        <v>#NAME?</v>
      </c>
      <c r="BT173" s="2" t="e">
        <f ca="1"/>
        <v>#NAME?</v>
      </c>
      <c r="BU173" s="2" t="e">
        <f t="shared" ca="1" si="129"/>
        <v>#NAME?</v>
      </c>
      <c r="BV173" s="2" t="e">
        <f ca="1"/>
        <v>#NAME?</v>
      </c>
      <c r="BW173" s="2" t="e">
        <f t="shared" ca="1" si="130"/>
        <v>#NAME?</v>
      </c>
      <c r="BX173" s="2" t="e">
        <f ca="1"/>
        <v>#NAME?</v>
      </c>
      <c r="BY173" s="2" t="e">
        <f t="shared" ca="1" si="131"/>
        <v>#NAME?</v>
      </c>
      <c r="BZ173" s="2" t="e">
        <f ca="1"/>
        <v>#NAME?</v>
      </c>
      <c r="CA173" s="2" t="e">
        <f t="shared" ca="1" si="132"/>
        <v>#NAME?</v>
      </c>
      <c r="CB173" s="2" t="e">
        <f ca="1"/>
        <v>#NAME?</v>
      </c>
      <c r="CC173" s="2" t="e">
        <f t="shared" ca="1" si="133"/>
        <v>#NAME?</v>
      </c>
      <c r="CD173" s="2" t="e">
        <f ca="1"/>
        <v>#NAME?</v>
      </c>
      <c r="CE173" s="2" t="e">
        <f t="shared" ca="1" si="134"/>
        <v>#NAME?</v>
      </c>
      <c r="CF173" s="2" t="e">
        <f ca="1"/>
        <v>#NAME?</v>
      </c>
      <c r="CG173" s="2" t="e">
        <f t="shared" ca="1" si="135"/>
        <v>#NAME?</v>
      </c>
      <c r="CH173" s="2" t="e">
        <f ca="1"/>
        <v>#NAME?</v>
      </c>
      <c r="CI173" s="2" t="e">
        <f t="shared" ca="1" si="136"/>
        <v>#NAME?</v>
      </c>
      <c r="CJ173" s="2" t="e">
        <f ca="1"/>
        <v>#NAME?</v>
      </c>
      <c r="CK173" s="2" t="e">
        <f t="shared" ca="1" si="137"/>
        <v>#NAME?</v>
      </c>
      <c r="CL173" s="2" t="e">
        <f ca="1"/>
        <v>#NAME?</v>
      </c>
      <c r="CM173" s="2" t="e">
        <f t="shared" ca="1" si="138"/>
        <v>#NAME?</v>
      </c>
      <c r="CN173" s="2" t="e">
        <f ca="1"/>
        <v>#NAME?</v>
      </c>
      <c r="CO173" s="2" t="e">
        <f t="shared" ca="1" si="139"/>
        <v>#NAME?</v>
      </c>
      <c r="CP173" s="2" t="e">
        <f ca="1"/>
        <v>#NAME?</v>
      </c>
      <c r="CQ173" s="2" t="e">
        <f t="shared" ca="1" si="140"/>
        <v>#NAME?</v>
      </c>
    </row>
    <row r="174" spans="1:95">
      <c r="A174" s="7" t="e">
        <f ca="1"/>
        <v>#NAME?</v>
      </c>
      <c r="B174" s="2" t="e">
        <f ca="1"/>
        <v>#NAME?</v>
      </c>
      <c r="C174" s="2" t="e">
        <f t="shared" ca="1" si="94"/>
        <v>#NAME?</v>
      </c>
      <c r="D174" s="2" t="e">
        <f ca="1"/>
        <v>#NAME?</v>
      </c>
      <c r="E174" s="2" t="e">
        <f t="shared" ca="1" si="95"/>
        <v>#NAME?</v>
      </c>
      <c r="F174" s="2" t="e">
        <f ca="1"/>
        <v>#NAME?</v>
      </c>
      <c r="G174" s="2" t="e">
        <f t="shared" ca="1" si="96"/>
        <v>#NAME?</v>
      </c>
      <c r="H174" s="2" t="e">
        <f ca="1"/>
        <v>#NAME?</v>
      </c>
      <c r="I174" s="2" t="e">
        <f t="shared" ca="1" si="97"/>
        <v>#NAME?</v>
      </c>
      <c r="J174" s="2" t="e">
        <f ca="1"/>
        <v>#NAME?</v>
      </c>
      <c r="K174" s="2" t="e">
        <f t="shared" ca="1" si="98"/>
        <v>#NAME?</v>
      </c>
      <c r="L174" s="2" t="e">
        <f ca="1"/>
        <v>#NAME?</v>
      </c>
      <c r="M174" s="2" t="e">
        <f t="shared" ca="1" si="99"/>
        <v>#NAME?</v>
      </c>
      <c r="N174" s="2" t="e">
        <f ca="1"/>
        <v>#NAME?</v>
      </c>
      <c r="O174" s="2" t="e">
        <f t="shared" ca="1" si="100"/>
        <v>#NAME?</v>
      </c>
      <c r="P174" s="2" t="e">
        <f ca="1"/>
        <v>#NAME?</v>
      </c>
      <c r="Q174" s="2" t="e">
        <f t="shared" ca="1" si="101"/>
        <v>#NAME?</v>
      </c>
      <c r="R174" s="2" t="e">
        <f ca="1"/>
        <v>#NAME?</v>
      </c>
      <c r="S174" s="2" t="e">
        <f t="shared" ca="1" si="102"/>
        <v>#NAME?</v>
      </c>
      <c r="T174" s="2" t="e">
        <f ca="1"/>
        <v>#NAME?</v>
      </c>
      <c r="U174" s="2" t="e">
        <f t="shared" ca="1" si="103"/>
        <v>#NAME?</v>
      </c>
      <c r="V174" s="2" t="e">
        <f ca="1"/>
        <v>#NAME?</v>
      </c>
      <c r="W174" s="2" t="e">
        <f t="shared" ca="1" si="104"/>
        <v>#NAME?</v>
      </c>
      <c r="X174" s="2" t="e">
        <f ca="1"/>
        <v>#NAME?</v>
      </c>
      <c r="Y174" s="2" t="e">
        <f t="shared" ca="1" si="105"/>
        <v>#NAME?</v>
      </c>
      <c r="Z174" s="2" t="e">
        <f ca="1"/>
        <v>#NAME?</v>
      </c>
      <c r="AA174" s="2" t="e">
        <f t="shared" ca="1" si="106"/>
        <v>#NAME?</v>
      </c>
      <c r="AB174" s="2" t="e">
        <f ca="1"/>
        <v>#NAME?</v>
      </c>
      <c r="AC174" s="2" t="e">
        <f t="shared" ca="1" si="107"/>
        <v>#NAME?</v>
      </c>
      <c r="AD174" s="2" t="e">
        <f ca="1"/>
        <v>#NAME?</v>
      </c>
      <c r="AE174" s="2" t="e">
        <f t="shared" ca="1" si="108"/>
        <v>#NAME?</v>
      </c>
      <c r="AF174" s="2" t="e">
        <f ca="1"/>
        <v>#NAME?</v>
      </c>
      <c r="AG174" s="2" t="e">
        <f t="shared" ca="1" si="109"/>
        <v>#NAME?</v>
      </c>
      <c r="AH174" s="2" t="e">
        <f ca="1"/>
        <v>#NAME?</v>
      </c>
      <c r="AI174" s="2" t="e">
        <f t="shared" ca="1" si="110"/>
        <v>#NAME?</v>
      </c>
      <c r="AJ174" s="2" t="e">
        <f ca="1"/>
        <v>#NAME?</v>
      </c>
      <c r="AK174" s="2" t="e">
        <f t="shared" ca="1" si="111"/>
        <v>#NAME?</v>
      </c>
      <c r="AL174" s="2" t="e">
        <f ca="1"/>
        <v>#NAME?</v>
      </c>
      <c r="AM174" s="2" t="e">
        <f t="shared" ca="1" si="112"/>
        <v>#NAME?</v>
      </c>
      <c r="AN174" s="2" t="e">
        <f ca="1"/>
        <v>#NAME?</v>
      </c>
      <c r="AO174" s="2" t="e">
        <f t="shared" ca="1" si="113"/>
        <v>#NAME?</v>
      </c>
      <c r="AP174" s="2" t="e">
        <f ca="1"/>
        <v>#NAME?</v>
      </c>
      <c r="AQ174" s="2" t="e">
        <f t="shared" ca="1" si="114"/>
        <v>#NAME?</v>
      </c>
      <c r="AR174" s="2" t="e">
        <f ca="1"/>
        <v>#NAME?</v>
      </c>
      <c r="AS174" s="2" t="e">
        <f t="shared" ca="1" si="115"/>
        <v>#NAME?</v>
      </c>
      <c r="AT174" s="2" t="e">
        <f ca="1"/>
        <v>#NAME?</v>
      </c>
      <c r="AU174" s="2" t="e">
        <f t="shared" ca="1" si="116"/>
        <v>#NAME?</v>
      </c>
      <c r="AV174" s="2" t="e">
        <f ca="1"/>
        <v>#NAME?</v>
      </c>
      <c r="AW174" s="2" t="e">
        <f t="shared" ca="1" si="117"/>
        <v>#NAME?</v>
      </c>
      <c r="AX174" s="2" t="e">
        <f ca="1"/>
        <v>#NAME?</v>
      </c>
      <c r="AY174" s="2" t="e">
        <f t="shared" ca="1" si="118"/>
        <v>#NAME?</v>
      </c>
      <c r="AZ174" s="2" t="e">
        <f ca="1"/>
        <v>#NAME?</v>
      </c>
      <c r="BA174" s="2" t="e">
        <f t="shared" ca="1" si="119"/>
        <v>#NAME?</v>
      </c>
      <c r="BB174" s="2" t="e">
        <f ca="1"/>
        <v>#NAME?</v>
      </c>
      <c r="BC174" s="2" t="e">
        <f t="shared" ca="1" si="120"/>
        <v>#NAME?</v>
      </c>
      <c r="BD174" s="2" t="e">
        <f ca="1"/>
        <v>#NAME?</v>
      </c>
      <c r="BE174" s="2" t="e">
        <f t="shared" ca="1" si="121"/>
        <v>#NAME?</v>
      </c>
      <c r="BF174" s="2" t="e">
        <f ca="1"/>
        <v>#NAME?</v>
      </c>
      <c r="BG174" s="2" t="e">
        <f t="shared" ca="1" si="122"/>
        <v>#NAME?</v>
      </c>
      <c r="BH174" s="2" t="e">
        <f ca="1"/>
        <v>#NAME?</v>
      </c>
      <c r="BI174" s="2" t="e">
        <f t="shared" ca="1" si="123"/>
        <v>#NAME?</v>
      </c>
      <c r="BJ174" s="2" t="e">
        <f ca="1"/>
        <v>#NAME?</v>
      </c>
      <c r="BK174" s="2" t="e">
        <f t="shared" ca="1" si="124"/>
        <v>#NAME?</v>
      </c>
      <c r="BL174" s="2" t="e">
        <f ca="1"/>
        <v>#NAME?</v>
      </c>
      <c r="BM174" s="2" t="e">
        <f t="shared" ca="1" si="125"/>
        <v>#NAME?</v>
      </c>
      <c r="BN174" s="2" t="e">
        <f ca="1"/>
        <v>#NAME?</v>
      </c>
      <c r="BO174" s="2" t="e">
        <f t="shared" ca="1" si="126"/>
        <v>#NAME?</v>
      </c>
      <c r="BP174" s="2" t="e">
        <f ca="1"/>
        <v>#NAME?</v>
      </c>
      <c r="BQ174" s="2" t="e">
        <f t="shared" ca="1" si="127"/>
        <v>#NAME?</v>
      </c>
      <c r="BR174" s="2" t="e">
        <f ca="1"/>
        <v>#NAME?</v>
      </c>
      <c r="BS174" s="2" t="e">
        <f t="shared" ca="1" si="128"/>
        <v>#NAME?</v>
      </c>
      <c r="BT174" s="2" t="e">
        <f ca="1"/>
        <v>#NAME?</v>
      </c>
      <c r="BU174" s="2" t="e">
        <f t="shared" ca="1" si="129"/>
        <v>#NAME?</v>
      </c>
      <c r="BV174" s="2" t="e">
        <f ca="1"/>
        <v>#NAME?</v>
      </c>
      <c r="BW174" s="2" t="e">
        <f t="shared" ca="1" si="130"/>
        <v>#NAME?</v>
      </c>
      <c r="BX174" s="2" t="e">
        <f ca="1"/>
        <v>#NAME?</v>
      </c>
      <c r="BY174" s="2" t="e">
        <f t="shared" ca="1" si="131"/>
        <v>#NAME?</v>
      </c>
      <c r="BZ174" s="2" t="e">
        <f ca="1"/>
        <v>#NAME?</v>
      </c>
      <c r="CA174" s="2" t="e">
        <f t="shared" ca="1" si="132"/>
        <v>#NAME?</v>
      </c>
      <c r="CB174" s="2" t="e">
        <f ca="1"/>
        <v>#NAME?</v>
      </c>
      <c r="CC174" s="2" t="e">
        <f t="shared" ca="1" si="133"/>
        <v>#NAME?</v>
      </c>
      <c r="CD174" s="2" t="e">
        <f ca="1"/>
        <v>#NAME?</v>
      </c>
      <c r="CE174" s="2" t="e">
        <f t="shared" ca="1" si="134"/>
        <v>#NAME?</v>
      </c>
      <c r="CF174" s="2" t="e">
        <f ca="1"/>
        <v>#NAME?</v>
      </c>
      <c r="CG174" s="2" t="e">
        <f t="shared" ca="1" si="135"/>
        <v>#NAME?</v>
      </c>
      <c r="CH174" s="2" t="e">
        <f ca="1"/>
        <v>#NAME?</v>
      </c>
      <c r="CI174" s="2" t="e">
        <f t="shared" ca="1" si="136"/>
        <v>#NAME?</v>
      </c>
      <c r="CJ174" s="2" t="e">
        <f ca="1"/>
        <v>#NAME?</v>
      </c>
      <c r="CK174" s="2" t="e">
        <f t="shared" ca="1" si="137"/>
        <v>#NAME?</v>
      </c>
      <c r="CL174" s="2" t="e">
        <f ca="1"/>
        <v>#NAME?</v>
      </c>
      <c r="CM174" s="2" t="e">
        <f t="shared" ca="1" si="138"/>
        <v>#NAME?</v>
      </c>
      <c r="CN174" s="2" t="e">
        <f ca="1"/>
        <v>#NAME?</v>
      </c>
      <c r="CO174" s="2" t="e">
        <f t="shared" ca="1" si="139"/>
        <v>#NAME?</v>
      </c>
      <c r="CP174" s="2" t="e">
        <f ca="1"/>
        <v>#NAME?</v>
      </c>
      <c r="CQ174" s="2" t="e">
        <f t="shared" ca="1" si="140"/>
        <v>#NAME?</v>
      </c>
    </row>
    <row r="175" spans="1:95">
      <c r="A175" s="7" t="e">
        <f ca="1"/>
        <v>#NAME?</v>
      </c>
      <c r="B175" s="2" t="e">
        <f ca="1"/>
        <v>#NAME?</v>
      </c>
      <c r="C175" s="2" t="e">
        <f t="shared" ca="1" si="94"/>
        <v>#NAME?</v>
      </c>
      <c r="D175" s="2" t="e">
        <f ca="1"/>
        <v>#NAME?</v>
      </c>
      <c r="E175" s="2" t="e">
        <f t="shared" ca="1" si="95"/>
        <v>#NAME?</v>
      </c>
      <c r="F175" s="2" t="e">
        <f ca="1"/>
        <v>#NAME?</v>
      </c>
      <c r="G175" s="2" t="e">
        <f t="shared" ca="1" si="96"/>
        <v>#NAME?</v>
      </c>
      <c r="H175" s="2" t="e">
        <f ca="1"/>
        <v>#NAME?</v>
      </c>
      <c r="I175" s="2" t="e">
        <f t="shared" ca="1" si="97"/>
        <v>#NAME?</v>
      </c>
      <c r="J175" s="2" t="e">
        <f ca="1"/>
        <v>#NAME?</v>
      </c>
      <c r="K175" s="2" t="e">
        <f t="shared" ca="1" si="98"/>
        <v>#NAME?</v>
      </c>
      <c r="L175" s="2" t="e">
        <f ca="1"/>
        <v>#NAME?</v>
      </c>
      <c r="M175" s="2" t="e">
        <f t="shared" ca="1" si="99"/>
        <v>#NAME?</v>
      </c>
      <c r="N175" s="2" t="e">
        <f ca="1"/>
        <v>#NAME?</v>
      </c>
      <c r="O175" s="2" t="e">
        <f t="shared" ca="1" si="100"/>
        <v>#NAME?</v>
      </c>
      <c r="P175" s="2" t="e">
        <f ca="1"/>
        <v>#NAME?</v>
      </c>
      <c r="Q175" s="2" t="e">
        <f t="shared" ca="1" si="101"/>
        <v>#NAME?</v>
      </c>
      <c r="R175" s="2" t="e">
        <f ca="1"/>
        <v>#NAME?</v>
      </c>
      <c r="S175" s="2" t="e">
        <f t="shared" ca="1" si="102"/>
        <v>#NAME?</v>
      </c>
      <c r="T175" s="2" t="e">
        <f ca="1"/>
        <v>#NAME?</v>
      </c>
      <c r="U175" s="2" t="e">
        <f t="shared" ca="1" si="103"/>
        <v>#NAME?</v>
      </c>
      <c r="V175" s="2" t="e">
        <f ca="1"/>
        <v>#NAME?</v>
      </c>
      <c r="W175" s="2" t="e">
        <f t="shared" ca="1" si="104"/>
        <v>#NAME?</v>
      </c>
      <c r="X175" s="2" t="e">
        <f ca="1"/>
        <v>#NAME?</v>
      </c>
      <c r="Y175" s="2" t="e">
        <f t="shared" ca="1" si="105"/>
        <v>#NAME?</v>
      </c>
      <c r="Z175" s="2" t="e">
        <f ca="1"/>
        <v>#NAME?</v>
      </c>
      <c r="AA175" s="2" t="e">
        <f t="shared" ca="1" si="106"/>
        <v>#NAME?</v>
      </c>
      <c r="AB175" s="2" t="e">
        <f ca="1"/>
        <v>#NAME?</v>
      </c>
      <c r="AC175" s="2" t="e">
        <f t="shared" ca="1" si="107"/>
        <v>#NAME?</v>
      </c>
      <c r="AD175" s="2" t="e">
        <f ca="1"/>
        <v>#NAME?</v>
      </c>
      <c r="AE175" s="2" t="e">
        <f t="shared" ca="1" si="108"/>
        <v>#NAME?</v>
      </c>
      <c r="AF175" s="2" t="e">
        <f ca="1"/>
        <v>#NAME?</v>
      </c>
      <c r="AG175" s="2" t="e">
        <f t="shared" ca="1" si="109"/>
        <v>#NAME?</v>
      </c>
      <c r="AH175" s="2" t="e">
        <f ca="1"/>
        <v>#NAME?</v>
      </c>
      <c r="AI175" s="2" t="e">
        <f t="shared" ca="1" si="110"/>
        <v>#NAME?</v>
      </c>
      <c r="AJ175" s="2" t="e">
        <f ca="1"/>
        <v>#NAME?</v>
      </c>
      <c r="AK175" s="2" t="e">
        <f t="shared" ca="1" si="111"/>
        <v>#NAME?</v>
      </c>
      <c r="AL175" s="2" t="e">
        <f ca="1"/>
        <v>#NAME?</v>
      </c>
      <c r="AM175" s="2" t="e">
        <f t="shared" ca="1" si="112"/>
        <v>#NAME?</v>
      </c>
      <c r="AN175" s="2" t="e">
        <f ca="1"/>
        <v>#NAME?</v>
      </c>
      <c r="AO175" s="2" t="e">
        <f t="shared" ca="1" si="113"/>
        <v>#NAME?</v>
      </c>
      <c r="AP175" s="2" t="e">
        <f ca="1"/>
        <v>#NAME?</v>
      </c>
      <c r="AQ175" s="2" t="e">
        <f t="shared" ca="1" si="114"/>
        <v>#NAME?</v>
      </c>
      <c r="AR175" s="2" t="e">
        <f ca="1"/>
        <v>#NAME?</v>
      </c>
      <c r="AS175" s="2" t="e">
        <f t="shared" ca="1" si="115"/>
        <v>#NAME?</v>
      </c>
      <c r="AT175" s="2" t="e">
        <f ca="1"/>
        <v>#NAME?</v>
      </c>
      <c r="AU175" s="2" t="e">
        <f t="shared" ca="1" si="116"/>
        <v>#NAME?</v>
      </c>
      <c r="AV175" s="2" t="e">
        <f ca="1"/>
        <v>#NAME?</v>
      </c>
      <c r="AW175" s="2" t="e">
        <f t="shared" ca="1" si="117"/>
        <v>#NAME?</v>
      </c>
      <c r="AX175" s="2" t="e">
        <f ca="1"/>
        <v>#NAME?</v>
      </c>
      <c r="AY175" s="2" t="e">
        <f t="shared" ca="1" si="118"/>
        <v>#NAME?</v>
      </c>
      <c r="AZ175" s="2" t="e">
        <f ca="1"/>
        <v>#NAME?</v>
      </c>
      <c r="BA175" s="2" t="e">
        <f t="shared" ca="1" si="119"/>
        <v>#NAME?</v>
      </c>
      <c r="BB175" s="2" t="e">
        <f ca="1"/>
        <v>#NAME?</v>
      </c>
      <c r="BC175" s="2" t="e">
        <f t="shared" ca="1" si="120"/>
        <v>#NAME?</v>
      </c>
      <c r="BD175" s="2" t="e">
        <f ca="1"/>
        <v>#NAME?</v>
      </c>
      <c r="BE175" s="2" t="e">
        <f t="shared" ca="1" si="121"/>
        <v>#NAME?</v>
      </c>
      <c r="BF175" s="2" t="e">
        <f ca="1"/>
        <v>#NAME?</v>
      </c>
      <c r="BG175" s="2" t="e">
        <f t="shared" ca="1" si="122"/>
        <v>#NAME?</v>
      </c>
      <c r="BH175" s="2" t="e">
        <f ca="1"/>
        <v>#NAME?</v>
      </c>
      <c r="BI175" s="2" t="e">
        <f t="shared" ca="1" si="123"/>
        <v>#NAME?</v>
      </c>
      <c r="BJ175" s="2" t="e">
        <f ca="1"/>
        <v>#NAME?</v>
      </c>
      <c r="BK175" s="2" t="e">
        <f t="shared" ca="1" si="124"/>
        <v>#NAME?</v>
      </c>
      <c r="BL175" s="2" t="e">
        <f ca="1"/>
        <v>#NAME?</v>
      </c>
      <c r="BM175" s="2" t="e">
        <f t="shared" ca="1" si="125"/>
        <v>#NAME?</v>
      </c>
      <c r="BN175" s="2" t="e">
        <f ca="1"/>
        <v>#NAME?</v>
      </c>
      <c r="BO175" s="2" t="e">
        <f t="shared" ca="1" si="126"/>
        <v>#NAME?</v>
      </c>
      <c r="BP175" s="2" t="e">
        <f ca="1"/>
        <v>#NAME?</v>
      </c>
      <c r="BQ175" s="2" t="e">
        <f t="shared" ca="1" si="127"/>
        <v>#NAME?</v>
      </c>
      <c r="BR175" s="2" t="e">
        <f ca="1"/>
        <v>#NAME?</v>
      </c>
      <c r="BS175" s="2" t="e">
        <f t="shared" ca="1" si="128"/>
        <v>#NAME?</v>
      </c>
      <c r="BT175" s="2" t="e">
        <f ca="1"/>
        <v>#NAME?</v>
      </c>
      <c r="BU175" s="2" t="e">
        <f t="shared" ca="1" si="129"/>
        <v>#NAME?</v>
      </c>
      <c r="BV175" s="2" t="e">
        <f ca="1"/>
        <v>#NAME?</v>
      </c>
      <c r="BW175" s="2" t="e">
        <f t="shared" ca="1" si="130"/>
        <v>#NAME?</v>
      </c>
      <c r="BX175" s="2" t="e">
        <f ca="1"/>
        <v>#NAME?</v>
      </c>
      <c r="BY175" s="2" t="e">
        <f t="shared" ca="1" si="131"/>
        <v>#NAME?</v>
      </c>
      <c r="BZ175" s="2" t="e">
        <f ca="1"/>
        <v>#NAME?</v>
      </c>
      <c r="CA175" s="2" t="e">
        <f t="shared" ca="1" si="132"/>
        <v>#NAME?</v>
      </c>
      <c r="CB175" s="2" t="e">
        <f ca="1"/>
        <v>#NAME?</v>
      </c>
      <c r="CC175" s="2" t="e">
        <f t="shared" ca="1" si="133"/>
        <v>#NAME?</v>
      </c>
      <c r="CD175" s="2" t="e">
        <f ca="1"/>
        <v>#NAME?</v>
      </c>
      <c r="CE175" s="2" t="e">
        <f t="shared" ca="1" si="134"/>
        <v>#NAME?</v>
      </c>
      <c r="CF175" s="2" t="e">
        <f ca="1"/>
        <v>#NAME?</v>
      </c>
      <c r="CG175" s="2" t="e">
        <f t="shared" ca="1" si="135"/>
        <v>#NAME?</v>
      </c>
      <c r="CH175" s="2" t="e">
        <f ca="1"/>
        <v>#NAME?</v>
      </c>
      <c r="CI175" s="2" t="e">
        <f t="shared" ca="1" si="136"/>
        <v>#NAME?</v>
      </c>
      <c r="CJ175" s="2" t="e">
        <f ca="1"/>
        <v>#NAME?</v>
      </c>
      <c r="CK175" s="2" t="e">
        <f t="shared" ca="1" si="137"/>
        <v>#NAME?</v>
      </c>
      <c r="CL175" s="2" t="e">
        <f ca="1"/>
        <v>#NAME?</v>
      </c>
      <c r="CM175" s="2" t="e">
        <f t="shared" ca="1" si="138"/>
        <v>#NAME?</v>
      </c>
      <c r="CN175" s="2" t="e">
        <f ca="1"/>
        <v>#NAME?</v>
      </c>
      <c r="CO175" s="2" t="e">
        <f t="shared" ca="1" si="139"/>
        <v>#NAME?</v>
      </c>
      <c r="CP175" s="2" t="e">
        <f ca="1"/>
        <v>#NAME?</v>
      </c>
      <c r="CQ175" s="2" t="e">
        <f t="shared" ca="1" si="140"/>
        <v>#NAME?</v>
      </c>
    </row>
    <row r="176" spans="1:95">
      <c r="A176" s="7" t="e">
        <f ca="1"/>
        <v>#NAME?</v>
      </c>
      <c r="B176" s="2" t="e">
        <f ca="1"/>
        <v>#NAME?</v>
      </c>
      <c r="C176" s="2" t="e">
        <f t="shared" ca="1" si="94"/>
        <v>#NAME?</v>
      </c>
      <c r="D176" s="2" t="e">
        <f ca="1"/>
        <v>#NAME?</v>
      </c>
      <c r="E176" s="2" t="e">
        <f t="shared" ca="1" si="95"/>
        <v>#NAME?</v>
      </c>
      <c r="F176" s="2" t="e">
        <f ca="1"/>
        <v>#NAME?</v>
      </c>
      <c r="G176" s="2" t="e">
        <f t="shared" ca="1" si="96"/>
        <v>#NAME?</v>
      </c>
      <c r="H176" s="2" t="e">
        <f ca="1"/>
        <v>#NAME?</v>
      </c>
      <c r="I176" s="2" t="e">
        <f t="shared" ca="1" si="97"/>
        <v>#NAME?</v>
      </c>
      <c r="J176" s="2" t="e">
        <f ca="1"/>
        <v>#NAME?</v>
      </c>
      <c r="K176" s="2" t="e">
        <f t="shared" ca="1" si="98"/>
        <v>#NAME?</v>
      </c>
      <c r="L176" s="2" t="e">
        <f ca="1"/>
        <v>#NAME?</v>
      </c>
      <c r="M176" s="2" t="e">
        <f t="shared" ca="1" si="99"/>
        <v>#NAME?</v>
      </c>
      <c r="N176" s="2" t="e">
        <f ca="1"/>
        <v>#NAME?</v>
      </c>
      <c r="O176" s="2" t="e">
        <f t="shared" ca="1" si="100"/>
        <v>#NAME?</v>
      </c>
      <c r="P176" s="2" t="e">
        <f ca="1"/>
        <v>#NAME?</v>
      </c>
      <c r="Q176" s="2" t="e">
        <f t="shared" ca="1" si="101"/>
        <v>#NAME?</v>
      </c>
      <c r="R176" s="2" t="e">
        <f ca="1"/>
        <v>#NAME?</v>
      </c>
      <c r="S176" s="2" t="e">
        <f t="shared" ca="1" si="102"/>
        <v>#NAME?</v>
      </c>
      <c r="T176" s="2" t="e">
        <f ca="1"/>
        <v>#NAME?</v>
      </c>
      <c r="U176" s="2" t="e">
        <f t="shared" ca="1" si="103"/>
        <v>#NAME?</v>
      </c>
      <c r="V176" s="2" t="e">
        <f ca="1"/>
        <v>#NAME?</v>
      </c>
      <c r="W176" s="2" t="e">
        <f t="shared" ca="1" si="104"/>
        <v>#NAME?</v>
      </c>
      <c r="X176" s="2" t="e">
        <f ca="1"/>
        <v>#NAME?</v>
      </c>
      <c r="Y176" s="2" t="e">
        <f t="shared" ca="1" si="105"/>
        <v>#NAME?</v>
      </c>
      <c r="Z176" s="2" t="e">
        <f ca="1"/>
        <v>#NAME?</v>
      </c>
      <c r="AA176" s="2" t="e">
        <f t="shared" ca="1" si="106"/>
        <v>#NAME?</v>
      </c>
      <c r="AB176" s="2" t="e">
        <f ca="1"/>
        <v>#NAME?</v>
      </c>
      <c r="AC176" s="2" t="e">
        <f t="shared" ca="1" si="107"/>
        <v>#NAME?</v>
      </c>
      <c r="AD176" s="2" t="e">
        <f ca="1"/>
        <v>#NAME?</v>
      </c>
      <c r="AE176" s="2" t="e">
        <f t="shared" ca="1" si="108"/>
        <v>#NAME?</v>
      </c>
      <c r="AF176" s="2" t="e">
        <f ca="1"/>
        <v>#NAME?</v>
      </c>
      <c r="AG176" s="2" t="e">
        <f t="shared" ca="1" si="109"/>
        <v>#NAME?</v>
      </c>
      <c r="AH176" s="2" t="e">
        <f ca="1"/>
        <v>#NAME?</v>
      </c>
      <c r="AI176" s="2" t="e">
        <f t="shared" ca="1" si="110"/>
        <v>#NAME?</v>
      </c>
      <c r="AJ176" s="2" t="e">
        <f ca="1"/>
        <v>#NAME?</v>
      </c>
      <c r="AK176" s="2" t="e">
        <f t="shared" ca="1" si="111"/>
        <v>#NAME?</v>
      </c>
      <c r="AL176" s="2" t="e">
        <f ca="1"/>
        <v>#NAME?</v>
      </c>
      <c r="AM176" s="2" t="e">
        <f t="shared" ca="1" si="112"/>
        <v>#NAME?</v>
      </c>
      <c r="AN176" s="2" t="e">
        <f ca="1"/>
        <v>#NAME?</v>
      </c>
      <c r="AO176" s="2" t="e">
        <f t="shared" ca="1" si="113"/>
        <v>#NAME?</v>
      </c>
      <c r="AP176" s="2" t="e">
        <f ca="1"/>
        <v>#NAME?</v>
      </c>
      <c r="AQ176" s="2" t="e">
        <f t="shared" ca="1" si="114"/>
        <v>#NAME?</v>
      </c>
      <c r="AR176" s="2" t="e">
        <f ca="1"/>
        <v>#NAME?</v>
      </c>
      <c r="AS176" s="2" t="e">
        <f t="shared" ca="1" si="115"/>
        <v>#NAME?</v>
      </c>
      <c r="AT176" s="2" t="e">
        <f ca="1"/>
        <v>#NAME?</v>
      </c>
      <c r="AU176" s="2" t="e">
        <f t="shared" ca="1" si="116"/>
        <v>#NAME?</v>
      </c>
      <c r="AV176" s="2" t="e">
        <f ca="1"/>
        <v>#NAME?</v>
      </c>
      <c r="AW176" s="2" t="e">
        <f t="shared" ca="1" si="117"/>
        <v>#NAME?</v>
      </c>
      <c r="AX176" s="2" t="e">
        <f ca="1"/>
        <v>#NAME?</v>
      </c>
      <c r="AY176" s="2" t="e">
        <f t="shared" ca="1" si="118"/>
        <v>#NAME?</v>
      </c>
      <c r="AZ176" s="2" t="e">
        <f ca="1"/>
        <v>#NAME?</v>
      </c>
      <c r="BA176" s="2" t="e">
        <f t="shared" ca="1" si="119"/>
        <v>#NAME?</v>
      </c>
      <c r="BB176" s="2" t="e">
        <f ca="1"/>
        <v>#NAME?</v>
      </c>
      <c r="BC176" s="2" t="e">
        <f t="shared" ca="1" si="120"/>
        <v>#NAME?</v>
      </c>
      <c r="BD176" s="2" t="e">
        <f ca="1"/>
        <v>#NAME?</v>
      </c>
      <c r="BE176" s="2" t="e">
        <f t="shared" ca="1" si="121"/>
        <v>#NAME?</v>
      </c>
      <c r="BF176" s="2" t="e">
        <f ca="1"/>
        <v>#NAME?</v>
      </c>
      <c r="BG176" s="2" t="e">
        <f t="shared" ca="1" si="122"/>
        <v>#NAME?</v>
      </c>
      <c r="BH176" s="2" t="e">
        <f ca="1"/>
        <v>#NAME?</v>
      </c>
      <c r="BI176" s="2" t="e">
        <f t="shared" ca="1" si="123"/>
        <v>#NAME?</v>
      </c>
      <c r="BJ176" s="2" t="e">
        <f ca="1"/>
        <v>#NAME?</v>
      </c>
      <c r="BK176" s="2" t="e">
        <f t="shared" ca="1" si="124"/>
        <v>#NAME?</v>
      </c>
      <c r="BL176" s="2" t="e">
        <f ca="1"/>
        <v>#NAME?</v>
      </c>
      <c r="BM176" s="2" t="e">
        <f t="shared" ca="1" si="125"/>
        <v>#NAME?</v>
      </c>
      <c r="BN176" s="2" t="e">
        <f ca="1"/>
        <v>#NAME?</v>
      </c>
      <c r="BO176" s="2" t="e">
        <f t="shared" ca="1" si="126"/>
        <v>#NAME?</v>
      </c>
      <c r="BP176" s="2" t="e">
        <f ca="1"/>
        <v>#NAME?</v>
      </c>
      <c r="BQ176" s="2" t="e">
        <f t="shared" ca="1" si="127"/>
        <v>#NAME?</v>
      </c>
      <c r="BR176" s="2" t="e">
        <f ca="1"/>
        <v>#NAME?</v>
      </c>
      <c r="BS176" s="2" t="e">
        <f t="shared" ca="1" si="128"/>
        <v>#NAME?</v>
      </c>
      <c r="BT176" s="2" t="e">
        <f ca="1"/>
        <v>#NAME?</v>
      </c>
      <c r="BU176" s="2" t="e">
        <f t="shared" ca="1" si="129"/>
        <v>#NAME?</v>
      </c>
      <c r="BV176" s="2" t="e">
        <f ca="1"/>
        <v>#NAME?</v>
      </c>
      <c r="BW176" s="2" t="e">
        <f t="shared" ca="1" si="130"/>
        <v>#NAME?</v>
      </c>
      <c r="BX176" s="2" t="e">
        <f ca="1"/>
        <v>#NAME?</v>
      </c>
      <c r="BY176" s="2" t="e">
        <f t="shared" ca="1" si="131"/>
        <v>#NAME?</v>
      </c>
      <c r="BZ176" s="2" t="e">
        <f ca="1"/>
        <v>#NAME?</v>
      </c>
      <c r="CA176" s="2" t="e">
        <f t="shared" ca="1" si="132"/>
        <v>#NAME?</v>
      </c>
      <c r="CB176" s="2" t="e">
        <f ca="1"/>
        <v>#NAME?</v>
      </c>
      <c r="CC176" s="2" t="e">
        <f t="shared" ca="1" si="133"/>
        <v>#NAME?</v>
      </c>
      <c r="CD176" s="2" t="e">
        <f ca="1"/>
        <v>#NAME?</v>
      </c>
      <c r="CE176" s="2" t="e">
        <f t="shared" ca="1" si="134"/>
        <v>#NAME?</v>
      </c>
      <c r="CF176" s="2" t="e">
        <f ca="1"/>
        <v>#NAME?</v>
      </c>
      <c r="CG176" s="2" t="e">
        <f t="shared" ca="1" si="135"/>
        <v>#NAME?</v>
      </c>
      <c r="CH176" s="2" t="e">
        <f ca="1"/>
        <v>#NAME?</v>
      </c>
      <c r="CI176" s="2" t="e">
        <f t="shared" ca="1" si="136"/>
        <v>#NAME?</v>
      </c>
      <c r="CJ176" s="2" t="e">
        <f ca="1"/>
        <v>#NAME?</v>
      </c>
      <c r="CK176" s="2" t="e">
        <f t="shared" ca="1" si="137"/>
        <v>#NAME?</v>
      </c>
      <c r="CL176" s="2" t="e">
        <f ca="1"/>
        <v>#NAME?</v>
      </c>
      <c r="CM176" s="2" t="e">
        <f t="shared" ca="1" si="138"/>
        <v>#NAME?</v>
      </c>
      <c r="CN176" s="2" t="e">
        <f ca="1"/>
        <v>#NAME?</v>
      </c>
      <c r="CO176" s="2" t="e">
        <f t="shared" ca="1" si="139"/>
        <v>#NAME?</v>
      </c>
      <c r="CP176" s="2" t="e">
        <f ca="1"/>
        <v>#NAME?</v>
      </c>
      <c r="CQ176" s="2" t="e">
        <f t="shared" ca="1" si="140"/>
        <v>#NAME?</v>
      </c>
    </row>
    <row r="177" spans="1:95">
      <c r="A177" s="7" t="e">
        <f ca="1"/>
        <v>#NAME?</v>
      </c>
      <c r="B177" s="2" t="e">
        <f ca="1"/>
        <v>#NAME?</v>
      </c>
      <c r="C177" s="2" t="e">
        <f t="shared" ca="1" si="94"/>
        <v>#NAME?</v>
      </c>
      <c r="D177" s="2" t="e">
        <f ca="1"/>
        <v>#NAME?</v>
      </c>
      <c r="E177" s="2" t="e">
        <f t="shared" ca="1" si="95"/>
        <v>#NAME?</v>
      </c>
      <c r="F177" s="2" t="e">
        <f ca="1"/>
        <v>#NAME?</v>
      </c>
      <c r="G177" s="2" t="e">
        <f t="shared" ca="1" si="96"/>
        <v>#NAME?</v>
      </c>
      <c r="H177" s="2" t="e">
        <f ca="1"/>
        <v>#NAME?</v>
      </c>
      <c r="I177" s="2" t="e">
        <f t="shared" ca="1" si="97"/>
        <v>#NAME?</v>
      </c>
      <c r="J177" s="2" t="e">
        <f ca="1"/>
        <v>#NAME?</v>
      </c>
      <c r="K177" s="2" t="e">
        <f t="shared" ca="1" si="98"/>
        <v>#NAME?</v>
      </c>
      <c r="L177" s="2" t="e">
        <f ca="1"/>
        <v>#NAME?</v>
      </c>
      <c r="M177" s="2" t="e">
        <f t="shared" ca="1" si="99"/>
        <v>#NAME?</v>
      </c>
      <c r="N177" s="2" t="e">
        <f ca="1"/>
        <v>#NAME?</v>
      </c>
      <c r="O177" s="2" t="e">
        <f t="shared" ca="1" si="100"/>
        <v>#NAME?</v>
      </c>
      <c r="P177" s="2" t="e">
        <f ca="1"/>
        <v>#NAME?</v>
      </c>
      <c r="Q177" s="2" t="e">
        <f t="shared" ca="1" si="101"/>
        <v>#NAME?</v>
      </c>
      <c r="R177" s="2" t="e">
        <f ca="1"/>
        <v>#NAME?</v>
      </c>
      <c r="S177" s="2" t="e">
        <f t="shared" ca="1" si="102"/>
        <v>#NAME?</v>
      </c>
      <c r="T177" s="2" t="e">
        <f ca="1"/>
        <v>#NAME?</v>
      </c>
      <c r="U177" s="2" t="e">
        <f t="shared" ca="1" si="103"/>
        <v>#NAME?</v>
      </c>
      <c r="V177" s="2" t="e">
        <f ca="1"/>
        <v>#NAME?</v>
      </c>
      <c r="W177" s="2" t="e">
        <f t="shared" ca="1" si="104"/>
        <v>#NAME?</v>
      </c>
      <c r="X177" s="2" t="e">
        <f ca="1"/>
        <v>#NAME?</v>
      </c>
      <c r="Y177" s="2" t="e">
        <f t="shared" ca="1" si="105"/>
        <v>#NAME?</v>
      </c>
      <c r="Z177" s="2" t="e">
        <f ca="1"/>
        <v>#NAME?</v>
      </c>
      <c r="AA177" s="2" t="e">
        <f t="shared" ca="1" si="106"/>
        <v>#NAME?</v>
      </c>
      <c r="AB177" s="2" t="e">
        <f ca="1"/>
        <v>#NAME?</v>
      </c>
      <c r="AC177" s="2" t="e">
        <f t="shared" ca="1" si="107"/>
        <v>#NAME?</v>
      </c>
      <c r="AD177" s="2" t="e">
        <f ca="1"/>
        <v>#NAME?</v>
      </c>
      <c r="AE177" s="2" t="e">
        <f t="shared" ca="1" si="108"/>
        <v>#NAME?</v>
      </c>
      <c r="AF177" s="2" t="e">
        <f ca="1"/>
        <v>#NAME?</v>
      </c>
      <c r="AG177" s="2" t="e">
        <f t="shared" ca="1" si="109"/>
        <v>#NAME?</v>
      </c>
      <c r="AH177" s="2" t="e">
        <f ca="1"/>
        <v>#NAME?</v>
      </c>
      <c r="AI177" s="2" t="e">
        <f t="shared" ca="1" si="110"/>
        <v>#NAME?</v>
      </c>
      <c r="AJ177" s="2" t="e">
        <f ca="1"/>
        <v>#NAME?</v>
      </c>
      <c r="AK177" s="2" t="e">
        <f t="shared" ca="1" si="111"/>
        <v>#NAME?</v>
      </c>
      <c r="AL177" s="2" t="e">
        <f ca="1"/>
        <v>#NAME?</v>
      </c>
      <c r="AM177" s="2" t="e">
        <f t="shared" ca="1" si="112"/>
        <v>#NAME?</v>
      </c>
      <c r="AN177" s="2" t="e">
        <f ca="1"/>
        <v>#NAME?</v>
      </c>
      <c r="AO177" s="2" t="e">
        <f t="shared" ca="1" si="113"/>
        <v>#NAME?</v>
      </c>
      <c r="AP177" s="2" t="e">
        <f ca="1"/>
        <v>#NAME?</v>
      </c>
      <c r="AQ177" s="2" t="e">
        <f t="shared" ca="1" si="114"/>
        <v>#NAME?</v>
      </c>
      <c r="AR177" s="2" t="e">
        <f ca="1"/>
        <v>#NAME?</v>
      </c>
      <c r="AS177" s="2" t="e">
        <f t="shared" ca="1" si="115"/>
        <v>#NAME?</v>
      </c>
      <c r="AT177" s="2" t="e">
        <f ca="1"/>
        <v>#NAME?</v>
      </c>
      <c r="AU177" s="2" t="e">
        <f t="shared" ca="1" si="116"/>
        <v>#NAME?</v>
      </c>
      <c r="AV177" s="2" t="e">
        <f ca="1"/>
        <v>#NAME?</v>
      </c>
      <c r="AW177" s="2" t="e">
        <f t="shared" ca="1" si="117"/>
        <v>#NAME?</v>
      </c>
      <c r="AX177" s="2" t="e">
        <f ca="1"/>
        <v>#NAME?</v>
      </c>
      <c r="AY177" s="2" t="e">
        <f t="shared" ca="1" si="118"/>
        <v>#NAME?</v>
      </c>
      <c r="AZ177" s="2" t="e">
        <f ca="1"/>
        <v>#NAME?</v>
      </c>
      <c r="BA177" s="2" t="e">
        <f t="shared" ca="1" si="119"/>
        <v>#NAME?</v>
      </c>
      <c r="BB177" s="2" t="e">
        <f ca="1"/>
        <v>#NAME?</v>
      </c>
      <c r="BC177" s="2" t="e">
        <f t="shared" ca="1" si="120"/>
        <v>#NAME?</v>
      </c>
      <c r="BD177" s="2" t="e">
        <f ca="1"/>
        <v>#NAME?</v>
      </c>
      <c r="BE177" s="2" t="e">
        <f t="shared" ca="1" si="121"/>
        <v>#NAME?</v>
      </c>
      <c r="BF177" s="2" t="e">
        <f ca="1"/>
        <v>#NAME?</v>
      </c>
      <c r="BG177" s="2" t="e">
        <f t="shared" ca="1" si="122"/>
        <v>#NAME?</v>
      </c>
      <c r="BH177" s="2" t="e">
        <f ca="1"/>
        <v>#NAME?</v>
      </c>
      <c r="BI177" s="2" t="e">
        <f t="shared" ca="1" si="123"/>
        <v>#NAME?</v>
      </c>
      <c r="BJ177" s="2" t="e">
        <f ca="1"/>
        <v>#NAME?</v>
      </c>
      <c r="BK177" s="2" t="e">
        <f t="shared" ca="1" si="124"/>
        <v>#NAME?</v>
      </c>
      <c r="BL177" s="2" t="e">
        <f ca="1"/>
        <v>#NAME?</v>
      </c>
      <c r="BM177" s="2" t="e">
        <f t="shared" ca="1" si="125"/>
        <v>#NAME?</v>
      </c>
      <c r="BN177" s="2" t="e">
        <f ca="1"/>
        <v>#NAME?</v>
      </c>
      <c r="BO177" s="2" t="e">
        <f t="shared" ca="1" si="126"/>
        <v>#NAME?</v>
      </c>
      <c r="BP177" s="2" t="e">
        <f ca="1"/>
        <v>#NAME?</v>
      </c>
      <c r="BQ177" s="2" t="e">
        <f t="shared" ca="1" si="127"/>
        <v>#NAME?</v>
      </c>
      <c r="BR177" s="2" t="e">
        <f ca="1"/>
        <v>#NAME?</v>
      </c>
      <c r="BS177" s="2" t="e">
        <f t="shared" ca="1" si="128"/>
        <v>#NAME?</v>
      </c>
      <c r="BT177" s="2" t="e">
        <f ca="1"/>
        <v>#NAME?</v>
      </c>
      <c r="BU177" s="2" t="e">
        <f t="shared" ca="1" si="129"/>
        <v>#NAME?</v>
      </c>
      <c r="BV177" s="2" t="e">
        <f ca="1"/>
        <v>#NAME?</v>
      </c>
      <c r="BW177" s="2" t="e">
        <f t="shared" ca="1" si="130"/>
        <v>#NAME?</v>
      </c>
      <c r="BX177" s="2" t="e">
        <f ca="1"/>
        <v>#NAME?</v>
      </c>
      <c r="BY177" s="2" t="e">
        <f t="shared" ca="1" si="131"/>
        <v>#NAME?</v>
      </c>
      <c r="BZ177" s="2" t="e">
        <f ca="1"/>
        <v>#NAME?</v>
      </c>
      <c r="CA177" s="2" t="e">
        <f t="shared" ca="1" si="132"/>
        <v>#NAME?</v>
      </c>
      <c r="CB177" s="2" t="e">
        <f ca="1"/>
        <v>#NAME?</v>
      </c>
      <c r="CC177" s="2" t="e">
        <f t="shared" ca="1" si="133"/>
        <v>#NAME?</v>
      </c>
      <c r="CD177" s="2" t="e">
        <f ca="1"/>
        <v>#NAME?</v>
      </c>
      <c r="CE177" s="2" t="e">
        <f t="shared" ca="1" si="134"/>
        <v>#NAME?</v>
      </c>
      <c r="CF177" s="2" t="e">
        <f ca="1"/>
        <v>#NAME?</v>
      </c>
      <c r="CG177" s="2" t="e">
        <f t="shared" ca="1" si="135"/>
        <v>#NAME?</v>
      </c>
      <c r="CH177" s="2" t="e">
        <f ca="1"/>
        <v>#NAME?</v>
      </c>
      <c r="CI177" s="2" t="e">
        <f t="shared" ca="1" si="136"/>
        <v>#NAME?</v>
      </c>
      <c r="CJ177" s="2" t="e">
        <f ca="1"/>
        <v>#NAME?</v>
      </c>
      <c r="CK177" s="2" t="e">
        <f t="shared" ca="1" si="137"/>
        <v>#NAME?</v>
      </c>
      <c r="CL177" s="2" t="e">
        <f ca="1"/>
        <v>#NAME?</v>
      </c>
      <c r="CM177" s="2" t="e">
        <f t="shared" ca="1" si="138"/>
        <v>#NAME?</v>
      </c>
      <c r="CN177" s="2" t="e">
        <f ca="1"/>
        <v>#NAME?</v>
      </c>
      <c r="CO177" s="2" t="e">
        <f t="shared" ca="1" si="139"/>
        <v>#NAME?</v>
      </c>
      <c r="CP177" s="2" t="e">
        <f ca="1"/>
        <v>#NAME?</v>
      </c>
      <c r="CQ177" s="2" t="e">
        <f t="shared" ca="1" si="140"/>
        <v>#NAME?</v>
      </c>
    </row>
    <row r="178" spans="1:95">
      <c r="A178" s="7" t="e">
        <f ca="1"/>
        <v>#NAME?</v>
      </c>
      <c r="B178" s="2" t="e">
        <f ca="1"/>
        <v>#NAME?</v>
      </c>
      <c r="C178" s="2" t="e">
        <f t="shared" ca="1" si="94"/>
        <v>#NAME?</v>
      </c>
      <c r="D178" s="2" t="e">
        <f ca="1"/>
        <v>#NAME?</v>
      </c>
      <c r="E178" s="2" t="e">
        <f t="shared" ca="1" si="95"/>
        <v>#NAME?</v>
      </c>
      <c r="F178" s="2" t="e">
        <f ca="1"/>
        <v>#NAME?</v>
      </c>
      <c r="G178" s="2" t="e">
        <f t="shared" ca="1" si="96"/>
        <v>#NAME?</v>
      </c>
      <c r="H178" s="2" t="e">
        <f ca="1"/>
        <v>#NAME?</v>
      </c>
      <c r="I178" s="2" t="e">
        <f t="shared" ca="1" si="97"/>
        <v>#NAME?</v>
      </c>
      <c r="J178" s="2" t="e">
        <f ca="1"/>
        <v>#NAME?</v>
      </c>
      <c r="K178" s="2" t="e">
        <f t="shared" ca="1" si="98"/>
        <v>#NAME?</v>
      </c>
      <c r="L178" s="2" t="e">
        <f ca="1"/>
        <v>#NAME?</v>
      </c>
      <c r="M178" s="2" t="e">
        <f t="shared" ca="1" si="99"/>
        <v>#NAME?</v>
      </c>
      <c r="N178" s="2" t="e">
        <f ca="1"/>
        <v>#NAME?</v>
      </c>
      <c r="O178" s="2" t="e">
        <f t="shared" ca="1" si="100"/>
        <v>#NAME?</v>
      </c>
      <c r="P178" s="2" t="e">
        <f ca="1"/>
        <v>#NAME?</v>
      </c>
      <c r="Q178" s="2" t="e">
        <f t="shared" ca="1" si="101"/>
        <v>#NAME?</v>
      </c>
      <c r="R178" s="2" t="e">
        <f ca="1"/>
        <v>#NAME?</v>
      </c>
      <c r="S178" s="2" t="e">
        <f t="shared" ca="1" si="102"/>
        <v>#NAME?</v>
      </c>
      <c r="T178" s="2" t="e">
        <f ca="1"/>
        <v>#NAME?</v>
      </c>
      <c r="U178" s="2" t="e">
        <f t="shared" ca="1" si="103"/>
        <v>#NAME?</v>
      </c>
      <c r="V178" s="2" t="e">
        <f ca="1"/>
        <v>#NAME?</v>
      </c>
      <c r="W178" s="2" t="e">
        <f t="shared" ca="1" si="104"/>
        <v>#NAME?</v>
      </c>
      <c r="X178" s="2" t="e">
        <f ca="1"/>
        <v>#NAME?</v>
      </c>
      <c r="Y178" s="2" t="e">
        <f t="shared" ca="1" si="105"/>
        <v>#NAME?</v>
      </c>
      <c r="Z178" s="2" t="e">
        <f ca="1"/>
        <v>#NAME?</v>
      </c>
      <c r="AA178" s="2" t="e">
        <f t="shared" ca="1" si="106"/>
        <v>#NAME?</v>
      </c>
      <c r="AB178" s="2" t="e">
        <f ca="1"/>
        <v>#NAME?</v>
      </c>
      <c r="AC178" s="2" t="e">
        <f t="shared" ca="1" si="107"/>
        <v>#NAME?</v>
      </c>
      <c r="AD178" s="2" t="e">
        <f ca="1"/>
        <v>#NAME?</v>
      </c>
      <c r="AE178" s="2" t="e">
        <f t="shared" ca="1" si="108"/>
        <v>#NAME?</v>
      </c>
      <c r="AF178" s="2" t="e">
        <f ca="1"/>
        <v>#NAME?</v>
      </c>
      <c r="AG178" s="2" t="e">
        <f t="shared" ca="1" si="109"/>
        <v>#NAME?</v>
      </c>
      <c r="AH178" s="2" t="e">
        <f ca="1"/>
        <v>#NAME?</v>
      </c>
      <c r="AI178" s="2" t="e">
        <f t="shared" ca="1" si="110"/>
        <v>#NAME?</v>
      </c>
      <c r="AJ178" s="2" t="e">
        <f ca="1"/>
        <v>#NAME?</v>
      </c>
      <c r="AK178" s="2" t="e">
        <f t="shared" ca="1" si="111"/>
        <v>#NAME?</v>
      </c>
      <c r="AL178" s="2" t="e">
        <f ca="1"/>
        <v>#NAME?</v>
      </c>
      <c r="AM178" s="2" t="e">
        <f t="shared" ca="1" si="112"/>
        <v>#NAME?</v>
      </c>
      <c r="AN178" s="2" t="e">
        <f ca="1"/>
        <v>#NAME?</v>
      </c>
      <c r="AO178" s="2" t="e">
        <f t="shared" ca="1" si="113"/>
        <v>#NAME?</v>
      </c>
      <c r="AP178" s="2" t="e">
        <f ca="1"/>
        <v>#NAME?</v>
      </c>
      <c r="AQ178" s="2" t="e">
        <f t="shared" ca="1" si="114"/>
        <v>#NAME?</v>
      </c>
      <c r="AR178" s="2" t="e">
        <f ca="1"/>
        <v>#NAME?</v>
      </c>
      <c r="AS178" s="2" t="e">
        <f t="shared" ca="1" si="115"/>
        <v>#NAME?</v>
      </c>
      <c r="AT178" s="2" t="e">
        <f ca="1"/>
        <v>#NAME?</v>
      </c>
      <c r="AU178" s="2" t="e">
        <f t="shared" ca="1" si="116"/>
        <v>#NAME?</v>
      </c>
      <c r="AV178" s="2" t="e">
        <f ca="1"/>
        <v>#NAME?</v>
      </c>
      <c r="AW178" s="2" t="e">
        <f t="shared" ca="1" si="117"/>
        <v>#NAME?</v>
      </c>
      <c r="AX178" s="2" t="e">
        <f ca="1"/>
        <v>#NAME?</v>
      </c>
      <c r="AY178" s="2" t="e">
        <f t="shared" ca="1" si="118"/>
        <v>#NAME?</v>
      </c>
      <c r="AZ178" s="2" t="e">
        <f ca="1"/>
        <v>#NAME?</v>
      </c>
      <c r="BA178" s="2" t="e">
        <f t="shared" ca="1" si="119"/>
        <v>#NAME?</v>
      </c>
      <c r="BB178" s="2" t="e">
        <f ca="1"/>
        <v>#NAME?</v>
      </c>
      <c r="BC178" s="2" t="e">
        <f t="shared" ca="1" si="120"/>
        <v>#NAME?</v>
      </c>
      <c r="BD178" s="2" t="e">
        <f ca="1"/>
        <v>#NAME?</v>
      </c>
      <c r="BE178" s="2" t="e">
        <f t="shared" ca="1" si="121"/>
        <v>#NAME?</v>
      </c>
      <c r="BF178" s="2" t="e">
        <f ca="1"/>
        <v>#NAME?</v>
      </c>
      <c r="BG178" s="2" t="e">
        <f t="shared" ca="1" si="122"/>
        <v>#NAME?</v>
      </c>
      <c r="BH178" s="2" t="e">
        <f ca="1"/>
        <v>#NAME?</v>
      </c>
      <c r="BI178" s="2" t="e">
        <f t="shared" ca="1" si="123"/>
        <v>#NAME?</v>
      </c>
      <c r="BJ178" s="2" t="e">
        <f ca="1"/>
        <v>#NAME?</v>
      </c>
      <c r="BK178" s="2" t="e">
        <f t="shared" ca="1" si="124"/>
        <v>#NAME?</v>
      </c>
      <c r="BL178" s="2" t="e">
        <f ca="1"/>
        <v>#NAME?</v>
      </c>
      <c r="BM178" s="2" t="e">
        <f t="shared" ca="1" si="125"/>
        <v>#NAME?</v>
      </c>
      <c r="BN178" s="2" t="e">
        <f ca="1"/>
        <v>#NAME?</v>
      </c>
      <c r="BO178" s="2" t="e">
        <f t="shared" ca="1" si="126"/>
        <v>#NAME?</v>
      </c>
      <c r="BP178" s="2" t="e">
        <f ca="1"/>
        <v>#NAME?</v>
      </c>
      <c r="BQ178" s="2" t="e">
        <f t="shared" ca="1" si="127"/>
        <v>#NAME?</v>
      </c>
      <c r="BR178" s="2" t="e">
        <f ca="1"/>
        <v>#NAME?</v>
      </c>
      <c r="BS178" s="2" t="e">
        <f t="shared" ca="1" si="128"/>
        <v>#NAME?</v>
      </c>
      <c r="BT178" s="2" t="e">
        <f ca="1"/>
        <v>#NAME?</v>
      </c>
      <c r="BU178" s="2" t="e">
        <f t="shared" ca="1" si="129"/>
        <v>#NAME?</v>
      </c>
      <c r="BV178" s="2" t="e">
        <f ca="1"/>
        <v>#NAME?</v>
      </c>
      <c r="BW178" s="2" t="e">
        <f t="shared" ca="1" si="130"/>
        <v>#NAME?</v>
      </c>
      <c r="BX178" s="2" t="e">
        <f ca="1"/>
        <v>#NAME?</v>
      </c>
      <c r="BY178" s="2" t="e">
        <f t="shared" ca="1" si="131"/>
        <v>#NAME?</v>
      </c>
      <c r="BZ178" s="2" t="e">
        <f ca="1"/>
        <v>#NAME?</v>
      </c>
      <c r="CA178" s="2" t="e">
        <f t="shared" ca="1" si="132"/>
        <v>#NAME?</v>
      </c>
      <c r="CB178" s="2" t="e">
        <f ca="1"/>
        <v>#NAME?</v>
      </c>
      <c r="CC178" s="2" t="e">
        <f t="shared" ca="1" si="133"/>
        <v>#NAME?</v>
      </c>
      <c r="CD178" s="2" t="e">
        <f ca="1"/>
        <v>#NAME?</v>
      </c>
      <c r="CE178" s="2" t="e">
        <f t="shared" ca="1" si="134"/>
        <v>#NAME?</v>
      </c>
      <c r="CF178" s="2" t="e">
        <f ca="1"/>
        <v>#NAME?</v>
      </c>
      <c r="CG178" s="2" t="e">
        <f t="shared" ca="1" si="135"/>
        <v>#NAME?</v>
      </c>
      <c r="CH178" s="2" t="e">
        <f ca="1"/>
        <v>#NAME?</v>
      </c>
      <c r="CI178" s="2" t="e">
        <f t="shared" ca="1" si="136"/>
        <v>#NAME?</v>
      </c>
      <c r="CJ178" s="2" t="e">
        <f ca="1"/>
        <v>#NAME?</v>
      </c>
      <c r="CK178" s="2" t="e">
        <f t="shared" ca="1" si="137"/>
        <v>#NAME?</v>
      </c>
      <c r="CL178" s="2" t="e">
        <f ca="1"/>
        <v>#NAME?</v>
      </c>
      <c r="CM178" s="2" t="e">
        <f t="shared" ca="1" si="138"/>
        <v>#NAME?</v>
      </c>
      <c r="CN178" s="2" t="e">
        <f ca="1"/>
        <v>#NAME?</v>
      </c>
      <c r="CO178" s="2" t="e">
        <f t="shared" ca="1" si="139"/>
        <v>#NAME?</v>
      </c>
      <c r="CP178" s="2" t="e">
        <f ca="1"/>
        <v>#NAME?</v>
      </c>
      <c r="CQ178" s="2" t="e">
        <f t="shared" ca="1" si="140"/>
        <v>#NAME?</v>
      </c>
    </row>
    <row r="179" spans="1:95">
      <c r="A179" s="7" t="e">
        <f ca="1"/>
        <v>#NAME?</v>
      </c>
      <c r="B179" s="2" t="e">
        <f ca="1"/>
        <v>#NAME?</v>
      </c>
      <c r="C179" s="2" t="e">
        <f t="shared" ca="1" si="94"/>
        <v>#NAME?</v>
      </c>
      <c r="D179" s="2" t="e">
        <f ca="1"/>
        <v>#NAME?</v>
      </c>
      <c r="E179" s="2" t="e">
        <f t="shared" ca="1" si="95"/>
        <v>#NAME?</v>
      </c>
      <c r="F179" s="2" t="e">
        <f ca="1"/>
        <v>#NAME?</v>
      </c>
      <c r="G179" s="2" t="e">
        <f t="shared" ca="1" si="96"/>
        <v>#NAME?</v>
      </c>
      <c r="H179" s="2" t="e">
        <f ca="1"/>
        <v>#NAME?</v>
      </c>
      <c r="I179" s="2" t="e">
        <f t="shared" ca="1" si="97"/>
        <v>#NAME?</v>
      </c>
      <c r="J179" s="2" t="e">
        <f ca="1"/>
        <v>#NAME?</v>
      </c>
      <c r="K179" s="2" t="e">
        <f t="shared" ca="1" si="98"/>
        <v>#NAME?</v>
      </c>
      <c r="L179" s="2" t="e">
        <f ca="1"/>
        <v>#NAME?</v>
      </c>
      <c r="M179" s="2" t="e">
        <f t="shared" ca="1" si="99"/>
        <v>#NAME?</v>
      </c>
      <c r="N179" s="2" t="e">
        <f ca="1"/>
        <v>#NAME?</v>
      </c>
      <c r="O179" s="2" t="e">
        <f t="shared" ca="1" si="100"/>
        <v>#NAME?</v>
      </c>
      <c r="P179" s="2" t="e">
        <f ca="1"/>
        <v>#NAME?</v>
      </c>
      <c r="Q179" s="2" t="e">
        <f t="shared" ca="1" si="101"/>
        <v>#NAME?</v>
      </c>
      <c r="R179" s="2" t="e">
        <f ca="1"/>
        <v>#NAME?</v>
      </c>
      <c r="S179" s="2" t="e">
        <f t="shared" ca="1" si="102"/>
        <v>#NAME?</v>
      </c>
      <c r="T179" s="2" t="e">
        <f ca="1"/>
        <v>#NAME?</v>
      </c>
      <c r="U179" s="2" t="e">
        <f t="shared" ca="1" si="103"/>
        <v>#NAME?</v>
      </c>
      <c r="V179" s="2" t="e">
        <f ca="1"/>
        <v>#NAME?</v>
      </c>
      <c r="W179" s="2" t="e">
        <f t="shared" ca="1" si="104"/>
        <v>#NAME?</v>
      </c>
      <c r="X179" s="2" t="e">
        <f ca="1"/>
        <v>#NAME?</v>
      </c>
      <c r="Y179" s="2" t="e">
        <f t="shared" ca="1" si="105"/>
        <v>#NAME?</v>
      </c>
      <c r="Z179" s="2" t="e">
        <f ca="1"/>
        <v>#NAME?</v>
      </c>
      <c r="AA179" s="2" t="e">
        <f t="shared" ca="1" si="106"/>
        <v>#NAME?</v>
      </c>
      <c r="AB179" s="2" t="e">
        <f ca="1"/>
        <v>#NAME?</v>
      </c>
      <c r="AC179" s="2" t="e">
        <f t="shared" ca="1" si="107"/>
        <v>#NAME?</v>
      </c>
      <c r="AD179" s="2" t="e">
        <f ca="1"/>
        <v>#NAME?</v>
      </c>
      <c r="AE179" s="2" t="e">
        <f t="shared" ca="1" si="108"/>
        <v>#NAME?</v>
      </c>
      <c r="AF179" s="2" t="e">
        <f ca="1"/>
        <v>#NAME?</v>
      </c>
      <c r="AG179" s="2" t="e">
        <f t="shared" ca="1" si="109"/>
        <v>#NAME?</v>
      </c>
      <c r="AH179" s="2" t="e">
        <f ca="1"/>
        <v>#NAME?</v>
      </c>
      <c r="AI179" s="2" t="e">
        <f t="shared" ca="1" si="110"/>
        <v>#NAME?</v>
      </c>
      <c r="AJ179" s="2" t="e">
        <f ca="1"/>
        <v>#NAME?</v>
      </c>
      <c r="AK179" s="2" t="e">
        <f t="shared" ca="1" si="111"/>
        <v>#NAME?</v>
      </c>
      <c r="AL179" s="2" t="e">
        <f ca="1"/>
        <v>#NAME?</v>
      </c>
      <c r="AM179" s="2" t="e">
        <f t="shared" ca="1" si="112"/>
        <v>#NAME?</v>
      </c>
      <c r="AN179" s="2" t="e">
        <f ca="1"/>
        <v>#NAME?</v>
      </c>
      <c r="AO179" s="2" t="e">
        <f t="shared" ca="1" si="113"/>
        <v>#NAME?</v>
      </c>
      <c r="AP179" s="2" t="e">
        <f ca="1"/>
        <v>#NAME?</v>
      </c>
      <c r="AQ179" s="2" t="e">
        <f t="shared" ca="1" si="114"/>
        <v>#NAME?</v>
      </c>
      <c r="AR179" s="2" t="e">
        <f ca="1"/>
        <v>#NAME?</v>
      </c>
      <c r="AS179" s="2" t="e">
        <f t="shared" ca="1" si="115"/>
        <v>#NAME?</v>
      </c>
      <c r="AT179" s="2" t="e">
        <f ca="1"/>
        <v>#NAME?</v>
      </c>
      <c r="AU179" s="2" t="e">
        <f t="shared" ca="1" si="116"/>
        <v>#NAME?</v>
      </c>
      <c r="AV179" s="2" t="e">
        <f ca="1"/>
        <v>#NAME?</v>
      </c>
      <c r="AW179" s="2" t="e">
        <f t="shared" ca="1" si="117"/>
        <v>#NAME?</v>
      </c>
      <c r="AX179" s="2" t="e">
        <f ca="1"/>
        <v>#NAME?</v>
      </c>
      <c r="AY179" s="2" t="e">
        <f t="shared" ca="1" si="118"/>
        <v>#NAME?</v>
      </c>
      <c r="AZ179" s="2" t="e">
        <f ca="1"/>
        <v>#NAME?</v>
      </c>
      <c r="BA179" s="2" t="e">
        <f t="shared" ca="1" si="119"/>
        <v>#NAME?</v>
      </c>
      <c r="BB179" s="2" t="e">
        <f ca="1"/>
        <v>#NAME?</v>
      </c>
      <c r="BC179" s="2" t="e">
        <f t="shared" ca="1" si="120"/>
        <v>#NAME?</v>
      </c>
      <c r="BD179" s="2" t="e">
        <f ca="1"/>
        <v>#NAME?</v>
      </c>
      <c r="BE179" s="2" t="e">
        <f t="shared" ca="1" si="121"/>
        <v>#NAME?</v>
      </c>
      <c r="BF179" s="2" t="e">
        <f ca="1"/>
        <v>#NAME?</v>
      </c>
      <c r="BG179" s="2" t="e">
        <f t="shared" ca="1" si="122"/>
        <v>#NAME?</v>
      </c>
      <c r="BH179" s="2" t="e">
        <f ca="1"/>
        <v>#NAME?</v>
      </c>
      <c r="BI179" s="2" t="e">
        <f t="shared" ca="1" si="123"/>
        <v>#NAME?</v>
      </c>
      <c r="BJ179" s="2" t="e">
        <f ca="1"/>
        <v>#NAME?</v>
      </c>
      <c r="BK179" s="2" t="e">
        <f t="shared" ca="1" si="124"/>
        <v>#NAME?</v>
      </c>
      <c r="BL179" s="2" t="e">
        <f ca="1"/>
        <v>#NAME?</v>
      </c>
      <c r="BM179" s="2" t="e">
        <f t="shared" ca="1" si="125"/>
        <v>#NAME?</v>
      </c>
      <c r="BN179" s="2" t="e">
        <f ca="1"/>
        <v>#NAME?</v>
      </c>
      <c r="BO179" s="2" t="e">
        <f t="shared" ca="1" si="126"/>
        <v>#NAME?</v>
      </c>
      <c r="BP179" s="2" t="e">
        <f ca="1"/>
        <v>#NAME?</v>
      </c>
      <c r="BQ179" s="2" t="e">
        <f t="shared" ca="1" si="127"/>
        <v>#NAME?</v>
      </c>
      <c r="BR179" s="2" t="e">
        <f ca="1"/>
        <v>#NAME?</v>
      </c>
      <c r="BS179" s="2" t="e">
        <f t="shared" ca="1" si="128"/>
        <v>#NAME?</v>
      </c>
      <c r="BT179" s="2" t="e">
        <f ca="1"/>
        <v>#NAME?</v>
      </c>
      <c r="BU179" s="2" t="e">
        <f t="shared" ca="1" si="129"/>
        <v>#NAME?</v>
      </c>
      <c r="BV179" s="2" t="e">
        <f ca="1"/>
        <v>#NAME?</v>
      </c>
      <c r="BW179" s="2" t="e">
        <f t="shared" ca="1" si="130"/>
        <v>#NAME?</v>
      </c>
      <c r="BX179" s="2" t="e">
        <f ca="1"/>
        <v>#NAME?</v>
      </c>
      <c r="BY179" s="2" t="e">
        <f t="shared" ca="1" si="131"/>
        <v>#NAME?</v>
      </c>
      <c r="BZ179" s="2" t="e">
        <f ca="1"/>
        <v>#NAME?</v>
      </c>
      <c r="CA179" s="2" t="e">
        <f t="shared" ca="1" si="132"/>
        <v>#NAME?</v>
      </c>
      <c r="CB179" s="2" t="e">
        <f ca="1"/>
        <v>#NAME?</v>
      </c>
      <c r="CC179" s="2" t="e">
        <f t="shared" ca="1" si="133"/>
        <v>#NAME?</v>
      </c>
      <c r="CD179" s="2" t="e">
        <f ca="1"/>
        <v>#NAME?</v>
      </c>
      <c r="CE179" s="2" t="e">
        <f t="shared" ca="1" si="134"/>
        <v>#NAME?</v>
      </c>
      <c r="CF179" s="2" t="e">
        <f ca="1"/>
        <v>#NAME?</v>
      </c>
      <c r="CG179" s="2" t="e">
        <f t="shared" ca="1" si="135"/>
        <v>#NAME?</v>
      </c>
      <c r="CH179" s="2" t="e">
        <f ca="1"/>
        <v>#NAME?</v>
      </c>
      <c r="CI179" s="2" t="e">
        <f t="shared" ca="1" si="136"/>
        <v>#NAME?</v>
      </c>
      <c r="CJ179" s="2" t="e">
        <f ca="1"/>
        <v>#NAME?</v>
      </c>
      <c r="CK179" s="2" t="e">
        <f t="shared" ca="1" si="137"/>
        <v>#NAME?</v>
      </c>
      <c r="CL179" s="2" t="e">
        <f ca="1"/>
        <v>#NAME?</v>
      </c>
      <c r="CM179" s="2" t="e">
        <f t="shared" ca="1" si="138"/>
        <v>#NAME?</v>
      </c>
      <c r="CN179" s="2" t="e">
        <f ca="1"/>
        <v>#NAME?</v>
      </c>
      <c r="CO179" s="2" t="e">
        <f t="shared" ca="1" si="139"/>
        <v>#NAME?</v>
      </c>
      <c r="CP179" s="2" t="e">
        <f ca="1"/>
        <v>#NAME?</v>
      </c>
      <c r="CQ179" s="2" t="e">
        <f t="shared" ca="1" si="140"/>
        <v>#NAME?</v>
      </c>
    </row>
    <row r="180" spans="1:95">
      <c r="A180" s="7" t="e">
        <f ca="1"/>
        <v>#NAME?</v>
      </c>
      <c r="B180" s="2" t="e">
        <f ca="1"/>
        <v>#NAME?</v>
      </c>
      <c r="C180" s="2" t="e">
        <f t="shared" ca="1" si="94"/>
        <v>#NAME?</v>
      </c>
      <c r="D180" s="2" t="e">
        <f ca="1"/>
        <v>#NAME?</v>
      </c>
      <c r="E180" s="2" t="e">
        <f t="shared" ca="1" si="95"/>
        <v>#NAME?</v>
      </c>
      <c r="F180" s="2" t="e">
        <f ca="1"/>
        <v>#NAME?</v>
      </c>
      <c r="G180" s="2" t="e">
        <f t="shared" ca="1" si="96"/>
        <v>#NAME?</v>
      </c>
      <c r="H180" s="2" t="e">
        <f ca="1"/>
        <v>#NAME?</v>
      </c>
      <c r="I180" s="2" t="e">
        <f t="shared" ca="1" si="97"/>
        <v>#NAME?</v>
      </c>
      <c r="J180" s="2" t="e">
        <f ca="1"/>
        <v>#NAME?</v>
      </c>
      <c r="K180" s="2" t="e">
        <f t="shared" ca="1" si="98"/>
        <v>#NAME?</v>
      </c>
      <c r="L180" s="2" t="e">
        <f ca="1"/>
        <v>#NAME?</v>
      </c>
      <c r="M180" s="2" t="e">
        <f t="shared" ca="1" si="99"/>
        <v>#NAME?</v>
      </c>
      <c r="N180" s="2" t="e">
        <f ca="1"/>
        <v>#NAME?</v>
      </c>
      <c r="O180" s="2" t="e">
        <f t="shared" ca="1" si="100"/>
        <v>#NAME?</v>
      </c>
      <c r="P180" s="2" t="e">
        <f ca="1"/>
        <v>#NAME?</v>
      </c>
      <c r="Q180" s="2" t="e">
        <f t="shared" ca="1" si="101"/>
        <v>#NAME?</v>
      </c>
      <c r="R180" s="2" t="e">
        <f ca="1"/>
        <v>#NAME?</v>
      </c>
      <c r="S180" s="2" t="e">
        <f t="shared" ca="1" si="102"/>
        <v>#NAME?</v>
      </c>
      <c r="T180" s="2" t="e">
        <f ca="1"/>
        <v>#NAME?</v>
      </c>
      <c r="U180" s="2" t="e">
        <f t="shared" ca="1" si="103"/>
        <v>#NAME?</v>
      </c>
      <c r="V180" s="2" t="e">
        <f ca="1"/>
        <v>#NAME?</v>
      </c>
      <c r="W180" s="2" t="e">
        <f t="shared" ca="1" si="104"/>
        <v>#NAME?</v>
      </c>
      <c r="X180" s="2" t="e">
        <f ca="1"/>
        <v>#NAME?</v>
      </c>
      <c r="Y180" s="2" t="e">
        <f t="shared" ca="1" si="105"/>
        <v>#NAME?</v>
      </c>
      <c r="Z180" s="2" t="e">
        <f ca="1"/>
        <v>#NAME?</v>
      </c>
      <c r="AA180" s="2" t="e">
        <f t="shared" ca="1" si="106"/>
        <v>#NAME?</v>
      </c>
      <c r="AB180" s="2" t="e">
        <f ca="1"/>
        <v>#NAME?</v>
      </c>
      <c r="AC180" s="2" t="e">
        <f t="shared" ca="1" si="107"/>
        <v>#NAME?</v>
      </c>
      <c r="AD180" s="2" t="e">
        <f ca="1"/>
        <v>#NAME?</v>
      </c>
      <c r="AE180" s="2" t="e">
        <f t="shared" ca="1" si="108"/>
        <v>#NAME?</v>
      </c>
      <c r="AF180" s="2" t="e">
        <f ca="1"/>
        <v>#NAME?</v>
      </c>
      <c r="AG180" s="2" t="e">
        <f t="shared" ca="1" si="109"/>
        <v>#NAME?</v>
      </c>
      <c r="AH180" s="2" t="e">
        <f ca="1"/>
        <v>#NAME?</v>
      </c>
      <c r="AI180" s="2" t="e">
        <f t="shared" ca="1" si="110"/>
        <v>#NAME?</v>
      </c>
      <c r="AJ180" s="2" t="e">
        <f ca="1"/>
        <v>#NAME?</v>
      </c>
      <c r="AK180" s="2" t="e">
        <f t="shared" ca="1" si="111"/>
        <v>#NAME?</v>
      </c>
      <c r="AL180" s="2" t="e">
        <f ca="1"/>
        <v>#NAME?</v>
      </c>
      <c r="AM180" s="2" t="e">
        <f t="shared" ca="1" si="112"/>
        <v>#NAME?</v>
      </c>
      <c r="AN180" s="2" t="e">
        <f ca="1"/>
        <v>#NAME?</v>
      </c>
      <c r="AO180" s="2" t="e">
        <f t="shared" ca="1" si="113"/>
        <v>#NAME?</v>
      </c>
      <c r="AP180" s="2" t="e">
        <f ca="1"/>
        <v>#NAME?</v>
      </c>
      <c r="AQ180" s="2" t="e">
        <f t="shared" ca="1" si="114"/>
        <v>#NAME?</v>
      </c>
      <c r="AR180" s="2" t="e">
        <f ca="1"/>
        <v>#NAME?</v>
      </c>
      <c r="AS180" s="2" t="e">
        <f t="shared" ca="1" si="115"/>
        <v>#NAME?</v>
      </c>
      <c r="AT180" s="2" t="e">
        <f ca="1"/>
        <v>#NAME?</v>
      </c>
      <c r="AU180" s="2" t="e">
        <f t="shared" ca="1" si="116"/>
        <v>#NAME?</v>
      </c>
      <c r="AV180" s="2" t="e">
        <f ca="1"/>
        <v>#NAME?</v>
      </c>
      <c r="AW180" s="2" t="e">
        <f t="shared" ca="1" si="117"/>
        <v>#NAME?</v>
      </c>
      <c r="AX180" s="2" t="e">
        <f ca="1"/>
        <v>#NAME?</v>
      </c>
      <c r="AY180" s="2" t="e">
        <f t="shared" ca="1" si="118"/>
        <v>#NAME?</v>
      </c>
      <c r="AZ180" s="2" t="e">
        <f ca="1"/>
        <v>#NAME?</v>
      </c>
      <c r="BA180" s="2" t="e">
        <f t="shared" ca="1" si="119"/>
        <v>#NAME?</v>
      </c>
      <c r="BB180" s="2" t="e">
        <f ca="1"/>
        <v>#NAME?</v>
      </c>
      <c r="BC180" s="2" t="e">
        <f t="shared" ca="1" si="120"/>
        <v>#NAME?</v>
      </c>
      <c r="BD180" s="2" t="e">
        <f ca="1"/>
        <v>#NAME?</v>
      </c>
      <c r="BE180" s="2" t="e">
        <f t="shared" ca="1" si="121"/>
        <v>#NAME?</v>
      </c>
      <c r="BF180" s="2" t="e">
        <f ca="1"/>
        <v>#NAME?</v>
      </c>
      <c r="BG180" s="2" t="e">
        <f t="shared" ca="1" si="122"/>
        <v>#NAME?</v>
      </c>
      <c r="BH180" s="2" t="e">
        <f ca="1"/>
        <v>#NAME?</v>
      </c>
      <c r="BI180" s="2" t="e">
        <f t="shared" ca="1" si="123"/>
        <v>#NAME?</v>
      </c>
      <c r="BJ180" s="2" t="e">
        <f ca="1"/>
        <v>#NAME?</v>
      </c>
      <c r="BK180" s="2" t="e">
        <f t="shared" ca="1" si="124"/>
        <v>#NAME?</v>
      </c>
      <c r="BL180" s="2" t="e">
        <f ca="1"/>
        <v>#NAME?</v>
      </c>
      <c r="BM180" s="2" t="e">
        <f t="shared" ca="1" si="125"/>
        <v>#NAME?</v>
      </c>
      <c r="BN180" s="2" t="e">
        <f ca="1"/>
        <v>#NAME?</v>
      </c>
      <c r="BO180" s="2" t="e">
        <f t="shared" ca="1" si="126"/>
        <v>#NAME?</v>
      </c>
      <c r="BP180" s="2" t="e">
        <f ca="1"/>
        <v>#NAME?</v>
      </c>
      <c r="BQ180" s="2" t="e">
        <f t="shared" ca="1" si="127"/>
        <v>#NAME?</v>
      </c>
      <c r="BR180" s="2" t="e">
        <f ca="1"/>
        <v>#NAME?</v>
      </c>
      <c r="BS180" s="2" t="e">
        <f t="shared" ca="1" si="128"/>
        <v>#NAME?</v>
      </c>
      <c r="BT180" s="2" t="e">
        <f ca="1"/>
        <v>#NAME?</v>
      </c>
      <c r="BU180" s="2" t="e">
        <f t="shared" ca="1" si="129"/>
        <v>#NAME?</v>
      </c>
      <c r="BV180" s="2" t="e">
        <f ca="1"/>
        <v>#NAME?</v>
      </c>
      <c r="BW180" s="2" t="e">
        <f t="shared" ca="1" si="130"/>
        <v>#NAME?</v>
      </c>
      <c r="BX180" s="2" t="e">
        <f ca="1"/>
        <v>#NAME?</v>
      </c>
      <c r="BY180" s="2" t="e">
        <f t="shared" ca="1" si="131"/>
        <v>#NAME?</v>
      </c>
      <c r="BZ180" s="2" t="e">
        <f ca="1"/>
        <v>#NAME?</v>
      </c>
      <c r="CA180" s="2" t="e">
        <f t="shared" ca="1" si="132"/>
        <v>#NAME?</v>
      </c>
      <c r="CB180" s="2" t="e">
        <f ca="1"/>
        <v>#NAME?</v>
      </c>
      <c r="CC180" s="2" t="e">
        <f t="shared" ca="1" si="133"/>
        <v>#NAME?</v>
      </c>
      <c r="CD180" s="2" t="e">
        <f ca="1"/>
        <v>#NAME?</v>
      </c>
      <c r="CE180" s="2" t="e">
        <f t="shared" ca="1" si="134"/>
        <v>#NAME?</v>
      </c>
      <c r="CF180" s="2" t="e">
        <f ca="1"/>
        <v>#NAME?</v>
      </c>
      <c r="CG180" s="2" t="e">
        <f t="shared" ca="1" si="135"/>
        <v>#NAME?</v>
      </c>
      <c r="CH180" s="2" t="e">
        <f ca="1"/>
        <v>#NAME?</v>
      </c>
      <c r="CI180" s="2" t="e">
        <f t="shared" ca="1" si="136"/>
        <v>#NAME?</v>
      </c>
      <c r="CJ180" s="2" t="e">
        <f ca="1"/>
        <v>#NAME?</v>
      </c>
      <c r="CK180" s="2" t="e">
        <f t="shared" ca="1" si="137"/>
        <v>#NAME?</v>
      </c>
      <c r="CL180" s="2" t="e">
        <f ca="1"/>
        <v>#NAME?</v>
      </c>
      <c r="CM180" s="2" t="e">
        <f t="shared" ca="1" si="138"/>
        <v>#NAME?</v>
      </c>
      <c r="CN180" s="2" t="e">
        <f ca="1"/>
        <v>#NAME?</v>
      </c>
      <c r="CO180" s="2" t="e">
        <f t="shared" ca="1" si="139"/>
        <v>#NAME?</v>
      </c>
      <c r="CP180" s="2" t="e">
        <f ca="1"/>
        <v>#NAME?</v>
      </c>
      <c r="CQ180" s="2" t="e">
        <f t="shared" ca="1" si="140"/>
        <v>#NAME?</v>
      </c>
    </row>
    <row r="181" spans="1:95">
      <c r="A181" s="7" t="e">
        <f ca="1"/>
        <v>#NAME?</v>
      </c>
      <c r="B181" s="2" t="e">
        <f ca="1"/>
        <v>#NAME?</v>
      </c>
      <c r="C181" s="2" t="e">
        <f t="shared" ca="1" si="94"/>
        <v>#NAME?</v>
      </c>
      <c r="D181" s="2" t="e">
        <f ca="1"/>
        <v>#NAME?</v>
      </c>
      <c r="E181" s="2" t="e">
        <f t="shared" ca="1" si="95"/>
        <v>#NAME?</v>
      </c>
      <c r="F181" s="2" t="e">
        <f ca="1"/>
        <v>#NAME?</v>
      </c>
      <c r="G181" s="2" t="e">
        <f t="shared" ca="1" si="96"/>
        <v>#NAME?</v>
      </c>
      <c r="H181" s="2" t="e">
        <f ca="1"/>
        <v>#NAME?</v>
      </c>
      <c r="I181" s="2" t="e">
        <f t="shared" ca="1" si="97"/>
        <v>#NAME?</v>
      </c>
      <c r="J181" s="2" t="e">
        <f ca="1"/>
        <v>#NAME?</v>
      </c>
      <c r="K181" s="2" t="e">
        <f t="shared" ca="1" si="98"/>
        <v>#NAME?</v>
      </c>
      <c r="L181" s="2" t="e">
        <f ca="1"/>
        <v>#NAME?</v>
      </c>
      <c r="M181" s="2" t="e">
        <f t="shared" ca="1" si="99"/>
        <v>#NAME?</v>
      </c>
      <c r="N181" s="2" t="e">
        <f ca="1"/>
        <v>#NAME?</v>
      </c>
      <c r="O181" s="2" t="e">
        <f t="shared" ca="1" si="100"/>
        <v>#NAME?</v>
      </c>
      <c r="P181" s="2" t="e">
        <f ca="1"/>
        <v>#NAME?</v>
      </c>
      <c r="Q181" s="2" t="e">
        <f t="shared" ca="1" si="101"/>
        <v>#NAME?</v>
      </c>
      <c r="R181" s="2" t="e">
        <f ca="1"/>
        <v>#NAME?</v>
      </c>
      <c r="S181" s="2" t="e">
        <f t="shared" ca="1" si="102"/>
        <v>#NAME?</v>
      </c>
      <c r="T181" s="2" t="e">
        <f ca="1"/>
        <v>#NAME?</v>
      </c>
      <c r="U181" s="2" t="e">
        <f t="shared" ca="1" si="103"/>
        <v>#NAME?</v>
      </c>
      <c r="V181" s="2" t="e">
        <f ca="1"/>
        <v>#NAME?</v>
      </c>
      <c r="W181" s="2" t="e">
        <f t="shared" ca="1" si="104"/>
        <v>#NAME?</v>
      </c>
      <c r="X181" s="2" t="e">
        <f ca="1"/>
        <v>#NAME?</v>
      </c>
      <c r="Y181" s="2" t="e">
        <f t="shared" ca="1" si="105"/>
        <v>#NAME?</v>
      </c>
      <c r="Z181" s="2" t="e">
        <f ca="1"/>
        <v>#NAME?</v>
      </c>
      <c r="AA181" s="2" t="e">
        <f t="shared" ca="1" si="106"/>
        <v>#NAME?</v>
      </c>
      <c r="AB181" s="2" t="e">
        <f ca="1"/>
        <v>#NAME?</v>
      </c>
      <c r="AC181" s="2" t="e">
        <f t="shared" ca="1" si="107"/>
        <v>#NAME?</v>
      </c>
      <c r="AD181" s="2" t="e">
        <f ca="1"/>
        <v>#NAME?</v>
      </c>
      <c r="AE181" s="2" t="e">
        <f t="shared" ca="1" si="108"/>
        <v>#NAME?</v>
      </c>
      <c r="AF181" s="2" t="e">
        <f ca="1"/>
        <v>#NAME?</v>
      </c>
      <c r="AG181" s="2" t="e">
        <f t="shared" ca="1" si="109"/>
        <v>#NAME?</v>
      </c>
      <c r="AH181" s="2" t="e">
        <f ca="1"/>
        <v>#NAME?</v>
      </c>
      <c r="AI181" s="2" t="e">
        <f t="shared" ca="1" si="110"/>
        <v>#NAME?</v>
      </c>
      <c r="AJ181" s="2" t="e">
        <f ca="1"/>
        <v>#NAME?</v>
      </c>
      <c r="AK181" s="2" t="e">
        <f t="shared" ca="1" si="111"/>
        <v>#NAME?</v>
      </c>
      <c r="AL181" s="2" t="e">
        <f ca="1"/>
        <v>#NAME?</v>
      </c>
      <c r="AM181" s="2" t="e">
        <f t="shared" ca="1" si="112"/>
        <v>#NAME?</v>
      </c>
      <c r="AN181" s="2" t="e">
        <f ca="1"/>
        <v>#NAME?</v>
      </c>
      <c r="AO181" s="2" t="e">
        <f t="shared" ca="1" si="113"/>
        <v>#NAME?</v>
      </c>
      <c r="AP181" s="2" t="e">
        <f ca="1"/>
        <v>#NAME?</v>
      </c>
      <c r="AQ181" s="2" t="e">
        <f t="shared" ca="1" si="114"/>
        <v>#NAME?</v>
      </c>
      <c r="AR181" s="2" t="e">
        <f ca="1"/>
        <v>#NAME?</v>
      </c>
      <c r="AS181" s="2" t="e">
        <f t="shared" ca="1" si="115"/>
        <v>#NAME?</v>
      </c>
      <c r="AT181" s="2" t="e">
        <f ca="1"/>
        <v>#NAME?</v>
      </c>
      <c r="AU181" s="2" t="e">
        <f t="shared" ca="1" si="116"/>
        <v>#NAME?</v>
      </c>
      <c r="AV181" s="2" t="e">
        <f ca="1"/>
        <v>#NAME?</v>
      </c>
      <c r="AW181" s="2" t="e">
        <f t="shared" ca="1" si="117"/>
        <v>#NAME?</v>
      </c>
      <c r="AX181" s="2" t="e">
        <f ca="1"/>
        <v>#NAME?</v>
      </c>
      <c r="AY181" s="2" t="e">
        <f t="shared" ca="1" si="118"/>
        <v>#NAME?</v>
      </c>
      <c r="AZ181" s="2" t="e">
        <f ca="1"/>
        <v>#NAME?</v>
      </c>
      <c r="BA181" s="2" t="e">
        <f t="shared" ca="1" si="119"/>
        <v>#NAME?</v>
      </c>
      <c r="BB181" s="2" t="e">
        <f ca="1"/>
        <v>#NAME?</v>
      </c>
      <c r="BC181" s="2" t="e">
        <f t="shared" ca="1" si="120"/>
        <v>#NAME?</v>
      </c>
      <c r="BD181" s="2" t="e">
        <f ca="1"/>
        <v>#NAME?</v>
      </c>
      <c r="BE181" s="2" t="e">
        <f t="shared" ca="1" si="121"/>
        <v>#NAME?</v>
      </c>
      <c r="BF181" s="2" t="e">
        <f ca="1"/>
        <v>#NAME?</v>
      </c>
      <c r="BG181" s="2" t="e">
        <f t="shared" ca="1" si="122"/>
        <v>#NAME?</v>
      </c>
      <c r="BH181" s="2" t="e">
        <f ca="1"/>
        <v>#NAME?</v>
      </c>
      <c r="BI181" s="2" t="e">
        <f t="shared" ca="1" si="123"/>
        <v>#NAME?</v>
      </c>
      <c r="BJ181" s="2" t="e">
        <f ca="1"/>
        <v>#NAME?</v>
      </c>
      <c r="BK181" s="2" t="e">
        <f t="shared" ca="1" si="124"/>
        <v>#NAME?</v>
      </c>
      <c r="BL181" s="2" t="e">
        <f ca="1"/>
        <v>#NAME?</v>
      </c>
      <c r="BM181" s="2" t="e">
        <f t="shared" ca="1" si="125"/>
        <v>#NAME?</v>
      </c>
      <c r="BN181" s="2" t="e">
        <f ca="1"/>
        <v>#NAME?</v>
      </c>
      <c r="BO181" s="2" t="e">
        <f t="shared" ca="1" si="126"/>
        <v>#NAME?</v>
      </c>
      <c r="BP181" s="2" t="e">
        <f ca="1"/>
        <v>#NAME?</v>
      </c>
      <c r="BQ181" s="2" t="e">
        <f t="shared" ca="1" si="127"/>
        <v>#NAME?</v>
      </c>
      <c r="BR181" s="2" t="e">
        <f ca="1"/>
        <v>#NAME?</v>
      </c>
      <c r="BS181" s="2" t="e">
        <f t="shared" ca="1" si="128"/>
        <v>#NAME?</v>
      </c>
      <c r="BT181" s="2" t="e">
        <f ca="1"/>
        <v>#NAME?</v>
      </c>
      <c r="BU181" s="2" t="e">
        <f t="shared" ca="1" si="129"/>
        <v>#NAME?</v>
      </c>
      <c r="BV181" s="2" t="e">
        <f ca="1"/>
        <v>#NAME?</v>
      </c>
      <c r="BW181" s="2" t="e">
        <f t="shared" ca="1" si="130"/>
        <v>#NAME?</v>
      </c>
      <c r="BX181" s="2" t="e">
        <f ca="1"/>
        <v>#NAME?</v>
      </c>
      <c r="BY181" s="2" t="e">
        <f t="shared" ca="1" si="131"/>
        <v>#NAME?</v>
      </c>
      <c r="BZ181" s="2" t="e">
        <f ca="1"/>
        <v>#NAME?</v>
      </c>
      <c r="CA181" s="2" t="e">
        <f t="shared" ca="1" si="132"/>
        <v>#NAME?</v>
      </c>
      <c r="CB181" s="2" t="e">
        <f ca="1"/>
        <v>#NAME?</v>
      </c>
      <c r="CC181" s="2" t="e">
        <f t="shared" ca="1" si="133"/>
        <v>#NAME?</v>
      </c>
      <c r="CD181" s="2" t="e">
        <f ca="1"/>
        <v>#NAME?</v>
      </c>
      <c r="CE181" s="2" t="e">
        <f t="shared" ca="1" si="134"/>
        <v>#NAME?</v>
      </c>
      <c r="CF181" s="2" t="e">
        <f ca="1"/>
        <v>#NAME?</v>
      </c>
      <c r="CG181" s="2" t="e">
        <f t="shared" ca="1" si="135"/>
        <v>#NAME?</v>
      </c>
      <c r="CH181" s="2" t="e">
        <f ca="1"/>
        <v>#NAME?</v>
      </c>
      <c r="CI181" s="2" t="e">
        <f t="shared" ca="1" si="136"/>
        <v>#NAME?</v>
      </c>
      <c r="CJ181" s="2" t="e">
        <f ca="1"/>
        <v>#NAME?</v>
      </c>
      <c r="CK181" s="2" t="e">
        <f t="shared" ca="1" si="137"/>
        <v>#NAME?</v>
      </c>
      <c r="CL181" s="2" t="e">
        <f ca="1"/>
        <v>#NAME?</v>
      </c>
      <c r="CM181" s="2" t="e">
        <f t="shared" ca="1" si="138"/>
        <v>#NAME?</v>
      </c>
      <c r="CN181" s="2" t="e">
        <f ca="1"/>
        <v>#NAME?</v>
      </c>
      <c r="CO181" s="2" t="e">
        <f t="shared" ca="1" si="139"/>
        <v>#NAME?</v>
      </c>
      <c r="CP181" s="2" t="e">
        <f ca="1"/>
        <v>#NAME?</v>
      </c>
      <c r="CQ181" s="2" t="e">
        <f t="shared" ca="1" si="140"/>
        <v>#NAME?</v>
      </c>
    </row>
    <row r="182" spans="1:95">
      <c r="A182" s="7" t="e">
        <f ca="1"/>
        <v>#NAME?</v>
      </c>
      <c r="B182" s="2" t="e">
        <f ca="1"/>
        <v>#NAME?</v>
      </c>
      <c r="C182" s="2" t="e">
        <f t="shared" ca="1" si="94"/>
        <v>#NAME?</v>
      </c>
      <c r="D182" s="2" t="e">
        <f ca="1"/>
        <v>#NAME?</v>
      </c>
      <c r="E182" s="2" t="e">
        <f t="shared" ca="1" si="95"/>
        <v>#NAME?</v>
      </c>
      <c r="F182" s="2" t="e">
        <f ca="1"/>
        <v>#NAME?</v>
      </c>
      <c r="G182" s="2" t="e">
        <f t="shared" ca="1" si="96"/>
        <v>#NAME?</v>
      </c>
      <c r="H182" s="2" t="e">
        <f ca="1"/>
        <v>#NAME?</v>
      </c>
      <c r="I182" s="2" t="e">
        <f t="shared" ca="1" si="97"/>
        <v>#NAME?</v>
      </c>
      <c r="J182" s="2" t="e">
        <f ca="1"/>
        <v>#NAME?</v>
      </c>
      <c r="K182" s="2" t="e">
        <f t="shared" ca="1" si="98"/>
        <v>#NAME?</v>
      </c>
      <c r="L182" s="2" t="e">
        <f ca="1"/>
        <v>#NAME?</v>
      </c>
      <c r="M182" s="2" t="e">
        <f t="shared" ca="1" si="99"/>
        <v>#NAME?</v>
      </c>
      <c r="N182" s="2" t="e">
        <f ca="1"/>
        <v>#NAME?</v>
      </c>
      <c r="O182" s="2" t="e">
        <f t="shared" ca="1" si="100"/>
        <v>#NAME?</v>
      </c>
      <c r="P182" s="2" t="e">
        <f ca="1"/>
        <v>#NAME?</v>
      </c>
      <c r="Q182" s="2" t="e">
        <f t="shared" ca="1" si="101"/>
        <v>#NAME?</v>
      </c>
      <c r="R182" s="2" t="e">
        <f ca="1"/>
        <v>#NAME?</v>
      </c>
      <c r="S182" s="2" t="e">
        <f t="shared" ca="1" si="102"/>
        <v>#NAME?</v>
      </c>
      <c r="T182" s="2" t="e">
        <f ca="1"/>
        <v>#NAME?</v>
      </c>
      <c r="U182" s="2" t="e">
        <f t="shared" ca="1" si="103"/>
        <v>#NAME?</v>
      </c>
      <c r="V182" s="2" t="e">
        <f ca="1"/>
        <v>#NAME?</v>
      </c>
      <c r="W182" s="2" t="e">
        <f t="shared" ca="1" si="104"/>
        <v>#NAME?</v>
      </c>
      <c r="X182" s="2" t="e">
        <f ca="1"/>
        <v>#NAME?</v>
      </c>
      <c r="Y182" s="2" t="e">
        <f t="shared" ca="1" si="105"/>
        <v>#NAME?</v>
      </c>
      <c r="Z182" s="2" t="e">
        <f ca="1"/>
        <v>#NAME?</v>
      </c>
      <c r="AA182" s="2" t="e">
        <f t="shared" ca="1" si="106"/>
        <v>#NAME?</v>
      </c>
      <c r="AB182" s="2" t="e">
        <f ca="1"/>
        <v>#NAME?</v>
      </c>
      <c r="AC182" s="2" t="e">
        <f t="shared" ca="1" si="107"/>
        <v>#NAME?</v>
      </c>
      <c r="AD182" s="2" t="e">
        <f ca="1"/>
        <v>#NAME?</v>
      </c>
      <c r="AE182" s="2" t="e">
        <f t="shared" ca="1" si="108"/>
        <v>#NAME?</v>
      </c>
      <c r="AF182" s="2" t="e">
        <f ca="1"/>
        <v>#NAME?</v>
      </c>
      <c r="AG182" s="2" t="e">
        <f t="shared" ca="1" si="109"/>
        <v>#NAME?</v>
      </c>
      <c r="AH182" s="2" t="e">
        <f ca="1"/>
        <v>#NAME?</v>
      </c>
      <c r="AI182" s="2" t="e">
        <f t="shared" ca="1" si="110"/>
        <v>#NAME?</v>
      </c>
      <c r="AJ182" s="2" t="e">
        <f ca="1"/>
        <v>#NAME?</v>
      </c>
      <c r="AK182" s="2" t="e">
        <f t="shared" ca="1" si="111"/>
        <v>#NAME?</v>
      </c>
      <c r="AL182" s="2" t="e">
        <f ca="1"/>
        <v>#NAME?</v>
      </c>
      <c r="AM182" s="2" t="e">
        <f t="shared" ca="1" si="112"/>
        <v>#NAME?</v>
      </c>
      <c r="AN182" s="2" t="e">
        <f ca="1"/>
        <v>#NAME?</v>
      </c>
      <c r="AO182" s="2" t="e">
        <f t="shared" ca="1" si="113"/>
        <v>#NAME?</v>
      </c>
      <c r="AP182" s="2" t="e">
        <f ca="1"/>
        <v>#NAME?</v>
      </c>
      <c r="AQ182" s="2" t="e">
        <f t="shared" ca="1" si="114"/>
        <v>#NAME?</v>
      </c>
      <c r="AR182" s="2" t="e">
        <f ca="1"/>
        <v>#NAME?</v>
      </c>
      <c r="AS182" s="2" t="e">
        <f t="shared" ca="1" si="115"/>
        <v>#NAME?</v>
      </c>
      <c r="AT182" s="2" t="e">
        <f ca="1"/>
        <v>#NAME?</v>
      </c>
      <c r="AU182" s="2" t="e">
        <f t="shared" ca="1" si="116"/>
        <v>#NAME?</v>
      </c>
      <c r="AV182" s="2" t="e">
        <f ca="1"/>
        <v>#NAME?</v>
      </c>
      <c r="AW182" s="2" t="e">
        <f t="shared" ca="1" si="117"/>
        <v>#NAME?</v>
      </c>
      <c r="AX182" s="2" t="e">
        <f ca="1"/>
        <v>#NAME?</v>
      </c>
      <c r="AY182" s="2" t="e">
        <f t="shared" ca="1" si="118"/>
        <v>#NAME?</v>
      </c>
      <c r="AZ182" s="2" t="e">
        <f ca="1"/>
        <v>#NAME?</v>
      </c>
      <c r="BA182" s="2" t="e">
        <f t="shared" ca="1" si="119"/>
        <v>#NAME?</v>
      </c>
      <c r="BB182" s="2" t="e">
        <f ca="1"/>
        <v>#NAME?</v>
      </c>
      <c r="BC182" s="2" t="e">
        <f t="shared" ca="1" si="120"/>
        <v>#NAME?</v>
      </c>
      <c r="BD182" s="2" t="e">
        <f ca="1"/>
        <v>#NAME?</v>
      </c>
      <c r="BE182" s="2" t="e">
        <f t="shared" ca="1" si="121"/>
        <v>#NAME?</v>
      </c>
      <c r="BF182" s="2" t="e">
        <f ca="1"/>
        <v>#NAME?</v>
      </c>
      <c r="BG182" s="2" t="e">
        <f t="shared" ca="1" si="122"/>
        <v>#NAME?</v>
      </c>
      <c r="BH182" s="2" t="e">
        <f ca="1"/>
        <v>#NAME?</v>
      </c>
      <c r="BI182" s="2" t="e">
        <f t="shared" ca="1" si="123"/>
        <v>#NAME?</v>
      </c>
      <c r="BJ182" s="2" t="e">
        <f ca="1"/>
        <v>#NAME?</v>
      </c>
      <c r="BK182" s="2" t="e">
        <f t="shared" ca="1" si="124"/>
        <v>#NAME?</v>
      </c>
      <c r="BL182" s="2" t="e">
        <f ca="1"/>
        <v>#NAME?</v>
      </c>
      <c r="BM182" s="2" t="e">
        <f t="shared" ca="1" si="125"/>
        <v>#NAME?</v>
      </c>
      <c r="BN182" s="2" t="e">
        <f ca="1"/>
        <v>#NAME?</v>
      </c>
      <c r="BO182" s="2" t="e">
        <f t="shared" ca="1" si="126"/>
        <v>#NAME?</v>
      </c>
      <c r="BP182" s="2" t="e">
        <f ca="1"/>
        <v>#NAME?</v>
      </c>
      <c r="BQ182" s="2" t="e">
        <f t="shared" ca="1" si="127"/>
        <v>#NAME?</v>
      </c>
      <c r="BR182" s="2" t="e">
        <f ca="1"/>
        <v>#NAME?</v>
      </c>
      <c r="BS182" s="2" t="e">
        <f t="shared" ca="1" si="128"/>
        <v>#NAME?</v>
      </c>
      <c r="BT182" s="2" t="e">
        <f ca="1"/>
        <v>#NAME?</v>
      </c>
      <c r="BU182" s="2" t="e">
        <f t="shared" ca="1" si="129"/>
        <v>#NAME?</v>
      </c>
      <c r="BV182" s="2" t="e">
        <f ca="1"/>
        <v>#NAME?</v>
      </c>
      <c r="BW182" s="2" t="e">
        <f t="shared" ca="1" si="130"/>
        <v>#NAME?</v>
      </c>
      <c r="BX182" s="2" t="e">
        <f ca="1"/>
        <v>#NAME?</v>
      </c>
      <c r="BY182" s="2" t="e">
        <f t="shared" ca="1" si="131"/>
        <v>#NAME?</v>
      </c>
      <c r="BZ182" s="2" t="e">
        <f ca="1"/>
        <v>#NAME?</v>
      </c>
      <c r="CA182" s="2" t="e">
        <f t="shared" ca="1" si="132"/>
        <v>#NAME?</v>
      </c>
      <c r="CB182" s="2" t="e">
        <f ca="1"/>
        <v>#NAME?</v>
      </c>
      <c r="CC182" s="2" t="e">
        <f t="shared" ca="1" si="133"/>
        <v>#NAME?</v>
      </c>
      <c r="CD182" s="2" t="e">
        <f ca="1"/>
        <v>#NAME?</v>
      </c>
      <c r="CE182" s="2" t="e">
        <f t="shared" ca="1" si="134"/>
        <v>#NAME?</v>
      </c>
      <c r="CF182" s="2" t="e">
        <f ca="1"/>
        <v>#NAME?</v>
      </c>
      <c r="CG182" s="2" t="e">
        <f t="shared" ca="1" si="135"/>
        <v>#NAME?</v>
      </c>
      <c r="CH182" s="2" t="e">
        <f ca="1"/>
        <v>#NAME?</v>
      </c>
      <c r="CI182" s="2" t="e">
        <f t="shared" ca="1" si="136"/>
        <v>#NAME?</v>
      </c>
      <c r="CJ182" s="2" t="e">
        <f ca="1"/>
        <v>#NAME?</v>
      </c>
      <c r="CK182" s="2" t="e">
        <f t="shared" ca="1" si="137"/>
        <v>#NAME?</v>
      </c>
      <c r="CL182" s="2" t="e">
        <f ca="1"/>
        <v>#NAME?</v>
      </c>
      <c r="CM182" s="2" t="e">
        <f t="shared" ca="1" si="138"/>
        <v>#NAME?</v>
      </c>
      <c r="CN182" s="2" t="e">
        <f ca="1"/>
        <v>#NAME?</v>
      </c>
      <c r="CO182" s="2" t="e">
        <f t="shared" ca="1" si="139"/>
        <v>#NAME?</v>
      </c>
      <c r="CP182" s="2" t="e">
        <f ca="1"/>
        <v>#NAME?</v>
      </c>
      <c r="CQ182" s="2" t="e">
        <f t="shared" ca="1" si="140"/>
        <v>#NAME?</v>
      </c>
    </row>
    <row r="183" spans="1:95">
      <c r="A183" s="7" t="e">
        <f ca="1"/>
        <v>#NAME?</v>
      </c>
      <c r="B183" s="2" t="e">
        <f ca="1"/>
        <v>#NAME?</v>
      </c>
      <c r="C183" s="2" t="e">
        <f t="shared" ca="1" si="94"/>
        <v>#NAME?</v>
      </c>
      <c r="D183" s="2" t="e">
        <f ca="1"/>
        <v>#NAME?</v>
      </c>
      <c r="E183" s="2" t="e">
        <f t="shared" ca="1" si="95"/>
        <v>#NAME?</v>
      </c>
      <c r="F183" s="2" t="e">
        <f ca="1"/>
        <v>#NAME?</v>
      </c>
      <c r="G183" s="2" t="e">
        <f t="shared" ca="1" si="96"/>
        <v>#NAME?</v>
      </c>
      <c r="H183" s="2" t="e">
        <f ca="1"/>
        <v>#NAME?</v>
      </c>
      <c r="I183" s="2" t="e">
        <f t="shared" ca="1" si="97"/>
        <v>#NAME?</v>
      </c>
      <c r="J183" s="2" t="e">
        <f ca="1"/>
        <v>#NAME?</v>
      </c>
      <c r="K183" s="2" t="e">
        <f t="shared" ca="1" si="98"/>
        <v>#NAME?</v>
      </c>
      <c r="L183" s="2" t="e">
        <f ca="1"/>
        <v>#NAME?</v>
      </c>
      <c r="M183" s="2" t="e">
        <f t="shared" ca="1" si="99"/>
        <v>#NAME?</v>
      </c>
      <c r="N183" s="2" t="e">
        <f ca="1"/>
        <v>#NAME?</v>
      </c>
      <c r="O183" s="2" t="e">
        <f t="shared" ca="1" si="100"/>
        <v>#NAME?</v>
      </c>
      <c r="P183" s="2" t="e">
        <f ca="1"/>
        <v>#NAME?</v>
      </c>
      <c r="Q183" s="2" t="e">
        <f t="shared" ca="1" si="101"/>
        <v>#NAME?</v>
      </c>
      <c r="R183" s="2" t="e">
        <f ca="1"/>
        <v>#NAME?</v>
      </c>
      <c r="S183" s="2" t="e">
        <f t="shared" ca="1" si="102"/>
        <v>#NAME?</v>
      </c>
      <c r="T183" s="2" t="e">
        <f ca="1"/>
        <v>#NAME?</v>
      </c>
      <c r="U183" s="2" t="e">
        <f t="shared" ca="1" si="103"/>
        <v>#NAME?</v>
      </c>
      <c r="V183" s="2" t="e">
        <f ca="1"/>
        <v>#NAME?</v>
      </c>
      <c r="W183" s="2" t="e">
        <f t="shared" ca="1" si="104"/>
        <v>#NAME?</v>
      </c>
      <c r="X183" s="2" t="e">
        <f ca="1"/>
        <v>#NAME?</v>
      </c>
      <c r="Y183" s="2" t="e">
        <f t="shared" ca="1" si="105"/>
        <v>#NAME?</v>
      </c>
      <c r="Z183" s="2" t="e">
        <f ca="1"/>
        <v>#NAME?</v>
      </c>
      <c r="AA183" s="2" t="e">
        <f t="shared" ca="1" si="106"/>
        <v>#NAME?</v>
      </c>
      <c r="AB183" s="2" t="e">
        <f ca="1"/>
        <v>#NAME?</v>
      </c>
      <c r="AC183" s="2" t="e">
        <f t="shared" ca="1" si="107"/>
        <v>#NAME?</v>
      </c>
      <c r="AD183" s="2" t="e">
        <f ca="1"/>
        <v>#NAME?</v>
      </c>
      <c r="AE183" s="2" t="e">
        <f t="shared" ca="1" si="108"/>
        <v>#NAME?</v>
      </c>
      <c r="AF183" s="2" t="e">
        <f ca="1"/>
        <v>#NAME?</v>
      </c>
      <c r="AG183" s="2" t="e">
        <f t="shared" ca="1" si="109"/>
        <v>#NAME?</v>
      </c>
      <c r="AH183" s="2" t="e">
        <f ca="1"/>
        <v>#NAME?</v>
      </c>
      <c r="AI183" s="2" t="e">
        <f t="shared" ca="1" si="110"/>
        <v>#NAME?</v>
      </c>
      <c r="AJ183" s="2" t="e">
        <f ca="1"/>
        <v>#NAME?</v>
      </c>
      <c r="AK183" s="2" t="e">
        <f t="shared" ca="1" si="111"/>
        <v>#NAME?</v>
      </c>
      <c r="AL183" s="2" t="e">
        <f ca="1"/>
        <v>#NAME?</v>
      </c>
      <c r="AM183" s="2" t="e">
        <f t="shared" ca="1" si="112"/>
        <v>#NAME?</v>
      </c>
      <c r="AN183" s="2" t="e">
        <f ca="1"/>
        <v>#NAME?</v>
      </c>
      <c r="AO183" s="2" t="e">
        <f t="shared" ca="1" si="113"/>
        <v>#NAME?</v>
      </c>
      <c r="AP183" s="2" t="e">
        <f ca="1"/>
        <v>#NAME?</v>
      </c>
      <c r="AQ183" s="2" t="e">
        <f t="shared" ca="1" si="114"/>
        <v>#NAME?</v>
      </c>
      <c r="AR183" s="2" t="e">
        <f ca="1"/>
        <v>#NAME?</v>
      </c>
      <c r="AS183" s="2" t="e">
        <f t="shared" ca="1" si="115"/>
        <v>#NAME?</v>
      </c>
      <c r="AT183" s="2" t="e">
        <f ca="1"/>
        <v>#NAME?</v>
      </c>
      <c r="AU183" s="2" t="e">
        <f t="shared" ca="1" si="116"/>
        <v>#NAME?</v>
      </c>
      <c r="AV183" s="2" t="e">
        <f ca="1"/>
        <v>#NAME?</v>
      </c>
      <c r="AW183" s="2" t="e">
        <f t="shared" ca="1" si="117"/>
        <v>#NAME?</v>
      </c>
      <c r="AX183" s="2" t="e">
        <f ca="1"/>
        <v>#NAME?</v>
      </c>
      <c r="AY183" s="2" t="e">
        <f t="shared" ca="1" si="118"/>
        <v>#NAME?</v>
      </c>
      <c r="AZ183" s="2" t="e">
        <f ca="1"/>
        <v>#NAME?</v>
      </c>
      <c r="BA183" s="2" t="e">
        <f t="shared" ca="1" si="119"/>
        <v>#NAME?</v>
      </c>
      <c r="BB183" s="2" t="e">
        <f ca="1"/>
        <v>#NAME?</v>
      </c>
      <c r="BC183" s="2" t="e">
        <f t="shared" ca="1" si="120"/>
        <v>#NAME?</v>
      </c>
      <c r="BD183" s="2" t="e">
        <f ca="1"/>
        <v>#NAME?</v>
      </c>
      <c r="BE183" s="2" t="e">
        <f t="shared" ca="1" si="121"/>
        <v>#NAME?</v>
      </c>
      <c r="BF183" s="2" t="e">
        <f ca="1"/>
        <v>#NAME?</v>
      </c>
      <c r="BG183" s="2" t="e">
        <f t="shared" ca="1" si="122"/>
        <v>#NAME?</v>
      </c>
      <c r="BH183" s="2" t="e">
        <f ca="1"/>
        <v>#NAME?</v>
      </c>
      <c r="BI183" s="2" t="e">
        <f t="shared" ca="1" si="123"/>
        <v>#NAME?</v>
      </c>
      <c r="BJ183" s="2" t="e">
        <f ca="1"/>
        <v>#NAME?</v>
      </c>
      <c r="BK183" s="2" t="e">
        <f t="shared" ca="1" si="124"/>
        <v>#NAME?</v>
      </c>
      <c r="BL183" s="2" t="e">
        <f ca="1"/>
        <v>#NAME?</v>
      </c>
      <c r="BM183" s="2" t="e">
        <f t="shared" ca="1" si="125"/>
        <v>#NAME?</v>
      </c>
      <c r="BN183" s="2" t="e">
        <f ca="1"/>
        <v>#NAME?</v>
      </c>
      <c r="BO183" s="2" t="e">
        <f t="shared" ca="1" si="126"/>
        <v>#NAME?</v>
      </c>
      <c r="BP183" s="2" t="e">
        <f ca="1"/>
        <v>#NAME?</v>
      </c>
      <c r="BQ183" s="2" t="e">
        <f t="shared" ca="1" si="127"/>
        <v>#NAME?</v>
      </c>
      <c r="BR183" s="2" t="e">
        <f ca="1"/>
        <v>#NAME?</v>
      </c>
      <c r="BS183" s="2" t="e">
        <f t="shared" ca="1" si="128"/>
        <v>#NAME?</v>
      </c>
      <c r="BT183" s="2" t="e">
        <f ca="1"/>
        <v>#NAME?</v>
      </c>
      <c r="BU183" s="2" t="e">
        <f t="shared" ca="1" si="129"/>
        <v>#NAME?</v>
      </c>
      <c r="BV183" s="2" t="e">
        <f ca="1"/>
        <v>#NAME?</v>
      </c>
      <c r="BW183" s="2" t="e">
        <f t="shared" ca="1" si="130"/>
        <v>#NAME?</v>
      </c>
      <c r="BX183" s="2" t="e">
        <f ca="1"/>
        <v>#NAME?</v>
      </c>
      <c r="BY183" s="2" t="e">
        <f t="shared" ca="1" si="131"/>
        <v>#NAME?</v>
      </c>
      <c r="BZ183" s="2" t="e">
        <f ca="1"/>
        <v>#NAME?</v>
      </c>
      <c r="CA183" s="2" t="e">
        <f t="shared" ca="1" si="132"/>
        <v>#NAME?</v>
      </c>
      <c r="CB183" s="2" t="e">
        <f ca="1"/>
        <v>#NAME?</v>
      </c>
      <c r="CC183" s="2" t="e">
        <f t="shared" ca="1" si="133"/>
        <v>#NAME?</v>
      </c>
      <c r="CD183" s="2" t="e">
        <f ca="1"/>
        <v>#NAME?</v>
      </c>
      <c r="CE183" s="2" t="e">
        <f t="shared" ca="1" si="134"/>
        <v>#NAME?</v>
      </c>
      <c r="CF183" s="2" t="e">
        <f ca="1"/>
        <v>#NAME?</v>
      </c>
      <c r="CG183" s="2" t="e">
        <f t="shared" ca="1" si="135"/>
        <v>#NAME?</v>
      </c>
      <c r="CH183" s="2" t="e">
        <f ca="1"/>
        <v>#NAME?</v>
      </c>
      <c r="CI183" s="2" t="e">
        <f t="shared" ca="1" si="136"/>
        <v>#NAME?</v>
      </c>
      <c r="CJ183" s="2" t="e">
        <f ca="1"/>
        <v>#NAME?</v>
      </c>
      <c r="CK183" s="2" t="e">
        <f t="shared" ca="1" si="137"/>
        <v>#NAME?</v>
      </c>
      <c r="CL183" s="2" t="e">
        <f ca="1"/>
        <v>#NAME?</v>
      </c>
      <c r="CM183" s="2" t="e">
        <f t="shared" ca="1" si="138"/>
        <v>#NAME?</v>
      </c>
      <c r="CN183" s="2" t="e">
        <f ca="1"/>
        <v>#NAME?</v>
      </c>
      <c r="CO183" s="2" t="e">
        <f t="shared" ca="1" si="139"/>
        <v>#NAME?</v>
      </c>
      <c r="CP183" s="2" t="e">
        <f ca="1"/>
        <v>#NAME?</v>
      </c>
      <c r="CQ183" s="2" t="e">
        <f t="shared" ca="1" si="140"/>
        <v>#NAME?</v>
      </c>
    </row>
    <row r="184" spans="1:95">
      <c r="A184" s="7" t="e">
        <f ca="1"/>
        <v>#NAME?</v>
      </c>
      <c r="B184" s="2" t="e">
        <f ca="1"/>
        <v>#NAME?</v>
      </c>
      <c r="C184" s="2" t="e">
        <f t="shared" ca="1" si="94"/>
        <v>#NAME?</v>
      </c>
      <c r="D184" s="2" t="e">
        <f ca="1"/>
        <v>#NAME?</v>
      </c>
      <c r="E184" s="2" t="e">
        <f t="shared" ca="1" si="95"/>
        <v>#NAME?</v>
      </c>
      <c r="F184" s="2" t="e">
        <f ca="1"/>
        <v>#NAME?</v>
      </c>
      <c r="G184" s="2" t="e">
        <f t="shared" ca="1" si="96"/>
        <v>#NAME?</v>
      </c>
      <c r="H184" s="2" t="e">
        <f ca="1"/>
        <v>#NAME?</v>
      </c>
      <c r="I184" s="2" t="e">
        <f t="shared" ca="1" si="97"/>
        <v>#NAME?</v>
      </c>
      <c r="J184" s="2" t="e">
        <f ca="1"/>
        <v>#NAME?</v>
      </c>
      <c r="K184" s="2" t="e">
        <f t="shared" ca="1" si="98"/>
        <v>#NAME?</v>
      </c>
      <c r="L184" s="2" t="e">
        <f ca="1"/>
        <v>#NAME?</v>
      </c>
      <c r="M184" s="2" t="e">
        <f t="shared" ca="1" si="99"/>
        <v>#NAME?</v>
      </c>
      <c r="N184" s="2" t="e">
        <f ca="1"/>
        <v>#NAME?</v>
      </c>
      <c r="O184" s="2" t="e">
        <f t="shared" ca="1" si="100"/>
        <v>#NAME?</v>
      </c>
      <c r="P184" s="2" t="e">
        <f ca="1"/>
        <v>#NAME?</v>
      </c>
      <c r="Q184" s="2" t="e">
        <f t="shared" ca="1" si="101"/>
        <v>#NAME?</v>
      </c>
      <c r="R184" s="2" t="e">
        <f ca="1"/>
        <v>#NAME?</v>
      </c>
      <c r="S184" s="2" t="e">
        <f t="shared" ca="1" si="102"/>
        <v>#NAME?</v>
      </c>
      <c r="T184" s="2" t="e">
        <f ca="1"/>
        <v>#NAME?</v>
      </c>
      <c r="U184" s="2" t="e">
        <f t="shared" ca="1" si="103"/>
        <v>#NAME?</v>
      </c>
      <c r="V184" s="2" t="e">
        <f ca="1"/>
        <v>#NAME?</v>
      </c>
      <c r="W184" s="2" t="e">
        <f t="shared" ca="1" si="104"/>
        <v>#NAME?</v>
      </c>
      <c r="X184" s="2" t="e">
        <f ca="1"/>
        <v>#NAME?</v>
      </c>
      <c r="Y184" s="2" t="e">
        <f t="shared" ca="1" si="105"/>
        <v>#NAME?</v>
      </c>
      <c r="Z184" s="2" t="e">
        <f ca="1"/>
        <v>#NAME?</v>
      </c>
      <c r="AA184" s="2" t="e">
        <f t="shared" ca="1" si="106"/>
        <v>#NAME?</v>
      </c>
      <c r="AB184" s="2" t="e">
        <f ca="1"/>
        <v>#NAME?</v>
      </c>
      <c r="AC184" s="2" t="e">
        <f t="shared" ca="1" si="107"/>
        <v>#NAME?</v>
      </c>
      <c r="AD184" s="2" t="e">
        <f ca="1"/>
        <v>#NAME?</v>
      </c>
      <c r="AE184" s="2" t="e">
        <f t="shared" ca="1" si="108"/>
        <v>#NAME?</v>
      </c>
      <c r="AF184" s="2" t="e">
        <f ca="1"/>
        <v>#NAME?</v>
      </c>
      <c r="AG184" s="2" t="e">
        <f t="shared" ca="1" si="109"/>
        <v>#NAME?</v>
      </c>
      <c r="AH184" s="2" t="e">
        <f ca="1"/>
        <v>#NAME?</v>
      </c>
      <c r="AI184" s="2" t="e">
        <f t="shared" ca="1" si="110"/>
        <v>#NAME?</v>
      </c>
      <c r="AJ184" s="2" t="e">
        <f ca="1"/>
        <v>#NAME?</v>
      </c>
      <c r="AK184" s="2" t="e">
        <f t="shared" ca="1" si="111"/>
        <v>#NAME?</v>
      </c>
      <c r="AL184" s="2" t="e">
        <f ca="1"/>
        <v>#NAME?</v>
      </c>
      <c r="AM184" s="2" t="e">
        <f t="shared" ca="1" si="112"/>
        <v>#NAME?</v>
      </c>
      <c r="AN184" s="2" t="e">
        <f ca="1"/>
        <v>#NAME?</v>
      </c>
      <c r="AO184" s="2" t="e">
        <f t="shared" ca="1" si="113"/>
        <v>#NAME?</v>
      </c>
      <c r="AP184" s="2" t="e">
        <f ca="1"/>
        <v>#NAME?</v>
      </c>
      <c r="AQ184" s="2" t="e">
        <f t="shared" ca="1" si="114"/>
        <v>#NAME?</v>
      </c>
      <c r="AR184" s="2" t="e">
        <f ca="1"/>
        <v>#NAME?</v>
      </c>
      <c r="AS184" s="2" t="e">
        <f t="shared" ca="1" si="115"/>
        <v>#NAME?</v>
      </c>
      <c r="AT184" s="2" t="e">
        <f ca="1"/>
        <v>#NAME?</v>
      </c>
      <c r="AU184" s="2" t="e">
        <f t="shared" ca="1" si="116"/>
        <v>#NAME?</v>
      </c>
      <c r="AV184" s="2" t="e">
        <f ca="1"/>
        <v>#NAME?</v>
      </c>
      <c r="AW184" s="2" t="e">
        <f t="shared" ca="1" si="117"/>
        <v>#NAME?</v>
      </c>
      <c r="AX184" s="2" t="e">
        <f ca="1"/>
        <v>#NAME?</v>
      </c>
      <c r="AY184" s="2" t="e">
        <f t="shared" ca="1" si="118"/>
        <v>#NAME?</v>
      </c>
      <c r="AZ184" s="2" t="e">
        <f ca="1"/>
        <v>#NAME?</v>
      </c>
      <c r="BA184" s="2" t="e">
        <f t="shared" ca="1" si="119"/>
        <v>#NAME?</v>
      </c>
      <c r="BB184" s="2" t="e">
        <f ca="1"/>
        <v>#NAME?</v>
      </c>
      <c r="BC184" s="2" t="e">
        <f t="shared" ca="1" si="120"/>
        <v>#NAME?</v>
      </c>
      <c r="BD184" s="2" t="e">
        <f ca="1"/>
        <v>#NAME?</v>
      </c>
      <c r="BE184" s="2" t="e">
        <f t="shared" ca="1" si="121"/>
        <v>#NAME?</v>
      </c>
      <c r="BF184" s="2" t="e">
        <f ca="1"/>
        <v>#NAME?</v>
      </c>
      <c r="BG184" s="2" t="e">
        <f t="shared" ca="1" si="122"/>
        <v>#NAME?</v>
      </c>
      <c r="BH184" s="2" t="e">
        <f ca="1"/>
        <v>#NAME?</v>
      </c>
      <c r="BI184" s="2" t="e">
        <f t="shared" ca="1" si="123"/>
        <v>#NAME?</v>
      </c>
      <c r="BJ184" s="2" t="e">
        <f ca="1"/>
        <v>#NAME?</v>
      </c>
      <c r="BK184" s="2" t="e">
        <f t="shared" ca="1" si="124"/>
        <v>#NAME?</v>
      </c>
      <c r="BL184" s="2" t="e">
        <f ca="1"/>
        <v>#NAME?</v>
      </c>
      <c r="BM184" s="2" t="e">
        <f t="shared" ca="1" si="125"/>
        <v>#NAME?</v>
      </c>
      <c r="BN184" s="2" t="e">
        <f ca="1"/>
        <v>#NAME?</v>
      </c>
      <c r="BO184" s="2" t="e">
        <f t="shared" ca="1" si="126"/>
        <v>#NAME?</v>
      </c>
      <c r="BP184" s="2" t="e">
        <f ca="1"/>
        <v>#NAME?</v>
      </c>
      <c r="BQ184" s="2" t="e">
        <f t="shared" ca="1" si="127"/>
        <v>#NAME?</v>
      </c>
      <c r="BR184" s="2" t="e">
        <f ca="1"/>
        <v>#NAME?</v>
      </c>
      <c r="BS184" s="2" t="e">
        <f t="shared" ca="1" si="128"/>
        <v>#NAME?</v>
      </c>
      <c r="BT184" s="2" t="e">
        <f ca="1"/>
        <v>#NAME?</v>
      </c>
      <c r="BU184" s="2" t="e">
        <f t="shared" ca="1" si="129"/>
        <v>#NAME?</v>
      </c>
      <c r="BV184" s="2" t="e">
        <f ca="1"/>
        <v>#NAME?</v>
      </c>
      <c r="BW184" s="2" t="e">
        <f t="shared" ca="1" si="130"/>
        <v>#NAME?</v>
      </c>
      <c r="BX184" s="2" t="e">
        <f ca="1"/>
        <v>#NAME?</v>
      </c>
      <c r="BY184" s="2" t="e">
        <f t="shared" ca="1" si="131"/>
        <v>#NAME?</v>
      </c>
      <c r="BZ184" s="2" t="e">
        <f ca="1"/>
        <v>#NAME?</v>
      </c>
      <c r="CA184" s="2" t="e">
        <f t="shared" ca="1" si="132"/>
        <v>#NAME?</v>
      </c>
      <c r="CB184" s="2" t="e">
        <f ca="1"/>
        <v>#NAME?</v>
      </c>
      <c r="CC184" s="2" t="e">
        <f t="shared" ca="1" si="133"/>
        <v>#NAME?</v>
      </c>
      <c r="CD184" s="2" t="e">
        <f ca="1"/>
        <v>#NAME?</v>
      </c>
      <c r="CE184" s="2" t="e">
        <f t="shared" ca="1" si="134"/>
        <v>#NAME?</v>
      </c>
      <c r="CF184" s="2" t="e">
        <f ca="1"/>
        <v>#NAME?</v>
      </c>
      <c r="CG184" s="2" t="e">
        <f t="shared" ca="1" si="135"/>
        <v>#NAME?</v>
      </c>
      <c r="CH184" s="2" t="e">
        <f ca="1"/>
        <v>#NAME?</v>
      </c>
      <c r="CI184" s="2" t="e">
        <f t="shared" ca="1" si="136"/>
        <v>#NAME?</v>
      </c>
      <c r="CJ184" s="2" t="e">
        <f ca="1"/>
        <v>#NAME?</v>
      </c>
      <c r="CK184" s="2" t="e">
        <f t="shared" ca="1" si="137"/>
        <v>#NAME?</v>
      </c>
      <c r="CL184" s="2" t="e">
        <f ca="1"/>
        <v>#NAME?</v>
      </c>
      <c r="CM184" s="2" t="e">
        <f t="shared" ca="1" si="138"/>
        <v>#NAME?</v>
      </c>
      <c r="CN184" s="2" t="e">
        <f ca="1"/>
        <v>#NAME?</v>
      </c>
      <c r="CO184" s="2" t="e">
        <f t="shared" ca="1" si="139"/>
        <v>#NAME?</v>
      </c>
      <c r="CP184" s="2" t="e">
        <f ca="1"/>
        <v>#NAME?</v>
      </c>
      <c r="CQ184" s="2" t="e">
        <f t="shared" ca="1" si="140"/>
        <v>#NAME?</v>
      </c>
    </row>
    <row r="185" spans="1:95">
      <c r="A185" s="7" t="e">
        <f ca="1"/>
        <v>#NAME?</v>
      </c>
      <c r="B185" s="2" t="e">
        <f ca="1"/>
        <v>#NAME?</v>
      </c>
      <c r="C185" s="2" t="e">
        <f t="shared" ca="1" si="94"/>
        <v>#NAME?</v>
      </c>
      <c r="D185" s="2" t="e">
        <f ca="1"/>
        <v>#NAME?</v>
      </c>
      <c r="E185" s="2" t="e">
        <f t="shared" ca="1" si="95"/>
        <v>#NAME?</v>
      </c>
      <c r="F185" s="2" t="e">
        <f ca="1"/>
        <v>#NAME?</v>
      </c>
      <c r="G185" s="2" t="e">
        <f t="shared" ca="1" si="96"/>
        <v>#NAME?</v>
      </c>
      <c r="H185" s="2" t="e">
        <f ca="1"/>
        <v>#NAME?</v>
      </c>
      <c r="I185" s="2" t="e">
        <f t="shared" ca="1" si="97"/>
        <v>#NAME?</v>
      </c>
      <c r="J185" s="2" t="e">
        <f ca="1"/>
        <v>#NAME?</v>
      </c>
      <c r="K185" s="2" t="e">
        <f t="shared" ca="1" si="98"/>
        <v>#NAME?</v>
      </c>
      <c r="L185" s="2" t="e">
        <f ca="1"/>
        <v>#NAME?</v>
      </c>
      <c r="M185" s="2" t="e">
        <f t="shared" ca="1" si="99"/>
        <v>#NAME?</v>
      </c>
      <c r="N185" s="2" t="e">
        <f ca="1"/>
        <v>#NAME?</v>
      </c>
      <c r="O185" s="2" t="e">
        <f t="shared" ca="1" si="100"/>
        <v>#NAME?</v>
      </c>
      <c r="P185" s="2" t="e">
        <f ca="1"/>
        <v>#NAME?</v>
      </c>
      <c r="Q185" s="2" t="e">
        <f t="shared" ca="1" si="101"/>
        <v>#NAME?</v>
      </c>
      <c r="R185" s="2" t="e">
        <f ca="1"/>
        <v>#NAME?</v>
      </c>
      <c r="S185" s="2" t="e">
        <f t="shared" ca="1" si="102"/>
        <v>#NAME?</v>
      </c>
      <c r="T185" s="2" t="e">
        <f ca="1"/>
        <v>#NAME?</v>
      </c>
      <c r="U185" s="2" t="e">
        <f t="shared" ca="1" si="103"/>
        <v>#NAME?</v>
      </c>
      <c r="V185" s="2" t="e">
        <f ca="1"/>
        <v>#NAME?</v>
      </c>
      <c r="W185" s="2" t="e">
        <f t="shared" ca="1" si="104"/>
        <v>#NAME?</v>
      </c>
      <c r="X185" s="2" t="e">
        <f ca="1"/>
        <v>#NAME?</v>
      </c>
      <c r="Y185" s="2" t="e">
        <f t="shared" ca="1" si="105"/>
        <v>#NAME?</v>
      </c>
      <c r="Z185" s="2" t="e">
        <f ca="1"/>
        <v>#NAME?</v>
      </c>
      <c r="AA185" s="2" t="e">
        <f t="shared" ca="1" si="106"/>
        <v>#NAME?</v>
      </c>
      <c r="AB185" s="2" t="e">
        <f ca="1"/>
        <v>#NAME?</v>
      </c>
      <c r="AC185" s="2" t="e">
        <f t="shared" ca="1" si="107"/>
        <v>#NAME?</v>
      </c>
      <c r="AD185" s="2" t="e">
        <f ca="1"/>
        <v>#NAME?</v>
      </c>
      <c r="AE185" s="2" t="e">
        <f t="shared" ca="1" si="108"/>
        <v>#NAME?</v>
      </c>
      <c r="AF185" s="2" t="e">
        <f ca="1"/>
        <v>#NAME?</v>
      </c>
      <c r="AG185" s="2" t="e">
        <f t="shared" ca="1" si="109"/>
        <v>#NAME?</v>
      </c>
      <c r="AH185" s="2" t="e">
        <f ca="1"/>
        <v>#NAME?</v>
      </c>
      <c r="AI185" s="2" t="e">
        <f t="shared" ca="1" si="110"/>
        <v>#NAME?</v>
      </c>
      <c r="AJ185" s="2" t="e">
        <f ca="1"/>
        <v>#NAME?</v>
      </c>
      <c r="AK185" s="2" t="e">
        <f t="shared" ca="1" si="111"/>
        <v>#NAME?</v>
      </c>
      <c r="AL185" s="2" t="e">
        <f ca="1"/>
        <v>#NAME?</v>
      </c>
      <c r="AM185" s="2" t="e">
        <f t="shared" ca="1" si="112"/>
        <v>#NAME?</v>
      </c>
      <c r="AN185" s="2" t="e">
        <f ca="1"/>
        <v>#NAME?</v>
      </c>
      <c r="AO185" s="2" t="e">
        <f t="shared" ca="1" si="113"/>
        <v>#NAME?</v>
      </c>
      <c r="AP185" s="2" t="e">
        <f ca="1"/>
        <v>#NAME?</v>
      </c>
      <c r="AQ185" s="2" t="e">
        <f t="shared" ca="1" si="114"/>
        <v>#NAME?</v>
      </c>
      <c r="AR185" s="2" t="e">
        <f ca="1"/>
        <v>#NAME?</v>
      </c>
      <c r="AS185" s="2" t="e">
        <f t="shared" ca="1" si="115"/>
        <v>#NAME?</v>
      </c>
      <c r="AT185" s="2" t="e">
        <f ca="1"/>
        <v>#NAME?</v>
      </c>
      <c r="AU185" s="2" t="e">
        <f t="shared" ca="1" si="116"/>
        <v>#NAME?</v>
      </c>
      <c r="AV185" s="2" t="e">
        <f ca="1"/>
        <v>#NAME?</v>
      </c>
      <c r="AW185" s="2" t="e">
        <f t="shared" ca="1" si="117"/>
        <v>#NAME?</v>
      </c>
      <c r="AX185" s="2" t="e">
        <f ca="1"/>
        <v>#NAME?</v>
      </c>
      <c r="AY185" s="2" t="e">
        <f t="shared" ca="1" si="118"/>
        <v>#NAME?</v>
      </c>
      <c r="AZ185" s="2" t="e">
        <f ca="1"/>
        <v>#NAME?</v>
      </c>
      <c r="BA185" s="2" t="e">
        <f t="shared" ca="1" si="119"/>
        <v>#NAME?</v>
      </c>
      <c r="BB185" s="2" t="e">
        <f ca="1"/>
        <v>#NAME?</v>
      </c>
      <c r="BC185" s="2" t="e">
        <f t="shared" ca="1" si="120"/>
        <v>#NAME?</v>
      </c>
      <c r="BD185" s="2" t="e">
        <f ca="1"/>
        <v>#NAME?</v>
      </c>
      <c r="BE185" s="2" t="e">
        <f t="shared" ca="1" si="121"/>
        <v>#NAME?</v>
      </c>
      <c r="BF185" s="2" t="e">
        <f ca="1"/>
        <v>#NAME?</v>
      </c>
      <c r="BG185" s="2" t="e">
        <f t="shared" ca="1" si="122"/>
        <v>#NAME?</v>
      </c>
      <c r="BH185" s="2" t="e">
        <f ca="1"/>
        <v>#NAME?</v>
      </c>
      <c r="BI185" s="2" t="e">
        <f t="shared" ca="1" si="123"/>
        <v>#NAME?</v>
      </c>
      <c r="BJ185" s="2" t="e">
        <f ca="1"/>
        <v>#NAME?</v>
      </c>
      <c r="BK185" s="2" t="e">
        <f t="shared" ca="1" si="124"/>
        <v>#NAME?</v>
      </c>
      <c r="BL185" s="2" t="e">
        <f ca="1"/>
        <v>#NAME?</v>
      </c>
      <c r="BM185" s="2" t="e">
        <f t="shared" ca="1" si="125"/>
        <v>#NAME?</v>
      </c>
      <c r="BN185" s="2" t="e">
        <f ca="1"/>
        <v>#NAME?</v>
      </c>
      <c r="BO185" s="2" t="e">
        <f t="shared" ca="1" si="126"/>
        <v>#NAME?</v>
      </c>
      <c r="BP185" s="2" t="e">
        <f ca="1"/>
        <v>#NAME?</v>
      </c>
      <c r="BQ185" s="2" t="e">
        <f t="shared" ca="1" si="127"/>
        <v>#NAME?</v>
      </c>
      <c r="BR185" s="2" t="e">
        <f ca="1"/>
        <v>#NAME?</v>
      </c>
      <c r="BS185" s="2" t="e">
        <f t="shared" ca="1" si="128"/>
        <v>#NAME?</v>
      </c>
      <c r="BT185" s="2" t="e">
        <f ca="1"/>
        <v>#NAME?</v>
      </c>
      <c r="BU185" s="2" t="e">
        <f t="shared" ca="1" si="129"/>
        <v>#NAME?</v>
      </c>
      <c r="BV185" s="2" t="e">
        <f ca="1"/>
        <v>#NAME?</v>
      </c>
      <c r="BW185" s="2" t="e">
        <f t="shared" ca="1" si="130"/>
        <v>#NAME?</v>
      </c>
      <c r="BX185" s="2" t="e">
        <f ca="1"/>
        <v>#NAME?</v>
      </c>
      <c r="BY185" s="2" t="e">
        <f t="shared" ca="1" si="131"/>
        <v>#NAME?</v>
      </c>
      <c r="BZ185" s="2" t="e">
        <f ca="1"/>
        <v>#NAME?</v>
      </c>
      <c r="CA185" s="2" t="e">
        <f t="shared" ca="1" si="132"/>
        <v>#NAME?</v>
      </c>
      <c r="CB185" s="2" t="e">
        <f ca="1"/>
        <v>#NAME?</v>
      </c>
      <c r="CC185" s="2" t="e">
        <f t="shared" ca="1" si="133"/>
        <v>#NAME?</v>
      </c>
      <c r="CD185" s="2" t="e">
        <f ca="1"/>
        <v>#NAME?</v>
      </c>
      <c r="CE185" s="2" t="e">
        <f t="shared" ca="1" si="134"/>
        <v>#NAME?</v>
      </c>
      <c r="CF185" s="2" t="e">
        <f ca="1"/>
        <v>#NAME?</v>
      </c>
      <c r="CG185" s="2" t="e">
        <f t="shared" ca="1" si="135"/>
        <v>#NAME?</v>
      </c>
      <c r="CH185" s="2" t="e">
        <f ca="1"/>
        <v>#NAME?</v>
      </c>
      <c r="CI185" s="2" t="e">
        <f t="shared" ca="1" si="136"/>
        <v>#NAME?</v>
      </c>
      <c r="CJ185" s="2" t="e">
        <f ca="1"/>
        <v>#NAME?</v>
      </c>
      <c r="CK185" s="2" t="e">
        <f t="shared" ca="1" si="137"/>
        <v>#NAME?</v>
      </c>
      <c r="CL185" s="2" t="e">
        <f ca="1"/>
        <v>#NAME?</v>
      </c>
      <c r="CM185" s="2" t="e">
        <f t="shared" ca="1" si="138"/>
        <v>#NAME?</v>
      </c>
      <c r="CN185" s="2" t="e">
        <f ca="1"/>
        <v>#NAME?</v>
      </c>
      <c r="CO185" s="2" t="e">
        <f t="shared" ca="1" si="139"/>
        <v>#NAME?</v>
      </c>
      <c r="CP185" s="2" t="e">
        <f ca="1"/>
        <v>#NAME?</v>
      </c>
      <c r="CQ185" s="2" t="e">
        <f t="shared" ca="1" si="140"/>
        <v>#NAME?</v>
      </c>
    </row>
    <row r="186" spans="1:95">
      <c r="A186" s="7" t="e">
        <f ca="1"/>
        <v>#NAME?</v>
      </c>
      <c r="B186" s="2" t="e">
        <f ca="1"/>
        <v>#NAME?</v>
      </c>
      <c r="C186" s="2" t="e">
        <f t="shared" ca="1" si="94"/>
        <v>#NAME?</v>
      </c>
      <c r="D186" s="2" t="e">
        <f ca="1"/>
        <v>#NAME?</v>
      </c>
      <c r="E186" s="2" t="e">
        <f t="shared" ca="1" si="95"/>
        <v>#NAME?</v>
      </c>
      <c r="F186" s="2" t="e">
        <f ca="1"/>
        <v>#NAME?</v>
      </c>
      <c r="G186" s="2" t="e">
        <f t="shared" ca="1" si="96"/>
        <v>#NAME?</v>
      </c>
      <c r="H186" s="2" t="e">
        <f ca="1"/>
        <v>#NAME?</v>
      </c>
      <c r="I186" s="2" t="e">
        <f t="shared" ca="1" si="97"/>
        <v>#NAME?</v>
      </c>
      <c r="J186" s="2" t="e">
        <f ca="1"/>
        <v>#NAME?</v>
      </c>
      <c r="K186" s="2" t="e">
        <f t="shared" ca="1" si="98"/>
        <v>#NAME?</v>
      </c>
      <c r="L186" s="2" t="e">
        <f ca="1"/>
        <v>#NAME?</v>
      </c>
      <c r="M186" s="2" t="e">
        <f t="shared" ca="1" si="99"/>
        <v>#NAME?</v>
      </c>
      <c r="N186" s="2" t="e">
        <f ca="1"/>
        <v>#NAME?</v>
      </c>
      <c r="O186" s="2" t="e">
        <f t="shared" ca="1" si="100"/>
        <v>#NAME?</v>
      </c>
      <c r="P186" s="2" t="e">
        <f ca="1"/>
        <v>#NAME?</v>
      </c>
      <c r="Q186" s="2" t="e">
        <f t="shared" ca="1" si="101"/>
        <v>#NAME?</v>
      </c>
      <c r="R186" s="2" t="e">
        <f ca="1"/>
        <v>#NAME?</v>
      </c>
      <c r="S186" s="2" t="e">
        <f t="shared" ca="1" si="102"/>
        <v>#NAME?</v>
      </c>
      <c r="T186" s="2" t="e">
        <f ca="1"/>
        <v>#NAME?</v>
      </c>
      <c r="U186" s="2" t="e">
        <f t="shared" ca="1" si="103"/>
        <v>#NAME?</v>
      </c>
      <c r="V186" s="2" t="e">
        <f ca="1"/>
        <v>#NAME?</v>
      </c>
      <c r="W186" s="2" t="e">
        <f t="shared" ca="1" si="104"/>
        <v>#NAME?</v>
      </c>
      <c r="X186" s="2" t="e">
        <f ca="1"/>
        <v>#NAME?</v>
      </c>
      <c r="Y186" s="2" t="e">
        <f t="shared" ca="1" si="105"/>
        <v>#NAME?</v>
      </c>
      <c r="Z186" s="2" t="e">
        <f ca="1"/>
        <v>#NAME?</v>
      </c>
      <c r="AA186" s="2" t="e">
        <f t="shared" ca="1" si="106"/>
        <v>#NAME?</v>
      </c>
      <c r="AB186" s="2" t="e">
        <f ca="1"/>
        <v>#NAME?</v>
      </c>
      <c r="AC186" s="2" t="e">
        <f t="shared" ca="1" si="107"/>
        <v>#NAME?</v>
      </c>
      <c r="AD186" s="2" t="e">
        <f ca="1"/>
        <v>#NAME?</v>
      </c>
      <c r="AE186" s="2" t="e">
        <f t="shared" ca="1" si="108"/>
        <v>#NAME?</v>
      </c>
      <c r="AF186" s="2" t="e">
        <f ca="1"/>
        <v>#NAME?</v>
      </c>
      <c r="AG186" s="2" t="e">
        <f t="shared" ca="1" si="109"/>
        <v>#NAME?</v>
      </c>
      <c r="AH186" s="2" t="e">
        <f ca="1"/>
        <v>#NAME?</v>
      </c>
      <c r="AI186" s="2" t="e">
        <f t="shared" ca="1" si="110"/>
        <v>#NAME?</v>
      </c>
      <c r="AJ186" s="2" t="e">
        <f ca="1"/>
        <v>#NAME?</v>
      </c>
      <c r="AK186" s="2" t="e">
        <f t="shared" ca="1" si="111"/>
        <v>#NAME?</v>
      </c>
      <c r="AL186" s="2" t="e">
        <f ca="1"/>
        <v>#NAME?</v>
      </c>
      <c r="AM186" s="2" t="e">
        <f t="shared" ca="1" si="112"/>
        <v>#NAME?</v>
      </c>
      <c r="AN186" s="2" t="e">
        <f ca="1"/>
        <v>#NAME?</v>
      </c>
      <c r="AO186" s="2" t="e">
        <f t="shared" ca="1" si="113"/>
        <v>#NAME?</v>
      </c>
      <c r="AP186" s="2" t="e">
        <f ca="1"/>
        <v>#NAME?</v>
      </c>
      <c r="AQ186" s="2" t="e">
        <f t="shared" ca="1" si="114"/>
        <v>#NAME?</v>
      </c>
      <c r="AR186" s="2" t="e">
        <f ca="1"/>
        <v>#NAME?</v>
      </c>
      <c r="AS186" s="2" t="e">
        <f t="shared" ca="1" si="115"/>
        <v>#NAME?</v>
      </c>
      <c r="AT186" s="2" t="e">
        <f ca="1"/>
        <v>#NAME?</v>
      </c>
      <c r="AU186" s="2" t="e">
        <f t="shared" ca="1" si="116"/>
        <v>#NAME?</v>
      </c>
      <c r="AV186" s="2" t="e">
        <f ca="1"/>
        <v>#NAME?</v>
      </c>
      <c r="AW186" s="2" t="e">
        <f t="shared" ca="1" si="117"/>
        <v>#NAME?</v>
      </c>
      <c r="AX186" s="2" t="e">
        <f ca="1"/>
        <v>#NAME?</v>
      </c>
      <c r="AY186" s="2" t="e">
        <f t="shared" ca="1" si="118"/>
        <v>#NAME?</v>
      </c>
      <c r="AZ186" s="2" t="e">
        <f ca="1"/>
        <v>#NAME?</v>
      </c>
      <c r="BA186" s="2" t="e">
        <f t="shared" ca="1" si="119"/>
        <v>#NAME?</v>
      </c>
      <c r="BB186" s="2" t="e">
        <f ca="1"/>
        <v>#NAME?</v>
      </c>
      <c r="BC186" s="2" t="e">
        <f t="shared" ca="1" si="120"/>
        <v>#NAME?</v>
      </c>
      <c r="BD186" s="2" t="e">
        <f ca="1"/>
        <v>#NAME?</v>
      </c>
      <c r="BE186" s="2" t="e">
        <f t="shared" ca="1" si="121"/>
        <v>#NAME?</v>
      </c>
      <c r="BF186" s="2" t="e">
        <f ca="1"/>
        <v>#NAME?</v>
      </c>
      <c r="BG186" s="2" t="e">
        <f t="shared" ca="1" si="122"/>
        <v>#NAME?</v>
      </c>
      <c r="BH186" s="2" t="e">
        <f ca="1"/>
        <v>#NAME?</v>
      </c>
      <c r="BI186" s="2" t="e">
        <f t="shared" ca="1" si="123"/>
        <v>#NAME?</v>
      </c>
      <c r="BJ186" s="2" t="e">
        <f ca="1"/>
        <v>#NAME?</v>
      </c>
      <c r="BK186" s="2" t="e">
        <f t="shared" ca="1" si="124"/>
        <v>#NAME?</v>
      </c>
      <c r="BL186" s="2" t="e">
        <f ca="1"/>
        <v>#NAME?</v>
      </c>
      <c r="BM186" s="2" t="e">
        <f t="shared" ca="1" si="125"/>
        <v>#NAME?</v>
      </c>
      <c r="BN186" s="2" t="e">
        <f ca="1"/>
        <v>#NAME?</v>
      </c>
      <c r="BO186" s="2" t="e">
        <f t="shared" ca="1" si="126"/>
        <v>#NAME?</v>
      </c>
      <c r="BP186" s="2" t="e">
        <f ca="1"/>
        <v>#NAME?</v>
      </c>
      <c r="BQ186" s="2" t="e">
        <f t="shared" ca="1" si="127"/>
        <v>#NAME?</v>
      </c>
      <c r="BR186" s="2" t="e">
        <f ca="1"/>
        <v>#NAME?</v>
      </c>
      <c r="BS186" s="2" t="e">
        <f t="shared" ca="1" si="128"/>
        <v>#NAME?</v>
      </c>
      <c r="BT186" s="2" t="e">
        <f ca="1"/>
        <v>#NAME?</v>
      </c>
      <c r="BU186" s="2" t="e">
        <f t="shared" ca="1" si="129"/>
        <v>#NAME?</v>
      </c>
      <c r="BV186" s="2" t="e">
        <f ca="1"/>
        <v>#NAME?</v>
      </c>
      <c r="BW186" s="2" t="e">
        <f t="shared" ca="1" si="130"/>
        <v>#NAME?</v>
      </c>
      <c r="BX186" s="2" t="e">
        <f ca="1"/>
        <v>#NAME?</v>
      </c>
      <c r="BY186" s="2" t="e">
        <f t="shared" ca="1" si="131"/>
        <v>#NAME?</v>
      </c>
      <c r="BZ186" s="2" t="e">
        <f ca="1"/>
        <v>#NAME?</v>
      </c>
      <c r="CA186" s="2" t="e">
        <f t="shared" ca="1" si="132"/>
        <v>#NAME?</v>
      </c>
      <c r="CB186" s="2" t="e">
        <f ca="1"/>
        <v>#NAME?</v>
      </c>
      <c r="CC186" s="2" t="e">
        <f t="shared" ca="1" si="133"/>
        <v>#NAME?</v>
      </c>
      <c r="CD186" s="2" t="e">
        <f ca="1"/>
        <v>#NAME?</v>
      </c>
      <c r="CE186" s="2" t="e">
        <f t="shared" ca="1" si="134"/>
        <v>#NAME?</v>
      </c>
      <c r="CF186" s="2" t="e">
        <f ca="1"/>
        <v>#NAME?</v>
      </c>
      <c r="CG186" s="2" t="e">
        <f t="shared" ca="1" si="135"/>
        <v>#NAME?</v>
      </c>
      <c r="CH186" s="2" t="e">
        <f ca="1"/>
        <v>#NAME?</v>
      </c>
      <c r="CI186" s="2" t="e">
        <f t="shared" ca="1" si="136"/>
        <v>#NAME?</v>
      </c>
      <c r="CJ186" s="2" t="e">
        <f ca="1"/>
        <v>#NAME?</v>
      </c>
      <c r="CK186" s="2" t="e">
        <f t="shared" ca="1" si="137"/>
        <v>#NAME?</v>
      </c>
      <c r="CL186" s="2" t="e">
        <f ca="1"/>
        <v>#NAME?</v>
      </c>
      <c r="CM186" s="2" t="e">
        <f t="shared" ca="1" si="138"/>
        <v>#NAME?</v>
      </c>
      <c r="CN186" s="2" t="e">
        <f ca="1"/>
        <v>#NAME?</v>
      </c>
      <c r="CO186" s="2" t="e">
        <f t="shared" ca="1" si="139"/>
        <v>#NAME?</v>
      </c>
      <c r="CP186" s="2" t="e">
        <f ca="1"/>
        <v>#NAME?</v>
      </c>
      <c r="CQ186" s="2" t="e">
        <f t="shared" ca="1" si="140"/>
        <v>#NAME?</v>
      </c>
    </row>
    <row r="187" spans="1:95">
      <c r="A187" s="7" t="e">
        <f ca="1"/>
        <v>#NAME?</v>
      </c>
      <c r="B187" s="2" t="e">
        <f ca="1"/>
        <v>#NAME?</v>
      </c>
      <c r="C187" s="2" t="e">
        <f t="shared" ca="1" si="94"/>
        <v>#NAME?</v>
      </c>
      <c r="D187" s="2" t="e">
        <f ca="1"/>
        <v>#NAME?</v>
      </c>
      <c r="E187" s="2" t="e">
        <f t="shared" ca="1" si="95"/>
        <v>#NAME?</v>
      </c>
      <c r="F187" s="2" t="e">
        <f ca="1"/>
        <v>#NAME?</v>
      </c>
      <c r="G187" s="2" t="e">
        <f t="shared" ca="1" si="96"/>
        <v>#NAME?</v>
      </c>
      <c r="H187" s="2" t="e">
        <f ca="1"/>
        <v>#NAME?</v>
      </c>
      <c r="I187" s="2" t="e">
        <f t="shared" ca="1" si="97"/>
        <v>#NAME?</v>
      </c>
      <c r="J187" s="2" t="e">
        <f ca="1"/>
        <v>#NAME?</v>
      </c>
      <c r="K187" s="2" t="e">
        <f t="shared" ca="1" si="98"/>
        <v>#NAME?</v>
      </c>
      <c r="L187" s="2" t="e">
        <f ca="1"/>
        <v>#NAME?</v>
      </c>
      <c r="M187" s="2" t="e">
        <f t="shared" ca="1" si="99"/>
        <v>#NAME?</v>
      </c>
      <c r="N187" s="2" t="e">
        <f ca="1"/>
        <v>#NAME?</v>
      </c>
      <c r="O187" s="2" t="e">
        <f t="shared" ca="1" si="100"/>
        <v>#NAME?</v>
      </c>
      <c r="P187" s="2" t="e">
        <f ca="1"/>
        <v>#NAME?</v>
      </c>
      <c r="Q187" s="2" t="e">
        <f t="shared" ca="1" si="101"/>
        <v>#NAME?</v>
      </c>
      <c r="R187" s="2" t="e">
        <f ca="1"/>
        <v>#NAME?</v>
      </c>
      <c r="S187" s="2" t="e">
        <f t="shared" ca="1" si="102"/>
        <v>#NAME?</v>
      </c>
      <c r="T187" s="2" t="e">
        <f ca="1"/>
        <v>#NAME?</v>
      </c>
      <c r="U187" s="2" t="e">
        <f t="shared" ca="1" si="103"/>
        <v>#NAME?</v>
      </c>
      <c r="V187" s="2" t="e">
        <f ca="1"/>
        <v>#NAME?</v>
      </c>
      <c r="W187" s="2" t="e">
        <f t="shared" ca="1" si="104"/>
        <v>#NAME?</v>
      </c>
      <c r="X187" s="2" t="e">
        <f ca="1"/>
        <v>#NAME?</v>
      </c>
      <c r="Y187" s="2" t="e">
        <f t="shared" ca="1" si="105"/>
        <v>#NAME?</v>
      </c>
      <c r="Z187" s="2" t="e">
        <f ca="1"/>
        <v>#NAME?</v>
      </c>
      <c r="AA187" s="2" t="e">
        <f t="shared" ca="1" si="106"/>
        <v>#NAME?</v>
      </c>
      <c r="AB187" s="2" t="e">
        <f ca="1"/>
        <v>#NAME?</v>
      </c>
      <c r="AC187" s="2" t="e">
        <f t="shared" ca="1" si="107"/>
        <v>#NAME?</v>
      </c>
      <c r="AD187" s="2" t="e">
        <f ca="1"/>
        <v>#NAME?</v>
      </c>
      <c r="AE187" s="2" t="e">
        <f t="shared" ca="1" si="108"/>
        <v>#NAME?</v>
      </c>
      <c r="AF187" s="2" t="e">
        <f ca="1"/>
        <v>#NAME?</v>
      </c>
      <c r="AG187" s="2" t="e">
        <f t="shared" ca="1" si="109"/>
        <v>#NAME?</v>
      </c>
      <c r="AH187" s="2" t="e">
        <f ca="1"/>
        <v>#NAME?</v>
      </c>
      <c r="AI187" s="2" t="e">
        <f t="shared" ca="1" si="110"/>
        <v>#NAME?</v>
      </c>
      <c r="AJ187" s="2" t="e">
        <f ca="1"/>
        <v>#NAME?</v>
      </c>
      <c r="AK187" s="2" t="e">
        <f t="shared" ca="1" si="111"/>
        <v>#NAME?</v>
      </c>
      <c r="AL187" s="2" t="e">
        <f ca="1"/>
        <v>#NAME?</v>
      </c>
      <c r="AM187" s="2" t="e">
        <f t="shared" ca="1" si="112"/>
        <v>#NAME?</v>
      </c>
      <c r="AN187" s="2" t="e">
        <f ca="1"/>
        <v>#NAME?</v>
      </c>
      <c r="AO187" s="2" t="e">
        <f t="shared" ca="1" si="113"/>
        <v>#NAME?</v>
      </c>
      <c r="AP187" s="2" t="e">
        <f ca="1"/>
        <v>#NAME?</v>
      </c>
      <c r="AQ187" s="2" t="e">
        <f t="shared" ca="1" si="114"/>
        <v>#NAME?</v>
      </c>
      <c r="AR187" s="2" t="e">
        <f ca="1"/>
        <v>#NAME?</v>
      </c>
      <c r="AS187" s="2" t="e">
        <f t="shared" ca="1" si="115"/>
        <v>#NAME?</v>
      </c>
      <c r="AT187" s="2" t="e">
        <f ca="1"/>
        <v>#NAME?</v>
      </c>
      <c r="AU187" s="2" t="e">
        <f t="shared" ca="1" si="116"/>
        <v>#NAME?</v>
      </c>
      <c r="AV187" s="2" t="e">
        <f ca="1"/>
        <v>#NAME?</v>
      </c>
      <c r="AW187" s="2" t="e">
        <f t="shared" ca="1" si="117"/>
        <v>#NAME?</v>
      </c>
      <c r="AX187" s="2" t="e">
        <f ca="1"/>
        <v>#NAME?</v>
      </c>
      <c r="AY187" s="2" t="e">
        <f t="shared" ca="1" si="118"/>
        <v>#NAME?</v>
      </c>
      <c r="AZ187" s="2" t="e">
        <f ca="1"/>
        <v>#NAME?</v>
      </c>
      <c r="BA187" s="2" t="e">
        <f t="shared" ca="1" si="119"/>
        <v>#NAME?</v>
      </c>
      <c r="BB187" s="2" t="e">
        <f ca="1"/>
        <v>#NAME?</v>
      </c>
      <c r="BC187" s="2" t="e">
        <f t="shared" ca="1" si="120"/>
        <v>#NAME?</v>
      </c>
      <c r="BD187" s="2" t="e">
        <f ca="1"/>
        <v>#NAME?</v>
      </c>
      <c r="BE187" s="2" t="e">
        <f t="shared" ca="1" si="121"/>
        <v>#NAME?</v>
      </c>
      <c r="BF187" s="2" t="e">
        <f ca="1"/>
        <v>#NAME?</v>
      </c>
      <c r="BG187" s="2" t="e">
        <f t="shared" ca="1" si="122"/>
        <v>#NAME?</v>
      </c>
      <c r="BH187" s="2" t="e">
        <f ca="1"/>
        <v>#NAME?</v>
      </c>
      <c r="BI187" s="2" t="e">
        <f t="shared" ca="1" si="123"/>
        <v>#NAME?</v>
      </c>
      <c r="BJ187" s="2" t="e">
        <f ca="1"/>
        <v>#NAME?</v>
      </c>
      <c r="BK187" s="2" t="e">
        <f t="shared" ca="1" si="124"/>
        <v>#NAME?</v>
      </c>
      <c r="BL187" s="2" t="e">
        <f ca="1"/>
        <v>#NAME?</v>
      </c>
      <c r="BM187" s="2" t="e">
        <f t="shared" ca="1" si="125"/>
        <v>#NAME?</v>
      </c>
      <c r="BN187" s="2" t="e">
        <f ca="1"/>
        <v>#NAME?</v>
      </c>
      <c r="BO187" s="2" t="e">
        <f t="shared" ca="1" si="126"/>
        <v>#NAME?</v>
      </c>
      <c r="BP187" s="2" t="e">
        <f ca="1"/>
        <v>#NAME?</v>
      </c>
      <c r="BQ187" s="2" t="e">
        <f t="shared" ca="1" si="127"/>
        <v>#NAME?</v>
      </c>
      <c r="BR187" s="2" t="e">
        <f ca="1"/>
        <v>#NAME?</v>
      </c>
      <c r="BS187" s="2" t="e">
        <f t="shared" ca="1" si="128"/>
        <v>#NAME?</v>
      </c>
      <c r="BT187" s="2" t="e">
        <f ca="1"/>
        <v>#NAME?</v>
      </c>
      <c r="BU187" s="2" t="e">
        <f t="shared" ca="1" si="129"/>
        <v>#NAME?</v>
      </c>
      <c r="BV187" s="2" t="e">
        <f ca="1"/>
        <v>#NAME?</v>
      </c>
      <c r="BW187" s="2" t="e">
        <f t="shared" ca="1" si="130"/>
        <v>#NAME?</v>
      </c>
      <c r="BX187" s="2" t="e">
        <f ca="1"/>
        <v>#NAME?</v>
      </c>
      <c r="BY187" s="2" t="e">
        <f t="shared" ca="1" si="131"/>
        <v>#NAME?</v>
      </c>
      <c r="BZ187" s="2" t="e">
        <f ca="1"/>
        <v>#NAME?</v>
      </c>
      <c r="CA187" s="2" t="e">
        <f t="shared" ca="1" si="132"/>
        <v>#NAME?</v>
      </c>
      <c r="CB187" s="2" t="e">
        <f ca="1"/>
        <v>#NAME?</v>
      </c>
      <c r="CC187" s="2" t="e">
        <f t="shared" ca="1" si="133"/>
        <v>#NAME?</v>
      </c>
      <c r="CD187" s="2" t="e">
        <f ca="1"/>
        <v>#NAME?</v>
      </c>
      <c r="CE187" s="2" t="e">
        <f t="shared" ca="1" si="134"/>
        <v>#NAME?</v>
      </c>
      <c r="CF187" s="2" t="e">
        <f ca="1"/>
        <v>#NAME?</v>
      </c>
      <c r="CG187" s="2" t="e">
        <f t="shared" ca="1" si="135"/>
        <v>#NAME?</v>
      </c>
      <c r="CH187" s="2" t="e">
        <f ca="1"/>
        <v>#NAME?</v>
      </c>
      <c r="CI187" s="2" t="e">
        <f t="shared" ca="1" si="136"/>
        <v>#NAME?</v>
      </c>
      <c r="CJ187" s="2" t="e">
        <f ca="1"/>
        <v>#NAME?</v>
      </c>
      <c r="CK187" s="2" t="e">
        <f t="shared" ca="1" si="137"/>
        <v>#NAME?</v>
      </c>
      <c r="CL187" s="2" t="e">
        <f ca="1"/>
        <v>#NAME?</v>
      </c>
      <c r="CM187" s="2" t="e">
        <f t="shared" ca="1" si="138"/>
        <v>#NAME?</v>
      </c>
      <c r="CN187" s="2" t="e">
        <f ca="1"/>
        <v>#NAME?</v>
      </c>
      <c r="CO187" s="2" t="e">
        <f t="shared" ca="1" si="139"/>
        <v>#NAME?</v>
      </c>
      <c r="CP187" s="2" t="e">
        <f ca="1"/>
        <v>#NAME?</v>
      </c>
      <c r="CQ187" s="2" t="e">
        <f t="shared" ca="1" si="140"/>
        <v>#NAME?</v>
      </c>
    </row>
    <row r="188" spans="1:95">
      <c r="A188" s="7" t="e">
        <f ca="1"/>
        <v>#NAME?</v>
      </c>
      <c r="B188" s="2" t="e">
        <f ca="1"/>
        <v>#NAME?</v>
      </c>
      <c r="C188" s="2" t="e">
        <f t="shared" ca="1" si="94"/>
        <v>#NAME?</v>
      </c>
      <c r="D188" s="2" t="e">
        <f ca="1"/>
        <v>#NAME?</v>
      </c>
      <c r="E188" s="2" t="e">
        <f t="shared" ca="1" si="95"/>
        <v>#NAME?</v>
      </c>
      <c r="F188" s="2" t="e">
        <f ca="1"/>
        <v>#NAME?</v>
      </c>
      <c r="G188" s="2" t="e">
        <f t="shared" ca="1" si="96"/>
        <v>#NAME?</v>
      </c>
      <c r="H188" s="2" t="e">
        <f ca="1"/>
        <v>#NAME?</v>
      </c>
      <c r="I188" s="2" t="e">
        <f t="shared" ca="1" si="97"/>
        <v>#NAME?</v>
      </c>
      <c r="J188" s="2" t="e">
        <f ca="1"/>
        <v>#NAME?</v>
      </c>
      <c r="K188" s="2" t="e">
        <f t="shared" ca="1" si="98"/>
        <v>#NAME?</v>
      </c>
      <c r="L188" s="2" t="e">
        <f ca="1"/>
        <v>#NAME?</v>
      </c>
      <c r="M188" s="2" t="e">
        <f t="shared" ca="1" si="99"/>
        <v>#NAME?</v>
      </c>
      <c r="N188" s="2" t="e">
        <f ca="1"/>
        <v>#NAME?</v>
      </c>
      <c r="O188" s="2" t="e">
        <f t="shared" ca="1" si="100"/>
        <v>#NAME?</v>
      </c>
      <c r="P188" s="2" t="e">
        <f ca="1"/>
        <v>#NAME?</v>
      </c>
      <c r="Q188" s="2" t="e">
        <f t="shared" ca="1" si="101"/>
        <v>#NAME?</v>
      </c>
      <c r="R188" s="2" t="e">
        <f ca="1"/>
        <v>#NAME?</v>
      </c>
      <c r="S188" s="2" t="e">
        <f t="shared" ca="1" si="102"/>
        <v>#NAME?</v>
      </c>
      <c r="T188" s="2" t="e">
        <f ca="1"/>
        <v>#NAME?</v>
      </c>
      <c r="U188" s="2" t="e">
        <f t="shared" ca="1" si="103"/>
        <v>#NAME?</v>
      </c>
      <c r="V188" s="2" t="e">
        <f ca="1"/>
        <v>#NAME?</v>
      </c>
      <c r="W188" s="2" t="e">
        <f t="shared" ca="1" si="104"/>
        <v>#NAME?</v>
      </c>
      <c r="X188" s="2" t="e">
        <f ca="1"/>
        <v>#NAME?</v>
      </c>
      <c r="Y188" s="2" t="e">
        <f t="shared" ca="1" si="105"/>
        <v>#NAME?</v>
      </c>
      <c r="Z188" s="2" t="e">
        <f ca="1"/>
        <v>#NAME?</v>
      </c>
      <c r="AA188" s="2" t="e">
        <f t="shared" ca="1" si="106"/>
        <v>#NAME?</v>
      </c>
      <c r="AB188" s="2" t="e">
        <f ca="1"/>
        <v>#NAME?</v>
      </c>
      <c r="AC188" s="2" t="e">
        <f t="shared" ca="1" si="107"/>
        <v>#NAME?</v>
      </c>
      <c r="AD188" s="2" t="e">
        <f ca="1"/>
        <v>#NAME?</v>
      </c>
      <c r="AE188" s="2" t="e">
        <f t="shared" ca="1" si="108"/>
        <v>#NAME?</v>
      </c>
      <c r="AF188" s="2" t="e">
        <f ca="1"/>
        <v>#NAME?</v>
      </c>
      <c r="AG188" s="2" t="e">
        <f t="shared" ca="1" si="109"/>
        <v>#NAME?</v>
      </c>
      <c r="AH188" s="2" t="e">
        <f ca="1"/>
        <v>#NAME?</v>
      </c>
      <c r="AI188" s="2" t="e">
        <f t="shared" ca="1" si="110"/>
        <v>#NAME?</v>
      </c>
      <c r="AJ188" s="2" t="e">
        <f ca="1"/>
        <v>#NAME?</v>
      </c>
      <c r="AK188" s="2" t="e">
        <f t="shared" ca="1" si="111"/>
        <v>#NAME?</v>
      </c>
      <c r="AL188" s="2" t="e">
        <f ca="1"/>
        <v>#NAME?</v>
      </c>
      <c r="AM188" s="2" t="e">
        <f t="shared" ca="1" si="112"/>
        <v>#NAME?</v>
      </c>
      <c r="AN188" s="2" t="e">
        <f ca="1"/>
        <v>#NAME?</v>
      </c>
      <c r="AO188" s="2" t="e">
        <f t="shared" ca="1" si="113"/>
        <v>#NAME?</v>
      </c>
      <c r="AP188" s="2" t="e">
        <f ca="1"/>
        <v>#NAME?</v>
      </c>
      <c r="AQ188" s="2" t="e">
        <f t="shared" ca="1" si="114"/>
        <v>#NAME?</v>
      </c>
      <c r="AR188" s="2" t="e">
        <f ca="1"/>
        <v>#NAME?</v>
      </c>
      <c r="AS188" s="2" t="e">
        <f t="shared" ca="1" si="115"/>
        <v>#NAME?</v>
      </c>
      <c r="AT188" s="2" t="e">
        <f ca="1"/>
        <v>#NAME?</v>
      </c>
      <c r="AU188" s="2" t="e">
        <f t="shared" ca="1" si="116"/>
        <v>#NAME?</v>
      </c>
      <c r="AV188" s="2" t="e">
        <f ca="1"/>
        <v>#NAME?</v>
      </c>
      <c r="AW188" s="2" t="e">
        <f t="shared" ca="1" si="117"/>
        <v>#NAME?</v>
      </c>
      <c r="AX188" s="2" t="e">
        <f ca="1"/>
        <v>#NAME?</v>
      </c>
      <c r="AY188" s="2" t="e">
        <f t="shared" ca="1" si="118"/>
        <v>#NAME?</v>
      </c>
      <c r="AZ188" s="2" t="e">
        <f ca="1"/>
        <v>#NAME?</v>
      </c>
      <c r="BA188" s="2" t="e">
        <f t="shared" ca="1" si="119"/>
        <v>#NAME?</v>
      </c>
      <c r="BB188" s="2" t="e">
        <f ca="1"/>
        <v>#NAME?</v>
      </c>
      <c r="BC188" s="2" t="e">
        <f t="shared" ca="1" si="120"/>
        <v>#NAME?</v>
      </c>
      <c r="BD188" s="2" t="e">
        <f ca="1"/>
        <v>#NAME?</v>
      </c>
      <c r="BE188" s="2" t="e">
        <f t="shared" ca="1" si="121"/>
        <v>#NAME?</v>
      </c>
      <c r="BF188" s="2" t="e">
        <f ca="1"/>
        <v>#NAME?</v>
      </c>
      <c r="BG188" s="2" t="e">
        <f t="shared" ca="1" si="122"/>
        <v>#NAME?</v>
      </c>
      <c r="BH188" s="2" t="e">
        <f ca="1"/>
        <v>#NAME?</v>
      </c>
      <c r="BI188" s="2" t="e">
        <f t="shared" ca="1" si="123"/>
        <v>#NAME?</v>
      </c>
      <c r="BJ188" s="2" t="e">
        <f ca="1"/>
        <v>#NAME?</v>
      </c>
      <c r="BK188" s="2" t="e">
        <f t="shared" ca="1" si="124"/>
        <v>#NAME?</v>
      </c>
      <c r="BL188" s="2" t="e">
        <f ca="1"/>
        <v>#NAME?</v>
      </c>
      <c r="BM188" s="2" t="e">
        <f t="shared" ca="1" si="125"/>
        <v>#NAME?</v>
      </c>
      <c r="BN188" s="2" t="e">
        <f ca="1"/>
        <v>#NAME?</v>
      </c>
      <c r="BO188" s="2" t="e">
        <f t="shared" ca="1" si="126"/>
        <v>#NAME?</v>
      </c>
      <c r="BP188" s="2" t="e">
        <f ca="1"/>
        <v>#NAME?</v>
      </c>
      <c r="BQ188" s="2" t="e">
        <f t="shared" ca="1" si="127"/>
        <v>#NAME?</v>
      </c>
      <c r="BR188" s="2" t="e">
        <f ca="1"/>
        <v>#NAME?</v>
      </c>
      <c r="BS188" s="2" t="e">
        <f t="shared" ca="1" si="128"/>
        <v>#NAME?</v>
      </c>
      <c r="BT188" s="2" t="e">
        <f ca="1"/>
        <v>#NAME?</v>
      </c>
      <c r="BU188" s="2" t="e">
        <f t="shared" ca="1" si="129"/>
        <v>#NAME?</v>
      </c>
      <c r="BV188" s="2" t="e">
        <f ca="1"/>
        <v>#NAME?</v>
      </c>
      <c r="BW188" s="2" t="e">
        <f t="shared" ca="1" si="130"/>
        <v>#NAME?</v>
      </c>
      <c r="BX188" s="2" t="e">
        <f ca="1"/>
        <v>#NAME?</v>
      </c>
      <c r="BY188" s="2" t="e">
        <f t="shared" ca="1" si="131"/>
        <v>#NAME?</v>
      </c>
      <c r="BZ188" s="2" t="e">
        <f ca="1"/>
        <v>#NAME?</v>
      </c>
      <c r="CA188" s="2" t="e">
        <f t="shared" ca="1" si="132"/>
        <v>#NAME?</v>
      </c>
      <c r="CB188" s="2" t="e">
        <f ca="1"/>
        <v>#NAME?</v>
      </c>
      <c r="CC188" s="2" t="e">
        <f t="shared" ca="1" si="133"/>
        <v>#NAME?</v>
      </c>
      <c r="CD188" s="2" t="e">
        <f ca="1"/>
        <v>#NAME?</v>
      </c>
      <c r="CE188" s="2" t="e">
        <f t="shared" ca="1" si="134"/>
        <v>#NAME?</v>
      </c>
      <c r="CF188" s="2" t="e">
        <f ca="1"/>
        <v>#NAME?</v>
      </c>
      <c r="CG188" s="2" t="e">
        <f t="shared" ca="1" si="135"/>
        <v>#NAME?</v>
      </c>
      <c r="CH188" s="2" t="e">
        <f ca="1"/>
        <v>#NAME?</v>
      </c>
      <c r="CI188" s="2" t="e">
        <f t="shared" ca="1" si="136"/>
        <v>#NAME?</v>
      </c>
      <c r="CJ188" s="2" t="e">
        <f ca="1"/>
        <v>#NAME?</v>
      </c>
      <c r="CK188" s="2" t="e">
        <f t="shared" ca="1" si="137"/>
        <v>#NAME?</v>
      </c>
      <c r="CL188" s="2" t="e">
        <f ca="1"/>
        <v>#NAME?</v>
      </c>
      <c r="CM188" s="2" t="e">
        <f t="shared" ca="1" si="138"/>
        <v>#NAME?</v>
      </c>
      <c r="CN188" s="2" t="e">
        <f ca="1"/>
        <v>#NAME?</v>
      </c>
      <c r="CO188" s="2" t="e">
        <f t="shared" ca="1" si="139"/>
        <v>#NAME?</v>
      </c>
      <c r="CP188" s="2" t="e">
        <f ca="1"/>
        <v>#NAME?</v>
      </c>
      <c r="CQ188" s="2" t="e">
        <f t="shared" ca="1" si="140"/>
        <v>#NAME?</v>
      </c>
    </row>
    <row r="189" spans="1:95">
      <c r="A189" s="7" t="e">
        <f ca="1"/>
        <v>#NAME?</v>
      </c>
      <c r="B189" s="2" t="e">
        <f ca="1"/>
        <v>#NAME?</v>
      </c>
      <c r="C189" s="2" t="e">
        <f t="shared" ca="1" si="94"/>
        <v>#NAME?</v>
      </c>
      <c r="D189" s="2" t="e">
        <f ca="1"/>
        <v>#NAME?</v>
      </c>
      <c r="E189" s="2" t="e">
        <f t="shared" ca="1" si="95"/>
        <v>#NAME?</v>
      </c>
      <c r="F189" s="2" t="e">
        <f ca="1"/>
        <v>#NAME?</v>
      </c>
      <c r="G189" s="2" t="e">
        <f t="shared" ca="1" si="96"/>
        <v>#NAME?</v>
      </c>
      <c r="H189" s="2" t="e">
        <f ca="1"/>
        <v>#NAME?</v>
      </c>
      <c r="I189" s="2" t="e">
        <f t="shared" ca="1" si="97"/>
        <v>#NAME?</v>
      </c>
      <c r="J189" s="2" t="e">
        <f ca="1"/>
        <v>#NAME?</v>
      </c>
      <c r="K189" s="2" t="e">
        <f t="shared" ca="1" si="98"/>
        <v>#NAME?</v>
      </c>
      <c r="L189" s="2" t="e">
        <f ca="1"/>
        <v>#NAME?</v>
      </c>
      <c r="M189" s="2" t="e">
        <f t="shared" ca="1" si="99"/>
        <v>#NAME?</v>
      </c>
      <c r="N189" s="2" t="e">
        <f ca="1"/>
        <v>#NAME?</v>
      </c>
      <c r="O189" s="2" t="e">
        <f t="shared" ca="1" si="100"/>
        <v>#NAME?</v>
      </c>
      <c r="P189" s="2" t="e">
        <f ca="1"/>
        <v>#NAME?</v>
      </c>
      <c r="Q189" s="2" t="e">
        <f t="shared" ca="1" si="101"/>
        <v>#NAME?</v>
      </c>
      <c r="R189" s="2" t="e">
        <f ca="1"/>
        <v>#NAME?</v>
      </c>
      <c r="S189" s="2" t="e">
        <f t="shared" ca="1" si="102"/>
        <v>#NAME?</v>
      </c>
      <c r="T189" s="2" t="e">
        <f ca="1"/>
        <v>#NAME?</v>
      </c>
      <c r="U189" s="2" t="e">
        <f t="shared" ca="1" si="103"/>
        <v>#NAME?</v>
      </c>
      <c r="V189" s="2" t="e">
        <f ca="1"/>
        <v>#NAME?</v>
      </c>
      <c r="W189" s="2" t="e">
        <f t="shared" ca="1" si="104"/>
        <v>#NAME?</v>
      </c>
      <c r="X189" s="2" t="e">
        <f ca="1"/>
        <v>#NAME?</v>
      </c>
      <c r="Y189" s="2" t="e">
        <f t="shared" ca="1" si="105"/>
        <v>#NAME?</v>
      </c>
      <c r="Z189" s="2" t="e">
        <f ca="1"/>
        <v>#NAME?</v>
      </c>
      <c r="AA189" s="2" t="e">
        <f t="shared" ca="1" si="106"/>
        <v>#NAME?</v>
      </c>
      <c r="AB189" s="2" t="e">
        <f ca="1"/>
        <v>#NAME?</v>
      </c>
      <c r="AC189" s="2" t="e">
        <f t="shared" ca="1" si="107"/>
        <v>#NAME?</v>
      </c>
      <c r="AD189" s="2" t="e">
        <f ca="1"/>
        <v>#NAME?</v>
      </c>
      <c r="AE189" s="2" t="e">
        <f t="shared" ca="1" si="108"/>
        <v>#NAME?</v>
      </c>
      <c r="AF189" s="2" t="e">
        <f ca="1"/>
        <v>#NAME?</v>
      </c>
      <c r="AG189" s="2" t="e">
        <f t="shared" ca="1" si="109"/>
        <v>#NAME?</v>
      </c>
      <c r="AH189" s="2" t="e">
        <f ca="1"/>
        <v>#NAME?</v>
      </c>
      <c r="AI189" s="2" t="e">
        <f t="shared" ca="1" si="110"/>
        <v>#NAME?</v>
      </c>
      <c r="AJ189" s="2" t="e">
        <f ca="1"/>
        <v>#NAME?</v>
      </c>
      <c r="AK189" s="2" t="e">
        <f t="shared" ca="1" si="111"/>
        <v>#NAME?</v>
      </c>
      <c r="AL189" s="2" t="e">
        <f ca="1"/>
        <v>#NAME?</v>
      </c>
      <c r="AM189" s="2" t="e">
        <f t="shared" ca="1" si="112"/>
        <v>#NAME?</v>
      </c>
      <c r="AN189" s="2" t="e">
        <f ca="1"/>
        <v>#NAME?</v>
      </c>
      <c r="AO189" s="2" t="e">
        <f t="shared" ca="1" si="113"/>
        <v>#NAME?</v>
      </c>
      <c r="AP189" s="2" t="e">
        <f ca="1"/>
        <v>#NAME?</v>
      </c>
      <c r="AQ189" s="2" t="e">
        <f t="shared" ca="1" si="114"/>
        <v>#NAME?</v>
      </c>
      <c r="AR189" s="2" t="e">
        <f ca="1"/>
        <v>#NAME?</v>
      </c>
      <c r="AS189" s="2" t="e">
        <f t="shared" ca="1" si="115"/>
        <v>#NAME?</v>
      </c>
      <c r="AT189" s="2" t="e">
        <f ca="1"/>
        <v>#NAME?</v>
      </c>
      <c r="AU189" s="2" t="e">
        <f t="shared" ca="1" si="116"/>
        <v>#NAME?</v>
      </c>
      <c r="AV189" s="2" t="e">
        <f ca="1"/>
        <v>#NAME?</v>
      </c>
      <c r="AW189" s="2" t="e">
        <f t="shared" ca="1" si="117"/>
        <v>#NAME?</v>
      </c>
      <c r="AX189" s="2" t="e">
        <f ca="1"/>
        <v>#NAME?</v>
      </c>
      <c r="AY189" s="2" t="e">
        <f t="shared" ca="1" si="118"/>
        <v>#NAME?</v>
      </c>
      <c r="AZ189" s="2" t="e">
        <f ca="1"/>
        <v>#NAME?</v>
      </c>
      <c r="BA189" s="2" t="e">
        <f t="shared" ca="1" si="119"/>
        <v>#NAME?</v>
      </c>
      <c r="BB189" s="2" t="e">
        <f ca="1"/>
        <v>#NAME?</v>
      </c>
      <c r="BC189" s="2" t="e">
        <f t="shared" ca="1" si="120"/>
        <v>#NAME?</v>
      </c>
      <c r="BD189" s="2" t="e">
        <f ca="1"/>
        <v>#NAME?</v>
      </c>
      <c r="BE189" s="2" t="e">
        <f t="shared" ca="1" si="121"/>
        <v>#NAME?</v>
      </c>
      <c r="BF189" s="2" t="e">
        <f ca="1"/>
        <v>#NAME?</v>
      </c>
      <c r="BG189" s="2" t="e">
        <f t="shared" ca="1" si="122"/>
        <v>#NAME?</v>
      </c>
      <c r="BH189" s="2" t="e">
        <f ca="1"/>
        <v>#NAME?</v>
      </c>
      <c r="BI189" s="2" t="e">
        <f t="shared" ca="1" si="123"/>
        <v>#NAME?</v>
      </c>
      <c r="BJ189" s="2" t="e">
        <f ca="1"/>
        <v>#NAME?</v>
      </c>
      <c r="BK189" s="2" t="e">
        <f t="shared" ca="1" si="124"/>
        <v>#NAME?</v>
      </c>
      <c r="BL189" s="2" t="e">
        <f ca="1"/>
        <v>#NAME?</v>
      </c>
      <c r="BM189" s="2" t="e">
        <f t="shared" ca="1" si="125"/>
        <v>#NAME?</v>
      </c>
      <c r="BN189" s="2" t="e">
        <f ca="1"/>
        <v>#NAME?</v>
      </c>
      <c r="BO189" s="2" t="e">
        <f t="shared" ca="1" si="126"/>
        <v>#NAME?</v>
      </c>
      <c r="BP189" s="2" t="e">
        <f ca="1"/>
        <v>#NAME?</v>
      </c>
      <c r="BQ189" s="2" t="e">
        <f t="shared" ca="1" si="127"/>
        <v>#NAME?</v>
      </c>
      <c r="BR189" s="2" t="e">
        <f ca="1"/>
        <v>#NAME?</v>
      </c>
      <c r="BS189" s="2" t="e">
        <f t="shared" ca="1" si="128"/>
        <v>#NAME?</v>
      </c>
      <c r="BT189" s="2" t="e">
        <f ca="1"/>
        <v>#NAME?</v>
      </c>
      <c r="BU189" s="2" t="e">
        <f t="shared" ca="1" si="129"/>
        <v>#NAME?</v>
      </c>
      <c r="BV189" s="2" t="e">
        <f ca="1"/>
        <v>#NAME?</v>
      </c>
      <c r="BW189" s="2" t="e">
        <f t="shared" ca="1" si="130"/>
        <v>#NAME?</v>
      </c>
      <c r="BX189" s="2" t="e">
        <f ca="1"/>
        <v>#NAME?</v>
      </c>
      <c r="BY189" s="2" t="e">
        <f t="shared" ca="1" si="131"/>
        <v>#NAME?</v>
      </c>
      <c r="BZ189" s="2" t="e">
        <f ca="1"/>
        <v>#NAME?</v>
      </c>
      <c r="CA189" s="2" t="e">
        <f t="shared" ca="1" si="132"/>
        <v>#NAME?</v>
      </c>
      <c r="CB189" s="2" t="e">
        <f ca="1"/>
        <v>#NAME?</v>
      </c>
      <c r="CC189" s="2" t="e">
        <f t="shared" ca="1" si="133"/>
        <v>#NAME?</v>
      </c>
      <c r="CD189" s="2" t="e">
        <f ca="1"/>
        <v>#NAME?</v>
      </c>
      <c r="CE189" s="2" t="e">
        <f t="shared" ca="1" si="134"/>
        <v>#NAME?</v>
      </c>
      <c r="CF189" s="2" t="e">
        <f ca="1"/>
        <v>#NAME?</v>
      </c>
      <c r="CG189" s="2" t="e">
        <f t="shared" ca="1" si="135"/>
        <v>#NAME?</v>
      </c>
      <c r="CH189" s="2" t="e">
        <f ca="1"/>
        <v>#NAME?</v>
      </c>
      <c r="CI189" s="2" t="e">
        <f t="shared" ca="1" si="136"/>
        <v>#NAME?</v>
      </c>
      <c r="CJ189" s="2" t="e">
        <f ca="1"/>
        <v>#NAME?</v>
      </c>
      <c r="CK189" s="2" t="e">
        <f t="shared" ca="1" si="137"/>
        <v>#NAME?</v>
      </c>
      <c r="CL189" s="2" t="e">
        <f ca="1"/>
        <v>#NAME?</v>
      </c>
      <c r="CM189" s="2" t="e">
        <f t="shared" ca="1" si="138"/>
        <v>#NAME?</v>
      </c>
      <c r="CN189" s="2" t="e">
        <f ca="1"/>
        <v>#NAME?</v>
      </c>
      <c r="CO189" s="2" t="e">
        <f t="shared" ca="1" si="139"/>
        <v>#NAME?</v>
      </c>
      <c r="CP189" s="2" t="e">
        <f ca="1"/>
        <v>#NAME?</v>
      </c>
      <c r="CQ189" s="2" t="e">
        <f t="shared" ca="1" si="140"/>
        <v>#NAME?</v>
      </c>
    </row>
    <row r="190" spans="1:95">
      <c r="A190" s="7" t="e">
        <f ca="1"/>
        <v>#NAME?</v>
      </c>
      <c r="B190" s="2" t="e">
        <f ca="1"/>
        <v>#NAME?</v>
      </c>
      <c r="C190" s="2" t="e">
        <f t="shared" ca="1" si="94"/>
        <v>#NAME?</v>
      </c>
      <c r="D190" s="2" t="e">
        <f ca="1"/>
        <v>#NAME?</v>
      </c>
      <c r="E190" s="2" t="e">
        <f t="shared" ca="1" si="95"/>
        <v>#NAME?</v>
      </c>
      <c r="F190" s="2" t="e">
        <f ca="1"/>
        <v>#NAME?</v>
      </c>
      <c r="G190" s="2" t="e">
        <f t="shared" ca="1" si="96"/>
        <v>#NAME?</v>
      </c>
      <c r="H190" s="2" t="e">
        <f ca="1"/>
        <v>#NAME?</v>
      </c>
      <c r="I190" s="2" t="e">
        <f t="shared" ca="1" si="97"/>
        <v>#NAME?</v>
      </c>
      <c r="J190" s="2" t="e">
        <f ca="1"/>
        <v>#NAME?</v>
      </c>
      <c r="K190" s="2" t="e">
        <f t="shared" ca="1" si="98"/>
        <v>#NAME?</v>
      </c>
      <c r="L190" s="2" t="e">
        <f ca="1"/>
        <v>#NAME?</v>
      </c>
      <c r="M190" s="2" t="e">
        <f t="shared" ca="1" si="99"/>
        <v>#NAME?</v>
      </c>
      <c r="N190" s="2" t="e">
        <f ca="1"/>
        <v>#NAME?</v>
      </c>
      <c r="O190" s="2" t="e">
        <f t="shared" ca="1" si="100"/>
        <v>#NAME?</v>
      </c>
      <c r="P190" s="2" t="e">
        <f ca="1"/>
        <v>#NAME?</v>
      </c>
      <c r="Q190" s="2" t="e">
        <f t="shared" ca="1" si="101"/>
        <v>#NAME?</v>
      </c>
      <c r="R190" s="2" t="e">
        <f ca="1"/>
        <v>#NAME?</v>
      </c>
      <c r="S190" s="2" t="e">
        <f t="shared" ca="1" si="102"/>
        <v>#NAME?</v>
      </c>
      <c r="T190" s="2" t="e">
        <f ca="1"/>
        <v>#NAME?</v>
      </c>
      <c r="U190" s="2" t="e">
        <f t="shared" ca="1" si="103"/>
        <v>#NAME?</v>
      </c>
      <c r="V190" s="2" t="e">
        <f ca="1"/>
        <v>#NAME?</v>
      </c>
      <c r="W190" s="2" t="e">
        <f t="shared" ca="1" si="104"/>
        <v>#NAME?</v>
      </c>
      <c r="X190" s="2" t="e">
        <f ca="1"/>
        <v>#NAME?</v>
      </c>
      <c r="Y190" s="2" t="e">
        <f t="shared" ca="1" si="105"/>
        <v>#NAME?</v>
      </c>
      <c r="Z190" s="2" t="e">
        <f ca="1"/>
        <v>#NAME?</v>
      </c>
      <c r="AA190" s="2" t="e">
        <f t="shared" ca="1" si="106"/>
        <v>#NAME?</v>
      </c>
      <c r="AB190" s="2" t="e">
        <f ca="1"/>
        <v>#NAME?</v>
      </c>
      <c r="AC190" s="2" t="e">
        <f t="shared" ca="1" si="107"/>
        <v>#NAME?</v>
      </c>
      <c r="AD190" s="2" t="e">
        <f ca="1"/>
        <v>#NAME?</v>
      </c>
      <c r="AE190" s="2" t="e">
        <f t="shared" ca="1" si="108"/>
        <v>#NAME?</v>
      </c>
      <c r="AF190" s="2" t="e">
        <f ca="1"/>
        <v>#NAME?</v>
      </c>
      <c r="AG190" s="2" t="e">
        <f t="shared" ca="1" si="109"/>
        <v>#NAME?</v>
      </c>
      <c r="AH190" s="2" t="e">
        <f ca="1"/>
        <v>#NAME?</v>
      </c>
      <c r="AI190" s="2" t="e">
        <f t="shared" ca="1" si="110"/>
        <v>#NAME?</v>
      </c>
      <c r="AJ190" s="2" t="e">
        <f ca="1"/>
        <v>#NAME?</v>
      </c>
      <c r="AK190" s="2" t="e">
        <f t="shared" ca="1" si="111"/>
        <v>#NAME?</v>
      </c>
      <c r="AL190" s="2" t="e">
        <f ca="1"/>
        <v>#NAME?</v>
      </c>
      <c r="AM190" s="2" t="e">
        <f t="shared" ca="1" si="112"/>
        <v>#NAME?</v>
      </c>
      <c r="AN190" s="2" t="e">
        <f ca="1"/>
        <v>#NAME?</v>
      </c>
      <c r="AO190" s="2" t="e">
        <f t="shared" ca="1" si="113"/>
        <v>#NAME?</v>
      </c>
      <c r="AP190" s="2" t="e">
        <f ca="1"/>
        <v>#NAME?</v>
      </c>
      <c r="AQ190" s="2" t="e">
        <f t="shared" ca="1" si="114"/>
        <v>#NAME?</v>
      </c>
      <c r="AR190" s="2" t="e">
        <f ca="1"/>
        <v>#NAME?</v>
      </c>
      <c r="AS190" s="2" t="e">
        <f t="shared" ca="1" si="115"/>
        <v>#NAME?</v>
      </c>
      <c r="AT190" s="2" t="e">
        <f ca="1"/>
        <v>#NAME?</v>
      </c>
      <c r="AU190" s="2" t="e">
        <f t="shared" ca="1" si="116"/>
        <v>#NAME?</v>
      </c>
      <c r="AV190" s="2" t="e">
        <f ca="1"/>
        <v>#NAME?</v>
      </c>
      <c r="AW190" s="2" t="e">
        <f t="shared" ca="1" si="117"/>
        <v>#NAME?</v>
      </c>
      <c r="AX190" s="2" t="e">
        <f ca="1"/>
        <v>#NAME?</v>
      </c>
      <c r="AY190" s="2" t="e">
        <f t="shared" ca="1" si="118"/>
        <v>#NAME?</v>
      </c>
      <c r="AZ190" s="2" t="e">
        <f ca="1"/>
        <v>#NAME?</v>
      </c>
      <c r="BA190" s="2" t="e">
        <f t="shared" ca="1" si="119"/>
        <v>#NAME?</v>
      </c>
      <c r="BB190" s="2" t="e">
        <f ca="1"/>
        <v>#NAME?</v>
      </c>
      <c r="BC190" s="2" t="e">
        <f t="shared" ca="1" si="120"/>
        <v>#NAME?</v>
      </c>
      <c r="BD190" s="2" t="e">
        <f ca="1"/>
        <v>#NAME?</v>
      </c>
      <c r="BE190" s="2" t="e">
        <f t="shared" ca="1" si="121"/>
        <v>#NAME?</v>
      </c>
      <c r="BF190" s="2" t="e">
        <f ca="1"/>
        <v>#NAME?</v>
      </c>
      <c r="BG190" s="2" t="e">
        <f t="shared" ca="1" si="122"/>
        <v>#NAME?</v>
      </c>
      <c r="BH190" s="2" t="e">
        <f ca="1"/>
        <v>#NAME?</v>
      </c>
      <c r="BI190" s="2" t="e">
        <f t="shared" ca="1" si="123"/>
        <v>#NAME?</v>
      </c>
      <c r="BJ190" s="2" t="e">
        <f ca="1"/>
        <v>#NAME?</v>
      </c>
      <c r="BK190" s="2" t="e">
        <f t="shared" ca="1" si="124"/>
        <v>#NAME?</v>
      </c>
      <c r="BL190" s="2" t="e">
        <f ca="1"/>
        <v>#NAME?</v>
      </c>
      <c r="BM190" s="2" t="e">
        <f t="shared" ca="1" si="125"/>
        <v>#NAME?</v>
      </c>
      <c r="BN190" s="2" t="e">
        <f ca="1"/>
        <v>#NAME?</v>
      </c>
      <c r="BO190" s="2" t="e">
        <f t="shared" ca="1" si="126"/>
        <v>#NAME?</v>
      </c>
      <c r="BP190" s="2" t="e">
        <f ca="1"/>
        <v>#NAME?</v>
      </c>
      <c r="BQ190" s="2" t="e">
        <f t="shared" ca="1" si="127"/>
        <v>#NAME?</v>
      </c>
      <c r="BR190" s="2" t="e">
        <f ca="1"/>
        <v>#NAME?</v>
      </c>
      <c r="BS190" s="2" t="e">
        <f t="shared" ca="1" si="128"/>
        <v>#NAME?</v>
      </c>
      <c r="BT190" s="2" t="e">
        <f ca="1"/>
        <v>#NAME?</v>
      </c>
      <c r="BU190" s="2" t="e">
        <f t="shared" ca="1" si="129"/>
        <v>#NAME?</v>
      </c>
      <c r="BV190" s="2" t="e">
        <f ca="1"/>
        <v>#NAME?</v>
      </c>
      <c r="BW190" s="2" t="e">
        <f t="shared" ca="1" si="130"/>
        <v>#NAME?</v>
      </c>
      <c r="BX190" s="2" t="e">
        <f ca="1"/>
        <v>#NAME?</v>
      </c>
      <c r="BY190" s="2" t="e">
        <f t="shared" ca="1" si="131"/>
        <v>#NAME?</v>
      </c>
      <c r="BZ190" s="2" t="e">
        <f ca="1"/>
        <v>#NAME?</v>
      </c>
      <c r="CA190" s="2" t="e">
        <f t="shared" ca="1" si="132"/>
        <v>#NAME?</v>
      </c>
      <c r="CB190" s="2" t="e">
        <f ca="1"/>
        <v>#NAME?</v>
      </c>
      <c r="CC190" s="2" t="e">
        <f t="shared" ca="1" si="133"/>
        <v>#NAME?</v>
      </c>
      <c r="CD190" s="2" t="e">
        <f ca="1"/>
        <v>#NAME?</v>
      </c>
      <c r="CE190" s="2" t="e">
        <f t="shared" ca="1" si="134"/>
        <v>#NAME?</v>
      </c>
      <c r="CF190" s="2" t="e">
        <f ca="1"/>
        <v>#NAME?</v>
      </c>
      <c r="CG190" s="2" t="e">
        <f t="shared" ca="1" si="135"/>
        <v>#NAME?</v>
      </c>
      <c r="CH190" s="2" t="e">
        <f ca="1"/>
        <v>#NAME?</v>
      </c>
      <c r="CI190" s="2" t="e">
        <f t="shared" ca="1" si="136"/>
        <v>#NAME?</v>
      </c>
      <c r="CJ190" s="2" t="e">
        <f ca="1"/>
        <v>#NAME?</v>
      </c>
      <c r="CK190" s="2" t="e">
        <f t="shared" ca="1" si="137"/>
        <v>#NAME?</v>
      </c>
      <c r="CL190" s="2" t="e">
        <f ca="1"/>
        <v>#NAME?</v>
      </c>
      <c r="CM190" s="2" t="e">
        <f t="shared" ca="1" si="138"/>
        <v>#NAME?</v>
      </c>
      <c r="CN190" s="2" t="e">
        <f ca="1"/>
        <v>#NAME?</v>
      </c>
      <c r="CO190" s="2" t="e">
        <f t="shared" ca="1" si="139"/>
        <v>#NAME?</v>
      </c>
      <c r="CP190" s="2" t="e">
        <f ca="1"/>
        <v>#NAME?</v>
      </c>
      <c r="CQ190" s="2" t="e">
        <f t="shared" ca="1" si="140"/>
        <v>#NAME?</v>
      </c>
    </row>
    <row r="191" spans="1:95">
      <c r="A191" s="7" t="e">
        <f ca="1"/>
        <v>#NAME?</v>
      </c>
      <c r="B191" s="2" t="e">
        <f ca="1"/>
        <v>#NAME?</v>
      </c>
      <c r="C191" s="2" t="e">
        <f t="shared" ca="1" si="94"/>
        <v>#NAME?</v>
      </c>
      <c r="D191" s="2" t="e">
        <f ca="1"/>
        <v>#NAME?</v>
      </c>
      <c r="E191" s="2" t="e">
        <f t="shared" ca="1" si="95"/>
        <v>#NAME?</v>
      </c>
      <c r="F191" s="2" t="e">
        <f ca="1"/>
        <v>#NAME?</v>
      </c>
      <c r="G191" s="2" t="e">
        <f t="shared" ca="1" si="96"/>
        <v>#NAME?</v>
      </c>
      <c r="H191" s="2" t="e">
        <f ca="1"/>
        <v>#NAME?</v>
      </c>
      <c r="I191" s="2" t="e">
        <f t="shared" ca="1" si="97"/>
        <v>#NAME?</v>
      </c>
      <c r="J191" s="2" t="e">
        <f ca="1"/>
        <v>#NAME?</v>
      </c>
      <c r="K191" s="2" t="e">
        <f t="shared" ca="1" si="98"/>
        <v>#NAME?</v>
      </c>
      <c r="L191" s="2" t="e">
        <f ca="1"/>
        <v>#NAME?</v>
      </c>
      <c r="M191" s="2" t="e">
        <f t="shared" ca="1" si="99"/>
        <v>#NAME?</v>
      </c>
      <c r="N191" s="2" t="e">
        <f ca="1"/>
        <v>#NAME?</v>
      </c>
      <c r="O191" s="2" t="e">
        <f t="shared" ca="1" si="100"/>
        <v>#NAME?</v>
      </c>
      <c r="P191" s="2" t="e">
        <f ca="1"/>
        <v>#NAME?</v>
      </c>
      <c r="Q191" s="2" t="e">
        <f t="shared" ca="1" si="101"/>
        <v>#NAME?</v>
      </c>
      <c r="R191" s="2" t="e">
        <f ca="1"/>
        <v>#NAME?</v>
      </c>
      <c r="S191" s="2" t="e">
        <f t="shared" ca="1" si="102"/>
        <v>#NAME?</v>
      </c>
      <c r="T191" s="2" t="e">
        <f ca="1"/>
        <v>#NAME?</v>
      </c>
      <c r="U191" s="2" t="e">
        <f t="shared" ca="1" si="103"/>
        <v>#NAME?</v>
      </c>
      <c r="V191" s="2" t="e">
        <f ca="1"/>
        <v>#NAME?</v>
      </c>
      <c r="W191" s="2" t="e">
        <f t="shared" ca="1" si="104"/>
        <v>#NAME?</v>
      </c>
      <c r="X191" s="2" t="e">
        <f ca="1"/>
        <v>#NAME?</v>
      </c>
      <c r="Y191" s="2" t="e">
        <f t="shared" ca="1" si="105"/>
        <v>#NAME?</v>
      </c>
      <c r="Z191" s="2" t="e">
        <f ca="1"/>
        <v>#NAME?</v>
      </c>
      <c r="AA191" s="2" t="e">
        <f t="shared" ca="1" si="106"/>
        <v>#NAME?</v>
      </c>
      <c r="AB191" s="2" t="e">
        <f ca="1"/>
        <v>#NAME?</v>
      </c>
      <c r="AC191" s="2" t="e">
        <f t="shared" ca="1" si="107"/>
        <v>#NAME?</v>
      </c>
      <c r="AD191" s="2" t="e">
        <f ca="1"/>
        <v>#NAME?</v>
      </c>
      <c r="AE191" s="2" t="e">
        <f t="shared" ca="1" si="108"/>
        <v>#NAME?</v>
      </c>
      <c r="AF191" s="2" t="e">
        <f ca="1"/>
        <v>#NAME?</v>
      </c>
      <c r="AG191" s="2" t="e">
        <f t="shared" ca="1" si="109"/>
        <v>#NAME?</v>
      </c>
      <c r="AH191" s="2" t="e">
        <f ca="1"/>
        <v>#NAME?</v>
      </c>
      <c r="AI191" s="2" t="e">
        <f t="shared" ca="1" si="110"/>
        <v>#NAME?</v>
      </c>
      <c r="AJ191" s="2" t="e">
        <f ca="1"/>
        <v>#NAME?</v>
      </c>
      <c r="AK191" s="2" t="e">
        <f t="shared" ca="1" si="111"/>
        <v>#NAME?</v>
      </c>
      <c r="AL191" s="2" t="e">
        <f ca="1"/>
        <v>#NAME?</v>
      </c>
      <c r="AM191" s="2" t="e">
        <f t="shared" ca="1" si="112"/>
        <v>#NAME?</v>
      </c>
      <c r="AN191" s="2" t="e">
        <f ca="1"/>
        <v>#NAME?</v>
      </c>
      <c r="AO191" s="2" t="e">
        <f t="shared" ca="1" si="113"/>
        <v>#NAME?</v>
      </c>
      <c r="AP191" s="2" t="e">
        <f ca="1"/>
        <v>#NAME?</v>
      </c>
      <c r="AQ191" s="2" t="e">
        <f t="shared" ca="1" si="114"/>
        <v>#NAME?</v>
      </c>
      <c r="AR191" s="2" t="e">
        <f ca="1"/>
        <v>#NAME?</v>
      </c>
      <c r="AS191" s="2" t="e">
        <f t="shared" ca="1" si="115"/>
        <v>#NAME?</v>
      </c>
      <c r="AT191" s="2" t="e">
        <f ca="1"/>
        <v>#NAME?</v>
      </c>
      <c r="AU191" s="2" t="e">
        <f t="shared" ca="1" si="116"/>
        <v>#NAME?</v>
      </c>
      <c r="AV191" s="2" t="e">
        <f ca="1"/>
        <v>#NAME?</v>
      </c>
      <c r="AW191" s="2" t="e">
        <f t="shared" ca="1" si="117"/>
        <v>#NAME?</v>
      </c>
      <c r="AX191" s="2" t="e">
        <f ca="1"/>
        <v>#NAME?</v>
      </c>
      <c r="AY191" s="2" t="e">
        <f t="shared" ca="1" si="118"/>
        <v>#NAME?</v>
      </c>
      <c r="AZ191" s="2" t="e">
        <f ca="1"/>
        <v>#NAME?</v>
      </c>
      <c r="BA191" s="2" t="e">
        <f t="shared" ca="1" si="119"/>
        <v>#NAME?</v>
      </c>
      <c r="BB191" s="2" t="e">
        <f ca="1"/>
        <v>#NAME?</v>
      </c>
      <c r="BC191" s="2" t="e">
        <f t="shared" ca="1" si="120"/>
        <v>#NAME?</v>
      </c>
      <c r="BD191" s="2" t="e">
        <f ca="1"/>
        <v>#NAME?</v>
      </c>
      <c r="BE191" s="2" t="e">
        <f t="shared" ca="1" si="121"/>
        <v>#NAME?</v>
      </c>
      <c r="BF191" s="2" t="e">
        <f ca="1"/>
        <v>#NAME?</v>
      </c>
      <c r="BG191" s="2" t="e">
        <f t="shared" ca="1" si="122"/>
        <v>#NAME?</v>
      </c>
      <c r="BH191" s="2" t="e">
        <f ca="1"/>
        <v>#NAME?</v>
      </c>
      <c r="BI191" s="2" t="e">
        <f t="shared" ca="1" si="123"/>
        <v>#NAME?</v>
      </c>
      <c r="BJ191" s="2" t="e">
        <f ca="1"/>
        <v>#NAME?</v>
      </c>
      <c r="BK191" s="2" t="e">
        <f t="shared" ca="1" si="124"/>
        <v>#NAME?</v>
      </c>
      <c r="BL191" s="2" t="e">
        <f ca="1"/>
        <v>#NAME?</v>
      </c>
      <c r="BM191" s="2" t="e">
        <f t="shared" ca="1" si="125"/>
        <v>#NAME?</v>
      </c>
      <c r="BN191" s="2" t="e">
        <f ca="1"/>
        <v>#NAME?</v>
      </c>
      <c r="BO191" s="2" t="e">
        <f t="shared" ca="1" si="126"/>
        <v>#NAME?</v>
      </c>
      <c r="BP191" s="2" t="e">
        <f ca="1"/>
        <v>#NAME?</v>
      </c>
      <c r="BQ191" s="2" t="e">
        <f t="shared" ca="1" si="127"/>
        <v>#NAME?</v>
      </c>
      <c r="BR191" s="2" t="e">
        <f ca="1"/>
        <v>#NAME?</v>
      </c>
      <c r="BS191" s="2" t="e">
        <f t="shared" ca="1" si="128"/>
        <v>#NAME?</v>
      </c>
      <c r="BT191" s="2" t="e">
        <f ca="1"/>
        <v>#NAME?</v>
      </c>
      <c r="BU191" s="2" t="e">
        <f t="shared" ca="1" si="129"/>
        <v>#NAME?</v>
      </c>
      <c r="BV191" s="2" t="e">
        <f ca="1"/>
        <v>#NAME?</v>
      </c>
      <c r="BW191" s="2" t="e">
        <f t="shared" ca="1" si="130"/>
        <v>#NAME?</v>
      </c>
      <c r="BX191" s="2" t="e">
        <f ca="1"/>
        <v>#NAME?</v>
      </c>
      <c r="BY191" s="2" t="e">
        <f t="shared" ca="1" si="131"/>
        <v>#NAME?</v>
      </c>
      <c r="BZ191" s="2" t="e">
        <f ca="1"/>
        <v>#NAME?</v>
      </c>
      <c r="CA191" s="2" t="e">
        <f t="shared" ca="1" si="132"/>
        <v>#NAME?</v>
      </c>
      <c r="CB191" s="2" t="e">
        <f ca="1"/>
        <v>#NAME?</v>
      </c>
      <c r="CC191" s="2" t="e">
        <f t="shared" ca="1" si="133"/>
        <v>#NAME?</v>
      </c>
      <c r="CD191" s="2" t="e">
        <f ca="1"/>
        <v>#NAME?</v>
      </c>
      <c r="CE191" s="2" t="e">
        <f t="shared" ca="1" si="134"/>
        <v>#NAME?</v>
      </c>
      <c r="CF191" s="2" t="e">
        <f ca="1"/>
        <v>#NAME?</v>
      </c>
      <c r="CG191" s="2" t="e">
        <f t="shared" ca="1" si="135"/>
        <v>#NAME?</v>
      </c>
      <c r="CH191" s="2" t="e">
        <f ca="1"/>
        <v>#NAME?</v>
      </c>
      <c r="CI191" s="2" t="e">
        <f t="shared" ca="1" si="136"/>
        <v>#NAME?</v>
      </c>
      <c r="CJ191" s="2" t="e">
        <f ca="1"/>
        <v>#NAME?</v>
      </c>
      <c r="CK191" s="2" t="e">
        <f t="shared" ca="1" si="137"/>
        <v>#NAME?</v>
      </c>
      <c r="CL191" s="2" t="e">
        <f ca="1"/>
        <v>#NAME?</v>
      </c>
      <c r="CM191" s="2" t="e">
        <f t="shared" ca="1" si="138"/>
        <v>#NAME?</v>
      </c>
      <c r="CN191" s="2" t="e">
        <f ca="1"/>
        <v>#NAME?</v>
      </c>
      <c r="CO191" s="2" t="e">
        <f t="shared" ca="1" si="139"/>
        <v>#NAME?</v>
      </c>
      <c r="CP191" s="2" t="e">
        <f ca="1"/>
        <v>#NAME?</v>
      </c>
      <c r="CQ191" s="2" t="e">
        <f t="shared" ca="1" si="140"/>
        <v>#NAME?</v>
      </c>
    </row>
    <row r="192" spans="1:95">
      <c r="A192" s="7" t="e">
        <f ca="1"/>
        <v>#NAME?</v>
      </c>
      <c r="B192" s="2" t="e">
        <f ca="1"/>
        <v>#NAME?</v>
      </c>
      <c r="C192" s="2" t="e">
        <f t="shared" ca="1" si="94"/>
        <v>#NAME?</v>
      </c>
      <c r="D192" s="2" t="e">
        <f ca="1"/>
        <v>#NAME?</v>
      </c>
      <c r="E192" s="2" t="e">
        <f t="shared" ca="1" si="95"/>
        <v>#NAME?</v>
      </c>
      <c r="F192" s="2" t="e">
        <f ca="1"/>
        <v>#NAME?</v>
      </c>
      <c r="G192" s="2" t="e">
        <f t="shared" ca="1" si="96"/>
        <v>#NAME?</v>
      </c>
      <c r="H192" s="2" t="e">
        <f ca="1"/>
        <v>#NAME?</v>
      </c>
      <c r="I192" s="2" t="e">
        <f t="shared" ca="1" si="97"/>
        <v>#NAME?</v>
      </c>
      <c r="J192" s="2" t="e">
        <f ca="1"/>
        <v>#NAME?</v>
      </c>
      <c r="K192" s="2" t="e">
        <f t="shared" ca="1" si="98"/>
        <v>#NAME?</v>
      </c>
      <c r="L192" s="2" t="e">
        <f ca="1"/>
        <v>#NAME?</v>
      </c>
      <c r="M192" s="2" t="e">
        <f t="shared" ca="1" si="99"/>
        <v>#NAME?</v>
      </c>
      <c r="N192" s="2" t="e">
        <f ca="1"/>
        <v>#NAME?</v>
      </c>
      <c r="O192" s="2" t="e">
        <f t="shared" ca="1" si="100"/>
        <v>#NAME?</v>
      </c>
      <c r="P192" s="2" t="e">
        <f ca="1"/>
        <v>#NAME?</v>
      </c>
      <c r="Q192" s="2" t="e">
        <f t="shared" ca="1" si="101"/>
        <v>#NAME?</v>
      </c>
      <c r="R192" s="2" t="e">
        <f ca="1"/>
        <v>#NAME?</v>
      </c>
      <c r="S192" s="2" t="e">
        <f t="shared" ca="1" si="102"/>
        <v>#NAME?</v>
      </c>
      <c r="T192" s="2" t="e">
        <f ca="1"/>
        <v>#NAME?</v>
      </c>
      <c r="U192" s="2" t="e">
        <f t="shared" ca="1" si="103"/>
        <v>#NAME?</v>
      </c>
      <c r="V192" s="2" t="e">
        <f ca="1"/>
        <v>#NAME?</v>
      </c>
      <c r="W192" s="2" t="e">
        <f t="shared" ca="1" si="104"/>
        <v>#NAME?</v>
      </c>
      <c r="X192" s="2" t="e">
        <f ca="1"/>
        <v>#NAME?</v>
      </c>
      <c r="Y192" s="2" t="e">
        <f t="shared" ca="1" si="105"/>
        <v>#NAME?</v>
      </c>
      <c r="Z192" s="2" t="e">
        <f ca="1"/>
        <v>#NAME?</v>
      </c>
      <c r="AA192" s="2" t="e">
        <f t="shared" ca="1" si="106"/>
        <v>#NAME?</v>
      </c>
      <c r="AB192" s="2" t="e">
        <f ca="1"/>
        <v>#NAME?</v>
      </c>
      <c r="AC192" s="2" t="e">
        <f t="shared" ca="1" si="107"/>
        <v>#NAME?</v>
      </c>
      <c r="AD192" s="2" t="e">
        <f ca="1"/>
        <v>#NAME?</v>
      </c>
      <c r="AE192" s="2" t="e">
        <f t="shared" ca="1" si="108"/>
        <v>#NAME?</v>
      </c>
      <c r="AF192" s="2" t="e">
        <f ca="1"/>
        <v>#NAME?</v>
      </c>
      <c r="AG192" s="2" t="e">
        <f t="shared" ca="1" si="109"/>
        <v>#NAME?</v>
      </c>
      <c r="AH192" s="2" t="e">
        <f ca="1"/>
        <v>#NAME?</v>
      </c>
      <c r="AI192" s="2" t="e">
        <f t="shared" ca="1" si="110"/>
        <v>#NAME?</v>
      </c>
      <c r="AJ192" s="2" t="e">
        <f ca="1"/>
        <v>#NAME?</v>
      </c>
      <c r="AK192" s="2" t="e">
        <f t="shared" ca="1" si="111"/>
        <v>#NAME?</v>
      </c>
      <c r="AL192" s="2" t="e">
        <f ca="1"/>
        <v>#NAME?</v>
      </c>
      <c r="AM192" s="2" t="e">
        <f t="shared" ca="1" si="112"/>
        <v>#NAME?</v>
      </c>
      <c r="AN192" s="2" t="e">
        <f ca="1"/>
        <v>#NAME?</v>
      </c>
      <c r="AO192" s="2" t="e">
        <f t="shared" ca="1" si="113"/>
        <v>#NAME?</v>
      </c>
      <c r="AP192" s="2" t="e">
        <f ca="1"/>
        <v>#NAME?</v>
      </c>
      <c r="AQ192" s="2" t="e">
        <f t="shared" ca="1" si="114"/>
        <v>#NAME?</v>
      </c>
      <c r="AR192" s="2" t="e">
        <f ca="1"/>
        <v>#NAME?</v>
      </c>
      <c r="AS192" s="2" t="e">
        <f t="shared" ca="1" si="115"/>
        <v>#NAME?</v>
      </c>
      <c r="AT192" s="2" t="e">
        <f ca="1"/>
        <v>#NAME?</v>
      </c>
      <c r="AU192" s="2" t="e">
        <f t="shared" ca="1" si="116"/>
        <v>#NAME?</v>
      </c>
      <c r="AV192" s="2" t="e">
        <f ca="1"/>
        <v>#NAME?</v>
      </c>
      <c r="AW192" s="2" t="e">
        <f t="shared" ca="1" si="117"/>
        <v>#NAME?</v>
      </c>
      <c r="AX192" s="2" t="e">
        <f ca="1"/>
        <v>#NAME?</v>
      </c>
      <c r="AY192" s="2" t="e">
        <f t="shared" ca="1" si="118"/>
        <v>#NAME?</v>
      </c>
      <c r="AZ192" s="2" t="e">
        <f ca="1"/>
        <v>#NAME?</v>
      </c>
      <c r="BA192" s="2" t="e">
        <f t="shared" ca="1" si="119"/>
        <v>#NAME?</v>
      </c>
      <c r="BB192" s="2" t="e">
        <f ca="1"/>
        <v>#NAME?</v>
      </c>
      <c r="BC192" s="2" t="e">
        <f t="shared" ca="1" si="120"/>
        <v>#NAME?</v>
      </c>
      <c r="BD192" s="2" t="e">
        <f ca="1"/>
        <v>#NAME?</v>
      </c>
      <c r="BE192" s="2" t="e">
        <f t="shared" ca="1" si="121"/>
        <v>#NAME?</v>
      </c>
      <c r="BF192" s="2" t="e">
        <f ca="1"/>
        <v>#NAME?</v>
      </c>
      <c r="BG192" s="2" t="e">
        <f t="shared" ca="1" si="122"/>
        <v>#NAME?</v>
      </c>
      <c r="BH192" s="2" t="e">
        <f ca="1"/>
        <v>#NAME?</v>
      </c>
      <c r="BI192" s="2" t="e">
        <f t="shared" ca="1" si="123"/>
        <v>#NAME?</v>
      </c>
      <c r="BJ192" s="2" t="e">
        <f ca="1"/>
        <v>#NAME?</v>
      </c>
      <c r="BK192" s="2" t="e">
        <f t="shared" ca="1" si="124"/>
        <v>#NAME?</v>
      </c>
      <c r="BL192" s="2" t="e">
        <f ca="1"/>
        <v>#NAME?</v>
      </c>
      <c r="BM192" s="2" t="e">
        <f t="shared" ca="1" si="125"/>
        <v>#NAME?</v>
      </c>
      <c r="BN192" s="2" t="e">
        <f ca="1"/>
        <v>#NAME?</v>
      </c>
      <c r="BO192" s="2" t="e">
        <f t="shared" ca="1" si="126"/>
        <v>#NAME?</v>
      </c>
      <c r="BP192" s="2" t="e">
        <f ca="1"/>
        <v>#NAME?</v>
      </c>
      <c r="BQ192" s="2" t="e">
        <f t="shared" ca="1" si="127"/>
        <v>#NAME?</v>
      </c>
      <c r="BR192" s="2" t="e">
        <f ca="1"/>
        <v>#NAME?</v>
      </c>
      <c r="BS192" s="2" t="e">
        <f t="shared" ca="1" si="128"/>
        <v>#NAME?</v>
      </c>
      <c r="BT192" s="2" t="e">
        <f ca="1"/>
        <v>#NAME?</v>
      </c>
      <c r="BU192" s="2" t="e">
        <f t="shared" ca="1" si="129"/>
        <v>#NAME?</v>
      </c>
      <c r="BV192" s="2" t="e">
        <f ca="1"/>
        <v>#NAME?</v>
      </c>
      <c r="BW192" s="2" t="e">
        <f t="shared" ca="1" si="130"/>
        <v>#NAME?</v>
      </c>
      <c r="BX192" s="2" t="e">
        <f ca="1"/>
        <v>#NAME?</v>
      </c>
      <c r="BY192" s="2" t="e">
        <f t="shared" ca="1" si="131"/>
        <v>#NAME?</v>
      </c>
      <c r="BZ192" s="2" t="e">
        <f ca="1"/>
        <v>#NAME?</v>
      </c>
      <c r="CA192" s="2" t="e">
        <f t="shared" ca="1" si="132"/>
        <v>#NAME?</v>
      </c>
      <c r="CB192" s="2" t="e">
        <f ca="1"/>
        <v>#NAME?</v>
      </c>
      <c r="CC192" s="2" t="e">
        <f t="shared" ca="1" si="133"/>
        <v>#NAME?</v>
      </c>
      <c r="CD192" s="2" t="e">
        <f ca="1"/>
        <v>#NAME?</v>
      </c>
      <c r="CE192" s="2" t="e">
        <f t="shared" ca="1" si="134"/>
        <v>#NAME?</v>
      </c>
      <c r="CF192" s="2" t="e">
        <f ca="1"/>
        <v>#NAME?</v>
      </c>
      <c r="CG192" s="2" t="e">
        <f t="shared" ca="1" si="135"/>
        <v>#NAME?</v>
      </c>
      <c r="CH192" s="2" t="e">
        <f ca="1"/>
        <v>#NAME?</v>
      </c>
      <c r="CI192" s="2" t="e">
        <f t="shared" ca="1" si="136"/>
        <v>#NAME?</v>
      </c>
      <c r="CJ192" s="2" t="e">
        <f ca="1"/>
        <v>#NAME?</v>
      </c>
      <c r="CK192" s="2" t="e">
        <f t="shared" ca="1" si="137"/>
        <v>#NAME?</v>
      </c>
      <c r="CL192" s="2" t="e">
        <f ca="1"/>
        <v>#NAME?</v>
      </c>
      <c r="CM192" s="2" t="e">
        <f t="shared" ca="1" si="138"/>
        <v>#NAME?</v>
      </c>
      <c r="CN192" s="2" t="e">
        <f ca="1"/>
        <v>#NAME?</v>
      </c>
      <c r="CO192" s="2" t="e">
        <f t="shared" ca="1" si="139"/>
        <v>#NAME?</v>
      </c>
      <c r="CP192" s="2" t="e">
        <f ca="1"/>
        <v>#NAME?</v>
      </c>
      <c r="CQ192" s="2" t="e">
        <f t="shared" ca="1" si="140"/>
        <v>#NAME?</v>
      </c>
    </row>
    <row r="193" spans="1:95">
      <c r="A193" s="7" t="e">
        <f ca="1"/>
        <v>#NAME?</v>
      </c>
      <c r="B193" s="2" t="e">
        <f ca="1"/>
        <v>#NAME?</v>
      </c>
      <c r="C193" s="2" t="e">
        <f t="shared" ca="1" si="94"/>
        <v>#NAME?</v>
      </c>
      <c r="D193" s="2" t="e">
        <f ca="1"/>
        <v>#NAME?</v>
      </c>
      <c r="E193" s="2" t="e">
        <f t="shared" ca="1" si="95"/>
        <v>#NAME?</v>
      </c>
      <c r="F193" s="2" t="e">
        <f ca="1"/>
        <v>#NAME?</v>
      </c>
      <c r="G193" s="2" t="e">
        <f t="shared" ca="1" si="96"/>
        <v>#NAME?</v>
      </c>
      <c r="H193" s="2" t="e">
        <f ca="1"/>
        <v>#NAME?</v>
      </c>
      <c r="I193" s="2" t="e">
        <f t="shared" ca="1" si="97"/>
        <v>#NAME?</v>
      </c>
      <c r="J193" s="2" t="e">
        <f ca="1"/>
        <v>#NAME?</v>
      </c>
      <c r="K193" s="2" t="e">
        <f t="shared" ca="1" si="98"/>
        <v>#NAME?</v>
      </c>
      <c r="L193" s="2" t="e">
        <f ca="1"/>
        <v>#NAME?</v>
      </c>
      <c r="M193" s="2" t="e">
        <f t="shared" ca="1" si="99"/>
        <v>#NAME?</v>
      </c>
      <c r="N193" s="2" t="e">
        <f ca="1"/>
        <v>#NAME?</v>
      </c>
      <c r="O193" s="2" t="e">
        <f t="shared" ca="1" si="100"/>
        <v>#NAME?</v>
      </c>
      <c r="P193" s="2" t="e">
        <f ca="1"/>
        <v>#NAME?</v>
      </c>
      <c r="Q193" s="2" t="e">
        <f t="shared" ca="1" si="101"/>
        <v>#NAME?</v>
      </c>
      <c r="R193" s="2" t="e">
        <f ca="1"/>
        <v>#NAME?</v>
      </c>
      <c r="S193" s="2" t="e">
        <f t="shared" ca="1" si="102"/>
        <v>#NAME?</v>
      </c>
      <c r="T193" s="2" t="e">
        <f ca="1"/>
        <v>#NAME?</v>
      </c>
      <c r="U193" s="2" t="e">
        <f t="shared" ca="1" si="103"/>
        <v>#NAME?</v>
      </c>
      <c r="V193" s="2" t="e">
        <f ca="1"/>
        <v>#NAME?</v>
      </c>
      <c r="W193" s="2" t="e">
        <f t="shared" ca="1" si="104"/>
        <v>#NAME?</v>
      </c>
      <c r="X193" s="2" t="e">
        <f ca="1"/>
        <v>#NAME?</v>
      </c>
      <c r="Y193" s="2" t="e">
        <f t="shared" ca="1" si="105"/>
        <v>#NAME?</v>
      </c>
      <c r="Z193" s="2" t="e">
        <f ca="1"/>
        <v>#NAME?</v>
      </c>
      <c r="AA193" s="2" t="e">
        <f t="shared" ca="1" si="106"/>
        <v>#NAME?</v>
      </c>
      <c r="AB193" s="2" t="e">
        <f ca="1"/>
        <v>#NAME?</v>
      </c>
      <c r="AC193" s="2" t="e">
        <f t="shared" ca="1" si="107"/>
        <v>#NAME?</v>
      </c>
      <c r="AD193" s="2" t="e">
        <f ca="1"/>
        <v>#NAME?</v>
      </c>
      <c r="AE193" s="2" t="e">
        <f t="shared" ca="1" si="108"/>
        <v>#NAME?</v>
      </c>
      <c r="AF193" s="2" t="e">
        <f ca="1"/>
        <v>#NAME?</v>
      </c>
      <c r="AG193" s="2" t="e">
        <f t="shared" ca="1" si="109"/>
        <v>#NAME?</v>
      </c>
      <c r="AH193" s="2" t="e">
        <f ca="1"/>
        <v>#NAME?</v>
      </c>
      <c r="AI193" s="2" t="e">
        <f t="shared" ca="1" si="110"/>
        <v>#NAME?</v>
      </c>
      <c r="AJ193" s="2" t="e">
        <f ca="1"/>
        <v>#NAME?</v>
      </c>
      <c r="AK193" s="2" t="e">
        <f t="shared" ca="1" si="111"/>
        <v>#NAME?</v>
      </c>
      <c r="AL193" s="2" t="e">
        <f ca="1"/>
        <v>#NAME?</v>
      </c>
      <c r="AM193" s="2" t="e">
        <f t="shared" ca="1" si="112"/>
        <v>#NAME?</v>
      </c>
      <c r="AN193" s="2" t="e">
        <f ca="1"/>
        <v>#NAME?</v>
      </c>
      <c r="AO193" s="2" t="e">
        <f t="shared" ca="1" si="113"/>
        <v>#NAME?</v>
      </c>
      <c r="AP193" s="2" t="e">
        <f ca="1"/>
        <v>#NAME?</v>
      </c>
      <c r="AQ193" s="2" t="e">
        <f t="shared" ca="1" si="114"/>
        <v>#NAME?</v>
      </c>
      <c r="AR193" s="2" t="e">
        <f ca="1"/>
        <v>#NAME?</v>
      </c>
      <c r="AS193" s="2" t="e">
        <f t="shared" ca="1" si="115"/>
        <v>#NAME?</v>
      </c>
      <c r="AT193" s="2" t="e">
        <f ca="1"/>
        <v>#NAME?</v>
      </c>
      <c r="AU193" s="2" t="e">
        <f t="shared" ca="1" si="116"/>
        <v>#NAME?</v>
      </c>
      <c r="AV193" s="2" t="e">
        <f ca="1"/>
        <v>#NAME?</v>
      </c>
      <c r="AW193" s="2" t="e">
        <f t="shared" ca="1" si="117"/>
        <v>#NAME?</v>
      </c>
      <c r="AX193" s="2" t="e">
        <f ca="1"/>
        <v>#NAME?</v>
      </c>
      <c r="AY193" s="2" t="e">
        <f t="shared" ca="1" si="118"/>
        <v>#NAME?</v>
      </c>
      <c r="AZ193" s="2" t="e">
        <f ca="1"/>
        <v>#NAME?</v>
      </c>
      <c r="BA193" s="2" t="e">
        <f t="shared" ca="1" si="119"/>
        <v>#NAME?</v>
      </c>
      <c r="BB193" s="2" t="e">
        <f ca="1"/>
        <v>#NAME?</v>
      </c>
      <c r="BC193" s="2" t="e">
        <f t="shared" ca="1" si="120"/>
        <v>#NAME?</v>
      </c>
      <c r="BD193" s="2" t="e">
        <f ca="1"/>
        <v>#NAME?</v>
      </c>
      <c r="BE193" s="2" t="e">
        <f t="shared" ca="1" si="121"/>
        <v>#NAME?</v>
      </c>
      <c r="BF193" s="2" t="e">
        <f ca="1"/>
        <v>#NAME?</v>
      </c>
      <c r="BG193" s="2" t="e">
        <f t="shared" ca="1" si="122"/>
        <v>#NAME?</v>
      </c>
      <c r="BH193" s="2" t="e">
        <f ca="1"/>
        <v>#NAME?</v>
      </c>
      <c r="BI193" s="2" t="e">
        <f t="shared" ca="1" si="123"/>
        <v>#NAME?</v>
      </c>
      <c r="BJ193" s="2" t="e">
        <f ca="1"/>
        <v>#NAME?</v>
      </c>
      <c r="BK193" s="2" t="e">
        <f t="shared" ca="1" si="124"/>
        <v>#NAME?</v>
      </c>
      <c r="BL193" s="2" t="e">
        <f ca="1"/>
        <v>#NAME?</v>
      </c>
      <c r="BM193" s="2" t="e">
        <f t="shared" ca="1" si="125"/>
        <v>#NAME?</v>
      </c>
      <c r="BN193" s="2" t="e">
        <f ca="1"/>
        <v>#NAME?</v>
      </c>
      <c r="BO193" s="2" t="e">
        <f t="shared" ca="1" si="126"/>
        <v>#NAME?</v>
      </c>
      <c r="BP193" s="2" t="e">
        <f ca="1"/>
        <v>#NAME?</v>
      </c>
      <c r="BQ193" s="2" t="e">
        <f t="shared" ca="1" si="127"/>
        <v>#NAME?</v>
      </c>
      <c r="BR193" s="2" t="e">
        <f ca="1"/>
        <v>#NAME?</v>
      </c>
      <c r="BS193" s="2" t="e">
        <f t="shared" ca="1" si="128"/>
        <v>#NAME?</v>
      </c>
      <c r="BT193" s="2" t="e">
        <f ca="1"/>
        <v>#NAME?</v>
      </c>
      <c r="BU193" s="2" t="e">
        <f t="shared" ca="1" si="129"/>
        <v>#NAME?</v>
      </c>
      <c r="BV193" s="2" t="e">
        <f ca="1"/>
        <v>#NAME?</v>
      </c>
      <c r="BW193" s="2" t="e">
        <f t="shared" ca="1" si="130"/>
        <v>#NAME?</v>
      </c>
      <c r="BX193" s="2" t="e">
        <f ca="1"/>
        <v>#NAME?</v>
      </c>
      <c r="BY193" s="2" t="e">
        <f t="shared" ca="1" si="131"/>
        <v>#NAME?</v>
      </c>
      <c r="BZ193" s="2" t="e">
        <f ca="1"/>
        <v>#NAME?</v>
      </c>
      <c r="CA193" s="2" t="e">
        <f t="shared" ca="1" si="132"/>
        <v>#NAME?</v>
      </c>
      <c r="CB193" s="2" t="e">
        <f ca="1"/>
        <v>#NAME?</v>
      </c>
      <c r="CC193" s="2" t="e">
        <f t="shared" ca="1" si="133"/>
        <v>#NAME?</v>
      </c>
      <c r="CD193" s="2" t="e">
        <f ca="1"/>
        <v>#NAME?</v>
      </c>
      <c r="CE193" s="2" t="e">
        <f t="shared" ca="1" si="134"/>
        <v>#NAME?</v>
      </c>
      <c r="CF193" s="2" t="e">
        <f ca="1"/>
        <v>#NAME?</v>
      </c>
      <c r="CG193" s="2" t="e">
        <f t="shared" ca="1" si="135"/>
        <v>#NAME?</v>
      </c>
      <c r="CH193" s="2" t="e">
        <f ca="1"/>
        <v>#NAME?</v>
      </c>
      <c r="CI193" s="2" t="e">
        <f t="shared" ca="1" si="136"/>
        <v>#NAME?</v>
      </c>
      <c r="CJ193" s="2" t="e">
        <f ca="1"/>
        <v>#NAME?</v>
      </c>
      <c r="CK193" s="2" t="e">
        <f t="shared" ca="1" si="137"/>
        <v>#NAME?</v>
      </c>
      <c r="CL193" s="2" t="e">
        <f ca="1"/>
        <v>#NAME?</v>
      </c>
      <c r="CM193" s="2" t="e">
        <f t="shared" ca="1" si="138"/>
        <v>#NAME?</v>
      </c>
      <c r="CN193" s="2" t="e">
        <f ca="1"/>
        <v>#NAME?</v>
      </c>
      <c r="CO193" s="2" t="e">
        <f t="shared" ca="1" si="139"/>
        <v>#NAME?</v>
      </c>
      <c r="CP193" s="2" t="e">
        <f ca="1"/>
        <v>#NAME?</v>
      </c>
      <c r="CQ193" s="2" t="e">
        <f t="shared" ca="1" si="140"/>
        <v>#NAME?</v>
      </c>
    </row>
    <row r="194" spans="1:95">
      <c r="A194" s="7" t="e">
        <f ca="1"/>
        <v>#NAME?</v>
      </c>
      <c r="B194" s="2" t="e">
        <f ca="1"/>
        <v>#NAME?</v>
      </c>
      <c r="C194" s="2" t="e">
        <f t="shared" ca="1" si="94"/>
        <v>#NAME?</v>
      </c>
      <c r="D194" s="2" t="e">
        <f ca="1"/>
        <v>#NAME?</v>
      </c>
      <c r="E194" s="2" t="e">
        <f t="shared" ca="1" si="95"/>
        <v>#NAME?</v>
      </c>
      <c r="F194" s="2" t="e">
        <f ca="1"/>
        <v>#NAME?</v>
      </c>
      <c r="G194" s="2" t="e">
        <f t="shared" ca="1" si="96"/>
        <v>#NAME?</v>
      </c>
      <c r="H194" s="2" t="e">
        <f ca="1"/>
        <v>#NAME?</v>
      </c>
      <c r="I194" s="2" t="e">
        <f t="shared" ca="1" si="97"/>
        <v>#NAME?</v>
      </c>
      <c r="J194" s="2" t="e">
        <f ca="1"/>
        <v>#NAME?</v>
      </c>
      <c r="K194" s="2" t="e">
        <f t="shared" ca="1" si="98"/>
        <v>#NAME?</v>
      </c>
      <c r="L194" s="2" t="e">
        <f ca="1"/>
        <v>#NAME?</v>
      </c>
      <c r="M194" s="2" t="e">
        <f t="shared" ca="1" si="99"/>
        <v>#NAME?</v>
      </c>
      <c r="N194" s="2" t="e">
        <f ca="1"/>
        <v>#NAME?</v>
      </c>
      <c r="O194" s="2" t="e">
        <f t="shared" ca="1" si="100"/>
        <v>#NAME?</v>
      </c>
      <c r="P194" s="2" t="e">
        <f ca="1"/>
        <v>#NAME?</v>
      </c>
      <c r="Q194" s="2" t="e">
        <f t="shared" ca="1" si="101"/>
        <v>#NAME?</v>
      </c>
      <c r="R194" s="2" t="e">
        <f ca="1"/>
        <v>#NAME?</v>
      </c>
      <c r="S194" s="2" t="e">
        <f t="shared" ca="1" si="102"/>
        <v>#NAME?</v>
      </c>
      <c r="T194" s="2" t="e">
        <f ca="1"/>
        <v>#NAME?</v>
      </c>
      <c r="U194" s="2" t="e">
        <f t="shared" ca="1" si="103"/>
        <v>#NAME?</v>
      </c>
      <c r="V194" s="2" t="e">
        <f ca="1"/>
        <v>#NAME?</v>
      </c>
      <c r="W194" s="2" t="e">
        <f t="shared" ca="1" si="104"/>
        <v>#NAME?</v>
      </c>
      <c r="X194" s="2" t="e">
        <f ca="1"/>
        <v>#NAME?</v>
      </c>
      <c r="Y194" s="2" t="e">
        <f t="shared" ca="1" si="105"/>
        <v>#NAME?</v>
      </c>
      <c r="Z194" s="2" t="e">
        <f ca="1"/>
        <v>#NAME?</v>
      </c>
      <c r="AA194" s="2" t="e">
        <f t="shared" ca="1" si="106"/>
        <v>#NAME?</v>
      </c>
      <c r="AB194" s="2" t="e">
        <f ca="1"/>
        <v>#NAME?</v>
      </c>
      <c r="AC194" s="2" t="e">
        <f t="shared" ca="1" si="107"/>
        <v>#NAME?</v>
      </c>
      <c r="AD194" s="2" t="e">
        <f ca="1"/>
        <v>#NAME?</v>
      </c>
      <c r="AE194" s="2" t="e">
        <f t="shared" ca="1" si="108"/>
        <v>#NAME?</v>
      </c>
      <c r="AF194" s="2" t="e">
        <f ca="1"/>
        <v>#NAME?</v>
      </c>
      <c r="AG194" s="2" t="e">
        <f t="shared" ca="1" si="109"/>
        <v>#NAME?</v>
      </c>
      <c r="AH194" s="2" t="e">
        <f ca="1"/>
        <v>#NAME?</v>
      </c>
      <c r="AI194" s="2" t="e">
        <f t="shared" ca="1" si="110"/>
        <v>#NAME?</v>
      </c>
      <c r="AJ194" s="2" t="e">
        <f ca="1"/>
        <v>#NAME?</v>
      </c>
      <c r="AK194" s="2" t="e">
        <f t="shared" ca="1" si="111"/>
        <v>#NAME?</v>
      </c>
      <c r="AL194" s="2" t="e">
        <f ca="1"/>
        <v>#NAME?</v>
      </c>
      <c r="AM194" s="2" t="e">
        <f t="shared" ca="1" si="112"/>
        <v>#NAME?</v>
      </c>
      <c r="AN194" s="2" t="e">
        <f ca="1"/>
        <v>#NAME?</v>
      </c>
      <c r="AO194" s="2" t="e">
        <f t="shared" ca="1" si="113"/>
        <v>#NAME?</v>
      </c>
      <c r="AP194" s="2" t="e">
        <f ca="1"/>
        <v>#NAME?</v>
      </c>
      <c r="AQ194" s="2" t="e">
        <f t="shared" ca="1" si="114"/>
        <v>#NAME?</v>
      </c>
      <c r="AR194" s="2" t="e">
        <f ca="1"/>
        <v>#NAME?</v>
      </c>
      <c r="AS194" s="2" t="e">
        <f t="shared" ca="1" si="115"/>
        <v>#NAME?</v>
      </c>
      <c r="AT194" s="2" t="e">
        <f ca="1"/>
        <v>#NAME?</v>
      </c>
      <c r="AU194" s="2" t="e">
        <f t="shared" ca="1" si="116"/>
        <v>#NAME?</v>
      </c>
      <c r="AV194" s="2" t="e">
        <f ca="1"/>
        <v>#NAME?</v>
      </c>
      <c r="AW194" s="2" t="e">
        <f t="shared" ca="1" si="117"/>
        <v>#NAME?</v>
      </c>
      <c r="AX194" s="2" t="e">
        <f ca="1"/>
        <v>#NAME?</v>
      </c>
      <c r="AY194" s="2" t="e">
        <f t="shared" ca="1" si="118"/>
        <v>#NAME?</v>
      </c>
      <c r="AZ194" s="2" t="e">
        <f ca="1"/>
        <v>#NAME?</v>
      </c>
      <c r="BA194" s="2" t="e">
        <f t="shared" ca="1" si="119"/>
        <v>#NAME?</v>
      </c>
      <c r="BB194" s="2" t="e">
        <f ca="1"/>
        <v>#NAME?</v>
      </c>
      <c r="BC194" s="2" t="e">
        <f t="shared" ca="1" si="120"/>
        <v>#NAME?</v>
      </c>
      <c r="BD194" s="2" t="e">
        <f ca="1"/>
        <v>#NAME?</v>
      </c>
      <c r="BE194" s="2" t="e">
        <f t="shared" ca="1" si="121"/>
        <v>#NAME?</v>
      </c>
      <c r="BF194" s="2" t="e">
        <f ca="1"/>
        <v>#NAME?</v>
      </c>
      <c r="BG194" s="2" t="e">
        <f t="shared" ca="1" si="122"/>
        <v>#NAME?</v>
      </c>
      <c r="BH194" s="2" t="e">
        <f ca="1"/>
        <v>#NAME?</v>
      </c>
      <c r="BI194" s="2" t="e">
        <f t="shared" ca="1" si="123"/>
        <v>#NAME?</v>
      </c>
      <c r="BJ194" s="2" t="e">
        <f ca="1"/>
        <v>#NAME?</v>
      </c>
      <c r="BK194" s="2" t="e">
        <f t="shared" ca="1" si="124"/>
        <v>#NAME?</v>
      </c>
      <c r="BL194" s="2" t="e">
        <f ca="1"/>
        <v>#NAME?</v>
      </c>
      <c r="BM194" s="2" t="e">
        <f t="shared" ca="1" si="125"/>
        <v>#NAME?</v>
      </c>
      <c r="BN194" s="2" t="e">
        <f ca="1"/>
        <v>#NAME?</v>
      </c>
      <c r="BO194" s="2" t="e">
        <f t="shared" ca="1" si="126"/>
        <v>#NAME?</v>
      </c>
      <c r="BP194" s="2" t="e">
        <f ca="1"/>
        <v>#NAME?</v>
      </c>
      <c r="BQ194" s="2" t="e">
        <f t="shared" ca="1" si="127"/>
        <v>#NAME?</v>
      </c>
      <c r="BR194" s="2" t="e">
        <f ca="1"/>
        <v>#NAME?</v>
      </c>
      <c r="BS194" s="2" t="e">
        <f t="shared" ca="1" si="128"/>
        <v>#NAME?</v>
      </c>
      <c r="BT194" s="2" t="e">
        <f ca="1"/>
        <v>#NAME?</v>
      </c>
      <c r="BU194" s="2" t="e">
        <f t="shared" ca="1" si="129"/>
        <v>#NAME?</v>
      </c>
      <c r="BV194" s="2" t="e">
        <f ca="1"/>
        <v>#NAME?</v>
      </c>
      <c r="BW194" s="2" t="e">
        <f t="shared" ca="1" si="130"/>
        <v>#NAME?</v>
      </c>
      <c r="BX194" s="2" t="e">
        <f ca="1"/>
        <v>#NAME?</v>
      </c>
      <c r="BY194" s="2" t="e">
        <f t="shared" ca="1" si="131"/>
        <v>#NAME?</v>
      </c>
      <c r="BZ194" s="2" t="e">
        <f ca="1"/>
        <v>#NAME?</v>
      </c>
      <c r="CA194" s="2" t="e">
        <f t="shared" ca="1" si="132"/>
        <v>#NAME?</v>
      </c>
      <c r="CB194" s="2" t="e">
        <f ca="1"/>
        <v>#NAME?</v>
      </c>
      <c r="CC194" s="2" t="e">
        <f t="shared" ca="1" si="133"/>
        <v>#NAME?</v>
      </c>
      <c r="CD194" s="2" t="e">
        <f ca="1"/>
        <v>#NAME?</v>
      </c>
      <c r="CE194" s="2" t="e">
        <f t="shared" ca="1" si="134"/>
        <v>#NAME?</v>
      </c>
      <c r="CF194" s="2" t="e">
        <f ca="1"/>
        <v>#NAME?</v>
      </c>
      <c r="CG194" s="2" t="e">
        <f t="shared" ca="1" si="135"/>
        <v>#NAME?</v>
      </c>
      <c r="CH194" s="2" t="e">
        <f ca="1"/>
        <v>#NAME?</v>
      </c>
      <c r="CI194" s="2" t="e">
        <f t="shared" ca="1" si="136"/>
        <v>#NAME?</v>
      </c>
      <c r="CJ194" s="2" t="e">
        <f ca="1"/>
        <v>#NAME?</v>
      </c>
      <c r="CK194" s="2" t="e">
        <f t="shared" ca="1" si="137"/>
        <v>#NAME?</v>
      </c>
      <c r="CL194" s="2" t="e">
        <f ca="1"/>
        <v>#NAME?</v>
      </c>
      <c r="CM194" s="2" t="e">
        <f t="shared" ca="1" si="138"/>
        <v>#NAME?</v>
      </c>
      <c r="CN194" s="2" t="e">
        <f ca="1"/>
        <v>#NAME?</v>
      </c>
      <c r="CO194" s="2" t="e">
        <f t="shared" ca="1" si="139"/>
        <v>#NAME?</v>
      </c>
      <c r="CP194" s="2" t="e">
        <f ca="1"/>
        <v>#NAME?</v>
      </c>
      <c r="CQ194" s="2" t="e">
        <f t="shared" ca="1" si="140"/>
        <v>#NAME?</v>
      </c>
    </row>
    <row r="195" spans="1:95">
      <c r="A195" s="7" t="e">
        <f ca="1"/>
        <v>#NAME?</v>
      </c>
      <c r="B195" s="2" t="e">
        <f ca="1"/>
        <v>#NAME?</v>
      </c>
      <c r="C195" s="2" t="e">
        <f t="shared" ca="1" si="94"/>
        <v>#NAME?</v>
      </c>
      <c r="D195" s="2" t="e">
        <f ca="1"/>
        <v>#NAME?</v>
      </c>
      <c r="E195" s="2" t="e">
        <f t="shared" ca="1" si="95"/>
        <v>#NAME?</v>
      </c>
      <c r="F195" s="2" t="e">
        <f ca="1"/>
        <v>#NAME?</v>
      </c>
      <c r="G195" s="2" t="e">
        <f t="shared" ca="1" si="96"/>
        <v>#NAME?</v>
      </c>
      <c r="H195" s="2" t="e">
        <f ca="1"/>
        <v>#NAME?</v>
      </c>
      <c r="I195" s="2" t="e">
        <f t="shared" ca="1" si="97"/>
        <v>#NAME?</v>
      </c>
      <c r="J195" s="2" t="e">
        <f ca="1"/>
        <v>#NAME?</v>
      </c>
      <c r="K195" s="2" t="e">
        <f t="shared" ca="1" si="98"/>
        <v>#NAME?</v>
      </c>
      <c r="L195" s="2" t="e">
        <f ca="1"/>
        <v>#NAME?</v>
      </c>
      <c r="M195" s="2" t="e">
        <f t="shared" ca="1" si="99"/>
        <v>#NAME?</v>
      </c>
      <c r="N195" s="2" t="e">
        <f ca="1"/>
        <v>#NAME?</v>
      </c>
      <c r="O195" s="2" t="e">
        <f t="shared" ca="1" si="100"/>
        <v>#NAME?</v>
      </c>
      <c r="P195" s="2" t="e">
        <f ca="1"/>
        <v>#NAME?</v>
      </c>
      <c r="Q195" s="2" t="e">
        <f t="shared" ca="1" si="101"/>
        <v>#NAME?</v>
      </c>
      <c r="R195" s="2" t="e">
        <f ca="1"/>
        <v>#NAME?</v>
      </c>
      <c r="S195" s="2" t="e">
        <f t="shared" ca="1" si="102"/>
        <v>#NAME?</v>
      </c>
      <c r="T195" s="2" t="e">
        <f ca="1"/>
        <v>#NAME?</v>
      </c>
      <c r="U195" s="2" t="e">
        <f t="shared" ca="1" si="103"/>
        <v>#NAME?</v>
      </c>
      <c r="V195" s="2" t="e">
        <f ca="1"/>
        <v>#NAME?</v>
      </c>
      <c r="W195" s="2" t="e">
        <f t="shared" ca="1" si="104"/>
        <v>#NAME?</v>
      </c>
      <c r="X195" s="2" t="e">
        <f ca="1"/>
        <v>#NAME?</v>
      </c>
      <c r="Y195" s="2" t="e">
        <f t="shared" ca="1" si="105"/>
        <v>#NAME?</v>
      </c>
      <c r="Z195" s="2" t="e">
        <f ca="1"/>
        <v>#NAME?</v>
      </c>
      <c r="AA195" s="2" t="e">
        <f t="shared" ca="1" si="106"/>
        <v>#NAME?</v>
      </c>
      <c r="AB195" s="2" t="e">
        <f ca="1"/>
        <v>#NAME?</v>
      </c>
      <c r="AC195" s="2" t="e">
        <f t="shared" ca="1" si="107"/>
        <v>#NAME?</v>
      </c>
      <c r="AD195" s="2" t="e">
        <f ca="1"/>
        <v>#NAME?</v>
      </c>
      <c r="AE195" s="2" t="e">
        <f t="shared" ca="1" si="108"/>
        <v>#NAME?</v>
      </c>
      <c r="AF195" s="2" t="e">
        <f ca="1"/>
        <v>#NAME?</v>
      </c>
      <c r="AG195" s="2" t="e">
        <f t="shared" ca="1" si="109"/>
        <v>#NAME?</v>
      </c>
      <c r="AH195" s="2" t="e">
        <f ca="1"/>
        <v>#NAME?</v>
      </c>
      <c r="AI195" s="2" t="e">
        <f t="shared" ca="1" si="110"/>
        <v>#NAME?</v>
      </c>
      <c r="AJ195" s="2" t="e">
        <f ca="1"/>
        <v>#NAME?</v>
      </c>
      <c r="AK195" s="2" t="e">
        <f t="shared" ca="1" si="111"/>
        <v>#NAME?</v>
      </c>
      <c r="AL195" s="2" t="e">
        <f ca="1"/>
        <v>#NAME?</v>
      </c>
      <c r="AM195" s="2" t="e">
        <f t="shared" ca="1" si="112"/>
        <v>#NAME?</v>
      </c>
      <c r="AN195" s="2" t="e">
        <f ca="1"/>
        <v>#NAME?</v>
      </c>
      <c r="AO195" s="2" t="e">
        <f t="shared" ca="1" si="113"/>
        <v>#NAME?</v>
      </c>
      <c r="AP195" s="2" t="e">
        <f ca="1"/>
        <v>#NAME?</v>
      </c>
      <c r="AQ195" s="2" t="e">
        <f t="shared" ca="1" si="114"/>
        <v>#NAME?</v>
      </c>
      <c r="AR195" s="2" t="e">
        <f ca="1"/>
        <v>#NAME?</v>
      </c>
      <c r="AS195" s="2" t="e">
        <f t="shared" ca="1" si="115"/>
        <v>#NAME?</v>
      </c>
      <c r="AT195" s="2" t="e">
        <f ca="1"/>
        <v>#NAME?</v>
      </c>
      <c r="AU195" s="2" t="e">
        <f t="shared" ca="1" si="116"/>
        <v>#NAME?</v>
      </c>
      <c r="AV195" s="2" t="e">
        <f ca="1"/>
        <v>#NAME?</v>
      </c>
      <c r="AW195" s="2" t="e">
        <f t="shared" ca="1" si="117"/>
        <v>#NAME?</v>
      </c>
      <c r="AX195" s="2" t="e">
        <f ca="1"/>
        <v>#NAME?</v>
      </c>
      <c r="AY195" s="2" t="e">
        <f t="shared" ca="1" si="118"/>
        <v>#NAME?</v>
      </c>
      <c r="AZ195" s="2" t="e">
        <f ca="1"/>
        <v>#NAME?</v>
      </c>
      <c r="BA195" s="2" t="e">
        <f t="shared" ca="1" si="119"/>
        <v>#NAME?</v>
      </c>
      <c r="BB195" s="2" t="e">
        <f ca="1"/>
        <v>#NAME?</v>
      </c>
      <c r="BC195" s="2" t="e">
        <f t="shared" ca="1" si="120"/>
        <v>#NAME?</v>
      </c>
      <c r="BD195" s="2" t="e">
        <f ca="1"/>
        <v>#NAME?</v>
      </c>
      <c r="BE195" s="2" t="e">
        <f t="shared" ca="1" si="121"/>
        <v>#NAME?</v>
      </c>
      <c r="BF195" s="2" t="e">
        <f ca="1"/>
        <v>#NAME?</v>
      </c>
      <c r="BG195" s="2" t="e">
        <f t="shared" ca="1" si="122"/>
        <v>#NAME?</v>
      </c>
      <c r="BH195" s="2" t="e">
        <f ca="1"/>
        <v>#NAME?</v>
      </c>
      <c r="BI195" s="2" t="e">
        <f t="shared" ca="1" si="123"/>
        <v>#NAME?</v>
      </c>
      <c r="BJ195" s="2" t="e">
        <f ca="1"/>
        <v>#NAME?</v>
      </c>
      <c r="BK195" s="2" t="e">
        <f t="shared" ca="1" si="124"/>
        <v>#NAME?</v>
      </c>
      <c r="BL195" s="2" t="e">
        <f ca="1"/>
        <v>#NAME?</v>
      </c>
      <c r="BM195" s="2" t="e">
        <f t="shared" ca="1" si="125"/>
        <v>#NAME?</v>
      </c>
      <c r="BN195" s="2" t="e">
        <f ca="1"/>
        <v>#NAME?</v>
      </c>
      <c r="BO195" s="2" t="e">
        <f t="shared" ca="1" si="126"/>
        <v>#NAME?</v>
      </c>
      <c r="BP195" s="2" t="e">
        <f ca="1"/>
        <v>#NAME?</v>
      </c>
      <c r="BQ195" s="2" t="e">
        <f t="shared" ca="1" si="127"/>
        <v>#NAME?</v>
      </c>
      <c r="BR195" s="2" t="e">
        <f ca="1"/>
        <v>#NAME?</v>
      </c>
      <c r="BS195" s="2" t="e">
        <f t="shared" ca="1" si="128"/>
        <v>#NAME?</v>
      </c>
      <c r="BT195" s="2" t="e">
        <f ca="1"/>
        <v>#NAME?</v>
      </c>
      <c r="BU195" s="2" t="e">
        <f t="shared" ca="1" si="129"/>
        <v>#NAME?</v>
      </c>
      <c r="BV195" s="2" t="e">
        <f ca="1"/>
        <v>#NAME?</v>
      </c>
      <c r="BW195" s="2" t="e">
        <f t="shared" ca="1" si="130"/>
        <v>#NAME?</v>
      </c>
      <c r="BX195" s="2" t="e">
        <f ca="1"/>
        <v>#NAME?</v>
      </c>
      <c r="BY195" s="2" t="e">
        <f t="shared" ca="1" si="131"/>
        <v>#NAME?</v>
      </c>
      <c r="BZ195" s="2" t="e">
        <f ca="1"/>
        <v>#NAME?</v>
      </c>
      <c r="CA195" s="2" t="e">
        <f t="shared" ca="1" si="132"/>
        <v>#NAME?</v>
      </c>
      <c r="CB195" s="2" t="e">
        <f ca="1"/>
        <v>#NAME?</v>
      </c>
      <c r="CC195" s="2" t="e">
        <f t="shared" ca="1" si="133"/>
        <v>#NAME?</v>
      </c>
      <c r="CD195" s="2" t="e">
        <f ca="1"/>
        <v>#NAME?</v>
      </c>
      <c r="CE195" s="2" t="e">
        <f t="shared" ca="1" si="134"/>
        <v>#NAME?</v>
      </c>
      <c r="CF195" s="2" t="e">
        <f ca="1"/>
        <v>#NAME?</v>
      </c>
      <c r="CG195" s="2" t="e">
        <f t="shared" ca="1" si="135"/>
        <v>#NAME?</v>
      </c>
      <c r="CH195" s="2" t="e">
        <f ca="1"/>
        <v>#NAME?</v>
      </c>
      <c r="CI195" s="2" t="e">
        <f t="shared" ca="1" si="136"/>
        <v>#NAME?</v>
      </c>
      <c r="CJ195" s="2" t="e">
        <f ca="1"/>
        <v>#NAME?</v>
      </c>
      <c r="CK195" s="2" t="e">
        <f t="shared" ca="1" si="137"/>
        <v>#NAME?</v>
      </c>
      <c r="CL195" s="2" t="e">
        <f ca="1"/>
        <v>#NAME?</v>
      </c>
      <c r="CM195" s="2" t="e">
        <f t="shared" ca="1" si="138"/>
        <v>#NAME?</v>
      </c>
      <c r="CN195" s="2" t="e">
        <f ca="1"/>
        <v>#NAME?</v>
      </c>
      <c r="CO195" s="2" t="e">
        <f t="shared" ca="1" si="139"/>
        <v>#NAME?</v>
      </c>
      <c r="CP195" s="2" t="e">
        <f ca="1"/>
        <v>#NAME?</v>
      </c>
      <c r="CQ195" s="2" t="e">
        <f t="shared" ca="1" si="140"/>
        <v>#NAME?</v>
      </c>
    </row>
    <row r="196" spans="1:95">
      <c r="A196" s="7" t="e">
        <f ca="1"/>
        <v>#NAME?</v>
      </c>
      <c r="B196" s="2" t="e">
        <f ca="1"/>
        <v>#NAME?</v>
      </c>
      <c r="C196" s="2" t="e">
        <f t="shared" ca="1" si="94"/>
        <v>#NAME?</v>
      </c>
      <c r="D196" s="2" t="e">
        <f ca="1"/>
        <v>#NAME?</v>
      </c>
      <c r="E196" s="2" t="e">
        <f t="shared" ca="1" si="95"/>
        <v>#NAME?</v>
      </c>
      <c r="F196" s="2" t="e">
        <f ca="1"/>
        <v>#NAME?</v>
      </c>
      <c r="G196" s="2" t="e">
        <f t="shared" ca="1" si="96"/>
        <v>#NAME?</v>
      </c>
      <c r="H196" s="2" t="e">
        <f ca="1"/>
        <v>#NAME?</v>
      </c>
      <c r="I196" s="2" t="e">
        <f t="shared" ca="1" si="97"/>
        <v>#NAME?</v>
      </c>
      <c r="J196" s="2" t="e">
        <f ca="1"/>
        <v>#NAME?</v>
      </c>
      <c r="K196" s="2" t="e">
        <f t="shared" ca="1" si="98"/>
        <v>#NAME?</v>
      </c>
      <c r="L196" s="2" t="e">
        <f ca="1"/>
        <v>#NAME?</v>
      </c>
      <c r="M196" s="2" t="e">
        <f t="shared" ca="1" si="99"/>
        <v>#NAME?</v>
      </c>
      <c r="N196" s="2" t="e">
        <f ca="1"/>
        <v>#NAME?</v>
      </c>
      <c r="O196" s="2" t="e">
        <f t="shared" ca="1" si="100"/>
        <v>#NAME?</v>
      </c>
      <c r="P196" s="2" t="e">
        <f ca="1"/>
        <v>#NAME?</v>
      </c>
      <c r="Q196" s="2" t="e">
        <f t="shared" ca="1" si="101"/>
        <v>#NAME?</v>
      </c>
      <c r="R196" s="2" t="e">
        <f ca="1"/>
        <v>#NAME?</v>
      </c>
      <c r="S196" s="2" t="e">
        <f t="shared" ca="1" si="102"/>
        <v>#NAME?</v>
      </c>
      <c r="T196" s="2" t="e">
        <f ca="1"/>
        <v>#NAME?</v>
      </c>
      <c r="U196" s="2" t="e">
        <f t="shared" ca="1" si="103"/>
        <v>#NAME?</v>
      </c>
      <c r="V196" s="2" t="e">
        <f ca="1"/>
        <v>#NAME?</v>
      </c>
      <c r="W196" s="2" t="e">
        <f t="shared" ca="1" si="104"/>
        <v>#NAME?</v>
      </c>
      <c r="X196" s="2" t="e">
        <f ca="1"/>
        <v>#NAME?</v>
      </c>
      <c r="Y196" s="2" t="e">
        <f t="shared" ca="1" si="105"/>
        <v>#NAME?</v>
      </c>
      <c r="Z196" s="2" t="e">
        <f ca="1"/>
        <v>#NAME?</v>
      </c>
      <c r="AA196" s="2" t="e">
        <f t="shared" ca="1" si="106"/>
        <v>#NAME?</v>
      </c>
      <c r="AB196" s="2" t="e">
        <f ca="1"/>
        <v>#NAME?</v>
      </c>
      <c r="AC196" s="2" t="e">
        <f t="shared" ca="1" si="107"/>
        <v>#NAME?</v>
      </c>
      <c r="AD196" s="2" t="e">
        <f ca="1"/>
        <v>#NAME?</v>
      </c>
      <c r="AE196" s="2" t="e">
        <f t="shared" ca="1" si="108"/>
        <v>#NAME?</v>
      </c>
      <c r="AF196" s="2" t="e">
        <f ca="1"/>
        <v>#NAME?</v>
      </c>
      <c r="AG196" s="2" t="e">
        <f t="shared" ca="1" si="109"/>
        <v>#NAME?</v>
      </c>
      <c r="AH196" s="2" t="e">
        <f ca="1"/>
        <v>#NAME?</v>
      </c>
      <c r="AI196" s="2" t="e">
        <f t="shared" ca="1" si="110"/>
        <v>#NAME?</v>
      </c>
      <c r="AJ196" s="2" t="e">
        <f ca="1"/>
        <v>#NAME?</v>
      </c>
      <c r="AK196" s="2" t="e">
        <f t="shared" ca="1" si="111"/>
        <v>#NAME?</v>
      </c>
      <c r="AL196" s="2" t="e">
        <f ca="1"/>
        <v>#NAME?</v>
      </c>
      <c r="AM196" s="2" t="e">
        <f t="shared" ca="1" si="112"/>
        <v>#NAME?</v>
      </c>
      <c r="AN196" s="2" t="e">
        <f ca="1"/>
        <v>#NAME?</v>
      </c>
      <c r="AO196" s="2" t="e">
        <f t="shared" ca="1" si="113"/>
        <v>#NAME?</v>
      </c>
      <c r="AP196" s="2" t="e">
        <f ca="1"/>
        <v>#NAME?</v>
      </c>
      <c r="AQ196" s="2" t="e">
        <f t="shared" ca="1" si="114"/>
        <v>#NAME?</v>
      </c>
      <c r="AR196" s="2" t="e">
        <f ca="1"/>
        <v>#NAME?</v>
      </c>
      <c r="AS196" s="2" t="e">
        <f t="shared" ca="1" si="115"/>
        <v>#NAME?</v>
      </c>
      <c r="AT196" s="2" t="e">
        <f ca="1"/>
        <v>#NAME?</v>
      </c>
      <c r="AU196" s="2" t="e">
        <f t="shared" ca="1" si="116"/>
        <v>#NAME?</v>
      </c>
      <c r="AV196" s="2" t="e">
        <f ca="1"/>
        <v>#NAME?</v>
      </c>
      <c r="AW196" s="2" t="e">
        <f t="shared" ca="1" si="117"/>
        <v>#NAME?</v>
      </c>
      <c r="AX196" s="2" t="e">
        <f ca="1"/>
        <v>#NAME?</v>
      </c>
      <c r="AY196" s="2" t="e">
        <f t="shared" ca="1" si="118"/>
        <v>#NAME?</v>
      </c>
      <c r="AZ196" s="2" t="e">
        <f ca="1"/>
        <v>#NAME?</v>
      </c>
      <c r="BA196" s="2" t="e">
        <f t="shared" ca="1" si="119"/>
        <v>#NAME?</v>
      </c>
      <c r="BB196" s="2" t="e">
        <f ca="1"/>
        <v>#NAME?</v>
      </c>
      <c r="BC196" s="2" t="e">
        <f t="shared" ca="1" si="120"/>
        <v>#NAME?</v>
      </c>
      <c r="BD196" s="2" t="e">
        <f ca="1"/>
        <v>#NAME?</v>
      </c>
      <c r="BE196" s="2" t="e">
        <f t="shared" ca="1" si="121"/>
        <v>#NAME?</v>
      </c>
      <c r="BF196" s="2" t="e">
        <f ca="1"/>
        <v>#NAME?</v>
      </c>
      <c r="BG196" s="2" t="e">
        <f t="shared" ca="1" si="122"/>
        <v>#NAME?</v>
      </c>
      <c r="BH196" s="2" t="e">
        <f ca="1"/>
        <v>#NAME?</v>
      </c>
      <c r="BI196" s="2" t="e">
        <f t="shared" ca="1" si="123"/>
        <v>#NAME?</v>
      </c>
      <c r="BJ196" s="2" t="e">
        <f ca="1"/>
        <v>#NAME?</v>
      </c>
      <c r="BK196" s="2" t="e">
        <f t="shared" ca="1" si="124"/>
        <v>#NAME?</v>
      </c>
      <c r="BL196" s="2" t="e">
        <f ca="1"/>
        <v>#NAME?</v>
      </c>
      <c r="BM196" s="2" t="e">
        <f t="shared" ca="1" si="125"/>
        <v>#NAME?</v>
      </c>
      <c r="BN196" s="2" t="e">
        <f ca="1"/>
        <v>#NAME?</v>
      </c>
      <c r="BO196" s="2" t="e">
        <f t="shared" ca="1" si="126"/>
        <v>#NAME?</v>
      </c>
      <c r="BP196" s="2" t="e">
        <f ca="1"/>
        <v>#NAME?</v>
      </c>
      <c r="BQ196" s="2" t="e">
        <f t="shared" ca="1" si="127"/>
        <v>#NAME?</v>
      </c>
      <c r="BR196" s="2" t="e">
        <f ca="1"/>
        <v>#NAME?</v>
      </c>
      <c r="BS196" s="2" t="e">
        <f t="shared" ca="1" si="128"/>
        <v>#NAME?</v>
      </c>
      <c r="BT196" s="2" t="e">
        <f ca="1"/>
        <v>#NAME?</v>
      </c>
      <c r="BU196" s="2" t="e">
        <f t="shared" ca="1" si="129"/>
        <v>#NAME?</v>
      </c>
      <c r="BV196" s="2" t="e">
        <f ca="1"/>
        <v>#NAME?</v>
      </c>
      <c r="BW196" s="2" t="e">
        <f t="shared" ca="1" si="130"/>
        <v>#NAME?</v>
      </c>
      <c r="BX196" s="2" t="e">
        <f ca="1"/>
        <v>#NAME?</v>
      </c>
      <c r="BY196" s="2" t="e">
        <f t="shared" ca="1" si="131"/>
        <v>#NAME?</v>
      </c>
      <c r="BZ196" s="2" t="e">
        <f ca="1"/>
        <v>#NAME?</v>
      </c>
      <c r="CA196" s="2" t="e">
        <f t="shared" ca="1" si="132"/>
        <v>#NAME?</v>
      </c>
      <c r="CB196" s="2" t="e">
        <f ca="1"/>
        <v>#NAME?</v>
      </c>
      <c r="CC196" s="2" t="e">
        <f t="shared" ca="1" si="133"/>
        <v>#NAME?</v>
      </c>
      <c r="CD196" s="2" t="e">
        <f ca="1"/>
        <v>#NAME?</v>
      </c>
      <c r="CE196" s="2" t="e">
        <f t="shared" ca="1" si="134"/>
        <v>#NAME?</v>
      </c>
      <c r="CF196" s="2" t="e">
        <f ca="1"/>
        <v>#NAME?</v>
      </c>
      <c r="CG196" s="2" t="e">
        <f t="shared" ca="1" si="135"/>
        <v>#NAME?</v>
      </c>
      <c r="CH196" s="2" t="e">
        <f ca="1"/>
        <v>#NAME?</v>
      </c>
      <c r="CI196" s="2" t="e">
        <f t="shared" ca="1" si="136"/>
        <v>#NAME?</v>
      </c>
      <c r="CJ196" s="2" t="e">
        <f ca="1"/>
        <v>#NAME?</v>
      </c>
      <c r="CK196" s="2" t="e">
        <f t="shared" ca="1" si="137"/>
        <v>#NAME?</v>
      </c>
      <c r="CL196" s="2" t="e">
        <f ca="1"/>
        <v>#NAME?</v>
      </c>
      <c r="CM196" s="2" t="e">
        <f t="shared" ca="1" si="138"/>
        <v>#NAME?</v>
      </c>
      <c r="CN196" s="2" t="e">
        <f ca="1"/>
        <v>#NAME?</v>
      </c>
      <c r="CO196" s="2" t="e">
        <f t="shared" ca="1" si="139"/>
        <v>#NAME?</v>
      </c>
      <c r="CP196" s="2" t="e">
        <f ca="1"/>
        <v>#NAME?</v>
      </c>
      <c r="CQ196" s="2" t="e">
        <f t="shared" ca="1" si="140"/>
        <v>#NAME?</v>
      </c>
    </row>
    <row r="197" spans="1:95">
      <c r="A197" s="7" t="e">
        <f ca="1"/>
        <v>#NAME?</v>
      </c>
      <c r="B197" s="2" t="e">
        <f ca="1"/>
        <v>#NAME?</v>
      </c>
      <c r="C197" s="2" t="e">
        <f t="shared" ref="C197:C251" ca="1" si="141">(B197-B196)/B196</f>
        <v>#NAME?</v>
      </c>
      <c r="D197" s="2" t="e">
        <f ca="1"/>
        <v>#NAME?</v>
      </c>
      <c r="E197" s="2" t="e">
        <f t="shared" ref="E197:E251" ca="1" si="142">(D197-D196)/D196</f>
        <v>#NAME?</v>
      </c>
      <c r="F197" s="2" t="e">
        <f ca="1"/>
        <v>#NAME?</v>
      </c>
      <c r="G197" s="2" t="e">
        <f t="shared" ref="G197:G251" ca="1" si="143">(F197-F196)/F196</f>
        <v>#NAME?</v>
      </c>
      <c r="H197" s="2" t="e">
        <f ca="1"/>
        <v>#NAME?</v>
      </c>
      <c r="I197" s="2" t="e">
        <f t="shared" ref="I197:I251" ca="1" si="144">(H197-H196)/H196</f>
        <v>#NAME?</v>
      </c>
      <c r="J197" s="2" t="e">
        <f ca="1"/>
        <v>#NAME?</v>
      </c>
      <c r="K197" s="2" t="e">
        <f t="shared" ref="K197:K251" ca="1" si="145">(J197-J196)/J196</f>
        <v>#NAME?</v>
      </c>
      <c r="L197" s="2" t="e">
        <f ca="1"/>
        <v>#NAME?</v>
      </c>
      <c r="M197" s="2" t="e">
        <f t="shared" ref="M197:M251" ca="1" si="146">(L197-L196)/L196</f>
        <v>#NAME?</v>
      </c>
      <c r="N197" s="2" t="e">
        <f ca="1"/>
        <v>#NAME?</v>
      </c>
      <c r="O197" s="2" t="e">
        <f t="shared" ref="O197:O251" ca="1" si="147">(N197-N196)/N196</f>
        <v>#NAME?</v>
      </c>
      <c r="P197" s="2" t="e">
        <f ca="1"/>
        <v>#NAME?</v>
      </c>
      <c r="Q197" s="2" t="e">
        <f t="shared" ref="Q197:Q251" ca="1" si="148">(P197-P196)/P196</f>
        <v>#NAME?</v>
      </c>
      <c r="R197" s="2" t="e">
        <f ca="1"/>
        <v>#NAME?</v>
      </c>
      <c r="S197" s="2" t="e">
        <f t="shared" ref="S197:S251" ca="1" si="149">(R197-R196)/R196</f>
        <v>#NAME?</v>
      </c>
      <c r="T197" s="2" t="e">
        <f ca="1"/>
        <v>#NAME?</v>
      </c>
      <c r="U197" s="2" t="e">
        <f t="shared" ref="U197:U251" ca="1" si="150">(T197-T196)/T196</f>
        <v>#NAME?</v>
      </c>
      <c r="V197" s="2" t="e">
        <f ca="1"/>
        <v>#NAME?</v>
      </c>
      <c r="W197" s="2" t="e">
        <f t="shared" ref="W197:W251" ca="1" si="151">(V197-V196)/V196</f>
        <v>#NAME?</v>
      </c>
      <c r="X197" s="2" t="e">
        <f ca="1"/>
        <v>#NAME?</v>
      </c>
      <c r="Y197" s="2" t="e">
        <f t="shared" ref="Y197:Y251" ca="1" si="152">(X197-X196)/X196</f>
        <v>#NAME?</v>
      </c>
      <c r="Z197" s="2" t="e">
        <f ca="1"/>
        <v>#NAME?</v>
      </c>
      <c r="AA197" s="2" t="e">
        <f t="shared" ref="AA197:AA251" ca="1" si="153">(Z197-Z196)/Z196</f>
        <v>#NAME?</v>
      </c>
      <c r="AB197" s="2" t="e">
        <f ca="1"/>
        <v>#NAME?</v>
      </c>
      <c r="AC197" s="2" t="e">
        <f t="shared" ref="AC197:AC251" ca="1" si="154">(AB197-AB196)/AB196</f>
        <v>#NAME?</v>
      </c>
      <c r="AD197" s="2" t="e">
        <f ca="1"/>
        <v>#NAME?</v>
      </c>
      <c r="AE197" s="2" t="e">
        <f t="shared" ref="AE197:AE251" ca="1" si="155">(AD197-AD196)/AD196</f>
        <v>#NAME?</v>
      </c>
      <c r="AF197" s="2" t="e">
        <f ca="1"/>
        <v>#NAME?</v>
      </c>
      <c r="AG197" s="2" t="e">
        <f t="shared" ref="AG197:AG251" ca="1" si="156">(AF197-AF196)/AF196</f>
        <v>#NAME?</v>
      </c>
      <c r="AH197" s="2" t="e">
        <f ca="1"/>
        <v>#NAME?</v>
      </c>
      <c r="AI197" s="2" t="e">
        <f t="shared" ref="AI197:AI251" ca="1" si="157">(AH197-AH196)/AH196</f>
        <v>#NAME?</v>
      </c>
      <c r="AJ197" s="2" t="e">
        <f ca="1"/>
        <v>#NAME?</v>
      </c>
      <c r="AK197" s="2" t="e">
        <f t="shared" ref="AK197:AK251" ca="1" si="158">(AJ197-AJ196)/AJ196</f>
        <v>#NAME?</v>
      </c>
      <c r="AL197" s="2" t="e">
        <f ca="1"/>
        <v>#NAME?</v>
      </c>
      <c r="AM197" s="2" t="e">
        <f t="shared" ref="AM197:AM251" ca="1" si="159">(AL197-AL196)/AL196</f>
        <v>#NAME?</v>
      </c>
      <c r="AN197" s="2" t="e">
        <f ca="1"/>
        <v>#NAME?</v>
      </c>
      <c r="AO197" s="2" t="e">
        <f t="shared" ref="AO197:AO251" ca="1" si="160">(AN197-AN196)/AN196</f>
        <v>#NAME?</v>
      </c>
      <c r="AP197" s="2" t="e">
        <f ca="1"/>
        <v>#NAME?</v>
      </c>
      <c r="AQ197" s="2" t="e">
        <f t="shared" ref="AQ197:AQ251" ca="1" si="161">(AP197-AP196)/AP196</f>
        <v>#NAME?</v>
      </c>
      <c r="AR197" s="2" t="e">
        <f ca="1"/>
        <v>#NAME?</v>
      </c>
      <c r="AS197" s="2" t="e">
        <f t="shared" ref="AS197:AS251" ca="1" si="162">(AR197-AR196)/AR196</f>
        <v>#NAME?</v>
      </c>
      <c r="AT197" s="2" t="e">
        <f ca="1"/>
        <v>#NAME?</v>
      </c>
      <c r="AU197" s="2" t="e">
        <f t="shared" ref="AU197:AU251" ca="1" si="163">(AT197-AT196)/AT196</f>
        <v>#NAME?</v>
      </c>
      <c r="AV197" s="2" t="e">
        <f ca="1"/>
        <v>#NAME?</v>
      </c>
      <c r="AW197" s="2" t="e">
        <f t="shared" ref="AW197:AW251" ca="1" si="164">(AV197-AV196)/AV196</f>
        <v>#NAME?</v>
      </c>
      <c r="AX197" s="2" t="e">
        <f ca="1"/>
        <v>#NAME?</v>
      </c>
      <c r="AY197" s="2" t="e">
        <f t="shared" ref="AY197:AY251" ca="1" si="165">(AX197-AX196)/AX196</f>
        <v>#NAME?</v>
      </c>
      <c r="AZ197" s="2" t="e">
        <f ca="1"/>
        <v>#NAME?</v>
      </c>
      <c r="BA197" s="2" t="e">
        <f t="shared" ref="BA197:BA251" ca="1" si="166">(AZ197-AZ196)/AZ196</f>
        <v>#NAME?</v>
      </c>
      <c r="BB197" s="2" t="e">
        <f ca="1"/>
        <v>#NAME?</v>
      </c>
      <c r="BC197" s="2" t="e">
        <f t="shared" ref="BC197:BC251" ca="1" si="167">(BB197-BB196)/BB196</f>
        <v>#NAME?</v>
      </c>
      <c r="BD197" s="2" t="e">
        <f ca="1"/>
        <v>#NAME?</v>
      </c>
      <c r="BE197" s="2" t="e">
        <f t="shared" ref="BE197:BE251" ca="1" si="168">(BD197-BD196)/BD196</f>
        <v>#NAME?</v>
      </c>
      <c r="BF197" s="2" t="e">
        <f ca="1"/>
        <v>#NAME?</v>
      </c>
      <c r="BG197" s="2" t="e">
        <f t="shared" ref="BG197:BG251" ca="1" si="169">(BF197-BF196)/BF196</f>
        <v>#NAME?</v>
      </c>
      <c r="BH197" s="2" t="e">
        <f ca="1"/>
        <v>#NAME?</v>
      </c>
      <c r="BI197" s="2" t="e">
        <f t="shared" ref="BI197:BI251" ca="1" si="170">(BH197-BH196)/BH196</f>
        <v>#NAME?</v>
      </c>
      <c r="BJ197" s="2" t="e">
        <f ca="1"/>
        <v>#NAME?</v>
      </c>
      <c r="BK197" s="2" t="e">
        <f t="shared" ref="BK197:BK251" ca="1" si="171">(BJ197-BJ196)/BJ196</f>
        <v>#NAME?</v>
      </c>
      <c r="BL197" s="2" t="e">
        <f ca="1"/>
        <v>#NAME?</v>
      </c>
      <c r="BM197" s="2" t="e">
        <f t="shared" ref="BM197:BM251" ca="1" si="172">(BL197-BL196)/BL196</f>
        <v>#NAME?</v>
      </c>
      <c r="BN197" s="2" t="e">
        <f ca="1"/>
        <v>#NAME?</v>
      </c>
      <c r="BO197" s="2" t="e">
        <f t="shared" ref="BO197:BO251" ca="1" si="173">(BN197-BN196)/BN196</f>
        <v>#NAME?</v>
      </c>
      <c r="BP197" s="2" t="e">
        <f ca="1"/>
        <v>#NAME?</v>
      </c>
      <c r="BQ197" s="2" t="e">
        <f t="shared" ref="BQ197:BQ251" ca="1" si="174">(BP197-BP196)/BP196</f>
        <v>#NAME?</v>
      </c>
      <c r="BR197" s="2" t="e">
        <f ca="1"/>
        <v>#NAME?</v>
      </c>
      <c r="BS197" s="2" t="e">
        <f t="shared" ref="BS197:BS251" ca="1" si="175">(BR197-BR196)/BR196</f>
        <v>#NAME?</v>
      </c>
      <c r="BT197" s="2" t="e">
        <f ca="1"/>
        <v>#NAME?</v>
      </c>
      <c r="BU197" s="2" t="e">
        <f t="shared" ref="BU197:BU251" ca="1" si="176">(BT197-BT196)/BT196</f>
        <v>#NAME?</v>
      </c>
      <c r="BV197" s="2" t="e">
        <f ca="1"/>
        <v>#NAME?</v>
      </c>
      <c r="BW197" s="2" t="e">
        <f t="shared" ref="BW197:BW251" ca="1" si="177">(BV197-BV196)/BV196</f>
        <v>#NAME?</v>
      </c>
      <c r="BX197" s="2" t="e">
        <f ca="1"/>
        <v>#NAME?</v>
      </c>
      <c r="BY197" s="2" t="e">
        <f t="shared" ref="BY197:BY251" ca="1" si="178">(BX197-BX196)/BX196</f>
        <v>#NAME?</v>
      </c>
      <c r="BZ197" s="2" t="e">
        <f ca="1"/>
        <v>#NAME?</v>
      </c>
      <c r="CA197" s="2" t="e">
        <f t="shared" ref="CA197:CA251" ca="1" si="179">(BZ197-BZ196)/BZ196</f>
        <v>#NAME?</v>
      </c>
      <c r="CB197" s="2" t="e">
        <f ca="1"/>
        <v>#NAME?</v>
      </c>
      <c r="CC197" s="2" t="e">
        <f t="shared" ref="CC197:CC251" ca="1" si="180">(CB197-CB196)/CB196</f>
        <v>#NAME?</v>
      </c>
      <c r="CD197" s="2" t="e">
        <f ca="1"/>
        <v>#NAME?</v>
      </c>
      <c r="CE197" s="2" t="e">
        <f t="shared" ref="CE197:CE251" ca="1" si="181">(CD197-CD196)/CD196</f>
        <v>#NAME?</v>
      </c>
      <c r="CF197" s="2" t="e">
        <f ca="1"/>
        <v>#NAME?</v>
      </c>
      <c r="CG197" s="2" t="e">
        <f t="shared" ref="CG197:CG251" ca="1" si="182">(CF197-CF196)/CF196</f>
        <v>#NAME?</v>
      </c>
      <c r="CH197" s="2" t="e">
        <f ca="1"/>
        <v>#NAME?</v>
      </c>
      <c r="CI197" s="2" t="e">
        <f t="shared" ref="CI197:CI251" ca="1" si="183">(CH197-CH196)/CH196</f>
        <v>#NAME?</v>
      </c>
      <c r="CJ197" s="2" t="e">
        <f ca="1"/>
        <v>#NAME?</v>
      </c>
      <c r="CK197" s="2" t="e">
        <f t="shared" ref="CK197:CK251" ca="1" si="184">(CJ197-CJ196)/CJ196</f>
        <v>#NAME?</v>
      </c>
      <c r="CL197" s="2" t="e">
        <f ca="1"/>
        <v>#NAME?</v>
      </c>
      <c r="CM197" s="2" t="e">
        <f t="shared" ref="CM197:CM251" ca="1" si="185">(CL197-CL196)/CL196</f>
        <v>#NAME?</v>
      </c>
      <c r="CN197" s="2" t="e">
        <f ca="1"/>
        <v>#NAME?</v>
      </c>
      <c r="CO197" s="2" t="e">
        <f t="shared" ref="CO197:CO251" ca="1" si="186">(CN197-CN196)/CN196</f>
        <v>#NAME?</v>
      </c>
      <c r="CP197" s="2" t="e">
        <f ca="1"/>
        <v>#NAME?</v>
      </c>
      <c r="CQ197" s="2" t="e">
        <f t="shared" ref="CQ197:CQ251" ca="1" si="187">(CP197-CP196)/CP196</f>
        <v>#NAME?</v>
      </c>
    </row>
    <row r="198" spans="1:95">
      <c r="A198" s="7" t="e">
        <f ca="1"/>
        <v>#NAME?</v>
      </c>
      <c r="B198" s="2" t="e">
        <f ca="1"/>
        <v>#NAME?</v>
      </c>
      <c r="C198" s="2" t="e">
        <f t="shared" ca="1" si="141"/>
        <v>#NAME?</v>
      </c>
      <c r="D198" s="2" t="e">
        <f ca="1"/>
        <v>#NAME?</v>
      </c>
      <c r="E198" s="2" t="e">
        <f t="shared" ca="1" si="142"/>
        <v>#NAME?</v>
      </c>
      <c r="F198" s="2" t="e">
        <f ca="1"/>
        <v>#NAME?</v>
      </c>
      <c r="G198" s="2" t="e">
        <f t="shared" ca="1" si="143"/>
        <v>#NAME?</v>
      </c>
      <c r="H198" s="2" t="e">
        <f ca="1"/>
        <v>#NAME?</v>
      </c>
      <c r="I198" s="2" t="e">
        <f t="shared" ca="1" si="144"/>
        <v>#NAME?</v>
      </c>
      <c r="J198" s="2" t="e">
        <f ca="1"/>
        <v>#NAME?</v>
      </c>
      <c r="K198" s="2" t="e">
        <f t="shared" ca="1" si="145"/>
        <v>#NAME?</v>
      </c>
      <c r="L198" s="2" t="e">
        <f ca="1"/>
        <v>#NAME?</v>
      </c>
      <c r="M198" s="2" t="e">
        <f t="shared" ca="1" si="146"/>
        <v>#NAME?</v>
      </c>
      <c r="N198" s="2" t="e">
        <f ca="1"/>
        <v>#NAME?</v>
      </c>
      <c r="O198" s="2" t="e">
        <f t="shared" ca="1" si="147"/>
        <v>#NAME?</v>
      </c>
      <c r="P198" s="2" t="e">
        <f ca="1"/>
        <v>#NAME?</v>
      </c>
      <c r="Q198" s="2" t="e">
        <f t="shared" ca="1" si="148"/>
        <v>#NAME?</v>
      </c>
      <c r="R198" s="2" t="e">
        <f ca="1"/>
        <v>#NAME?</v>
      </c>
      <c r="S198" s="2" t="e">
        <f t="shared" ca="1" si="149"/>
        <v>#NAME?</v>
      </c>
      <c r="T198" s="2" t="e">
        <f ca="1"/>
        <v>#NAME?</v>
      </c>
      <c r="U198" s="2" t="e">
        <f t="shared" ca="1" si="150"/>
        <v>#NAME?</v>
      </c>
      <c r="V198" s="2" t="e">
        <f ca="1"/>
        <v>#NAME?</v>
      </c>
      <c r="W198" s="2" t="e">
        <f t="shared" ca="1" si="151"/>
        <v>#NAME?</v>
      </c>
      <c r="X198" s="2" t="e">
        <f ca="1"/>
        <v>#NAME?</v>
      </c>
      <c r="Y198" s="2" t="e">
        <f t="shared" ca="1" si="152"/>
        <v>#NAME?</v>
      </c>
      <c r="Z198" s="2" t="e">
        <f ca="1"/>
        <v>#NAME?</v>
      </c>
      <c r="AA198" s="2" t="e">
        <f t="shared" ca="1" si="153"/>
        <v>#NAME?</v>
      </c>
      <c r="AB198" s="2" t="e">
        <f ca="1"/>
        <v>#NAME?</v>
      </c>
      <c r="AC198" s="2" t="e">
        <f t="shared" ca="1" si="154"/>
        <v>#NAME?</v>
      </c>
      <c r="AD198" s="2" t="e">
        <f ca="1"/>
        <v>#NAME?</v>
      </c>
      <c r="AE198" s="2" t="e">
        <f t="shared" ca="1" si="155"/>
        <v>#NAME?</v>
      </c>
      <c r="AF198" s="2" t="e">
        <f ca="1"/>
        <v>#NAME?</v>
      </c>
      <c r="AG198" s="2" t="e">
        <f t="shared" ca="1" si="156"/>
        <v>#NAME?</v>
      </c>
      <c r="AH198" s="2" t="e">
        <f ca="1"/>
        <v>#NAME?</v>
      </c>
      <c r="AI198" s="2" t="e">
        <f t="shared" ca="1" si="157"/>
        <v>#NAME?</v>
      </c>
      <c r="AJ198" s="2" t="e">
        <f ca="1"/>
        <v>#NAME?</v>
      </c>
      <c r="AK198" s="2" t="e">
        <f t="shared" ca="1" si="158"/>
        <v>#NAME?</v>
      </c>
      <c r="AL198" s="2" t="e">
        <f ca="1"/>
        <v>#NAME?</v>
      </c>
      <c r="AM198" s="2" t="e">
        <f t="shared" ca="1" si="159"/>
        <v>#NAME?</v>
      </c>
      <c r="AN198" s="2" t="e">
        <f ca="1"/>
        <v>#NAME?</v>
      </c>
      <c r="AO198" s="2" t="e">
        <f t="shared" ca="1" si="160"/>
        <v>#NAME?</v>
      </c>
      <c r="AP198" s="2" t="e">
        <f ca="1"/>
        <v>#NAME?</v>
      </c>
      <c r="AQ198" s="2" t="e">
        <f t="shared" ca="1" si="161"/>
        <v>#NAME?</v>
      </c>
      <c r="AR198" s="2" t="e">
        <f ca="1"/>
        <v>#NAME?</v>
      </c>
      <c r="AS198" s="2" t="e">
        <f t="shared" ca="1" si="162"/>
        <v>#NAME?</v>
      </c>
      <c r="AT198" s="2" t="e">
        <f ca="1"/>
        <v>#NAME?</v>
      </c>
      <c r="AU198" s="2" t="e">
        <f t="shared" ca="1" si="163"/>
        <v>#NAME?</v>
      </c>
      <c r="AV198" s="2" t="e">
        <f ca="1"/>
        <v>#NAME?</v>
      </c>
      <c r="AW198" s="2" t="e">
        <f t="shared" ca="1" si="164"/>
        <v>#NAME?</v>
      </c>
      <c r="AX198" s="2" t="e">
        <f ca="1"/>
        <v>#NAME?</v>
      </c>
      <c r="AY198" s="2" t="e">
        <f t="shared" ca="1" si="165"/>
        <v>#NAME?</v>
      </c>
      <c r="AZ198" s="2" t="e">
        <f ca="1"/>
        <v>#NAME?</v>
      </c>
      <c r="BA198" s="2" t="e">
        <f t="shared" ca="1" si="166"/>
        <v>#NAME?</v>
      </c>
      <c r="BB198" s="2" t="e">
        <f ca="1"/>
        <v>#NAME?</v>
      </c>
      <c r="BC198" s="2" t="e">
        <f t="shared" ca="1" si="167"/>
        <v>#NAME?</v>
      </c>
      <c r="BD198" s="2" t="e">
        <f ca="1"/>
        <v>#NAME?</v>
      </c>
      <c r="BE198" s="2" t="e">
        <f t="shared" ca="1" si="168"/>
        <v>#NAME?</v>
      </c>
      <c r="BF198" s="2" t="e">
        <f ca="1"/>
        <v>#NAME?</v>
      </c>
      <c r="BG198" s="2" t="e">
        <f t="shared" ca="1" si="169"/>
        <v>#NAME?</v>
      </c>
      <c r="BH198" s="2" t="e">
        <f ca="1"/>
        <v>#NAME?</v>
      </c>
      <c r="BI198" s="2" t="e">
        <f t="shared" ca="1" si="170"/>
        <v>#NAME?</v>
      </c>
      <c r="BJ198" s="2" t="e">
        <f ca="1"/>
        <v>#NAME?</v>
      </c>
      <c r="BK198" s="2" t="e">
        <f t="shared" ca="1" si="171"/>
        <v>#NAME?</v>
      </c>
      <c r="BL198" s="2" t="e">
        <f ca="1"/>
        <v>#NAME?</v>
      </c>
      <c r="BM198" s="2" t="e">
        <f t="shared" ca="1" si="172"/>
        <v>#NAME?</v>
      </c>
      <c r="BN198" s="2" t="e">
        <f ca="1"/>
        <v>#NAME?</v>
      </c>
      <c r="BO198" s="2" t="e">
        <f t="shared" ca="1" si="173"/>
        <v>#NAME?</v>
      </c>
      <c r="BP198" s="2" t="e">
        <f ca="1"/>
        <v>#NAME?</v>
      </c>
      <c r="BQ198" s="2" t="e">
        <f t="shared" ca="1" si="174"/>
        <v>#NAME?</v>
      </c>
      <c r="BR198" s="2" t="e">
        <f ca="1"/>
        <v>#NAME?</v>
      </c>
      <c r="BS198" s="2" t="e">
        <f t="shared" ca="1" si="175"/>
        <v>#NAME?</v>
      </c>
      <c r="BT198" s="2" t="e">
        <f ca="1"/>
        <v>#NAME?</v>
      </c>
      <c r="BU198" s="2" t="e">
        <f t="shared" ca="1" si="176"/>
        <v>#NAME?</v>
      </c>
      <c r="BV198" s="2" t="e">
        <f ca="1"/>
        <v>#NAME?</v>
      </c>
      <c r="BW198" s="2" t="e">
        <f t="shared" ca="1" si="177"/>
        <v>#NAME?</v>
      </c>
      <c r="BX198" s="2" t="e">
        <f ca="1"/>
        <v>#NAME?</v>
      </c>
      <c r="BY198" s="2" t="e">
        <f t="shared" ca="1" si="178"/>
        <v>#NAME?</v>
      </c>
      <c r="BZ198" s="2" t="e">
        <f ca="1"/>
        <v>#NAME?</v>
      </c>
      <c r="CA198" s="2" t="e">
        <f t="shared" ca="1" si="179"/>
        <v>#NAME?</v>
      </c>
      <c r="CB198" s="2" t="e">
        <f ca="1"/>
        <v>#NAME?</v>
      </c>
      <c r="CC198" s="2" t="e">
        <f t="shared" ca="1" si="180"/>
        <v>#NAME?</v>
      </c>
      <c r="CD198" s="2" t="e">
        <f ca="1"/>
        <v>#NAME?</v>
      </c>
      <c r="CE198" s="2" t="e">
        <f t="shared" ca="1" si="181"/>
        <v>#NAME?</v>
      </c>
      <c r="CF198" s="2" t="e">
        <f ca="1"/>
        <v>#NAME?</v>
      </c>
      <c r="CG198" s="2" t="e">
        <f t="shared" ca="1" si="182"/>
        <v>#NAME?</v>
      </c>
      <c r="CH198" s="2" t="e">
        <f ca="1"/>
        <v>#NAME?</v>
      </c>
      <c r="CI198" s="2" t="e">
        <f t="shared" ca="1" si="183"/>
        <v>#NAME?</v>
      </c>
      <c r="CJ198" s="2" t="e">
        <f ca="1"/>
        <v>#NAME?</v>
      </c>
      <c r="CK198" s="2" t="e">
        <f t="shared" ca="1" si="184"/>
        <v>#NAME?</v>
      </c>
      <c r="CL198" s="2" t="e">
        <f ca="1"/>
        <v>#NAME?</v>
      </c>
      <c r="CM198" s="2" t="e">
        <f t="shared" ca="1" si="185"/>
        <v>#NAME?</v>
      </c>
      <c r="CN198" s="2" t="e">
        <f ca="1"/>
        <v>#NAME?</v>
      </c>
      <c r="CO198" s="2" t="e">
        <f t="shared" ca="1" si="186"/>
        <v>#NAME?</v>
      </c>
      <c r="CP198" s="2" t="e">
        <f ca="1"/>
        <v>#NAME?</v>
      </c>
      <c r="CQ198" s="2" t="e">
        <f t="shared" ca="1" si="187"/>
        <v>#NAME?</v>
      </c>
    </row>
    <row r="199" spans="1:95">
      <c r="A199" s="7" t="e">
        <f ca="1"/>
        <v>#NAME?</v>
      </c>
      <c r="B199" s="2" t="e">
        <f ca="1"/>
        <v>#NAME?</v>
      </c>
      <c r="C199" s="2" t="e">
        <f t="shared" ca="1" si="141"/>
        <v>#NAME?</v>
      </c>
      <c r="D199" s="2" t="e">
        <f ca="1"/>
        <v>#NAME?</v>
      </c>
      <c r="E199" s="2" t="e">
        <f t="shared" ca="1" si="142"/>
        <v>#NAME?</v>
      </c>
      <c r="F199" s="2" t="e">
        <f ca="1"/>
        <v>#NAME?</v>
      </c>
      <c r="G199" s="2" t="e">
        <f t="shared" ca="1" si="143"/>
        <v>#NAME?</v>
      </c>
      <c r="H199" s="2" t="e">
        <f ca="1"/>
        <v>#NAME?</v>
      </c>
      <c r="I199" s="2" t="e">
        <f t="shared" ca="1" si="144"/>
        <v>#NAME?</v>
      </c>
      <c r="J199" s="2" t="e">
        <f ca="1"/>
        <v>#NAME?</v>
      </c>
      <c r="K199" s="2" t="e">
        <f t="shared" ca="1" si="145"/>
        <v>#NAME?</v>
      </c>
      <c r="L199" s="2" t="e">
        <f ca="1"/>
        <v>#NAME?</v>
      </c>
      <c r="M199" s="2" t="e">
        <f t="shared" ca="1" si="146"/>
        <v>#NAME?</v>
      </c>
      <c r="N199" s="2" t="e">
        <f ca="1"/>
        <v>#NAME?</v>
      </c>
      <c r="O199" s="2" t="e">
        <f t="shared" ca="1" si="147"/>
        <v>#NAME?</v>
      </c>
      <c r="P199" s="2" t="e">
        <f ca="1"/>
        <v>#NAME?</v>
      </c>
      <c r="Q199" s="2" t="e">
        <f t="shared" ca="1" si="148"/>
        <v>#NAME?</v>
      </c>
      <c r="R199" s="2" t="e">
        <f ca="1"/>
        <v>#NAME?</v>
      </c>
      <c r="S199" s="2" t="e">
        <f t="shared" ca="1" si="149"/>
        <v>#NAME?</v>
      </c>
      <c r="T199" s="2" t="e">
        <f ca="1"/>
        <v>#NAME?</v>
      </c>
      <c r="U199" s="2" t="e">
        <f t="shared" ca="1" si="150"/>
        <v>#NAME?</v>
      </c>
      <c r="V199" s="2" t="e">
        <f ca="1"/>
        <v>#NAME?</v>
      </c>
      <c r="W199" s="2" t="e">
        <f t="shared" ca="1" si="151"/>
        <v>#NAME?</v>
      </c>
      <c r="X199" s="2" t="e">
        <f ca="1"/>
        <v>#NAME?</v>
      </c>
      <c r="Y199" s="2" t="e">
        <f t="shared" ca="1" si="152"/>
        <v>#NAME?</v>
      </c>
      <c r="Z199" s="2" t="e">
        <f ca="1"/>
        <v>#NAME?</v>
      </c>
      <c r="AA199" s="2" t="e">
        <f t="shared" ca="1" si="153"/>
        <v>#NAME?</v>
      </c>
      <c r="AB199" s="2" t="e">
        <f ca="1"/>
        <v>#NAME?</v>
      </c>
      <c r="AC199" s="2" t="e">
        <f t="shared" ca="1" si="154"/>
        <v>#NAME?</v>
      </c>
      <c r="AD199" s="2" t="e">
        <f ca="1"/>
        <v>#NAME?</v>
      </c>
      <c r="AE199" s="2" t="e">
        <f t="shared" ca="1" si="155"/>
        <v>#NAME?</v>
      </c>
      <c r="AF199" s="2" t="e">
        <f ca="1"/>
        <v>#NAME?</v>
      </c>
      <c r="AG199" s="2" t="e">
        <f t="shared" ca="1" si="156"/>
        <v>#NAME?</v>
      </c>
      <c r="AH199" s="2" t="e">
        <f ca="1"/>
        <v>#NAME?</v>
      </c>
      <c r="AI199" s="2" t="e">
        <f t="shared" ca="1" si="157"/>
        <v>#NAME?</v>
      </c>
      <c r="AJ199" s="2" t="e">
        <f ca="1"/>
        <v>#NAME?</v>
      </c>
      <c r="AK199" s="2" t="e">
        <f t="shared" ca="1" si="158"/>
        <v>#NAME?</v>
      </c>
      <c r="AL199" s="2" t="e">
        <f ca="1"/>
        <v>#NAME?</v>
      </c>
      <c r="AM199" s="2" t="e">
        <f t="shared" ca="1" si="159"/>
        <v>#NAME?</v>
      </c>
      <c r="AN199" s="2" t="e">
        <f ca="1"/>
        <v>#NAME?</v>
      </c>
      <c r="AO199" s="2" t="e">
        <f t="shared" ca="1" si="160"/>
        <v>#NAME?</v>
      </c>
      <c r="AP199" s="2" t="e">
        <f ca="1"/>
        <v>#NAME?</v>
      </c>
      <c r="AQ199" s="2" t="e">
        <f t="shared" ca="1" si="161"/>
        <v>#NAME?</v>
      </c>
      <c r="AR199" s="2" t="e">
        <f ca="1"/>
        <v>#NAME?</v>
      </c>
      <c r="AS199" s="2" t="e">
        <f t="shared" ca="1" si="162"/>
        <v>#NAME?</v>
      </c>
      <c r="AT199" s="2" t="e">
        <f ca="1"/>
        <v>#NAME?</v>
      </c>
      <c r="AU199" s="2" t="e">
        <f t="shared" ca="1" si="163"/>
        <v>#NAME?</v>
      </c>
      <c r="AV199" s="2" t="e">
        <f ca="1"/>
        <v>#NAME?</v>
      </c>
      <c r="AW199" s="2" t="e">
        <f t="shared" ca="1" si="164"/>
        <v>#NAME?</v>
      </c>
      <c r="AX199" s="2" t="e">
        <f ca="1"/>
        <v>#NAME?</v>
      </c>
      <c r="AY199" s="2" t="e">
        <f t="shared" ca="1" si="165"/>
        <v>#NAME?</v>
      </c>
      <c r="AZ199" s="2" t="e">
        <f ca="1"/>
        <v>#NAME?</v>
      </c>
      <c r="BA199" s="2" t="e">
        <f t="shared" ca="1" si="166"/>
        <v>#NAME?</v>
      </c>
      <c r="BB199" s="2" t="e">
        <f ca="1"/>
        <v>#NAME?</v>
      </c>
      <c r="BC199" s="2" t="e">
        <f t="shared" ca="1" si="167"/>
        <v>#NAME?</v>
      </c>
      <c r="BD199" s="2" t="e">
        <f ca="1"/>
        <v>#NAME?</v>
      </c>
      <c r="BE199" s="2" t="e">
        <f t="shared" ca="1" si="168"/>
        <v>#NAME?</v>
      </c>
      <c r="BF199" s="2" t="e">
        <f ca="1"/>
        <v>#NAME?</v>
      </c>
      <c r="BG199" s="2" t="e">
        <f t="shared" ca="1" si="169"/>
        <v>#NAME?</v>
      </c>
      <c r="BH199" s="2" t="e">
        <f ca="1"/>
        <v>#NAME?</v>
      </c>
      <c r="BI199" s="2" t="e">
        <f t="shared" ca="1" si="170"/>
        <v>#NAME?</v>
      </c>
      <c r="BJ199" s="2" t="e">
        <f ca="1"/>
        <v>#NAME?</v>
      </c>
      <c r="BK199" s="2" t="e">
        <f t="shared" ca="1" si="171"/>
        <v>#NAME?</v>
      </c>
      <c r="BL199" s="2" t="e">
        <f ca="1"/>
        <v>#NAME?</v>
      </c>
      <c r="BM199" s="2" t="e">
        <f t="shared" ca="1" si="172"/>
        <v>#NAME?</v>
      </c>
      <c r="BN199" s="2" t="e">
        <f ca="1"/>
        <v>#NAME?</v>
      </c>
      <c r="BO199" s="2" t="e">
        <f t="shared" ca="1" si="173"/>
        <v>#NAME?</v>
      </c>
      <c r="BP199" s="2" t="e">
        <f ca="1"/>
        <v>#NAME?</v>
      </c>
      <c r="BQ199" s="2" t="e">
        <f t="shared" ca="1" si="174"/>
        <v>#NAME?</v>
      </c>
      <c r="BR199" s="2" t="e">
        <f ca="1"/>
        <v>#NAME?</v>
      </c>
      <c r="BS199" s="2" t="e">
        <f t="shared" ca="1" si="175"/>
        <v>#NAME?</v>
      </c>
      <c r="BT199" s="2" t="e">
        <f ca="1"/>
        <v>#NAME?</v>
      </c>
      <c r="BU199" s="2" t="e">
        <f t="shared" ca="1" si="176"/>
        <v>#NAME?</v>
      </c>
      <c r="BV199" s="2" t="e">
        <f ca="1"/>
        <v>#NAME?</v>
      </c>
      <c r="BW199" s="2" t="e">
        <f t="shared" ca="1" si="177"/>
        <v>#NAME?</v>
      </c>
      <c r="BX199" s="2" t="e">
        <f ca="1"/>
        <v>#NAME?</v>
      </c>
      <c r="BY199" s="2" t="e">
        <f t="shared" ca="1" si="178"/>
        <v>#NAME?</v>
      </c>
      <c r="BZ199" s="2" t="e">
        <f ca="1"/>
        <v>#NAME?</v>
      </c>
      <c r="CA199" s="2" t="e">
        <f t="shared" ca="1" si="179"/>
        <v>#NAME?</v>
      </c>
      <c r="CB199" s="2" t="e">
        <f ca="1"/>
        <v>#NAME?</v>
      </c>
      <c r="CC199" s="2" t="e">
        <f t="shared" ca="1" si="180"/>
        <v>#NAME?</v>
      </c>
      <c r="CD199" s="2" t="e">
        <f ca="1"/>
        <v>#NAME?</v>
      </c>
      <c r="CE199" s="2" t="e">
        <f t="shared" ca="1" si="181"/>
        <v>#NAME?</v>
      </c>
      <c r="CF199" s="2" t="e">
        <f ca="1"/>
        <v>#NAME?</v>
      </c>
      <c r="CG199" s="2" t="e">
        <f t="shared" ca="1" si="182"/>
        <v>#NAME?</v>
      </c>
      <c r="CH199" s="2" t="e">
        <f ca="1"/>
        <v>#NAME?</v>
      </c>
      <c r="CI199" s="2" t="e">
        <f t="shared" ca="1" si="183"/>
        <v>#NAME?</v>
      </c>
      <c r="CJ199" s="2" t="e">
        <f ca="1"/>
        <v>#NAME?</v>
      </c>
      <c r="CK199" s="2" t="e">
        <f t="shared" ca="1" si="184"/>
        <v>#NAME?</v>
      </c>
      <c r="CL199" s="2" t="e">
        <f ca="1"/>
        <v>#NAME?</v>
      </c>
      <c r="CM199" s="2" t="e">
        <f t="shared" ca="1" si="185"/>
        <v>#NAME?</v>
      </c>
      <c r="CN199" s="2" t="e">
        <f ca="1"/>
        <v>#NAME?</v>
      </c>
      <c r="CO199" s="2" t="e">
        <f t="shared" ca="1" si="186"/>
        <v>#NAME?</v>
      </c>
      <c r="CP199" s="2" t="e">
        <f ca="1"/>
        <v>#NAME?</v>
      </c>
      <c r="CQ199" s="2" t="e">
        <f t="shared" ca="1" si="187"/>
        <v>#NAME?</v>
      </c>
    </row>
    <row r="200" spans="1:95">
      <c r="A200" s="7" t="e">
        <f ca="1"/>
        <v>#NAME?</v>
      </c>
      <c r="B200" s="2" t="e">
        <f ca="1"/>
        <v>#NAME?</v>
      </c>
      <c r="C200" s="2" t="e">
        <f t="shared" ca="1" si="141"/>
        <v>#NAME?</v>
      </c>
      <c r="D200" s="2" t="e">
        <f ca="1"/>
        <v>#NAME?</v>
      </c>
      <c r="E200" s="2" t="e">
        <f t="shared" ca="1" si="142"/>
        <v>#NAME?</v>
      </c>
      <c r="F200" s="2" t="e">
        <f ca="1"/>
        <v>#NAME?</v>
      </c>
      <c r="G200" s="2" t="e">
        <f t="shared" ca="1" si="143"/>
        <v>#NAME?</v>
      </c>
      <c r="H200" s="2" t="e">
        <f ca="1"/>
        <v>#NAME?</v>
      </c>
      <c r="I200" s="2" t="e">
        <f t="shared" ca="1" si="144"/>
        <v>#NAME?</v>
      </c>
      <c r="J200" s="2" t="e">
        <f ca="1"/>
        <v>#NAME?</v>
      </c>
      <c r="K200" s="2" t="e">
        <f t="shared" ca="1" si="145"/>
        <v>#NAME?</v>
      </c>
      <c r="L200" s="2" t="e">
        <f ca="1"/>
        <v>#NAME?</v>
      </c>
      <c r="M200" s="2" t="e">
        <f t="shared" ca="1" si="146"/>
        <v>#NAME?</v>
      </c>
      <c r="N200" s="2" t="e">
        <f ca="1"/>
        <v>#NAME?</v>
      </c>
      <c r="O200" s="2" t="e">
        <f t="shared" ca="1" si="147"/>
        <v>#NAME?</v>
      </c>
      <c r="P200" s="2" t="e">
        <f ca="1"/>
        <v>#NAME?</v>
      </c>
      <c r="Q200" s="2" t="e">
        <f t="shared" ca="1" si="148"/>
        <v>#NAME?</v>
      </c>
      <c r="R200" s="2" t="e">
        <f ca="1"/>
        <v>#NAME?</v>
      </c>
      <c r="S200" s="2" t="e">
        <f t="shared" ca="1" si="149"/>
        <v>#NAME?</v>
      </c>
      <c r="T200" s="2" t="e">
        <f ca="1"/>
        <v>#NAME?</v>
      </c>
      <c r="U200" s="2" t="e">
        <f t="shared" ca="1" si="150"/>
        <v>#NAME?</v>
      </c>
      <c r="V200" s="2" t="e">
        <f ca="1"/>
        <v>#NAME?</v>
      </c>
      <c r="W200" s="2" t="e">
        <f t="shared" ca="1" si="151"/>
        <v>#NAME?</v>
      </c>
      <c r="X200" s="2" t="e">
        <f ca="1"/>
        <v>#NAME?</v>
      </c>
      <c r="Y200" s="2" t="e">
        <f t="shared" ca="1" si="152"/>
        <v>#NAME?</v>
      </c>
      <c r="Z200" s="2" t="e">
        <f ca="1"/>
        <v>#NAME?</v>
      </c>
      <c r="AA200" s="2" t="e">
        <f t="shared" ca="1" si="153"/>
        <v>#NAME?</v>
      </c>
      <c r="AB200" s="2" t="e">
        <f ca="1"/>
        <v>#NAME?</v>
      </c>
      <c r="AC200" s="2" t="e">
        <f t="shared" ca="1" si="154"/>
        <v>#NAME?</v>
      </c>
      <c r="AD200" s="2" t="e">
        <f ca="1"/>
        <v>#NAME?</v>
      </c>
      <c r="AE200" s="2" t="e">
        <f t="shared" ca="1" si="155"/>
        <v>#NAME?</v>
      </c>
      <c r="AF200" s="2" t="e">
        <f ca="1"/>
        <v>#NAME?</v>
      </c>
      <c r="AG200" s="2" t="e">
        <f t="shared" ca="1" si="156"/>
        <v>#NAME?</v>
      </c>
      <c r="AH200" s="2" t="e">
        <f ca="1"/>
        <v>#NAME?</v>
      </c>
      <c r="AI200" s="2" t="e">
        <f t="shared" ca="1" si="157"/>
        <v>#NAME?</v>
      </c>
      <c r="AJ200" s="2" t="e">
        <f ca="1"/>
        <v>#NAME?</v>
      </c>
      <c r="AK200" s="2" t="e">
        <f t="shared" ca="1" si="158"/>
        <v>#NAME?</v>
      </c>
      <c r="AL200" s="2" t="e">
        <f ca="1"/>
        <v>#NAME?</v>
      </c>
      <c r="AM200" s="2" t="e">
        <f t="shared" ca="1" si="159"/>
        <v>#NAME?</v>
      </c>
      <c r="AN200" s="2" t="e">
        <f ca="1"/>
        <v>#NAME?</v>
      </c>
      <c r="AO200" s="2" t="e">
        <f t="shared" ca="1" si="160"/>
        <v>#NAME?</v>
      </c>
      <c r="AP200" s="2" t="e">
        <f ca="1"/>
        <v>#NAME?</v>
      </c>
      <c r="AQ200" s="2" t="e">
        <f t="shared" ca="1" si="161"/>
        <v>#NAME?</v>
      </c>
      <c r="AR200" s="2" t="e">
        <f ca="1"/>
        <v>#NAME?</v>
      </c>
      <c r="AS200" s="2" t="e">
        <f t="shared" ca="1" si="162"/>
        <v>#NAME?</v>
      </c>
      <c r="AT200" s="2" t="e">
        <f ca="1"/>
        <v>#NAME?</v>
      </c>
      <c r="AU200" s="2" t="e">
        <f t="shared" ca="1" si="163"/>
        <v>#NAME?</v>
      </c>
      <c r="AV200" s="2" t="e">
        <f ca="1"/>
        <v>#NAME?</v>
      </c>
      <c r="AW200" s="2" t="e">
        <f t="shared" ca="1" si="164"/>
        <v>#NAME?</v>
      </c>
      <c r="AX200" s="2" t="e">
        <f ca="1"/>
        <v>#NAME?</v>
      </c>
      <c r="AY200" s="2" t="e">
        <f t="shared" ca="1" si="165"/>
        <v>#NAME?</v>
      </c>
      <c r="AZ200" s="2" t="e">
        <f ca="1"/>
        <v>#NAME?</v>
      </c>
      <c r="BA200" s="2" t="e">
        <f t="shared" ca="1" si="166"/>
        <v>#NAME?</v>
      </c>
      <c r="BB200" s="2" t="e">
        <f ca="1"/>
        <v>#NAME?</v>
      </c>
      <c r="BC200" s="2" t="e">
        <f t="shared" ca="1" si="167"/>
        <v>#NAME?</v>
      </c>
      <c r="BD200" s="2" t="e">
        <f ca="1"/>
        <v>#NAME?</v>
      </c>
      <c r="BE200" s="2" t="e">
        <f t="shared" ca="1" si="168"/>
        <v>#NAME?</v>
      </c>
      <c r="BF200" s="2" t="e">
        <f ca="1"/>
        <v>#NAME?</v>
      </c>
      <c r="BG200" s="2" t="e">
        <f t="shared" ca="1" si="169"/>
        <v>#NAME?</v>
      </c>
      <c r="BH200" s="2" t="e">
        <f ca="1"/>
        <v>#NAME?</v>
      </c>
      <c r="BI200" s="2" t="e">
        <f t="shared" ca="1" si="170"/>
        <v>#NAME?</v>
      </c>
      <c r="BJ200" s="2" t="e">
        <f ca="1"/>
        <v>#NAME?</v>
      </c>
      <c r="BK200" s="2" t="e">
        <f t="shared" ca="1" si="171"/>
        <v>#NAME?</v>
      </c>
      <c r="BL200" s="2" t="e">
        <f ca="1"/>
        <v>#NAME?</v>
      </c>
      <c r="BM200" s="2" t="e">
        <f t="shared" ca="1" si="172"/>
        <v>#NAME?</v>
      </c>
      <c r="BN200" s="2" t="e">
        <f ca="1"/>
        <v>#NAME?</v>
      </c>
      <c r="BO200" s="2" t="e">
        <f t="shared" ca="1" si="173"/>
        <v>#NAME?</v>
      </c>
      <c r="BP200" s="2" t="e">
        <f ca="1"/>
        <v>#NAME?</v>
      </c>
      <c r="BQ200" s="2" t="e">
        <f t="shared" ca="1" si="174"/>
        <v>#NAME?</v>
      </c>
      <c r="BR200" s="2" t="e">
        <f ca="1"/>
        <v>#NAME?</v>
      </c>
      <c r="BS200" s="2" t="e">
        <f t="shared" ca="1" si="175"/>
        <v>#NAME?</v>
      </c>
      <c r="BT200" s="2" t="e">
        <f ca="1"/>
        <v>#NAME?</v>
      </c>
      <c r="BU200" s="2" t="e">
        <f t="shared" ca="1" si="176"/>
        <v>#NAME?</v>
      </c>
      <c r="BV200" s="2" t="e">
        <f ca="1"/>
        <v>#NAME?</v>
      </c>
      <c r="BW200" s="2" t="e">
        <f t="shared" ca="1" si="177"/>
        <v>#NAME?</v>
      </c>
      <c r="BX200" s="2" t="e">
        <f ca="1"/>
        <v>#NAME?</v>
      </c>
      <c r="BY200" s="2" t="e">
        <f t="shared" ca="1" si="178"/>
        <v>#NAME?</v>
      </c>
      <c r="BZ200" s="2" t="e">
        <f ca="1"/>
        <v>#NAME?</v>
      </c>
      <c r="CA200" s="2" t="e">
        <f t="shared" ca="1" si="179"/>
        <v>#NAME?</v>
      </c>
      <c r="CB200" s="2" t="e">
        <f ca="1"/>
        <v>#NAME?</v>
      </c>
      <c r="CC200" s="2" t="e">
        <f t="shared" ca="1" si="180"/>
        <v>#NAME?</v>
      </c>
      <c r="CD200" s="2" t="e">
        <f ca="1"/>
        <v>#NAME?</v>
      </c>
      <c r="CE200" s="2" t="e">
        <f t="shared" ca="1" si="181"/>
        <v>#NAME?</v>
      </c>
      <c r="CF200" s="2" t="e">
        <f ca="1"/>
        <v>#NAME?</v>
      </c>
      <c r="CG200" s="2" t="e">
        <f t="shared" ca="1" si="182"/>
        <v>#NAME?</v>
      </c>
      <c r="CH200" s="2" t="e">
        <f ca="1"/>
        <v>#NAME?</v>
      </c>
      <c r="CI200" s="2" t="e">
        <f t="shared" ca="1" si="183"/>
        <v>#NAME?</v>
      </c>
      <c r="CJ200" s="2" t="e">
        <f ca="1"/>
        <v>#NAME?</v>
      </c>
      <c r="CK200" s="2" t="e">
        <f t="shared" ca="1" si="184"/>
        <v>#NAME?</v>
      </c>
      <c r="CL200" s="2" t="e">
        <f ca="1"/>
        <v>#NAME?</v>
      </c>
      <c r="CM200" s="2" t="e">
        <f t="shared" ca="1" si="185"/>
        <v>#NAME?</v>
      </c>
      <c r="CN200" s="2" t="e">
        <f ca="1"/>
        <v>#NAME?</v>
      </c>
      <c r="CO200" s="2" t="e">
        <f t="shared" ca="1" si="186"/>
        <v>#NAME?</v>
      </c>
      <c r="CP200" s="2" t="e">
        <f ca="1"/>
        <v>#NAME?</v>
      </c>
      <c r="CQ200" s="2" t="e">
        <f t="shared" ca="1" si="187"/>
        <v>#NAME?</v>
      </c>
    </row>
    <row r="201" spans="1:95">
      <c r="A201" s="7" t="e">
        <f ca="1"/>
        <v>#NAME?</v>
      </c>
      <c r="B201" s="2" t="e">
        <f ca="1"/>
        <v>#NAME?</v>
      </c>
      <c r="C201" s="2" t="e">
        <f t="shared" ca="1" si="141"/>
        <v>#NAME?</v>
      </c>
      <c r="D201" s="2" t="e">
        <f ca="1"/>
        <v>#NAME?</v>
      </c>
      <c r="E201" s="2" t="e">
        <f t="shared" ca="1" si="142"/>
        <v>#NAME?</v>
      </c>
      <c r="F201" s="2" t="e">
        <f ca="1"/>
        <v>#NAME?</v>
      </c>
      <c r="G201" s="2" t="e">
        <f t="shared" ca="1" si="143"/>
        <v>#NAME?</v>
      </c>
      <c r="H201" s="2" t="e">
        <f ca="1"/>
        <v>#NAME?</v>
      </c>
      <c r="I201" s="2" t="e">
        <f t="shared" ca="1" si="144"/>
        <v>#NAME?</v>
      </c>
      <c r="J201" s="2" t="e">
        <f ca="1"/>
        <v>#NAME?</v>
      </c>
      <c r="K201" s="2" t="e">
        <f t="shared" ca="1" si="145"/>
        <v>#NAME?</v>
      </c>
      <c r="L201" s="2" t="e">
        <f ca="1"/>
        <v>#NAME?</v>
      </c>
      <c r="M201" s="2" t="e">
        <f t="shared" ca="1" si="146"/>
        <v>#NAME?</v>
      </c>
      <c r="N201" s="2" t="e">
        <f ca="1"/>
        <v>#NAME?</v>
      </c>
      <c r="O201" s="2" t="e">
        <f t="shared" ca="1" si="147"/>
        <v>#NAME?</v>
      </c>
      <c r="P201" s="2" t="e">
        <f ca="1"/>
        <v>#NAME?</v>
      </c>
      <c r="Q201" s="2" t="e">
        <f t="shared" ca="1" si="148"/>
        <v>#NAME?</v>
      </c>
      <c r="R201" s="2" t="e">
        <f ca="1"/>
        <v>#NAME?</v>
      </c>
      <c r="S201" s="2" t="e">
        <f t="shared" ca="1" si="149"/>
        <v>#NAME?</v>
      </c>
      <c r="T201" s="2" t="e">
        <f ca="1"/>
        <v>#NAME?</v>
      </c>
      <c r="U201" s="2" t="e">
        <f t="shared" ca="1" si="150"/>
        <v>#NAME?</v>
      </c>
      <c r="V201" s="2" t="e">
        <f ca="1"/>
        <v>#NAME?</v>
      </c>
      <c r="W201" s="2" t="e">
        <f t="shared" ca="1" si="151"/>
        <v>#NAME?</v>
      </c>
      <c r="X201" s="2" t="e">
        <f ca="1"/>
        <v>#NAME?</v>
      </c>
      <c r="Y201" s="2" t="e">
        <f t="shared" ca="1" si="152"/>
        <v>#NAME?</v>
      </c>
      <c r="Z201" s="2" t="e">
        <f ca="1"/>
        <v>#NAME?</v>
      </c>
      <c r="AA201" s="2" t="e">
        <f t="shared" ca="1" si="153"/>
        <v>#NAME?</v>
      </c>
      <c r="AB201" s="2" t="e">
        <f ca="1"/>
        <v>#NAME?</v>
      </c>
      <c r="AC201" s="2" t="e">
        <f t="shared" ca="1" si="154"/>
        <v>#NAME?</v>
      </c>
      <c r="AD201" s="2" t="e">
        <f ca="1"/>
        <v>#NAME?</v>
      </c>
      <c r="AE201" s="2" t="e">
        <f t="shared" ca="1" si="155"/>
        <v>#NAME?</v>
      </c>
      <c r="AF201" s="2" t="e">
        <f ca="1"/>
        <v>#NAME?</v>
      </c>
      <c r="AG201" s="2" t="e">
        <f t="shared" ca="1" si="156"/>
        <v>#NAME?</v>
      </c>
      <c r="AH201" s="2" t="e">
        <f ca="1"/>
        <v>#NAME?</v>
      </c>
      <c r="AI201" s="2" t="e">
        <f t="shared" ca="1" si="157"/>
        <v>#NAME?</v>
      </c>
      <c r="AJ201" s="2" t="e">
        <f ca="1"/>
        <v>#NAME?</v>
      </c>
      <c r="AK201" s="2" t="e">
        <f t="shared" ca="1" si="158"/>
        <v>#NAME?</v>
      </c>
      <c r="AL201" s="2" t="e">
        <f ca="1"/>
        <v>#NAME?</v>
      </c>
      <c r="AM201" s="2" t="e">
        <f t="shared" ca="1" si="159"/>
        <v>#NAME?</v>
      </c>
      <c r="AN201" s="2" t="e">
        <f ca="1"/>
        <v>#NAME?</v>
      </c>
      <c r="AO201" s="2" t="e">
        <f t="shared" ca="1" si="160"/>
        <v>#NAME?</v>
      </c>
      <c r="AP201" s="2" t="e">
        <f ca="1"/>
        <v>#NAME?</v>
      </c>
      <c r="AQ201" s="2" t="e">
        <f t="shared" ca="1" si="161"/>
        <v>#NAME?</v>
      </c>
      <c r="AR201" s="2" t="e">
        <f ca="1"/>
        <v>#NAME?</v>
      </c>
      <c r="AS201" s="2" t="e">
        <f t="shared" ca="1" si="162"/>
        <v>#NAME?</v>
      </c>
      <c r="AT201" s="2" t="e">
        <f ca="1"/>
        <v>#NAME?</v>
      </c>
      <c r="AU201" s="2" t="e">
        <f t="shared" ca="1" si="163"/>
        <v>#NAME?</v>
      </c>
      <c r="AV201" s="2" t="e">
        <f ca="1"/>
        <v>#NAME?</v>
      </c>
      <c r="AW201" s="2" t="e">
        <f t="shared" ca="1" si="164"/>
        <v>#NAME?</v>
      </c>
      <c r="AX201" s="2" t="e">
        <f ca="1"/>
        <v>#NAME?</v>
      </c>
      <c r="AY201" s="2" t="e">
        <f t="shared" ca="1" si="165"/>
        <v>#NAME?</v>
      </c>
      <c r="AZ201" s="2" t="e">
        <f ca="1"/>
        <v>#NAME?</v>
      </c>
      <c r="BA201" s="2" t="e">
        <f t="shared" ca="1" si="166"/>
        <v>#NAME?</v>
      </c>
      <c r="BB201" s="2" t="e">
        <f ca="1"/>
        <v>#NAME?</v>
      </c>
      <c r="BC201" s="2" t="e">
        <f t="shared" ca="1" si="167"/>
        <v>#NAME?</v>
      </c>
      <c r="BD201" s="2" t="e">
        <f ca="1"/>
        <v>#NAME?</v>
      </c>
      <c r="BE201" s="2" t="e">
        <f t="shared" ca="1" si="168"/>
        <v>#NAME?</v>
      </c>
      <c r="BF201" s="2" t="e">
        <f ca="1"/>
        <v>#NAME?</v>
      </c>
      <c r="BG201" s="2" t="e">
        <f t="shared" ca="1" si="169"/>
        <v>#NAME?</v>
      </c>
      <c r="BH201" s="2" t="e">
        <f ca="1"/>
        <v>#NAME?</v>
      </c>
      <c r="BI201" s="2" t="e">
        <f t="shared" ca="1" si="170"/>
        <v>#NAME?</v>
      </c>
      <c r="BJ201" s="2" t="e">
        <f ca="1"/>
        <v>#NAME?</v>
      </c>
      <c r="BK201" s="2" t="e">
        <f t="shared" ca="1" si="171"/>
        <v>#NAME?</v>
      </c>
      <c r="BL201" s="2" t="e">
        <f ca="1"/>
        <v>#NAME?</v>
      </c>
      <c r="BM201" s="2" t="e">
        <f t="shared" ca="1" si="172"/>
        <v>#NAME?</v>
      </c>
      <c r="BN201" s="2" t="e">
        <f ca="1"/>
        <v>#NAME?</v>
      </c>
      <c r="BO201" s="2" t="e">
        <f t="shared" ca="1" si="173"/>
        <v>#NAME?</v>
      </c>
      <c r="BP201" s="2" t="e">
        <f ca="1"/>
        <v>#NAME?</v>
      </c>
      <c r="BQ201" s="2" t="e">
        <f t="shared" ca="1" si="174"/>
        <v>#NAME?</v>
      </c>
      <c r="BR201" s="2" t="e">
        <f ca="1"/>
        <v>#NAME?</v>
      </c>
      <c r="BS201" s="2" t="e">
        <f t="shared" ca="1" si="175"/>
        <v>#NAME?</v>
      </c>
      <c r="BT201" s="2" t="e">
        <f ca="1"/>
        <v>#NAME?</v>
      </c>
      <c r="BU201" s="2" t="e">
        <f t="shared" ca="1" si="176"/>
        <v>#NAME?</v>
      </c>
      <c r="BV201" s="2" t="e">
        <f ca="1"/>
        <v>#NAME?</v>
      </c>
      <c r="BW201" s="2" t="e">
        <f t="shared" ca="1" si="177"/>
        <v>#NAME?</v>
      </c>
      <c r="BX201" s="2" t="e">
        <f ca="1"/>
        <v>#NAME?</v>
      </c>
      <c r="BY201" s="2" t="e">
        <f t="shared" ca="1" si="178"/>
        <v>#NAME?</v>
      </c>
      <c r="BZ201" s="2" t="e">
        <f ca="1"/>
        <v>#NAME?</v>
      </c>
      <c r="CA201" s="2" t="e">
        <f t="shared" ca="1" si="179"/>
        <v>#NAME?</v>
      </c>
      <c r="CB201" s="2" t="e">
        <f ca="1"/>
        <v>#NAME?</v>
      </c>
      <c r="CC201" s="2" t="e">
        <f t="shared" ca="1" si="180"/>
        <v>#NAME?</v>
      </c>
      <c r="CD201" s="2" t="e">
        <f ca="1"/>
        <v>#NAME?</v>
      </c>
      <c r="CE201" s="2" t="e">
        <f t="shared" ca="1" si="181"/>
        <v>#NAME?</v>
      </c>
      <c r="CF201" s="2" t="e">
        <f ca="1"/>
        <v>#NAME?</v>
      </c>
      <c r="CG201" s="2" t="e">
        <f t="shared" ca="1" si="182"/>
        <v>#NAME?</v>
      </c>
      <c r="CH201" s="2" t="e">
        <f ca="1"/>
        <v>#NAME?</v>
      </c>
      <c r="CI201" s="2" t="e">
        <f t="shared" ca="1" si="183"/>
        <v>#NAME?</v>
      </c>
      <c r="CJ201" s="2" t="e">
        <f ca="1"/>
        <v>#NAME?</v>
      </c>
      <c r="CK201" s="2" t="e">
        <f t="shared" ca="1" si="184"/>
        <v>#NAME?</v>
      </c>
      <c r="CL201" s="2" t="e">
        <f ca="1"/>
        <v>#NAME?</v>
      </c>
      <c r="CM201" s="2" t="e">
        <f t="shared" ca="1" si="185"/>
        <v>#NAME?</v>
      </c>
      <c r="CN201" s="2" t="e">
        <f ca="1"/>
        <v>#NAME?</v>
      </c>
      <c r="CO201" s="2" t="e">
        <f t="shared" ca="1" si="186"/>
        <v>#NAME?</v>
      </c>
      <c r="CP201" s="2" t="e">
        <f ca="1"/>
        <v>#NAME?</v>
      </c>
      <c r="CQ201" s="2" t="e">
        <f t="shared" ca="1" si="187"/>
        <v>#NAME?</v>
      </c>
    </row>
    <row r="202" spans="1:95">
      <c r="A202" s="7" t="e">
        <f ca="1"/>
        <v>#NAME?</v>
      </c>
      <c r="B202" s="2" t="e">
        <f ca="1"/>
        <v>#NAME?</v>
      </c>
      <c r="C202" s="2" t="e">
        <f t="shared" ca="1" si="141"/>
        <v>#NAME?</v>
      </c>
      <c r="D202" s="2" t="e">
        <f ca="1"/>
        <v>#NAME?</v>
      </c>
      <c r="E202" s="2" t="e">
        <f t="shared" ca="1" si="142"/>
        <v>#NAME?</v>
      </c>
      <c r="F202" s="2" t="e">
        <f ca="1"/>
        <v>#NAME?</v>
      </c>
      <c r="G202" s="2" t="e">
        <f t="shared" ca="1" si="143"/>
        <v>#NAME?</v>
      </c>
      <c r="H202" s="2" t="e">
        <f ca="1"/>
        <v>#NAME?</v>
      </c>
      <c r="I202" s="2" t="e">
        <f t="shared" ca="1" si="144"/>
        <v>#NAME?</v>
      </c>
      <c r="J202" s="2" t="e">
        <f ca="1"/>
        <v>#NAME?</v>
      </c>
      <c r="K202" s="2" t="e">
        <f t="shared" ca="1" si="145"/>
        <v>#NAME?</v>
      </c>
      <c r="L202" s="2" t="e">
        <f ca="1"/>
        <v>#NAME?</v>
      </c>
      <c r="M202" s="2" t="e">
        <f t="shared" ca="1" si="146"/>
        <v>#NAME?</v>
      </c>
      <c r="N202" s="2" t="e">
        <f ca="1"/>
        <v>#NAME?</v>
      </c>
      <c r="O202" s="2" t="e">
        <f t="shared" ca="1" si="147"/>
        <v>#NAME?</v>
      </c>
      <c r="P202" s="2" t="e">
        <f ca="1"/>
        <v>#NAME?</v>
      </c>
      <c r="Q202" s="2" t="e">
        <f t="shared" ca="1" si="148"/>
        <v>#NAME?</v>
      </c>
      <c r="R202" s="2" t="e">
        <f ca="1"/>
        <v>#NAME?</v>
      </c>
      <c r="S202" s="2" t="e">
        <f t="shared" ca="1" si="149"/>
        <v>#NAME?</v>
      </c>
      <c r="T202" s="2" t="e">
        <f ca="1"/>
        <v>#NAME?</v>
      </c>
      <c r="U202" s="2" t="e">
        <f t="shared" ca="1" si="150"/>
        <v>#NAME?</v>
      </c>
      <c r="V202" s="2" t="e">
        <f ca="1"/>
        <v>#NAME?</v>
      </c>
      <c r="W202" s="2" t="e">
        <f t="shared" ca="1" si="151"/>
        <v>#NAME?</v>
      </c>
      <c r="X202" s="2" t="e">
        <f ca="1"/>
        <v>#NAME?</v>
      </c>
      <c r="Y202" s="2" t="e">
        <f t="shared" ca="1" si="152"/>
        <v>#NAME?</v>
      </c>
      <c r="Z202" s="2" t="e">
        <f ca="1"/>
        <v>#NAME?</v>
      </c>
      <c r="AA202" s="2" t="e">
        <f t="shared" ca="1" si="153"/>
        <v>#NAME?</v>
      </c>
      <c r="AB202" s="2" t="e">
        <f ca="1"/>
        <v>#NAME?</v>
      </c>
      <c r="AC202" s="2" t="e">
        <f t="shared" ca="1" si="154"/>
        <v>#NAME?</v>
      </c>
      <c r="AD202" s="2" t="e">
        <f ca="1"/>
        <v>#NAME?</v>
      </c>
      <c r="AE202" s="2" t="e">
        <f t="shared" ca="1" si="155"/>
        <v>#NAME?</v>
      </c>
      <c r="AF202" s="2" t="e">
        <f ca="1"/>
        <v>#NAME?</v>
      </c>
      <c r="AG202" s="2" t="e">
        <f t="shared" ca="1" si="156"/>
        <v>#NAME?</v>
      </c>
      <c r="AH202" s="2" t="e">
        <f ca="1"/>
        <v>#NAME?</v>
      </c>
      <c r="AI202" s="2" t="e">
        <f t="shared" ca="1" si="157"/>
        <v>#NAME?</v>
      </c>
      <c r="AJ202" s="2" t="e">
        <f ca="1"/>
        <v>#NAME?</v>
      </c>
      <c r="AK202" s="2" t="e">
        <f t="shared" ca="1" si="158"/>
        <v>#NAME?</v>
      </c>
      <c r="AL202" s="2" t="e">
        <f ca="1"/>
        <v>#NAME?</v>
      </c>
      <c r="AM202" s="2" t="e">
        <f t="shared" ca="1" si="159"/>
        <v>#NAME?</v>
      </c>
      <c r="AN202" s="2" t="e">
        <f ca="1"/>
        <v>#NAME?</v>
      </c>
      <c r="AO202" s="2" t="e">
        <f t="shared" ca="1" si="160"/>
        <v>#NAME?</v>
      </c>
      <c r="AP202" s="2" t="e">
        <f ca="1"/>
        <v>#NAME?</v>
      </c>
      <c r="AQ202" s="2" t="e">
        <f t="shared" ca="1" si="161"/>
        <v>#NAME?</v>
      </c>
      <c r="AR202" s="2" t="e">
        <f ca="1"/>
        <v>#NAME?</v>
      </c>
      <c r="AS202" s="2" t="e">
        <f t="shared" ca="1" si="162"/>
        <v>#NAME?</v>
      </c>
      <c r="AT202" s="2" t="e">
        <f ca="1"/>
        <v>#NAME?</v>
      </c>
      <c r="AU202" s="2" t="e">
        <f t="shared" ca="1" si="163"/>
        <v>#NAME?</v>
      </c>
      <c r="AV202" s="2" t="e">
        <f ca="1"/>
        <v>#NAME?</v>
      </c>
      <c r="AW202" s="2" t="e">
        <f t="shared" ca="1" si="164"/>
        <v>#NAME?</v>
      </c>
      <c r="AX202" s="2" t="e">
        <f ca="1"/>
        <v>#NAME?</v>
      </c>
      <c r="AY202" s="2" t="e">
        <f t="shared" ca="1" si="165"/>
        <v>#NAME?</v>
      </c>
      <c r="AZ202" s="2" t="e">
        <f ca="1"/>
        <v>#NAME?</v>
      </c>
      <c r="BA202" s="2" t="e">
        <f t="shared" ca="1" si="166"/>
        <v>#NAME?</v>
      </c>
      <c r="BB202" s="2" t="e">
        <f ca="1"/>
        <v>#NAME?</v>
      </c>
      <c r="BC202" s="2" t="e">
        <f t="shared" ca="1" si="167"/>
        <v>#NAME?</v>
      </c>
      <c r="BD202" s="2" t="e">
        <f ca="1"/>
        <v>#NAME?</v>
      </c>
      <c r="BE202" s="2" t="e">
        <f t="shared" ca="1" si="168"/>
        <v>#NAME?</v>
      </c>
      <c r="BF202" s="2" t="e">
        <f ca="1"/>
        <v>#NAME?</v>
      </c>
      <c r="BG202" s="2" t="e">
        <f t="shared" ca="1" si="169"/>
        <v>#NAME?</v>
      </c>
      <c r="BH202" s="2" t="e">
        <f ca="1"/>
        <v>#NAME?</v>
      </c>
      <c r="BI202" s="2" t="e">
        <f t="shared" ca="1" si="170"/>
        <v>#NAME?</v>
      </c>
      <c r="BJ202" s="2" t="e">
        <f ca="1"/>
        <v>#NAME?</v>
      </c>
      <c r="BK202" s="2" t="e">
        <f t="shared" ca="1" si="171"/>
        <v>#NAME?</v>
      </c>
      <c r="BL202" s="2" t="e">
        <f ca="1"/>
        <v>#NAME?</v>
      </c>
      <c r="BM202" s="2" t="e">
        <f t="shared" ca="1" si="172"/>
        <v>#NAME?</v>
      </c>
      <c r="BN202" s="2" t="e">
        <f ca="1"/>
        <v>#NAME?</v>
      </c>
      <c r="BO202" s="2" t="e">
        <f t="shared" ca="1" si="173"/>
        <v>#NAME?</v>
      </c>
      <c r="BP202" s="2" t="e">
        <f ca="1"/>
        <v>#NAME?</v>
      </c>
      <c r="BQ202" s="2" t="e">
        <f t="shared" ca="1" si="174"/>
        <v>#NAME?</v>
      </c>
      <c r="BR202" s="2" t="e">
        <f ca="1"/>
        <v>#NAME?</v>
      </c>
      <c r="BS202" s="2" t="e">
        <f t="shared" ca="1" si="175"/>
        <v>#NAME?</v>
      </c>
      <c r="BT202" s="2" t="e">
        <f ca="1"/>
        <v>#NAME?</v>
      </c>
      <c r="BU202" s="2" t="e">
        <f t="shared" ca="1" si="176"/>
        <v>#NAME?</v>
      </c>
      <c r="BV202" s="2" t="e">
        <f ca="1"/>
        <v>#NAME?</v>
      </c>
      <c r="BW202" s="2" t="e">
        <f t="shared" ca="1" si="177"/>
        <v>#NAME?</v>
      </c>
      <c r="BX202" s="2" t="e">
        <f ca="1"/>
        <v>#NAME?</v>
      </c>
      <c r="BY202" s="2" t="e">
        <f t="shared" ca="1" si="178"/>
        <v>#NAME?</v>
      </c>
      <c r="BZ202" s="2" t="e">
        <f ca="1"/>
        <v>#NAME?</v>
      </c>
      <c r="CA202" s="2" t="e">
        <f t="shared" ca="1" si="179"/>
        <v>#NAME?</v>
      </c>
      <c r="CB202" s="2" t="e">
        <f ca="1"/>
        <v>#NAME?</v>
      </c>
      <c r="CC202" s="2" t="e">
        <f t="shared" ca="1" si="180"/>
        <v>#NAME?</v>
      </c>
      <c r="CD202" s="2" t="e">
        <f ca="1"/>
        <v>#NAME?</v>
      </c>
      <c r="CE202" s="2" t="e">
        <f t="shared" ca="1" si="181"/>
        <v>#NAME?</v>
      </c>
      <c r="CF202" s="2" t="e">
        <f ca="1"/>
        <v>#NAME?</v>
      </c>
      <c r="CG202" s="2" t="e">
        <f t="shared" ca="1" si="182"/>
        <v>#NAME?</v>
      </c>
      <c r="CH202" s="2" t="e">
        <f ca="1"/>
        <v>#NAME?</v>
      </c>
      <c r="CI202" s="2" t="e">
        <f t="shared" ca="1" si="183"/>
        <v>#NAME?</v>
      </c>
      <c r="CJ202" s="2" t="e">
        <f ca="1"/>
        <v>#NAME?</v>
      </c>
      <c r="CK202" s="2" t="e">
        <f t="shared" ca="1" si="184"/>
        <v>#NAME?</v>
      </c>
      <c r="CL202" s="2" t="e">
        <f ca="1"/>
        <v>#NAME?</v>
      </c>
      <c r="CM202" s="2" t="e">
        <f t="shared" ca="1" si="185"/>
        <v>#NAME?</v>
      </c>
      <c r="CN202" s="2" t="e">
        <f ca="1"/>
        <v>#NAME?</v>
      </c>
      <c r="CO202" s="2" t="e">
        <f t="shared" ca="1" si="186"/>
        <v>#NAME?</v>
      </c>
      <c r="CP202" s="2" t="e">
        <f ca="1"/>
        <v>#NAME?</v>
      </c>
      <c r="CQ202" s="2" t="e">
        <f t="shared" ca="1" si="187"/>
        <v>#NAME?</v>
      </c>
    </row>
    <row r="203" spans="1:95">
      <c r="A203" s="7" t="e">
        <f ca="1"/>
        <v>#NAME?</v>
      </c>
      <c r="B203" s="2" t="e">
        <f ca="1"/>
        <v>#NAME?</v>
      </c>
      <c r="C203" s="2" t="e">
        <f t="shared" ca="1" si="141"/>
        <v>#NAME?</v>
      </c>
      <c r="D203" s="2" t="e">
        <f ca="1"/>
        <v>#NAME?</v>
      </c>
      <c r="E203" s="2" t="e">
        <f t="shared" ca="1" si="142"/>
        <v>#NAME?</v>
      </c>
      <c r="F203" s="2" t="e">
        <f ca="1"/>
        <v>#NAME?</v>
      </c>
      <c r="G203" s="2" t="e">
        <f t="shared" ca="1" si="143"/>
        <v>#NAME?</v>
      </c>
      <c r="H203" s="2" t="e">
        <f ca="1"/>
        <v>#NAME?</v>
      </c>
      <c r="I203" s="2" t="e">
        <f t="shared" ca="1" si="144"/>
        <v>#NAME?</v>
      </c>
      <c r="J203" s="2" t="e">
        <f ca="1"/>
        <v>#NAME?</v>
      </c>
      <c r="K203" s="2" t="e">
        <f t="shared" ca="1" si="145"/>
        <v>#NAME?</v>
      </c>
      <c r="L203" s="2" t="e">
        <f ca="1"/>
        <v>#NAME?</v>
      </c>
      <c r="M203" s="2" t="e">
        <f t="shared" ca="1" si="146"/>
        <v>#NAME?</v>
      </c>
      <c r="N203" s="2" t="e">
        <f ca="1"/>
        <v>#NAME?</v>
      </c>
      <c r="O203" s="2" t="e">
        <f t="shared" ca="1" si="147"/>
        <v>#NAME?</v>
      </c>
      <c r="P203" s="2" t="e">
        <f ca="1"/>
        <v>#NAME?</v>
      </c>
      <c r="Q203" s="2" t="e">
        <f t="shared" ca="1" si="148"/>
        <v>#NAME?</v>
      </c>
      <c r="R203" s="2" t="e">
        <f ca="1"/>
        <v>#NAME?</v>
      </c>
      <c r="S203" s="2" t="e">
        <f t="shared" ca="1" si="149"/>
        <v>#NAME?</v>
      </c>
      <c r="T203" s="2" t="e">
        <f ca="1"/>
        <v>#NAME?</v>
      </c>
      <c r="U203" s="2" t="e">
        <f t="shared" ca="1" si="150"/>
        <v>#NAME?</v>
      </c>
      <c r="V203" s="2" t="e">
        <f ca="1"/>
        <v>#NAME?</v>
      </c>
      <c r="W203" s="2" t="e">
        <f t="shared" ca="1" si="151"/>
        <v>#NAME?</v>
      </c>
      <c r="X203" s="2" t="e">
        <f ca="1"/>
        <v>#NAME?</v>
      </c>
      <c r="Y203" s="2" t="e">
        <f t="shared" ca="1" si="152"/>
        <v>#NAME?</v>
      </c>
      <c r="Z203" s="2" t="e">
        <f ca="1"/>
        <v>#NAME?</v>
      </c>
      <c r="AA203" s="2" t="e">
        <f t="shared" ca="1" si="153"/>
        <v>#NAME?</v>
      </c>
      <c r="AB203" s="2" t="e">
        <f ca="1"/>
        <v>#NAME?</v>
      </c>
      <c r="AC203" s="2" t="e">
        <f t="shared" ca="1" si="154"/>
        <v>#NAME?</v>
      </c>
      <c r="AD203" s="2" t="e">
        <f ca="1"/>
        <v>#NAME?</v>
      </c>
      <c r="AE203" s="2" t="e">
        <f t="shared" ca="1" si="155"/>
        <v>#NAME?</v>
      </c>
      <c r="AF203" s="2" t="e">
        <f ca="1"/>
        <v>#NAME?</v>
      </c>
      <c r="AG203" s="2" t="e">
        <f t="shared" ca="1" si="156"/>
        <v>#NAME?</v>
      </c>
      <c r="AH203" s="2" t="e">
        <f ca="1"/>
        <v>#NAME?</v>
      </c>
      <c r="AI203" s="2" t="e">
        <f t="shared" ca="1" si="157"/>
        <v>#NAME?</v>
      </c>
      <c r="AJ203" s="2" t="e">
        <f ca="1"/>
        <v>#NAME?</v>
      </c>
      <c r="AK203" s="2" t="e">
        <f t="shared" ca="1" si="158"/>
        <v>#NAME?</v>
      </c>
      <c r="AL203" s="2" t="e">
        <f ca="1"/>
        <v>#NAME?</v>
      </c>
      <c r="AM203" s="2" t="e">
        <f t="shared" ca="1" si="159"/>
        <v>#NAME?</v>
      </c>
      <c r="AN203" s="2" t="e">
        <f ca="1"/>
        <v>#NAME?</v>
      </c>
      <c r="AO203" s="2" t="e">
        <f t="shared" ca="1" si="160"/>
        <v>#NAME?</v>
      </c>
      <c r="AP203" s="2" t="e">
        <f ca="1"/>
        <v>#NAME?</v>
      </c>
      <c r="AQ203" s="2" t="e">
        <f t="shared" ca="1" si="161"/>
        <v>#NAME?</v>
      </c>
      <c r="AR203" s="2" t="e">
        <f ca="1"/>
        <v>#NAME?</v>
      </c>
      <c r="AS203" s="2" t="e">
        <f t="shared" ca="1" si="162"/>
        <v>#NAME?</v>
      </c>
      <c r="AT203" s="2" t="e">
        <f ca="1"/>
        <v>#NAME?</v>
      </c>
      <c r="AU203" s="2" t="e">
        <f t="shared" ca="1" si="163"/>
        <v>#NAME?</v>
      </c>
      <c r="AV203" s="2" t="e">
        <f ca="1"/>
        <v>#NAME?</v>
      </c>
      <c r="AW203" s="2" t="e">
        <f t="shared" ca="1" si="164"/>
        <v>#NAME?</v>
      </c>
      <c r="AX203" s="2" t="e">
        <f ca="1"/>
        <v>#NAME?</v>
      </c>
      <c r="AY203" s="2" t="e">
        <f t="shared" ca="1" si="165"/>
        <v>#NAME?</v>
      </c>
      <c r="AZ203" s="2" t="e">
        <f ca="1"/>
        <v>#NAME?</v>
      </c>
      <c r="BA203" s="2" t="e">
        <f t="shared" ca="1" si="166"/>
        <v>#NAME?</v>
      </c>
      <c r="BB203" s="2" t="e">
        <f ca="1"/>
        <v>#NAME?</v>
      </c>
      <c r="BC203" s="2" t="e">
        <f t="shared" ca="1" si="167"/>
        <v>#NAME?</v>
      </c>
      <c r="BD203" s="2" t="e">
        <f ca="1"/>
        <v>#NAME?</v>
      </c>
      <c r="BE203" s="2" t="e">
        <f t="shared" ca="1" si="168"/>
        <v>#NAME?</v>
      </c>
      <c r="BF203" s="2" t="e">
        <f ca="1"/>
        <v>#NAME?</v>
      </c>
      <c r="BG203" s="2" t="e">
        <f t="shared" ca="1" si="169"/>
        <v>#NAME?</v>
      </c>
      <c r="BH203" s="2" t="e">
        <f ca="1"/>
        <v>#NAME?</v>
      </c>
      <c r="BI203" s="2" t="e">
        <f t="shared" ca="1" si="170"/>
        <v>#NAME?</v>
      </c>
      <c r="BJ203" s="2" t="e">
        <f ca="1"/>
        <v>#NAME?</v>
      </c>
      <c r="BK203" s="2" t="e">
        <f t="shared" ca="1" si="171"/>
        <v>#NAME?</v>
      </c>
      <c r="BL203" s="2" t="e">
        <f ca="1"/>
        <v>#NAME?</v>
      </c>
      <c r="BM203" s="2" t="e">
        <f t="shared" ca="1" si="172"/>
        <v>#NAME?</v>
      </c>
      <c r="BN203" s="2" t="e">
        <f ca="1"/>
        <v>#NAME?</v>
      </c>
      <c r="BO203" s="2" t="e">
        <f t="shared" ca="1" si="173"/>
        <v>#NAME?</v>
      </c>
      <c r="BP203" s="2" t="e">
        <f ca="1"/>
        <v>#NAME?</v>
      </c>
      <c r="BQ203" s="2" t="e">
        <f t="shared" ca="1" si="174"/>
        <v>#NAME?</v>
      </c>
      <c r="BR203" s="2" t="e">
        <f ca="1"/>
        <v>#NAME?</v>
      </c>
      <c r="BS203" s="2" t="e">
        <f t="shared" ca="1" si="175"/>
        <v>#NAME?</v>
      </c>
      <c r="BT203" s="2" t="e">
        <f ca="1"/>
        <v>#NAME?</v>
      </c>
      <c r="BU203" s="2" t="e">
        <f t="shared" ca="1" si="176"/>
        <v>#NAME?</v>
      </c>
      <c r="BV203" s="2" t="e">
        <f ca="1"/>
        <v>#NAME?</v>
      </c>
      <c r="BW203" s="2" t="e">
        <f t="shared" ca="1" si="177"/>
        <v>#NAME?</v>
      </c>
      <c r="BX203" s="2" t="e">
        <f ca="1"/>
        <v>#NAME?</v>
      </c>
      <c r="BY203" s="2" t="e">
        <f t="shared" ca="1" si="178"/>
        <v>#NAME?</v>
      </c>
      <c r="BZ203" s="2" t="e">
        <f ca="1"/>
        <v>#NAME?</v>
      </c>
      <c r="CA203" s="2" t="e">
        <f t="shared" ca="1" si="179"/>
        <v>#NAME?</v>
      </c>
      <c r="CB203" s="2" t="e">
        <f ca="1"/>
        <v>#NAME?</v>
      </c>
      <c r="CC203" s="2" t="e">
        <f t="shared" ca="1" si="180"/>
        <v>#NAME?</v>
      </c>
      <c r="CD203" s="2" t="e">
        <f ca="1"/>
        <v>#NAME?</v>
      </c>
      <c r="CE203" s="2" t="e">
        <f t="shared" ca="1" si="181"/>
        <v>#NAME?</v>
      </c>
      <c r="CF203" s="2" t="e">
        <f ca="1"/>
        <v>#NAME?</v>
      </c>
      <c r="CG203" s="2" t="e">
        <f t="shared" ca="1" si="182"/>
        <v>#NAME?</v>
      </c>
      <c r="CH203" s="2" t="e">
        <f ca="1"/>
        <v>#NAME?</v>
      </c>
      <c r="CI203" s="2" t="e">
        <f t="shared" ca="1" si="183"/>
        <v>#NAME?</v>
      </c>
      <c r="CJ203" s="2" t="e">
        <f ca="1"/>
        <v>#NAME?</v>
      </c>
      <c r="CK203" s="2" t="e">
        <f t="shared" ca="1" si="184"/>
        <v>#NAME?</v>
      </c>
      <c r="CL203" s="2" t="e">
        <f ca="1"/>
        <v>#NAME?</v>
      </c>
      <c r="CM203" s="2" t="e">
        <f t="shared" ca="1" si="185"/>
        <v>#NAME?</v>
      </c>
      <c r="CN203" s="2" t="e">
        <f ca="1"/>
        <v>#NAME?</v>
      </c>
      <c r="CO203" s="2" t="e">
        <f t="shared" ca="1" si="186"/>
        <v>#NAME?</v>
      </c>
      <c r="CP203" s="2" t="e">
        <f ca="1"/>
        <v>#NAME?</v>
      </c>
      <c r="CQ203" s="2" t="e">
        <f t="shared" ca="1" si="187"/>
        <v>#NAME?</v>
      </c>
    </row>
    <row r="204" spans="1:95">
      <c r="A204" s="7" t="e">
        <f ca="1"/>
        <v>#NAME?</v>
      </c>
      <c r="B204" s="2" t="e">
        <f ca="1"/>
        <v>#NAME?</v>
      </c>
      <c r="C204" s="2" t="e">
        <f t="shared" ca="1" si="141"/>
        <v>#NAME?</v>
      </c>
      <c r="D204" s="2" t="e">
        <f ca="1"/>
        <v>#NAME?</v>
      </c>
      <c r="E204" s="2" t="e">
        <f t="shared" ca="1" si="142"/>
        <v>#NAME?</v>
      </c>
      <c r="F204" s="2" t="e">
        <f ca="1"/>
        <v>#NAME?</v>
      </c>
      <c r="G204" s="2" t="e">
        <f t="shared" ca="1" si="143"/>
        <v>#NAME?</v>
      </c>
      <c r="H204" s="2" t="e">
        <f ca="1"/>
        <v>#NAME?</v>
      </c>
      <c r="I204" s="2" t="e">
        <f t="shared" ca="1" si="144"/>
        <v>#NAME?</v>
      </c>
      <c r="J204" s="2" t="e">
        <f ca="1"/>
        <v>#NAME?</v>
      </c>
      <c r="K204" s="2" t="e">
        <f t="shared" ca="1" si="145"/>
        <v>#NAME?</v>
      </c>
      <c r="L204" s="2" t="e">
        <f ca="1"/>
        <v>#NAME?</v>
      </c>
      <c r="M204" s="2" t="e">
        <f t="shared" ca="1" si="146"/>
        <v>#NAME?</v>
      </c>
      <c r="N204" s="2" t="e">
        <f ca="1"/>
        <v>#NAME?</v>
      </c>
      <c r="O204" s="2" t="e">
        <f t="shared" ca="1" si="147"/>
        <v>#NAME?</v>
      </c>
      <c r="P204" s="2" t="e">
        <f ca="1"/>
        <v>#NAME?</v>
      </c>
      <c r="Q204" s="2" t="e">
        <f t="shared" ca="1" si="148"/>
        <v>#NAME?</v>
      </c>
      <c r="R204" s="2" t="e">
        <f ca="1"/>
        <v>#NAME?</v>
      </c>
      <c r="S204" s="2" t="e">
        <f t="shared" ca="1" si="149"/>
        <v>#NAME?</v>
      </c>
      <c r="T204" s="2" t="e">
        <f ca="1"/>
        <v>#NAME?</v>
      </c>
      <c r="U204" s="2" t="e">
        <f t="shared" ca="1" si="150"/>
        <v>#NAME?</v>
      </c>
      <c r="V204" s="2" t="e">
        <f ca="1"/>
        <v>#NAME?</v>
      </c>
      <c r="W204" s="2" t="e">
        <f t="shared" ca="1" si="151"/>
        <v>#NAME?</v>
      </c>
      <c r="X204" s="2" t="e">
        <f ca="1"/>
        <v>#NAME?</v>
      </c>
      <c r="Y204" s="2" t="e">
        <f t="shared" ca="1" si="152"/>
        <v>#NAME?</v>
      </c>
      <c r="Z204" s="2" t="e">
        <f ca="1"/>
        <v>#NAME?</v>
      </c>
      <c r="AA204" s="2" t="e">
        <f t="shared" ca="1" si="153"/>
        <v>#NAME?</v>
      </c>
      <c r="AB204" s="2" t="e">
        <f ca="1"/>
        <v>#NAME?</v>
      </c>
      <c r="AC204" s="2" t="e">
        <f t="shared" ca="1" si="154"/>
        <v>#NAME?</v>
      </c>
      <c r="AD204" s="2" t="e">
        <f ca="1"/>
        <v>#NAME?</v>
      </c>
      <c r="AE204" s="2" t="e">
        <f t="shared" ca="1" si="155"/>
        <v>#NAME?</v>
      </c>
      <c r="AF204" s="2" t="e">
        <f ca="1"/>
        <v>#NAME?</v>
      </c>
      <c r="AG204" s="2" t="e">
        <f t="shared" ca="1" si="156"/>
        <v>#NAME?</v>
      </c>
      <c r="AH204" s="2" t="e">
        <f ca="1"/>
        <v>#NAME?</v>
      </c>
      <c r="AI204" s="2" t="e">
        <f t="shared" ca="1" si="157"/>
        <v>#NAME?</v>
      </c>
      <c r="AJ204" s="2" t="e">
        <f ca="1"/>
        <v>#NAME?</v>
      </c>
      <c r="AK204" s="2" t="e">
        <f t="shared" ca="1" si="158"/>
        <v>#NAME?</v>
      </c>
      <c r="AL204" s="2" t="e">
        <f ca="1"/>
        <v>#NAME?</v>
      </c>
      <c r="AM204" s="2" t="e">
        <f t="shared" ca="1" si="159"/>
        <v>#NAME?</v>
      </c>
      <c r="AN204" s="2" t="e">
        <f ca="1"/>
        <v>#NAME?</v>
      </c>
      <c r="AO204" s="2" t="e">
        <f t="shared" ca="1" si="160"/>
        <v>#NAME?</v>
      </c>
      <c r="AP204" s="2" t="e">
        <f ca="1"/>
        <v>#NAME?</v>
      </c>
      <c r="AQ204" s="2" t="e">
        <f t="shared" ca="1" si="161"/>
        <v>#NAME?</v>
      </c>
      <c r="AR204" s="2" t="e">
        <f ca="1"/>
        <v>#NAME?</v>
      </c>
      <c r="AS204" s="2" t="e">
        <f t="shared" ca="1" si="162"/>
        <v>#NAME?</v>
      </c>
      <c r="AT204" s="2" t="e">
        <f ca="1"/>
        <v>#NAME?</v>
      </c>
      <c r="AU204" s="2" t="e">
        <f t="shared" ca="1" si="163"/>
        <v>#NAME?</v>
      </c>
      <c r="AV204" s="2" t="e">
        <f ca="1"/>
        <v>#NAME?</v>
      </c>
      <c r="AW204" s="2" t="e">
        <f t="shared" ca="1" si="164"/>
        <v>#NAME?</v>
      </c>
      <c r="AX204" s="2" t="e">
        <f ca="1"/>
        <v>#NAME?</v>
      </c>
      <c r="AY204" s="2" t="e">
        <f t="shared" ca="1" si="165"/>
        <v>#NAME?</v>
      </c>
      <c r="AZ204" s="2" t="e">
        <f ca="1"/>
        <v>#NAME?</v>
      </c>
      <c r="BA204" s="2" t="e">
        <f t="shared" ca="1" si="166"/>
        <v>#NAME?</v>
      </c>
      <c r="BB204" s="2" t="e">
        <f ca="1"/>
        <v>#NAME?</v>
      </c>
      <c r="BC204" s="2" t="e">
        <f t="shared" ca="1" si="167"/>
        <v>#NAME?</v>
      </c>
      <c r="BD204" s="2" t="e">
        <f ca="1"/>
        <v>#NAME?</v>
      </c>
      <c r="BE204" s="2" t="e">
        <f t="shared" ca="1" si="168"/>
        <v>#NAME?</v>
      </c>
      <c r="BF204" s="2" t="e">
        <f ca="1"/>
        <v>#NAME?</v>
      </c>
      <c r="BG204" s="2" t="e">
        <f t="shared" ca="1" si="169"/>
        <v>#NAME?</v>
      </c>
      <c r="BH204" s="2" t="e">
        <f ca="1"/>
        <v>#NAME?</v>
      </c>
      <c r="BI204" s="2" t="e">
        <f t="shared" ca="1" si="170"/>
        <v>#NAME?</v>
      </c>
      <c r="BJ204" s="2" t="e">
        <f ca="1"/>
        <v>#NAME?</v>
      </c>
      <c r="BK204" s="2" t="e">
        <f t="shared" ca="1" si="171"/>
        <v>#NAME?</v>
      </c>
      <c r="BL204" s="2" t="e">
        <f ca="1"/>
        <v>#NAME?</v>
      </c>
      <c r="BM204" s="2" t="e">
        <f t="shared" ca="1" si="172"/>
        <v>#NAME?</v>
      </c>
      <c r="BN204" s="2" t="e">
        <f ca="1"/>
        <v>#NAME?</v>
      </c>
      <c r="BO204" s="2" t="e">
        <f t="shared" ca="1" si="173"/>
        <v>#NAME?</v>
      </c>
      <c r="BP204" s="2" t="e">
        <f ca="1"/>
        <v>#NAME?</v>
      </c>
      <c r="BQ204" s="2" t="e">
        <f t="shared" ca="1" si="174"/>
        <v>#NAME?</v>
      </c>
      <c r="BR204" s="2" t="e">
        <f ca="1"/>
        <v>#NAME?</v>
      </c>
      <c r="BS204" s="2" t="e">
        <f t="shared" ca="1" si="175"/>
        <v>#NAME?</v>
      </c>
      <c r="BT204" s="2" t="e">
        <f ca="1"/>
        <v>#NAME?</v>
      </c>
      <c r="BU204" s="2" t="e">
        <f t="shared" ca="1" si="176"/>
        <v>#NAME?</v>
      </c>
      <c r="BV204" s="2" t="e">
        <f ca="1"/>
        <v>#NAME?</v>
      </c>
      <c r="BW204" s="2" t="e">
        <f t="shared" ca="1" si="177"/>
        <v>#NAME?</v>
      </c>
      <c r="BX204" s="2" t="e">
        <f ca="1"/>
        <v>#NAME?</v>
      </c>
      <c r="BY204" s="2" t="e">
        <f t="shared" ca="1" si="178"/>
        <v>#NAME?</v>
      </c>
      <c r="BZ204" s="2" t="e">
        <f ca="1"/>
        <v>#NAME?</v>
      </c>
      <c r="CA204" s="2" t="e">
        <f t="shared" ca="1" si="179"/>
        <v>#NAME?</v>
      </c>
      <c r="CB204" s="2" t="e">
        <f ca="1"/>
        <v>#NAME?</v>
      </c>
      <c r="CC204" s="2" t="e">
        <f t="shared" ca="1" si="180"/>
        <v>#NAME?</v>
      </c>
      <c r="CD204" s="2" t="e">
        <f ca="1"/>
        <v>#NAME?</v>
      </c>
      <c r="CE204" s="2" t="e">
        <f t="shared" ca="1" si="181"/>
        <v>#NAME?</v>
      </c>
      <c r="CF204" s="2" t="e">
        <f ca="1"/>
        <v>#NAME?</v>
      </c>
      <c r="CG204" s="2" t="e">
        <f t="shared" ca="1" si="182"/>
        <v>#NAME?</v>
      </c>
      <c r="CH204" s="2" t="e">
        <f ca="1"/>
        <v>#NAME?</v>
      </c>
      <c r="CI204" s="2" t="e">
        <f t="shared" ca="1" si="183"/>
        <v>#NAME?</v>
      </c>
      <c r="CJ204" s="2" t="e">
        <f ca="1"/>
        <v>#NAME?</v>
      </c>
      <c r="CK204" s="2" t="e">
        <f t="shared" ca="1" si="184"/>
        <v>#NAME?</v>
      </c>
      <c r="CL204" s="2" t="e">
        <f ca="1"/>
        <v>#NAME?</v>
      </c>
      <c r="CM204" s="2" t="e">
        <f t="shared" ca="1" si="185"/>
        <v>#NAME?</v>
      </c>
      <c r="CN204" s="2" t="e">
        <f ca="1"/>
        <v>#NAME?</v>
      </c>
      <c r="CO204" s="2" t="e">
        <f t="shared" ca="1" si="186"/>
        <v>#NAME?</v>
      </c>
      <c r="CP204" s="2" t="e">
        <f ca="1"/>
        <v>#NAME?</v>
      </c>
      <c r="CQ204" s="2" t="e">
        <f t="shared" ca="1" si="187"/>
        <v>#NAME?</v>
      </c>
    </row>
    <row r="205" spans="1:95">
      <c r="A205" s="7" t="e">
        <f ca="1"/>
        <v>#NAME?</v>
      </c>
      <c r="B205" s="2" t="e">
        <f ca="1"/>
        <v>#NAME?</v>
      </c>
      <c r="C205" s="2" t="e">
        <f t="shared" ca="1" si="141"/>
        <v>#NAME?</v>
      </c>
      <c r="D205" s="2" t="e">
        <f ca="1"/>
        <v>#NAME?</v>
      </c>
      <c r="E205" s="2" t="e">
        <f t="shared" ca="1" si="142"/>
        <v>#NAME?</v>
      </c>
      <c r="F205" s="2" t="e">
        <f ca="1"/>
        <v>#NAME?</v>
      </c>
      <c r="G205" s="2" t="e">
        <f t="shared" ca="1" si="143"/>
        <v>#NAME?</v>
      </c>
      <c r="H205" s="2" t="e">
        <f ca="1"/>
        <v>#NAME?</v>
      </c>
      <c r="I205" s="2" t="e">
        <f t="shared" ca="1" si="144"/>
        <v>#NAME?</v>
      </c>
      <c r="J205" s="2" t="e">
        <f ca="1"/>
        <v>#NAME?</v>
      </c>
      <c r="K205" s="2" t="e">
        <f t="shared" ca="1" si="145"/>
        <v>#NAME?</v>
      </c>
      <c r="L205" s="2" t="e">
        <f ca="1"/>
        <v>#NAME?</v>
      </c>
      <c r="M205" s="2" t="e">
        <f t="shared" ca="1" si="146"/>
        <v>#NAME?</v>
      </c>
      <c r="N205" s="2" t="e">
        <f ca="1"/>
        <v>#NAME?</v>
      </c>
      <c r="O205" s="2" t="e">
        <f t="shared" ca="1" si="147"/>
        <v>#NAME?</v>
      </c>
      <c r="P205" s="2" t="e">
        <f ca="1"/>
        <v>#NAME?</v>
      </c>
      <c r="Q205" s="2" t="e">
        <f t="shared" ca="1" si="148"/>
        <v>#NAME?</v>
      </c>
      <c r="R205" s="2" t="e">
        <f ca="1"/>
        <v>#NAME?</v>
      </c>
      <c r="S205" s="2" t="e">
        <f t="shared" ca="1" si="149"/>
        <v>#NAME?</v>
      </c>
      <c r="T205" s="2" t="e">
        <f ca="1"/>
        <v>#NAME?</v>
      </c>
      <c r="U205" s="2" t="e">
        <f t="shared" ca="1" si="150"/>
        <v>#NAME?</v>
      </c>
      <c r="V205" s="2" t="e">
        <f ca="1"/>
        <v>#NAME?</v>
      </c>
      <c r="W205" s="2" t="e">
        <f t="shared" ca="1" si="151"/>
        <v>#NAME?</v>
      </c>
      <c r="X205" s="2" t="e">
        <f ca="1"/>
        <v>#NAME?</v>
      </c>
      <c r="Y205" s="2" t="e">
        <f t="shared" ca="1" si="152"/>
        <v>#NAME?</v>
      </c>
      <c r="Z205" s="2" t="e">
        <f ca="1"/>
        <v>#NAME?</v>
      </c>
      <c r="AA205" s="2" t="e">
        <f t="shared" ca="1" si="153"/>
        <v>#NAME?</v>
      </c>
      <c r="AB205" s="2" t="e">
        <f ca="1"/>
        <v>#NAME?</v>
      </c>
      <c r="AC205" s="2" t="e">
        <f t="shared" ca="1" si="154"/>
        <v>#NAME?</v>
      </c>
      <c r="AD205" s="2" t="e">
        <f ca="1"/>
        <v>#NAME?</v>
      </c>
      <c r="AE205" s="2" t="e">
        <f t="shared" ca="1" si="155"/>
        <v>#NAME?</v>
      </c>
      <c r="AF205" s="2" t="e">
        <f ca="1"/>
        <v>#NAME?</v>
      </c>
      <c r="AG205" s="2" t="e">
        <f t="shared" ca="1" si="156"/>
        <v>#NAME?</v>
      </c>
      <c r="AH205" s="2" t="e">
        <f ca="1"/>
        <v>#NAME?</v>
      </c>
      <c r="AI205" s="2" t="e">
        <f t="shared" ca="1" si="157"/>
        <v>#NAME?</v>
      </c>
      <c r="AJ205" s="2" t="e">
        <f ca="1"/>
        <v>#NAME?</v>
      </c>
      <c r="AK205" s="2" t="e">
        <f t="shared" ca="1" si="158"/>
        <v>#NAME?</v>
      </c>
      <c r="AL205" s="2" t="e">
        <f ca="1"/>
        <v>#NAME?</v>
      </c>
      <c r="AM205" s="2" t="e">
        <f t="shared" ca="1" si="159"/>
        <v>#NAME?</v>
      </c>
      <c r="AN205" s="2" t="e">
        <f ca="1"/>
        <v>#NAME?</v>
      </c>
      <c r="AO205" s="2" t="e">
        <f t="shared" ca="1" si="160"/>
        <v>#NAME?</v>
      </c>
      <c r="AP205" s="2" t="e">
        <f ca="1"/>
        <v>#NAME?</v>
      </c>
      <c r="AQ205" s="2" t="e">
        <f t="shared" ca="1" si="161"/>
        <v>#NAME?</v>
      </c>
      <c r="AR205" s="2" t="e">
        <f ca="1"/>
        <v>#NAME?</v>
      </c>
      <c r="AS205" s="2" t="e">
        <f t="shared" ca="1" si="162"/>
        <v>#NAME?</v>
      </c>
      <c r="AT205" s="2" t="e">
        <f ca="1"/>
        <v>#NAME?</v>
      </c>
      <c r="AU205" s="2" t="e">
        <f t="shared" ca="1" si="163"/>
        <v>#NAME?</v>
      </c>
      <c r="AV205" s="2" t="e">
        <f ca="1"/>
        <v>#NAME?</v>
      </c>
      <c r="AW205" s="2" t="e">
        <f t="shared" ca="1" si="164"/>
        <v>#NAME?</v>
      </c>
      <c r="AX205" s="2" t="e">
        <f ca="1"/>
        <v>#NAME?</v>
      </c>
      <c r="AY205" s="2" t="e">
        <f t="shared" ca="1" si="165"/>
        <v>#NAME?</v>
      </c>
      <c r="AZ205" s="2" t="e">
        <f ca="1"/>
        <v>#NAME?</v>
      </c>
      <c r="BA205" s="2" t="e">
        <f t="shared" ca="1" si="166"/>
        <v>#NAME?</v>
      </c>
      <c r="BB205" s="2" t="e">
        <f ca="1"/>
        <v>#NAME?</v>
      </c>
      <c r="BC205" s="2" t="e">
        <f t="shared" ca="1" si="167"/>
        <v>#NAME?</v>
      </c>
      <c r="BD205" s="2" t="e">
        <f ca="1"/>
        <v>#NAME?</v>
      </c>
      <c r="BE205" s="2" t="e">
        <f t="shared" ca="1" si="168"/>
        <v>#NAME?</v>
      </c>
      <c r="BF205" s="2" t="e">
        <f ca="1"/>
        <v>#NAME?</v>
      </c>
      <c r="BG205" s="2" t="e">
        <f t="shared" ca="1" si="169"/>
        <v>#NAME?</v>
      </c>
      <c r="BH205" s="2" t="e">
        <f ca="1"/>
        <v>#NAME?</v>
      </c>
      <c r="BI205" s="2" t="e">
        <f t="shared" ca="1" si="170"/>
        <v>#NAME?</v>
      </c>
      <c r="BJ205" s="2" t="e">
        <f ca="1"/>
        <v>#NAME?</v>
      </c>
      <c r="BK205" s="2" t="e">
        <f t="shared" ca="1" si="171"/>
        <v>#NAME?</v>
      </c>
      <c r="BL205" s="2" t="e">
        <f ca="1"/>
        <v>#NAME?</v>
      </c>
      <c r="BM205" s="2" t="e">
        <f t="shared" ca="1" si="172"/>
        <v>#NAME?</v>
      </c>
      <c r="BN205" s="2" t="e">
        <f ca="1"/>
        <v>#NAME?</v>
      </c>
      <c r="BO205" s="2" t="e">
        <f t="shared" ca="1" si="173"/>
        <v>#NAME?</v>
      </c>
      <c r="BP205" s="2" t="e">
        <f ca="1"/>
        <v>#NAME?</v>
      </c>
      <c r="BQ205" s="2" t="e">
        <f t="shared" ca="1" si="174"/>
        <v>#NAME?</v>
      </c>
      <c r="BR205" s="2" t="e">
        <f ca="1"/>
        <v>#NAME?</v>
      </c>
      <c r="BS205" s="2" t="e">
        <f t="shared" ca="1" si="175"/>
        <v>#NAME?</v>
      </c>
      <c r="BT205" s="2" t="e">
        <f ca="1"/>
        <v>#NAME?</v>
      </c>
      <c r="BU205" s="2" t="e">
        <f t="shared" ca="1" si="176"/>
        <v>#NAME?</v>
      </c>
      <c r="BV205" s="2" t="e">
        <f ca="1"/>
        <v>#NAME?</v>
      </c>
      <c r="BW205" s="2" t="e">
        <f t="shared" ca="1" si="177"/>
        <v>#NAME?</v>
      </c>
      <c r="BX205" s="2" t="e">
        <f ca="1"/>
        <v>#NAME?</v>
      </c>
      <c r="BY205" s="2" t="e">
        <f t="shared" ca="1" si="178"/>
        <v>#NAME?</v>
      </c>
      <c r="BZ205" s="2" t="e">
        <f ca="1"/>
        <v>#NAME?</v>
      </c>
      <c r="CA205" s="2" t="e">
        <f t="shared" ca="1" si="179"/>
        <v>#NAME?</v>
      </c>
      <c r="CB205" s="2" t="e">
        <f ca="1"/>
        <v>#NAME?</v>
      </c>
      <c r="CC205" s="2" t="e">
        <f t="shared" ca="1" si="180"/>
        <v>#NAME?</v>
      </c>
      <c r="CD205" s="2" t="e">
        <f ca="1"/>
        <v>#NAME?</v>
      </c>
      <c r="CE205" s="2" t="e">
        <f t="shared" ca="1" si="181"/>
        <v>#NAME?</v>
      </c>
      <c r="CF205" s="2" t="e">
        <f ca="1"/>
        <v>#NAME?</v>
      </c>
      <c r="CG205" s="2" t="e">
        <f t="shared" ca="1" si="182"/>
        <v>#NAME?</v>
      </c>
      <c r="CH205" s="2" t="e">
        <f ca="1"/>
        <v>#NAME?</v>
      </c>
      <c r="CI205" s="2" t="e">
        <f t="shared" ca="1" si="183"/>
        <v>#NAME?</v>
      </c>
      <c r="CJ205" s="2" t="e">
        <f ca="1"/>
        <v>#NAME?</v>
      </c>
      <c r="CK205" s="2" t="e">
        <f t="shared" ca="1" si="184"/>
        <v>#NAME?</v>
      </c>
      <c r="CL205" s="2" t="e">
        <f ca="1"/>
        <v>#NAME?</v>
      </c>
      <c r="CM205" s="2" t="e">
        <f t="shared" ca="1" si="185"/>
        <v>#NAME?</v>
      </c>
      <c r="CN205" s="2" t="e">
        <f ca="1"/>
        <v>#NAME?</v>
      </c>
      <c r="CO205" s="2" t="e">
        <f t="shared" ca="1" si="186"/>
        <v>#NAME?</v>
      </c>
      <c r="CP205" s="2" t="e">
        <f ca="1"/>
        <v>#NAME?</v>
      </c>
      <c r="CQ205" s="2" t="e">
        <f t="shared" ca="1" si="187"/>
        <v>#NAME?</v>
      </c>
    </row>
    <row r="206" spans="1:95">
      <c r="A206" s="7" t="e">
        <f ca="1"/>
        <v>#NAME?</v>
      </c>
      <c r="B206" s="2" t="e">
        <f ca="1"/>
        <v>#NAME?</v>
      </c>
      <c r="C206" s="2" t="e">
        <f t="shared" ca="1" si="141"/>
        <v>#NAME?</v>
      </c>
      <c r="D206" s="2" t="e">
        <f ca="1"/>
        <v>#NAME?</v>
      </c>
      <c r="E206" s="2" t="e">
        <f t="shared" ca="1" si="142"/>
        <v>#NAME?</v>
      </c>
      <c r="F206" s="2" t="e">
        <f ca="1"/>
        <v>#NAME?</v>
      </c>
      <c r="G206" s="2" t="e">
        <f t="shared" ca="1" si="143"/>
        <v>#NAME?</v>
      </c>
      <c r="H206" s="2" t="e">
        <f ca="1"/>
        <v>#NAME?</v>
      </c>
      <c r="I206" s="2" t="e">
        <f t="shared" ca="1" si="144"/>
        <v>#NAME?</v>
      </c>
      <c r="J206" s="2" t="e">
        <f ca="1"/>
        <v>#NAME?</v>
      </c>
      <c r="K206" s="2" t="e">
        <f t="shared" ca="1" si="145"/>
        <v>#NAME?</v>
      </c>
      <c r="L206" s="2" t="e">
        <f ca="1"/>
        <v>#NAME?</v>
      </c>
      <c r="M206" s="2" t="e">
        <f t="shared" ca="1" si="146"/>
        <v>#NAME?</v>
      </c>
      <c r="N206" s="2" t="e">
        <f ca="1"/>
        <v>#NAME?</v>
      </c>
      <c r="O206" s="2" t="e">
        <f t="shared" ca="1" si="147"/>
        <v>#NAME?</v>
      </c>
      <c r="P206" s="2" t="e">
        <f ca="1"/>
        <v>#NAME?</v>
      </c>
      <c r="Q206" s="2" t="e">
        <f t="shared" ca="1" si="148"/>
        <v>#NAME?</v>
      </c>
      <c r="R206" s="2" t="e">
        <f ca="1"/>
        <v>#NAME?</v>
      </c>
      <c r="S206" s="2" t="e">
        <f t="shared" ca="1" si="149"/>
        <v>#NAME?</v>
      </c>
      <c r="T206" s="2" t="e">
        <f ca="1"/>
        <v>#NAME?</v>
      </c>
      <c r="U206" s="2" t="e">
        <f t="shared" ca="1" si="150"/>
        <v>#NAME?</v>
      </c>
      <c r="V206" s="2" t="e">
        <f ca="1"/>
        <v>#NAME?</v>
      </c>
      <c r="W206" s="2" t="e">
        <f t="shared" ca="1" si="151"/>
        <v>#NAME?</v>
      </c>
      <c r="X206" s="2" t="e">
        <f ca="1"/>
        <v>#NAME?</v>
      </c>
      <c r="Y206" s="2" t="e">
        <f t="shared" ca="1" si="152"/>
        <v>#NAME?</v>
      </c>
      <c r="Z206" s="2" t="e">
        <f ca="1"/>
        <v>#NAME?</v>
      </c>
      <c r="AA206" s="2" t="e">
        <f t="shared" ca="1" si="153"/>
        <v>#NAME?</v>
      </c>
      <c r="AB206" s="2" t="e">
        <f ca="1"/>
        <v>#NAME?</v>
      </c>
      <c r="AC206" s="2" t="e">
        <f t="shared" ca="1" si="154"/>
        <v>#NAME?</v>
      </c>
      <c r="AD206" s="2" t="e">
        <f ca="1"/>
        <v>#NAME?</v>
      </c>
      <c r="AE206" s="2" t="e">
        <f t="shared" ca="1" si="155"/>
        <v>#NAME?</v>
      </c>
      <c r="AF206" s="2" t="e">
        <f ca="1"/>
        <v>#NAME?</v>
      </c>
      <c r="AG206" s="2" t="e">
        <f t="shared" ca="1" si="156"/>
        <v>#NAME?</v>
      </c>
      <c r="AH206" s="2" t="e">
        <f ca="1"/>
        <v>#NAME?</v>
      </c>
      <c r="AI206" s="2" t="e">
        <f t="shared" ca="1" si="157"/>
        <v>#NAME?</v>
      </c>
      <c r="AJ206" s="2" t="e">
        <f ca="1"/>
        <v>#NAME?</v>
      </c>
      <c r="AK206" s="2" t="e">
        <f t="shared" ca="1" si="158"/>
        <v>#NAME?</v>
      </c>
      <c r="AL206" s="2" t="e">
        <f ca="1"/>
        <v>#NAME?</v>
      </c>
      <c r="AM206" s="2" t="e">
        <f t="shared" ca="1" si="159"/>
        <v>#NAME?</v>
      </c>
      <c r="AN206" s="2" t="e">
        <f ca="1"/>
        <v>#NAME?</v>
      </c>
      <c r="AO206" s="2" t="e">
        <f t="shared" ca="1" si="160"/>
        <v>#NAME?</v>
      </c>
      <c r="AP206" s="2" t="e">
        <f ca="1"/>
        <v>#NAME?</v>
      </c>
      <c r="AQ206" s="2" t="e">
        <f t="shared" ca="1" si="161"/>
        <v>#NAME?</v>
      </c>
      <c r="AR206" s="2" t="e">
        <f ca="1"/>
        <v>#NAME?</v>
      </c>
      <c r="AS206" s="2" t="e">
        <f t="shared" ca="1" si="162"/>
        <v>#NAME?</v>
      </c>
      <c r="AT206" s="2" t="e">
        <f ca="1"/>
        <v>#NAME?</v>
      </c>
      <c r="AU206" s="2" t="e">
        <f t="shared" ca="1" si="163"/>
        <v>#NAME?</v>
      </c>
      <c r="AV206" s="2" t="e">
        <f ca="1"/>
        <v>#NAME?</v>
      </c>
      <c r="AW206" s="2" t="e">
        <f t="shared" ca="1" si="164"/>
        <v>#NAME?</v>
      </c>
      <c r="AX206" s="2" t="e">
        <f ca="1"/>
        <v>#NAME?</v>
      </c>
      <c r="AY206" s="2" t="e">
        <f t="shared" ca="1" si="165"/>
        <v>#NAME?</v>
      </c>
      <c r="AZ206" s="2" t="e">
        <f ca="1"/>
        <v>#NAME?</v>
      </c>
      <c r="BA206" s="2" t="e">
        <f t="shared" ca="1" si="166"/>
        <v>#NAME?</v>
      </c>
      <c r="BB206" s="2" t="e">
        <f ca="1"/>
        <v>#NAME?</v>
      </c>
      <c r="BC206" s="2" t="e">
        <f t="shared" ca="1" si="167"/>
        <v>#NAME?</v>
      </c>
      <c r="BD206" s="2" t="e">
        <f ca="1"/>
        <v>#NAME?</v>
      </c>
      <c r="BE206" s="2" t="e">
        <f t="shared" ca="1" si="168"/>
        <v>#NAME?</v>
      </c>
      <c r="BF206" s="2" t="e">
        <f ca="1"/>
        <v>#NAME?</v>
      </c>
      <c r="BG206" s="2" t="e">
        <f t="shared" ca="1" si="169"/>
        <v>#NAME?</v>
      </c>
      <c r="BH206" s="2" t="e">
        <f ca="1"/>
        <v>#NAME?</v>
      </c>
      <c r="BI206" s="2" t="e">
        <f t="shared" ca="1" si="170"/>
        <v>#NAME?</v>
      </c>
      <c r="BJ206" s="2" t="e">
        <f ca="1"/>
        <v>#NAME?</v>
      </c>
      <c r="BK206" s="2" t="e">
        <f t="shared" ca="1" si="171"/>
        <v>#NAME?</v>
      </c>
      <c r="BL206" s="2" t="e">
        <f ca="1"/>
        <v>#NAME?</v>
      </c>
      <c r="BM206" s="2" t="e">
        <f t="shared" ca="1" si="172"/>
        <v>#NAME?</v>
      </c>
      <c r="BN206" s="2" t="e">
        <f ca="1"/>
        <v>#NAME?</v>
      </c>
      <c r="BO206" s="2" t="e">
        <f t="shared" ca="1" si="173"/>
        <v>#NAME?</v>
      </c>
      <c r="BP206" s="2" t="e">
        <f ca="1"/>
        <v>#NAME?</v>
      </c>
      <c r="BQ206" s="2" t="e">
        <f t="shared" ca="1" si="174"/>
        <v>#NAME?</v>
      </c>
      <c r="BR206" s="2" t="e">
        <f ca="1"/>
        <v>#NAME?</v>
      </c>
      <c r="BS206" s="2" t="e">
        <f t="shared" ca="1" si="175"/>
        <v>#NAME?</v>
      </c>
      <c r="BT206" s="2" t="e">
        <f ca="1"/>
        <v>#NAME?</v>
      </c>
      <c r="BU206" s="2" t="e">
        <f t="shared" ca="1" si="176"/>
        <v>#NAME?</v>
      </c>
      <c r="BV206" s="2" t="e">
        <f ca="1"/>
        <v>#NAME?</v>
      </c>
      <c r="BW206" s="2" t="e">
        <f t="shared" ca="1" si="177"/>
        <v>#NAME?</v>
      </c>
      <c r="BX206" s="2" t="e">
        <f ca="1"/>
        <v>#NAME?</v>
      </c>
      <c r="BY206" s="2" t="e">
        <f t="shared" ca="1" si="178"/>
        <v>#NAME?</v>
      </c>
      <c r="BZ206" s="2" t="e">
        <f ca="1"/>
        <v>#NAME?</v>
      </c>
      <c r="CA206" s="2" t="e">
        <f t="shared" ca="1" si="179"/>
        <v>#NAME?</v>
      </c>
      <c r="CB206" s="2" t="e">
        <f ca="1"/>
        <v>#NAME?</v>
      </c>
      <c r="CC206" s="2" t="e">
        <f t="shared" ca="1" si="180"/>
        <v>#NAME?</v>
      </c>
      <c r="CD206" s="2" t="e">
        <f ca="1"/>
        <v>#NAME?</v>
      </c>
      <c r="CE206" s="2" t="e">
        <f t="shared" ca="1" si="181"/>
        <v>#NAME?</v>
      </c>
      <c r="CF206" s="2" t="e">
        <f ca="1"/>
        <v>#NAME?</v>
      </c>
      <c r="CG206" s="2" t="e">
        <f t="shared" ca="1" si="182"/>
        <v>#NAME?</v>
      </c>
      <c r="CH206" s="2" t="e">
        <f ca="1"/>
        <v>#NAME?</v>
      </c>
      <c r="CI206" s="2" t="e">
        <f t="shared" ca="1" si="183"/>
        <v>#NAME?</v>
      </c>
      <c r="CJ206" s="2" t="e">
        <f ca="1"/>
        <v>#NAME?</v>
      </c>
      <c r="CK206" s="2" t="e">
        <f t="shared" ca="1" si="184"/>
        <v>#NAME?</v>
      </c>
      <c r="CL206" s="2" t="e">
        <f ca="1"/>
        <v>#NAME?</v>
      </c>
      <c r="CM206" s="2" t="e">
        <f t="shared" ca="1" si="185"/>
        <v>#NAME?</v>
      </c>
      <c r="CN206" s="2" t="e">
        <f ca="1"/>
        <v>#NAME?</v>
      </c>
      <c r="CO206" s="2" t="e">
        <f t="shared" ca="1" si="186"/>
        <v>#NAME?</v>
      </c>
      <c r="CP206" s="2" t="e">
        <f ca="1"/>
        <v>#NAME?</v>
      </c>
      <c r="CQ206" s="2" t="e">
        <f t="shared" ca="1" si="187"/>
        <v>#NAME?</v>
      </c>
    </row>
    <row r="207" spans="1:95">
      <c r="A207" s="7" t="e">
        <f ca="1"/>
        <v>#NAME?</v>
      </c>
      <c r="B207" s="2" t="e">
        <f ca="1"/>
        <v>#NAME?</v>
      </c>
      <c r="C207" s="2" t="e">
        <f t="shared" ca="1" si="141"/>
        <v>#NAME?</v>
      </c>
      <c r="D207" s="2" t="e">
        <f ca="1"/>
        <v>#NAME?</v>
      </c>
      <c r="E207" s="2" t="e">
        <f t="shared" ca="1" si="142"/>
        <v>#NAME?</v>
      </c>
      <c r="F207" s="2" t="e">
        <f ca="1"/>
        <v>#NAME?</v>
      </c>
      <c r="G207" s="2" t="e">
        <f t="shared" ca="1" si="143"/>
        <v>#NAME?</v>
      </c>
      <c r="H207" s="2" t="e">
        <f ca="1"/>
        <v>#NAME?</v>
      </c>
      <c r="I207" s="2" t="e">
        <f t="shared" ca="1" si="144"/>
        <v>#NAME?</v>
      </c>
      <c r="J207" s="2" t="e">
        <f ca="1"/>
        <v>#NAME?</v>
      </c>
      <c r="K207" s="2" t="e">
        <f t="shared" ca="1" si="145"/>
        <v>#NAME?</v>
      </c>
      <c r="L207" s="2" t="e">
        <f ca="1"/>
        <v>#NAME?</v>
      </c>
      <c r="M207" s="2" t="e">
        <f t="shared" ca="1" si="146"/>
        <v>#NAME?</v>
      </c>
      <c r="N207" s="2" t="e">
        <f ca="1"/>
        <v>#NAME?</v>
      </c>
      <c r="O207" s="2" t="e">
        <f t="shared" ca="1" si="147"/>
        <v>#NAME?</v>
      </c>
      <c r="P207" s="2" t="e">
        <f ca="1"/>
        <v>#NAME?</v>
      </c>
      <c r="Q207" s="2" t="e">
        <f t="shared" ca="1" si="148"/>
        <v>#NAME?</v>
      </c>
      <c r="R207" s="2" t="e">
        <f ca="1"/>
        <v>#NAME?</v>
      </c>
      <c r="S207" s="2" t="e">
        <f t="shared" ca="1" si="149"/>
        <v>#NAME?</v>
      </c>
      <c r="T207" s="2" t="e">
        <f ca="1"/>
        <v>#NAME?</v>
      </c>
      <c r="U207" s="2" t="e">
        <f t="shared" ca="1" si="150"/>
        <v>#NAME?</v>
      </c>
      <c r="V207" s="2" t="e">
        <f ca="1"/>
        <v>#NAME?</v>
      </c>
      <c r="W207" s="2" t="e">
        <f t="shared" ca="1" si="151"/>
        <v>#NAME?</v>
      </c>
      <c r="X207" s="2" t="e">
        <f ca="1"/>
        <v>#NAME?</v>
      </c>
      <c r="Y207" s="2" t="e">
        <f t="shared" ca="1" si="152"/>
        <v>#NAME?</v>
      </c>
      <c r="Z207" s="2" t="e">
        <f ca="1"/>
        <v>#NAME?</v>
      </c>
      <c r="AA207" s="2" t="e">
        <f t="shared" ca="1" si="153"/>
        <v>#NAME?</v>
      </c>
      <c r="AB207" s="2" t="e">
        <f ca="1"/>
        <v>#NAME?</v>
      </c>
      <c r="AC207" s="2" t="e">
        <f t="shared" ca="1" si="154"/>
        <v>#NAME?</v>
      </c>
      <c r="AD207" s="2" t="e">
        <f ca="1"/>
        <v>#NAME?</v>
      </c>
      <c r="AE207" s="2" t="e">
        <f t="shared" ca="1" si="155"/>
        <v>#NAME?</v>
      </c>
      <c r="AF207" s="2" t="e">
        <f ca="1"/>
        <v>#NAME?</v>
      </c>
      <c r="AG207" s="2" t="e">
        <f t="shared" ca="1" si="156"/>
        <v>#NAME?</v>
      </c>
      <c r="AH207" s="2" t="e">
        <f ca="1"/>
        <v>#NAME?</v>
      </c>
      <c r="AI207" s="2" t="e">
        <f t="shared" ca="1" si="157"/>
        <v>#NAME?</v>
      </c>
      <c r="AJ207" s="2" t="e">
        <f ca="1"/>
        <v>#NAME?</v>
      </c>
      <c r="AK207" s="2" t="e">
        <f t="shared" ca="1" si="158"/>
        <v>#NAME?</v>
      </c>
      <c r="AL207" s="2" t="e">
        <f ca="1"/>
        <v>#NAME?</v>
      </c>
      <c r="AM207" s="2" t="e">
        <f t="shared" ca="1" si="159"/>
        <v>#NAME?</v>
      </c>
      <c r="AN207" s="2" t="e">
        <f ca="1"/>
        <v>#NAME?</v>
      </c>
      <c r="AO207" s="2" t="e">
        <f t="shared" ca="1" si="160"/>
        <v>#NAME?</v>
      </c>
      <c r="AP207" s="2" t="e">
        <f ca="1"/>
        <v>#NAME?</v>
      </c>
      <c r="AQ207" s="2" t="e">
        <f t="shared" ca="1" si="161"/>
        <v>#NAME?</v>
      </c>
      <c r="AR207" s="2" t="e">
        <f ca="1"/>
        <v>#NAME?</v>
      </c>
      <c r="AS207" s="2" t="e">
        <f t="shared" ca="1" si="162"/>
        <v>#NAME?</v>
      </c>
      <c r="AT207" s="2" t="e">
        <f ca="1"/>
        <v>#NAME?</v>
      </c>
      <c r="AU207" s="2" t="e">
        <f t="shared" ca="1" si="163"/>
        <v>#NAME?</v>
      </c>
      <c r="AV207" s="2" t="e">
        <f ca="1"/>
        <v>#NAME?</v>
      </c>
      <c r="AW207" s="2" t="e">
        <f t="shared" ca="1" si="164"/>
        <v>#NAME?</v>
      </c>
      <c r="AX207" s="2" t="e">
        <f ca="1"/>
        <v>#NAME?</v>
      </c>
      <c r="AY207" s="2" t="e">
        <f t="shared" ca="1" si="165"/>
        <v>#NAME?</v>
      </c>
      <c r="AZ207" s="2" t="e">
        <f ca="1"/>
        <v>#NAME?</v>
      </c>
      <c r="BA207" s="2" t="e">
        <f t="shared" ca="1" si="166"/>
        <v>#NAME?</v>
      </c>
      <c r="BB207" s="2" t="e">
        <f ca="1"/>
        <v>#NAME?</v>
      </c>
      <c r="BC207" s="2" t="e">
        <f t="shared" ca="1" si="167"/>
        <v>#NAME?</v>
      </c>
      <c r="BD207" s="2" t="e">
        <f ca="1"/>
        <v>#NAME?</v>
      </c>
      <c r="BE207" s="2" t="e">
        <f t="shared" ca="1" si="168"/>
        <v>#NAME?</v>
      </c>
      <c r="BF207" s="2" t="e">
        <f ca="1"/>
        <v>#NAME?</v>
      </c>
      <c r="BG207" s="2" t="e">
        <f t="shared" ca="1" si="169"/>
        <v>#NAME?</v>
      </c>
      <c r="BH207" s="2" t="e">
        <f ca="1"/>
        <v>#NAME?</v>
      </c>
      <c r="BI207" s="2" t="e">
        <f t="shared" ca="1" si="170"/>
        <v>#NAME?</v>
      </c>
      <c r="BJ207" s="2" t="e">
        <f ca="1"/>
        <v>#NAME?</v>
      </c>
      <c r="BK207" s="2" t="e">
        <f t="shared" ca="1" si="171"/>
        <v>#NAME?</v>
      </c>
      <c r="BL207" s="2" t="e">
        <f ca="1"/>
        <v>#NAME?</v>
      </c>
      <c r="BM207" s="2" t="e">
        <f t="shared" ca="1" si="172"/>
        <v>#NAME?</v>
      </c>
      <c r="BN207" s="2" t="e">
        <f ca="1"/>
        <v>#NAME?</v>
      </c>
      <c r="BO207" s="2" t="e">
        <f t="shared" ca="1" si="173"/>
        <v>#NAME?</v>
      </c>
      <c r="BP207" s="2" t="e">
        <f ca="1"/>
        <v>#NAME?</v>
      </c>
      <c r="BQ207" s="2" t="e">
        <f t="shared" ca="1" si="174"/>
        <v>#NAME?</v>
      </c>
      <c r="BR207" s="2" t="e">
        <f ca="1"/>
        <v>#NAME?</v>
      </c>
      <c r="BS207" s="2" t="e">
        <f t="shared" ca="1" si="175"/>
        <v>#NAME?</v>
      </c>
      <c r="BT207" s="2" t="e">
        <f ca="1"/>
        <v>#NAME?</v>
      </c>
      <c r="BU207" s="2" t="e">
        <f t="shared" ca="1" si="176"/>
        <v>#NAME?</v>
      </c>
      <c r="BV207" s="2" t="e">
        <f ca="1"/>
        <v>#NAME?</v>
      </c>
      <c r="BW207" s="2" t="e">
        <f t="shared" ca="1" si="177"/>
        <v>#NAME?</v>
      </c>
      <c r="BX207" s="2" t="e">
        <f ca="1"/>
        <v>#NAME?</v>
      </c>
      <c r="BY207" s="2" t="e">
        <f t="shared" ca="1" si="178"/>
        <v>#NAME?</v>
      </c>
      <c r="BZ207" s="2" t="e">
        <f ca="1"/>
        <v>#NAME?</v>
      </c>
      <c r="CA207" s="2" t="e">
        <f t="shared" ca="1" si="179"/>
        <v>#NAME?</v>
      </c>
      <c r="CB207" s="2" t="e">
        <f ca="1"/>
        <v>#NAME?</v>
      </c>
      <c r="CC207" s="2" t="e">
        <f t="shared" ca="1" si="180"/>
        <v>#NAME?</v>
      </c>
      <c r="CD207" s="2" t="e">
        <f ca="1"/>
        <v>#NAME?</v>
      </c>
      <c r="CE207" s="2" t="e">
        <f t="shared" ca="1" si="181"/>
        <v>#NAME?</v>
      </c>
      <c r="CF207" s="2" t="e">
        <f ca="1"/>
        <v>#NAME?</v>
      </c>
      <c r="CG207" s="2" t="e">
        <f t="shared" ca="1" si="182"/>
        <v>#NAME?</v>
      </c>
      <c r="CH207" s="2" t="e">
        <f ca="1"/>
        <v>#NAME?</v>
      </c>
      <c r="CI207" s="2" t="e">
        <f t="shared" ca="1" si="183"/>
        <v>#NAME?</v>
      </c>
      <c r="CJ207" s="2" t="e">
        <f ca="1"/>
        <v>#NAME?</v>
      </c>
      <c r="CK207" s="2" t="e">
        <f t="shared" ca="1" si="184"/>
        <v>#NAME?</v>
      </c>
      <c r="CL207" s="2" t="e">
        <f ca="1"/>
        <v>#NAME?</v>
      </c>
      <c r="CM207" s="2" t="e">
        <f t="shared" ca="1" si="185"/>
        <v>#NAME?</v>
      </c>
      <c r="CN207" s="2" t="e">
        <f ca="1"/>
        <v>#NAME?</v>
      </c>
      <c r="CO207" s="2" t="e">
        <f t="shared" ca="1" si="186"/>
        <v>#NAME?</v>
      </c>
      <c r="CP207" s="2" t="e">
        <f ca="1"/>
        <v>#NAME?</v>
      </c>
      <c r="CQ207" s="2" t="e">
        <f t="shared" ca="1" si="187"/>
        <v>#NAME?</v>
      </c>
    </row>
    <row r="208" spans="1:95">
      <c r="A208" s="7" t="e">
        <f ca="1"/>
        <v>#NAME?</v>
      </c>
      <c r="B208" s="2" t="e">
        <f ca="1"/>
        <v>#NAME?</v>
      </c>
      <c r="C208" s="2" t="e">
        <f t="shared" ca="1" si="141"/>
        <v>#NAME?</v>
      </c>
      <c r="D208" s="2" t="e">
        <f ca="1"/>
        <v>#NAME?</v>
      </c>
      <c r="E208" s="2" t="e">
        <f t="shared" ca="1" si="142"/>
        <v>#NAME?</v>
      </c>
      <c r="F208" s="2" t="e">
        <f ca="1"/>
        <v>#NAME?</v>
      </c>
      <c r="G208" s="2" t="e">
        <f t="shared" ca="1" si="143"/>
        <v>#NAME?</v>
      </c>
      <c r="H208" s="2" t="e">
        <f ca="1"/>
        <v>#NAME?</v>
      </c>
      <c r="I208" s="2" t="e">
        <f t="shared" ca="1" si="144"/>
        <v>#NAME?</v>
      </c>
      <c r="J208" s="2" t="e">
        <f ca="1"/>
        <v>#NAME?</v>
      </c>
      <c r="K208" s="2" t="e">
        <f t="shared" ca="1" si="145"/>
        <v>#NAME?</v>
      </c>
      <c r="L208" s="2" t="e">
        <f ca="1"/>
        <v>#NAME?</v>
      </c>
      <c r="M208" s="2" t="e">
        <f t="shared" ca="1" si="146"/>
        <v>#NAME?</v>
      </c>
      <c r="N208" s="2" t="e">
        <f ca="1"/>
        <v>#NAME?</v>
      </c>
      <c r="O208" s="2" t="e">
        <f t="shared" ca="1" si="147"/>
        <v>#NAME?</v>
      </c>
      <c r="P208" s="2" t="e">
        <f ca="1"/>
        <v>#NAME?</v>
      </c>
      <c r="Q208" s="2" t="e">
        <f t="shared" ca="1" si="148"/>
        <v>#NAME?</v>
      </c>
      <c r="R208" s="2" t="e">
        <f ca="1"/>
        <v>#NAME?</v>
      </c>
      <c r="S208" s="2" t="e">
        <f t="shared" ca="1" si="149"/>
        <v>#NAME?</v>
      </c>
      <c r="T208" s="2" t="e">
        <f ca="1"/>
        <v>#NAME?</v>
      </c>
      <c r="U208" s="2" t="e">
        <f t="shared" ca="1" si="150"/>
        <v>#NAME?</v>
      </c>
      <c r="V208" s="2" t="e">
        <f ca="1"/>
        <v>#NAME?</v>
      </c>
      <c r="W208" s="2" t="e">
        <f t="shared" ca="1" si="151"/>
        <v>#NAME?</v>
      </c>
      <c r="X208" s="2" t="e">
        <f ca="1"/>
        <v>#NAME?</v>
      </c>
      <c r="Y208" s="2" t="e">
        <f t="shared" ca="1" si="152"/>
        <v>#NAME?</v>
      </c>
      <c r="Z208" s="2" t="e">
        <f ca="1"/>
        <v>#NAME?</v>
      </c>
      <c r="AA208" s="2" t="e">
        <f t="shared" ca="1" si="153"/>
        <v>#NAME?</v>
      </c>
      <c r="AB208" s="2" t="e">
        <f ca="1"/>
        <v>#NAME?</v>
      </c>
      <c r="AC208" s="2" t="e">
        <f t="shared" ca="1" si="154"/>
        <v>#NAME?</v>
      </c>
      <c r="AD208" s="2" t="e">
        <f ca="1"/>
        <v>#NAME?</v>
      </c>
      <c r="AE208" s="2" t="e">
        <f t="shared" ca="1" si="155"/>
        <v>#NAME?</v>
      </c>
      <c r="AF208" s="2" t="e">
        <f ca="1"/>
        <v>#NAME?</v>
      </c>
      <c r="AG208" s="2" t="e">
        <f t="shared" ca="1" si="156"/>
        <v>#NAME?</v>
      </c>
      <c r="AH208" s="2" t="e">
        <f ca="1"/>
        <v>#NAME?</v>
      </c>
      <c r="AI208" s="2" t="e">
        <f t="shared" ca="1" si="157"/>
        <v>#NAME?</v>
      </c>
      <c r="AJ208" s="2" t="e">
        <f ca="1"/>
        <v>#NAME?</v>
      </c>
      <c r="AK208" s="2" t="e">
        <f t="shared" ca="1" si="158"/>
        <v>#NAME?</v>
      </c>
      <c r="AL208" s="2" t="e">
        <f ca="1"/>
        <v>#NAME?</v>
      </c>
      <c r="AM208" s="2" t="e">
        <f t="shared" ca="1" si="159"/>
        <v>#NAME?</v>
      </c>
      <c r="AN208" s="2" t="e">
        <f ca="1"/>
        <v>#NAME?</v>
      </c>
      <c r="AO208" s="2" t="e">
        <f t="shared" ca="1" si="160"/>
        <v>#NAME?</v>
      </c>
      <c r="AP208" s="2" t="e">
        <f ca="1"/>
        <v>#NAME?</v>
      </c>
      <c r="AQ208" s="2" t="e">
        <f t="shared" ca="1" si="161"/>
        <v>#NAME?</v>
      </c>
      <c r="AR208" s="2" t="e">
        <f ca="1"/>
        <v>#NAME?</v>
      </c>
      <c r="AS208" s="2" t="e">
        <f t="shared" ca="1" si="162"/>
        <v>#NAME?</v>
      </c>
      <c r="AT208" s="2" t="e">
        <f ca="1"/>
        <v>#NAME?</v>
      </c>
      <c r="AU208" s="2" t="e">
        <f t="shared" ca="1" si="163"/>
        <v>#NAME?</v>
      </c>
      <c r="AV208" s="2" t="e">
        <f ca="1"/>
        <v>#NAME?</v>
      </c>
      <c r="AW208" s="2" t="e">
        <f t="shared" ca="1" si="164"/>
        <v>#NAME?</v>
      </c>
      <c r="AX208" s="2" t="e">
        <f ca="1"/>
        <v>#NAME?</v>
      </c>
      <c r="AY208" s="2" t="e">
        <f t="shared" ca="1" si="165"/>
        <v>#NAME?</v>
      </c>
      <c r="AZ208" s="2" t="e">
        <f ca="1"/>
        <v>#NAME?</v>
      </c>
      <c r="BA208" s="2" t="e">
        <f t="shared" ca="1" si="166"/>
        <v>#NAME?</v>
      </c>
      <c r="BB208" s="2" t="e">
        <f ca="1"/>
        <v>#NAME?</v>
      </c>
      <c r="BC208" s="2" t="e">
        <f t="shared" ca="1" si="167"/>
        <v>#NAME?</v>
      </c>
      <c r="BD208" s="2" t="e">
        <f ca="1"/>
        <v>#NAME?</v>
      </c>
      <c r="BE208" s="2" t="e">
        <f t="shared" ca="1" si="168"/>
        <v>#NAME?</v>
      </c>
      <c r="BF208" s="2" t="e">
        <f ca="1"/>
        <v>#NAME?</v>
      </c>
      <c r="BG208" s="2" t="e">
        <f t="shared" ca="1" si="169"/>
        <v>#NAME?</v>
      </c>
      <c r="BH208" s="2" t="e">
        <f ca="1"/>
        <v>#NAME?</v>
      </c>
      <c r="BI208" s="2" t="e">
        <f t="shared" ca="1" si="170"/>
        <v>#NAME?</v>
      </c>
      <c r="BJ208" s="2" t="e">
        <f ca="1"/>
        <v>#NAME?</v>
      </c>
      <c r="BK208" s="2" t="e">
        <f t="shared" ca="1" si="171"/>
        <v>#NAME?</v>
      </c>
      <c r="BL208" s="2" t="e">
        <f ca="1"/>
        <v>#NAME?</v>
      </c>
      <c r="BM208" s="2" t="e">
        <f t="shared" ca="1" si="172"/>
        <v>#NAME?</v>
      </c>
      <c r="BN208" s="2" t="e">
        <f ca="1"/>
        <v>#NAME?</v>
      </c>
      <c r="BO208" s="2" t="e">
        <f t="shared" ca="1" si="173"/>
        <v>#NAME?</v>
      </c>
      <c r="BP208" s="2" t="e">
        <f ca="1"/>
        <v>#NAME?</v>
      </c>
      <c r="BQ208" s="2" t="e">
        <f t="shared" ca="1" si="174"/>
        <v>#NAME?</v>
      </c>
      <c r="BR208" s="2" t="e">
        <f ca="1"/>
        <v>#NAME?</v>
      </c>
      <c r="BS208" s="2" t="e">
        <f t="shared" ca="1" si="175"/>
        <v>#NAME?</v>
      </c>
      <c r="BT208" s="2" t="e">
        <f ca="1"/>
        <v>#NAME?</v>
      </c>
      <c r="BU208" s="2" t="e">
        <f t="shared" ca="1" si="176"/>
        <v>#NAME?</v>
      </c>
      <c r="BV208" s="2" t="e">
        <f ca="1"/>
        <v>#NAME?</v>
      </c>
      <c r="BW208" s="2" t="e">
        <f t="shared" ca="1" si="177"/>
        <v>#NAME?</v>
      </c>
      <c r="BX208" s="2" t="e">
        <f ca="1"/>
        <v>#NAME?</v>
      </c>
      <c r="BY208" s="2" t="e">
        <f t="shared" ca="1" si="178"/>
        <v>#NAME?</v>
      </c>
      <c r="BZ208" s="2" t="e">
        <f ca="1"/>
        <v>#NAME?</v>
      </c>
      <c r="CA208" s="2" t="e">
        <f t="shared" ca="1" si="179"/>
        <v>#NAME?</v>
      </c>
      <c r="CB208" s="2" t="e">
        <f ca="1"/>
        <v>#NAME?</v>
      </c>
      <c r="CC208" s="2" t="e">
        <f t="shared" ca="1" si="180"/>
        <v>#NAME?</v>
      </c>
      <c r="CD208" s="2" t="e">
        <f ca="1"/>
        <v>#NAME?</v>
      </c>
      <c r="CE208" s="2" t="e">
        <f t="shared" ca="1" si="181"/>
        <v>#NAME?</v>
      </c>
      <c r="CF208" s="2" t="e">
        <f ca="1"/>
        <v>#NAME?</v>
      </c>
      <c r="CG208" s="2" t="e">
        <f t="shared" ca="1" si="182"/>
        <v>#NAME?</v>
      </c>
      <c r="CH208" s="2" t="e">
        <f ca="1"/>
        <v>#NAME?</v>
      </c>
      <c r="CI208" s="2" t="e">
        <f t="shared" ca="1" si="183"/>
        <v>#NAME?</v>
      </c>
      <c r="CJ208" s="2" t="e">
        <f ca="1"/>
        <v>#NAME?</v>
      </c>
      <c r="CK208" s="2" t="e">
        <f t="shared" ca="1" si="184"/>
        <v>#NAME?</v>
      </c>
      <c r="CL208" s="2" t="e">
        <f ca="1"/>
        <v>#NAME?</v>
      </c>
      <c r="CM208" s="2" t="e">
        <f t="shared" ca="1" si="185"/>
        <v>#NAME?</v>
      </c>
      <c r="CN208" s="2" t="e">
        <f ca="1"/>
        <v>#NAME?</v>
      </c>
      <c r="CO208" s="2" t="e">
        <f t="shared" ca="1" si="186"/>
        <v>#NAME?</v>
      </c>
      <c r="CP208" s="2" t="e">
        <f ca="1"/>
        <v>#NAME?</v>
      </c>
      <c r="CQ208" s="2" t="e">
        <f t="shared" ca="1" si="187"/>
        <v>#NAME?</v>
      </c>
    </row>
    <row r="209" spans="1:95">
      <c r="A209" s="7" t="e">
        <f ca="1"/>
        <v>#NAME?</v>
      </c>
      <c r="B209" s="2" t="e">
        <f ca="1"/>
        <v>#NAME?</v>
      </c>
      <c r="C209" s="2" t="e">
        <f t="shared" ca="1" si="141"/>
        <v>#NAME?</v>
      </c>
      <c r="D209" s="2" t="e">
        <f ca="1"/>
        <v>#NAME?</v>
      </c>
      <c r="E209" s="2" t="e">
        <f t="shared" ca="1" si="142"/>
        <v>#NAME?</v>
      </c>
      <c r="F209" s="2" t="e">
        <f ca="1"/>
        <v>#NAME?</v>
      </c>
      <c r="G209" s="2" t="e">
        <f t="shared" ca="1" si="143"/>
        <v>#NAME?</v>
      </c>
      <c r="H209" s="2" t="e">
        <f ca="1"/>
        <v>#NAME?</v>
      </c>
      <c r="I209" s="2" t="e">
        <f t="shared" ca="1" si="144"/>
        <v>#NAME?</v>
      </c>
      <c r="J209" s="2" t="e">
        <f ca="1"/>
        <v>#NAME?</v>
      </c>
      <c r="K209" s="2" t="e">
        <f t="shared" ca="1" si="145"/>
        <v>#NAME?</v>
      </c>
      <c r="L209" s="2" t="e">
        <f ca="1"/>
        <v>#NAME?</v>
      </c>
      <c r="M209" s="2" t="e">
        <f t="shared" ca="1" si="146"/>
        <v>#NAME?</v>
      </c>
      <c r="N209" s="2" t="e">
        <f ca="1"/>
        <v>#NAME?</v>
      </c>
      <c r="O209" s="2" t="e">
        <f t="shared" ca="1" si="147"/>
        <v>#NAME?</v>
      </c>
      <c r="P209" s="2" t="e">
        <f ca="1"/>
        <v>#NAME?</v>
      </c>
      <c r="Q209" s="2" t="e">
        <f t="shared" ca="1" si="148"/>
        <v>#NAME?</v>
      </c>
      <c r="R209" s="2" t="e">
        <f ca="1"/>
        <v>#NAME?</v>
      </c>
      <c r="S209" s="2" t="e">
        <f t="shared" ca="1" si="149"/>
        <v>#NAME?</v>
      </c>
      <c r="T209" s="2" t="e">
        <f ca="1"/>
        <v>#NAME?</v>
      </c>
      <c r="U209" s="2" t="e">
        <f t="shared" ca="1" si="150"/>
        <v>#NAME?</v>
      </c>
      <c r="V209" s="2" t="e">
        <f ca="1"/>
        <v>#NAME?</v>
      </c>
      <c r="W209" s="2" t="e">
        <f t="shared" ca="1" si="151"/>
        <v>#NAME?</v>
      </c>
      <c r="X209" s="2" t="e">
        <f ca="1"/>
        <v>#NAME?</v>
      </c>
      <c r="Y209" s="2" t="e">
        <f t="shared" ca="1" si="152"/>
        <v>#NAME?</v>
      </c>
      <c r="Z209" s="2" t="e">
        <f ca="1"/>
        <v>#NAME?</v>
      </c>
      <c r="AA209" s="2" t="e">
        <f t="shared" ca="1" si="153"/>
        <v>#NAME?</v>
      </c>
      <c r="AB209" s="2" t="e">
        <f ca="1"/>
        <v>#NAME?</v>
      </c>
      <c r="AC209" s="2" t="e">
        <f t="shared" ca="1" si="154"/>
        <v>#NAME?</v>
      </c>
      <c r="AD209" s="2" t="e">
        <f ca="1"/>
        <v>#NAME?</v>
      </c>
      <c r="AE209" s="2" t="e">
        <f t="shared" ca="1" si="155"/>
        <v>#NAME?</v>
      </c>
      <c r="AF209" s="2" t="e">
        <f ca="1"/>
        <v>#NAME?</v>
      </c>
      <c r="AG209" s="2" t="e">
        <f t="shared" ca="1" si="156"/>
        <v>#NAME?</v>
      </c>
      <c r="AH209" s="2" t="e">
        <f ca="1"/>
        <v>#NAME?</v>
      </c>
      <c r="AI209" s="2" t="e">
        <f t="shared" ca="1" si="157"/>
        <v>#NAME?</v>
      </c>
      <c r="AJ209" s="2" t="e">
        <f ca="1"/>
        <v>#NAME?</v>
      </c>
      <c r="AK209" s="2" t="e">
        <f t="shared" ca="1" si="158"/>
        <v>#NAME?</v>
      </c>
      <c r="AL209" s="2" t="e">
        <f ca="1"/>
        <v>#NAME?</v>
      </c>
      <c r="AM209" s="2" t="e">
        <f t="shared" ca="1" si="159"/>
        <v>#NAME?</v>
      </c>
      <c r="AN209" s="2" t="e">
        <f ca="1"/>
        <v>#NAME?</v>
      </c>
      <c r="AO209" s="2" t="e">
        <f t="shared" ca="1" si="160"/>
        <v>#NAME?</v>
      </c>
      <c r="AP209" s="2" t="e">
        <f ca="1"/>
        <v>#NAME?</v>
      </c>
      <c r="AQ209" s="2" t="e">
        <f t="shared" ca="1" si="161"/>
        <v>#NAME?</v>
      </c>
      <c r="AR209" s="2" t="e">
        <f ca="1"/>
        <v>#NAME?</v>
      </c>
      <c r="AS209" s="2" t="e">
        <f t="shared" ca="1" si="162"/>
        <v>#NAME?</v>
      </c>
      <c r="AT209" s="2" t="e">
        <f ca="1"/>
        <v>#NAME?</v>
      </c>
      <c r="AU209" s="2" t="e">
        <f t="shared" ca="1" si="163"/>
        <v>#NAME?</v>
      </c>
      <c r="AV209" s="2" t="e">
        <f ca="1"/>
        <v>#NAME?</v>
      </c>
      <c r="AW209" s="2" t="e">
        <f t="shared" ca="1" si="164"/>
        <v>#NAME?</v>
      </c>
      <c r="AX209" s="2" t="e">
        <f ca="1"/>
        <v>#NAME?</v>
      </c>
      <c r="AY209" s="2" t="e">
        <f t="shared" ca="1" si="165"/>
        <v>#NAME?</v>
      </c>
      <c r="AZ209" s="2" t="e">
        <f ca="1"/>
        <v>#NAME?</v>
      </c>
      <c r="BA209" s="2" t="e">
        <f t="shared" ca="1" si="166"/>
        <v>#NAME?</v>
      </c>
      <c r="BB209" s="2" t="e">
        <f ca="1"/>
        <v>#NAME?</v>
      </c>
      <c r="BC209" s="2" t="e">
        <f t="shared" ca="1" si="167"/>
        <v>#NAME?</v>
      </c>
      <c r="BD209" s="2" t="e">
        <f ca="1"/>
        <v>#NAME?</v>
      </c>
      <c r="BE209" s="2" t="e">
        <f t="shared" ca="1" si="168"/>
        <v>#NAME?</v>
      </c>
      <c r="BF209" s="2" t="e">
        <f ca="1"/>
        <v>#NAME?</v>
      </c>
      <c r="BG209" s="2" t="e">
        <f t="shared" ca="1" si="169"/>
        <v>#NAME?</v>
      </c>
      <c r="BH209" s="2" t="e">
        <f ca="1"/>
        <v>#NAME?</v>
      </c>
      <c r="BI209" s="2" t="e">
        <f t="shared" ca="1" si="170"/>
        <v>#NAME?</v>
      </c>
      <c r="BJ209" s="2" t="e">
        <f ca="1"/>
        <v>#NAME?</v>
      </c>
      <c r="BK209" s="2" t="e">
        <f t="shared" ca="1" si="171"/>
        <v>#NAME?</v>
      </c>
      <c r="BL209" s="2" t="e">
        <f ca="1"/>
        <v>#NAME?</v>
      </c>
      <c r="BM209" s="2" t="e">
        <f t="shared" ca="1" si="172"/>
        <v>#NAME?</v>
      </c>
      <c r="BN209" s="2" t="e">
        <f ca="1"/>
        <v>#NAME?</v>
      </c>
      <c r="BO209" s="2" t="e">
        <f t="shared" ca="1" si="173"/>
        <v>#NAME?</v>
      </c>
      <c r="BP209" s="2" t="e">
        <f ca="1"/>
        <v>#NAME?</v>
      </c>
      <c r="BQ209" s="2" t="e">
        <f t="shared" ca="1" si="174"/>
        <v>#NAME?</v>
      </c>
      <c r="BR209" s="2" t="e">
        <f ca="1"/>
        <v>#NAME?</v>
      </c>
      <c r="BS209" s="2" t="e">
        <f t="shared" ca="1" si="175"/>
        <v>#NAME?</v>
      </c>
      <c r="BT209" s="2" t="e">
        <f ca="1"/>
        <v>#NAME?</v>
      </c>
      <c r="BU209" s="2" t="e">
        <f t="shared" ca="1" si="176"/>
        <v>#NAME?</v>
      </c>
      <c r="BV209" s="2" t="e">
        <f ca="1"/>
        <v>#NAME?</v>
      </c>
      <c r="BW209" s="2" t="e">
        <f t="shared" ca="1" si="177"/>
        <v>#NAME?</v>
      </c>
      <c r="BX209" s="2" t="e">
        <f ca="1"/>
        <v>#NAME?</v>
      </c>
      <c r="BY209" s="2" t="e">
        <f t="shared" ca="1" si="178"/>
        <v>#NAME?</v>
      </c>
      <c r="BZ209" s="2" t="e">
        <f ca="1"/>
        <v>#NAME?</v>
      </c>
      <c r="CA209" s="2" t="e">
        <f t="shared" ca="1" si="179"/>
        <v>#NAME?</v>
      </c>
      <c r="CB209" s="2" t="e">
        <f ca="1"/>
        <v>#NAME?</v>
      </c>
      <c r="CC209" s="2" t="e">
        <f t="shared" ca="1" si="180"/>
        <v>#NAME?</v>
      </c>
      <c r="CD209" s="2" t="e">
        <f ca="1"/>
        <v>#NAME?</v>
      </c>
      <c r="CE209" s="2" t="e">
        <f t="shared" ca="1" si="181"/>
        <v>#NAME?</v>
      </c>
      <c r="CF209" s="2" t="e">
        <f ca="1"/>
        <v>#NAME?</v>
      </c>
      <c r="CG209" s="2" t="e">
        <f t="shared" ca="1" si="182"/>
        <v>#NAME?</v>
      </c>
      <c r="CH209" s="2" t="e">
        <f ca="1"/>
        <v>#NAME?</v>
      </c>
      <c r="CI209" s="2" t="e">
        <f t="shared" ca="1" si="183"/>
        <v>#NAME?</v>
      </c>
      <c r="CJ209" s="2" t="e">
        <f ca="1"/>
        <v>#NAME?</v>
      </c>
      <c r="CK209" s="2" t="e">
        <f t="shared" ca="1" si="184"/>
        <v>#NAME?</v>
      </c>
      <c r="CL209" s="2" t="e">
        <f ca="1"/>
        <v>#NAME?</v>
      </c>
      <c r="CM209" s="2" t="e">
        <f t="shared" ca="1" si="185"/>
        <v>#NAME?</v>
      </c>
      <c r="CN209" s="2" t="e">
        <f ca="1"/>
        <v>#NAME?</v>
      </c>
      <c r="CO209" s="2" t="e">
        <f t="shared" ca="1" si="186"/>
        <v>#NAME?</v>
      </c>
      <c r="CP209" s="2" t="e">
        <f ca="1"/>
        <v>#NAME?</v>
      </c>
      <c r="CQ209" s="2" t="e">
        <f t="shared" ca="1" si="187"/>
        <v>#NAME?</v>
      </c>
    </row>
    <row r="210" spans="1:95">
      <c r="A210" s="7" t="e">
        <f ca="1"/>
        <v>#NAME?</v>
      </c>
      <c r="B210" s="2" t="e">
        <f ca="1"/>
        <v>#NAME?</v>
      </c>
      <c r="C210" s="2" t="e">
        <f t="shared" ca="1" si="141"/>
        <v>#NAME?</v>
      </c>
      <c r="D210" s="2" t="e">
        <f ca="1"/>
        <v>#NAME?</v>
      </c>
      <c r="E210" s="2" t="e">
        <f t="shared" ca="1" si="142"/>
        <v>#NAME?</v>
      </c>
      <c r="F210" s="2" t="e">
        <f ca="1"/>
        <v>#NAME?</v>
      </c>
      <c r="G210" s="2" t="e">
        <f t="shared" ca="1" si="143"/>
        <v>#NAME?</v>
      </c>
      <c r="H210" s="2" t="e">
        <f ca="1"/>
        <v>#NAME?</v>
      </c>
      <c r="I210" s="2" t="e">
        <f t="shared" ca="1" si="144"/>
        <v>#NAME?</v>
      </c>
      <c r="J210" s="2" t="e">
        <f ca="1"/>
        <v>#NAME?</v>
      </c>
      <c r="K210" s="2" t="e">
        <f t="shared" ca="1" si="145"/>
        <v>#NAME?</v>
      </c>
      <c r="L210" s="2" t="e">
        <f ca="1"/>
        <v>#NAME?</v>
      </c>
      <c r="M210" s="2" t="e">
        <f t="shared" ca="1" si="146"/>
        <v>#NAME?</v>
      </c>
      <c r="N210" s="2" t="e">
        <f ca="1"/>
        <v>#NAME?</v>
      </c>
      <c r="O210" s="2" t="e">
        <f t="shared" ca="1" si="147"/>
        <v>#NAME?</v>
      </c>
      <c r="P210" s="2" t="e">
        <f ca="1"/>
        <v>#NAME?</v>
      </c>
      <c r="Q210" s="2" t="e">
        <f t="shared" ca="1" si="148"/>
        <v>#NAME?</v>
      </c>
      <c r="R210" s="2" t="e">
        <f ca="1"/>
        <v>#NAME?</v>
      </c>
      <c r="S210" s="2" t="e">
        <f t="shared" ca="1" si="149"/>
        <v>#NAME?</v>
      </c>
      <c r="T210" s="2" t="e">
        <f ca="1"/>
        <v>#NAME?</v>
      </c>
      <c r="U210" s="2" t="e">
        <f t="shared" ca="1" si="150"/>
        <v>#NAME?</v>
      </c>
      <c r="V210" s="2" t="e">
        <f ca="1"/>
        <v>#NAME?</v>
      </c>
      <c r="W210" s="2" t="e">
        <f t="shared" ca="1" si="151"/>
        <v>#NAME?</v>
      </c>
      <c r="X210" s="2" t="e">
        <f ca="1"/>
        <v>#NAME?</v>
      </c>
      <c r="Y210" s="2" t="e">
        <f t="shared" ca="1" si="152"/>
        <v>#NAME?</v>
      </c>
      <c r="Z210" s="2" t="e">
        <f ca="1"/>
        <v>#NAME?</v>
      </c>
      <c r="AA210" s="2" t="e">
        <f t="shared" ca="1" si="153"/>
        <v>#NAME?</v>
      </c>
      <c r="AB210" s="2" t="e">
        <f ca="1"/>
        <v>#NAME?</v>
      </c>
      <c r="AC210" s="2" t="e">
        <f t="shared" ca="1" si="154"/>
        <v>#NAME?</v>
      </c>
      <c r="AD210" s="2" t="e">
        <f ca="1"/>
        <v>#NAME?</v>
      </c>
      <c r="AE210" s="2" t="e">
        <f t="shared" ca="1" si="155"/>
        <v>#NAME?</v>
      </c>
      <c r="AF210" s="2" t="e">
        <f ca="1"/>
        <v>#NAME?</v>
      </c>
      <c r="AG210" s="2" t="e">
        <f t="shared" ca="1" si="156"/>
        <v>#NAME?</v>
      </c>
      <c r="AH210" s="2" t="e">
        <f ca="1"/>
        <v>#NAME?</v>
      </c>
      <c r="AI210" s="2" t="e">
        <f t="shared" ca="1" si="157"/>
        <v>#NAME?</v>
      </c>
      <c r="AJ210" s="2" t="e">
        <f ca="1"/>
        <v>#NAME?</v>
      </c>
      <c r="AK210" s="2" t="e">
        <f t="shared" ca="1" si="158"/>
        <v>#NAME?</v>
      </c>
      <c r="AL210" s="2" t="e">
        <f ca="1"/>
        <v>#NAME?</v>
      </c>
      <c r="AM210" s="2" t="e">
        <f t="shared" ca="1" si="159"/>
        <v>#NAME?</v>
      </c>
      <c r="AN210" s="2" t="e">
        <f ca="1"/>
        <v>#NAME?</v>
      </c>
      <c r="AO210" s="2" t="e">
        <f t="shared" ca="1" si="160"/>
        <v>#NAME?</v>
      </c>
      <c r="AP210" s="2" t="e">
        <f ca="1"/>
        <v>#NAME?</v>
      </c>
      <c r="AQ210" s="2" t="e">
        <f t="shared" ca="1" si="161"/>
        <v>#NAME?</v>
      </c>
      <c r="AR210" s="2" t="e">
        <f ca="1"/>
        <v>#NAME?</v>
      </c>
      <c r="AS210" s="2" t="e">
        <f t="shared" ca="1" si="162"/>
        <v>#NAME?</v>
      </c>
      <c r="AT210" s="2" t="e">
        <f ca="1"/>
        <v>#NAME?</v>
      </c>
      <c r="AU210" s="2" t="e">
        <f t="shared" ca="1" si="163"/>
        <v>#NAME?</v>
      </c>
      <c r="AV210" s="2" t="e">
        <f ca="1"/>
        <v>#NAME?</v>
      </c>
      <c r="AW210" s="2" t="e">
        <f t="shared" ca="1" si="164"/>
        <v>#NAME?</v>
      </c>
      <c r="AX210" s="2" t="e">
        <f ca="1"/>
        <v>#NAME?</v>
      </c>
      <c r="AY210" s="2" t="e">
        <f t="shared" ca="1" si="165"/>
        <v>#NAME?</v>
      </c>
      <c r="AZ210" s="2" t="e">
        <f ca="1"/>
        <v>#NAME?</v>
      </c>
      <c r="BA210" s="2" t="e">
        <f t="shared" ca="1" si="166"/>
        <v>#NAME?</v>
      </c>
      <c r="BB210" s="2" t="e">
        <f ca="1"/>
        <v>#NAME?</v>
      </c>
      <c r="BC210" s="2" t="e">
        <f t="shared" ca="1" si="167"/>
        <v>#NAME?</v>
      </c>
      <c r="BD210" s="2" t="e">
        <f ca="1"/>
        <v>#NAME?</v>
      </c>
      <c r="BE210" s="2" t="e">
        <f t="shared" ca="1" si="168"/>
        <v>#NAME?</v>
      </c>
      <c r="BF210" s="2" t="e">
        <f ca="1"/>
        <v>#NAME?</v>
      </c>
      <c r="BG210" s="2" t="e">
        <f t="shared" ca="1" si="169"/>
        <v>#NAME?</v>
      </c>
      <c r="BH210" s="2" t="e">
        <f ca="1"/>
        <v>#NAME?</v>
      </c>
      <c r="BI210" s="2" t="e">
        <f t="shared" ca="1" si="170"/>
        <v>#NAME?</v>
      </c>
      <c r="BJ210" s="2" t="e">
        <f ca="1"/>
        <v>#NAME?</v>
      </c>
      <c r="BK210" s="2" t="e">
        <f t="shared" ca="1" si="171"/>
        <v>#NAME?</v>
      </c>
      <c r="BL210" s="2" t="e">
        <f ca="1"/>
        <v>#NAME?</v>
      </c>
      <c r="BM210" s="2" t="e">
        <f t="shared" ca="1" si="172"/>
        <v>#NAME?</v>
      </c>
      <c r="BN210" s="2" t="e">
        <f ca="1"/>
        <v>#NAME?</v>
      </c>
      <c r="BO210" s="2" t="e">
        <f t="shared" ca="1" si="173"/>
        <v>#NAME?</v>
      </c>
      <c r="BP210" s="2" t="e">
        <f ca="1"/>
        <v>#NAME?</v>
      </c>
      <c r="BQ210" s="2" t="e">
        <f t="shared" ca="1" si="174"/>
        <v>#NAME?</v>
      </c>
      <c r="BR210" s="2" t="e">
        <f ca="1"/>
        <v>#NAME?</v>
      </c>
      <c r="BS210" s="2" t="e">
        <f t="shared" ca="1" si="175"/>
        <v>#NAME?</v>
      </c>
      <c r="BT210" s="2" t="e">
        <f ca="1"/>
        <v>#NAME?</v>
      </c>
      <c r="BU210" s="2" t="e">
        <f t="shared" ca="1" si="176"/>
        <v>#NAME?</v>
      </c>
      <c r="BV210" s="2" t="e">
        <f ca="1"/>
        <v>#NAME?</v>
      </c>
      <c r="BW210" s="2" t="e">
        <f t="shared" ca="1" si="177"/>
        <v>#NAME?</v>
      </c>
      <c r="BX210" s="2" t="e">
        <f ca="1"/>
        <v>#NAME?</v>
      </c>
      <c r="BY210" s="2" t="e">
        <f t="shared" ca="1" si="178"/>
        <v>#NAME?</v>
      </c>
      <c r="BZ210" s="2" t="e">
        <f ca="1"/>
        <v>#NAME?</v>
      </c>
      <c r="CA210" s="2" t="e">
        <f t="shared" ca="1" si="179"/>
        <v>#NAME?</v>
      </c>
      <c r="CB210" s="2" t="e">
        <f ca="1"/>
        <v>#NAME?</v>
      </c>
      <c r="CC210" s="2" t="e">
        <f t="shared" ca="1" si="180"/>
        <v>#NAME?</v>
      </c>
      <c r="CD210" s="2" t="e">
        <f ca="1"/>
        <v>#NAME?</v>
      </c>
      <c r="CE210" s="2" t="e">
        <f t="shared" ca="1" si="181"/>
        <v>#NAME?</v>
      </c>
      <c r="CF210" s="2" t="e">
        <f ca="1"/>
        <v>#NAME?</v>
      </c>
      <c r="CG210" s="2" t="e">
        <f t="shared" ca="1" si="182"/>
        <v>#NAME?</v>
      </c>
      <c r="CH210" s="2" t="e">
        <f ca="1"/>
        <v>#NAME?</v>
      </c>
      <c r="CI210" s="2" t="e">
        <f t="shared" ca="1" si="183"/>
        <v>#NAME?</v>
      </c>
      <c r="CJ210" s="2" t="e">
        <f ca="1"/>
        <v>#NAME?</v>
      </c>
      <c r="CK210" s="2" t="e">
        <f t="shared" ca="1" si="184"/>
        <v>#NAME?</v>
      </c>
      <c r="CL210" s="2" t="e">
        <f ca="1"/>
        <v>#NAME?</v>
      </c>
      <c r="CM210" s="2" t="e">
        <f t="shared" ca="1" si="185"/>
        <v>#NAME?</v>
      </c>
      <c r="CN210" s="2" t="e">
        <f ca="1"/>
        <v>#NAME?</v>
      </c>
      <c r="CO210" s="2" t="e">
        <f t="shared" ca="1" si="186"/>
        <v>#NAME?</v>
      </c>
      <c r="CP210" s="2" t="e">
        <f ca="1"/>
        <v>#NAME?</v>
      </c>
      <c r="CQ210" s="2" t="e">
        <f t="shared" ca="1" si="187"/>
        <v>#NAME?</v>
      </c>
    </row>
    <row r="211" spans="1:95">
      <c r="A211" s="7" t="e">
        <f ca="1"/>
        <v>#NAME?</v>
      </c>
      <c r="B211" s="2" t="e">
        <f ca="1"/>
        <v>#NAME?</v>
      </c>
      <c r="C211" s="2" t="e">
        <f t="shared" ca="1" si="141"/>
        <v>#NAME?</v>
      </c>
      <c r="D211" s="2" t="e">
        <f ca="1"/>
        <v>#NAME?</v>
      </c>
      <c r="E211" s="2" t="e">
        <f t="shared" ca="1" si="142"/>
        <v>#NAME?</v>
      </c>
      <c r="F211" s="2" t="e">
        <f ca="1"/>
        <v>#NAME?</v>
      </c>
      <c r="G211" s="2" t="e">
        <f t="shared" ca="1" si="143"/>
        <v>#NAME?</v>
      </c>
      <c r="H211" s="2" t="e">
        <f ca="1"/>
        <v>#NAME?</v>
      </c>
      <c r="I211" s="2" t="e">
        <f t="shared" ca="1" si="144"/>
        <v>#NAME?</v>
      </c>
      <c r="J211" s="2" t="e">
        <f ca="1"/>
        <v>#NAME?</v>
      </c>
      <c r="K211" s="2" t="e">
        <f t="shared" ca="1" si="145"/>
        <v>#NAME?</v>
      </c>
      <c r="L211" s="2" t="e">
        <f ca="1"/>
        <v>#NAME?</v>
      </c>
      <c r="M211" s="2" t="e">
        <f t="shared" ca="1" si="146"/>
        <v>#NAME?</v>
      </c>
      <c r="N211" s="2" t="e">
        <f ca="1"/>
        <v>#NAME?</v>
      </c>
      <c r="O211" s="2" t="e">
        <f t="shared" ca="1" si="147"/>
        <v>#NAME?</v>
      </c>
      <c r="P211" s="2" t="e">
        <f ca="1"/>
        <v>#NAME?</v>
      </c>
      <c r="Q211" s="2" t="e">
        <f t="shared" ca="1" si="148"/>
        <v>#NAME?</v>
      </c>
      <c r="R211" s="2" t="e">
        <f ca="1"/>
        <v>#NAME?</v>
      </c>
      <c r="S211" s="2" t="e">
        <f t="shared" ca="1" si="149"/>
        <v>#NAME?</v>
      </c>
      <c r="T211" s="2" t="e">
        <f ca="1"/>
        <v>#NAME?</v>
      </c>
      <c r="U211" s="2" t="e">
        <f t="shared" ca="1" si="150"/>
        <v>#NAME?</v>
      </c>
      <c r="V211" s="2" t="e">
        <f ca="1"/>
        <v>#NAME?</v>
      </c>
      <c r="W211" s="2" t="e">
        <f t="shared" ca="1" si="151"/>
        <v>#NAME?</v>
      </c>
      <c r="X211" s="2" t="e">
        <f ca="1"/>
        <v>#NAME?</v>
      </c>
      <c r="Y211" s="2" t="e">
        <f t="shared" ca="1" si="152"/>
        <v>#NAME?</v>
      </c>
      <c r="Z211" s="2" t="e">
        <f ca="1"/>
        <v>#NAME?</v>
      </c>
      <c r="AA211" s="2" t="e">
        <f t="shared" ca="1" si="153"/>
        <v>#NAME?</v>
      </c>
      <c r="AB211" s="2" t="e">
        <f ca="1"/>
        <v>#NAME?</v>
      </c>
      <c r="AC211" s="2" t="e">
        <f t="shared" ca="1" si="154"/>
        <v>#NAME?</v>
      </c>
      <c r="AD211" s="2" t="e">
        <f ca="1"/>
        <v>#NAME?</v>
      </c>
      <c r="AE211" s="2" t="e">
        <f t="shared" ca="1" si="155"/>
        <v>#NAME?</v>
      </c>
      <c r="AF211" s="2" t="e">
        <f ca="1"/>
        <v>#NAME?</v>
      </c>
      <c r="AG211" s="2" t="e">
        <f t="shared" ca="1" si="156"/>
        <v>#NAME?</v>
      </c>
      <c r="AH211" s="2" t="e">
        <f ca="1"/>
        <v>#NAME?</v>
      </c>
      <c r="AI211" s="2" t="e">
        <f t="shared" ca="1" si="157"/>
        <v>#NAME?</v>
      </c>
      <c r="AJ211" s="2" t="e">
        <f ca="1"/>
        <v>#NAME?</v>
      </c>
      <c r="AK211" s="2" t="e">
        <f t="shared" ca="1" si="158"/>
        <v>#NAME?</v>
      </c>
      <c r="AL211" s="2" t="e">
        <f ca="1"/>
        <v>#NAME?</v>
      </c>
      <c r="AM211" s="2" t="e">
        <f t="shared" ca="1" si="159"/>
        <v>#NAME?</v>
      </c>
      <c r="AN211" s="2" t="e">
        <f ca="1"/>
        <v>#NAME?</v>
      </c>
      <c r="AO211" s="2" t="e">
        <f t="shared" ca="1" si="160"/>
        <v>#NAME?</v>
      </c>
      <c r="AP211" s="2" t="e">
        <f ca="1"/>
        <v>#NAME?</v>
      </c>
      <c r="AQ211" s="2" t="e">
        <f t="shared" ca="1" si="161"/>
        <v>#NAME?</v>
      </c>
      <c r="AR211" s="2" t="e">
        <f ca="1"/>
        <v>#NAME?</v>
      </c>
      <c r="AS211" s="2" t="e">
        <f t="shared" ca="1" si="162"/>
        <v>#NAME?</v>
      </c>
      <c r="AT211" s="2" t="e">
        <f ca="1"/>
        <v>#NAME?</v>
      </c>
      <c r="AU211" s="2" t="e">
        <f t="shared" ca="1" si="163"/>
        <v>#NAME?</v>
      </c>
      <c r="AV211" s="2" t="e">
        <f ca="1"/>
        <v>#NAME?</v>
      </c>
      <c r="AW211" s="2" t="e">
        <f t="shared" ca="1" si="164"/>
        <v>#NAME?</v>
      </c>
      <c r="AX211" s="2" t="e">
        <f ca="1"/>
        <v>#NAME?</v>
      </c>
      <c r="AY211" s="2" t="e">
        <f t="shared" ca="1" si="165"/>
        <v>#NAME?</v>
      </c>
      <c r="AZ211" s="2" t="e">
        <f ca="1"/>
        <v>#NAME?</v>
      </c>
      <c r="BA211" s="2" t="e">
        <f t="shared" ca="1" si="166"/>
        <v>#NAME?</v>
      </c>
      <c r="BB211" s="2" t="e">
        <f ca="1"/>
        <v>#NAME?</v>
      </c>
      <c r="BC211" s="2" t="e">
        <f t="shared" ca="1" si="167"/>
        <v>#NAME?</v>
      </c>
      <c r="BD211" s="2" t="e">
        <f ca="1"/>
        <v>#NAME?</v>
      </c>
      <c r="BE211" s="2" t="e">
        <f t="shared" ca="1" si="168"/>
        <v>#NAME?</v>
      </c>
      <c r="BF211" s="2" t="e">
        <f ca="1"/>
        <v>#NAME?</v>
      </c>
      <c r="BG211" s="2" t="e">
        <f t="shared" ca="1" si="169"/>
        <v>#NAME?</v>
      </c>
      <c r="BH211" s="2" t="e">
        <f ca="1"/>
        <v>#NAME?</v>
      </c>
      <c r="BI211" s="2" t="e">
        <f t="shared" ca="1" si="170"/>
        <v>#NAME?</v>
      </c>
      <c r="BJ211" s="2" t="e">
        <f ca="1"/>
        <v>#NAME?</v>
      </c>
      <c r="BK211" s="2" t="e">
        <f t="shared" ca="1" si="171"/>
        <v>#NAME?</v>
      </c>
      <c r="BL211" s="2" t="e">
        <f ca="1"/>
        <v>#NAME?</v>
      </c>
      <c r="BM211" s="2" t="e">
        <f t="shared" ca="1" si="172"/>
        <v>#NAME?</v>
      </c>
      <c r="BN211" s="2" t="e">
        <f ca="1"/>
        <v>#NAME?</v>
      </c>
      <c r="BO211" s="2" t="e">
        <f t="shared" ca="1" si="173"/>
        <v>#NAME?</v>
      </c>
      <c r="BP211" s="2" t="e">
        <f ca="1"/>
        <v>#NAME?</v>
      </c>
      <c r="BQ211" s="2" t="e">
        <f t="shared" ca="1" si="174"/>
        <v>#NAME?</v>
      </c>
      <c r="BR211" s="2" t="e">
        <f ca="1"/>
        <v>#NAME?</v>
      </c>
      <c r="BS211" s="2" t="e">
        <f t="shared" ca="1" si="175"/>
        <v>#NAME?</v>
      </c>
      <c r="BT211" s="2" t="e">
        <f ca="1"/>
        <v>#NAME?</v>
      </c>
      <c r="BU211" s="2" t="e">
        <f t="shared" ca="1" si="176"/>
        <v>#NAME?</v>
      </c>
      <c r="BV211" s="2" t="e">
        <f ca="1"/>
        <v>#NAME?</v>
      </c>
      <c r="BW211" s="2" t="e">
        <f t="shared" ca="1" si="177"/>
        <v>#NAME?</v>
      </c>
      <c r="BX211" s="2" t="e">
        <f ca="1"/>
        <v>#NAME?</v>
      </c>
      <c r="BY211" s="2" t="e">
        <f t="shared" ca="1" si="178"/>
        <v>#NAME?</v>
      </c>
      <c r="BZ211" s="2" t="e">
        <f ca="1"/>
        <v>#NAME?</v>
      </c>
      <c r="CA211" s="2" t="e">
        <f t="shared" ca="1" si="179"/>
        <v>#NAME?</v>
      </c>
      <c r="CB211" s="2" t="e">
        <f ca="1"/>
        <v>#NAME?</v>
      </c>
      <c r="CC211" s="2" t="e">
        <f t="shared" ca="1" si="180"/>
        <v>#NAME?</v>
      </c>
      <c r="CD211" s="2" t="e">
        <f ca="1"/>
        <v>#NAME?</v>
      </c>
      <c r="CE211" s="2" t="e">
        <f t="shared" ca="1" si="181"/>
        <v>#NAME?</v>
      </c>
      <c r="CF211" s="2" t="e">
        <f ca="1"/>
        <v>#NAME?</v>
      </c>
      <c r="CG211" s="2" t="e">
        <f t="shared" ca="1" si="182"/>
        <v>#NAME?</v>
      </c>
      <c r="CH211" s="2" t="e">
        <f ca="1"/>
        <v>#NAME?</v>
      </c>
      <c r="CI211" s="2" t="e">
        <f t="shared" ca="1" si="183"/>
        <v>#NAME?</v>
      </c>
      <c r="CJ211" s="2" t="e">
        <f ca="1"/>
        <v>#NAME?</v>
      </c>
      <c r="CK211" s="2" t="e">
        <f t="shared" ca="1" si="184"/>
        <v>#NAME?</v>
      </c>
      <c r="CL211" s="2" t="e">
        <f ca="1"/>
        <v>#NAME?</v>
      </c>
      <c r="CM211" s="2" t="e">
        <f t="shared" ca="1" si="185"/>
        <v>#NAME?</v>
      </c>
      <c r="CN211" s="2" t="e">
        <f ca="1"/>
        <v>#NAME?</v>
      </c>
      <c r="CO211" s="2" t="e">
        <f t="shared" ca="1" si="186"/>
        <v>#NAME?</v>
      </c>
      <c r="CP211" s="2" t="e">
        <f ca="1"/>
        <v>#NAME?</v>
      </c>
      <c r="CQ211" s="2" t="e">
        <f t="shared" ca="1" si="187"/>
        <v>#NAME?</v>
      </c>
    </row>
    <row r="212" spans="1:95">
      <c r="A212" s="7" t="e">
        <f ca="1"/>
        <v>#NAME?</v>
      </c>
      <c r="B212" s="2" t="e">
        <f ca="1"/>
        <v>#NAME?</v>
      </c>
      <c r="C212" s="2" t="e">
        <f t="shared" ca="1" si="141"/>
        <v>#NAME?</v>
      </c>
      <c r="D212" s="2" t="e">
        <f ca="1"/>
        <v>#NAME?</v>
      </c>
      <c r="E212" s="2" t="e">
        <f t="shared" ca="1" si="142"/>
        <v>#NAME?</v>
      </c>
      <c r="F212" s="2" t="e">
        <f ca="1"/>
        <v>#NAME?</v>
      </c>
      <c r="G212" s="2" t="e">
        <f t="shared" ca="1" si="143"/>
        <v>#NAME?</v>
      </c>
      <c r="H212" s="2" t="e">
        <f ca="1"/>
        <v>#NAME?</v>
      </c>
      <c r="I212" s="2" t="e">
        <f t="shared" ca="1" si="144"/>
        <v>#NAME?</v>
      </c>
      <c r="J212" s="2" t="e">
        <f ca="1"/>
        <v>#NAME?</v>
      </c>
      <c r="K212" s="2" t="e">
        <f t="shared" ca="1" si="145"/>
        <v>#NAME?</v>
      </c>
      <c r="L212" s="2" t="e">
        <f ca="1"/>
        <v>#NAME?</v>
      </c>
      <c r="M212" s="2" t="e">
        <f t="shared" ca="1" si="146"/>
        <v>#NAME?</v>
      </c>
      <c r="N212" s="2" t="e">
        <f ca="1"/>
        <v>#NAME?</v>
      </c>
      <c r="O212" s="2" t="e">
        <f t="shared" ca="1" si="147"/>
        <v>#NAME?</v>
      </c>
      <c r="P212" s="2" t="e">
        <f ca="1"/>
        <v>#NAME?</v>
      </c>
      <c r="Q212" s="2" t="e">
        <f t="shared" ca="1" si="148"/>
        <v>#NAME?</v>
      </c>
      <c r="R212" s="2" t="e">
        <f ca="1"/>
        <v>#NAME?</v>
      </c>
      <c r="S212" s="2" t="e">
        <f t="shared" ca="1" si="149"/>
        <v>#NAME?</v>
      </c>
      <c r="T212" s="2" t="e">
        <f ca="1"/>
        <v>#NAME?</v>
      </c>
      <c r="U212" s="2" t="e">
        <f t="shared" ca="1" si="150"/>
        <v>#NAME?</v>
      </c>
      <c r="V212" s="2" t="e">
        <f ca="1"/>
        <v>#NAME?</v>
      </c>
      <c r="W212" s="2" t="e">
        <f t="shared" ca="1" si="151"/>
        <v>#NAME?</v>
      </c>
      <c r="X212" s="2" t="e">
        <f ca="1"/>
        <v>#NAME?</v>
      </c>
      <c r="Y212" s="2" t="e">
        <f t="shared" ca="1" si="152"/>
        <v>#NAME?</v>
      </c>
      <c r="Z212" s="2" t="e">
        <f ca="1"/>
        <v>#NAME?</v>
      </c>
      <c r="AA212" s="2" t="e">
        <f t="shared" ca="1" si="153"/>
        <v>#NAME?</v>
      </c>
      <c r="AB212" s="2" t="e">
        <f ca="1"/>
        <v>#NAME?</v>
      </c>
      <c r="AC212" s="2" t="e">
        <f t="shared" ca="1" si="154"/>
        <v>#NAME?</v>
      </c>
      <c r="AD212" s="2" t="e">
        <f ca="1"/>
        <v>#NAME?</v>
      </c>
      <c r="AE212" s="2" t="e">
        <f t="shared" ca="1" si="155"/>
        <v>#NAME?</v>
      </c>
      <c r="AF212" s="2" t="e">
        <f ca="1"/>
        <v>#NAME?</v>
      </c>
      <c r="AG212" s="2" t="e">
        <f t="shared" ca="1" si="156"/>
        <v>#NAME?</v>
      </c>
      <c r="AH212" s="2" t="e">
        <f ca="1"/>
        <v>#NAME?</v>
      </c>
      <c r="AI212" s="2" t="e">
        <f t="shared" ca="1" si="157"/>
        <v>#NAME?</v>
      </c>
      <c r="AJ212" s="2" t="e">
        <f ca="1"/>
        <v>#NAME?</v>
      </c>
      <c r="AK212" s="2" t="e">
        <f t="shared" ca="1" si="158"/>
        <v>#NAME?</v>
      </c>
      <c r="AL212" s="2" t="e">
        <f ca="1"/>
        <v>#NAME?</v>
      </c>
      <c r="AM212" s="2" t="e">
        <f t="shared" ca="1" si="159"/>
        <v>#NAME?</v>
      </c>
      <c r="AN212" s="2" t="e">
        <f ca="1"/>
        <v>#NAME?</v>
      </c>
      <c r="AO212" s="2" t="e">
        <f t="shared" ca="1" si="160"/>
        <v>#NAME?</v>
      </c>
      <c r="AP212" s="2" t="e">
        <f ca="1"/>
        <v>#NAME?</v>
      </c>
      <c r="AQ212" s="2" t="e">
        <f t="shared" ca="1" si="161"/>
        <v>#NAME?</v>
      </c>
      <c r="AR212" s="2" t="e">
        <f ca="1"/>
        <v>#NAME?</v>
      </c>
      <c r="AS212" s="2" t="e">
        <f t="shared" ca="1" si="162"/>
        <v>#NAME?</v>
      </c>
      <c r="AT212" s="2" t="e">
        <f ca="1"/>
        <v>#NAME?</v>
      </c>
      <c r="AU212" s="2" t="e">
        <f t="shared" ca="1" si="163"/>
        <v>#NAME?</v>
      </c>
      <c r="AV212" s="2" t="e">
        <f ca="1"/>
        <v>#NAME?</v>
      </c>
      <c r="AW212" s="2" t="e">
        <f t="shared" ca="1" si="164"/>
        <v>#NAME?</v>
      </c>
      <c r="AX212" s="2" t="e">
        <f ca="1"/>
        <v>#NAME?</v>
      </c>
      <c r="AY212" s="2" t="e">
        <f t="shared" ca="1" si="165"/>
        <v>#NAME?</v>
      </c>
      <c r="AZ212" s="2" t="e">
        <f ca="1"/>
        <v>#NAME?</v>
      </c>
      <c r="BA212" s="2" t="e">
        <f t="shared" ca="1" si="166"/>
        <v>#NAME?</v>
      </c>
      <c r="BB212" s="2" t="e">
        <f ca="1"/>
        <v>#NAME?</v>
      </c>
      <c r="BC212" s="2" t="e">
        <f t="shared" ca="1" si="167"/>
        <v>#NAME?</v>
      </c>
      <c r="BD212" s="2" t="e">
        <f ca="1"/>
        <v>#NAME?</v>
      </c>
      <c r="BE212" s="2" t="e">
        <f t="shared" ca="1" si="168"/>
        <v>#NAME?</v>
      </c>
      <c r="BF212" s="2" t="e">
        <f ca="1"/>
        <v>#NAME?</v>
      </c>
      <c r="BG212" s="2" t="e">
        <f t="shared" ca="1" si="169"/>
        <v>#NAME?</v>
      </c>
      <c r="BH212" s="2" t="e">
        <f ca="1"/>
        <v>#NAME?</v>
      </c>
      <c r="BI212" s="2" t="e">
        <f t="shared" ca="1" si="170"/>
        <v>#NAME?</v>
      </c>
      <c r="BJ212" s="2" t="e">
        <f ca="1"/>
        <v>#NAME?</v>
      </c>
      <c r="BK212" s="2" t="e">
        <f t="shared" ca="1" si="171"/>
        <v>#NAME?</v>
      </c>
      <c r="BL212" s="2" t="e">
        <f ca="1"/>
        <v>#NAME?</v>
      </c>
      <c r="BM212" s="2" t="e">
        <f t="shared" ca="1" si="172"/>
        <v>#NAME?</v>
      </c>
      <c r="BN212" s="2" t="e">
        <f ca="1"/>
        <v>#NAME?</v>
      </c>
      <c r="BO212" s="2" t="e">
        <f t="shared" ca="1" si="173"/>
        <v>#NAME?</v>
      </c>
      <c r="BP212" s="2" t="e">
        <f ca="1"/>
        <v>#NAME?</v>
      </c>
      <c r="BQ212" s="2" t="e">
        <f t="shared" ca="1" si="174"/>
        <v>#NAME?</v>
      </c>
      <c r="BR212" s="2" t="e">
        <f ca="1"/>
        <v>#NAME?</v>
      </c>
      <c r="BS212" s="2" t="e">
        <f t="shared" ca="1" si="175"/>
        <v>#NAME?</v>
      </c>
      <c r="BT212" s="2" t="e">
        <f ca="1"/>
        <v>#NAME?</v>
      </c>
      <c r="BU212" s="2" t="e">
        <f t="shared" ca="1" si="176"/>
        <v>#NAME?</v>
      </c>
      <c r="BV212" s="2" t="e">
        <f ca="1"/>
        <v>#NAME?</v>
      </c>
      <c r="BW212" s="2" t="e">
        <f t="shared" ca="1" si="177"/>
        <v>#NAME?</v>
      </c>
      <c r="BX212" s="2" t="e">
        <f ca="1"/>
        <v>#NAME?</v>
      </c>
      <c r="BY212" s="2" t="e">
        <f t="shared" ca="1" si="178"/>
        <v>#NAME?</v>
      </c>
      <c r="BZ212" s="2" t="e">
        <f ca="1"/>
        <v>#NAME?</v>
      </c>
      <c r="CA212" s="2" t="e">
        <f t="shared" ca="1" si="179"/>
        <v>#NAME?</v>
      </c>
      <c r="CB212" s="2" t="e">
        <f ca="1"/>
        <v>#NAME?</v>
      </c>
      <c r="CC212" s="2" t="e">
        <f t="shared" ca="1" si="180"/>
        <v>#NAME?</v>
      </c>
      <c r="CD212" s="2" t="e">
        <f ca="1"/>
        <v>#NAME?</v>
      </c>
      <c r="CE212" s="2" t="e">
        <f t="shared" ca="1" si="181"/>
        <v>#NAME?</v>
      </c>
      <c r="CF212" s="2" t="e">
        <f ca="1"/>
        <v>#NAME?</v>
      </c>
      <c r="CG212" s="2" t="e">
        <f t="shared" ca="1" si="182"/>
        <v>#NAME?</v>
      </c>
      <c r="CH212" s="2" t="e">
        <f ca="1"/>
        <v>#NAME?</v>
      </c>
      <c r="CI212" s="2" t="e">
        <f t="shared" ca="1" si="183"/>
        <v>#NAME?</v>
      </c>
      <c r="CJ212" s="2" t="e">
        <f ca="1"/>
        <v>#NAME?</v>
      </c>
      <c r="CK212" s="2" t="e">
        <f t="shared" ca="1" si="184"/>
        <v>#NAME?</v>
      </c>
      <c r="CL212" s="2" t="e">
        <f ca="1"/>
        <v>#NAME?</v>
      </c>
      <c r="CM212" s="2" t="e">
        <f t="shared" ca="1" si="185"/>
        <v>#NAME?</v>
      </c>
      <c r="CN212" s="2" t="e">
        <f ca="1"/>
        <v>#NAME?</v>
      </c>
      <c r="CO212" s="2" t="e">
        <f t="shared" ca="1" si="186"/>
        <v>#NAME?</v>
      </c>
      <c r="CP212" s="2" t="e">
        <f ca="1"/>
        <v>#NAME?</v>
      </c>
      <c r="CQ212" s="2" t="e">
        <f t="shared" ca="1" si="187"/>
        <v>#NAME?</v>
      </c>
    </row>
    <row r="213" spans="1:95">
      <c r="A213" s="7" t="e">
        <f ca="1"/>
        <v>#NAME?</v>
      </c>
      <c r="B213" s="2" t="e">
        <f ca="1"/>
        <v>#NAME?</v>
      </c>
      <c r="C213" s="2" t="e">
        <f t="shared" ca="1" si="141"/>
        <v>#NAME?</v>
      </c>
      <c r="D213" s="2" t="e">
        <f ca="1"/>
        <v>#NAME?</v>
      </c>
      <c r="E213" s="2" t="e">
        <f t="shared" ca="1" si="142"/>
        <v>#NAME?</v>
      </c>
      <c r="F213" s="2" t="e">
        <f ca="1"/>
        <v>#NAME?</v>
      </c>
      <c r="G213" s="2" t="e">
        <f t="shared" ca="1" si="143"/>
        <v>#NAME?</v>
      </c>
      <c r="H213" s="2" t="e">
        <f ca="1"/>
        <v>#NAME?</v>
      </c>
      <c r="I213" s="2" t="e">
        <f t="shared" ca="1" si="144"/>
        <v>#NAME?</v>
      </c>
      <c r="J213" s="2" t="e">
        <f ca="1"/>
        <v>#NAME?</v>
      </c>
      <c r="K213" s="2" t="e">
        <f t="shared" ca="1" si="145"/>
        <v>#NAME?</v>
      </c>
      <c r="L213" s="2" t="e">
        <f ca="1"/>
        <v>#NAME?</v>
      </c>
      <c r="M213" s="2" t="e">
        <f t="shared" ca="1" si="146"/>
        <v>#NAME?</v>
      </c>
      <c r="N213" s="2" t="e">
        <f ca="1"/>
        <v>#NAME?</v>
      </c>
      <c r="O213" s="2" t="e">
        <f t="shared" ca="1" si="147"/>
        <v>#NAME?</v>
      </c>
      <c r="P213" s="2" t="e">
        <f ca="1"/>
        <v>#NAME?</v>
      </c>
      <c r="Q213" s="2" t="e">
        <f t="shared" ca="1" si="148"/>
        <v>#NAME?</v>
      </c>
      <c r="R213" s="2" t="e">
        <f ca="1"/>
        <v>#NAME?</v>
      </c>
      <c r="S213" s="2" t="e">
        <f t="shared" ca="1" si="149"/>
        <v>#NAME?</v>
      </c>
      <c r="T213" s="2" t="e">
        <f ca="1"/>
        <v>#NAME?</v>
      </c>
      <c r="U213" s="2" t="e">
        <f t="shared" ca="1" si="150"/>
        <v>#NAME?</v>
      </c>
      <c r="V213" s="2" t="e">
        <f ca="1"/>
        <v>#NAME?</v>
      </c>
      <c r="W213" s="2" t="e">
        <f t="shared" ca="1" si="151"/>
        <v>#NAME?</v>
      </c>
      <c r="X213" s="2" t="e">
        <f ca="1"/>
        <v>#NAME?</v>
      </c>
      <c r="Y213" s="2" t="e">
        <f t="shared" ca="1" si="152"/>
        <v>#NAME?</v>
      </c>
      <c r="Z213" s="2" t="e">
        <f ca="1"/>
        <v>#NAME?</v>
      </c>
      <c r="AA213" s="2" t="e">
        <f t="shared" ca="1" si="153"/>
        <v>#NAME?</v>
      </c>
      <c r="AB213" s="2" t="e">
        <f ca="1"/>
        <v>#NAME?</v>
      </c>
      <c r="AC213" s="2" t="e">
        <f t="shared" ca="1" si="154"/>
        <v>#NAME?</v>
      </c>
      <c r="AD213" s="2" t="e">
        <f ca="1"/>
        <v>#NAME?</v>
      </c>
      <c r="AE213" s="2" t="e">
        <f t="shared" ca="1" si="155"/>
        <v>#NAME?</v>
      </c>
      <c r="AF213" s="2" t="e">
        <f ca="1"/>
        <v>#NAME?</v>
      </c>
      <c r="AG213" s="2" t="e">
        <f t="shared" ca="1" si="156"/>
        <v>#NAME?</v>
      </c>
      <c r="AH213" s="2" t="e">
        <f ca="1"/>
        <v>#NAME?</v>
      </c>
      <c r="AI213" s="2" t="e">
        <f t="shared" ca="1" si="157"/>
        <v>#NAME?</v>
      </c>
      <c r="AJ213" s="2" t="e">
        <f ca="1"/>
        <v>#NAME?</v>
      </c>
      <c r="AK213" s="2" t="e">
        <f t="shared" ca="1" si="158"/>
        <v>#NAME?</v>
      </c>
      <c r="AL213" s="2" t="e">
        <f ca="1"/>
        <v>#NAME?</v>
      </c>
      <c r="AM213" s="2" t="e">
        <f t="shared" ca="1" si="159"/>
        <v>#NAME?</v>
      </c>
      <c r="AN213" s="2" t="e">
        <f ca="1"/>
        <v>#NAME?</v>
      </c>
      <c r="AO213" s="2" t="e">
        <f t="shared" ca="1" si="160"/>
        <v>#NAME?</v>
      </c>
      <c r="AP213" s="2" t="e">
        <f ca="1"/>
        <v>#NAME?</v>
      </c>
      <c r="AQ213" s="2" t="e">
        <f t="shared" ca="1" si="161"/>
        <v>#NAME?</v>
      </c>
      <c r="AR213" s="2" t="e">
        <f ca="1"/>
        <v>#NAME?</v>
      </c>
      <c r="AS213" s="2" t="e">
        <f t="shared" ca="1" si="162"/>
        <v>#NAME?</v>
      </c>
      <c r="AT213" s="2" t="e">
        <f ca="1"/>
        <v>#NAME?</v>
      </c>
      <c r="AU213" s="2" t="e">
        <f t="shared" ca="1" si="163"/>
        <v>#NAME?</v>
      </c>
      <c r="AV213" s="2" t="e">
        <f ca="1"/>
        <v>#NAME?</v>
      </c>
      <c r="AW213" s="2" t="e">
        <f t="shared" ca="1" si="164"/>
        <v>#NAME?</v>
      </c>
      <c r="AX213" s="2" t="e">
        <f ca="1"/>
        <v>#NAME?</v>
      </c>
      <c r="AY213" s="2" t="e">
        <f t="shared" ca="1" si="165"/>
        <v>#NAME?</v>
      </c>
      <c r="AZ213" s="2" t="e">
        <f ca="1"/>
        <v>#NAME?</v>
      </c>
      <c r="BA213" s="2" t="e">
        <f t="shared" ca="1" si="166"/>
        <v>#NAME?</v>
      </c>
      <c r="BB213" s="2" t="e">
        <f ca="1"/>
        <v>#NAME?</v>
      </c>
      <c r="BC213" s="2" t="e">
        <f t="shared" ca="1" si="167"/>
        <v>#NAME?</v>
      </c>
      <c r="BD213" s="2" t="e">
        <f ca="1"/>
        <v>#NAME?</v>
      </c>
      <c r="BE213" s="2" t="e">
        <f t="shared" ca="1" si="168"/>
        <v>#NAME?</v>
      </c>
      <c r="BF213" s="2" t="e">
        <f ca="1"/>
        <v>#NAME?</v>
      </c>
      <c r="BG213" s="2" t="e">
        <f t="shared" ca="1" si="169"/>
        <v>#NAME?</v>
      </c>
      <c r="BH213" s="2" t="e">
        <f ca="1"/>
        <v>#NAME?</v>
      </c>
      <c r="BI213" s="2" t="e">
        <f t="shared" ca="1" si="170"/>
        <v>#NAME?</v>
      </c>
      <c r="BJ213" s="2" t="e">
        <f ca="1"/>
        <v>#NAME?</v>
      </c>
      <c r="BK213" s="2" t="e">
        <f t="shared" ca="1" si="171"/>
        <v>#NAME?</v>
      </c>
      <c r="BL213" s="2" t="e">
        <f ca="1"/>
        <v>#NAME?</v>
      </c>
      <c r="BM213" s="2" t="e">
        <f t="shared" ca="1" si="172"/>
        <v>#NAME?</v>
      </c>
      <c r="BN213" s="2" t="e">
        <f ca="1"/>
        <v>#NAME?</v>
      </c>
      <c r="BO213" s="2" t="e">
        <f t="shared" ca="1" si="173"/>
        <v>#NAME?</v>
      </c>
      <c r="BP213" s="2" t="e">
        <f ca="1"/>
        <v>#NAME?</v>
      </c>
      <c r="BQ213" s="2" t="e">
        <f t="shared" ca="1" si="174"/>
        <v>#NAME?</v>
      </c>
      <c r="BR213" s="2" t="e">
        <f ca="1"/>
        <v>#NAME?</v>
      </c>
      <c r="BS213" s="2" t="e">
        <f t="shared" ca="1" si="175"/>
        <v>#NAME?</v>
      </c>
      <c r="BT213" s="2" t="e">
        <f ca="1"/>
        <v>#NAME?</v>
      </c>
      <c r="BU213" s="2" t="e">
        <f t="shared" ca="1" si="176"/>
        <v>#NAME?</v>
      </c>
      <c r="BV213" s="2" t="e">
        <f ca="1"/>
        <v>#NAME?</v>
      </c>
      <c r="BW213" s="2" t="e">
        <f t="shared" ca="1" si="177"/>
        <v>#NAME?</v>
      </c>
      <c r="BX213" s="2" t="e">
        <f ca="1"/>
        <v>#NAME?</v>
      </c>
      <c r="BY213" s="2" t="e">
        <f t="shared" ca="1" si="178"/>
        <v>#NAME?</v>
      </c>
      <c r="BZ213" s="2" t="e">
        <f ca="1"/>
        <v>#NAME?</v>
      </c>
      <c r="CA213" s="2" t="e">
        <f t="shared" ca="1" si="179"/>
        <v>#NAME?</v>
      </c>
      <c r="CB213" s="2" t="e">
        <f ca="1"/>
        <v>#NAME?</v>
      </c>
      <c r="CC213" s="2" t="e">
        <f t="shared" ca="1" si="180"/>
        <v>#NAME?</v>
      </c>
      <c r="CD213" s="2" t="e">
        <f ca="1"/>
        <v>#NAME?</v>
      </c>
      <c r="CE213" s="2" t="e">
        <f t="shared" ca="1" si="181"/>
        <v>#NAME?</v>
      </c>
      <c r="CF213" s="2" t="e">
        <f ca="1"/>
        <v>#NAME?</v>
      </c>
      <c r="CG213" s="2" t="e">
        <f t="shared" ca="1" si="182"/>
        <v>#NAME?</v>
      </c>
      <c r="CH213" s="2" t="e">
        <f ca="1"/>
        <v>#NAME?</v>
      </c>
      <c r="CI213" s="2" t="e">
        <f t="shared" ca="1" si="183"/>
        <v>#NAME?</v>
      </c>
      <c r="CJ213" s="2" t="e">
        <f ca="1"/>
        <v>#NAME?</v>
      </c>
      <c r="CK213" s="2" t="e">
        <f t="shared" ca="1" si="184"/>
        <v>#NAME?</v>
      </c>
      <c r="CL213" s="2" t="e">
        <f ca="1"/>
        <v>#NAME?</v>
      </c>
      <c r="CM213" s="2" t="e">
        <f t="shared" ca="1" si="185"/>
        <v>#NAME?</v>
      </c>
      <c r="CN213" s="2" t="e">
        <f ca="1"/>
        <v>#NAME?</v>
      </c>
      <c r="CO213" s="2" t="e">
        <f t="shared" ca="1" si="186"/>
        <v>#NAME?</v>
      </c>
      <c r="CP213" s="2" t="e">
        <f ca="1"/>
        <v>#NAME?</v>
      </c>
      <c r="CQ213" s="2" t="e">
        <f t="shared" ca="1" si="187"/>
        <v>#NAME?</v>
      </c>
    </row>
    <row r="214" spans="1:95">
      <c r="A214" s="7" t="e">
        <f ca="1"/>
        <v>#NAME?</v>
      </c>
      <c r="B214" s="2" t="e">
        <f ca="1"/>
        <v>#NAME?</v>
      </c>
      <c r="C214" s="2" t="e">
        <f t="shared" ca="1" si="141"/>
        <v>#NAME?</v>
      </c>
      <c r="D214" s="2" t="e">
        <f ca="1"/>
        <v>#NAME?</v>
      </c>
      <c r="E214" s="2" t="e">
        <f t="shared" ca="1" si="142"/>
        <v>#NAME?</v>
      </c>
      <c r="F214" s="2" t="e">
        <f ca="1"/>
        <v>#NAME?</v>
      </c>
      <c r="G214" s="2" t="e">
        <f t="shared" ca="1" si="143"/>
        <v>#NAME?</v>
      </c>
      <c r="H214" s="2" t="e">
        <f ca="1"/>
        <v>#NAME?</v>
      </c>
      <c r="I214" s="2" t="e">
        <f t="shared" ca="1" si="144"/>
        <v>#NAME?</v>
      </c>
      <c r="J214" s="2" t="e">
        <f ca="1"/>
        <v>#NAME?</v>
      </c>
      <c r="K214" s="2" t="e">
        <f t="shared" ca="1" si="145"/>
        <v>#NAME?</v>
      </c>
      <c r="L214" s="2" t="e">
        <f ca="1"/>
        <v>#NAME?</v>
      </c>
      <c r="M214" s="2" t="e">
        <f t="shared" ca="1" si="146"/>
        <v>#NAME?</v>
      </c>
      <c r="N214" s="2" t="e">
        <f ca="1"/>
        <v>#NAME?</v>
      </c>
      <c r="O214" s="2" t="e">
        <f t="shared" ca="1" si="147"/>
        <v>#NAME?</v>
      </c>
      <c r="P214" s="2" t="e">
        <f ca="1"/>
        <v>#NAME?</v>
      </c>
      <c r="Q214" s="2" t="e">
        <f t="shared" ca="1" si="148"/>
        <v>#NAME?</v>
      </c>
      <c r="R214" s="2" t="e">
        <f ca="1"/>
        <v>#NAME?</v>
      </c>
      <c r="S214" s="2" t="e">
        <f t="shared" ca="1" si="149"/>
        <v>#NAME?</v>
      </c>
      <c r="T214" s="2" t="e">
        <f ca="1"/>
        <v>#NAME?</v>
      </c>
      <c r="U214" s="2" t="e">
        <f t="shared" ca="1" si="150"/>
        <v>#NAME?</v>
      </c>
      <c r="V214" s="2" t="e">
        <f ca="1"/>
        <v>#NAME?</v>
      </c>
      <c r="W214" s="2" t="e">
        <f t="shared" ca="1" si="151"/>
        <v>#NAME?</v>
      </c>
      <c r="X214" s="2" t="e">
        <f ca="1"/>
        <v>#NAME?</v>
      </c>
      <c r="Y214" s="2" t="e">
        <f t="shared" ca="1" si="152"/>
        <v>#NAME?</v>
      </c>
      <c r="Z214" s="2" t="e">
        <f ca="1"/>
        <v>#NAME?</v>
      </c>
      <c r="AA214" s="2" t="e">
        <f t="shared" ca="1" si="153"/>
        <v>#NAME?</v>
      </c>
      <c r="AB214" s="2" t="e">
        <f ca="1"/>
        <v>#NAME?</v>
      </c>
      <c r="AC214" s="2" t="e">
        <f t="shared" ca="1" si="154"/>
        <v>#NAME?</v>
      </c>
      <c r="AD214" s="2" t="e">
        <f ca="1"/>
        <v>#NAME?</v>
      </c>
      <c r="AE214" s="2" t="e">
        <f t="shared" ca="1" si="155"/>
        <v>#NAME?</v>
      </c>
      <c r="AF214" s="2" t="e">
        <f ca="1"/>
        <v>#NAME?</v>
      </c>
      <c r="AG214" s="2" t="e">
        <f t="shared" ca="1" si="156"/>
        <v>#NAME?</v>
      </c>
      <c r="AH214" s="2" t="e">
        <f ca="1"/>
        <v>#NAME?</v>
      </c>
      <c r="AI214" s="2" t="e">
        <f t="shared" ca="1" si="157"/>
        <v>#NAME?</v>
      </c>
      <c r="AJ214" s="2" t="e">
        <f ca="1"/>
        <v>#NAME?</v>
      </c>
      <c r="AK214" s="2" t="e">
        <f t="shared" ca="1" si="158"/>
        <v>#NAME?</v>
      </c>
      <c r="AL214" s="2" t="e">
        <f ca="1"/>
        <v>#NAME?</v>
      </c>
      <c r="AM214" s="2" t="e">
        <f t="shared" ca="1" si="159"/>
        <v>#NAME?</v>
      </c>
      <c r="AN214" s="2" t="e">
        <f ca="1"/>
        <v>#NAME?</v>
      </c>
      <c r="AO214" s="2" t="e">
        <f t="shared" ca="1" si="160"/>
        <v>#NAME?</v>
      </c>
      <c r="AP214" s="2" t="e">
        <f ca="1"/>
        <v>#NAME?</v>
      </c>
      <c r="AQ214" s="2" t="e">
        <f t="shared" ca="1" si="161"/>
        <v>#NAME?</v>
      </c>
      <c r="AR214" s="2" t="e">
        <f ca="1"/>
        <v>#NAME?</v>
      </c>
      <c r="AS214" s="2" t="e">
        <f t="shared" ca="1" si="162"/>
        <v>#NAME?</v>
      </c>
      <c r="AT214" s="2" t="e">
        <f ca="1"/>
        <v>#NAME?</v>
      </c>
      <c r="AU214" s="2" t="e">
        <f t="shared" ca="1" si="163"/>
        <v>#NAME?</v>
      </c>
      <c r="AV214" s="2" t="e">
        <f ca="1"/>
        <v>#NAME?</v>
      </c>
      <c r="AW214" s="2" t="e">
        <f t="shared" ca="1" si="164"/>
        <v>#NAME?</v>
      </c>
      <c r="AX214" s="2" t="e">
        <f ca="1"/>
        <v>#NAME?</v>
      </c>
      <c r="AY214" s="2" t="e">
        <f t="shared" ca="1" si="165"/>
        <v>#NAME?</v>
      </c>
      <c r="AZ214" s="2" t="e">
        <f ca="1"/>
        <v>#NAME?</v>
      </c>
      <c r="BA214" s="2" t="e">
        <f t="shared" ca="1" si="166"/>
        <v>#NAME?</v>
      </c>
      <c r="BB214" s="2" t="e">
        <f ca="1"/>
        <v>#NAME?</v>
      </c>
      <c r="BC214" s="2" t="e">
        <f t="shared" ca="1" si="167"/>
        <v>#NAME?</v>
      </c>
      <c r="BD214" s="2" t="e">
        <f ca="1"/>
        <v>#NAME?</v>
      </c>
      <c r="BE214" s="2" t="e">
        <f t="shared" ca="1" si="168"/>
        <v>#NAME?</v>
      </c>
      <c r="BF214" s="2" t="e">
        <f ca="1"/>
        <v>#NAME?</v>
      </c>
      <c r="BG214" s="2" t="e">
        <f t="shared" ca="1" si="169"/>
        <v>#NAME?</v>
      </c>
      <c r="BH214" s="2" t="e">
        <f ca="1"/>
        <v>#NAME?</v>
      </c>
      <c r="BI214" s="2" t="e">
        <f t="shared" ca="1" si="170"/>
        <v>#NAME?</v>
      </c>
      <c r="BJ214" s="2" t="e">
        <f ca="1"/>
        <v>#NAME?</v>
      </c>
      <c r="BK214" s="2" t="e">
        <f t="shared" ca="1" si="171"/>
        <v>#NAME?</v>
      </c>
      <c r="BL214" s="2" t="e">
        <f ca="1"/>
        <v>#NAME?</v>
      </c>
      <c r="BM214" s="2" t="e">
        <f t="shared" ca="1" si="172"/>
        <v>#NAME?</v>
      </c>
      <c r="BN214" s="2" t="e">
        <f ca="1"/>
        <v>#NAME?</v>
      </c>
      <c r="BO214" s="2" t="e">
        <f t="shared" ca="1" si="173"/>
        <v>#NAME?</v>
      </c>
      <c r="BP214" s="2" t="e">
        <f ca="1"/>
        <v>#NAME?</v>
      </c>
      <c r="BQ214" s="2" t="e">
        <f t="shared" ca="1" si="174"/>
        <v>#NAME?</v>
      </c>
      <c r="BR214" s="2" t="e">
        <f ca="1"/>
        <v>#NAME?</v>
      </c>
      <c r="BS214" s="2" t="e">
        <f t="shared" ca="1" si="175"/>
        <v>#NAME?</v>
      </c>
      <c r="BT214" s="2" t="e">
        <f ca="1"/>
        <v>#NAME?</v>
      </c>
      <c r="BU214" s="2" t="e">
        <f t="shared" ca="1" si="176"/>
        <v>#NAME?</v>
      </c>
      <c r="BV214" s="2" t="e">
        <f ca="1"/>
        <v>#NAME?</v>
      </c>
      <c r="BW214" s="2" t="e">
        <f t="shared" ca="1" si="177"/>
        <v>#NAME?</v>
      </c>
      <c r="BX214" s="2" t="e">
        <f ca="1"/>
        <v>#NAME?</v>
      </c>
      <c r="BY214" s="2" t="e">
        <f t="shared" ca="1" si="178"/>
        <v>#NAME?</v>
      </c>
      <c r="BZ214" s="2" t="e">
        <f ca="1"/>
        <v>#NAME?</v>
      </c>
      <c r="CA214" s="2" t="e">
        <f t="shared" ca="1" si="179"/>
        <v>#NAME?</v>
      </c>
      <c r="CB214" s="2" t="e">
        <f ca="1"/>
        <v>#NAME?</v>
      </c>
      <c r="CC214" s="2" t="e">
        <f t="shared" ca="1" si="180"/>
        <v>#NAME?</v>
      </c>
      <c r="CD214" s="2" t="e">
        <f ca="1"/>
        <v>#NAME?</v>
      </c>
      <c r="CE214" s="2" t="e">
        <f t="shared" ca="1" si="181"/>
        <v>#NAME?</v>
      </c>
      <c r="CF214" s="2" t="e">
        <f ca="1"/>
        <v>#NAME?</v>
      </c>
      <c r="CG214" s="2" t="e">
        <f t="shared" ca="1" si="182"/>
        <v>#NAME?</v>
      </c>
      <c r="CH214" s="2" t="e">
        <f ca="1"/>
        <v>#NAME?</v>
      </c>
      <c r="CI214" s="2" t="e">
        <f t="shared" ca="1" si="183"/>
        <v>#NAME?</v>
      </c>
      <c r="CJ214" s="2" t="e">
        <f ca="1"/>
        <v>#NAME?</v>
      </c>
      <c r="CK214" s="2" t="e">
        <f t="shared" ca="1" si="184"/>
        <v>#NAME?</v>
      </c>
      <c r="CL214" s="2" t="e">
        <f ca="1"/>
        <v>#NAME?</v>
      </c>
      <c r="CM214" s="2" t="e">
        <f t="shared" ca="1" si="185"/>
        <v>#NAME?</v>
      </c>
      <c r="CN214" s="2" t="e">
        <f ca="1"/>
        <v>#NAME?</v>
      </c>
      <c r="CO214" s="2" t="e">
        <f t="shared" ca="1" si="186"/>
        <v>#NAME?</v>
      </c>
      <c r="CP214" s="2" t="e">
        <f ca="1"/>
        <v>#NAME?</v>
      </c>
      <c r="CQ214" s="2" t="e">
        <f t="shared" ca="1" si="187"/>
        <v>#NAME?</v>
      </c>
    </row>
    <row r="215" spans="1:95">
      <c r="A215" s="7" t="e">
        <f ca="1"/>
        <v>#NAME?</v>
      </c>
      <c r="B215" s="2" t="e">
        <f ca="1"/>
        <v>#NAME?</v>
      </c>
      <c r="C215" s="2" t="e">
        <f t="shared" ca="1" si="141"/>
        <v>#NAME?</v>
      </c>
      <c r="D215" s="2" t="e">
        <f ca="1"/>
        <v>#NAME?</v>
      </c>
      <c r="E215" s="2" t="e">
        <f t="shared" ca="1" si="142"/>
        <v>#NAME?</v>
      </c>
      <c r="F215" s="2" t="e">
        <f ca="1"/>
        <v>#NAME?</v>
      </c>
      <c r="G215" s="2" t="e">
        <f t="shared" ca="1" si="143"/>
        <v>#NAME?</v>
      </c>
      <c r="H215" s="2" t="e">
        <f ca="1"/>
        <v>#NAME?</v>
      </c>
      <c r="I215" s="2" t="e">
        <f t="shared" ca="1" si="144"/>
        <v>#NAME?</v>
      </c>
      <c r="J215" s="2" t="e">
        <f ca="1"/>
        <v>#NAME?</v>
      </c>
      <c r="K215" s="2" t="e">
        <f t="shared" ca="1" si="145"/>
        <v>#NAME?</v>
      </c>
      <c r="L215" s="2" t="e">
        <f ca="1"/>
        <v>#NAME?</v>
      </c>
      <c r="M215" s="2" t="e">
        <f t="shared" ca="1" si="146"/>
        <v>#NAME?</v>
      </c>
      <c r="N215" s="2" t="e">
        <f ca="1"/>
        <v>#NAME?</v>
      </c>
      <c r="O215" s="2" t="e">
        <f t="shared" ca="1" si="147"/>
        <v>#NAME?</v>
      </c>
      <c r="P215" s="2" t="e">
        <f ca="1"/>
        <v>#NAME?</v>
      </c>
      <c r="Q215" s="2" t="e">
        <f t="shared" ca="1" si="148"/>
        <v>#NAME?</v>
      </c>
      <c r="R215" s="2" t="e">
        <f ca="1"/>
        <v>#NAME?</v>
      </c>
      <c r="S215" s="2" t="e">
        <f t="shared" ca="1" si="149"/>
        <v>#NAME?</v>
      </c>
      <c r="T215" s="2" t="e">
        <f ca="1"/>
        <v>#NAME?</v>
      </c>
      <c r="U215" s="2" t="e">
        <f t="shared" ca="1" si="150"/>
        <v>#NAME?</v>
      </c>
      <c r="V215" s="2" t="e">
        <f ca="1"/>
        <v>#NAME?</v>
      </c>
      <c r="W215" s="2" t="e">
        <f t="shared" ca="1" si="151"/>
        <v>#NAME?</v>
      </c>
      <c r="X215" s="2" t="e">
        <f ca="1"/>
        <v>#NAME?</v>
      </c>
      <c r="Y215" s="2" t="e">
        <f t="shared" ca="1" si="152"/>
        <v>#NAME?</v>
      </c>
      <c r="Z215" s="2" t="e">
        <f ca="1"/>
        <v>#NAME?</v>
      </c>
      <c r="AA215" s="2" t="e">
        <f t="shared" ca="1" si="153"/>
        <v>#NAME?</v>
      </c>
      <c r="AB215" s="2" t="e">
        <f ca="1"/>
        <v>#NAME?</v>
      </c>
      <c r="AC215" s="2" t="e">
        <f t="shared" ca="1" si="154"/>
        <v>#NAME?</v>
      </c>
      <c r="AD215" s="2" t="e">
        <f ca="1"/>
        <v>#NAME?</v>
      </c>
      <c r="AE215" s="2" t="e">
        <f t="shared" ca="1" si="155"/>
        <v>#NAME?</v>
      </c>
      <c r="AF215" s="2" t="e">
        <f ca="1"/>
        <v>#NAME?</v>
      </c>
      <c r="AG215" s="2" t="e">
        <f t="shared" ca="1" si="156"/>
        <v>#NAME?</v>
      </c>
      <c r="AH215" s="2" t="e">
        <f ca="1"/>
        <v>#NAME?</v>
      </c>
      <c r="AI215" s="2" t="e">
        <f t="shared" ca="1" si="157"/>
        <v>#NAME?</v>
      </c>
      <c r="AJ215" s="2" t="e">
        <f ca="1"/>
        <v>#NAME?</v>
      </c>
      <c r="AK215" s="2" t="e">
        <f t="shared" ca="1" si="158"/>
        <v>#NAME?</v>
      </c>
      <c r="AL215" s="2" t="e">
        <f ca="1"/>
        <v>#NAME?</v>
      </c>
      <c r="AM215" s="2" t="e">
        <f t="shared" ca="1" si="159"/>
        <v>#NAME?</v>
      </c>
      <c r="AN215" s="2" t="e">
        <f ca="1"/>
        <v>#NAME?</v>
      </c>
      <c r="AO215" s="2" t="e">
        <f t="shared" ca="1" si="160"/>
        <v>#NAME?</v>
      </c>
      <c r="AP215" s="2" t="e">
        <f ca="1"/>
        <v>#NAME?</v>
      </c>
      <c r="AQ215" s="2" t="e">
        <f t="shared" ca="1" si="161"/>
        <v>#NAME?</v>
      </c>
      <c r="AR215" s="2" t="e">
        <f ca="1"/>
        <v>#NAME?</v>
      </c>
      <c r="AS215" s="2" t="e">
        <f t="shared" ca="1" si="162"/>
        <v>#NAME?</v>
      </c>
      <c r="AT215" s="2" t="e">
        <f ca="1"/>
        <v>#NAME?</v>
      </c>
      <c r="AU215" s="2" t="e">
        <f t="shared" ca="1" si="163"/>
        <v>#NAME?</v>
      </c>
      <c r="AV215" s="2" t="e">
        <f ca="1"/>
        <v>#NAME?</v>
      </c>
      <c r="AW215" s="2" t="e">
        <f t="shared" ca="1" si="164"/>
        <v>#NAME?</v>
      </c>
      <c r="AX215" s="2" t="e">
        <f ca="1"/>
        <v>#NAME?</v>
      </c>
      <c r="AY215" s="2" t="e">
        <f t="shared" ca="1" si="165"/>
        <v>#NAME?</v>
      </c>
      <c r="AZ215" s="2" t="e">
        <f ca="1"/>
        <v>#NAME?</v>
      </c>
      <c r="BA215" s="2" t="e">
        <f t="shared" ca="1" si="166"/>
        <v>#NAME?</v>
      </c>
      <c r="BB215" s="2" t="e">
        <f ca="1"/>
        <v>#NAME?</v>
      </c>
      <c r="BC215" s="2" t="e">
        <f t="shared" ca="1" si="167"/>
        <v>#NAME?</v>
      </c>
      <c r="BD215" s="2" t="e">
        <f ca="1"/>
        <v>#NAME?</v>
      </c>
      <c r="BE215" s="2" t="e">
        <f t="shared" ca="1" si="168"/>
        <v>#NAME?</v>
      </c>
      <c r="BF215" s="2" t="e">
        <f ca="1"/>
        <v>#NAME?</v>
      </c>
      <c r="BG215" s="2" t="e">
        <f t="shared" ca="1" si="169"/>
        <v>#NAME?</v>
      </c>
      <c r="BH215" s="2" t="e">
        <f ca="1"/>
        <v>#NAME?</v>
      </c>
      <c r="BI215" s="2" t="e">
        <f t="shared" ca="1" si="170"/>
        <v>#NAME?</v>
      </c>
      <c r="BJ215" s="2" t="e">
        <f ca="1"/>
        <v>#NAME?</v>
      </c>
      <c r="BK215" s="2" t="e">
        <f t="shared" ca="1" si="171"/>
        <v>#NAME?</v>
      </c>
      <c r="BL215" s="2" t="e">
        <f ca="1"/>
        <v>#NAME?</v>
      </c>
      <c r="BM215" s="2" t="e">
        <f t="shared" ca="1" si="172"/>
        <v>#NAME?</v>
      </c>
      <c r="BN215" s="2" t="e">
        <f ca="1"/>
        <v>#NAME?</v>
      </c>
      <c r="BO215" s="2" t="e">
        <f t="shared" ca="1" si="173"/>
        <v>#NAME?</v>
      </c>
      <c r="BP215" s="2" t="e">
        <f ca="1"/>
        <v>#NAME?</v>
      </c>
      <c r="BQ215" s="2" t="e">
        <f t="shared" ca="1" si="174"/>
        <v>#NAME?</v>
      </c>
      <c r="BR215" s="2" t="e">
        <f ca="1"/>
        <v>#NAME?</v>
      </c>
      <c r="BS215" s="2" t="e">
        <f t="shared" ca="1" si="175"/>
        <v>#NAME?</v>
      </c>
      <c r="BT215" s="2" t="e">
        <f ca="1"/>
        <v>#NAME?</v>
      </c>
      <c r="BU215" s="2" t="e">
        <f t="shared" ca="1" si="176"/>
        <v>#NAME?</v>
      </c>
      <c r="BV215" s="2" t="e">
        <f ca="1"/>
        <v>#NAME?</v>
      </c>
      <c r="BW215" s="2" t="e">
        <f t="shared" ca="1" si="177"/>
        <v>#NAME?</v>
      </c>
      <c r="BX215" s="2" t="e">
        <f ca="1"/>
        <v>#NAME?</v>
      </c>
      <c r="BY215" s="2" t="e">
        <f t="shared" ca="1" si="178"/>
        <v>#NAME?</v>
      </c>
      <c r="BZ215" s="2" t="e">
        <f ca="1"/>
        <v>#NAME?</v>
      </c>
      <c r="CA215" s="2" t="e">
        <f t="shared" ca="1" si="179"/>
        <v>#NAME?</v>
      </c>
      <c r="CB215" s="2" t="e">
        <f ca="1"/>
        <v>#NAME?</v>
      </c>
      <c r="CC215" s="2" t="e">
        <f t="shared" ca="1" si="180"/>
        <v>#NAME?</v>
      </c>
      <c r="CD215" s="2" t="e">
        <f ca="1"/>
        <v>#NAME?</v>
      </c>
      <c r="CE215" s="2" t="e">
        <f t="shared" ca="1" si="181"/>
        <v>#NAME?</v>
      </c>
      <c r="CF215" s="2" t="e">
        <f ca="1"/>
        <v>#NAME?</v>
      </c>
      <c r="CG215" s="2" t="e">
        <f t="shared" ca="1" si="182"/>
        <v>#NAME?</v>
      </c>
      <c r="CH215" s="2" t="e">
        <f ca="1"/>
        <v>#NAME?</v>
      </c>
      <c r="CI215" s="2" t="e">
        <f t="shared" ca="1" si="183"/>
        <v>#NAME?</v>
      </c>
      <c r="CJ215" s="2" t="e">
        <f ca="1"/>
        <v>#NAME?</v>
      </c>
      <c r="CK215" s="2" t="e">
        <f t="shared" ca="1" si="184"/>
        <v>#NAME?</v>
      </c>
      <c r="CL215" s="2" t="e">
        <f ca="1"/>
        <v>#NAME?</v>
      </c>
      <c r="CM215" s="2" t="e">
        <f t="shared" ca="1" si="185"/>
        <v>#NAME?</v>
      </c>
      <c r="CN215" s="2" t="e">
        <f ca="1"/>
        <v>#NAME?</v>
      </c>
      <c r="CO215" s="2" t="e">
        <f t="shared" ca="1" si="186"/>
        <v>#NAME?</v>
      </c>
      <c r="CP215" s="2" t="e">
        <f ca="1"/>
        <v>#NAME?</v>
      </c>
      <c r="CQ215" s="2" t="e">
        <f t="shared" ca="1" si="187"/>
        <v>#NAME?</v>
      </c>
    </row>
    <row r="216" spans="1:95">
      <c r="A216" s="7" t="e">
        <f ca="1"/>
        <v>#NAME?</v>
      </c>
      <c r="B216" s="2" t="e">
        <f ca="1"/>
        <v>#NAME?</v>
      </c>
      <c r="C216" s="2" t="e">
        <f t="shared" ca="1" si="141"/>
        <v>#NAME?</v>
      </c>
      <c r="D216" s="2" t="e">
        <f ca="1"/>
        <v>#NAME?</v>
      </c>
      <c r="E216" s="2" t="e">
        <f t="shared" ca="1" si="142"/>
        <v>#NAME?</v>
      </c>
      <c r="F216" s="2" t="e">
        <f ca="1"/>
        <v>#NAME?</v>
      </c>
      <c r="G216" s="2" t="e">
        <f t="shared" ca="1" si="143"/>
        <v>#NAME?</v>
      </c>
      <c r="H216" s="2" t="e">
        <f ca="1"/>
        <v>#NAME?</v>
      </c>
      <c r="I216" s="2" t="e">
        <f t="shared" ca="1" si="144"/>
        <v>#NAME?</v>
      </c>
      <c r="J216" s="2" t="e">
        <f ca="1"/>
        <v>#NAME?</v>
      </c>
      <c r="K216" s="2" t="e">
        <f t="shared" ca="1" si="145"/>
        <v>#NAME?</v>
      </c>
      <c r="L216" s="2" t="e">
        <f ca="1"/>
        <v>#NAME?</v>
      </c>
      <c r="M216" s="2" t="e">
        <f t="shared" ca="1" si="146"/>
        <v>#NAME?</v>
      </c>
      <c r="N216" s="2" t="e">
        <f ca="1"/>
        <v>#NAME?</v>
      </c>
      <c r="O216" s="2" t="e">
        <f t="shared" ca="1" si="147"/>
        <v>#NAME?</v>
      </c>
      <c r="P216" s="2" t="e">
        <f ca="1"/>
        <v>#NAME?</v>
      </c>
      <c r="Q216" s="2" t="e">
        <f t="shared" ca="1" si="148"/>
        <v>#NAME?</v>
      </c>
      <c r="R216" s="2" t="e">
        <f ca="1"/>
        <v>#NAME?</v>
      </c>
      <c r="S216" s="2" t="e">
        <f t="shared" ca="1" si="149"/>
        <v>#NAME?</v>
      </c>
      <c r="T216" s="2" t="e">
        <f ca="1"/>
        <v>#NAME?</v>
      </c>
      <c r="U216" s="2" t="e">
        <f t="shared" ca="1" si="150"/>
        <v>#NAME?</v>
      </c>
      <c r="V216" s="2" t="e">
        <f ca="1"/>
        <v>#NAME?</v>
      </c>
      <c r="W216" s="2" t="e">
        <f t="shared" ca="1" si="151"/>
        <v>#NAME?</v>
      </c>
      <c r="X216" s="2" t="e">
        <f ca="1"/>
        <v>#NAME?</v>
      </c>
      <c r="Y216" s="2" t="e">
        <f t="shared" ca="1" si="152"/>
        <v>#NAME?</v>
      </c>
      <c r="Z216" s="2" t="e">
        <f ca="1"/>
        <v>#NAME?</v>
      </c>
      <c r="AA216" s="2" t="e">
        <f t="shared" ca="1" si="153"/>
        <v>#NAME?</v>
      </c>
      <c r="AB216" s="2" t="e">
        <f ca="1"/>
        <v>#NAME?</v>
      </c>
      <c r="AC216" s="2" t="e">
        <f t="shared" ca="1" si="154"/>
        <v>#NAME?</v>
      </c>
      <c r="AD216" s="2" t="e">
        <f ca="1"/>
        <v>#NAME?</v>
      </c>
      <c r="AE216" s="2" t="e">
        <f t="shared" ca="1" si="155"/>
        <v>#NAME?</v>
      </c>
      <c r="AF216" s="2" t="e">
        <f ca="1"/>
        <v>#NAME?</v>
      </c>
      <c r="AG216" s="2" t="e">
        <f t="shared" ca="1" si="156"/>
        <v>#NAME?</v>
      </c>
      <c r="AH216" s="2" t="e">
        <f ca="1"/>
        <v>#NAME?</v>
      </c>
      <c r="AI216" s="2" t="e">
        <f t="shared" ca="1" si="157"/>
        <v>#NAME?</v>
      </c>
      <c r="AJ216" s="2" t="e">
        <f ca="1"/>
        <v>#NAME?</v>
      </c>
      <c r="AK216" s="2" t="e">
        <f t="shared" ca="1" si="158"/>
        <v>#NAME?</v>
      </c>
      <c r="AL216" s="2" t="e">
        <f ca="1"/>
        <v>#NAME?</v>
      </c>
      <c r="AM216" s="2" t="e">
        <f t="shared" ca="1" si="159"/>
        <v>#NAME?</v>
      </c>
      <c r="AN216" s="2" t="e">
        <f ca="1"/>
        <v>#NAME?</v>
      </c>
      <c r="AO216" s="2" t="e">
        <f t="shared" ca="1" si="160"/>
        <v>#NAME?</v>
      </c>
      <c r="AP216" s="2" t="e">
        <f ca="1"/>
        <v>#NAME?</v>
      </c>
      <c r="AQ216" s="2" t="e">
        <f t="shared" ca="1" si="161"/>
        <v>#NAME?</v>
      </c>
      <c r="AR216" s="2" t="e">
        <f ca="1"/>
        <v>#NAME?</v>
      </c>
      <c r="AS216" s="2" t="e">
        <f t="shared" ca="1" si="162"/>
        <v>#NAME?</v>
      </c>
      <c r="AT216" s="2" t="e">
        <f ca="1"/>
        <v>#NAME?</v>
      </c>
      <c r="AU216" s="2" t="e">
        <f t="shared" ca="1" si="163"/>
        <v>#NAME?</v>
      </c>
      <c r="AV216" s="2" t="e">
        <f ca="1"/>
        <v>#NAME?</v>
      </c>
      <c r="AW216" s="2" t="e">
        <f t="shared" ca="1" si="164"/>
        <v>#NAME?</v>
      </c>
      <c r="AX216" s="2" t="e">
        <f ca="1"/>
        <v>#NAME?</v>
      </c>
      <c r="AY216" s="2" t="e">
        <f t="shared" ca="1" si="165"/>
        <v>#NAME?</v>
      </c>
      <c r="AZ216" s="2" t="e">
        <f ca="1"/>
        <v>#NAME?</v>
      </c>
      <c r="BA216" s="2" t="e">
        <f t="shared" ca="1" si="166"/>
        <v>#NAME?</v>
      </c>
      <c r="BB216" s="2" t="e">
        <f ca="1"/>
        <v>#NAME?</v>
      </c>
      <c r="BC216" s="2" t="e">
        <f t="shared" ca="1" si="167"/>
        <v>#NAME?</v>
      </c>
      <c r="BD216" s="2" t="e">
        <f ca="1"/>
        <v>#NAME?</v>
      </c>
      <c r="BE216" s="2" t="e">
        <f t="shared" ca="1" si="168"/>
        <v>#NAME?</v>
      </c>
      <c r="BF216" s="2" t="e">
        <f ca="1"/>
        <v>#NAME?</v>
      </c>
      <c r="BG216" s="2" t="e">
        <f t="shared" ca="1" si="169"/>
        <v>#NAME?</v>
      </c>
      <c r="BH216" s="2" t="e">
        <f ca="1"/>
        <v>#NAME?</v>
      </c>
      <c r="BI216" s="2" t="e">
        <f t="shared" ca="1" si="170"/>
        <v>#NAME?</v>
      </c>
      <c r="BJ216" s="2" t="e">
        <f ca="1"/>
        <v>#NAME?</v>
      </c>
      <c r="BK216" s="2" t="e">
        <f t="shared" ca="1" si="171"/>
        <v>#NAME?</v>
      </c>
      <c r="BL216" s="2" t="e">
        <f ca="1"/>
        <v>#NAME?</v>
      </c>
      <c r="BM216" s="2" t="e">
        <f t="shared" ca="1" si="172"/>
        <v>#NAME?</v>
      </c>
      <c r="BN216" s="2" t="e">
        <f ca="1"/>
        <v>#NAME?</v>
      </c>
      <c r="BO216" s="2" t="e">
        <f t="shared" ca="1" si="173"/>
        <v>#NAME?</v>
      </c>
      <c r="BP216" s="2" t="e">
        <f ca="1"/>
        <v>#NAME?</v>
      </c>
      <c r="BQ216" s="2" t="e">
        <f t="shared" ca="1" si="174"/>
        <v>#NAME?</v>
      </c>
      <c r="BR216" s="2" t="e">
        <f ca="1"/>
        <v>#NAME?</v>
      </c>
      <c r="BS216" s="2" t="e">
        <f t="shared" ca="1" si="175"/>
        <v>#NAME?</v>
      </c>
      <c r="BT216" s="2" t="e">
        <f ca="1"/>
        <v>#NAME?</v>
      </c>
      <c r="BU216" s="2" t="e">
        <f t="shared" ca="1" si="176"/>
        <v>#NAME?</v>
      </c>
      <c r="BV216" s="2" t="e">
        <f ca="1"/>
        <v>#NAME?</v>
      </c>
      <c r="BW216" s="2" t="e">
        <f t="shared" ca="1" si="177"/>
        <v>#NAME?</v>
      </c>
      <c r="BX216" s="2" t="e">
        <f ca="1"/>
        <v>#NAME?</v>
      </c>
      <c r="BY216" s="2" t="e">
        <f t="shared" ca="1" si="178"/>
        <v>#NAME?</v>
      </c>
      <c r="BZ216" s="2" t="e">
        <f ca="1"/>
        <v>#NAME?</v>
      </c>
      <c r="CA216" s="2" t="e">
        <f t="shared" ca="1" si="179"/>
        <v>#NAME?</v>
      </c>
      <c r="CB216" s="2" t="e">
        <f ca="1"/>
        <v>#NAME?</v>
      </c>
      <c r="CC216" s="2" t="e">
        <f t="shared" ca="1" si="180"/>
        <v>#NAME?</v>
      </c>
      <c r="CD216" s="2" t="e">
        <f ca="1"/>
        <v>#NAME?</v>
      </c>
      <c r="CE216" s="2" t="e">
        <f t="shared" ca="1" si="181"/>
        <v>#NAME?</v>
      </c>
      <c r="CF216" s="2" t="e">
        <f ca="1"/>
        <v>#NAME?</v>
      </c>
      <c r="CG216" s="2" t="e">
        <f t="shared" ca="1" si="182"/>
        <v>#NAME?</v>
      </c>
      <c r="CH216" s="2" t="e">
        <f ca="1"/>
        <v>#NAME?</v>
      </c>
      <c r="CI216" s="2" t="e">
        <f t="shared" ca="1" si="183"/>
        <v>#NAME?</v>
      </c>
      <c r="CJ216" s="2" t="e">
        <f ca="1"/>
        <v>#NAME?</v>
      </c>
      <c r="CK216" s="2" t="e">
        <f t="shared" ca="1" si="184"/>
        <v>#NAME?</v>
      </c>
      <c r="CL216" s="2" t="e">
        <f ca="1"/>
        <v>#NAME?</v>
      </c>
      <c r="CM216" s="2" t="e">
        <f t="shared" ca="1" si="185"/>
        <v>#NAME?</v>
      </c>
      <c r="CN216" s="2" t="e">
        <f ca="1"/>
        <v>#NAME?</v>
      </c>
      <c r="CO216" s="2" t="e">
        <f t="shared" ca="1" si="186"/>
        <v>#NAME?</v>
      </c>
      <c r="CP216" s="2" t="e">
        <f ca="1"/>
        <v>#NAME?</v>
      </c>
      <c r="CQ216" s="2" t="e">
        <f t="shared" ca="1" si="187"/>
        <v>#NAME?</v>
      </c>
    </row>
    <row r="217" spans="1:95">
      <c r="A217" s="7" t="e">
        <f ca="1"/>
        <v>#NAME?</v>
      </c>
      <c r="B217" s="2" t="e">
        <f ca="1"/>
        <v>#NAME?</v>
      </c>
      <c r="C217" s="2" t="e">
        <f t="shared" ca="1" si="141"/>
        <v>#NAME?</v>
      </c>
      <c r="D217" s="2" t="e">
        <f ca="1"/>
        <v>#NAME?</v>
      </c>
      <c r="E217" s="2" t="e">
        <f t="shared" ca="1" si="142"/>
        <v>#NAME?</v>
      </c>
      <c r="F217" s="2" t="e">
        <f ca="1"/>
        <v>#NAME?</v>
      </c>
      <c r="G217" s="2" t="e">
        <f t="shared" ca="1" si="143"/>
        <v>#NAME?</v>
      </c>
      <c r="H217" s="2" t="e">
        <f ca="1"/>
        <v>#NAME?</v>
      </c>
      <c r="I217" s="2" t="e">
        <f t="shared" ca="1" si="144"/>
        <v>#NAME?</v>
      </c>
      <c r="J217" s="2" t="e">
        <f ca="1"/>
        <v>#NAME?</v>
      </c>
      <c r="K217" s="2" t="e">
        <f t="shared" ca="1" si="145"/>
        <v>#NAME?</v>
      </c>
      <c r="L217" s="2" t="e">
        <f ca="1"/>
        <v>#NAME?</v>
      </c>
      <c r="M217" s="2" t="e">
        <f t="shared" ca="1" si="146"/>
        <v>#NAME?</v>
      </c>
      <c r="N217" s="2" t="e">
        <f ca="1"/>
        <v>#NAME?</v>
      </c>
      <c r="O217" s="2" t="e">
        <f t="shared" ca="1" si="147"/>
        <v>#NAME?</v>
      </c>
      <c r="P217" s="2" t="e">
        <f ca="1"/>
        <v>#NAME?</v>
      </c>
      <c r="Q217" s="2" t="e">
        <f t="shared" ca="1" si="148"/>
        <v>#NAME?</v>
      </c>
      <c r="R217" s="2" t="e">
        <f ca="1"/>
        <v>#NAME?</v>
      </c>
      <c r="S217" s="2" t="e">
        <f t="shared" ca="1" si="149"/>
        <v>#NAME?</v>
      </c>
      <c r="T217" s="2" t="e">
        <f ca="1"/>
        <v>#NAME?</v>
      </c>
      <c r="U217" s="2" t="e">
        <f t="shared" ca="1" si="150"/>
        <v>#NAME?</v>
      </c>
      <c r="V217" s="2" t="e">
        <f ca="1"/>
        <v>#NAME?</v>
      </c>
      <c r="W217" s="2" t="e">
        <f t="shared" ca="1" si="151"/>
        <v>#NAME?</v>
      </c>
      <c r="X217" s="2" t="e">
        <f ca="1"/>
        <v>#NAME?</v>
      </c>
      <c r="Y217" s="2" t="e">
        <f t="shared" ca="1" si="152"/>
        <v>#NAME?</v>
      </c>
      <c r="Z217" s="2" t="e">
        <f ca="1"/>
        <v>#NAME?</v>
      </c>
      <c r="AA217" s="2" t="e">
        <f t="shared" ca="1" si="153"/>
        <v>#NAME?</v>
      </c>
      <c r="AB217" s="2" t="e">
        <f ca="1"/>
        <v>#NAME?</v>
      </c>
      <c r="AC217" s="2" t="e">
        <f t="shared" ca="1" si="154"/>
        <v>#NAME?</v>
      </c>
      <c r="AD217" s="2" t="e">
        <f ca="1"/>
        <v>#NAME?</v>
      </c>
      <c r="AE217" s="2" t="e">
        <f t="shared" ca="1" si="155"/>
        <v>#NAME?</v>
      </c>
      <c r="AF217" s="2" t="e">
        <f ca="1"/>
        <v>#NAME?</v>
      </c>
      <c r="AG217" s="2" t="e">
        <f t="shared" ca="1" si="156"/>
        <v>#NAME?</v>
      </c>
      <c r="AH217" s="2" t="e">
        <f ca="1"/>
        <v>#NAME?</v>
      </c>
      <c r="AI217" s="2" t="e">
        <f t="shared" ca="1" si="157"/>
        <v>#NAME?</v>
      </c>
      <c r="AJ217" s="2" t="e">
        <f ca="1"/>
        <v>#NAME?</v>
      </c>
      <c r="AK217" s="2" t="e">
        <f t="shared" ca="1" si="158"/>
        <v>#NAME?</v>
      </c>
      <c r="AL217" s="2" t="e">
        <f ca="1"/>
        <v>#NAME?</v>
      </c>
      <c r="AM217" s="2" t="e">
        <f t="shared" ca="1" si="159"/>
        <v>#NAME?</v>
      </c>
      <c r="AN217" s="2" t="e">
        <f ca="1"/>
        <v>#NAME?</v>
      </c>
      <c r="AO217" s="2" t="e">
        <f t="shared" ca="1" si="160"/>
        <v>#NAME?</v>
      </c>
      <c r="AP217" s="2" t="e">
        <f ca="1"/>
        <v>#NAME?</v>
      </c>
      <c r="AQ217" s="2" t="e">
        <f t="shared" ca="1" si="161"/>
        <v>#NAME?</v>
      </c>
      <c r="AR217" s="2" t="e">
        <f ca="1"/>
        <v>#NAME?</v>
      </c>
      <c r="AS217" s="2" t="e">
        <f t="shared" ca="1" si="162"/>
        <v>#NAME?</v>
      </c>
      <c r="AT217" s="2" t="e">
        <f ca="1"/>
        <v>#NAME?</v>
      </c>
      <c r="AU217" s="2" t="e">
        <f t="shared" ca="1" si="163"/>
        <v>#NAME?</v>
      </c>
      <c r="AV217" s="2" t="e">
        <f ca="1"/>
        <v>#NAME?</v>
      </c>
      <c r="AW217" s="2" t="e">
        <f t="shared" ca="1" si="164"/>
        <v>#NAME?</v>
      </c>
      <c r="AX217" s="2" t="e">
        <f ca="1"/>
        <v>#NAME?</v>
      </c>
      <c r="AY217" s="2" t="e">
        <f t="shared" ca="1" si="165"/>
        <v>#NAME?</v>
      </c>
      <c r="AZ217" s="2" t="e">
        <f ca="1"/>
        <v>#NAME?</v>
      </c>
      <c r="BA217" s="2" t="e">
        <f t="shared" ca="1" si="166"/>
        <v>#NAME?</v>
      </c>
      <c r="BB217" s="2" t="e">
        <f ca="1"/>
        <v>#NAME?</v>
      </c>
      <c r="BC217" s="2" t="e">
        <f t="shared" ca="1" si="167"/>
        <v>#NAME?</v>
      </c>
      <c r="BD217" s="2" t="e">
        <f ca="1"/>
        <v>#NAME?</v>
      </c>
      <c r="BE217" s="2" t="e">
        <f t="shared" ca="1" si="168"/>
        <v>#NAME?</v>
      </c>
      <c r="BF217" s="2" t="e">
        <f ca="1"/>
        <v>#NAME?</v>
      </c>
      <c r="BG217" s="2" t="e">
        <f t="shared" ca="1" si="169"/>
        <v>#NAME?</v>
      </c>
      <c r="BH217" s="2" t="e">
        <f ca="1"/>
        <v>#NAME?</v>
      </c>
      <c r="BI217" s="2" t="e">
        <f t="shared" ca="1" si="170"/>
        <v>#NAME?</v>
      </c>
      <c r="BJ217" s="2" t="e">
        <f ca="1"/>
        <v>#NAME?</v>
      </c>
      <c r="BK217" s="2" t="e">
        <f t="shared" ca="1" si="171"/>
        <v>#NAME?</v>
      </c>
      <c r="BL217" s="2" t="e">
        <f ca="1"/>
        <v>#NAME?</v>
      </c>
      <c r="BM217" s="2" t="e">
        <f t="shared" ca="1" si="172"/>
        <v>#NAME?</v>
      </c>
      <c r="BN217" s="2" t="e">
        <f ca="1"/>
        <v>#NAME?</v>
      </c>
      <c r="BO217" s="2" t="e">
        <f t="shared" ca="1" si="173"/>
        <v>#NAME?</v>
      </c>
      <c r="BP217" s="2" t="e">
        <f ca="1"/>
        <v>#NAME?</v>
      </c>
      <c r="BQ217" s="2" t="e">
        <f t="shared" ca="1" si="174"/>
        <v>#NAME?</v>
      </c>
      <c r="BR217" s="2" t="e">
        <f ca="1"/>
        <v>#NAME?</v>
      </c>
      <c r="BS217" s="2" t="e">
        <f t="shared" ca="1" si="175"/>
        <v>#NAME?</v>
      </c>
      <c r="BT217" s="2" t="e">
        <f ca="1"/>
        <v>#NAME?</v>
      </c>
      <c r="BU217" s="2" t="e">
        <f t="shared" ca="1" si="176"/>
        <v>#NAME?</v>
      </c>
      <c r="BV217" s="2" t="e">
        <f ca="1"/>
        <v>#NAME?</v>
      </c>
      <c r="BW217" s="2" t="e">
        <f t="shared" ca="1" si="177"/>
        <v>#NAME?</v>
      </c>
      <c r="BX217" s="2" t="e">
        <f ca="1"/>
        <v>#NAME?</v>
      </c>
      <c r="BY217" s="2" t="e">
        <f t="shared" ca="1" si="178"/>
        <v>#NAME?</v>
      </c>
      <c r="BZ217" s="2" t="e">
        <f ca="1"/>
        <v>#NAME?</v>
      </c>
      <c r="CA217" s="2" t="e">
        <f t="shared" ca="1" si="179"/>
        <v>#NAME?</v>
      </c>
      <c r="CB217" s="2" t="e">
        <f ca="1"/>
        <v>#NAME?</v>
      </c>
      <c r="CC217" s="2" t="e">
        <f t="shared" ca="1" si="180"/>
        <v>#NAME?</v>
      </c>
      <c r="CD217" s="2" t="e">
        <f ca="1"/>
        <v>#NAME?</v>
      </c>
      <c r="CE217" s="2" t="e">
        <f t="shared" ca="1" si="181"/>
        <v>#NAME?</v>
      </c>
      <c r="CF217" s="2" t="e">
        <f ca="1"/>
        <v>#NAME?</v>
      </c>
      <c r="CG217" s="2" t="e">
        <f t="shared" ca="1" si="182"/>
        <v>#NAME?</v>
      </c>
      <c r="CH217" s="2" t="e">
        <f ca="1"/>
        <v>#NAME?</v>
      </c>
      <c r="CI217" s="2" t="e">
        <f t="shared" ca="1" si="183"/>
        <v>#NAME?</v>
      </c>
      <c r="CJ217" s="2" t="e">
        <f ca="1"/>
        <v>#NAME?</v>
      </c>
      <c r="CK217" s="2" t="e">
        <f t="shared" ca="1" si="184"/>
        <v>#NAME?</v>
      </c>
      <c r="CL217" s="2" t="e">
        <f ca="1"/>
        <v>#NAME?</v>
      </c>
      <c r="CM217" s="2" t="e">
        <f t="shared" ca="1" si="185"/>
        <v>#NAME?</v>
      </c>
      <c r="CN217" s="2" t="e">
        <f ca="1"/>
        <v>#NAME?</v>
      </c>
      <c r="CO217" s="2" t="e">
        <f t="shared" ca="1" si="186"/>
        <v>#NAME?</v>
      </c>
      <c r="CP217" s="2" t="e">
        <f ca="1"/>
        <v>#NAME?</v>
      </c>
      <c r="CQ217" s="2" t="e">
        <f t="shared" ca="1" si="187"/>
        <v>#NAME?</v>
      </c>
    </row>
    <row r="218" spans="1:95">
      <c r="A218" s="7" t="e">
        <f ca="1"/>
        <v>#NAME?</v>
      </c>
      <c r="B218" s="2" t="e">
        <f ca="1"/>
        <v>#NAME?</v>
      </c>
      <c r="C218" s="2" t="e">
        <f t="shared" ca="1" si="141"/>
        <v>#NAME?</v>
      </c>
      <c r="D218" s="2" t="e">
        <f ca="1"/>
        <v>#NAME?</v>
      </c>
      <c r="E218" s="2" t="e">
        <f t="shared" ca="1" si="142"/>
        <v>#NAME?</v>
      </c>
      <c r="F218" s="2" t="e">
        <f ca="1"/>
        <v>#NAME?</v>
      </c>
      <c r="G218" s="2" t="e">
        <f t="shared" ca="1" si="143"/>
        <v>#NAME?</v>
      </c>
      <c r="H218" s="2" t="e">
        <f ca="1"/>
        <v>#NAME?</v>
      </c>
      <c r="I218" s="2" t="e">
        <f t="shared" ca="1" si="144"/>
        <v>#NAME?</v>
      </c>
      <c r="J218" s="2" t="e">
        <f ca="1"/>
        <v>#NAME?</v>
      </c>
      <c r="K218" s="2" t="e">
        <f t="shared" ca="1" si="145"/>
        <v>#NAME?</v>
      </c>
      <c r="L218" s="2" t="e">
        <f ca="1"/>
        <v>#NAME?</v>
      </c>
      <c r="M218" s="2" t="e">
        <f t="shared" ca="1" si="146"/>
        <v>#NAME?</v>
      </c>
      <c r="N218" s="2" t="e">
        <f ca="1"/>
        <v>#NAME?</v>
      </c>
      <c r="O218" s="2" t="e">
        <f t="shared" ca="1" si="147"/>
        <v>#NAME?</v>
      </c>
      <c r="P218" s="2" t="e">
        <f ca="1"/>
        <v>#NAME?</v>
      </c>
      <c r="Q218" s="2" t="e">
        <f t="shared" ca="1" si="148"/>
        <v>#NAME?</v>
      </c>
      <c r="R218" s="2" t="e">
        <f ca="1"/>
        <v>#NAME?</v>
      </c>
      <c r="S218" s="2" t="e">
        <f t="shared" ca="1" si="149"/>
        <v>#NAME?</v>
      </c>
      <c r="T218" s="2" t="e">
        <f ca="1"/>
        <v>#NAME?</v>
      </c>
      <c r="U218" s="2" t="e">
        <f t="shared" ca="1" si="150"/>
        <v>#NAME?</v>
      </c>
      <c r="V218" s="2" t="e">
        <f ca="1"/>
        <v>#NAME?</v>
      </c>
      <c r="W218" s="2" t="e">
        <f t="shared" ca="1" si="151"/>
        <v>#NAME?</v>
      </c>
      <c r="X218" s="2" t="e">
        <f ca="1"/>
        <v>#NAME?</v>
      </c>
      <c r="Y218" s="2" t="e">
        <f t="shared" ca="1" si="152"/>
        <v>#NAME?</v>
      </c>
      <c r="Z218" s="2" t="e">
        <f ca="1"/>
        <v>#NAME?</v>
      </c>
      <c r="AA218" s="2" t="e">
        <f t="shared" ca="1" si="153"/>
        <v>#NAME?</v>
      </c>
      <c r="AB218" s="2" t="e">
        <f ca="1"/>
        <v>#NAME?</v>
      </c>
      <c r="AC218" s="2" t="e">
        <f t="shared" ca="1" si="154"/>
        <v>#NAME?</v>
      </c>
      <c r="AD218" s="2" t="e">
        <f ca="1"/>
        <v>#NAME?</v>
      </c>
      <c r="AE218" s="2" t="e">
        <f t="shared" ca="1" si="155"/>
        <v>#NAME?</v>
      </c>
      <c r="AF218" s="2" t="e">
        <f ca="1"/>
        <v>#NAME?</v>
      </c>
      <c r="AG218" s="2" t="e">
        <f t="shared" ca="1" si="156"/>
        <v>#NAME?</v>
      </c>
      <c r="AH218" s="2" t="e">
        <f ca="1"/>
        <v>#NAME?</v>
      </c>
      <c r="AI218" s="2" t="e">
        <f t="shared" ca="1" si="157"/>
        <v>#NAME?</v>
      </c>
      <c r="AJ218" s="2" t="e">
        <f ca="1"/>
        <v>#NAME?</v>
      </c>
      <c r="AK218" s="2" t="e">
        <f t="shared" ca="1" si="158"/>
        <v>#NAME?</v>
      </c>
      <c r="AL218" s="2" t="e">
        <f ca="1"/>
        <v>#NAME?</v>
      </c>
      <c r="AM218" s="2" t="e">
        <f t="shared" ca="1" si="159"/>
        <v>#NAME?</v>
      </c>
      <c r="AN218" s="2" t="e">
        <f ca="1"/>
        <v>#NAME?</v>
      </c>
      <c r="AO218" s="2" t="e">
        <f t="shared" ca="1" si="160"/>
        <v>#NAME?</v>
      </c>
      <c r="AP218" s="2" t="e">
        <f ca="1"/>
        <v>#NAME?</v>
      </c>
      <c r="AQ218" s="2" t="e">
        <f t="shared" ca="1" si="161"/>
        <v>#NAME?</v>
      </c>
      <c r="AR218" s="2" t="e">
        <f ca="1"/>
        <v>#NAME?</v>
      </c>
      <c r="AS218" s="2" t="e">
        <f t="shared" ca="1" si="162"/>
        <v>#NAME?</v>
      </c>
      <c r="AT218" s="2" t="e">
        <f ca="1"/>
        <v>#NAME?</v>
      </c>
      <c r="AU218" s="2" t="e">
        <f t="shared" ca="1" si="163"/>
        <v>#NAME?</v>
      </c>
      <c r="AV218" s="2" t="e">
        <f ca="1"/>
        <v>#NAME?</v>
      </c>
      <c r="AW218" s="2" t="e">
        <f t="shared" ca="1" si="164"/>
        <v>#NAME?</v>
      </c>
      <c r="AX218" s="2" t="e">
        <f ca="1"/>
        <v>#NAME?</v>
      </c>
      <c r="AY218" s="2" t="e">
        <f t="shared" ca="1" si="165"/>
        <v>#NAME?</v>
      </c>
      <c r="AZ218" s="2" t="e">
        <f ca="1"/>
        <v>#NAME?</v>
      </c>
      <c r="BA218" s="2" t="e">
        <f t="shared" ca="1" si="166"/>
        <v>#NAME?</v>
      </c>
      <c r="BB218" s="2" t="e">
        <f ca="1"/>
        <v>#NAME?</v>
      </c>
      <c r="BC218" s="2" t="e">
        <f t="shared" ca="1" si="167"/>
        <v>#NAME?</v>
      </c>
      <c r="BD218" s="2" t="e">
        <f ca="1"/>
        <v>#NAME?</v>
      </c>
      <c r="BE218" s="2" t="e">
        <f t="shared" ca="1" si="168"/>
        <v>#NAME?</v>
      </c>
      <c r="BF218" s="2" t="e">
        <f ca="1"/>
        <v>#NAME?</v>
      </c>
      <c r="BG218" s="2" t="e">
        <f t="shared" ca="1" si="169"/>
        <v>#NAME?</v>
      </c>
      <c r="BH218" s="2" t="e">
        <f ca="1"/>
        <v>#NAME?</v>
      </c>
      <c r="BI218" s="2" t="e">
        <f t="shared" ca="1" si="170"/>
        <v>#NAME?</v>
      </c>
      <c r="BJ218" s="2" t="e">
        <f ca="1"/>
        <v>#NAME?</v>
      </c>
      <c r="BK218" s="2" t="e">
        <f t="shared" ca="1" si="171"/>
        <v>#NAME?</v>
      </c>
      <c r="BL218" s="2" t="e">
        <f ca="1"/>
        <v>#NAME?</v>
      </c>
      <c r="BM218" s="2" t="e">
        <f t="shared" ca="1" si="172"/>
        <v>#NAME?</v>
      </c>
      <c r="BN218" s="2" t="e">
        <f ca="1"/>
        <v>#NAME?</v>
      </c>
      <c r="BO218" s="2" t="e">
        <f t="shared" ca="1" si="173"/>
        <v>#NAME?</v>
      </c>
      <c r="BP218" s="2" t="e">
        <f ca="1"/>
        <v>#NAME?</v>
      </c>
      <c r="BQ218" s="2" t="e">
        <f t="shared" ca="1" si="174"/>
        <v>#NAME?</v>
      </c>
      <c r="BR218" s="2" t="e">
        <f ca="1"/>
        <v>#NAME?</v>
      </c>
      <c r="BS218" s="2" t="e">
        <f t="shared" ca="1" si="175"/>
        <v>#NAME?</v>
      </c>
      <c r="BT218" s="2" t="e">
        <f ca="1"/>
        <v>#NAME?</v>
      </c>
      <c r="BU218" s="2" t="e">
        <f t="shared" ca="1" si="176"/>
        <v>#NAME?</v>
      </c>
      <c r="BV218" s="2" t="e">
        <f ca="1"/>
        <v>#NAME?</v>
      </c>
      <c r="BW218" s="2" t="e">
        <f t="shared" ca="1" si="177"/>
        <v>#NAME?</v>
      </c>
      <c r="BX218" s="2" t="e">
        <f ca="1"/>
        <v>#NAME?</v>
      </c>
      <c r="BY218" s="2" t="e">
        <f t="shared" ca="1" si="178"/>
        <v>#NAME?</v>
      </c>
      <c r="BZ218" s="2" t="e">
        <f ca="1"/>
        <v>#NAME?</v>
      </c>
      <c r="CA218" s="2" t="e">
        <f t="shared" ca="1" si="179"/>
        <v>#NAME?</v>
      </c>
      <c r="CB218" s="2" t="e">
        <f ca="1"/>
        <v>#NAME?</v>
      </c>
      <c r="CC218" s="2" t="e">
        <f t="shared" ca="1" si="180"/>
        <v>#NAME?</v>
      </c>
      <c r="CD218" s="2" t="e">
        <f ca="1"/>
        <v>#NAME?</v>
      </c>
      <c r="CE218" s="2" t="e">
        <f t="shared" ca="1" si="181"/>
        <v>#NAME?</v>
      </c>
      <c r="CF218" s="2" t="e">
        <f ca="1"/>
        <v>#NAME?</v>
      </c>
      <c r="CG218" s="2" t="e">
        <f t="shared" ca="1" si="182"/>
        <v>#NAME?</v>
      </c>
      <c r="CH218" s="2" t="e">
        <f ca="1"/>
        <v>#NAME?</v>
      </c>
      <c r="CI218" s="2" t="e">
        <f t="shared" ca="1" si="183"/>
        <v>#NAME?</v>
      </c>
      <c r="CJ218" s="2" t="e">
        <f ca="1"/>
        <v>#NAME?</v>
      </c>
      <c r="CK218" s="2" t="e">
        <f t="shared" ca="1" si="184"/>
        <v>#NAME?</v>
      </c>
      <c r="CL218" s="2" t="e">
        <f ca="1"/>
        <v>#NAME?</v>
      </c>
      <c r="CM218" s="2" t="e">
        <f t="shared" ca="1" si="185"/>
        <v>#NAME?</v>
      </c>
      <c r="CN218" s="2" t="e">
        <f ca="1"/>
        <v>#NAME?</v>
      </c>
      <c r="CO218" s="2" t="e">
        <f t="shared" ca="1" si="186"/>
        <v>#NAME?</v>
      </c>
      <c r="CP218" s="2" t="e">
        <f ca="1"/>
        <v>#NAME?</v>
      </c>
      <c r="CQ218" s="2" t="e">
        <f t="shared" ca="1" si="187"/>
        <v>#NAME?</v>
      </c>
    </row>
    <row r="219" spans="1:95">
      <c r="A219" s="7" t="e">
        <f ca="1"/>
        <v>#NAME?</v>
      </c>
      <c r="B219" s="2" t="e">
        <f ca="1"/>
        <v>#NAME?</v>
      </c>
      <c r="C219" s="2" t="e">
        <f t="shared" ca="1" si="141"/>
        <v>#NAME?</v>
      </c>
      <c r="D219" s="2" t="e">
        <f ca="1"/>
        <v>#NAME?</v>
      </c>
      <c r="E219" s="2" t="e">
        <f t="shared" ca="1" si="142"/>
        <v>#NAME?</v>
      </c>
      <c r="F219" s="2" t="e">
        <f ca="1"/>
        <v>#NAME?</v>
      </c>
      <c r="G219" s="2" t="e">
        <f t="shared" ca="1" si="143"/>
        <v>#NAME?</v>
      </c>
      <c r="H219" s="2" t="e">
        <f ca="1"/>
        <v>#NAME?</v>
      </c>
      <c r="I219" s="2" t="e">
        <f t="shared" ca="1" si="144"/>
        <v>#NAME?</v>
      </c>
      <c r="J219" s="2" t="e">
        <f ca="1"/>
        <v>#NAME?</v>
      </c>
      <c r="K219" s="2" t="e">
        <f t="shared" ca="1" si="145"/>
        <v>#NAME?</v>
      </c>
      <c r="L219" s="2" t="e">
        <f ca="1"/>
        <v>#NAME?</v>
      </c>
      <c r="M219" s="2" t="e">
        <f t="shared" ca="1" si="146"/>
        <v>#NAME?</v>
      </c>
      <c r="N219" s="2" t="e">
        <f ca="1"/>
        <v>#NAME?</v>
      </c>
      <c r="O219" s="2" t="e">
        <f t="shared" ca="1" si="147"/>
        <v>#NAME?</v>
      </c>
      <c r="P219" s="2" t="e">
        <f ca="1"/>
        <v>#NAME?</v>
      </c>
      <c r="Q219" s="2" t="e">
        <f t="shared" ca="1" si="148"/>
        <v>#NAME?</v>
      </c>
      <c r="R219" s="2" t="e">
        <f ca="1"/>
        <v>#NAME?</v>
      </c>
      <c r="S219" s="2" t="e">
        <f t="shared" ca="1" si="149"/>
        <v>#NAME?</v>
      </c>
      <c r="T219" s="2" t="e">
        <f ca="1"/>
        <v>#NAME?</v>
      </c>
      <c r="U219" s="2" t="e">
        <f t="shared" ca="1" si="150"/>
        <v>#NAME?</v>
      </c>
      <c r="V219" s="2" t="e">
        <f ca="1"/>
        <v>#NAME?</v>
      </c>
      <c r="W219" s="2" t="e">
        <f t="shared" ca="1" si="151"/>
        <v>#NAME?</v>
      </c>
      <c r="X219" s="2" t="e">
        <f ca="1"/>
        <v>#NAME?</v>
      </c>
      <c r="Y219" s="2" t="e">
        <f t="shared" ca="1" si="152"/>
        <v>#NAME?</v>
      </c>
      <c r="Z219" s="2" t="e">
        <f ca="1"/>
        <v>#NAME?</v>
      </c>
      <c r="AA219" s="2" t="e">
        <f t="shared" ca="1" si="153"/>
        <v>#NAME?</v>
      </c>
      <c r="AB219" s="2" t="e">
        <f ca="1"/>
        <v>#NAME?</v>
      </c>
      <c r="AC219" s="2" t="e">
        <f t="shared" ca="1" si="154"/>
        <v>#NAME?</v>
      </c>
      <c r="AD219" s="2" t="e">
        <f ca="1"/>
        <v>#NAME?</v>
      </c>
      <c r="AE219" s="2" t="e">
        <f t="shared" ca="1" si="155"/>
        <v>#NAME?</v>
      </c>
      <c r="AF219" s="2" t="e">
        <f ca="1"/>
        <v>#NAME?</v>
      </c>
      <c r="AG219" s="2" t="e">
        <f t="shared" ca="1" si="156"/>
        <v>#NAME?</v>
      </c>
      <c r="AH219" s="2" t="e">
        <f ca="1"/>
        <v>#NAME?</v>
      </c>
      <c r="AI219" s="2" t="e">
        <f t="shared" ca="1" si="157"/>
        <v>#NAME?</v>
      </c>
      <c r="AJ219" s="2" t="e">
        <f ca="1"/>
        <v>#NAME?</v>
      </c>
      <c r="AK219" s="2" t="e">
        <f t="shared" ca="1" si="158"/>
        <v>#NAME?</v>
      </c>
      <c r="AL219" s="2" t="e">
        <f ca="1"/>
        <v>#NAME?</v>
      </c>
      <c r="AM219" s="2" t="e">
        <f t="shared" ca="1" si="159"/>
        <v>#NAME?</v>
      </c>
      <c r="AN219" s="2" t="e">
        <f ca="1"/>
        <v>#NAME?</v>
      </c>
      <c r="AO219" s="2" t="e">
        <f t="shared" ca="1" si="160"/>
        <v>#NAME?</v>
      </c>
      <c r="AP219" s="2" t="e">
        <f ca="1"/>
        <v>#NAME?</v>
      </c>
      <c r="AQ219" s="2" t="e">
        <f t="shared" ca="1" si="161"/>
        <v>#NAME?</v>
      </c>
      <c r="AR219" s="2" t="e">
        <f ca="1"/>
        <v>#NAME?</v>
      </c>
      <c r="AS219" s="2" t="e">
        <f t="shared" ca="1" si="162"/>
        <v>#NAME?</v>
      </c>
      <c r="AT219" s="2" t="e">
        <f ca="1"/>
        <v>#NAME?</v>
      </c>
      <c r="AU219" s="2" t="e">
        <f t="shared" ca="1" si="163"/>
        <v>#NAME?</v>
      </c>
      <c r="AV219" s="2" t="e">
        <f ca="1"/>
        <v>#NAME?</v>
      </c>
      <c r="AW219" s="2" t="e">
        <f t="shared" ca="1" si="164"/>
        <v>#NAME?</v>
      </c>
      <c r="AX219" s="2" t="e">
        <f ca="1"/>
        <v>#NAME?</v>
      </c>
      <c r="AY219" s="2" t="e">
        <f t="shared" ca="1" si="165"/>
        <v>#NAME?</v>
      </c>
      <c r="AZ219" s="2" t="e">
        <f ca="1"/>
        <v>#NAME?</v>
      </c>
      <c r="BA219" s="2" t="e">
        <f t="shared" ca="1" si="166"/>
        <v>#NAME?</v>
      </c>
      <c r="BB219" s="2" t="e">
        <f ca="1"/>
        <v>#NAME?</v>
      </c>
      <c r="BC219" s="2" t="e">
        <f t="shared" ca="1" si="167"/>
        <v>#NAME?</v>
      </c>
      <c r="BD219" s="2" t="e">
        <f ca="1"/>
        <v>#NAME?</v>
      </c>
      <c r="BE219" s="2" t="e">
        <f t="shared" ca="1" si="168"/>
        <v>#NAME?</v>
      </c>
      <c r="BF219" s="2" t="e">
        <f ca="1"/>
        <v>#NAME?</v>
      </c>
      <c r="BG219" s="2" t="e">
        <f t="shared" ca="1" si="169"/>
        <v>#NAME?</v>
      </c>
      <c r="BH219" s="2" t="e">
        <f ca="1"/>
        <v>#NAME?</v>
      </c>
      <c r="BI219" s="2" t="e">
        <f t="shared" ca="1" si="170"/>
        <v>#NAME?</v>
      </c>
      <c r="BJ219" s="2" t="e">
        <f ca="1"/>
        <v>#NAME?</v>
      </c>
      <c r="BK219" s="2" t="e">
        <f t="shared" ca="1" si="171"/>
        <v>#NAME?</v>
      </c>
      <c r="BL219" s="2" t="e">
        <f ca="1"/>
        <v>#NAME?</v>
      </c>
      <c r="BM219" s="2" t="e">
        <f t="shared" ca="1" si="172"/>
        <v>#NAME?</v>
      </c>
      <c r="BN219" s="2" t="e">
        <f ca="1"/>
        <v>#NAME?</v>
      </c>
      <c r="BO219" s="2" t="e">
        <f t="shared" ca="1" si="173"/>
        <v>#NAME?</v>
      </c>
      <c r="BP219" s="2" t="e">
        <f ca="1"/>
        <v>#NAME?</v>
      </c>
      <c r="BQ219" s="2" t="e">
        <f t="shared" ca="1" si="174"/>
        <v>#NAME?</v>
      </c>
      <c r="BR219" s="2" t="e">
        <f ca="1"/>
        <v>#NAME?</v>
      </c>
      <c r="BS219" s="2" t="e">
        <f t="shared" ca="1" si="175"/>
        <v>#NAME?</v>
      </c>
      <c r="BT219" s="2" t="e">
        <f ca="1"/>
        <v>#NAME?</v>
      </c>
      <c r="BU219" s="2" t="e">
        <f t="shared" ca="1" si="176"/>
        <v>#NAME?</v>
      </c>
      <c r="BV219" s="2" t="e">
        <f ca="1"/>
        <v>#NAME?</v>
      </c>
      <c r="BW219" s="2" t="e">
        <f t="shared" ca="1" si="177"/>
        <v>#NAME?</v>
      </c>
      <c r="BX219" s="2" t="e">
        <f ca="1"/>
        <v>#NAME?</v>
      </c>
      <c r="BY219" s="2" t="e">
        <f t="shared" ca="1" si="178"/>
        <v>#NAME?</v>
      </c>
      <c r="BZ219" s="2" t="e">
        <f ca="1"/>
        <v>#NAME?</v>
      </c>
      <c r="CA219" s="2" t="e">
        <f t="shared" ca="1" si="179"/>
        <v>#NAME?</v>
      </c>
      <c r="CB219" s="2" t="e">
        <f ca="1"/>
        <v>#NAME?</v>
      </c>
      <c r="CC219" s="2" t="e">
        <f t="shared" ca="1" si="180"/>
        <v>#NAME?</v>
      </c>
      <c r="CD219" s="2" t="e">
        <f ca="1"/>
        <v>#NAME?</v>
      </c>
      <c r="CE219" s="2" t="e">
        <f t="shared" ca="1" si="181"/>
        <v>#NAME?</v>
      </c>
      <c r="CF219" s="2" t="e">
        <f ca="1"/>
        <v>#NAME?</v>
      </c>
      <c r="CG219" s="2" t="e">
        <f t="shared" ca="1" si="182"/>
        <v>#NAME?</v>
      </c>
      <c r="CH219" s="2" t="e">
        <f ca="1"/>
        <v>#NAME?</v>
      </c>
      <c r="CI219" s="2" t="e">
        <f t="shared" ca="1" si="183"/>
        <v>#NAME?</v>
      </c>
      <c r="CJ219" s="2" t="e">
        <f ca="1"/>
        <v>#NAME?</v>
      </c>
      <c r="CK219" s="2" t="e">
        <f t="shared" ca="1" si="184"/>
        <v>#NAME?</v>
      </c>
      <c r="CL219" s="2" t="e">
        <f ca="1"/>
        <v>#NAME?</v>
      </c>
      <c r="CM219" s="2" t="e">
        <f t="shared" ca="1" si="185"/>
        <v>#NAME?</v>
      </c>
      <c r="CN219" s="2" t="e">
        <f ca="1"/>
        <v>#NAME?</v>
      </c>
      <c r="CO219" s="2" t="e">
        <f t="shared" ca="1" si="186"/>
        <v>#NAME?</v>
      </c>
      <c r="CP219" s="2" t="e">
        <f ca="1"/>
        <v>#NAME?</v>
      </c>
      <c r="CQ219" s="2" t="e">
        <f t="shared" ca="1" si="187"/>
        <v>#NAME?</v>
      </c>
    </row>
    <row r="220" spans="1:95">
      <c r="A220" s="7" t="e">
        <f ca="1"/>
        <v>#NAME?</v>
      </c>
      <c r="B220" s="2" t="e">
        <f ca="1"/>
        <v>#NAME?</v>
      </c>
      <c r="C220" s="2" t="e">
        <f t="shared" ca="1" si="141"/>
        <v>#NAME?</v>
      </c>
      <c r="D220" s="2" t="e">
        <f ca="1"/>
        <v>#NAME?</v>
      </c>
      <c r="E220" s="2" t="e">
        <f t="shared" ca="1" si="142"/>
        <v>#NAME?</v>
      </c>
      <c r="F220" s="2" t="e">
        <f ca="1"/>
        <v>#NAME?</v>
      </c>
      <c r="G220" s="2" t="e">
        <f t="shared" ca="1" si="143"/>
        <v>#NAME?</v>
      </c>
      <c r="H220" s="2" t="e">
        <f ca="1"/>
        <v>#NAME?</v>
      </c>
      <c r="I220" s="2" t="e">
        <f t="shared" ca="1" si="144"/>
        <v>#NAME?</v>
      </c>
      <c r="J220" s="2" t="e">
        <f ca="1"/>
        <v>#NAME?</v>
      </c>
      <c r="K220" s="2" t="e">
        <f t="shared" ca="1" si="145"/>
        <v>#NAME?</v>
      </c>
      <c r="L220" s="2" t="e">
        <f ca="1"/>
        <v>#NAME?</v>
      </c>
      <c r="M220" s="2" t="e">
        <f t="shared" ca="1" si="146"/>
        <v>#NAME?</v>
      </c>
      <c r="N220" s="2" t="e">
        <f ca="1"/>
        <v>#NAME?</v>
      </c>
      <c r="O220" s="2" t="e">
        <f t="shared" ca="1" si="147"/>
        <v>#NAME?</v>
      </c>
      <c r="P220" s="2" t="e">
        <f ca="1"/>
        <v>#NAME?</v>
      </c>
      <c r="Q220" s="2" t="e">
        <f t="shared" ca="1" si="148"/>
        <v>#NAME?</v>
      </c>
      <c r="R220" s="2" t="e">
        <f ca="1"/>
        <v>#NAME?</v>
      </c>
      <c r="S220" s="2" t="e">
        <f t="shared" ca="1" si="149"/>
        <v>#NAME?</v>
      </c>
      <c r="T220" s="2" t="e">
        <f ca="1"/>
        <v>#NAME?</v>
      </c>
      <c r="U220" s="2" t="e">
        <f t="shared" ca="1" si="150"/>
        <v>#NAME?</v>
      </c>
      <c r="V220" s="2" t="e">
        <f ca="1"/>
        <v>#NAME?</v>
      </c>
      <c r="W220" s="2" t="e">
        <f t="shared" ca="1" si="151"/>
        <v>#NAME?</v>
      </c>
      <c r="X220" s="2" t="e">
        <f ca="1"/>
        <v>#NAME?</v>
      </c>
      <c r="Y220" s="2" t="e">
        <f t="shared" ca="1" si="152"/>
        <v>#NAME?</v>
      </c>
      <c r="Z220" s="2" t="e">
        <f ca="1"/>
        <v>#NAME?</v>
      </c>
      <c r="AA220" s="2" t="e">
        <f t="shared" ca="1" si="153"/>
        <v>#NAME?</v>
      </c>
      <c r="AB220" s="2" t="e">
        <f ca="1"/>
        <v>#NAME?</v>
      </c>
      <c r="AC220" s="2" t="e">
        <f t="shared" ca="1" si="154"/>
        <v>#NAME?</v>
      </c>
      <c r="AD220" s="2" t="e">
        <f ca="1"/>
        <v>#NAME?</v>
      </c>
      <c r="AE220" s="2" t="e">
        <f t="shared" ca="1" si="155"/>
        <v>#NAME?</v>
      </c>
      <c r="AF220" s="2" t="e">
        <f ca="1"/>
        <v>#NAME?</v>
      </c>
      <c r="AG220" s="2" t="e">
        <f t="shared" ca="1" si="156"/>
        <v>#NAME?</v>
      </c>
      <c r="AH220" s="2" t="e">
        <f ca="1"/>
        <v>#NAME?</v>
      </c>
      <c r="AI220" s="2" t="e">
        <f t="shared" ca="1" si="157"/>
        <v>#NAME?</v>
      </c>
      <c r="AJ220" s="2" t="e">
        <f ca="1"/>
        <v>#NAME?</v>
      </c>
      <c r="AK220" s="2" t="e">
        <f t="shared" ca="1" si="158"/>
        <v>#NAME?</v>
      </c>
      <c r="AL220" s="2" t="e">
        <f ca="1"/>
        <v>#NAME?</v>
      </c>
      <c r="AM220" s="2" t="e">
        <f t="shared" ca="1" si="159"/>
        <v>#NAME?</v>
      </c>
      <c r="AN220" s="2" t="e">
        <f ca="1"/>
        <v>#NAME?</v>
      </c>
      <c r="AO220" s="2" t="e">
        <f t="shared" ca="1" si="160"/>
        <v>#NAME?</v>
      </c>
      <c r="AP220" s="2" t="e">
        <f ca="1"/>
        <v>#NAME?</v>
      </c>
      <c r="AQ220" s="2" t="e">
        <f t="shared" ca="1" si="161"/>
        <v>#NAME?</v>
      </c>
      <c r="AR220" s="2" t="e">
        <f ca="1"/>
        <v>#NAME?</v>
      </c>
      <c r="AS220" s="2" t="e">
        <f t="shared" ca="1" si="162"/>
        <v>#NAME?</v>
      </c>
      <c r="AT220" s="2" t="e">
        <f ca="1"/>
        <v>#NAME?</v>
      </c>
      <c r="AU220" s="2" t="e">
        <f t="shared" ca="1" si="163"/>
        <v>#NAME?</v>
      </c>
      <c r="AV220" s="2" t="e">
        <f ca="1"/>
        <v>#NAME?</v>
      </c>
      <c r="AW220" s="2" t="e">
        <f t="shared" ca="1" si="164"/>
        <v>#NAME?</v>
      </c>
      <c r="AX220" s="2" t="e">
        <f ca="1"/>
        <v>#NAME?</v>
      </c>
      <c r="AY220" s="2" t="e">
        <f t="shared" ca="1" si="165"/>
        <v>#NAME?</v>
      </c>
      <c r="AZ220" s="2" t="e">
        <f ca="1"/>
        <v>#NAME?</v>
      </c>
      <c r="BA220" s="2" t="e">
        <f t="shared" ca="1" si="166"/>
        <v>#NAME?</v>
      </c>
      <c r="BB220" s="2" t="e">
        <f ca="1"/>
        <v>#NAME?</v>
      </c>
      <c r="BC220" s="2" t="e">
        <f t="shared" ca="1" si="167"/>
        <v>#NAME?</v>
      </c>
      <c r="BD220" s="2" t="e">
        <f ca="1"/>
        <v>#NAME?</v>
      </c>
      <c r="BE220" s="2" t="e">
        <f t="shared" ca="1" si="168"/>
        <v>#NAME?</v>
      </c>
      <c r="BF220" s="2" t="e">
        <f ca="1"/>
        <v>#NAME?</v>
      </c>
      <c r="BG220" s="2" t="e">
        <f t="shared" ca="1" si="169"/>
        <v>#NAME?</v>
      </c>
      <c r="BH220" s="2" t="e">
        <f ca="1"/>
        <v>#NAME?</v>
      </c>
      <c r="BI220" s="2" t="e">
        <f t="shared" ca="1" si="170"/>
        <v>#NAME?</v>
      </c>
      <c r="BJ220" s="2" t="e">
        <f ca="1"/>
        <v>#NAME?</v>
      </c>
      <c r="BK220" s="2" t="e">
        <f t="shared" ca="1" si="171"/>
        <v>#NAME?</v>
      </c>
      <c r="BL220" s="2" t="e">
        <f ca="1"/>
        <v>#NAME?</v>
      </c>
      <c r="BM220" s="2" t="e">
        <f t="shared" ca="1" si="172"/>
        <v>#NAME?</v>
      </c>
      <c r="BN220" s="2" t="e">
        <f ca="1"/>
        <v>#NAME?</v>
      </c>
      <c r="BO220" s="2" t="e">
        <f t="shared" ca="1" si="173"/>
        <v>#NAME?</v>
      </c>
      <c r="BP220" s="2" t="e">
        <f ca="1"/>
        <v>#NAME?</v>
      </c>
      <c r="BQ220" s="2" t="e">
        <f t="shared" ca="1" si="174"/>
        <v>#NAME?</v>
      </c>
      <c r="BR220" s="2" t="e">
        <f ca="1"/>
        <v>#NAME?</v>
      </c>
      <c r="BS220" s="2" t="e">
        <f t="shared" ca="1" si="175"/>
        <v>#NAME?</v>
      </c>
      <c r="BT220" s="2" t="e">
        <f ca="1"/>
        <v>#NAME?</v>
      </c>
      <c r="BU220" s="2" t="e">
        <f t="shared" ca="1" si="176"/>
        <v>#NAME?</v>
      </c>
      <c r="BV220" s="2" t="e">
        <f ca="1"/>
        <v>#NAME?</v>
      </c>
      <c r="BW220" s="2" t="e">
        <f t="shared" ca="1" si="177"/>
        <v>#NAME?</v>
      </c>
      <c r="BX220" s="2" t="e">
        <f ca="1"/>
        <v>#NAME?</v>
      </c>
      <c r="BY220" s="2" t="e">
        <f t="shared" ca="1" si="178"/>
        <v>#NAME?</v>
      </c>
      <c r="BZ220" s="2" t="e">
        <f ca="1"/>
        <v>#NAME?</v>
      </c>
      <c r="CA220" s="2" t="e">
        <f t="shared" ca="1" si="179"/>
        <v>#NAME?</v>
      </c>
      <c r="CB220" s="2" t="e">
        <f ca="1"/>
        <v>#NAME?</v>
      </c>
      <c r="CC220" s="2" t="e">
        <f t="shared" ca="1" si="180"/>
        <v>#NAME?</v>
      </c>
      <c r="CD220" s="2" t="e">
        <f ca="1"/>
        <v>#NAME?</v>
      </c>
      <c r="CE220" s="2" t="e">
        <f t="shared" ca="1" si="181"/>
        <v>#NAME?</v>
      </c>
      <c r="CF220" s="2" t="e">
        <f ca="1"/>
        <v>#NAME?</v>
      </c>
      <c r="CG220" s="2" t="e">
        <f t="shared" ca="1" si="182"/>
        <v>#NAME?</v>
      </c>
      <c r="CH220" s="2" t="e">
        <f ca="1"/>
        <v>#NAME?</v>
      </c>
      <c r="CI220" s="2" t="e">
        <f t="shared" ca="1" si="183"/>
        <v>#NAME?</v>
      </c>
      <c r="CJ220" s="2" t="e">
        <f ca="1"/>
        <v>#NAME?</v>
      </c>
      <c r="CK220" s="2" t="e">
        <f t="shared" ca="1" si="184"/>
        <v>#NAME?</v>
      </c>
      <c r="CL220" s="2" t="e">
        <f ca="1"/>
        <v>#NAME?</v>
      </c>
      <c r="CM220" s="2" t="e">
        <f t="shared" ca="1" si="185"/>
        <v>#NAME?</v>
      </c>
      <c r="CN220" s="2" t="e">
        <f ca="1"/>
        <v>#NAME?</v>
      </c>
      <c r="CO220" s="2" t="e">
        <f t="shared" ca="1" si="186"/>
        <v>#NAME?</v>
      </c>
      <c r="CP220" s="2" t="e">
        <f ca="1"/>
        <v>#NAME?</v>
      </c>
      <c r="CQ220" s="2" t="e">
        <f t="shared" ca="1" si="187"/>
        <v>#NAME?</v>
      </c>
    </row>
    <row r="221" spans="1:95">
      <c r="A221" s="7" t="e">
        <f ca="1"/>
        <v>#NAME?</v>
      </c>
      <c r="B221" s="2" t="e">
        <f ca="1"/>
        <v>#NAME?</v>
      </c>
      <c r="C221" s="2" t="e">
        <f t="shared" ca="1" si="141"/>
        <v>#NAME?</v>
      </c>
      <c r="D221" s="2" t="e">
        <f ca="1"/>
        <v>#NAME?</v>
      </c>
      <c r="E221" s="2" t="e">
        <f t="shared" ca="1" si="142"/>
        <v>#NAME?</v>
      </c>
      <c r="F221" s="2" t="e">
        <f ca="1"/>
        <v>#NAME?</v>
      </c>
      <c r="G221" s="2" t="e">
        <f t="shared" ca="1" si="143"/>
        <v>#NAME?</v>
      </c>
      <c r="H221" s="2" t="e">
        <f ca="1"/>
        <v>#NAME?</v>
      </c>
      <c r="I221" s="2" t="e">
        <f t="shared" ca="1" si="144"/>
        <v>#NAME?</v>
      </c>
      <c r="J221" s="2" t="e">
        <f ca="1"/>
        <v>#NAME?</v>
      </c>
      <c r="K221" s="2" t="e">
        <f t="shared" ca="1" si="145"/>
        <v>#NAME?</v>
      </c>
      <c r="L221" s="2" t="e">
        <f ca="1"/>
        <v>#NAME?</v>
      </c>
      <c r="M221" s="2" t="e">
        <f t="shared" ca="1" si="146"/>
        <v>#NAME?</v>
      </c>
      <c r="N221" s="2" t="e">
        <f ca="1"/>
        <v>#NAME?</v>
      </c>
      <c r="O221" s="2" t="e">
        <f t="shared" ca="1" si="147"/>
        <v>#NAME?</v>
      </c>
      <c r="P221" s="2" t="e">
        <f ca="1"/>
        <v>#NAME?</v>
      </c>
      <c r="Q221" s="2" t="e">
        <f t="shared" ca="1" si="148"/>
        <v>#NAME?</v>
      </c>
      <c r="R221" s="2" t="e">
        <f ca="1"/>
        <v>#NAME?</v>
      </c>
      <c r="S221" s="2" t="e">
        <f t="shared" ca="1" si="149"/>
        <v>#NAME?</v>
      </c>
      <c r="T221" s="2" t="e">
        <f ca="1"/>
        <v>#NAME?</v>
      </c>
      <c r="U221" s="2" t="e">
        <f t="shared" ca="1" si="150"/>
        <v>#NAME?</v>
      </c>
      <c r="V221" s="2" t="e">
        <f ca="1"/>
        <v>#NAME?</v>
      </c>
      <c r="W221" s="2" t="e">
        <f t="shared" ca="1" si="151"/>
        <v>#NAME?</v>
      </c>
      <c r="X221" s="2" t="e">
        <f ca="1"/>
        <v>#NAME?</v>
      </c>
      <c r="Y221" s="2" t="e">
        <f t="shared" ca="1" si="152"/>
        <v>#NAME?</v>
      </c>
      <c r="Z221" s="2" t="e">
        <f ca="1"/>
        <v>#NAME?</v>
      </c>
      <c r="AA221" s="2" t="e">
        <f t="shared" ca="1" si="153"/>
        <v>#NAME?</v>
      </c>
      <c r="AB221" s="2" t="e">
        <f ca="1"/>
        <v>#NAME?</v>
      </c>
      <c r="AC221" s="2" t="e">
        <f t="shared" ca="1" si="154"/>
        <v>#NAME?</v>
      </c>
      <c r="AD221" s="2" t="e">
        <f ca="1"/>
        <v>#NAME?</v>
      </c>
      <c r="AE221" s="2" t="e">
        <f t="shared" ca="1" si="155"/>
        <v>#NAME?</v>
      </c>
      <c r="AF221" s="2" t="e">
        <f ca="1"/>
        <v>#NAME?</v>
      </c>
      <c r="AG221" s="2" t="e">
        <f t="shared" ca="1" si="156"/>
        <v>#NAME?</v>
      </c>
      <c r="AH221" s="2" t="e">
        <f ca="1"/>
        <v>#NAME?</v>
      </c>
      <c r="AI221" s="2" t="e">
        <f t="shared" ca="1" si="157"/>
        <v>#NAME?</v>
      </c>
      <c r="AJ221" s="2" t="e">
        <f ca="1"/>
        <v>#NAME?</v>
      </c>
      <c r="AK221" s="2" t="e">
        <f t="shared" ca="1" si="158"/>
        <v>#NAME?</v>
      </c>
      <c r="AL221" s="2" t="e">
        <f ca="1"/>
        <v>#NAME?</v>
      </c>
      <c r="AM221" s="2" t="e">
        <f t="shared" ca="1" si="159"/>
        <v>#NAME?</v>
      </c>
      <c r="AN221" s="2" t="e">
        <f ca="1"/>
        <v>#NAME?</v>
      </c>
      <c r="AO221" s="2" t="e">
        <f t="shared" ca="1" si="160"/>
        <v>#NAME?</v>
      </c>
      <c r="AP221" s="2" t="e">
        <f ca="1"/>
        <v>#NAME?</v>
      </c>
      <c r="AQ221" s="2" t="e">
        <f t="shared" ca="1" si="161"/>
        <v>#NAME?</v>
      </c>
      <c r="AR221" s="2" t="e">
        <f ca="1"/>
        <v>#NAME?</v>
      </c>
      <c r="AS221" s="2" t="e">
        <f t="shared" ca="1" si="162"/>
        <v>#NAME?</v>
      </c>
      <c r="AT221" s="2" t="e">
        <f ca="1"/>
        <v>#NAME?</v>
      </c>
      <c r="AU221" s="2" t="e">
        <f t="shared" ca="1" si="163"/>
        <v>#NAME?</v>
      </c>
      <c r="AV221" s="2" t="e">
        <f ca="1"/>
        <v>#NAME?</v>
      </c>
      <c r="AW221" s="2" t="e">
        <f t="shared" ca="1" si="164"/>
        <v>#NAME?</v>
      </c>
      <c r="AX221" s="2" t="e">
        <f ca="1"/>
        <v>#NAME?</v>
      </c>
      <c r="AY221" s="2" t="e">
        <f t="shared" ca="1" si="165"/>
        <v>#NAME?</v>
      </c>
      <c r="AZ221" s="2" t="e">
        <f ca="1"/>
        <v>#NAME?</v>
      </c>
      <c r="BA221" s="2" t="e">
        <f t="shared" ca="1" si="166"/>
        <v>#NAME?</v>
      </c>
      <c r="BB221" s="2" t="e">
        <f ca="1"/>
        <v>#NAME?</v>
      </c>
      <c r="BC221" s="2" t="e">
        <f t="shared" ca="1" si="167"/>
        <v>#NAME?</v>
      </c>
      <c r="BD221" s="2" t="e">
        <f ca="1"/>
        <v>#NAME?</v>
      </c>
      <c r="BE221" s="2" t="e">
        <f t="shared" ca="1" si="168"/>
        <v>#NAME?</v>
      </c>
      <c r="BF221" s="2" t="e">
        <f ca="1"/>
        <v>#NAME?</v>
      </c>
      <c r="BG221" s="2" t="e">
        <f t="shared" ca="1" si="169"/>
        <v>#NAME?</v>
      </c>
      <c r="BH221" s="2" t="e">
        <f ca="1"/>
        <v>#NAME?</v>
      </c>
      <c r="BI221" s="2" t="e">
        <f t="shared" ca="1" si="170"/>
        <v>#NAME?</v>
      </c>
      <c r="BJ221" s="2" t="e">
        <f ca="1"/>
        <v>#NAME?</v>
      </c>
      <c r="BK221" s="2" t="e">
        <f t="shared" ca="1" si="171"/>
        <v>#NAME?</v>
      </c>
      <c r="BL221" s="2" t="e">
        <f ca="1"/>
        <v>#NAME?</v>
      </c>
      <c r="BM221" s="2" t="e">
        <f t="shared" ca="1" si="172"/>
        <v>#NAME?</v>
      </c>
      <c r="BN221" s="2" t="e">
        <f ca="1"/>
        <v>#NAME?</v>
      </c>
      <c r="BO221" s="2" t="e">
        <f t="shared" ca="1" si="173"/>
        <v>#NAME?</v>
      </c>
      <c r="BP221" s="2" t="e">
        <f ca="1"/>
        <v>#NAME?</v>
      </c>
      <c r="BQ221" s="2" t="e">
        <f t="shared" ca="1" si="174"/>
        <v>#NAME?</v>
      </c>
      <c r="BR221" s="2" t="e">
        <f ca="1"/>
        <v>#NAME?</v>
      </c>
      <c r="BS221" s="2" t="e">
        <f t="shared" ca="1" si="175"/>
        <v>#NAME?</v>
      </c>
      <c r="BT221" s="2" t="e">
        <f ca="1"/>
        <v>#NAME?</v>
      </c>
      <c r="BU221" s="2" t="e">
        <f t="shared" ca="1" si="176"/>
        <v>#NAME?</v>
      </c>
      <c r="BV221" s="2" t="e">
        <f ca="1"/>
        <v>#NAME?</v>
      </c>
      <c r="BW221" s="2" t="e">
        <f t="shared" ca="1" si="177"/>
        <v>#NAME?</v>
      </c>
      <c r="BX221" s="2" t="e">
        <f ca="1"/>
        <v>#NAME?</v>
      </c>
      <c r="BY221" s="2" t="e">
        <f t="shared" ca="1" si="178"/>
        <v>#NAME?</v>
      </c>
      <c r="BZ221" s="2" t="e">
        <f ca="1"/>
        <v>#NAME?</v>
      </c>
      <c r="CA221" s="2" t="e">
        <f t="shared" ca="1" si="179"/>
        <v>#NAME?</v>
      </c>
      <c r="CB221" s="2" t="e">
        <f ca="1"/>
        <v>#NAME?</v>
      </c>
      <c r="CC221" s="2" t="e">
        <f t="shared" ca="1" si="180"/>
        <v>#NAME?</v>
      </c>
      <c r="CD221" s="2" t="e">
        <f ca="1"/>
        <v>#NAME?</v>
      </c>
      <c r="CE221" s="2" t="e">
        <f t="shared" ca="1" si="181"/>
        <v>#NAME?</v>
      </c>
      <c r="CF221" s="2" t="e">
        <f ca="1"/>
        <v>#NAME?</v>
      </c>
      <c r="CG221" s="2" t="e">
        <f t="shared" ca="1" si="182"/>
        <v>#NAME?</v>
      </c>
      <c r="CH221" s="2" t="e">
        <f ca="1"/>
        <v>#NAME?</v>
      </c>
      <c r="CI221" s="2" t="e">
        <f t="shared" ca="1" si="183"/>
        <v>#NAME?</v>
      </c>
      <c r="CJ221" s="2" t="e">
        <f ca="1"/>
        <v>#NAME?</v>
      </c>
      <c r="CK221" s="2" t="e">
        <f t="shared" ca="1" si="184"/>
        <v>#NAME?</v>
      </c>
      <c r="CL221" s="2" t="e">
        <f ca="1"/>
        <v>#NAME?</v>
      </c>
      <c r="CM221" s="2" t="e">
        <f t="shared" ca="1" si="185"/>
        <v>#NAME?</v>
      </c>
      <c r="CN221" s="2" t="e">
        <f ca="1"/>
        <v>#NAME?</v>
      </c>
      <c r="CO221" s="2" t="e">
        <f t="shared" ca="1" si="186"/>
        <v>#NAME?</v>
      </c>
      <c r="CP221" s="2" t="e">
        <f ca="1"/>
        <v>#NAME?</v>
      </c>
      <c r="CQ221" s="2" t="e">
        <f t="shared" ca="1" si="187"/>
        <v>#NAME?</v>
      </c>
    </row>
    <row r="222" spans="1:95">
      <c r="A222" s="7" t="e">
        <f ca="1"/>
        <v>#NAME?</v>
      </c>
      <c r="B222" s="2" t="e">
        <f ca="1"/>
        <v>#NAME?</v>
      </c>
      <c r="C222" s="2" t="e">
        <f t="shared" ca="1" si="141"/>
        <v>#NAME?</v>
      </c>
      <c r="D222" s="2" t="e">
        <f ca="1"/>
        <v>#NAME?</v>
      </c>
      <c r="E222" s="2" t="e">
        <f t="shared" ca="1" si="142"/>
        <v>#NAME?</v>
      </c>
      <c r="F222" s="2" t="e">
        <f ca="1"/>
        <v>#NAME?</v>
      </c>
      <c r="G222" s="2" t="e">
        <f t="shared" ca="1" si="143"/>
        <v>#NAME?</v>
      </c>
      <c r="H222" s="2" t="e">
        <f ca="1"/>
        <v>#NAME?</v>
      </c>
      <c r="I222" s="2" t="e">
        <f t="shared" ca="1" si="144"/>
        <v>#NAME?</v>
      </c>
      <c r="J222" s="2" t="e">
        <f ca="1"/>
        <v>#NAME?</v>
      </c>
      <c r="K222" s="2" t="e">
        <f t="shared" ca="1" si="145"/>
        <v>#NAME?</v>
      </c>
      <c r="L222" s="2" t="e">
        <f ca="1"/>
        <v>#NAME?</v>
      </c>
      <c r="M222" s="2" t="e">
        <f t="shared" ca="1" si="146"/>
        <v>#NAME?</v>
      </c>
      <c r="N222" s="2" t="e">
        <f ca="1"/>
        <v>#NAME?</v>
      </c>
      <c r="O222" s="2" t="e">
        <f t="shared" ca="1" si="147"/>
        <v>#NAME?</v>
      </c>
      <c r="P222" s="2" t="e">
        <f ca="1"/>
        <v>#NAME?</v>
      </c>
      <c r="Q222" s="2" t="e">
        <f t="shared" ca="1" si="148"/>
        <v>#NAME?</v>
      </c>
      <c r="R222" s="2" t="e">
        <f ca="1"/>
        <v>#NAME?</v>
      </c>
      <c r="S222" s="2" t="e">
        <f t="shared" ca="1" si="149"/>
        <v>#NAME?</v>
      </c>
      <c r="T222" s="2" t="e">
        <f ca="1"/>
        <v>#NAME?</v>
      </c>
      <c r="U222" s="2" t="e">
        <f t="shared" ca="1" si="150"/>
        <v>#NAME?</v>
      </c>
      <c r="V222" s="2" t="e">
        <f ca="1"/>
        <v>#NAME?</v>
      </c>
      <c r="W222" s="2" t="e">
        <f t="shared" ca="1" si="151"/>
        <v>#NAME?</v>
      </c>
      <c r="X222" s="2" t="e">
        <f ca="1"/>
        <v>#NAME?</v>
      </c>
      <c r="Y222" s="2" t="e">
        <f t="shared" ca="1" si="152"/>
        <v>#NAME?</v>
      </c>
      <c r="Z222" s="2" t="e">
        <f ca="1"/>
        <v>#NAME?</v>
      </c>
      <c r="AA222" s="2" t="e">
        <f t="shared" ca="1" si="153"/>
        <v>#NAME?</v>
      </c>
      <c r="AB222" s="2" t="e">
        <f ca="1"/>
        <v>#NAME?</v>
      </c>
      <c r="AC222" s="2" t="e">
        <f t="shared" ca="1" si="154"/>
        <v>#NAME?</v>
      </c>
      <c r="AD222" s="2" t="e">
        <f ca="1"/>
        <v>#NAME?</v>
      </c>
      <c r="AE222" s="2" t="e">
        <f t="shared" ca="1" si="155"/>
        <v>#NAME?</v>
      </c>
      <c r="AF222" s="2" t="e">
        <f ca="1"/>
        <v>#NAME?</v>
      </c>
      <c r="AG222" s="2" t="e">
        <f t="shared" ca="1" si="156"/>
        <v>#NAME?</v>
      </c>
      <c r="AH222" s="2" t="e">
        <f ca="1"/>
        <v>#NAME?</v>
      </c>
      <c r="AI222" s="2" t="e">
        <f t="shared" ca="1" si="157"/>
        <v>#NAME?</v>
      </c>
      <c r="AJ222" s="2" t="e">
        <f ca="1"/>
        <v>#NAME?</v>
      </c>
      <c r="AK222" s="2" t="e">
        <f t="shared" ca="1" si="158"/>
        <v>#NAME?</v>
      </c>
      <c r="AL222" s="2" t="e">
        <f ca="1"/>
        <v>#NAME?</v>
      </c>
      <c r="AM222" s="2" t="e">
        <f t="shared" ca="1" si="159"/>
        <v>#NAME?</v>
      </c>
      <c r="AN222" s="2" t="e">
        <f ca="1"/>
        <v>#NAME?</v>
      </c>
      <c r="AO222" s="2" t="e">
        <f t="shared" ca="1" si="160"/>
        <v>#NAME?</v>
      </c>
      <c r="AP222" s="2" t="e">
        <f ca="1"/>
        <v>#NAME?</v>
      </c>
      <c r="AQ222" s="2" t="e">
        <f t="shared" ca="1" si="161"/>
        <v>#NAME?</v>
      </c>
      <c r="AR222" s="2" t="e">
        <f ca="1"/>
        <v>#NAME?</v>
      </c>
      <c r="AS222" s="2" t="e">
        <f t="shared" ca="1" si="162"/>
        <v>#NAME?</v>
      </c>
      <c r="AT222" s="2" t="e">
        <f ca="1"/>
        <v>#NAME?</v>
      </c>
      <c r="AU222" s="2" t="e">
        <f t="shared" ca="1" si="163"/>
        <v>#NAME?</v>
      </c>
      <c r="AV222" s="2" t="e">
        <f ca="1"/>
        <v>#NAME?</v>
      </c>
      <c r="AW222" s="2" t="e">
        <f t="shared" ca="1" si="164"/>
        <v>#NAME?</v>
      </c>
      <c r="AX222" s="2" t="e">
        <f ca="1"/>
        <v>#NAME?</v>
      </c>
      <c r="AY222" s="2" t="e">
        <f t="shared" ca="1" si="165"/>
        <v>#NAME?</v>
      </c>
      <c r="AZ222" s="2" t="e">
        <f ca="1"/>
        <v>#NAME?</v>
      </c>
      <c r="BA222" s="2" t="e">
        <f t="shared" ca="1" si="166"/>
        <v>#NAME?</v>
      </c>
      <c r="BB222" s="2" t="e">
        <f ca="1"/>
        <v>#NAME?</v>
      </c>
      <c r="BC222" s="2" t="e">
        <f t="shared" ca="1" si="167"/>
        <v>#NAME?</v>
      </c>
      <c r="BD222" s="2" t="e">
        <f ca="1"/>
        <v>#NAME?</v>
      </c>
      <c r="BE222" s="2" t="e">
        <f t="shared" ca="1" si="168"/>
        <v>#NAME?</v>
      </c>
      <c r="BF222" s="2" t="e">
        <f ca="1"/>
        <v>#NAME?</v>
      </c>
      <c r="BG222" s="2" t="e">
        <f t="shared" ca="1" si="169"/>
        <v>#NAME?</v>
      </c>
      <c r="BH222" s="2" t="e">
        <f ca="1"/>
        <v>#NAME?</v>
      </c>
      <c r="BI222" s="2" t="e">
        <f t="shared" ca="1" si="170"/>
        <v>#NAME?</v>
      </c>
      <c r="BJ222" s="2" t="e">
        <f ca="1"/>
        <v>#NAME?</v>
      </c>
      <c r="BK222" s="2" t="e">
        <f t="shared" ca="1" si="171"/>
        <v>#NAME?</v>
      </c>
      <c r="BL222" s="2" t="e">
        <f ca="1"/>
        <v>#NAME?</v>
      </c>
      <c r="BM222" s="2" t="e">
        <f t="shared" ca="1" si="172"/>
        <v>#NAME?</v>
      </c>
      <c r="BN222" s="2" t="e">
        <f ca="1"/>
        <v>#NAME?</v>
      </c>
      <c r="BO222" s="2" t="e">
        <f t="shared" ca="1" si="173"/>
        <v>#NAME?</v>
      </c>
      <c r="BP222" s="2" t="e">
        <f ca="1"/>
        <v>#NAME?</v>
      </c>
      <c r="BQ222" s="2" t="e">
        <f t="shared" ca="1" si="174"/>
        <v>#NAME?</v>
      </c>
      <c r="BR222" s="2" t="e">
        <f ca="1"/>
        <v>#NAME?</v>
      </c>
      <c r="BS222" s="2" t="e">
        <f t="shared" ca="1" si="175"/>
        <v>#NAME?</v>
      </c>
      <c r="BT222" s="2" t="e">
        <f ca="1"/>
        <v>#NAME?</v>
      </c>
      <c r="BU222" s="2" t="e">
        <f t="shared" ca="1" si="176"/>
        <v>#NAME?</v>
      </c>
      <c r="BV222" s="2" t="e">
        <f ca="1"/>
        <v>#NAME?</v>
      </c>
      <c r="BW222" s="2" t="e">
        <f t="shared" ca="1" si="177"/>
        <v>#NAME?</v>
      </c>
      <c r="BX222" s="2" t="e">
        <f ca="1"/>
        <v>#NAME?</v>
      </c>
      <c r="BY222" s="2" t="e">
        <f t="shared" ca="1" si="178"/>
        <v>#NAME?</v>
      </c>
      <c r="BZ222" s="2" t="e">
        <f ca="1"/>
        <v>#NAME?</v>
      </c>
      <c r="CA222" s="2" t="e">
        <f t="shared" ca="1" si="179"/>
        <v>#NAME?</v>
      </c>
      <c r="CB222" s="2" t="e">
        <f ca="1"/>
        <v>#NAME?</v>
      </c>
      <c r="CC222" s="2" t="e">
        <f t="shared" ca="1" si="180"/>
        <v>#NAME?</v>
      </c>
      <c r="CD222" s="2" t="e">
        <f ca="1"/>
        <v>#NAME?</v>
      </c>
      <c r="CE222" s="2" t="e">
        <f t="shared" ca="1" si="181"/>
        <v>#NAME?</v>
      </c>
      <c r="CF222" s="2" t="e">
        <f ca="1"/>
        <v>#NAME?</v>
      </c>
      <c r="CG222" s="2" t="e">
        <f t="shared" ca="1" si="182"/>
        <v>#NAME?</v>
      </c>
      <c r="CH222" s="2" t="e">
        <f ca="1"/>
        <v>#NAME?</v>
      </c>
      <c r="CI222" s="2" t="e">
        <f t="shared" ca="1" si="183"/>
        <v>#NAME?</v>
      </c>
      <c r="CJ222" s="2" t="e">
        <f ca="1"/>
        <v>#NAME?</v>
      </c>
      <c r="CK222" s="2" t="e">
        <f t="shared" ca="1" si="184"/>
        <v>#NAME?</v>
      </c>
      <c r="CL222" s="2" t="e">
        <f ca="1"/>
        <v>#NAME?</v>
      </c>
      <c r="CM222" s="2" t="e">
        <f t="shared" ca="1" si="185"/>
        <v>#NAME?</v>
      </c>
      <c r="CN222" s="2" t="e">
        <f ca="1"/>
        <v>#NAME?</v>
      </c>
      <c r="CO222" s="2" t="e">
        <f t="shared" ca="1" si="186"/>
        <v>#NAME?</v>
      </c>
      <c r="CP222" s="2" t="e">
        <f ca="1"/>
        <v>#NAME?</v>
      </c>
      <c r="CQ222" s="2" t="e">
        <f t="shared" ca="1" si="187"/>
        <v>#NAME?</v>
      </c>
    </row>
    <row r="223" spans="1:95">
      <c r="A223" s="7" t="e">
        <f ca="1"/>
        <v>#NAME?</v>
      </c>
      <c r="B223" s="2" t="e">
        <f ca="1"/>
        <v>#NAME?</v>
      </c>
      <c r="C223" s="2" t="e">
        <f t="shared" ca="1" si="141"/>
        <v>#NAME?</v>
      </c>
      <c r="D223" s="2" t="e">
        <f ca="1"/>
        <v>#NAME?</v>
      </c>
      <c r="E223" s="2" t="e">
        <f t="shared" ca="1" si="142"/>
        <v>#NAME?</v>
      </c>
      <c r="F223" s="2" t="e">
        <f ca="1"/>
        <v>#NAME?</v>
      </c>
      <c r="G223" s="2" t="e">
        <f t="shared" ca="1" si="143"/>
        <v>#NAME?</v>
      </c>
      <c r="H223" s="2" t="e">
        <f ca="1"/>
        <v>#NAME?</v>
      </c>
      <c r="I223" s="2" t="e">
        <f t="shared" ca="1" si="144"/>
        <v>#NAME?</v>
      </c>
      <c r="J223" s="2" t="e">
        <f ca="1"/>
        <v>#NAME?</v>
      </c>
      <c r="K223" s="2" t="e">
        <f t="shared" ca="1" si="145"/>
        <v>#NAME?</v>
      </c>
      <c r="L223" s="2" t="e">
        <f ca="1"/>
        <v>#NAME?</v>
      </c>
      <c r="M223" s="2" t="e">
        <f t="shared" ca="1" si="146"/>
        <v>#NAME?</v>
      </c>
      <c r="N223" s="2" t="e">
        <f ca="1"/>
        <v>#NAME?</v>
      </c>
      <c r="O223" s="2" t="e">
        <f t="shared" ca="1" si="147"/>
        <v>#NAME?</v>
      </c>
      <c r="P223" s="2" t="e">
        <f ca="1"/>
        <v>#NAME?</v>
      </c>
      <c r="Q223" s="2" t="e">
        <f t="shared" ca="1" si="148"/>
        <v>#NAME?</v>
      </c>
      <c r="R223" s="2" t="e">
        <f ca="1"/>
        <v>#NAME?</v>
      </c>
      <c r="S223" s="2" t="e">
        <f t="shared" ca="1" si="149"/>
        <v>#NAME?</v>
      </c>
      <c r="T223" s="2" t="e">
        <f ca="1"/>
        <v>#NAME?</v>
      </c>
      <c r="U223" s="2" t="e">
        <f t="shared" ca="1" si="150"/>
        <v>#NAME?</v>
      </c>
      <c r="V223" s="2" t="e">
        <f ca="1"/>
        <v>#NAME?</v>
      </c>
      <c r="W223" s="2" t="e">
        <f t="shared" ca="1" si="151"/>
        <v>#NAME?</v>
      </c>
      <c r="X223" s="2" t="e">
        <f ca="1"/>
        <v>#NAME?</v>
      </c>
      <c r="Y223" s="2" t="e">
        <f t="shared" ca="1" si="152"/>
        <v>#NAME?</v>
      </c>
      <c r="Z223" s="2" t="e">
        <f ca="1"/>
        <v>#NAME?</v>
      </c>
      <c r="AA223" s="2" t="e">
        <f t="shared" ca="1" si="153"/>
        <v>#NAME?</v>
      </c>
      <c r="AB223" s="2" t="e">
        <f ca="1"/>
        <v>#NAME?</v>
      </c>
      <c r="AC223" s="2" t="e">
        <f t="shared" ca="1" si="154"/>
        <v>#NAME?</v>
      </c>
      <c r="AD223" s="2" t="e">
        <f ca="1"/>
        <v>#NAME?</v>
      </c>
      <c r="AE223" s="2" t="e">
        <f t="shared" ca="1" si="155"/>
        <v>#NAME?</v>
      </c>
      <c r="AF223" s="2" t="e">
        <f ca="1"/>
        <v>#NAME?</v>
      </c>
      <c r="AG223" s="2" t="e">
        <f t="shared" ca="1" si="156"/>
        <v>#NAME?</v>
      </c>
      <c r="AH223" s="2" t="e">
        <f ca="1"/>
        <v>#NAME?</v>
      </c>
      <c r="AI223" s="2" t="e">
        <f t="shared" ca="1" si="157"/>
        <v>#NAME?</v>
      </c>
      <c r="AJ223" s="2" t="e">
        <f ca="1"/>
        <v>#NAME?</v>
      </c>
      <c r="AK223" s="2" t="e">
        <f t="shared" ca="1" si="158"/>
        <v>#NAME?</v>
      </c>
      <c r="AL223" s="2" t="e">
        <f ca="1"/>
        <v>#NAME?</v>
      </c>
      <c r="AM223" s="2" t="e">
        <f t="shared" ca="1" si="159"/>
        <v>#NAME?</v>
      </c>
      <c r="AN223" s="2" t="e">
        <f ca="1"/>
        <v>#NAME?</v>
      </c>
      <c r="AO223" s="2" t="e">
        <f t="shared" ca="1" si="160"/>
        <v>#NAME?</v>
      </c>
      <c r="AP223" s="2" t="e">
        <f ca="1"/>
        <v>#NAME?</v>
      </c>
      <c r="AQ223" s="2" t="e">
        <f t="shared" ca="1" si="161"/>
        <v>#NAME?</v>
      </c>
      <c r="AR223" s="2" t="e">
        <f ca="1"/>
        <v>#NAME?</v>
      </c>
      <c r="AS223" s="2" t="e">
        <f t="shared" ca="1" si="162"/>
        <v>#NAME?</v>
      </c>
      <c r="AT223" s="2" t="e">
        <f ca="1"/>
        <v>#NAME?</v>
      </c>
      <c r="AU223" s="2" t="e">
        <f t="shared" ca="1" si="163"/>
        <v>#NAME?</v>
      </c>
      <c r="AV223" s="2" t="e">
        <f ca="1"/>
        <v>#NAME?</v>
      </c>
      <c r="AW223" s="2" t="e">
        <f t="shared" ca="1" si="164"/>
        <v>#NAME?</v>
      </c>
      <c r="AX223" s="2" t="e">
        <f ca="1"/>
        <v>#NAME?</v>
      </c>
      <c r="AY223" s="2" t="e">
        <f t="shared" ca="1" si="165"/>
        <v>#NAME?</v>
      </c>
      <c r="AZ223" s="2" t="e">
        <f ca="1"/>
        <v>#NAME?</v>
      </c>
      <c r="BA223" s="2" t="e">
        <f t="shared" ca="1" si="166"/>
        <v>#NAME?</v>
      </c>
      <c r="BB223" s="2" t="e">
        <f ca="1"/>
        <v>#NAME?</v>
      </c>
      <c r="BC223" s="2" t="e">
        <f t="shared" ca="1" si="167"/>
        <v>#NAME?</v>
      </c>
      <c r="BD223" s="2" t="e">
        <f ca="1"/>
        <v>#NAME?</v>
      </c>
      <c r="BE223" s="2" t="e">
        <f t="shared" ca="1" si="168"/>
        <v>#NAME?</v>
      </c>
      <c r="BF223" s="2" t="e">
        <f ca="1"/>
        <v>#NAME?</v>
      </c>
      <c r="BG223" s="2" t="e">
        <f t="shared" ca="1" si="169"/>
        <v>#NAME?</v>
      </c>
      <c r="BH223" s="2" t="e">
        <f ca="1"/>
        <v>#NAME?</v>
      </c>
      <c r="BI223" s="2" t="e">
        <f t="shared" ca="1" si="170"/>
        <v>#NAME?</v>
      </c>
      <c r="BJ223" s="2" t="e">
        <f ca="1"/>
        <v>#NAME?</v>
      </c>
      <c r="BK223" s="2" t="e">
        <f t="shared" ca="1" si="171"/>
        <v>#NAME?</v>
      </c>
      <c r="BL223" s="2" t="e">
        <f ca="1"/>
        <v>#NAME?</v>
      </c>
      <c r="BM223" s="2" t="e">
        <f t="shared" ca="1" si="172"/>
        <v>#NAME?</v>
      </c>
      <c r="BN223" s="2" t="e">
        <f ca="1"/>
        <v>#NAME?</v>
      </c>
      <c r="BO223" s="2" t="e">
        <f t="shared" ca="1" si="173"/>
        <v>#NAME?</v>
      </c>
      <c r="BP223" s="2" t="e">
        <f ca="1"/>
        <v>#NAME?</v>
      </c>
      <c r="BQ223" s="2" t="e">
        <f t="shared" ca="1" si="174"/>
        <v>#NAME?</v>
      </c>
      <c r="BR223" s="2" t="e">
        <f ca="1"/>
        <v>#NAME?</v>
      </c>
      <c r="BS223" s="2" t="e">
        <f t="shared" ca="1" si="175"/>
        <v>#NAME?</v>
      </c>
      <c r="BT223" s="2" t="e">
        <f ca="1"/>
        <v>#NAME?</v>
      </c>
      <c r="BU223" s="2" t="e">
        <f t="shared" ca="1" si="176"/>
        <v>#NAME?</v>
      </c>
      <c r="BV223" s="2" t="e">
        <f ca="1"/>
        <v>#NAME?</v>
      </c>
      <c r="BW223" s="2" t="e">
        <f t="shared" ca="1" si="177"/>
        <v>#NAME?</v>
      </c>
      <c r="BX223" s="2" t="e">
        <f ca="1"/>
        <v>#NAME?</v>
      </c>
      <c r="BY223" s="2" t="e">
        <f t="shared" ca="1" si="178"/>
        <v>#NAME?</v>
      </c>
      <c r="BZ223" s="2" t="e">
        <f ca="1"/>
        <v>#NAME?</v>
      </c>
      <c r="CA223" s="2" t="e">
        <f t="shared" ca="1" si="179"/>
        <v>#NAME?</v>
      </c>
      <c r="CB223" s="2" t="e">
        <f ca="1"/>
        <v>#NAME?</v>
      </c>
      <c r="CC223" s="2" t="e">
        <f t="shared" ca="1" si="180"/>
        <v>#NAME?</v>
      </c>
      <c r="CD223" s="2" t="e">
        <f ca="1"/>
        <v>#NAME?</v>
      </c>
      <c r="CE223" s="2" t="e">
        <f t="shared" ca="1" si="181"/>
        <v>#NAME?</v>
      </c>
      <c r="CF223" s="2" t="e">
        <f ca="1"/>
        <v>#NAME?</v>
      </c>
      <c r="CG223" s="2" t="e">
        <f t="shared" ca="1" si="182"/>
        <v>#NAME?</v>
      </c>
      <c r="CH223" s="2" t="e">
        <f ca="1"/>
        <v>#NAME?</v>
      </c>
      <c r="CI223" s="2" t="e">
        <f t="shared" ca="1" si="183"/>
        <v>#NAME?</v>
      </c>
      <c r="CJ223" s="2" t="e">
        <f ca="1"/>
        <v>#NAME?</v>
      </c>
      <c r="CK223" s="2" t="e">
        <f t="shared" ca="1" si="184"/>
        <v>#NAME?</v>
      </c>
      <c r="CL223" s="2" t="e">
        <f ca="1"/>
        <v>#NAME?</v>
      </c>
      <c r="CM223" s="2" t="e">
        <f t="shared" ca="1" si="185"/>
        <v>#NAME?</v>
      </c>
      <c r="CN223" s="2" t="e">
        <f ca="1"/>
        <v>#NAME?</v>
      </c>
      <c r="CO223" s="2" t="e">
        <f t="shared" ca="1" si="186"/>
        <v>#NAME?</v>
      </c>
      <c r="CP223" s="2" t="e">
        <f ca="1"/>
        <v>#NAME?</v>
      </c>
      <c r="CQ223" s="2" t="e">
        <f t="shared" ca="1" si="187"/>
        <v>#NAME?</v>
      </c>
    </row>
    <row r="224" spans="1:95">
      <c r="A224" s="7" t="e">
        <f ca="1"/>
        <v>#NAME?</v>
      </c>
      <c r="B224" s="2" t="e">
        <f ca="1"/>
        <v>#NAME?</v>
      </c>
      <c r="C224" s="2" t="e">
        <f t="shared" ca="1" si="141"/>
        <v>#NAME?</v>
      </c>
      <c r="D224" s="2" t="e">
        <f ca="1"/>
        <v>#NAME?</v>
      </c>
      <c r="E224" s="2" t="e">
        <f t="shared" ca="1" si="142"/>
        <v>#NAME?</v>
      </c>
      <c r="F224" s="2" t="e">
        <f ca="1"/>
        <v>#NAME?</v>
      </c>
      <c r="G224" s="2" t="e">
        <f t="shared" ca="1" si="143"/>
        <v>#NAME?</v>
      </c>
      <c r="H224" s="2" t="e">
        <f ca="1"/>
        <v>#NAME?</v>
      </c>
      <c r="I224" s="2" t="e">
        <f t="shared" ca="1" si="144"/>
        <v>#NAME?</v>
      </c>
      <c r="J224" s="2" t="e">
        <f ca="1"/>
        <v>#NAME?</v>
      </c>
      <c r="K224" s="2" t="e">
        <f t="shared" ca="1" si="145"/>
        <v>#NAME?</v>
      </c>
      <c r="L224" s="2" t="e">
        <f ca="1"/>
        <v>#NAME?</v>
      </c>
      <c r="M224" s="2" t="e">
        <f t="shared" ca="1" si="146"/>
        <v>#NAME?</v>
      </c>
      <c r="N224" s="2" t="e">
        <f ca="1"/>
        <v>#NAME?</v>
      </c>
      <c r="O224" s="2" t="e">
        <f t="shared" ca="1" si="147"/>
        <v>#NAME?</v>
      </c>
      <c r="P224" s="2" t="e">
        <f ca="1"/>
        <v>#NAME?</v>
      </c>
      <c r="Q224" s="2" t="e">
        <f t="shared" ca="1" si="148"/>
        <v>#NAME?</v>
      </c>
      <c r="R224" s="2" t="e">
        <f ca="1"/>
        <v>#NAME?</v>
      </c>
      <c r="S224" s="2" t="e">
        <f t="shared" ca="1" si="149"/>
        <v>#NAME?</v>
      </c>
      <c r="T224" s="2" t="e">
        <f ca="1"/>
        <v>#NAME?</v>
      </c>
      <c r="U224" s="2" t="e">
        <f t="shared" ca="1" si="150"/>
        <v>#NAME?</v>
      </c>
      <c r="V224" s="2" t="e">
        <f ca="1"/>
        <v>#NAME?</v>
      </c>
      <c r="W224" s="2" t="e">
        <f t="shared" ca="1" si="151"/>
        <v>#NAME?</v>
      </c>
      <c r="X224" s="2" t="e">
        <f ca="1"/>
        <v>#NAME?</v>
      </c>
      <c r="Y224" s="2" t="e">
        <f t="shared" ca="1" si="152"/>
        <v>#NAME?</v>
      </c>
      <c r="Z224" s="2" t="e">
        <f ca="1"/>
        <v>#NAME?</v>
      </c>
      <c r="AA224" s="2" t="e">
        <f t="shared" ca="1" si="153"/>
        <v>#NAME?</v>
      </c>
      <c r="AB224" s="2" t="e">
        <f ca="1"/>
        <v>#NAME?</v>
      </c>
      <c r="AC224" s="2" t="e">
        <f t="shared" ca="1" si="154"/>
        <v>#NAME?</v>
      </c>
      <c r="AD224" s="2" t="e">
        <f ca="1"/>
        <v>#NAME?</v>
      </c>
      <c r="AE224" s="2" t="e">
        <f t="shared" ca="1" si="155"/>
        <v>#NAME?</v>
      </c>
      <c r="AF224" s="2" t="e">
        <f ca="1"/>
        <v>#NAME?</v>
      </c>
      <c r="AG224" s="2" t="e">
        <f t="shared" ca="1" si="156"/>
        <v>#NAME?</v>
      </c>
      <c r="AH224" s="2" t="e">
        <f ca="1"/>
        <v>#NAME?</v>
      </c>
      <c r="AI224" s="2" t="e">
        <f t="shared" ca="1" si="157"/>
        <v>#NAME?</v>
      </c>
      <c r="AJ224" s="2" t="e">
        <f ca="1"/>
        <v>#NAME?</v>
      </c>
      <c r="AK224" s="2" t="e">
        <f t="shared" ca="1" si="158"/>
        <v>#NAME?</v>
      </c>
      <c r="AL224" s="2" t="e">
        <f ca="1"/>
        <v>#NAME?</v>
      </c>
      <c r="AM224" s="2" t="e">
        <f t="shared" ca="1" si="159"/>
        <v>#NAME?</v>
      </c>
      <c r="AN224" s="2" t="e">
        <f ca="1"/>
        <v>#NAME?</v>
      </c>
      <c r="AO224" s="2" t="e">
        <f t="shared" ca="1" si="160"/>
        <v>#NAME?</v>
      </c>
      <c r="AP224" s="2" t="e">
        <f ca="1"/>
        <v>#NAME?</v>
      </c>
      <c r="AQ224" s="2" t="e">
        <f t="shared" ca="1" si="161"/>
        <v>#NAME?</v>
      </c>
      <c r="AR224" s="2" t="e">
        <f ca="1"/>
        <v>#NAME?</v>
      </c>
      <c r="AS224" s="2" t="e">
        <f t="shared" ca="1" si="162"/>
        <v>#NAME?</v>
      </c>
      <c r="AT224" s="2" t="e">
        <f ca="1"/>
        <v>#NAME?</v>
      </c>
      <c r="AU224" s="2" t="e">
        <f t="shared" ca="1" si="163"/>
        <v>#NAME?</v>
      </c>
      <c r="AV224" s="2" t="e">
        <f ca="1"/>
        <v>#NAME?</v>
      </c>
      <c r="AW224" s="2" t="e">
        <f t="shared" ca="1" si="164"/>
        <v>#NAME?</v>
      </c>
      <c r="AX224" s="2" t="e">
        <f ca="1"/>
        <v>#NAME?</v>
      </c>
      <c r="AY224" s="2" t="e">
        <f t="shared" ca="1" si="165"/>
        <v>#NAME?</v>
      </c>
      <c r="AZ224" s="2" t="e">
        <f ca="1"/>
        <v>#NAME?</v>
      </c>
      <c r="BA224" s="2" t="e">
        <f t="shared" ca="1" si="166"/>
        <v>#NAME?</v>
      </c>
      <c r="BB224" s="2" t="e">
        <f ca="1"/>
        <v>#NAME?</v>
      </c>
      <c r="BC224" s="2" t="e">
        <f t="shared" ca="1" si="167"/>
        <v>#NAME?</v>
      </c>
      <c r="BD224" s="2" t="e">
        <f ca="1"/>
        <v>#NAME?</v>
      </c>
      <c r="BE224" s="2" t="e">
        <f t="shared" ca="1" si="168"/>
        <v>#NAME?</v>
      </c>
      <c r="BF224" s="2" t="e">
        <f ca="1"/>
        <v>#NAME?</v>
      </c>
      <c r="BG224" s="2" t="e">
        <f t="shared" ca="1" si="169"/>
        <v>#NAME?</v>
      </c>
      <c r="BH224" s="2" t="e">
        <f ca="1"/>
        <v>#NAME?</v>
      </c>
      <c r="BI224" s="2" t="e">
        <f t="shared" ca="1" si="170"/>
        <v>#NAME?</v>
      </c>
      <c r="BJ224" s="2" t="e">
        <f ca="1"/>
        <v>#NAME?</v>
      </c>
      <c r="BK224" s="2" t="e">
        <f t="shared" ca="1" si="171"/>
        <v>#NAME?</v>
      </c>
      <c r="BL224" s="2" t="e">
        <f ca="1"/>
        <v>#NAME?</v>
      </c>
      <c r="BM224" s="2" t="e">
        <f t="shared" ca="1" si="172"/>
        <v>#NAME?</v>
      </c>
      <c r="BN224" s="2" t="e">
        <f ca="1"/>
        <v>#NAME?</v>
      </c>
      <c r="BO224" s="2" t="e">
        <f t="shared" ca="1" si="173"/>
        <v>#NAME?</v>
      </c>
      <c r="BP224" s="2" t="e">
        <f ca="1"/>
        <v>#NAME?</v>
      </c>
      <c r="BQ224" s="2" t="e">
        <f t="shared" ca="1" si="174"/>
        <v>#NAME?</v>
      </c>
      <c r="BR224" s="2" t="e">
        <f ca="1"/>
        <v>#NAME?</v>
      </c>
      <c r="BS224" s="2" t="e">
        <f t="shared" ca="1" si="175"/>
        <v>#NAME?</v>
      </c>
      <c r="BT224" s="2" t="e">
        <f ca="1"/>
        <v>#NAME?</v>
      </c>
      <c r="BU224" s="2" t="e">
        <f t="shared" ca="1" si="176"/>
        <v>#NAME?</v>
      </c>
      <c r="BV224" s="2" t="e">
        <f ca="1"/>
        <v>#NAME?</v>
      </c>
      <c r="BW224" s="2" t="e">
        <f t="shared" ca="1" si="177"/>
        <v>#NAME?</v>
      </c>
      <c r="BX224" s="2" t="e">
        <f ca="1"/>
        <v>#NAME?</v>
      </c>
      <c r="BY224" s="2" t="e">
        <f t="shared" ca="1" si="178"/>
        <v>#NAME?</v>
      </c>
      <c r="BZ224" s="2" t="e">
        <f ca="1"/>
        <v>#NAME?</v>
      </c>
      <c r="CA224" s="2" t="e">
        <f t="shared" ca="1" si="179"/>
        <v>#NAME?</v>
      </c>
      <c r="CB224" s="2" t="e">
        <f ca="1"/>
        <v>#NAME?</v>
      </c>
      <c r="CC224" s="2" t="e">
        <f t="shared" ca="1" si="180"/>
        <v>#NAME?</v>
      </c>
      <c r="CD224" s="2" t="e">
        <f ca="1"/>
        <v>#NAME?</v>
      </c>
      <c r="CE224" s="2" t="e">
        <f t="shared" ca="1" si="181"/>
        <v>#NAME?</v>
      </c>
      <c r="CF224" s="2" t="e">
        <f ca="1"/>
        <v>#NAME?</v>
      </c>
      <c r="CG224" s="2" t="e">
        <f t="shared" ca="1" si="182"/>
        <v>#NAME?</v>
      </c>
      <c r="CH224" s="2" t="e">
        <f ca="1"/>
        <v>#NAME?</v>
      </c>
      <c r="CI224" s="2" t="e">
        <f t="shared" ca="1" si="183"/>
        <v>#NAME?</v>
      </c>
      <c r="CJ224" s="2" t="e">
        <f ca="1"/>
        <v>#NAME?</v>
      </c>
      <c r="CK224" s="2" t="e">
        <f t="shared" ca="1" si="184"/>
        <v>#NAME?</v>
      </c>
      <c r="CL224" s="2" t="e">
        <f ca="1"/>
        <v>#NAME?</v>
      </c>
      <c r="CM224" s="2" t="e">
        <f t="shared" ca="1" si="185"/>
        <v>#NAME?</v>
      </c>
      <c r="CN224" s="2" t="e">
        <f ca="1"/>
        <v>#NAME?</v>
      </c>
      <c r="CO224" s="2" t="e">
        <f t="shared" ca="1" si="186"/>
        <v>#NAME?</v>
      </c>
      <c r="CP224" s="2" t="e">
        <f ca="1"/>
        <v>#NAME?</v>
      </c>
      <c r="CQ224" s="2" t="e">
        <f t="shared" ca="1" si="187"/>
        <v>#NAME?</v>
      </c>
    </row>
    <row r="225" spans="1:95">
      <c r="A225" s="7" t="e">
        <f ca="1"/>
        <v>#NAME?</v>
      </c>
      <c r="B225" s="2" t="e">
        <f ca="1"/>
        <v>#NAME?</v>
      </c>
      <c r="C225" s="2" t="e">
        <f t="shared" ca="1" si="141"/>
        <v>#NAME?</v>
      </c>
      <c r="D225" s="2" t="e">
        <f ca="1"/>
        <v>#NAME?</v>
      </c>
      <c r="E225" s="2" t="e">
        <f t="shared" ca="1" si="142"/>
        <v>#NAME?</v>
      </c>
      <c r="F225" s="2" t="e">
        <f ca="1"/>
        <v>#NAME?</v>
      </c>
      <c r="G225" s="2" t="e">
        <f t="shared" ca="1" si="143"/>
        <v>#NAME?</v>
      </c>
      <c r="H225" s="2" t="e">
        <f ca="1"/>
        <v>#NAME?</v>
      </c>
      <c r="I225" s="2" t="e">
        <f t="shared" ca="1" si="144"/>
        <v>#NAME?</v>
      </c>
      <c r="J225" s="2" t="e">
        <f ca="1"/>
        <v>#NAME?</v>
      </c>
      <c r="K225" s="2" t="e">
        <f t="shared" ca="1" si="145"/>
        <v>#NAME?</v>
      </c>
      <c r="L225" s="2" t="e">
        <f ca="1"/>
        <v>#NAME?</v>
      </c>
      <c r="M225" s="2" t="e">
        <f t="shared" ca="1" si="146"/>
        <v>#NAME?</v>
      </c>
      <c r="N225" s="2" t="e">
        <f ca="1"/>
        <v>#NAME?</v>
      </c>
      <c r="O225" s="2" t="e">
        <f t="shared" ca="1" si="147"/>
        <v>#NAME?</v>
      </c>
      <c r="P225" s="2" t="e">
        <f ca="1"/>
        <v>#NAME?</v>
      </c>
      <c r="Q225" s="2" t="e">
        <f t="shared" ca="1" si="148"/>
        <v>#NAME?</v>
      </c>
      <c r="R225" s="2" t="e">
        <f ca="1"/>
        <v>#NAME?</v>
      </c>
      <c r="S225" s="2" t="e">
        <f t="shared" ca="1" si="149"/>
        <v>#NAME?</v>
      </c>
      <c r="T225" s="2" t="e">
        <f ca="1"/>
        <v>#NAME?</v>
      </c>
      <c r="U225" s="2" t="e">
        <f t="shared" ca="1" si="150"/>
        <v>#NAME?</v>
      </c>
      <c r="V225" s="2" t="e">
        <f ca="1"/>
        <v>#NAME?</v>
      </c>
      <c r="W225" s="2" t="e">
        <f t="shared" ca="1" si="151"/>
        <v>#NAME?</v>
      </c>
      <c r="X225" s="2" t="e">
        <f ca="1"/>
        <v>#NAME?</v>
      </c>
      <c r="Y225" s="2" t="e">
        <f t="shared" ca="1" si="152"/>
        <v>#NAME?</v>
      </c>
      <c r="Z225" s="2" t="e">
        <f ca="1"/>
        <v>#NAME?</v>
      </c>
      <c r="AA225" s="2" t="e">
        <f t="shared" ca="1" si="153"/>
        <v>#NAME?</v>
      </c>
      <c r="AB225" s="2" t="e">
        <f ca="1"/>
        <v>#NAME?</v>
      </c>
      <c r="AC225" s="2" t="e">
        <f t="shared" ca="1" si="154"/>
        <v>#NAME?</v>
      </c>
      <c r="AD225" s="2" t="e">
        <f ca="1"/>
        <v>#NAME?</v>
      </c>
      <c r="AE225" s="2" t="e">
        <f t="shared" ca="1" si="155"/>
        <v>#NAME?</v>
      </c>
      <c r="AF225" s="2" t="e">
        <f ca="1"/>
        <v>#NAME?</v>
      </c>
      <c r="AG225" s="2" t="e">
        <f t="shared" ca="1" si="156"/>
        <v>#NAME?</v>
      </c>
      <c r="AH225" s="2" t="e">
        <f ca="1"/>
        <v>#NAME?</v>
      </c>
      <c r="AI225" s="2" t="e">
        <f t="shared" ca="1" si="157"/>
        <v>#NAME?</v>
      </c>
      <c r="AJ225" s="2" t="e">
        <f ca="1"/>
        <v>#NAME?</v>
      </c>
      <c r="AK225" s="2" t="e">
        <f t="shared" ca="1" si="158"/>
        <v>#NAME?</v>
      </c>
      <c r="AL225" s="2" t="e">
        <f ca="1"/>
        <v>#NAME?</v>
      </c>
      <c r="AM225" s="2" t="e">
        <f t="shared" ca="1" si="159"/>
        <v>#NAME?</v>
      </c>
      <c r="AN225" s="2" t="e">
        <f ca="1"/>
        <v>#NAME?</v>
      </c>
      <c r="AO225" s="2" t="e">
        <f t="shared" ca="1" si="160"/>
        <v>#NAME?</v>
      </c>
      <c r="AP225" s="2" t="e">
        <f ca="1"/>
        <v>#NAME?</v>
      </c>
      <c r="AQ225" s="2" t="e">
        <f t="shared" ca="1" si="161"/>
        <v>#NAME?</v>
      </c>
      <c r="AR225" s="2" t="e">
        <f ca="1"/>
        <v>#NAME?</v>
      </c>
      <c r="AS225" s="2" t="e">
        <f t="shared" ca="1" si="162"/>
        <v>#NAME?</v>
      </c>
      <c r="AT225" s="2" t="e">
        <f ca="1"/>
        <v>#NAME?</v>
      </c>
      <c r="AU225" s="2" t="e">
        <f t="shared" ca="1" si="163"/>
        <v>#NAME?</v>
      </c>
      <c r="AV225" s="2" t="e">
        <f ca="1"/>
        <v>#NAME?</v>
      </c>
      <c r="AW225" s="2" t="e">
        <f t="shared" ca="1" si="164"/>
        <v>#NAME?</v>
      </c>
      <c r="AX225" s="2" t="e">
        <f ca="1"/>
        <v>#NAME?</v>
      </c>
      <c r="AY225" s="2" t="e">
        <f t="shared" ca="1" si="165"/>
        <v>#NAME?</v>
      </c>
      <c r="AZ225" s="2" t="e">
        <f ca="1"/>
        <v>#NAME?</v>
      </c>
      <c r="BA225" s="2" t="e">
        <f t="shared" ca="1" si="166"/>
        <v>#NAME?</v>
      </c>
      <c r="BB225" s="2" t="e">
        <f ca="1"/>
        <v>#NAME?</v>
      </c>
      <c r="BC225" s="2" t="e">
        <f t="shared" ca="1" si="167"/>
        <v>#NAME?</v>
      </c>
      <c r="BD225" s="2" t="e">
        <f ca="1"/>
        <v>#NAME?</v>
      </c>
      <c r="BE225" s="2" t="e">
        <f t="shared" ca="1" si="168"/>
        <v>#NAME?</v>
      </c>
      <c r="BF225" s="2" t="e">
        <f ca="1"/>
        <v>#NAME?</v>
      </c>
      <c r="BG225" s="2" t="e">
        <f t="shared" ca="1" si="169"/>
        <v>#NAME?</v>
      </c>
      <c r="BH225" s="2" t="e">
        <f ca="1"/>
        <v>#NAME?</v>
      </c>
      <c r="BI225" s="2" t="e">
        <f t="shared" ca="1" si="170"/>
        <v>#NAME?</v>
      </c>
      <c r="BJ225" s="2" t="e">
        <f ca="1"/>
        <v>#NAME?</v>
      </c>
      <c r="BK225" s="2" t="e">
        <f t="shared" ca="1" si="171"/>
        <v>#NAME?</v>
      </c>
      <c r="BL225" s="2" t="e">
        <f ca="1"/>
        <v>#NAME?</v>
      </c>
      <c r="BM225" s="2" t="e">
        <f t="shared" ca="1" si="172"/>
        <v>#NAME?</v>
      </c>
      <c r="BN225" s="2" t="e">
        <f ca="1"/>
        <v>#NAME?</v>
      </c>
      <c r="BO225" s="2" t="e">
        <f t="shared" ca="1" si="173"/>
        <v>#NAME?</v>
      </c>
      <c r="BP225" s="2" t="e">
        <f ca="1"/>
        <v>#NAME?</v>
      </c>
      <c r="BQ225" s="2" t="e">
        <f t="shared" ca="1" si="174"/>
        <v>#NAME?</v>
      </c>
      <c r="BR225" s="2" t="e">
        <f ca="1"/>
        <v>#NAME?</v>
      </c>
      <c r="BS225" s="2" t="e">
        <f t="shared" ca="1" si="175"/>
        <v>#NAME?</v>
      </c>
      <c r="BT225" s="2" t="e">
        <f ca="1"/>
        <v>#NAME?</v>
      </c>
      <c r="BU225" s="2" t="e">
        <f t="shared" ca="1" si="176"/>
        <v>#NAME?</v>
      </c>
      <c r="BV225" s="2" t="e">
        <f ca="1"/>
        <v>#NAME?</v>
      </c>
      <c r="BW225" s="2" t="e">
        <f t="shared" ca="1" si="177"/>
        <v>#NAME?</v>
      </c>
      <c r="BX225" s="2" t="e">
        <f ca="1"/>
        <v>#NAME?</v>
      </c>
      <c r="BY225" s="2" t="e">
        <f t="shared" ca="1" si="178"/>
        <v>#NAME?</v>
      </c>
      <c r="BZ225" s="2" t="e">
        <f ca="1"/>
        <v>#NAME?</v>
      </c>
      <c r="CA225" s="2" t="e">
        <f t="shared" ca="1" si="179"/>
        <v>#NAME?</v>
      </c>
      <c r="CB225" s="2" t="e">
        <f ca="1"/>
        <v>#NAME?</v>
      </c>
      <c r="CC225" s="2" t="e">
        <f t="shared" ca="1" si="180"/>
        <v>#NAME?</v>
      </c>
      <c r="CD225" s="2" t="e">
        <f ca="1"/>
        <v>#NAME?</v>
      </c>
      <c r="CE225" s="2" t="e">
        <f t="shared" ca="1" si="181"/>
        <v>#NAME?</v>
      </c>
      <c r="CF225" s="2" t="e">
        <f ca="1"/>
        <v>#NAME?</v>
      </c>
      <c r="CG225" s="2" t="e">
        <f t="shared" ca="1" si="182"/>
        <v>#NAME?</v>
      </c>
      <c r="CH225" s="2" t="e">
        <f ca="1"/>
        <v>#NAME?</v>
      </c>
      <c r="CI225" s="2" t="e">
        <f t="shared" ca="1" si="183"/>
        <v>#NAME?</v>
      </c>
      <c r="CJ225" s="2" t="e">
        <f ca="1"/>
        <v>#NAME?</v>
      </c>
      <c r="CK225" s="2" t="e">
        <f t="shared" ca="1" si="184"/>
        <v>#NAME?</v>
      </c>
      <c r="CL225" s="2" t="e">
        <f ca="1"/>
        <v>#NAME?</v>
      </c>
      <c r="CM225" s="2" t="e">
        <f t="shared" ca="1" si="185"/>
        <v>#NAME?</v>
      </c>
      <c r="CN225" s="2" t="e">
        <f ca="1"/>
        <v>#NAME?</v>
      </c>
      <c r="CO225" s="2" t="e">
        <f t="shared" ca="1" si="186"/>
        <v>#NAME?</v>
      </c>
      <c r="CP225" s="2" t="e">
        <f ca="1"/>
        <v>#NAME?</v>
      </c>
      <c r="CQ225" s="2" t="e">
        <f t="shared" ca="1" si="187"/>
        <v>#NAME?</v>
      </c>
    </row>
    <row r="226" spans="1:95">
      <c r="A226" s="7" t="e">
        <f ca="1"/>
        <v>#NAME?</v>
      </c>
      <c r="B226" s="2" t="e">
        <f ca="1"/>
        <v>#NAME?</v>
      </c>
      <c r="C226" s="2" t="e">
        <f t="shared" ca="1" si="141"/>
        <v>#NAME?</v>
      </c>
      <c r="D226" s="2" t="e">
        <f ca="1"/>
        <v>#NAME?</v>
      </c>
      <c r="E226" s="2" t="e">
        <f t="shared" ca="1" si="142"/>
        <v>#NAME?</v>
      </c>
      <c r="F226" s="2" t="e">
        <f ca="1"/>
        <v>#NAME?</v>
      </c>
      <c r="G226" s="2" t="e">
        <f t="shared" ca="1" si="143"/>
        <v>#NAME?</v>
      </c>
      <c r="H226" s="2" t="e">
        <f ca="1"/>
        <v>#NAME?</v>
      </c>
      <c r="I226" s="2" t="e">
        <f t="shared" ca="1" si="144"/>
        <v>#NAME?</v>
      </c>
      <c r="J226" s="2" t="e">
        <f ca="1"/>
        <v>#NAME?</v>
      </c>
      <c r="K226" s="2" t="e">
        <f t="shared" ca="1" si="145"/>
        <v>#NAME?</v>
      </c>
      <c r="L226" s="2" t="e">
        <f ca="1"/>
        <v>#NAME?</v>
      </c>
      <c r="M226" s="2" t="e">
        <f t="shared" ca="1" si="146"/>
        <v>#NAME?</v>
      </c>
      <c r="N226" s="2" t="e">
        <f ca="1"/>
        <v>#NAME?</v>
      </c>
      <c r="O226" s="2" t="e">
        <f t="shared" ca="1" si="147"/>
        <v>#NAME?</v>
      </c>
      <c r="P226" s="2" t="e">
        <f ca="1"/>
        <v>#NAME?</v>
      </c>
      <c r="Q226" s="2" t="e">
        <f t="shared" ca="1" si="148"/>
        <v>#NAME?</v>
      </c>
      <c r="R226" s="2" t="e">
        <f ca="1"/>
        <v>#NAME?</v>
      </c>
      <c r="S226" s="2" t="e">
        <f t="shared" ca="1" si="149"/>
        <v>#NAME?</v>
      </c>
      <c r="T226" s="2" t="e">
        <f ca="1"/>
        <v>#NAME?</v>
      </c>
      <c r="U226" s="2" t="e">
        <f t="shared" ca="1" si="150"/>
        <v>#NAME?</v>
      </c>
      <c r="V226" s="2" t="e">
        <f ca="1"/>
        <v>#NAME?</v>
      </c>
      <c r="W226" s="2" t="e">
        <f t="shared" ca="1" si="151"/>
        <v>#NAME?</v>
      </c>
      <c r="X226" s="2" t="e">
        <f ca="1"/>
        <v>#NAME?</v>
      </c>
      <c r="Y226" s="2" t="e">
        <f t="shared" ca="1" si="152"/>
        <v>#NAME?</v>
      </c>
      <c r="Z226" s="2" t="e">
        <f ca="1"/>
        <v>#NAME?</v>
      </c>
      <c r="AA226" s="2" t="e">
        <f t="shared" ca="1" si="153"/>
        <v>#NAME?</v>
      </c>
      <c r="AB226" s="2" t="e">
        <f ca="1"/>
        <v>#NAME?</v>
      </c>
      <c r="AC226" s="2" t="e">
        <f t="shared" ca="1" si="154"/>
        <v>#NAME?</v>
      </c>
      <c r="AD226" s="2" t="e">
        <f ca="1"/>
        <v>#NAME?</v>
      </c>
      <c r="AE226" s="2" t="e">
        <f t="shared" ca="1" si="155"/>
        <v>#NAME?</v>
      </c>
      <c r="AF226" s="2" t="e">
        <f ca="1"/>
        <v>#NAME?</v>
      </c>
      <c r="AG226" s="2" t="e">
        <f t="shared" ca="1" si="156"/>
        <v>#NAME?</v>
      </c>
      <c r="AH226" s="2" t="e">
        <f ca="1"/>
        <v>#NAME?</v>
      </c>
      <c r="AI226" s="2" t="e">
        <f t="shared" ca="1" si="157"/>
        <v>#NAME?</v>
      </c>
      <c r="AJ226" s="2" t="e">
        <f ca="1"/>
        <v>#NAME?</v>
      </c>
      <c r="AK226" s="2" t="e">
        <f t="shared" ca="1" si="158"/>
        <v>#NAME?</v>
      </c>
      <c r="AL226" s="2" t="e">
        <f ca="1"/>
        <v>#NAME?</v>
      </c>
      <c r="AM226" s="2" t="e">
        <f t="shared" ca="1" si="159"/>
        <v>#NAME?</v>
      </c>
      <c r="AN226" s="2" t="e">
        <f ca="1"/>
        <v>#NAME?</v>
      </c>
      <c r="AO226" s="2" t="e">
        <f t="shared" ca="1" si="160"/>
        <v>#NAME?</v>
      </c>
      <c r="AP226" s="2" t="e">
        <f ca="1"/>
        <v>#NAME?</v>
      </c>
      <c r="AQ226" s="2" t="e">
        <f t="shared" ca="1" si="161"/>
        <v>#NAME?</v>
      </c>
      <c r="AR226" s="2" t="e">
        <f ca="1"/>
        <v>#NAME?</v>
      </c>
      <c r="AS226" s="2" t="e">
        <f t="shared" ca="1" si="162"/>
        <v>#NAME?</v>
      </c>
      <c r="AT226" s="2" t="e">
        <f ca="1"/>
        <v>#NAME?</v>
      </c>
      <c r="AU226" s="2" t="e">
        <f t="shared" ca="1" si="163"/>
        <v>#NAME?</v>
      </c>
      <c r="AV226" s="2" t="e">
        <f ca="1"/>
        <v>#NAME?</v>
      </c>
      <c r="AW226" s="2" t="e">
        <f t="shared" ca="1" si="164"/>
        <v>#NAME?</v>
      </c>
      <c r="AX226" s="2" t="e">
        <f ca="1"/>
        <v>#NAME?</v>
      </c>
      <c r="AY226" s="2" t="e">
        <f t="shared" ca="1" si="165"/>
        <v>#NAME?</v>
      </c>
      <c r="AZ226" s="2" t="e">
        <f ca="1"/>
        <v>#NAME?</v>
      </c>
      <c r="BA226" s="2" t="e">
        <f t="shared" ca="1" si="166"/>
        <v>#NAME?</v>
      </c>
      <c r="BB226" s="2" t="e">
        <f ca="1"/>
        <v>#NAME?</v>
      </c>
      <c r="BC226" s="2" t="e">
        <f t="shared" ca="1" si="167"/>
        <v>#NAME?</v>
      </c>
      <c r="BD226" s="2" t="e">
        <f ca="1"/>
        <v>#NAME?</v>
      </c>
      <c r="BE226" s="2" t="e">
        <f t="shared" ca="1" si="168"/>
        <v>#NAME?</v>
      </c>
      <c r="BF226" s="2" t="e">
        <f ca="1"/>
        <v>#NAME?</v>
      </c>
      <c r="BG226" s="2" t="e">
        <f t="shared" ca="1" si="169"/>
        <v>#NAME?</v>
      </c>
      <c r="BH226" s="2" t="e">
        <f ca="1"/>
        <v>#NAME?</v>
      </c>
      <c r="BI226" s="2" t="e">
        <f t="shared" ca="1" si="170"/>
        <v>#NAME?</v>
      </c>
      <c r="BJ226" s="2" t="e">
        <f ca="1"/>
        <v>#NAME?</v>
      </c>
      <c r="BK226" s="2" t="e">
        <f t="shared" ca="1" si="171"/>
        <v>#NAME?</v>
      </c>
      <c r="BL226" s="2" t="e">
        <f ca="1"/>
        <v>#NAME?</v>
      </c>
      <c r="BM226" s="2" t="e">
        <f t="shared" ca="1" si="172"/>
        <v>#NAME?</v>
      </c>
      <c r="BN226" s="2" t="e">
        <f ca="1"/>
        <v>#NAME?</v>
      </c>
      <c r="BO226" s="2" t="e">
        <f t="shared" ca="1" si="173"/>
        <v>#NAME?</v>
      </c>
      <c r="BP226" s="2" t="e">
        <f ca="1"/>
        <v>#NAME?</v>
      </c>
      <c r="BQ226" s="2" t="e">
        <f t="shared" ca="1" si="174"/>
        <v>#NAME?</v>
      </c>
      <c r="BR226" s="2" t="e">
        <f ca="1"/>
        <v>#NAME?</v>
      </c>
      <c r="BS226" s="2" t="e">
        <f t="shared" ca="1" si="175"/>
        <v>#NAME?</v>
      </c>
      <c r="BT226" s="2" t="e">
        <f ca="1"/>
        <v>#NAME?</v>
      </c>
      <c r="BU226" s="2" t="e">
        <f t="shared" ca="1" si="176"/>
        <v>#NAME?</v>
      </c>
      <c r="BV226" s="2" t="e">
        <f ca="1"/>
        <v>#NAME?</v>
      </c>
      <c r="BW226" s="2" t="e">
        <f t="shared" ca="1" si="177"/>
        <v>#NAME?</v>
      </c>
      <c r="BX226" s="2" t="e">
        <f ca="1"/>
        <v>#NAME?</v>
      </c>
      <c r="BY226" s="2" t="e">
        <f t="shared" ca="1" si="178"/>
        <v>#NAME?</v>
      </c>
      <c r="BZ226" s="2" t="e">
        <f ca="1"/>
        <v>#NAME?</v>
      </c>
      <c r="CA226" s="2" t="e">
        <f t="shared" ca="1" si="179"/>
        <v>#NAME?</v>
      </c>
      <c r="CB226" s="2" t="e">
        <f ca="1"/>
        <v>#NAME?</v>
      </c>
      <c r="CC226" s="2" t="e">
        <f t="shared" ca="1" si="180"/>
        <v>#NAME?</v>
      </c>
      <c r="CD226" s="2" t="e">
        <f ca="1"/>
        <v>#NAME?</v>
      </c>
      <c r="CE226" s="2" t="e">
        <f t="shared" ca="1" si="181"/>
        <v>#NAME?</v>
      </c>
      <c r="CF226" s="2" t="e">
        <f ca="1"/>
        <v>#NAME?</v>
      </c>
      <c r="CG226" s="2" t="e">
        <f t="shared" ca="1" si="182"/>
        <v>#NAME?</v>
      </c>
      <c r="CH226" s="2" t="e">
        <f ca="1"/>
        <v>#NAME?</v>
      </c>
      <c r="CI226" s="2" t="e">
        <f t="shared" ca="1" si="183"/>
        <v>#NAME?</v>
      </c>
      <c r="CJ226" s="2" t="e">
        <f ca="1"/>
        <v>#NAME?</v>
      </c>
      <c r="CK226" s="2" t="e">
        <f t="shared" ca="1" si="184"/>
        <v>#NAME?</v>
      </c>
      <c r="CL226" s="2" t="e">
        <f ca="1"/>
        <v>#NAME?</v>
      </c>
      <c r="CM226" s="2" t="e">
        <f t="shared" ca="1" si="185"/>
        <v>#NAME?</v>
      </c>
      <c r="CN226" s="2" t="e">
        <f ca="1"/>
        <v>#NAME?</v>
      </c>
      <c r="CO226" s="2" t="e">
        <f t="shared" ca="1" si="186"/>
        <v>#NAME?</v>
      </c>
      <c r="CP226" s="2" t="e">
        <f ca="1"/>
        <v>#NAME?</v>
      </c>
      <c r="CQ226" s="2" t="e">
        <f t="shared" ca="1" si="187"/>
        <v>#NAME?</v>
      </c>
    </row>
    <row r="227" spans="1:95">
      <c r="A227" s="7" t="e">
        <f ca="1"/>
        <v>#NAME?</v>
      </c>
      <c r="B227" s="2" t="e">
        <f ca="1"/>
        <v>#NAME?</v>
      </c>
      <c r="C227" s="2" t="e">
        <f t="shared" ca="1" si="141"/>
        <v>#NAME?</v>
      </c>
      <c r="D227" s="2" t="e">
        <f ca="1"/>
        <v>#NAME?</v>
      </c>
      <c r="E227" s="2" t="e">
        <f t="shared" ca="1" si="142"/>
        <v>#NAME?</v>
      </c>
      <c r="F227" s="2" t="e">
        <f ca="1"/>
        <v>#NAME?</v>
      </c>
      <c r="G227" s="2" t="e">
        <f t="shared" ca="1" si="143"/>
        <v>#NAME?</v>
      </c>
      <c r="H227" s="2" t="e">
        <f ca="1"/>
        <v>#NAME?</v>
      </c>
      <c r="I227" s="2" t="e">
        <f t="shared" ca="1" si="144"/>
        <v>#NAME?</v>
      </c>
      <c r="J227" s="2" t="e">
        <f ca="1"/>
        <v>#NAME?</v>
      </c>
      <c r="K227" s="2" t="e">
        <f t="shared" ca="1" si="145"/>
        <v>#NAME?</v>
      </c>
      <c r="L227" s="2" t="e">
        <f ca="1"/>
        <v>#NAME?</v>
      </c>
      <c r="M227" s="2" t="e">
        <f t="shared" ca="1" si="146"/>
        <v>#NAME?</v>
      </c>
      <c r="N227" s="2" t="e">
        <f ca="1"/>
        <v>#NAME?</v>
      </c>
      <c r="O227" s="2" t="e">
        <f t="shared" ca="1" si="147"/>
        <v>#NAME?</v>
      </c>
      <c r="P227" s="2" t="e">
        <f ca="1"/>
        <v>#NAME?</v>
      </c>
      <c r="Q227" s="2" t="e">
        <f t="shared" ca="1" si="148"/>
        <v>#NAME?</v>
      </c>
      <c r="R227" s="2" t="e">
        <f ca="1"/>
        <v>#NAME?</v>
      </c>
      <c r="S227" s="2" t="e">
        <f t="shared" ca="1" si="149"/>
        <v>#NAME?</v>
      </c>
      <c r="T227" s="2" t="e">
        <f ca="1"/>
        <v>#NAME?</v>
      </c>
      <c r="U227" s="2" t="e">
        <f t="shared" ca="1" si="150"/>
        <v>#NAME?</v>
      </c>
      <c r="V227" s="2" t="e">
        <f ca="1"/>
        <v>#NAME?</v>
      </c>
      <c r="W227" s="2" t="e">
        <f t="shared" ca="1" si="151"/>
        <v>#NAME?</v>
      </c>
      <c r="X227" s="2" t="e">
        <f ca="1"/>
        <v>#NAME?</v>
      </c>
      <c r="Y227" s="2" t="e">
        <f t="shared" ca="1" si="152"/>
        <v>#NAME?</v>
      </c>
      <c r="Z227" s="2" t="e">
        <f ca="1"/>
        <v>#NAME?</v>
      </c>
      <c r="AA227" s="2" t="e">
        <f t="shared" ca="1" si="153"/>
        <v>#NAME?</v>
      </c>
      <c r="AB227" s="2" t="e">
        <f ca="1"/>
        <v>#NAME?</v>
      </c>
      <c r="AC227" s="2" t="e">
        <f t="shared" ca="1" si="154"/>
        <v>#NAME?</v>
      </c>
      <c r="AD227" s="2" t="e">
        <f ca="1"/>
        <v>#NAME?</v>
      </c>
      <c r="AE227" s="2" t="e">
        <f t="shared" ca="1" si="155"/>
        <v>#NAME?</v>
      </c>
      <c r="AF227" s="2" t="e">
        <f ca="1"/>
        <v>#NAME?</v>
      </c>
      <c r="AG227" s="2" t="e">
        <f t="shared" ca="1" si="156"/>
        <v>#NAME?</v>
      </c>
      <c r="AH227" s="2" t="e">
        <f ca="1"/>
        <v>#NAME?</v>
      </c>
      <c r="AI227" s="2" t="e">
        <f t="shared" ca="1" si="157"/>
        <v>#NAME?</v>
      </c>
      <c r="AJ227" s="2" t="e">
        <f ca="1"/>
        <v>#NAME?</v>
      </c>
      <c r="AK227" s="2" t="e">
        <f t="shared" ca="1" si="158"/>
        <v>#NAME?</v>
      </c>
      <c r="AL227" s="2" t="e">
        <f ca="1"/>
        <v>#NAME?</v>
      </c>
      <c r="AM227" s="2" t="e">
        <f t="shared" ca="1" si="159"/>
        <v>#NAME?</v>
      </c>
      <c r="AN227" s="2" t="e">
        <f ca="1"/>
        <v>#NAME?</v>
      </c>
      <c r="AO227" s="2" t="e">
        <f t="shared" ca="1" si="160"/>
        <v>#NAME?</v>
      </c>
      <c r="AP227" s="2" t="e">
        <f ca="1"/>
        <v>#NAME?</v>
      </c>
      <c r="AQ227" s="2" t="e">
        <f t="shared" ca="1" si="161"/>
        <v>#NAME?</v>
      </c>
      <c r="AR227" s="2" t="e">
        <f ca="1"/>
        <v>#NAME?</v>
      </c>
      <c r="AS227" s="2" t="e">
        <f t="shared" ca="1" si="162"/>
        <v>#NAME?</v>
      </c>
      <c r="AT227" s="2" t="e">
        <f ca="1"/>
        <v>#NAME?</v>
      </c>
      <c r="AU227" s="2" t="e">
        <f t="shared" ca="1" si="163"/>
        <v>#NAME?</v>
      </c>
      <c r="AV227" s="2" t="e">
        <f ca="1"/>
        <v>#NAME?</v>
      </c>
      <c r="AW227" s="2" t="e">
        <f t="shared" ca="1" si="164"/>
        <v>#NAME?</v>
      </c>
      <c r="AX227" s="2" t="e">
        <f ca="1"/>
        <v>#NAME?</v>
      </c>
      <c r="AY227" s="2" t="e">
        <f t="shared" ca="1" si="165"/>
        <v>#NAME?</v>
      </c>
      <c r="AZ227" s="2" t="e">
        <f ca="1"/>
        <v>#NAME?</v>
      </c>
      <c r="BA227" s="2" t="e">
        <f t="shared" ca="1" si="166"/>
        <v>#NAME?</v>
      </c>
      <c r="BB227" s="2" t="e">
        <f ca="1"/>
        <v>#NAME?</v>
      </c>
      <c r="BC227" s="2" t="e">
        <f t="shared" ca="1" si="167"/>
        <v>#NAME?</v>
      </c>
      <c r="BD227" s="2" t="e">
        <f ca="1"/>
        <v>#NAME?</v>
      </c>
      <c r="BE227" s="2" t="e">
        <f t="shared" ca="1" si="168"/>
        <v>#NAME?</v>
      </c>
      <c r="BF227" s="2" t="e">
        <f ca="1"/>
        <v>#NAME?</v>
      </c>
      <c r="BG227" s="2" t="e">
        <f t="shared" ca="1" si="169"/>
        <v>#NAME?</v>
      </c>
      <c r="BH227" s="2" t="e">
        <f ca="1"/>
        <v>#NAME?</v>
      </c>
      <c r="BI227" s="2" t="e">
        <f t="shared" ca="1" si="170"/>
        <v>#NAME?</v>
      </c>
      <c r="BJ227" s="2" t="e">
        <f ca="1"/>
        <v>#NAME?</v>
      </c>
      <c r="BK227" s="2" t="e">
        <f t="shared" ca="1" si="171"/>
        <v>#NAME?</v>
      </c>
      <c r="BL227" s="2" t="e">
        <f ca="1"/>
        <v>#NAME?</v>
      </c>
      <c r="BM227" s="2" t="e">
        <f t="shared" ca="1" si="172"/>
        <v>#NAME?</v>
      </c>
      <c r="BN227" s="2" t="e">
        <f ca="1"/>
        <v>#NAME?</v>
      </c>
      <c r="BO227" s="2" t="e">
        <f t="shared" ca="1" si="173"/>
        <v>#NAME?</v>
      </c>
      <c r="BP227" s="2" t="e">
        <f ca="1"/>
        <v>#NAME?</v>
      </c>
      <c r="BQ227" s="2" t="e">
        <f t="shared" ca="1" si="174"/>
        <v>#NAME?</v>
      </c>
      <c r="BR227" s="2" t="e">
        <f ca="1"/>
        <v>#NAME?</v>
      </c>
      <c r="BS227" s="2" t="e">
        <f t="shared" ca="1" si="175"/>
        <v>#NAME?</v>
      </c>
      <c r="BT227" s="2" t="e">
        <f ca="1"/>
        <v>#NAME?</v>
      </c>
      <c r="BU227" s="2" t="e">
        <f t="shared" ca="1" si="176"/>
        <v>#NAME?</v>
      </c>
      <c r="BV227" s="2" t="e">
        <f ca="1"/>
        <v>#NAME?</v>
      </c>
      <c r="BW227" s="2" t="e">
        <f t="shared" ca="1" si="177"/>
        <v>#NAME?</v>
      </c>
      <c r="BX227" s="2" t="e">
        <f ca="1"/>
        <v>#NAME?</v>
      </c>
      <c r="BY227" s="2" t="e">
        <f t="shared" ca="1" si="178"/>
        <v>#NAME?</v>
      </c>
      <c r="BZ227" s="2" t="e">
        <f ca="1"/>
        <v>#NAME?</v>
      </c>
      <c r="CA227" s="2" t="e">
        <f t="shared" ca="1" si="179"/>
        <v>#NAME?</v>
      </c>
      <c r="CB227" s="2" t="e">
        <f ca="1"/>
        <v>#NAME?</v>
      </c>
      <c r="CC227" s="2" t="e">
        <f t="shared" ca="1" si="180"/>
        <v>#NAME?</v>
      </c>
      <c r="CD227" s="2" t="e">
        <f ca="1"/>
        <v>#NAME?</v>
      </c>
      <c r="CE227" s="2" t="e">
        <f t="shared" ca="1" si="181"/>
        <v>#NAME?</v>
      </c>
      <c r="CF227" s="2" t="e">
        <f ca="1"/>
        <v>#NAME?</v>
      </c>
      <c r="CG227" s="2" t="e">
        <f t="shared" ca="1" si="182"/>
        <v>#NAME?</v>
      </c>
      <c r="CH227" s="2" t="e">
        <f ca="1"/>
        <v>#NAME?</v>
      </c>
      <c r="CI227" s="2" t="e">
        <f t="shared" ca="1" si="183"/>
        <v>#NAME?</v>
      </c>
      <c r="CJ227" s="2" t="e">
        <f ca="1"/>
        <v>#NAME?</v>
      </c>
      <c r="CK227" s="2" t="e">
        <f t="shared" ca="1" si="184"/>
        <v>#NAME?</v>
      </c>
      <c r="CL227" s="2" t="e">
        <f ca="1"/>
        <v>#NAME?</v>
      </c>
      <c r="CM227" s="2" t="e">
        <f t="shared" ca="1" si="185"/>
        <v>#NAME?</v>
      </c>
      <c r="CN227" s="2" t="e">
        <f ca="1"/>
        <v>#NAME?</v>
      </c>
      <c r="CO227" s="2" t="e">
        <f t="shared" ca="1" si="186"/>
        <v>#NAME?</v>
      </c>
      <c r="CP227" s="2" t="e">
        <f ca="1"/>
        <v>#NAME?</v>
      </c>
      <c r="CQ227" s="2" t="e">
        <f t="shared" ca="1" si="187"/>
        <v>#NAME?</v>
      </c>
    </row>
    <row r="228" spans="1:95">
      <c r="A228" s="7" t="e">
        <f ca="1"/>
        <v>#NAME?</v>
      </c>
      <c r="B228" s="2" t="e">
        <f ca="1"/>
        <v>#NAME?</v>
      </c>
      <c r="C228" s="2" t="e">
        <f t="shared" ca="1" si="141"/>
        <v>#NAME?</v>
      </c>
      <c r="D228" s="2" t="e">
        <f ca="1"/>
        <v>#NAME?</v>
      </c>
      <c r="E228" s="2" t="e">
        <f t="shared" ca="1" si="142"/>
        <v>#NAME?</v>
      </c>
      <c r="F228" s="2" t="e">
        <f ca="1"/>
        <v>#NAME?</v>
      </c>
      <c r="G228" s="2" t="e">
        <f t="shared" ca="1" si="143"/>
        <v>#NAME?</v>
      </c>
      <c r="H228" s="2" t="e">
        <f ca="1"/>
        <v>#NAME?</v>
      </c>
      <c r="I228" s="2" t="e">
        <f t="shared" ca="1" si="144"/>
        <v>#NAME?</v>
      </c>
      <c r="J228" s="2" t="e">
        <f ca="1"/>
        <v>#NAME?</v>
      </c>
      <c r="K228" s="2" t="e">
        <f t="shared" ca="1" si="145"/>
        <v>#NAME?</v>
      </c>
      <c r="L228" s="2" t="e">
        <f ca="1"/>
        <v>#NAME?</v>
      </c>
      <c r="M228" s="2" t="e">
        <f t="shared" ca="1" si="146"/>
        <v>#NAME?</v>
      </c>
      <c r="N228" s="2" t="e">
        <f ca="1"/>
        <v>#NAME?</v>
      </c>
      <c r="O228" s="2" t="e">
        <f t="shared" ca="1" si="147"/>
        <v>#NAME?</v>
      </c>
      <c r="P228" s="2" t="e">
        <f ca="1"/>
        <v>#NAME?</v>
      </c>
      <c r="Q228" s="2" t="e">
        <f t="shared" ca="1" si="148"/>
        <v>#NAME?</v>
      </c>
      <c r="R228" s="2" t="e">
        <f ca="1"/>
        <v>#NAME?</v>
      </c>
      <c r="S228" s="2" t="e">
        <f t="shared" ca="1" si="149"/>
        <v>#NAME?</v>
      </c>
      <c r="T228" s="2" t="e">
        <f ca="1"/>
        <v>#NAME?</v>
      </c>
      <c r="U228" s="2" t="e">
        <f t="shared" ca="1" si="150"/>
        <v>#NAME?</v>
      </c>
      <c r="V228" s="2" t="e">
        <f ca="1"/>
        <v>#NAME?</v>
      </c>
      <c r="W228" s="2" t="e">
        <f t="shared" ca="1" si="151"/>
        <v>#NAME?</v>
      </c>
      <c r="X228" s="2" t="e">
        <f ca="1"/>
        <v>#NAME?</v>
      </c>
      <c r="Y228" s="2" t="e">
        <f t="shared" ca="1" si="152"/>
        <v>#NAME?</v>
      </c>
      <c r="Z228" s="2" t="e">
        <f ca="1"/>
        <v>#NAME?</v>
      </c>
      <c r="AA228" s="2" t="e">
        <f t="shared" ca="1" si="153"/>
        <v>#NAME?</v>
      </c>
      <c r="AB228" s="2" t="e">
        <f ca="1"/>
        <v>#NAME?</v>
      </c>
      <c r="AC228" s="2" t="e">
        <f t="shared" ca="1" si="154"/>
        <v>#NAME?</v>
      </c>
      <c r="AD228" s="2" t="e">
        <f ca="1"/>
        <v>#NAME?</v>
      </c>
      <c r="AE228" s="2" t="e">
        <f t="shared" ca="1" si="155"/>
        <v>#NAME?</v>
      </c>
      <c r="AF228" s="2" t="e">
        <f ca="1"/>
        <v>#NAME?</v>
      </c>
      <c r="AG228" s="2" t="e">
        <f t="shared" ca="1" si="156"/>
        <v>#NAME?</v>
      </c>
      <c r="AH228" s="2" t="e">
        <f ca="1"/>
        <v>#NAME?</v>
      </c>
      <c r="AI228" s="2" t="e">
        <f t="shared" ca="1" si="157"/>
        <v>#NAME?</v>
      </c>
      <c r="AJ228" s="2" t="e">
        <f ca="1"/>
        <v>#NAME?</v>
      </c>
      <c r="AK228" s="2" t="e">
        <f t="shared" ca="1" si="158"/>
        <v>#NAME?</v>
      </c>
      <c r="AL228" s="2" t="e">
        <f ca="1"/>
        <v>#NAME?</v>
      </c>
      <c r="AM228" s="2" t="e">
        <f t="shared" ca="1" si="159"/>
        <v>#NAME?</v>
      </c>
      <c r="AN228" s="2" t="e">
        <f ca="1"/>
        <v>#NAME?</v>
      </c>
      <c r="AO228" s="2" t="e">
        <f t="shared" ca="1" si="160"/>
        <v>#NAME?</v>
      </c>
      <c r="AP228" s="2" t="e">
        <f ca="1"/>
        <v>#NAME?</v>
      </c>
      <c r="AQ228" s="2" t="e">
        <f t="shared" ca="1" si="161"/>
        <v>#NAME?</v>
      </c>
      <c r="AR228" s="2" t="e">
        <f ca="1"/>
        <v>#NAME?</v>
      </c>
      <c r="AS228" s="2" t="e">
        <f t="shared" ca="1" si="162"/>
        <v>#NAME?</v>
      </c>
      <c r="AT228" s="2" t="e">
        <f ca="1"/>
        <v>#NAME?</v>
      </c>
      <c r="AU228" s="2" t="e">
        <f t="shared" ca="1" si="163"/>
        <v>#NAME?</v>
      </c>
      <c r="AV228" s="2" t="e">
        <f ca="1"/>
        <v>#NAME?</v>
      </c>
      <c r="AW228" s="2" t="e">
        <f t="shared" ca="1" si="164"/>
        <v>#NAME?</v>
      </c>
      <c r="AX228" s="2" t="e">
        <f ca="1"/>
        <v>#NAME?</v>
      </c>
      <c r="AY228" s="2" t="e">
        <f t="shared" ca="1" si="165"/>
        <v>#NAME?</v>
      </c>
      <c r="AZ228" s="2" t="e">
        <f ca="1"/>
        <v>#NAME?</v>
      </c>
      <c r="BA228" s="2" t="e">
        <f t="shared" ca="1" si="166"/>
        <v>#NAME?</v>
      </c>
      <c r="BB228" s="2" t="e">
        <f ca="1"/>
        <v>#NAME?</v>
      </c>
      <c r="BC228" s="2" t="e">
        <f t="shared" ca="1" si="167"/>
        <v>#NAME?</v>
      </c>
      <c r="BD228" s="2" t="e">
        <f ca="1"/>
        <v>#NAME?</v>
      </c>
      <c r="BE228" s="2" t="e">
        <f t="shared" ca="1" si="168"/>
        <v>#NAME?</v>
      </c>
      <c r="BF228" s="2" t="e">
        <f ca="1"/>
        <v>#NAME?</v>
      </c>
      <c r="BG228" s="2" t="e">
        <f t="shared" ca="1" si="169"/>
        <v>#NAME?</v>
      </c>
      <c r="BH228" s="2" t="e">
        <f ca="1"/>
        <v>#NAME?</v>
      </c>
      <c r="BI228" s="2" t="e">
        <f t="shared" ca="1" si="170"/>
        <v>#NAME?</v>
      </c>
      <c r="BJ228" s="2" t="e">
        <f ca="1"/>
        <v>#NAME?</v>
      </c>
      <c r="BK228" s="2" t="e">
        <f t="shared" ca="1" si="171"/>
        <v>#NAME?</v>
      </c>
      <c r="BL228" s="2" t="e">
        <f ca="1"/>
        <v>#NAME?</v>
      </c>
      <c r="BM228" s="2" t="e">
        <f t="shared" ca="1" si="172"/>
        <v>#NAME?</v>
      </c>
      <c r="BN228" s="2" t="e">
        <f ca="1"/>
        <v>#NAME?</v>
      </c>
      <c r="BO228" s="2" t="e">
        <f t="shared" ca="1" si="173"/>
        <v>#NAME?</v>
      </c>
      <c r="BP228" s="2" t="e">
        <f ca="1"/>
        <v>#NAME?</v>
      </c>
      <c r="BQ228" s="2" t="e">
        <f t="shared" ca="1" si="174"/>
        <v>#NAME?</v>
      </c>
      <c r="BR228" s="2" t="e">
        <f ca="1"/>
        <v>#NAME?</v>
      </c>
      <c r="BS228" s="2" t="e">
        <f t="shared" ca="1" si="175"/>
        <v>#NAME?</v>
      </c>
      <c r="BT228" s="2" t="e">
        <f ca="1"/>
        <v>#NAME?</v>
      </c>
      <c r="BU228" s="2" t="e">
        <f t="shared" ca="1" si="176"/>
        <v>#NAME?</v>
      </c>
      <c r="BV228" s="2" t="e">
        <f ca="1"/>
        <v>#NAME?</v>
      </c>
      <c r="BW228" s="2" t="e">
        <f t="shared" ca="1" si="177"/>
        <v>#NAME?</v>
      </c>
      <c r="BX228" s="2" t="e">
        <f ca="1"/>
        <v>#NAME?</v>
      </c>
      <c r="BY228" s="2" t="e">
        <f t="shared" ca="1" si="178"/>
        <v>#NAME?</v>
      </c>
      <c r="BZ228" s="2" t="e">
        <f ca="1"/>
        <v>#NAME?</v>
      </c>
      <c r="CA228" s="2" t="e">
        <f t="shared" ca="1" si="179"/>
        <v>#NAME?</v>
      </c>
      <c r="CB228" s="2" t="e">
        <f ca="1"/>
        <v>#NAME?</v>
      </c>
      <c r="CC228" s="2" t="e">
        <f t="shared" ca="1" si="180"/>
        <v>#NAME?</v>
      </c>
      <c r="CD228" s="2" t="e">
        <f ca="1"/>
        <v>#NAME?</v>
      </c>
      <c r="CE228" s="2" t="e">
        <f t="shared" ca="1" si="181"/>
        <v>#NAME?</v>
      </c>
      <c r="CF228" s="2" t="e">
        <f ca="1"/>
        <v>#NAME?</v>
      </c>
      <c r="CG228" s="2" t="e">
        <f t="shared" ca="1" si="182"/>
        <v>#NAME?</v>
      </c>
      <c r="CH228" s="2" t="e">
        <f ca="1"/>
        <v>#NAME?</v>
      </c>
      <c r="CI228" s="2" t="e">
        <f t="shared" ca="1" si="183"/>
        <v>#NAME?</v>
      </c>
      <c r="CJ228" s="2" t="e">
        <f ca="1"/>
        <v>#NAME?</v>
      </c>
      <c r="CK228" s="2" t="e">
        <f t="shared" ca="1" si="184"/>
        <v>#NAME?</v>
      </c>
      <c r="CL228" s="2" t="e">
        <f ca="1"/>
        <v>#NAME?</v>
      </c>
      <c r="CM228" s="2" t="e">
        <f t="shared" ca="1" si="185"/>
        <v>#NAME?</v>
      </c>
      <c r="CN228" s="2" t="e">
        <f ca="1"/>
        <v>#NAME?</v>
      </c>
      <c r="CO228" s="2" t="e">
        <f t="shared" ca="1" si="186"/>
        <v>#NAME?</v>
      </c>
      <c r="CP228" s="2" t="e">
        <f ca="1"/>
        <v>#NAME?</v>
      </c>
      <c r="CQ228" s="2" t="e">
        <f t="shared" ca="1" si="187"/>
        <v>#NAME?</v>
      </c>
    </row>
    <row r="229" spans="1:95">
      <c r="A229" s="7" t="e">
        <f ca="1"/>
        <v>#NAME?</v>
      </c>
      <c r="B229" s="2" t="e">
        <f ca="1"/>
        <v>#NAME?</v>
      </c>
      <c r="C229" s="2" t="e">
        <f t="shared" ca="1" si="141"/>
        <v>#NAME?</v>
      </c>
      <c r="D229" s="2" t="e">
        <f ca="1"/>
        <v>#NAME?</v>
      </c>
      <c r="E229" s="2" t="e">
        <f t="shared" ca="1" si="142"/>
        <v>#NAME?</v>
      </c>
      <c r="F229" s="2" t="e">
        <f ca="1"/>
        <v>#NAME?</v>
      </c>
      <c r="G229" s="2" t="e">
        <f t="shared" ca="1" si="143"/>
        <v>#NAME?</v>
      </c>
      <c r="H229" s="2" t="e">
        <f ca="1"/>
        <v>#NAME?</v>
      </c>
      <c r="I229" s="2" t="e">
        <f t="shared" ca="1" si="144"/>
        <v>#NAME?</v>
      </c>
      <c r="J229" s="2" t="e">
        <f ca="1"/>
        <v>#NAME?</v>
      </c>
      <c r="K229" s="2" t="e">
        <f t="shared" ca="1" si="145"/>
        <v>#NAME?</v>
      </c>
      <c r="L229" s="2" t="e">
        <f ca="1"/>
        <v>#NAME?</v>
      </c>
      <c r="M229" s="2" t="e">
        <f t="shared" ca="1" si="146"/>
        <v>#NAME?</v>
      </c>
      <c r="N229" s="2" t="e">
        <f ca="1"/>
        <v>#NAME?</v>
      </c>
      <c r="O229" s="2" t="e">
        <f t="shared" ca="1" si="147"/>
        <v>#NAME?</v>
      </c>
      <c r="P229" s="2" t="e">
        <f ca="1"/>
        <v>#NAME?</v>
      </c>
      <c r="Q229" s="2" t="e">
        <f t="shared" ca="1" si="148"/>
        <v>#NAME?</v>
      </c>
      <c r="R229" s="2" t="e">
        <f ca="1"/>
        <v>#NAME?</v>
      </c>
      <c r="S229" s="2" t="e">
        <f t="shared" ca="1" si="149"/>
        <v>#NAME?</v>
      </c>
      <c r="T229" s="2" t="e">
        <f ca="1"/>
        <v>#NAME?</v>
      </c>
      <c r="U229" s="2" t="e">
        <f t="shared" ca="1" si="150"/>
        <v>#NAME?</v>
      </c>
      <c r="V229" s="2" t="e">
        <f ca="1"/>
        <v>#NAME?</v>
      </c>
      <c r="W229" s="2" t="e">
        <f t="shared" ca="1" si="151"/>
        <v>#NAME?</v>
      </c>
      <c r="X229" s="2" t="e">
        <f ca="1"/>
        <v>#NAME?</v>
      </c>
      <c r="Y229" s="2" t="e">
        <f t="shared" ca="1" si="152"/>
        <v>#NAME?</v>
      </c>
      <c r="Z229" s="2" t="e">
        <f ca="1"/>
        <v>#NAME?</v>
      </c>
      <c r="AA229" s="2" t="e">
        <f t="shared" ca="1" si="153"/>
        <v>#NAME?</v>
      </c>
      <c r="AB229" s="2" t="e">
        <f ca="1"/>
        <v>#NAME?</v>
      </c>
      <c r="AC229" s="2" t="e">
        <f t="shared" ca="1" si="154"/>
        <v>#NAME?</v>
      </c>
      <c r="AD229" s="2" t="e">
        <f ca="1"/>
        <v>#NAME?</v>
      </c>
      <c r="AE229" s="2" t="e">
        <f t="shared" ca="1" si="155"/>
        <v>#NAME?</v>
      </c>
      <c r="AF229" s="2" t="e">
        <f ca="1"/>
        <v>#NAME?</v>
      </c>
      <c r="AG229" s="2" t="e">
        <f t="shared" ca="1" si="156"/>
        <v>#NAME?</v>
      </c>
      <c r="AH229" s="2" t="e">
        <f ca="1"/>
        <v>#NAME?</v>
      </c>
      <c r="AI229" s="2" t="e">
        <f t="shared" ca="1" si="157"/>
        <v>#NAME?</v>
      </c>
      <c r="AJ229" s="2" t="e">
        <f ca="1"/>
        <v>#NAME?</v>
      </c>
      <c r="AK229" s="2" t="e">
        <f t="shared" ca="1" si="158"/>
        <v>#NAME?</v>
      </c>
      <c r="AL229" s="2" t="e">
        <f ca="1"/>
        <v>#NAME?</v>
      </c>
      <c r="AM229" s="2" t="e">
        <f t="shared" ca="1" si="159"/>
        <v>#NAME?</v>
      </c>
      <c r="AN229" s="2" t="e">
        <f ca="1"/>
        <v>#NAME?</v>
      </c>
      <c r="AO229" s="2" t="e">
        <f t="shared" ca="1" si="160"/>
        <v>#NAME?</v>
      </c>
      <c r="AP229" s="2" t="e">
        <f ca="1"/>
        <v>#NAME?</v>
      </c>
      <c r="AQ229" s="2" t="e">
        <f t="shared" ca="1" si="161"/>
        <v>#NAME?</v>
      </c>
      <c r="AR229" s="2" t="e">
        <f ca="1"/>
        <v>#NAME?</v>
      </c>
      <c r="AS229" s="2" t="e">
        <f t="shared" ca="1" si="162"/>
        <v>#NAME?</v>
      </c>
      <c r="AT229" s="2" t="e">
        <f ca="1"/>
        <v>#NAME?</v>
      </c>
      <c r="AU229" s="2" t="e">
        <f t="shared" ca="1" si="163"/>
        <v>#NAME?</v>
      </c>
      <c r="AV229" s="2" t="e">
        <f ca="1"/>
        <v>#NAME?</v>
      </c>
      <c r="AW229" s="2" t="e">
        <f t="shared" ca="1" si="164"/>
        <v>#NAME?</v>
      </c>
      <c r="AX229" s="2" t="e">
        <f ca="1"/>
        <v>#NAME?</v>
      </c>
      <c r="AY229" s="2" t="e">
        <f t="shared" ca="1" si="165"/>
        <v>#NAME?</v>
      </c>
      <c r="AZ229" s="2" t="e">
        <f ca="1"/>
        <v>#NAME?</v>
      </c>
      <c r="BA229" s="2" t="e">
        <f t="shared" ca="1" si="166"/>
        <v>#NAME?</v>
      </c>
      <c r="BB229" s="2" t="e">
        <f ca="1"/>
        <v>#NAME?</v>
      </c>
      <c r="BC229" s="2" t="e">
        <f t="shared" ca="1" si="167"/>
        <v>#NAME?</v>
      </c>
      <c r="BD229" s="2" t="e">
        <f ca="1"/>
        <v>#NAME?</v>
      </c>
      <c r="BE229" s="2" t="e">
        <f t="shared" ca="1" si="168"/>
        <v>#NAME?</v>
      </c>
      <c r="BF229" s="2" t="e">
        <f ca="1"/>
        <v>#NAME?</v>
      </c>
      <c r="BG229" s="2" t="e">
        <f t="shared" ca="1" si="169"/>
        <v>#NAME?</v>
      </c>
      <c r="BH229" s="2" t="e">
        <f ca="1"/>
        <v>#NAME?</v>
      </c>
      <c r="BI229" s="2" t="e">
        <f t="shared" ca="1" si="170"/>
        <v>#NAME?</v>
      </c>
      <c r="BJ229" s="2" t="e">
        <f ca="1"/>
        <v>#NAME?</v>
      </c>
      <c r="BK229" s="2" t="e">
        <f t="shared" ca="1" si="171"/>
        <v>#NAME?</v>
      </c>
      <c r="BL229" s="2" t="e">
        <f ca="1"/>
        <v>#NAME?</v>
      </c>
      <c r="BM229" s="2" t="e">
        <f t="shared" ca="1" si="172"/>
        <v>#NAME?</v>
      </c>
      <c r="BN229" s="2" t="e">
        <f ca="1"/>
        <v>#NAME?</v>
      </c>
      <c r="BO229" s="2" t="e">
        <f t="shared" ca="1" si="173"/>
        <v>#NAME?</v>
      </c>
      <c r="BP229" s="2" t="e">
        <f ca="1"/>
        <v>#NAME?</v>
      </c>
      <c r="BQ229" s="2" t="e">
        <f t="shared" ca="1" si="174"/>
        <v>#NAME?</v>
      </c>
      <c r="BR229" s="2" t="e">
        <f ca="1"/>
        <v>#NAME?</v>
      </c>
      <c r="BS229" s="2" t="e">
        <f t="shared" ca="1" si="175"/>
        <v>#NAME?</v>
      </c>
      <c r="BT229" s="2" t="e">
        <f ca="1"/>
        <v>#NAME?</v>
      </c>
      <c r="BU229" s="2" t="e">
        <f t="shared" ca="1" si="176"/>
        <v>#NAME?</v>
      </c>
      <c r="BV229" s="2" t="e">
        <f ca="1"/>
        <v>#NAME?</v>
      </c>
      <c r="BW229" s="2" t="e">
        <f t="shared" ca="1" si="177"/>
        <v>#NAME?</v>
      </c>
      <c r="BX229" s="2" t="e">
        <f ca="1"/>
        <v>#NAME?</v>
      </c>
      <c r="BY229" s="2" t="e">
        <f t="shared" ca="1" si="178"/>
        <v>#NAME?</v>
      </c>
      <c r="BZ229" s="2" t="e">
        <f ca="1"/>
        <v>#NAME?</v>
      </c>
      <c r="CA229" s="2" t="e">
        <f t="shared" ca="1" si="179"/>
        <v>#NAME?</v>
      </c>
      <c r="CB229" s="2" t="e">
        <f ca="1"/>
        <v>#NAME?</v>
      </c>
      <c r="CC229" s="2" t="e">
        <f t="shared" ca="1" si="180"/>
        <v>#NAME?</v>
      </c>
      <c r="CD229" s="2" t="e">
        <f ca="1"/>
        <v>#NAME?</v>
      </c>
      <c r="CE229" s="2" t="e">
        <f t="shared" ca="1" si="181"/>
        <v>#NAME?</v>
      </c>
      <c r="CF229" s="2" t="e">
        <f ca="1"/>
        <v>#NAME?</v>
      </c>
      <c r="CG229" s="2" t="e">
        <f t="shared" ca="1" si="182"/>
        <v>#NAME?</v>
      </c>
      <c r="CH229" s="2" t="e">
        <f ca="1"/>
        <v>#NAME?</v>
      </c>
      <c r="CI229" s="2" t="e">
        <f t="shared" ca="1" si="183"/>
        <v>#NAME?</v>
      </c>
      <c r="CJ229" s="2" t="e">
        <f ca="1"/>
        <v>#NAME?</v>
      </c>
      <c r="CK229" s="2" t="e">
        <f t="shared" ca="1" si="184"/>
        <v>#NAME?</v>
      </c>
      <c r="CL229" s="2" t="e">
        <f ca="1"/>
        <v>#NAME?</v>
      </c>
      <c r="CM229" s="2" t="e">
        <f t="shared" ca="1" si="185"/>
        <v>#NAME?</v>
      </c>
      <c r="CN229" s="2" t="e">
        <f ca="1"/>
        <v>#NAME?</v>
      </c>
      <c r="CO229" s="2" t="e">
        <f t="shared" ca="1" si="186"/>
        <v>#NAME?</v>
      </c>
      <c r="CP229" s="2" t="e">
        <f ca="1"/>
        <v>#NAME?</v>
      </c>
      <c r="CQ229" s="2" t="e">
        <f t="shared" ca="1" si="187"/>
        <v>#NAME?</v>
      </c>
    </row>
    <row r="230" spans="1:95">
      <c r="A230" s="7" t="e">
        <f ca="1"/>
        <v>#NAME?</v>
      </c>
      <c r="B230" s="2" t="e">
        <f ca="1"/>
        <v>#NAME?</v>
      </c>
      <c r="C230" s="2" t="e">
        <f t="shared" ca="1" si="141"/>
        <v>#NAME?</v>
      </c>
      <c r="D230" s="2" t="e">
        <f ca="1"/>
        <v>#NAME?</v>
      </c>
      <c r="E230" s="2" t="e">
        <f t="shared" ca="1" si="142"/>
        <v>#NAME?</v>
      </c>
      <c r="F230" s="2" t="e">
        <f ca="1"/>
        <v>#NAME?</v>
      </c>
      <c r="G230" s="2" t="e">
        <f t="shared" ca="1" si="143"/>
        <v>#NAME?</v>
      </c>
      <c r="H230" s="2" t="e">
        <f ca="1"/>
        <v>#NAME?</v>
      </c>
      <c r="I230" s="2" t="e">
        <f t="shared" ca="1" si="144"/>
        <v>#NAME?</v>
      </c>
      <c r="J230" s="2" t="e">
        <f ca="1"/>
        <v>#NAME?</v>
      </c>
      <c r="K230" s="2" t="e">
        <f t="shared" ca="1" si="145"/>
        <v>#NAME?</v>
      </c>
      <c r="L230" s="2" t="e">
        <f ca="1"/>
        <v>#NAME?</v>
      </c>
      <c r="M230" s="2" t="e">
        <f t="shared" ca="1" si="146"/>
        <v>#NAME?</v>
      </c>
      <c r="N230" s="2" t="e">
        <f ca="1"/>
        <v>#NAME?</v>
      </c>
      <c r="O230" s="2" t="e">
        <f t="shared" ca="1" si="147"/>
        <v>#NAME?</v>
      </c>
      <c r="P230" s="2" t="e">
        <f ca="1"/>
        <v>#NAME?</v>
      </c>
      <c r="Q230" s="2" t="e">
        <f t="shared" ca="1" si="148"/>
        <v>#NAME?</v>
      </c>
      <c r="R230" s="2" t="e">
        <f ca="1"/>
        <v>#NAME?</v>
      </c>
      <c r="S230" s="2" t="e">
        <f t="shared" ca="1" si="149"/>
        <v>#NAME?</v>
      </c>
      <c r="T230" s="2" t="e">
        <f ca="1"/>
        <v>#NAME?</v>
      </c>
      <c r="U230" s="2" t="e">
        <f t="shared" ca="1" si="150"/>
        <v>#NAME?</v>
      </c>
      <c r="V230" s="2" t="e">
        <f ca="1"/>
        <v>#NAME?</v>
      </c>
      <c r="W230" s="2" t="e">
        <f t="shared" ca="1" si="151"/>
        <v>#NAME?</v>
      </c>
      <c r="X230" s="2" t="e">
        <f ca="1"/>
        <v>#NAME?</v>
      </c>
      <c r="Y230" s="2" t="e">
        <f t="shared" ca="1" si="152"/>
        <v>#NAME?</v>
      </c>
      <c r="Z230" s="2" t="e">
        <f ca="1"/>
        <v>#NAME?</v>
      </c>
      <c r="AA230" s="2" t="e">
        <f t="shared" ca="1" si="153"/>
        <v>#NAME?</v>
      </c>
      <c r="AB230" s="2" t="e">
        <f ca="1"/>
        <v>#NAME?</v>
      </c>
      <c r="AC230" s="2" t="e">
        <f t="shared" ca="1" si="154"/>
        <v>#NAME?</v>
      </c>
      <c r="AD230" s="2" t="e">
        <f ca="1"/>
        <v>#NAME?</v>
      </c>
      <c r="AE230" s="2" t="e">
        <f t="shared" ca="1" si="155"/>
        <v>#NAME?</v>
      </c>
      <c r="AF230" s="2" t="e">
        <f ca="1"/>
        <v>#NAME?</v>
      </c>
      <c r="AG230" s="2" t="e">
        <f t="shared" ca="1" si="156"/>
        <v>#NAME?</v>
      </c>
      <c r="AH230" s="2" t="e">
        <f ca="1"/>
        <v>#NAME?</v>
      </c>
      <c r="AI230" s="2" t="e">
        <f t="shared" ca="1" si="157"/>
        <v>#NAME?</v>
      </c>
      <c r="AJ230" s="2" t="e">
        <f ca="1"/>
        <v>#NAME?</v>
      </c>
      <c r="AK230" s="2" t="e">
        <f t="shared" ca="1" si="158"/>
        <v>#NAME?</v>
      </c>
      <c r="AL230" s="2" t="e">
        <f ca="1"/>
        <v>#NAME?</v>
      </c>
      <c r="AM230" s="2" t="e">
        <f t="shared" ca="1" si="159"/>
        <v>#NAME?</v>
      </c>
      <c r="AN230" s="2" t="e">
        <f ca="1"/>
        <v>#NAME?</v>
      </c>
      <c r="AO230" s="2" t="e">
        <f t="shared" ca="1" si="160"/>
        <v>#NAME?</v>
      </c>
      <c r="AP230" s="2" t="e">
        <f ca="1"/>
        <v>#NAME?</v>
      </c>
      <c r="AQ230" s="2" t="e">
        <f t="shared" ca="1" si="161"/>
        <v>#NAME?</v>
      </c>
      <c r="AR230" s="2" t="e">
        <f ca="1"/>
        <v>#NAME?</v>
      </c>
      <c r="AS230" s="2" t="e">
        <f t="shared" ca="1" si="162"/>
        <v>#NAME?</v>
      </c>
      <c r="AT230" s="2" t="e">
        <f ca="1"/>
        <v>#NAME?</v>
      </c>
      <c r="AU230" s="2" t="e">
        <f t="shared" ca="1" si="163"/>
        <v>#NAME?</v>
      </c>
      <c r="AV230" s="2" t="e">
        <f ca="1"/>
        <v>#NAME?</v>
      </c>
      <c r="AW230" s="2" t="e">
        <f t="shared" ca="1" si="164"/>
        <v>#NAME?</v>
      </c>
      <c r="AX230" s="2" t="e">
        <f ca="1"/>
        <v>#NAME?</v>
      </c>
      <c r="AY230" s="2" t="e">
        <f t="shared" ca="1" si="165"/>
        <v>#NAME?</v>
      </c>
      <c r="AZ230" s="2" t="e">
        <f ca="1"/>
        <v>#NAME?</v>
      </c>
      <c r="BA230" s="2" t="e">
        <f t="shared" ca="1" si="166"/>
        <v>#NAME?</v>
      </c>
      <c r="BB230" s="2" t="e">
        <f ca="1"/>
        <v>#NAME?</v>
      </c>
      <c r="BC230" s="2" t="e">
        <f t="shared" ca="1" si="167"/>
        <v>#NAME?</v>
      </c>
      <c r="BD230" s="2" t="e">
        <f ca="1"/>
        <v>#NAME?</v>
      </c>
      <c r="BE230" s="2" t="e">
        <f t="shared" ca="1" si="168"/>
        <v>#NAME?</v>
      </c>
      <c r="BF230" s="2" t="e">
        <f ca="1"/>
        <v>#NAME?</v>
      </c>
      <c r="BG230" s="2" t="e">
        <f t="shared" ca="1" si="169"/>
        <v>#NAME?</v>
      </c>
      <c r="BH230" s="2" t="e">
        <f ca="1"/>
        <v>#NAME?</v>
      </c>
      <c r="BI230" s="2" t="e">
        <f t="shared" ca="1" si="170"/>
        <v>#NAME?</v>
      </c>
      <c r="BJ230" s="2" t="e">
        <f ca="1"/>
        <v>#NAME?</v>
      </c>
      <c r="BK230" s="2" t="e">
        <f t="shared" ca="1" si="171"/>
        <v>#NAME?</v>
      </c>
      <c r="BL230" s="2" t="e">
        <f ca="1"/>
        <v>#NAME?</v>
      </c>
      <c r="BM230" s="2" t="e">
        <f t="shared" ca="1" si="172"/>
        <v>#NAME?</v>
      </c>
      <c r="BN230" s="2" t="e">
        <f ca="1"/>
        <v>#NAME?</v>
      </c>
      <c r="BO230" s="2" t="e">
        <f t="shared" ca="1" si="173"/>
        <v>#NAME?</v>
      </c>
      <c r="BP230" s="2" t="e">
        <f ca="1"/>
        <v>#NAME?</v>
      </c>
      <c r="BQ230" s="2" t="e">
        <f t="shared" ca="1" si="174"/>
        <v>#NAME?</v>
      </c>
      <c r="BR230" s="2" t="e">
        <f ca="1"/>
        <v>#NAME?</v>
      </c>
      <c r="BS230" s="2" t="e">
        <f t="shared" ca="1" si="175"/>
        <v>#NAME?</v>
      </c>
      <c r="BT230" s="2" t="e">
        <f ca="1"/>
        <v>#NAME?</v>
      </c>
      <c r="BU230" s="2" t="e">
        <f t="shared" ca="1" si="176"/>
        <v>#NAME?</v>
      </c>
      <c r="BV230" s="2" t="e">
        <f ca="1"/>
        <v>#NAME?</v>
      </c>
      <c r="BW230" s="2" t="e">
        <f t="shared" ca="1" si="177"/>
        <v>#NAME?</v>
      </c>
      <c r="BX230" s="2" t="e">
        <f ca="1"/>
        <v>#NAME?</v>
      </c>
      <c r="BY230" s="2" t="e">
        <f t="shared" ca="1" si="178"/>
        <v>#NAME?</v>
      </c>
      <c r="BZ230" s="2" t="e">
        <f ca="1"/>
        <v>#NAME?</v>
      </c>
      <c r="CA230" s="2" t="e">
        <f t="shared" ca="1" si="179"/>
        <v>#NAME?</v>
      </c>
      <c r="CB230" s="2" t="e">
        <f ca="1"/>
        <v>#NAME?</v>
      </c>
      <c r="CC230" s="2" t="e">
        <f t="shared" ca="1" si="180"/>
        <v>#NAME?</v>
      </c>
      <c r="CD230" s="2" t="e">
        <f ca="1"/>
        <v>#NAME?</v>
      </c>
      <c r="CE230" s="2" t="e">
        <f t="shared" ca="1" si="181"/>
        <v>#NAME?</v>
      </c>
      <c r="CF230" s="2" t="e">
        <f ca="1"/>
        <v>#NAME?</v>
      </c>
      <c r="CG230" s="2" t="e">
        <f t="shared" ca="1" si="182"/>
        <v>#NAME?</v>
      </c>
      <c r="CH230" s="2" t="e">
        <f ca="1"/>
        <v>#NAME?</v>
      </c>
      <c r="CI230" s="2" t="e">
        <f t="shared" ca="1" si="183"/>
        <v>#NAME?</v>
      </c>
      <c r="CJ230" s="2" t="e">
        <f ca="1"/>
        <v>#NAME?</v>
      </c>
      <c r="CK230" s="2" t="e">
        <f t="shared" ca="1" si="184"/>
        <v>#NAME?</v>
      </c>
      <c r="CL230" s="2" t="e">
        <f ca="1"/>
        <v>#NAME?</v>
      </c>
      <c r="CM230" s="2" t="e">
        <f t="shared" ca="1" si="185"/>
        <v>#NAME?</v>
      </c>
      <c r="CN230" s="2" t="e">
        <f ca="1"/>
        <v>#NAME?</v>
      </c>
      <c r="CO230" s="2" t="e">
        <f t="shared" ca="1" si="186"/>
        <v>#NAME?</v>
      </c>
      <c r="CP230" s="2" t="e">
        <f ca="1"/>
        <v>#NAME?</v>
      </c>
      <c r="CQ230" s="2" t="e">
        <f t="shared" ca="1" si="187"/>
        <v>#NAME?</v>
      </c>
    </row>
    <row r="231" spans="1:95">
      <c r="A231" s="7" t="e">
        <f ca="1"/>
        <v>#NAME?</v>
      </c>
      <c r="B231" s="2" t="e">
        <f ca="1"/>
        <v>#NAME?</v>
      </c>
      <c r="C231" s="2" t="e">
        <f t="shared" ca="1" si="141"/>
        <v>#NAME?</v>
      </c>
      <c r="D231" s="2" t="e">
        <f ca="1"/>
        <v>#NAME?</v>
      </c>
      <c r="E231" s="2" t="e">
        <f t="shared" ca="1" si="142"/>
        <v>#NAME?</v>
      </c>
      <c r="F231" s="2" t="e">
        <f ca="1"/>
        <v>#NAME?</v>
      </c>
      <c r="G231" s="2" t="e">
        <f t="shared" ca="1" si="143"/>
        <v>#NAME?</v>
      </c>
      <c r="H231" s="2" t="e">
        <f ca="1"/>
        <v>#NAME?</v>
      </c>
      <c r="I231" s="2" t="e">
        <f t="shared" ca="1" si="144"/>
        <v>#NAME?</v>
      </c>
      <c r="J231" s="2" t="e">
        <f ca="1"/>
        <v>#NAME?</v>
      </c>
      <c r="K231" s="2" t="e">
        <f t="shared" ca="1" si="145"/>
        <v>#NAME?</v>
      </c>
      <c r="L231" s="2" t="e">
        <f ca="1"/>
        <v>#NAME?</v>
      </c>
      <c r="M231" s="2" t="e">
        <f t="shared" ca="1" si="146"/>
        <v>#NAME?</v>
      </c>
      <c r="N231" s="2" t="e">
        <f ca="1"/>
        <v>#NAME?</v>
      </c>
      <c r="O231" s="2" t="e">
        <f t="shared" ca="1" si="147"/>
        <v>#NAME?</v>
      </c>
      <c r="P231" s="2" t="e">
        <f ca="1"/>
        <v>#NAME?</v>
      </c>
      <c r="Q231" s="2" t="e">
        <f t="shared" ca="1" si="148"/>
        <v>#NAME?</v>
      </c>
      <c r="R231" s="2" t="e">
        <f ca="1"/>
        <v>#NAME?</v>
      </c>
      <c r="S231" s="2" t="e">
        <f t="shared" ca="1" si="149"/>
        <v>#NAME?</v>
      </c>
      <c r="T231" s="2" t="e">
        <f ca="1"/>
        <v>#NAME?</v>
      </c>
      <c r="U231" s="2" t="e">
        <f t="shared" ca="1" si="150"/>
        <v>#NAME?</v>
      </c>
      <c r="V231" s="2" t="e">
        <f ca="1"/>
        <v>#NAME?</v>
      </c>
      <c r="W231" s="2" t="e">
        <f t="shared" ca="1" si="151"/>
        <v>#NAME?</v>
      </c>
      <c r="X231" s="2" t="e">
        <f ca="1"/>
        <v>#NAME?</v>
      </c>
      <c r="Y231" s="2" t="e">
        <f t="shared" ca="1" si="152"/>
        <v>#NAME?</v>
      </c>
      <c r="Z231" s="2" t="e">
        <f ca="1"/>
        <v>#NAME?</v>
      </c>
      <c r="AA231" s="2" t="e">
        <f t="shared" ca="1" si="153"/>
        <v>#NAME?</v>
      </c>
      <c r="AB231" s="2" t="e">
        <f ca="1"/>
        <v>#NAME?</v>
      </c>
      <c r="AC231" s="2" t="e">
        <f t="shared" ca="1" si="154"/>
        <v>#NAME?</v>
      </c>
      <c r="AD231" s="2" t="e">
        <f ca="1"/>
        <v>#NAME?</v>
      </c>
      <c r="AE231" s="2" t="e">
        <f t="shared" ca="1" si="155"/>
        <v>#NAME?</v>
      </c>
      <c r="AF231" s="2" t="e">
        <f ca="1"/>
        <v>#NAME?</v>
      </c>
      <c r="AG231" s="2" t="e">
        <f t="shared" ca="1" si="156"/>
        <v>#NAME?</v>
      </c>
      <c r="AH231" s="2" t="e">
        <f ca="1"/>
        <v>#NAME?</v>
      </c>
      <c r="AI231" s="2" t="e">
        <f t="shared" ca="1" si="157"/>
        <v>#NAME?</v>
      </c>
      <c r="AJ231" s="2" t="e">
        <f ca="1"/>
        <v>#NAME?</v>
      </c>
      <c r="AK231" s="2" t="e">
        <f t="shared" ca="1" si="158"/>
        <v>#NAME?</v>
      </c>
      <c r="AL231" s="2" t="e">
        <f ca="1"/>
        <v>#NAME?</v>
      </c>
      <c r="AM231" s="2" t="e">
        <f t="shared" ca="1" si="159"/>
        <v>#NAME?</v>
      </c>
      <c r="AN231" s="2" t="e">
        <f ca="1"/>
        <v>#NAME?</v>
      </c>
      <c r="AO231" s="2" t="e">
        <f t="shared" ca="1" si="160"/>
        <v>#NAME?</v>
      </c>
      <c r="AP231" s="2" t="e">
        <f ca="1"/>
        <v>#NAME?</v>
      </c>
      <c r="AQ231" s="2" t="e">
        <f t="shared" ca="1" si="161"/>
        <v>#NAME?</v>
      </c>
      <c r="AR231" s="2" t="e">
        <f ca="1"/>
        <v>#NAME?</v>
      </c>
      <c r="AS231" s="2" t="e">
        <f t="shared" ca="1" si="162"/>
        <v>#NAME?</v>
      </c>
      <c r="AT231" s="2" t="e">
        <f ca="1"/>
        <v>#NAME?</v>
      </c>
      <c r="AU231" s="2" t="e">
        <f t="shared" ca="1" si="163"/>
        <v>#NAME?</v>
      </c>
      <c r="AV231" s="2" t="e">
        <f ca="1"/>
        <v>#NAME?</v>
      </c>
      <c r="AW231" s="2" t="e">
        <f t="shared" ca="1" si="164"/>
        <v>#NAME?</v>
      </c>
      <c r="AX231" s="2" t="e">
        <f ca="1"/>
        <v>#NAME?</v>
      </c>
      <c r="AY231" s="2" t="e">
        <f t="shared" ca="1" si="165"/>
        <v>#NAME?</v>
      </c>
      <c r="AZ231" s="2" t="e">
        <f ca="1"/>
        <v>#NAME?</v>
      </c>
      <c r="BA231" s="2" t="e">
        <f t="shared" ca="1" si="166"/>
        <v>#NAME?</v>
      </c>
      <c r="BB231" s="2" t="e">
        <f ca="1"/>
        <v>#NAME?</v>
      </c>
      <c r="BC231" s="2" t="e">
        <f t="shared" ca="1" si="167"/>
        <v>#NAME?</v>
      </c>
      <c r="BD231" s="2" t="e">
        <f ca="1"/>
        <v>#NAME?</v>
      </c>
      <c r="BE231" s="2" t="e">
        <f t="shared" ca="1" si="168"/>
        <v>#NAME?</v>
      </c>
      <c r="BF231" s="2" t="e">
        <f ca="1"/>
        <v>#NAME?</v>
      </c>
      <c r="BG231" s="2" t="e">
        <f t="shared" ca="1" si="169"/>
        <v>#NAME?</v>
      </c>
      <c r="BH231" s="2" t="e">
        <f ca="1"/>
        <v>#NAME?</v>
      </c>
      <c r="BI231" s="2" t="e">
        <f t="shared" ca="1" si="170"/>
        <v>#NAME?</v>
      </c>
      <c r="BJ231" s="2" t="e">
        <f ca="1"/>
        <v>#NAME?</v>
      </c>
      <c r="BK231" s="2" t="e">
        <f t="shared" ca="1" si="171"/>
        <v>#NAME?</v>
      </c>
      <c r="BL231" s="2" t="e">
        <f ca="1"/>
        <v>#NAME?</v>
      </c>
      <c r="BM231" s="2" t="e">
        <f t="shared" ca="1" si="172"/>
        <v>#NAME?</v>
      </c>
      <c r="BN231" s="2" t="e">
        <f ca="1"/>
        <v>#NAME?</v>
      </c>
      <c r="BO231" s="2" t="e">
        <f t="shared" ca="1" si="173"/>
        <v>#NAME?</v>
      </c>
      <c r="BP231" s="2" t="e">
        <f ca="1"/>
        <v>#NAME?</v>
      </c>
      <c r="BQ231" s="2" t="e">
        <f t="shared" ca="1" si="174"/>
        <v>#NAME?</v>
      </c>
      <c r="BR231" s="2" t="e">
        <f ca="1"/>
        <v>#NAME?</v>
      </c>
      <c r="BS231" s="2" t="e">
        <f t="shared" ca="1" si="175"/>
        <v>#NAME?</v>
      </c>
      <c r="BT231" s="2" t="e">
        <f ca="1"/>
        <v>#NAME?</v>
      </c>
      <c r="BU231" s="2" t="e">
        <f t="shared" ca="1" si="176"/>
        <v>#NAME?</v>
      </c>
      <c r="BV231" s="2" t="e">
        <f ca="1"/>
        <v>#NAME?</v>
      </c>
      <c r="BW231" s="2" t="e">
        <f t="shared" ca="1" si="177"/>
        <v>#NAME?</v>
      </c>
      <c r="BX231" s="2" t="e">
        <f ca="1"/>
        <v>#NAME?</v>
      </c>
      <c r="BY231" s="2" t="e">
        <f t="shared" ca="1" si="178"/>
        <v>#NAME?</v>
      </c>
      <c r="BZ231" s="2" t="e">
        <f ca="1"/>
        <v>#NAME?</v>
      </c>
      <c r="CA231" s="2" t="e">
        <f t="shared" ca="1" si="179"/>
        <v>#NAME?</v>
      </c>
      <c r="CB231" s="2" t="e">
        <f ca="1"/>
        <v>#NAME?</v>
      </c>
      <c r="CC231" s="2" t="e">
        <f t="shared" ca="1" si="180"/>
        <v>#NAME?</v>
      </c>
      <c r="CD231" s="2" t="e">
        <f ca="1"/>
        <v>#NAME?</v>
      </c>
      <c r="CE231" s="2" t="e">
        <f t="shared" ca="1" si="181"/>
        <v>#NAME?</v>
      </c>
      <c r="CF231" s="2" t="e">
        <f ca="1"/>
        <v>#NAME?</v>
      </c>
      <c r="CG231" s="2" t="e">
        <f t="shared" ca="1" si="182"/>
        <v>#NAME?</v>
      </c>
      <c r="CH231" s="2" t="e">
        <f ca="1"/>
        <v>#NAME?</v>
      </c>
      <c r="CI231" s="2" t="e">
        <f t="shared" ca="1" si="183"/>
        <v>#NAME?</v>
      </c>
      <c r="CJ231" s="2" t="e">
        <f ca="1"/>
        <v>#NAME?</v>
      </c>
      <c r="CK231" s="2" t="e">
        <f t="shared" ca="1" si="184"/>
        <v>#NAME?</v>
      </c>
      <c r="CL231" s="2" t="e">
        <f ca="1"/>
        <v>#NAME?</v>
      </c>
      <c r="CM231" s="2" t="e">
        <f t="shared" ca="1" si="185"/>
        <v>#NAME?</v>
      </c>
      <c r="CN231" s="2" t="e">
        <f ca="1"/>
        <v>#NAME?</v>
      </c>
      <c r="CO231" s="2" t="e">
        <f t="shared" ca="1" si="186"/>
        <v>#NAME?</v>
      </c>
      <c r="CP231" s="2" t="e">
        <f ca="1"/>
        <v>#NAME?</v>
      </c>
      <c r="CQ231" s="2" t="e">
        <f t="shared" ca="1" si="187"/>
        <v>#NAME?</v>
      </c>
    </row>
    <row r="232" spans="1:95">
      <c r="A232" s="7" t="e">
        <f ca="1"/>
        <v>#NAME?</v>
      </c>
      <c r="B232" s="2" t="e">
        <f ca="1"/>
        <v>#NAME?</v>
      </c>
      <c r="C232" s="2" t="e">
        <f t="shared" ca="1" si="141"/>
        <v>#NAME?</v>
      </c>
      <c r="D232" s="2" t="e">
        <f ca="1"/>
        <v>#NAME?</v>
      </c>
      <c r="E232" s="2" t="e">
        <f t="shared" ca="1" si="142"/>
        <v>#NAME?</v>
      </c>
      <c r="F232" s="2" t="e">
        <f ca="1"/>
        <v>#NAME?</v>
      </c>
      <c r="G232" s="2" t="e">
        <f t="shared" ca="1" si="143"/>
        <v>#NAME?</v>
      </c>
      <c r="H232" s="2" t="e">
        <f ca="1"/>
        <v>#NAME?</v>
      </c>
      <c r="I232" s="2" t="e">
        <f t="shared" ca="1" si="144"/>
        <v>#NAME?</v>
      </c>
      <c r="J232" s="2" t="e">
        <f ca="1"/>
        <v>#NAME?</v>
      </c>
      <c r="K232" s="2" t="e">
        <f t="shared" ca="1" si="145"/>
        <v>#NAME?</v>
      </c>
      <c r="L232" s="2" t="e">
        <f ca="1"/>
        <v>#NAME?</v>
      </c>
      <c r="M232" s="2" t="e">
        <f t="shared" ca="1" si="146"/>
        <v>#NAME?</v>
      </c>
      <c r="N232" s="2" t="e">
        <f ca="1"/>
        <v>#NAME?</v>
      </c>
      <c r="O232" s="2" t="e">
        <f t="shared" ca="1" si="147"/>
        <v>#NAME?</v>
      </c>
      <c r="P232" s="2" t="e">
        <f ca="1"/>
        <v>#NAME?</v>
      </c>
      <c r="Q232" s="2" t="e">
        <f t="shared" ca="1" si="148"/>
        <v>#NAME?</v>
      </c>
      <c r="R232" s="2" t="e">
        <f ca="1"/>
        <v>#NAME?</v>
      </c>
      <c r="S232" s="2" t="e">
        <f t="shared" ca="1" si="149"/>
        <v>#NAME?</v>
      </c>
      <c r="T232" s="2" t="e">
        <f ca="1"/>
        <v>#NAME?</v>
      </c>
      <c r="U232" s="2" t="e">
        <f t="shared" ca="1" si="150"/>
        <v>#NAME?</v>
      </c>
      <c r="V232" s="2" t="e">
        <f ca="1"/>
        <v>#NAME?</v>
      </c>
      <c r="W232" s="2" t="e">
        <f t="shared" ca="1" si="151"/>
        <v>#NAME?</v>
      </c>
      <c r="X232" s="2" t="e">
        <f ca="1"/>
        <v>#NAME?</v>
      </c>
      <c r="Y232" s="2" t="e">
        <f t="shared" ca="1" si="152"/>
        <v>#NAME?</v>
      </c>
      <c r="Z232" s="2" t="e">
        <f ca="1"/>
        <v>#NAME?</v>
      </c>
      <c r="AA232" s="2" t="e">
        <f t="shared" ca="1" si="153"/>
        <v>#NAME?</v>
      </c>
      <c r="AB232" s="2" t="e">
        <f ca="1"/>
        <v>#NAME?</v>
      </c>
      <c r="AC232" s="2" t="e">
        <f t="shared" ca="1" si="154"/>
        <v>#NAME?</v>
      </c>
      <c r="AD232" s="2" t="e">
        <f ca="1"/>
        <v>#NAME?</v>
      </c>
      <c r="AE232" s="2" t="e">
        <f t="shared" ca="1" si="155"/>
        <v>#NAME?</v>
      </c>
      <c r="AF232" s="2" t="e">
        <f ca="1"/>
        <v>#NAME?</v>
      </c>
      <c r="AG232" s="2" t="e">
        <f t="shared" ca="1" si="156"/>
        <v>#NAME?</v>
      </c>
      <c r="AH232" s="2" t="e">
        <f ca="1"/>
        <v>#NAME?</v>
      </c>
      <c r="AI232" s="2" t="e">
        <f t="shared" ca="1" si="157"/>
        <v>#NAME?</v>
      </c>
      <c r="AJ232" s="2" t="e">
        <f ca="1"/>
        <v>#NAME?</v>
      </c>
      <c r="AK232" s="2" t="e">
        <f t="shared" ca="1" si="158"/>
        <v>#NAME?</v>
      </c>
      <c r="AL232" s="2" t="e">
        <f ca="1"/>
        <v>#NAME?</v>
      </c>
      <c r="AM232" s="2" t="e">
        <f t="shared" ca="1" si="159"/>
        <v>#NAME?</v>
      </c>
      <c r="AN232" s="2" t="e">
        <f ca="1"/>
        <v>#NAME?</v>
      </c>
      <c r="AO232" s="2" t="e">
        <f t="shared" ca="1" si="160"/>
        <v>#NAME?</v>
      </c>
      <c r="AP232" s="2" t="e">
        <f ca="1"/>
        <v>#NAME?</v>
      </c>
      <c r="AQ232" s="2" t="e">
        <f t="shared" ca="1" si="161"/>
        <v>#NAME?</v>
      </c>
      <c r="AR232" s="2" t="e">
        <f ca="1"/>
        <v>#NAME?</v>
      </c>
      <c r="AS232" s="2" t="e">
        <f t="shared" ca="1" si="162"/>
        <v>#NAME?</v>
      </c>
      <c r="AT232" s="2" t="e">
        <f ca="1"/>
        <v>#NAME?</v>
      </c>
      <c r="AU232" s="2" t="e">
        <f t="shared" ca="1" si="163"/>
        <v>#NAME?</v>
      </c>
      <c r="AV232" s="2" t="e">
        <f ca="1"/>
        <v>#NAME?</v>
      </c>
      <c r="AW232" s="2" t="e">
        <f t="shared" ca="1" si="164"/>
        <v>#NAME?</v>
      </c>
      <c r="AX232" s="2" t="e">
        <f ca="1"/>
        <v>#NAME?</v>
      </c>
      <c r="AY232" s="2" t="e">
        <f t="shared" ca="1" si="165"/>
        <v>#NAME?</v>
      </c>
      <c r="AZ232" s="2" t="e">
        <f ca="1"/>
        <v>#NAME?</v>
      </c>
      <c r="BA232" s="2" t="e">
        <f t="shared" ca="1" si="166"/>
        <v>#NAME?</v>
      </c>
      <c r="BB232" s="2" t="e">
        <f ca="1"/>
        <v>#NAME?</v>
      </c>
      <c r="BC232" s="2" t="e">
        <f t="shared" ca="1" si="167"/>
        <v>#NAME?</v>
      </c>
      <c r="BD232" s="2" t="e">
        <f ca="1"/>
        <v>#NAME?</v>
      </c>
      <c r="BE232" s="2" t="e">
        <f t="shared" ca="1" si="168"/>
        <v>#NAME?</v>
      </c>
      <c r="BF232" s="2" t="e">
        <f ca="1"/>
        <v>#NAME?</v>
      </c>
      <c r="BG232" s="2" t="e">
        <f t="shared" ca="1" si="169"/>
        <v>#NAME?</v>
      </c>
      <c r="BH232" s="2" t="e">
        <f ca="1"/>
        <v>#NAME?</v>
      </c>
      <c r="BI232" s="2" t="e">
        <f t="shared" ca="1" si="170"/>
        <v>#NAME?</v>
      </c>
      <c r="BJ232" s="2" t="e">
        <f ca="1"/>
        <v>#NAME?</v>
      </c>
      <c r="BK232" s="2" t="e">
        <f t="shared" ca="1" si="171"/>
        <v>#NAME?</v>
      </c>
      <c r="BL232" s="2" t="e">
        <f ca="1"/>
        <v>#NAME?</v>
      </c>
      <c r="BM232" s="2" t="e">
        <f t="shared" ca="1" si="172"/>
        <v>#NAME?</v>
      </c>
      <c r="BN232" s="2" t="e">
        <f ca="1"/>
        <v>#NAME?</v>
      </c>
      <c r="BO232" s="2" t="e">
        <f t="shared" ca="1" si="173"/>
        <v>#NAME?</v>
      </c>
      <c r="BP232" s="2" t="e">
        <f ca="1"/>
        <v>#NAME?</v>
      </c>
      <c r="BQ232" s="2" t="e">
        <f t="shared" ca="1" si="174"/>
        <v>#NAME?</v>
      </c>
      <c r="BR232" s="2" t="e">
        <f ca="1"/>
        <v>#NAME?</v>
      </c>
      <c r="BS232" s="2" t="e">
        <f t="shared" ca="1" si="175"/>
        <v>#NAME?</v>
      </c>
      <c r="BT232" s="2" t="e">
        <f ca="1"/>
        <v>#NAME?</v>
      </c>
      <c r="BU232" s="2" t="e">
        <f t="shared" ca="1" si="176"/>
        <v>#NAME?</v>
      </c>
      <c r="BV232" s="2" t="e">
        <f ca="1"/>
        <v>#NAME?</v>
      </c>
      <c r="BW232" s="2" t="e">
        <f t="shared" ca="1" si="177"/>
        <v>#NAME?</v>
      </c>
      <c r="BX232" s="2" t="e">
        <f ca="1"/>
        <v>#NAME?</v>
      </c>
      <c r="BY232" s="2" t="e">
        <f t="shared" ca="1" si="178"/>
        <v>#NAME?</v>
      </c>
      <c r="BZ232" s="2" t="e">
        <f ca="1"/>
        <v>#NAME?</v>
      </c>
      <c r="CA232" s="2" t="e">
        <f t="shared" ca="1" si="179"/>
        <v>#NAME?</v>
      </c>
      <c r="CB232" s="2" t="e">
        <f ca="1"/>
        <v>#NAME?</v>
      </c>
      <c r="CC232" s="2" t="e">
        <f t="shared" ca="1" si="180"/>
        <v>#NAME?</v>
      </c>
      <c r="CD232" s="2" t="e">
        <f ca="1"/>
        <v>#NAME?</v>
      </c>
      <c r="CE232" s="2" t="e">
        <f t="shared" ca="1" si="181"/>
        <v>#NAME?</v>
      </c>
      <c r="CF232" s="2" t="e">
        <f ca="1"/>
        <v>#NAME?</v>
      </c>
      <c r="CG232" s="2" t="e">
        <f t="shared" ca="1" si="182"/>
        <v>#NAME?</v>
      </c>
      <c r="CH232" s="2" t="e">
        <f ca="1"/>
        <v>#NAME?</v>
      </c>
      <c r="CI232" s="2" t="e">
        <f t="shared" ca="1" si="183"/>
        <v>#NAME?</v>
      </c>
      <c r="CJ232" s="2" t="e">
        <f ca="1"/>
        <v>#NAME?</v>
      </c>
      <c r="CK232" s="2" t="e">
        <f t="shared" ca="1" si="184"/>
        <v>#NAME?</v>
      </c>
      <c r="CL232" s="2" t="e">
        <f ca="1"/>
        <v>#NAME?</v>
      </c>
      <c r="CM232" s="2" t="e">
        <f t="shared" ca="1" si="185"/>
        <v>#NAME?</v>
      </c>
      <c r="CN232" s="2" t="e">
        <f ca="1"/>
        <v>#NAME?</v>
      </c>
      <c r="CO232" s="2" t="e">
        <f t="shared" ca="1" si="186"/>
        <v>#NAME?</v>
      </c>
      <c r="CP232" s="2" t="e">
        <f ca="1"/>
        <v>#NAME?</v>
      </c>
      <c r="CQ232" s="2" t="e">
        <f t="shared" ca="1" si="187"/>
        <v>#NAME?</v>
      </c>
    </row>
    <row r="233" spans="1:95">
      <c r="A233" s="7" t="e">
        <f ca="1"/>
        <v>#NAME?</v>
      </c>
      <c r="B233" s="2" t="e">
        <f ca="1"/>
        <v>#NAME?</v>
      </c>
      <c r="C233" s="2" t="e">
        <f t="shared" ca="1" si="141"/>
        <v>#NAME?</v>
      </c>
      <c r="D233" s="2" t="e">
        <f ca="1"/>
        <v>#NAME?</v>
      </c>
      <c r="E233" s="2" t="e">
        <f t="shared" ca="1" si="142"/>
        <v>#NAME?</v>
      </c>
      <c r="F233" s="2" t="e">
        <f ca="1"/>
        <v>#NAME?</v>
      </c>
      <c r="G233" s="2" t="e">
        <f t="shared" ca="1" si="143"/>
        <v>#NAME?</v>
      </c>
      <c r="H233" s="2" t="e">
        <f ca="1"/>
        <v>#NAME?</v>
      </c>
      <c r="I233" s="2" t="e">
        <f t="shared" ca="1" si="144"/>
        <v>#NAME?</v>
      </c>
      <c r="J233" s="2" t="e">
        <f ca="1"/>
        <v>#NAME?</v>
      </c>
      <c r="K233" s="2" t="e">
        <f t="shared" ca="1" si="145"/>
        <v>#NAME?</v>
      </c>
      <c r="L233" s="2" t="e">
        <f ca="1"/>
        <v>#NAME?</v>
      </c>
      <c r="M233" s="2" t="e">
        <f t="shared" ca="1" si="146"/>
        <v>#NAME?</v>
      </c>
      <c r="N233" s="2" t="e">
        <f ca="1"/>
        <v>#NAME?</v>
      </c>
      <c r="O233" s="2" t="e">
        <f t="shared" ca="1" si="147"/>
        <v>#NAME?</v>
      </c>
      <c r="P233" s="2" t="e">
        <f ca="1"/>
        <v>#NAME?</v>
      </c>
      <c r="Q233" s="2" t="e">
        <f t="shared" ca="1" si="148"/>
        <v>#NAME?</v>
      </c>
      <c r="R233" s="2" t="e">
        <f ca="1"/>
        <v>#NAME?</v>
      </c>
      <c r="S233" s="2" t="e">
        <f t="shared" ca="1" si="149"/>
        <v>#NAME?</v>
      </c>
      <c r="T233" s="2" t="e">
        <f ca="1"/>
        <v>#NAME?</v>
      </c>
      <c r="U233" s="2" t="e">
        <f t="shared" ca="1" si="150"/>
        <v>#NAME?</v>
      </c>
      <c r="V233" s="2" t="e">
        <f ca="1"/>
        <v>#NAME?</v>
      </c>
      <c r="W233" s="2" t="e">
        <f t="shared" ca="1" si="151"/>
        <v>#NAME?</v>
      </c>
      <c r="X233" s="2" t="e">
        <f ca="1"/>
        <v>#NAME?</v>
      </c>
      <c r="Y233" s="2" t="e">
        <f t="shared" ca="1" si="152"/>
        <v>#NAME?</v>
      </c>
      <c r="Z233" s="2" t="e">
        <f ca="1"/>
        <v>#NAME?</v>
      </c>
      <c r="AA233" s="2" t="e">
        <f t="shared" ca="1" si="153"/>
        <v>#NAME?</v>
      </c>
      <c r="AB233" s="2" t="e">
        <f ca="1"/>
        <v>#NAME?</v>
      </c>
      <c r="AC233" s="2" t="e">
        <f t="shared" ca="1" si="154"/>
        <v>#NAME?</v>
      </c>
      <c r="AD233" s="2" t="e">
        <f ca="1"/>
        <v>#NAME?</v>
      </c>
      <c r="AE233" s="2" t="e">
        <f t="shared" ca="1" si="155"/>
        <v>#NAME?</v>
      </c>
      <c r="AF233" s="2" t="e">
        <f ca="1"/>
        <v>#NAME?</v>
      </c>
      <c r="AG233" s="2" t="e">
        <f t="shared" ca="1" si="156"/>
        <v>#NAME?</v>
      </c>
      <c r="AH233" s="2" t="e">
        <f ca="1"/>
        <v>#NAME?</v>
      </c>
      <c r="AI233" s="2" t="e">
        <f t="shared" ca="1" si="157"/>
        <v>#NAME?</v>
      </c>
      <c r="AJ233" s="2" t="e">
        <f ca="1"/>
        <v>#NAME?</v>
      </c>
      <c r="AK233" s="2" t="e">
        <f t="shared" ca="1" si="158"/>
        <v>#NAME?</v>
      </c>
      <c r="AL233" s="2" t="e">
        <f ca="1"/>
        <v>#NAME?</v>
      </c>
      <c r="AM233" s="2" t="e">
        <f t="shared" ca="1" si="159"/>
        <v>#NAME?</v>
      </c>
      <c r="AN233" s="2" t="e">
        <f ca="1"/>
        <v>#NAME?</v>
      </c>
      <c r="AO233" s="2" t="e">
        <f t="shared" ca="1" si="160"/>
        <v>#NAME?</v>
      </c>
      <c r="AP233" s="2" t="e">
        <f ca="1"/>
        <v>#NAME?</v>
      </c>
      <c r="AQ233" s="2" t="e">
        <f t="shared" ca="1" si="161"/>
        <v>#NAME?</v>
      </c>
      <c r="AR233" s="2" t="e">
        <f ca="1"/>
        <v>#NAME?</v>
      </c>
      <c r="AS233" s="2" t="e">
        <f t="shared" ca="1" si="162"/>
        <v>#NAME?</v>
      </c>
      <c r="AT233" s="2" t="e">
        <f ca="1"/>
        <v>#NAME?</v>
      </c>
      <c r="AU233" s="2" t="e">
        <f t="shared" ca="1" si="163"/>
        <v>#NAME?</v>
      </c>
      <c r="AV233" s="2" t="e">
        <f ca="1"/>
        <v>#NAME?</v>
      </c>
      <c r="AW233" s="2" t="e">
        <f t="shared" ca="1" si="164"/>
        <v>#NAME?</v>
      </c>
      <c r="AX233" s="2" t="e">
        <f ca="1"/>
        <v>#NAME?</v>
      </c>
      <c r="AY233" s="2" t="e">
        <f t="shared" ca="1" si="165"/>
        <v>#NAME?</v>
      </c>
      <c r="AZ233" s="2" t="e">
        <f ca="1"/>
        <v>#NAME?</v>
      </c>
      <c r="BA233" s="2" t="e">
        <f t="shared" ca="1" si="166"/>
        <v>#NAME?</v>
      </c>
      <c r="BB233" s="2" t="e">
        <f ca="1"/>
        <v>#NAME?</v>
      </c>
      <c r="BC233" s="2" t="e">
        <f t="shared" ca="1" si="167"/>
        <v>#NAME?</v>
      </c>
      <c r="BD233" s="2" t="e">
        <f ca="1"/>
        <v>#NAME?</v>
      </c>
      <c r="BE233" s="2" t="e">
        <f t="shared" ca="1" si="168"/>
        <v>#NAME?</v>
      </c>
      <c r="BF233" s="2" t="e">
        <f ca="1"/>
        <v>#NAME?</v>
      </c>
      <c r="BG233" s="2" t="e">
        <f t="shared" ca="1" si="169"/>
        <v>#NAME?</v>
      </c>
      <c r="BH233" s="2" t="e">
        <f ca="1"/>
        <v>#NAME?</v>
      </c>
      <c r="BI233" s="2" t="e">
        <f t="shared" ca="1" si="170"/>
        <v>#NAME?</v>
      </c>
      <c r="BJ233" s="2" t="e">
        <f ca="1"/>
        <v>#NAME?</v>
      </c>
      <c r="BK233" s="2" t="e">
        <f t="shared" ca="1" si="171"/>
        <v>#NAME?</v>
      </c>
      <c r="BL233" s="2" t="e">
        <f ca="1"/>
        <v>#NAME?</v>
      </c>
      <c r="BM233" s="2" t="e">
        <f t="shared" ca="1" si="172"/>
        <v>#NAME?</v>
      </c>
      <c r="BN233" s="2" t="e">
        <f ca="1"/>
        <v>#NAME?</v>
      </c>
      <c r="BO233" s="2" t="e">
        <f t="shared" ca="1" si="173"/>
        <v>#NAME?</v>
      </c>
      <c r="BP233" s="2" t="e">
        <f ca="1"/>
        <v>#NAME?</v>
      </c>
      <c r="BQ233" s="2" t="e">
        <f t="shared" ca="1" si="174"/>
        <v>#NAME?</v>
      </c>
      <c r="BR233" s="2" t="e">
        <f ca="1"/>
        <v>#NAME?</v>
      </c>
      <c r="BS233" s="2" t="e">
        <f t="shared" ca="1" si="175"/>
        <v>#NAME?</v>
      </c>
      <c r="BT233" s="2" t="e">
        <f ca="1"/>
        <v>#NAME?</v>
      </c>
      <c r="BU233" s="2" t="e">
        <f t="shared" ca="1" si="176"/>
        <v>#NAME?</v>
      </c>
      <c r="BV233" s="2" t="e">
        <f ca="1"/>
        <v>#NAME?</v>
      </c>
      <c r="BW233" s="2" t="e">
        <f t="shared" ca="1" si="177"/>
        <v>#NAME?</v>
      </c>
      <c r="BX233" s="2" t="e">
        <f ca="1"/>
        <v>#NAME?</v>
      </c>
      <c r="BY233" s="2" t="e">
        <f t="shared" ca="1" si="178"/>
        <v>#NAME?</v>
      </c>
      <c r="BZ233" s="2" t="e">
        <f ca="1"/>
        <v>#NAME?</v>
      </c>
      <c r="CA233" s="2" t="e">
        <f t="shared" ca="1" si="179"/>
        <v>#NAME?</v>
      </c>
      <c r="CB233" s="2" t="e">
        <f ca="1"/>
        <v>#NAME?</v>
      </c>
      <c r="CC233" s="2" t="e">
        <f t="shared" ca="1" si="180"/>
        <v>#NAME?</v>
      </c>
      <c r="CD233" s="2" t="e">
        <f ca="1"/>
        <v>#NAME?</v>
      </c>
      <c r="CE233" s="2" t="e">
        <f t="shared" ca="1" si="181"/>
        <v>#NAME?</v>
      </c>
      <c r="CF233" s="2" t="e">
        <f ca="1"/>
        <v>#NAME?</v>
      </c>
      <c r="CG233" s="2" t="e">
        <f t="shared" ca="1" si="182"/>
        <v>#NAME?</v>
      </c>
      <c r="CH233" s="2" t="e">
        <f ca="1"/>
        <v>#NAME?</v>
      </c>
      <c r="CI233" s="2" t="e">
        <f t="shared" ca="1" si="183"/>
        <v>#NAME?</v>
      </c>
      <c r="CJ233" s="2" t="e">
        <f ca="1"/>
        <v>#NAME?</v>
      </c>
      <c r="CK233" s="2" t="e">
        <f t="shared" ca="1" si="184"/>
        <v>#NAME?</v>
      </c>
      <c r="CL233" s="2" t="e">
        <f ca="1"/>
        <v>#NAME?</v>
      </c>
      <c r="CM233" s="2" t="e">
        <f t="shared" ca="1" si="185"/>
        <v>#NAME?</v>
      </c>
      <c r="CN233" s="2" t="e">
        <f ca="1"/>
        <v>#NAME?</v>
      </c>
      <c r="CO233" s="2" t="e">
        <f t="shared" ca="1" si="186"/>
        <v>#NAME?</v>
      </c>
      <c r="CP233" s="2" t="e">
        <f ca="1"/>
        <v>#NAME?</v>
      </c>
      <c r="CQ233" s="2" t="e">
        <f t="shared" ca="1" si="187"/>
        <v>#NAME?</v>
      </c>
    </row>
    <row r="234" spans="1:95">
      <c r="A234" s="7" t="e">
        <f ca="1"/>
        <v>#NAME?</v>
      </c>
      <c r="B234" s="2" t="e">
        <f ca="1"/>
        <v>#NAME?</v>
      </c>
      <c r="C234" s="2" t="e">
        <f t="shared" ca="1" si="141"/>
        <v>#NAME?</v>
      </c>
      <c r="D234" s="2" t="e">
        <f ca="1"/>
        <v>#NAME?</v>
      </c>
      <c r="E234" s="2" t="e">
        <f t="shared" ca="1" si="142"/>
        <v>#NAME?</v>
      </c>
      <c r="F234" s="2" t="e">
        <f ca="1"/>
        <v>#NAME?</v>
      </c>
      <c r="G234" s="2" t="e">
        <f t="shared" ca="1" si="143"/>
        <v>#NAME?</v>
      </c>
      <c r="H234" s="2" t="e">
        <f ca="1"/>
        <v>#NAME?</v>
      </c>
      <c r="I234" s="2" t="e">
        <f t="shared" ca="1" si="144"/>
        <v>#NAME?</v>
      </c>
      <c r="J234" s="2" t="e">
        <f ca="1"/>
        <v>#NAME?</v>
      </c>
      <c r="K234" s="2" t="e">
        <f t="shared" ca="1" si="145"/>
        <v>#NAME?</v>
      </c>
      <c r="L234" s="2" t="e">
        <f ca="1"/>
        <v>#NAME?</v>
      </c>
      <c r="M234" s="2" t="e">
        <f t="shared" ca="1" si="146"/>
        <v>#NAME?</v>
      </c>
      <c r="N234" s="2" t="e">
        <f ca="1"/>
        <v>#NAME?</v>
      </c>
      <c r="O234" s="2" t="e">
        <f t="shared" ca="1" si="147"/>
        <v>#NAME?</v>
      </c>
      <c r="P234" s="2" t="e">
        <f ca="1"/>
        <v>#NAME?</v>
      </c>
      <c r="Q234" s="2" t="e">
        <f t="shared" ca="1" si="148"/>
        <v>#NAME?</v>
      </c>
      <c r="R234" s="2" t="e">
        <f ca="1"/>
        <v>#NAME?</v>
      </c>
      <c r="S234" s="2" t="e">
        <f t="shared" ca="1" si="149"/>
        <v>#NAME?</v>
      </c>
      <c r="T234" s="2" t="e">
        <f ca="1"/>
        <v>#NAME?</v>
      </c>
      <c r="U234" s="2" t="e">
        <f t="shared" ca="1" si="150"/>
        <v>#NAME?</v>
      </c>
      <c r="V234" s="2" t="e">
        <f ca="1"/>
        <v>#NAME?</v>
      </c>
      <c r="W234" s="2" t="e">
        <f t="shared" ca="1" si="151"/>
        <v>#NAME?</v>
      </c>
      <c r="X234" s="2" t="e">
        <f ca="1"/>
        <v>#NAME?</v>
      </c>
      <c r="Y234" s="2" t="e">
        <f t="shared" ca="1" si="152"/>
        <v>#NAME?</v>
      </c>
      <c r="Z234" s="2" t="e">
        <f ca="1"/>
        <v>#NAME?</v>
      </c>
      <c r="AA234" s="2" t="e">
        <f t="shared" ca="1" si="153"/>
        <v>#NAME?</v>
      </c>
      <c r="AB234" s="2" t="e">
        <f ca="1"/>
        <v>#NAME?</v>
      </c>
      <c r="AC234" s="2" t="e">
        <f t="shared" ca="1" si="154"/>
        <v>#NAME?</v>
      </c>
      <c r="AD234" s="2" t="e">
        <f ca="1"/>
        <v>#NAME?</v>
      </c>
      <c r="AE234" s="2" t="e">
        <f t="shared" ca="1" si="155"/>
        <v>#NAME?</v>
      </c>
      <c r="AF234" s="2" t="e">
        <f ca="1"/>
        <v>#NAME?</v>
      </c>
      <c r="AG234" s="2" t="e">
        <f t="shared" ca="1" si="156"/>
        <v>#NAME?</v>
      </c>
      <c r="AH234" s="2" t="e">
        <f ca="1"/>
        <v>#NAME?</v>
      </c>
      <c r="AI234" s="2" t="e">
        <f t="shared" ca="1" si="157"/>
        <v>#NAME?</v>
      </c>
      <c r="AJ234" s="2" t="e">
        <f ca="1"/>
        <v>#NAME?</v>
      </c>
      <c r="AK234" s="2" t="e">
        <f t="shared" ca="1" si="158"/>
        <v>#NAME?</v>
      </c>
      <c r="AL234" s="2" t="e">
        <f ca="1"/>
        <v>#NAME?</v>
      </c>
      <c r="AM234" s="2" t="e">
        <f t="shared" ca="1" si="159"/>
        <v>#NAME?</v>
      </c>
      <c r="AN234" s="2" t="e">
        <f ca="1"/>
        <v>#NAME?</v>
      </c>
      <c r="AO234" s="2" t="e">
        <f t="shared" ca="1" si="160"/>
        <v>#NAME?</v>
      </c>
      <c r="AP234" s="2" t="e">
        <f ca="1"/>
        <v>#NAME?</v>
      </c>
      <c r="AQ234" s="2" t="e">
        <f t="shared" ca="1" si="161"/>
        <v>#NAME?</v>
      </c>
      <c r="AR234" s="2" t="e">
        <f ca="1"/>
        <v>#NAME?</v>
      </c>
      <c r="AS234" s="2" t="e">
        <f t="shared" ca="1" si="162"/>
        <v>#NAME?</v>
      </c>
      <c r="AT234" s="2" t="e">
        <f ca="1"/>
        <v>#NAME?</v>
      </c>
      <c r="AU234" s="2" t="e">
        <f t="shared" ca="1" si="163"/>
        <v>#NAME?</v>
      </c>
      <c r="AV234" s="2" t="e">
        <f ca="1"/>
        <v>#NAME?</v>
      </c>
      <c r="AW234" s="2" t="e">
        <f t="shared" ca="1" si="164"/>
        <v>#NAME?</v>
      </c>
      <c r="AX234" s="2" t="e">
        <f ca="1"/>
        <v>#NAME?</v>
      </c>
      <c r="AY234" s="2" t="e">
        <f t="shared" ca="1" si="165"/>
        <v>#NAME?</v>
      </c>
      <c r="AZ234" s="2" t="e">
        <f ca="1"/>
        <v>#NAME?</v>
      </c>
      <c r="BA234" s="2" t="e">
        <f t="shared" ca="1" si="166"/>
        <v>#NAME?</v>
      </c>
      <c r="BB234" s="2" t="e">
        <f ca="1"/>
        <v>#NAME?</v>
      </c>
      <c r="BC234" s="2" t="e">
        <f t="shared" ca="1" si="167"/>
        <v>#NAME?</v>
      </c>
      <c r="BD234" s="2" t="e">
        <f ca="1"/>
        <v>#NAME?</v>
      </c>
      <c r="BE234" s="2" t="e">
        <f t="shared" ca="1" si="168"/>
        <v>#NAME?</v>
      </c>
      <c r="BF234" s="2" t="e">
        <f ca="1"/>
        <v>#NAME?</v>
      </c>
      <c r="BG234" s="2" t="e">
        <f t="shared" ca="1" si="169"/>
        <v>#NAME?</v>
      </c>
      <c r="BH234" s="2" t="e">
        <f ca="1"/>
        <v>#NAME?</v>
      </c>
      <c r="BI234" s="2" t="e">
        <f t="shared" ca="1" si="170"/>
        <v>#NAME?</v>
      </c>
      <c r="BJ234" s="2" t="e">
        <f ca="1"/>
        <v>#NAME?</v>
      </c>
      <c r="BK234" s="2" t="e">
        <f t="shared" ca="1" si="171"/>
        <v>#NAME?</v>
      </c>
      <c r="BL234" s="2" t="e">
        <f ca="1"/>
        <v>#NAME?</v>
      </c>
      <c r="BM234" s="2" t="e">
        <f t="shared" ca="1" si="172"/>
        <v>#NAME?</v>
      </c>
      <c r="BN234" s="2" t="e">
        <f ca="1"/>
        <v>#NAME?</v>
      </c>
      <c r="BO234" s="2" t="e">
        <f t="shared" ca="1" si="173"/>
        <v>#NAME?</v>
      </c>
      <c r="BP234" s="2" t="e">
        <f ca="1"/>
        <v>#NAME?</v>
      </c>
      <c r="BQ234" s="2" t="e">
        <f t="shared" ca="1" si="174"/>
        <v>#NAME?</v>
      </c>
      <c r="BR234" s="2" t="e">
        <f ca="1"/>
        <v>#NAME?</v>
      </c>
      <c r="BS234" s="2" t="e">
        <f t="shared" ca="1" si="175"/>
        <v>#NAME?</v>
      </c>
      <c r="BT234" s="2" t="e">
        <f ca="1"/>
        <v>#NAME?</v>
      </c>
      <c r="BU234" s="2" t="e">
        <f t="shared" ca="1" si="176"/>
        <v>#NAME?</v>
      </c>
      <c r="BV234" s="2" t="e">
        <f ca="1"/>
        <v>#NAME?</v>
      </c>
      <c r="BW234" s="2" t="e">
        <f t="shared" ca="1" si="177"/>
        <v>#NAME?</v>
      </c>
      <c r="BX234" s="2" t="e">
        <f ca="1"/>
        <v>#NAME?</v>
      </c>
      <c r="BY234" s="2" t="e">
        <f t="shared" ca="1" si="178"/>
        <v>#NAME?</v>
      </c>
      <c r="BZ234" s="2" t="e">
        <f ca="1"/>
        <v>#NAME?</v>
      </c>
      <c r="CA234" s="2" t="e">
        <f t="shared" ca="1" si="179"/>
        <v>#NAME?</v>
      </c>
      <c r="CB234" s="2" t="e">
        <f ca="1"/>
        <v>#NAME?</v>
      </c>
      <c r="CC234" s="2" t="e">
        <f t="shared" ca="1" si="180"/>
        <v>#NAME?</v>
      </c>
      <c r="CD234" s="2" t="e">
        <f ca="1"/>
        <v>#NAME?</v>
      </c>
      <c r="CE234" s="2" t="e">
        <f t="shared" ca="1" si="181"/>
        <v>#NAME?</v>
      </c>
      <c r="CF234" s="2" t="e">
        <f ca="1"/>
        <v>#NAME?</v>
      </c>
      <c r="CG234" s="2" t="e">
        <f t="shared" ca="1" si="182"/>
        <v>#NAME?</v>
      </c>
      <c r="CH234" s="2" t="e">
        <f ca="1"/>
        <v>#NAME?</v>
      </c>
      <c r="CI234" s="2" t="e">
        <f t="shared" ca="1" si="183"/>
        <v>#NAME?</v>
      </c>
      <c r="CJ234" s="2" t="e">
        <f ca="1"/>
        <v>#NAME?</v>
      </c>
      <c r="CK234" s="2" t="e">
        <f t="shared" ca="1" si="184"/>
        <v>#NAME?</v>
      </c>
      <c r="CL234" s="2" t="e">
        <f ca="1"/>
        <v>#NAME?</v>
      </c>
      <c r="CM234" s="2" t="e">
        <f t="shared" ca="1" si="185"/>
        <v>#NAME?</v>
      </c>
      <c r="CN234" s="2" t="e">
        <f ca="1"/>
        <v>#NAME?</v>
      </c>
      <c r="CO234" s="2" t="e">
        <f t="shared" ca="1" si="186"/>
        <v>#NAME?</v>
      </c>
      <c r="CP234" s="2" t="e">
        <f ca="1"/>
        <v>#NAME?</v>
      </c>
      <c r="CQ234" s="2" t="e">
        <f t="shared" ca="1" si="187"/>
        <v>#NAME?</v>
      </c>
    </row>
    <row r="235" spans="1:95">
      <c r="A235" s="7" t="e">
        <f ca="1"/>
        <v>#NAME?</v>
      </c>
      <c r="B235" s="2" t="e">
        <f ca="1"/>
        <v>#NAME?</v>
      </c>
      <c r="C235" s="2" t="e">
        <f t="shared" ca="1" si="141"/>
        <v>#NAME?</v>
      </c>
      <c r="D235" s="2" t="e">
        <f ca="1"/>
        <v>#NAME?</v>
      </c>
      <c r="E235" s="2" t="e">
        <f t="shared" ca="1" si="142"/>
        <v>#NAME?</v>
      </c>
      <c r="F235" s="2" t="e">
        <f ca="1"/>
        <v>#NAME?</v>
      </c>
      <c r="G235" s="2" t="e">
        <f t="shared" ca="1" si="143"/>
        <v>#NAME?</v>
      </c>
      <c r="H235" s="2" t="e">
        <f ca="1"/>
        <v>#NAME?</v>
      </c>
      <c r="I235" s="2" t="e">
        <f t="shared" ca="1" si="144"/>
        <v>#NAME?</v>
      </c>
      <c r="J235" s="2" t="e">
        <f ca="1"/>
        <v>#NAME?</v>
      </c>
      <c r="K235" s="2" t="e">
        <f t="shared" ca="1" si="145"/>
        <v>#NAME?</v>
      </c>
      <c r="L235" s="2" t="e">
        <f ca="1"/>
        <v>#NAME?</v>
      </c>
      <c r="M235" s="2" t="e">
        <f t="shared" ca="1" si="146"/>
        <v>#NAME?</v>
      </c>
      <c r="N235" s="2" t="e">
        <f ca="1"/>
        <v>#NAME?</v>
      </c>
      <c r="O235" s="2" t="e">
        <f t="shared" ca="1" si="147"/>
        <v>#NAME?</v>
      </c>
      <c r="P235" s="2" t="e">
        <f ca="1"/>
        <v>#NAME?</v>
      </c>
      <c r="Q235" s="2" t="e">
        <f t="shared" ca="1" si="148"/>
        <v>#NAME?</v>
      </c>
      <c r="R235" s="2" t="e">
        <f ca="1"/>
        <v>#NAME?</v>
      </c>
      <c r="S235" s="2" t="e">
        <f t="shared" ca="1" si="149"/>
        <v>#NAME?</v>
      </c>
      <c r="T235" s="2" t="e">
        <f ca="1"/>
        <v>#NAME?</v>
      </c>
      <c r="U235" s="2" t="e">
        <f t="shared" ca="1" si="150"/>
        <v>#NAME?</v>
      </c>
      <c r="V235" s="2" t="e">
        <f ca="1"/>
        <v>#NAME?</v>
      </c>
      <c r="W235" s="2" t="e">
        <f t="shared" ca="1" si="151"/>
        <v>#NAME?</v>
      </c>
      <c r="X235" s="2" t="e">
        <f ca="1"/>
        <v>#NAME?</v>
      </c>
      <c r="Y235" s="2" t="e">
        <f t="shared" ca="1" si="152"/>
        <v>#NAME?</v>
      </c>
      <c r="Z235" s="2" t="e">
        <f ca="1"/>
        <v>#NAME?</v>
      </c>
      <c r="AA235" s="2" t="e">
        <f t="shared" ca="1" si="153"/>
        <v>#NAME?</v>
      </c>
      <c r="AB235" s="2" t="e">
        <f ca="1"/>
        <v>#NAME?</v>
      </c>
      <c r="AC235" s="2" t="e">
        <f t="shared" ca="1" si="154"/>
        <v>#NAME?</v>
      </c>
      <c r="AD235" s="2" t="e">
        <f ca="1"/>
        <v>#NAME?</v>
      </c>
      <c r="AE235" s="2" t="e">
        <f t="shared" ca="1" si="155"/>
        <v>#NAME?</v>
      </c>
      <c r="AF235" s="2" t="e">
        <f ca="1"/>
        <v>#NAME?</v>
      </c>
      <c r="AG235" s="2" t="e">
        <f t="shared" ca="1" si="156"/>
        <v>#NAME?</v>
      </c>
      <c r="AH235" s="2" t="e">
        <f ca="1"/>
        <v>#NAME?</v>
      </c>
      <c r="AI235" s="2" t="e">
        <f t="shared" ca="1" si="157"/>
        <v>#NAME?</v>
      </c>
      <c r="AJ235" s="2" t="e">
        <f ca="1"/>
        <v>#NAME?</v>
      </c>
      <c r="AK235" s="2" t="e">
        <f t="shared" ca="1" si="158"/>
        <v>#NAME?</v>
      </c>
      <c r="AL235" s="2" t="e">
        <f ca="1"/>
        <v>#NAME?</v>
      </c>
      <c r="AM235" s="2" t="e">
        <f t="shared" ca="1" si="159"/>
        <v>#NAME?</v>
      </c>
      <c r="AN235" s="2" t="e">
        <f ca="1"/>
        <v>#NAME?</v>
      </c>
      <c r="AO235" s="2" t="e">
        <f t="shared" ca="1" si="160"/>
        <v>#NAME?</v>
      </c>
      <c r="AP235" s="2" t="e">
        <f ca="1"/>
        <v>#NAME?</v>
      </c>
      <c r="AQ235" s="2" t="e">
        <f t="shared" ca="1" si="161"/>
        <v>#NAME?</v>
      </c>
      <c r="AR235" s="2" t="e">
        <f ca="1"/>
        <v>#NAME?</v>
      </c>
      <c r="AS235" s="2" t="e">
        <f t="shared" ca="1" si="162"/>
        <v>#NAME?</v>
      </c>
      <c r="AT235" s="2" t="e">
        <f ca="1"/>
        <v>#NAME?</v>
      </c>
      <c r="AU235" s="2" t="e">
        <f t="shared" ca="1" si="163"/>
        <v>#NAME?</v>
      </c>
      <c r="AV235" s="2" t="e">
        <f ca="1"/>
        <v>#NAME?</v>
      </c>
      <c r="AW235" s="2" t="e">
        <f t="shared" ca="1" si="164"/>
        <v>#NAME?</v>
      </c>
      <c r="AX235" s="2" t="e">
        <f ca="1"/>
        <v>#NAME?</v>
      </c>
      <c r="AY235" s="2" t="e">
        <f t="shared" ca="1" si="165"/>
        <v>#NAME?</v>
      </c>
      <c r="AZ235" s="2" t="e">
        <f ca="1"/>
        <v>#NAME?</v>
      </c>
      <c r="BA235" s="2" t="e">
        <f t="shared" ca="1" si="166"/>
        <v>#NAME?</v>
      </c>
      <c r="BB235" s="2" t="e">
        <f ca="1"/>
        <v>#NAME?</v>
      </c>
      <c r="BC235" s="2" t="e">
        <f t="shared" ca="1" si="167"/>
        <v>#NAME?</v>
      </c>
      <c r="BD235" s="2" t="e">
        <f ca="1"/>
        <v>#NAME?</v>
      </c>
      <c r="BE235" s="2" t="e">
        <f t="shared" ca="1" si="168"/>
        <v>#NAME?</v>
      </c>
      <c r="BF235" s="2" t="e">
        <f ca="1"/>
        <v>#NAME?</v>
      </c>
      <c r="BG235" s="2" t="e">
        <f t="shared" ca="1" si="169"/>
        <v>#NAME?</v>
      </c>
      <c r="BH235" s="2" t="e">
        <f ca="1"/>
        <v>#NAME?</v>
      </c>
      <c r="BI235" s="2" t="e">
        <f t="shared" ca="1" si="170"/>
        <v>#NAME?</v>
      </c>
      <c r="BJ235" s="2" t="e">
        <f ca="1"/>
        <v>#NAME?</v>
      </c>
      <c r="BK235" s="2" t="e">
        <f t="shared" ca="1" si="171"/>
        <v>#NAME?</v>
      </c>
      <c r="BL235" s="2" t="e">
        <f ca="1"/>
        <v>#NAME?</v>
      </c>
      <c r="BM235" s="2" t="e">
        <f t="shared" ca="1" si="172"/>
        <v>#NAME?</v>
      </c>
      <c r="BN235" s="2" t="e">
        <f ca="1"/>
        <v>#NAME?</v>
      </c>
      <c r="BO235" s="2" t="e">
        <f t="shared" ca="1" si="173"/>
        <v>#NAME?</v>
      </c>
      <c r="BP235" s="2" t="e">
        <f ca="1"/>
        <v>#NAME?</v>
      </c>
      <c r="BQ235" s="2" t="e">
        <f t="shared" ca="1" si="174"/>
        <v>#NAME?</v>
      </c>
      <c r="BR235" s="2" t="e">
        <f ca="1"/>
        <v>#NAME?</v>
      </c>
      <c r="BS235" s="2" t="e">
        <f t="shared" ca="1" si="175"/>
        <v>#NAME?</v>
      </c>
      <c r="BT235" s="2" t="e">
        <f ca="1"/>
        <v>#NAME?</v>
      </c>
      <c r="BU235" s="2" t="e">
        <f t="shared" ca="1" si="176"/>
        <v>#NAME?</v>
      </c>
      <c r="BV235" s="2" t="e">
        <f ca="1"/>
        <v>#NAME?</v>
      </c>
      <c r="BW235" s="2" t="e">
        <f t="shared" ca="1" si="177"/>
        <v>#NAME?</v>
      </c>
      <c r="BX235" s="2" t="e">
        <f ca="1"/>
        <v>#NAME?</v>
      </c>
      <c r="BY235" s="2" t="e">
        <f t="shared" ca="1" si="178"/>
        <v>#NAME?</v>
      </c>
      <c r="BZ235" s="2" t="e">
        <f ca="1"/>
        <v>#NAME?</v>
      </c>
      <c r="CA235" s="2" t="e">
        <f t="shared" ca="1" si="179"/>
        <v>#NAME?</v>
      </c>
      <c r="CB235" s="2" t="e">
        <f ca="1"/>
        <v>#NAME?</v>
      </c>
      <c r="CC235" s="2" t="e">
        <f t="shared" ca="1" si="180"/>
        <v>#NAME?</v>
      </c>
      <c r="CD235" s="2" t="e">
        <f ca="1"/>
        <v>#NAME?</v>
      </c>
      <c r="CE235" s="2" t="e">
        <f t="shared" ca="1" si="181"/>
        <v>#NAME?</v>
      </c>
      <c r="CF235" s="2" t="e">
        <f ca="1"/>
        <v>#NAME?</v>
      </c>
      <c r="CG235" s="2" t="e">
        <f t="shared" ca="1" si="182"/>
        <v>#NAME?</v>
      </c>
      <c r="CH235" s="2" t="e">
        <f ca="1"/>
        <v>#NAME?</v>
      </c>
      <c r="CI235" s="2" t="e">
        <f t="shared" ca="1" si="183"/>
        <v>#NAME?</v>
      </c>
      <c r="CJ235" s="2" t="e">
        <f ca="1"/>
        <v>#NAME?</v>
      </c>
      <c r="CK235" s="2" t="e">
        <f t="shared" ca="1" si="184"/>
        <v>#NAME?</v>
      </c>
      <c r="CL235" s="2" t="e">
        <f ca="1"/>
        <v>#NAME?</v>
      </c>
      <c r="CM235" s="2" t="e">
        <f t="shared" ca="1" si="185"/>
        <v>#NAME?</v>
      </c>
      <c r="CN235" s="2" t="e">
        <f ca="1"/>
        <v>#NAME?</v>
      </c>
      <c r="CO235" s="2" t="e">
        <f t="shared" ca="1" si="186"/>
        <v>#NAME?</v>
      </c>
      <c r="CP235" s="2" t="e">
        <f ca="1"/>
        <v>#NAME?</v>
      </c>
      <c r="CQ235" s="2" t="e">
        <f t="shared" ca="1" si="187"/>
        <v>#NAME?</v>
      </c>
    </row>
    <row r="236" spans="1:95">
      <c r="A236" s="7" t="e">
        <f ca="1"/>
        <v>#NAME?</v>
      </c>
      <c r="B236" s="2" t="e">
        <f ca="1"/>
        <v>#NAME?</v>
      </c>
      <c r="C236" s="2" t="e">
        <f t="shared" ca="1" si="141"/>
        <v>#NAME?</v>
      </c>
      <c r="D236" s="2" t="e">
        <f ca="1"/>
        <v>#NAME?</v>
      </c>
      <c r="E236" s="2" t="e">
        <f t="shared" ca="1" si="142"/>
        <v>#NAME?</v>
      </c>
      <c r="F236" s="2" t="e">
        <f ca="1"/>
        <v>#NAME?</v>
      </c>
      <c r="G236" s="2" t="e">
        <f t="shared" ca="1" si="143"/>
        <v>#NAME?</v>
      </c>
      <c r="H236" s="2" t="e">
        <f ca="1"/>
        <v>#NAME?</v>
      </c>
      <c r="I236" s="2" t="e">
        <f t="shared" ca="1" si="144"/>
        <v>#NAME?</v>
      </c>
      <c r="J236" s="2" t="e">
        <f ca="1"/>
        <v>#NAME?</v>
      </c>
      <c r="K236" s="2" t="e">
        <f t="shared" ca="1" si="145"/>
        <v>#NAME?</v>
      </c>
      <c r="L236" s="2" t="e">
        <f ca="1"/>
        <v>#NAME?</v>
      </c>
      <c r="M236" s="2" t="e">
        <f t="shared" ca="1" si="146"/>
        <v>#NAME?</v>
      </c>
      <c r="N236" s="2" t="e">
        <f ca="1"/>
        <v>#NAME?</v>
      </c>
      <c r="O236" s="2" t="e">
        <f t="shared" ca="1" si="147"/>
        <v>#NAME?</v>
      </c>
      <c r="P236" s="2" t="e">
        <f ca="1"/>
        <v>#NAME?</v>
      </c>
      <c r="Q236" s="2" t="e">
        <f t="shared" ca="1" si="148"/>
        <v>#NAME?</v>
      </c>
      <c r="R236" s="2" t="e">
        <f ca="1"/>
        <v>#NAME?</v>
      </c>
      <c r="S236" s="2" t="e">
        <f t="shared" ca="1" si="149"/>
        <v>#NAME?</v>
      </c>
      <c r="T236" s="2" t="e">
        <f ca="1"/>
        <v>#NAME?</v>
      </c>
      <c r="U236" s="2" t="e">
        <f t="shared" ca="1" si="150"/>
        <v>#NAME?</v>
      </c>
      <c r="V236" s="2" t="e">
        <f ca="1"/>
        <v>#NAME?</v>
      </c>
      <c r="W236" s="2" t="e">
        <f t="shared" ca="1" si="151"/>
        <v>#NAME?</v>
      </c>
      <c r="X236" s="2" t="e">
        <f ca="1"/>
        <v>#NAME?</v>
      </c>
      <c r="Y236" s="2" t="e">
        <f t="shared" ca="1" si="152"/>
        <v>#NAME?</v>
      </c>
      <c r="Z236" s="2" t="e">
        <f ca="1"/>
        <v>#NAME?</v>
      </c>
      <c r="AA236" s="2" t="e">
        <f t="shared" ca="1" si="153"/>
        <v>#NAME?</v>
      </c>
      <c r="AB236" s="2" t="e">
        <f ca="1"/>
        <v>#NAME?</v>
      </c>
      <c r="AC236" s="2" t="e">
        <f t="shared" ca="1" si="154"/>
        <v>#NAME?</v>
      </c>
      <c r="AD236" s="2" t="e">
        <f ca="1"/>
        <v>#NAME?</v>
      </c>
      <c r="AE236" s="2" t="e">
        <f t="shared" ca="1" si="155"/>
        <v>#NAME?</v>
      </c>
      <c r="AF236" s="2" t="e">
        <f ca="1"/>
        <v>#NAME?</v>
      </c>
      <c r="AG236" s="2" t="e">
        <f t="shared" ca="1" si="156"/>
        <v>#NAME?</v>
      </c>
      <c r="AH236" s="2" t="e">
        <f ca="1"/>
        <v>#NAME?</v>
      </c>
      <c r="AI236" s="2" t="e">
        <f t="shared" ca="1" si="157"/>
        <v>#NAME?</v>
      </c>
      <c r="AJ236" s="2" t="e">
        <f ca="1"/>
        <v>#NAME?</v>
      </c>
      <c r="AK236" s="2" t="e">
        <f t="shared" ca="1" si="158"/>
        <v>#NAME?</v>
      </c>
      <c r="AL236" s="2" t="e">
        <f ca="1"/>
        <v>#NAME?</v>
      </c>
      <c r="AM236" s="2" t="e">
        <f t="shared" ca="1" si="159"/>
        <v>#NAME?</v>
      </c>
      <c r="AN236" s="2" t="e">
        <f ca="1"/>
        <v>#NAME?</v>
      </c>
      <c r="AO236" s="2" t="e">
        <f t="shared" ca="1" si="160"/>
        <v>#NAME?</v>
      </c>
      <c r="AP236" s="2" t="e">
        <f ca="1"/>
        <v>#NAME?</v>
      </c>
      <c r="AQ236" s="2" t="e">
        <f t="shared" ca="1" si="161"/>
        <v>#NAME?</v>
      </c>
      <c r="AR236" s="2" t="e">
        <f ca="1"/>
        <v>#NAME?</v>
      </c>
      <c r="AS236" s="2" t="e">
        <f t="shared" ca="1" si="162"/>
        <v>#NAME?</v>
      </c>
      <c r="AT236" s="2" t="e">
        <f ca="1"/>
        <v>#NAME?</v>
      </c>
      <c r="AU236" s="2" t="e">
        <f t="shared" ca="1" si="163"/>
        <v>#NAME?</v>
      </c>
      <c r="AV236" s="2" t="e">
        <f ca="1"/>
        <v>#NAME?</v>
      </c>
      <c r="AW236" s="2" t="e">
        <f t="shared" ca="1" si="164"/>
        <v>#NAME?</v>
      </c>
      <c r="AX236" s="2" t="e">
        <f ca="1"/>
        <v>#NAME?</v>
      </c>
      <c r="AY236" s="2" t="e">
        <f t="shared" ca="1" si="165"/>
        <v>#NAME?</v>
      </c>
      <c r="AZ236" s="2" t="e">
        <f ca="1"/>
        <v>#NAME?</v>
      </c>
      <c r="BA236" s="2" t="e">
        <f t="shared" ca="1" si="166"/>
        <v>#NAME?</v>
      </c>
      <c r="BB236" s="2" t="e">
        <f ca="1"/>
        <v>#NAME?</v>
      </c>
      <c r="BC236" s="2" t="e">
        <f t="shared" ca="1" si="167"/>
        <v>#NAME?</v>
      </c>
      <c r="BD236" s="2" t="e">
        <f ca="1"/>
        <v>#NAME?</v>
      </c>
      <c r="BE236" s="2" t="e">
        <f t="shared" ca="1" si="168"/>
        <v>#NAME?</v>
      </c>
      <c r="BF236" s="2" t="e">
        <f ca="1"/>
        <v>#NAME?</v>
      </c>
      <c r="BG236" s="2" t="e">
        <f t="shared" ca="1" si="169"/>
        <v>#NAME?</v>
      </c>
      <c r="BH236" s="2" t="e">
        <f ca="1"/>
        <v>#NAME?</v>
      </c>
      <c r="BI236" s="2" t="e">
        <f t="shared" ca="1" si="170"/>
        <v>#NAME?</v>
      </c>
      <c r="BJ236" s="2" t="e">
        <f ca="1"/>
        <v>#NAME?</v>
      </c>
      <c r="BK236" s="2" t="e">
        <f t="shared" ca="1" si="171"/>
        <v>#NAME?</v>
      </c>
      <c r="BL236" s="2" t="e">
        <f ca="1"/>
        <v>#NAME?</v>
      </c>
      <c r="BM236" s="2" t="e">
        <f t="shared" ca="1" si="172"/>
        <v>#NAME?</v>
      </c>
      <c r="BN236" s="2" t="e">
        <f ca="1"/>
        <v>#NAME?</v>
      </c>
      <c r="BO236" s="2" t="e">
        <f t="shared" ca="1" si="173"/>
        <v>#NAME?</v>
      </c>
      <c r="BP236" s="2" t="e">
        <f ca="1"/>
        <v>#NAME?</v>
      </c>
      <c r="BQ236" s="2" t="e">
        <f t="shared" ca="1" si="174"/>
        <v>#NAME?</v>
      </c>
      <c r="BR236" s="2" t="e">
        <f ca="1"/>
        <v>#NAME?</v>
      </c>
      <c r="BS236" s="2" t="e">
        <f t="shared" ca="1" si="175"/>
        <v>#NAME?</v>
      </c>
      <c r="BT236" s="2" t="e">
        <f ca="1"/>
        <v>#NAME?</v>
      </c>
      <c r="BU236" s="2" t="e">
        <f t="shared" ca="1" si="176"/>
        <v>#NAME?</v>
      </c>
      <c r="BV236" s="2" t="e">
        <f ca="1"/>
        <v>#NAME?</v>
      </c>
      <c r="BW236" s="2" t="e">
        <f t="shared" ca="1" si="177"/>
        <v>#NAME?</v>
      </c>
      <c r="BX236" s="2" t="e">
        <f ca="1"/>
        <v>#NAME?</v>
      </c>
      <c r="BY236" s="2" t="e">
        <f t="shared" ca="1" si="178"/>
        <v>#NAME?</v>
      </c>
      <c r="BZ236" s="2" t="e">
        <f ca="1"/>
        <v>#NAME?</v>
      </c>
      <c r="CA236" s="2" t="e">
        <f t="shared" ca="1" si="179"/>
        <v>#NAME?</v>
      </c>
      <c r="CB236" s="2" t="e">
        <f ca="1"/>
        <v>#NAME?</v>
      </c>
      <c r="CC236" s="2" t="e">
        <f t="shared" ca="1" si="180"/>
        <v>#NAME?</v>
      </c>
      <c r="CD236" s="2" t="e">
        <f ca="1"/>
        <v>#NAME?</v>
      </c>
      <c r="CE236" s="2" t="e">
        <f t="shared" ca="1" si="181"/>
        <v>#NAME?</v>
      </c>
      <c r="CF236" s="2" t="e">
        <f ca="1"/>
        <v>#NAME?</v>
      </c>
      <c r="CG236" s="2" t="e">
        <f t="shared" ca="1" si="182"/>
        <v>#NAME?</v>
      </c>
      <c r="CH236" s="2" t="e">
        <f ca="1"/>
        <v>#NAME?</v>
      </c>
      <c r="CI236" s="2" t="e">
        <f t="shared" ca="1" si="183"/>
        <v>#NAME?</v>
      </c>
      <c r="CJ236" s="2" t="e">
        <f ca="1"/>
        <v>#NAME?</v>
      </c>
      <c r="CK236" s="2" t="e">
        <f t="shared" ca="1" si="184"/>
        <v>#NAME?</v>
      </c>
      <c r="CL236" s="2" t="e">
        <f ca="1"/>
        <v>#NAME?</v>
      </c>
      <c r="CM236" s="2" t="e">
        <f t="shared" ca="1" si="185"/>
        <v>#NAME?</v>
      </c>
      <c r="CN236" s="2" t="e">
        <f ca="1"/>
        <v>#NAME?</v>
      </c>
      <c r="CO236" s="2" t="e">
        <f t="shared" ca="1" si="186"/>
        <v>#NAME?</v>
      </c>
      <c r="CP236" s="2" t="e">
        <f ca="1"/>
        <v>#NAME?</v>
      </c>
      <c r="CQ236" s="2" t="e">
        <f t="shared" ca="1" si="187"/>
        <v>#NAME?</v>
      </c>
    </row>
    <row r="237" spans="1:95">
      <c r="A237" s="7" t="e">
        <f ca="1"/>
        <v>#NAME?</v>
      </c>
      <c r="B237" s="2" t="e">
        <f ca="1"/>
        <v>#NAME?</v>
      </c>
      <c r="C237" s="2" t="e">
        <f t="shared" ca="1" si="141"/>
        <v>#NAME?</v>
      </c>
      <c r="D237" s="2" t="e">
        <f ca="1"/>
        <v>#NAME?</v>
      </c>
      <c r="E237" s="2" t="e">
        <f t="shared" ca="1" si="142"/>
        <v>#NAME?</v>
      </c>
      <c r="F237" s="2" t="e">
        <f ca="1"/>
        <v>#NAME?</v>
      </c>
      <c r="G237" s="2" t="e">
        <f t="shared" ca="1" si="143"/>
        <v>#NAME?</v>
      </c>
      <c r="H237" s="2" t="e">
        <f ca="1"/>
        <v>#NAME?</v>
      </c>
      <c r="I237" s="2" t="e">
        <f t="shared" ca="1" si="144"/>
        <v>#NAME?</v>
      </c>
      <c r="J237" s="2" t="e">
        <f ca="1"/>
        <v>#NAME?</v>
      </c>
      <c r="K237" s="2" t="e">
        <f t="shared" ca="1" si="145"/>
        <v>#NAME?</v>
      </c>
      <c r="L237" s="2" t="e">
        <f ca="1"/>
        <v>#NAME?</v>
      </c>
      <c r="M237" s="2" t="e">
        <f t="shared" ca="1" si="146"/>
        <v>#NAME?</v>
      </c>
      <c r="N237" s="2" t="e">
        <f ca="1"/>
        <v>#NAME?</v>
      </c>
      <c r="O237" s="2" t="e">
        <f t="shared" ca="1" si="147"/>
        <v>#NAME?</v>
      </c>
      <c r="P237" s="2" t="e">
        <f ca="1"/>
        <v>#NAME?</v>
      </c>
      <c r="Q237" s="2" t="e">
        <f t="shared" ca="1" si="148"/>
        <v>#NAME?</v>
      </c>
      <c r="R237" s="2" t="e">
        <f ca="1"/>
        <v>#NAME?</v>
      </c>
      <c r="S237" s="2" t="e">
        <f t="shared" ca="1" si="149"/>
        <v>#NAME?</v>
      </c>
      <c r="T237" s="2" t="e">
        <f ca="1"/>
        <v>#NAME?</v>
      </c>
      <c r="U237" s="2" t="e">
        <f t="shared" ca="1" si="150"/>
        <v>#NAME?</v>
      </c>
      <c r="V237" s="2" t="e">
        <f ca="1"/>
        <v>#NAME?</v>
      </c>
      <c r="W237" s="2" t="e">
        <f t="shared" ca="1" si="151"/>
        <v>#NAME?</v>
      </c>
      <c r="X237" s="2" t="e">
        <f ca="1"/>
        <v>#NAME?</v>
      </c>
      <c r="Y237" s="2" t="e">
        <f t="shared" ca="1" si="152"/>
        <v>#NAME?</v>
      </c>
      <c r="Z237" s="2" t="e">
        <f ca="1"/>
        <v>#NAME?</v>
      </c>
      <c r="AA237" s="2" t="e">
        <f t="shared" ca="1" si="153"/>
        <v>#NAME?</v>
      </c>
      <c r="AB237" s="2" t="e">
        <f ca="1"/>
        <v>#NAME?</v>
      </c>
      <c r="AC237" s="2" t="e">
        <f t="shared" ca="1" si="154"/>
        <v>#NAME?</v>
      </c>
      <c r="AD237" s="2" t="e">
        <f ca="1"/>
        <v>#NAME?</v>
      </c>
      <c r="AE237" s="2" t="e">
        <f t="shared" ca="1" si="155"/>
        <v>#NAME?</v>
      </c>
      <c r="AF237" s="2" t="e">
        <f ca="1"/>
        <v>#NAME?</v>
      </c>
      <c r="AG237" s="2" t="e">
        <f t="shared" ca="1" si="156"/>
        <v>#NAME?</v>
      </c>
      <c r="AH237" s="2" t="e">
        <f ca="1"/>
        <v>#NAME?</v>
      </c>
      <c r="AI237" s="2" t="e">
        <f t="shared" ca="1" si="157"/>
        <v>#NAME?</v>
      </c>
      <c r="AJ237" s="2" t="e">
        <f ca="1"/>
        <v>#NAME?</v>
      </c>
      <c r="AK237" s="2" t="e">
        <f t="shared" ca="1" si="158"/>
        <v>#NAME?</v>
      </c>
      <c r="AL237" s="2" t="e">
        <f ca="1"/>
        <v>#NAME?</v>
      </c>
      <c r="AM237" s="2" t="e">
        <f t="shared" ca="1" si="159"/>
        <v>#NAME?</v>
      </c>
      <c r="AN237" s="2" t="e">
        <f ca="1"/>
        <v>#NAME?</v>
      </c>
      <c r="AO237" s="2" t="e">
        <f t="shared" ca="1" si="160"/>
        <v>#NAME?</v>
      </c>
      <c r="AP237" s="2" t="e">
        <f ca="1"/>
        <v>#NAME?</v>
      </c>
      <c r="AQ237" s="2" t="e">
        <f t="shared" ca="1" si="161"/>
        <v>#NAME?</v>
      </c>
      <c r="AR237" s="2" t="e">
        <f ca="1"/>
        <v>#NAME?</v>
      </c>
      <c r="AS237" s="2" t="e">
        <f t="shared" ca="1" si="162"/>
        <v>#NAME?</v>
      </c>
      <c r="AT237" s="2" t="e">
        <f ca="1"/>
        <v>#NAME?</v>
      </c>
      <c r="AU237" s="2" t="e">
        <f t="shared" ca="1" si="163"/>
        <v>#NAME?</v>
      </c>
      <c r="AV237" s="2" t="e">
        <f ca="1"/>
        <v>#NAME?</v>
      </c>
      <c r="AW237" s="2" t="e">
        <f t="shared" ca="1" si="164"/>
        <v>#NAME?</v>
      </c>
      <c r="AX237" s="2" t="e">
        <f ca="1"/>
        <v>#NAME?</v>
      </c>
      <c r="AY237" s="2" t="e">
        <f t="shared" ca="1" si="165"/>
        <v>#NAME?</v>
      </c>
      <c r="AZ237" s="2" t="e">
        <f ca="1"/>
        <v>#NAME?</v>
      </c>
      <c r="BA237" s="2" t="e">
        <f t="shared" ca="1" si="166"/>
        <v>#NAME?</v>
      </c>
      <c r="BB237" s="2" t="e">
        <f ca="1"/>
        <v>#NAME?</v>
      </c>
      <c r="BC237" s="2" t="e">
        <f t="shared" ca="1" si="167"/>
        <v>#NAME?</v>
      </c>
      <c r="BD237" s="2" t="e">
        <f ca="1"/>
        <v>#NAME?</v>
      </c>
      <c r="BE237" s="2" t="e">
        <f t="shared" ca="1" si="168"/>
        <v>#NAME?</v>
      </c>
      <c r="BF237" s="2" t="e">
        <f ca="1"/>
        <v>#NAME?</v>
      </c>
      <c r="BG237" s="2" t="e">
        <f t="shared" ca="1" si="169"/>
        <v>#NAME?</v>
      </c>
      <c r="BH237" s="2" t="e">
        <f ca="1"/>
        <v>#NAME?</v>
      </c>
      <c r="BI237" s="2" t="e">
        <f t="shared" ca="1" si="170"/>
        <v>#NAME?</v>
      </c>
      <c r="BJ237" s="2" t="e">
        <f ca="1"/>
        <v>#NAME?</v>
      </c>
      <c r="BK237" s="2" t="e">
        <f t="shared" ca="1" si="171"/>
        <v>#NAME?</v>
      </c>
      <c r="BL237" s="2" t="e">
        <f ca="1"/>
        <v>#NAME?</v>
      </c>
      <c r="BM237" s="2" t="e">
        <f t="shared" ca="1" si="172"/>
        <v>#NAME?</v>
      </c>
      <c r="BN237" s="2" t="e">
        <f ca="1"/>
        <v>#NAME?</v>
      </c>
      <c r="BO237" s="2" t="e">
        <f t="shared" ca="1" si="173"/>
        <v>#NAME?</v>
      </c>
      <c r="BP237" s="2" t="e">
        <f ca="1"/>
        <v>#NAME?</v>
      </c>
      <c r="BQ237" s="2" t="e">
        <f t="shared" ca="1" si="174"/>
        <v>#NAME?</v>
      </c>
      <c r="BR237" s="2" t="e">
        <f ca="1"/>
        <v>#NAME?</v>
      </c>
      <c r="BS237" s="2" t="e">
        <f t="shared" ca="1" si="175"/>
        <v>#NAME?</v>
      </c>
      <c r="BT237" s="2" t="e">
        <f ca="1"/>
        <v>#NAME?</v>
      </c>
      <c r="BU237" s="2" t="e">
        <f t="shared" ca="1" si="176"/>
        <v>#NAME?</v>
      </c>
      <c r="BV237" s="2" t="e">
        <f ca="1"/>
        <v>#NAME?</v>
      </c>
      <c r="BW237" s="2" t="e">
        <f t="shared" ca="1" si="177"/>
        <v>#NAME?</v>
      </c>
      <c r="BX237" s="2" t="e">
        <f ca="1"/>
        <v>#NAME?</v>
      </c>
      <c r="BY237" s="2" t="e">
        <f t="shared" ca="1" si="178"/>
        <v>#NAME?</v>
      </c>
      <c r="BZ237" s="2" t="e">
        <f ca="1"/>
        <v>#NAME?</v>
      </c>
      <c r="CA237" s="2" t="e">
        <f t="shared" ca="1" si="179"/>
        <v>#NAME?</v>
      </c>
      <c r="CB237" s="2" t="e">
        <f ca="1"/>
        <v>#NAME?</v>
      </c>
      <c r="CC237" s="2" t="e">
        <f t="shared" ca="1" si="180"/>
        <v>#NAME?</v>
      </c>
      <c r="CD237" s="2" t="e">
        <f ca="1"/>
        <v>#NAME?</v>
      </c>
      <c r="CE237" s="2" t="e">
        <f t="shared" ca="1" si="181"/>
        <v>#NAME?</v>
      </c>
      <c r="CF237" s="2" t="e">
        <f ca="1"/>
        <v>#NAME?</v>
      </c>
      <c r="CG237" s="2" t="e">
        <f t="shared" ca="1" si="182"/>
        <v>#NAME?</v>
      </c>
      <c r="CH237" s="2" t="e">
        <f ca="1"/>
        <v>#NAME?</v>
      </c>
      <c r="CI237" s="2" t="e">
        <f t="shared" ca="1" si="183"/>
        <v>#NAME?</v>
      </c>
      <c r="CJ237" s="2" t="e">
        <f ca="1"/>
        <v>#NAME?</v>
      </c>
      <c r="CK237" s="2" t="e">
        <f t="shared" ca="1" si="184"/>
        <v>#NAME?</v>
      </c>
      <c r="CL237" s="2" t="e">
        <f ca="1"/>
        <v>#NAME?</v>
      </c>
      <c r="CM237" s="2" t="e">
        <f t="shared" ca="1" si="185"/>
        <v>#NAME?</v>
      </c>
      <c r="CN237" s="2" t="e">
        <f ca="1"/>
        <v>#NAME?</v>
      </c>
      <c r="CO237" s="2" t="e">
        <f t="shared" ca="1" si="186"/>
        <v>#NAME?</v>
      </c>
      <c r="CP237" s="2" t="e">
        <f ca="1"/>
        <v>#NAME?</v>
      </c>
      <c r="CQ237" s="2" t="e">
        <f t="shared" ca="1" si="187"/>
        <v>#NAME?</v>
      </c>
    </row>
    <row r="238" spans="1:95">
      <c r="A238" s="7" t="e">
        <f ca="1"/>
        <v>#NAME?</v>
      </c>
      <c r="B238" s="2" t="e">
        <f ca="1"/>
        <v>#NAME?</v>
      </c>
      <c r="C238" s="2" t="e">
        <f t="shared" ca="1" si="141"/>
        <v>#NAME?</v>
      </c>
      <c r="D238" s="2" t="e">
        <f ca="1"/>
        <v>#NAME?</v>
      </c>
      <c r="E238" s="2" t="e">
        <f t="shared" ca="1" si="142"/>
        <v>#NAME?</v>
      </c>
      <c r="F238" s="2" t="e">
        <f ca="1"/>
        <v>#NAME?</v>
      </c>
      <c r="G238" s="2" t="e">
        <f t="shared" ca="1" si="143"/>
        <v>#NAME?</v>
      </c>
      <c r="H238" s="2" t="e">
        <f ca="1"/>
        <v>#NAME?</v>
      </c>
      <c r="I238" s="2" t="e">
        <f t="shared" ca="1" si="144"/>
        <v>#NAME?</v>
      </c>
      <c r="J238" s="2" t="e">
        <f ca="1"/>
        <v>#NAME?</v>
      </c>
      <c r="K238" s="2" t="e">
        <f t="shared" ca="1" si="145"/>
        <v>#NAME?</v>
      </c>
      <c r="L238" s="2" t="e">
        <f ca="1"/>
        <v>#NAME?</v>
      </c>
      <c r="M238" s="2" t="e">
        <f t="shared" ca="1" si="146"/>
        <v>#NAME?</v>
      </c>
      <c r="N238" s="2" t="e">
        <f ca="1"/>
        <v>#NAME?</v>
      </c>
      <c r="O238" s="2" t="e">
        <f t="shared" ca="1" si="147"/>
        <v>#NAME?</v>
      </c>
      <c r="P238" s="2" t="e">
        <f ca="1"/>
        <v>#NAME?</v>
      </c>
      <c r="Q238" s="2" t="e">
        <f t="shared" ca="1" si="148"/>
        <v>#NAME?</v>
      </c>
      <c r="R238" s="2" t="e">
        <f ca="1"/>
        <v>#NAME?</v>
      </c>
      <c r="S238" s="2" t="e">
        <f t="shared" ca="1" si="149"/>
        <v>#NAME?</v>
      </c>
      <c r="T238" s="2" t="e">
        <f ca="1"/>
        <v>#NAME?</v>
      </c>
      <c r="U238" s="2" t="e">
        <f t="shared" ca="1" si="150"/>
        <v>#NAME?</v>
      </c>
      <c r="V238" s="2" t="e">
        <f ca="1"/>
        <v>#NAME?</v>
      </c>
      <c r="W238" s="2" t="e">
        <f t="shared" ca="1" si="151"/>
        <v>#NAME?</v>
      </c>
      <c r="X238" s="2" t="e">
        <f ca="1"/>
        <v>#NAME?</v>
      </c>
      <c r="Y238" s="2" t="e">
        <f t="shared" ca="1" si="152"/>
        <v>#NAME?</v>
      </c>
      <c r="Z238" s="2" t="e">
        <f ca="1"/>
        <v>#NAME?</v>
      </c>
      <c r="AA238" s="2" t="e">
        <f t="shared" ca="1" si="153"/>
        <v>#NAME?</v>
      </c>
      <c r="AB238" s="2" t="e">
        <f ca="1"/>
        <v>#NAME?</v>
      </c>
      <c r="AC238" s="2" t="e">
        <f t="shared" ca="1" si="154"/>
        <v>#NAME?</v>
      </c>
      <c r="AD238" s="2" t="e">
        <f ca="1"/>
        <v>#NAME?</v>
      </c>
      <c r="AE238" s="2" t="e">
        <f t="shared" ca="1" si="155"/>
        <v>#NAME?</v>
      </c>
      <c r="AF238" s="2" t="e">
        <f ca="1"/>
        <v>#NAME?</v>
      </c>
      <c r="AG238" s="2" t="e">
        <f t="shared" ca="1" si="156"/>
        <v>#NAME?</v>
      </c>
      <c r="AH238" s="2" t="e">
        <f ca="1"/>
        <v>#NAME?</v>
      </c>
      <c r="AI238" s="2" t="e">
        <f t="shared" ca="1" si="157"/>
        <v>#NAME?</v>
      </c>
      <c r="AJ238" s="2" t="e">
        <f ca="1"/>
        <v>#NAME?</v>
      </c>
      <c r="AK238" s="2" t="e">
        <f t="shared" ca="1" si="158"/>
        <v>#NAME?</v>
      </c>
      <c r="AL238" s="2" t="e">
        <f ca="1"/>
        <v>#NAME?</v>
      </c>
      <c r="AM238" s="2" t="e">
        <f t="shared" ca="1" si="159"/>
        <v>#NAME?</v>
      </c>
      <c r="AN238" s="2" t="e">
        <f ca="1"/>
        <v>#NAME?</v>
      </c>
      <c r="AO238" s="2" t="e">
        <f t="shared" ca="1" si="160"/>
        <v>#NAME?</v>
      </c>
      <c r="AP238" s="2" t="e">
        <f ca="1"/>
        <v>#NAME?</v>
      </c>
      <c r="AQ238" s="2" t="e">
        <f t="shared" ca="1" si="161"/>
        <v>#NAME?</v>
      </c>
      <c r="AR238" s="2" t="e">
        <f ca="1"/>
        <v>#NAME?</v>
      </c>
      <c r="AS238" s="2" t="e">
        <f t="shared" ca="1" si="162"/>
        <v>#NAME?</v>
      </c>
      <c r="AT238" s="2" t="e">
        <f ca="1"/>
        <v>#NAME?</v>
      </c>
      <c r="AU238" s="2" t="e">
        <f t="shared" ca="1" si="163"/>
        <v>#NAME?</v>
      </c>
      <c r="AV238" s="2" t="e">
        <f ca="1"/>
        <v>#NAME?</v>
      </c>
      <c r="AW238" s="2" t="e">
        <f t="shared" ca="1" si="164"/>
        <v>#NAME?</v>
      </c>
      <c r="AX238" s="2" t="e">
        <f ca="1"/>
        <v>#NAME?</v>
      </c>
      <c r="AY238" s="2" t="e">
        <f t="shared" ca="1" si="165"/>
        <v>#NAME?</v>
      </c>
      <c r="AZ238" s="2" t="e">
        <f ca="1"/>
        <v>#NAME?</v>
      </c>
      <c r="BA238" s="2" t="e">
        <f t="shared" ca="1" si="166"/>
        <v>#NAME?</v>
      </c>
      <c r="BB238" s="2" t="e">
        <f ca="1"/>
        <v>#NAME?</v>
      </c>
      <c r="BC238" s="2" t="e">
        <f t="shared" ca="1" si="167"/>
        <v>#NAME?</v>
      </c>
      <c r="BD238" s="2" t="e">
        <f ca="1"/>
        <v>#NAME?</v>
      </c>
      <c r="BE238" s="2" t="e">
        <f t="shared" ca="1" si="168"/>
        <v>#NAME?</v>
      </c>
      <c r="BF238" s="2" t="e">
        <f ca="1"/>
        <v>#NAME?</v>
      </c>
      <c r="BG238" s="2" t="e">
        <f t="shared" ca="1" si="169"/>
        <v>#NAME?</v>
      </c>
      <c r="BH238" s="2" t="e">
        <f ca="1"/>
        <v>#NAME?</v>
      </c>
      <c r="BI238" s="2" t="e">
        <f t="shared" ca="1" si="170"/>
        <v>#NAME?</v>
      </c>
      <c r="BJ238" s="2" t="e">
        <f ca="1"/>
        <v>#NAME?</v>
      </c>
      <c r="BK238" s="2" t="e">
        <f t="shared" ca="1" si="171"/>
        <v>#NAME?</v>
      </c>
      <c r="BL238" s="2" t="e">
        <f ca="1"/>
        <v>#NAME?</v>
      </c>
      <c r="BM238" s="2" t="e">
        <f t="shared" ca="1" si="172"/>
        <v>#NAME?</v>
      </c>
      <c r="BN238" s="2" t="e">
        <f ca="1"/>
        <v>#NAME?</v>
      </c>
      <c r="BO238" s="2" t="e">
        <f t="shared" ca="1" si="173"/>
        <v>#NAME?</v>
      </c>
      <c r="BP238" s="2" t="e">
        <f ca="1"/>
        <v>#NAME?</v>
      </c>
      <c r="BQ238" s="2" t="e">
        <f t="shared" ca="1" si="174"/>
        <v>#NAME?</v>
      </c>
      <c r="BR238" s="2" t="e">
        <f ca="1"/>
        <v>#NAME?</v>
      </c>
      <c r="BS238" s="2" t="e">
        <f t="shared" ca="1" si="175"/>
        <v>#NAME?</v>
      </c>
      <c r="BT238" s="2" t="e">
        <f ca="1"/>
        <v>#NAME?</v>
      </c>
      <c r="BU238" s="2" t="e">
        <f t="shared" ca="1" si="176"/>
        <v>#NAME?</v>
      </c>
      <c r="BV238" s="2" t="e">
        <f ca="1"/>
        <v>#NAME?</v>
      </c>
      <c r="BW238" s="2" t="e">
        <f t="shared" ca="1" si="177"/>
        <v>#NAME?</v>
      </c>
      <c r="BX238" s="2" t="e">
        <f ca="1"/>
        <v>#NAME?</v>
      </c>
      <c r="BY238" s="2" t="e">
        <f t="shared" ca="1" si="178"/>
        <v>#NAME?</v>
      </c>
      <c r="BZ238" s="2" t="e">
        <f ca="1"/>
        <v>#NAME?</v>
      </c>
      <c r="CA238" s="2" t="e">
        <f t="shared" ca="1" si="179"/>
        <v>#NAME?</v>
      </c>
      <c r="CB238" s="2" t="e">
        <f ca="1"/>
        <v>#NAME?</v>
      </c>
      <c r="CC238" s="2" t="e">
        <f t="shared" ca="1" si="180"/>
        <v>#NAME?</v>
      </c>
      <c r="CD238" s="2" t="e">
        <f ca="1"/>
        <v>#NAME?</v>
      </c>
      <c r="CE238" s="2" t="e">
        <f t="shared" ca="1" si="181"/>
        <v>#NAME?</v>
      </c>
      <c r="CF238" s="2" t="e">
        <f ca="1"/>
        <v>#NAME?</v>
      </c>
      <c r="CG238" s="2" t="e">
        <f t="shared" ca="1" si="182"/>
        <v>#NAME?</v>
      </c>
      <c r="CH238" s="2" t="e">
        <f ca="1"/>
        <v>#NAME?</v>
      </c>
      <c r="CI238" s="2" t="e">
        <f t="shared" ca="1" si="183"/>
        <v>#NAME?</v>
      </c>
      <c r="CJ238" s="2" t="e">
        <f ca="1"/>
        <v>#NAME?</v>
      </c>
      <c r="CK238" s="2" t="e">
        <f t="shared" ca="1" si="184"/>
        <v>#NAME?</v>
      </c>
      <c r="CL238" s="2" t="e">
        <f ca="1"/>
        <v>#NAME?</v>
      </c>
      <c r="CM238" s="2" t="e">
        <f t="shared" ca="1" si="185"/>
        <v>#NAME?</v>
      </c>
      <c r="CN238" s="2" t="e">
        <f ca="1"/>
        <v>#NAME?</v>
      </c>
      <c r="CO238" s="2" t="e">
        <f t="shared" ca="1" si="186"/>
        <v>#NAME?</v>
      </c>
      <c r="CP238" s="2" t="e">
        <f ca="1"/>
        <v>#NAME?</v>
      </c>
      <c r="CQ238" s="2" t="e">
        <f t="shared" ca="1" si="187"/>
        <v>#NAME?</v>
      </c>
    </row>
    <row r="239" spans="1:95">
      <c r="A239" s="7" t="e">
        <f ca="1"/>
        <v>#NAME?</v>
      </c>
      <c r="B239" s="2" t="e">
        <f ca="1"/>
        <v>#NAME?</v>
      </c>
      <c r="C239" s="2" t="e">
        <f t="shared" ca="1" si="141"/>
        <v>#NAME?</v>
      </c>
      <c r="D239" s="2" t="e">
        <f ca="1"/>
        <v>#NAME?</v>
      </c>
      <c r="E239" s="2" t="e">
        <f t="shared" ca="1" si="142"/>
        <v>#NAME?</v>
      </c>
      <c r="F239" s="2" t="e">
        <f ca="1"/>
        <v>#NAME?</v>
      </c>
      <c r="G239" s="2" t="e">
        <f t="shared" ca="1" si="143"/>
        <v>#NAME?</v>
      </c>
      <c r="H239" s="2" t="e">
        <f ca="1"/>
        <v>#NAME?</v>
      </c>
      <c r="I239" s="2" t="e">
        <f t="shared" ca="1" si="144"/>
        <v>#NAME?</v>
      </c>
      <c r="J239" s="2" t="e">
        <f ca="1"/>
        <v>#NAME?</v>
      </c>
      <c r="K239" s="2" t="e">
        <f t="shared" ca="1" si="145"/>
        <v>#NAME?</v>
      </c>
      <c r="L239" s="2" t="e">
        <f ca="1"/>
        <v>#NAME?</v>
      </c>
      <c r="M239" s="2" t="e">
        <f t="shared" ca="1" si="146"/>
        <v>#NAME?</v>
      </c>
      <c r="N239" s="2" t="e">
        <f ca="1"/>
        <v>#NAME?</v>
      </c>
      <c r="O239" s="2" t="e">
        <f t="shared" ca="1" si="147"/>
        <v>#NAME?</v>
      </c>
      <c r="P239" s="2" t="e">
        <f ca="1"/>
        <v>#NAME?</v>
      </c>
      <c r="Q239" s="2" t="e">
        <f t="shared" ca="1" si="148"/>
        <v>#NAME?</v>
      </c>
      <c r="R239" s="2" t="e">
        <f ca="1"/>
        <v>#NAME?</v>
      </c>
      <c r="S239" s="2" t="e">
        <f t="shared" ca="1" si="149"/>
        <v>#NAME?</v>
      </c>
      <c r="T239" s="2" t="e">
        <f ca="1"/>
        <v>#NAME?</v>
      </c>
      <c r="U239" s="2" t="e">
        <f t="shared" ca="1" si="150"/>
        <v>#NAME?</v>
      </c>
      <c r="V239" s="2" t="e">
        <f ca="1"/>
        <v>#NAME?</v>
      </c>
      <c r="W239" s="2" t="e">
        <f t="shared" ca="1" si="151"/>
        <v>#NAME?</v>
      </c>
      <c r="X239" s="2" t="e">
        <f ca="1"/>
        <v>#NAME?</v>
      </c>
      <c r="Y239" s="2" t="e">
        <f t="shared" ca="1" si="152"/>
        <v>#NAME?</v>
      </c>
      <c r="Z239" s="2" t="e">
        <f ca="1"/>
        <v>#NAME?</v>
      </c>
      <c r="AA239" s="2" t="e">
        <f t="shared" ca="1" si="153"/>
        <v>#NAME?</v>
      </c>
      <c r="AB239" s="2" t="e">
        <f ca="1"/>
        <v>#NAME?</v>
      </c>
      <c r="AC239" s="2" t="e">
        <f t="shared" ca="1" si="154"/>
        <v>#NAME?</v>
      </c>
      <c r="AD239" s="2" t="e">
        <f ca="1"/>
        <v>#NAME?</v>
      </c>
      <c r="AE239" s="2" t="e">
        <f t="shared" ca="1" si="155"/>
        <v>#NAME?</v>
      </c>
      <c r="AF239" s="2" t="e">
        <f ca="1"/>
        <v>#NAME?</v>
      </c>
      <c r="AG239" s="2" t="e">
        <f t="shared" ca="1" si="156"/>
        <v>#NAME?</v>
      </c>
      <c r="AH239" s="2" t="e">
        <f ca="1"/>
        <v>#NAME?</v>
      </c>
      <c r="AI239" s="2" t="e">
        <f t="shared" ca="1" si="157"/>
        <v>#NAME?</v>
      </c>
      <c r="AJ239" s="2" t="e">
        <f ca="1"/>
        <v>#NAME?</v>
      </c>
      <c r="AK239" s="2" t="e">
        <f t="shared" ca="1" si="158"/>
        <v>#NAME?</v>
      </c>
      <c r="AL239" s="2" t="e">
        <f ca="1"/>
        <v>#NAME?</v>
      </c>
      <c r="AM239" s="2" t="e">
        <f t="shared" ca="1" si="159"/>
        <v>#NAME?</v>
      </c>
      <c r="AN239" s="2" t="e">
        <f ca="1"/>
        <v>#NAME?</v>
      </c>
      <c r="AO239" s="2" t="e">
        <f t="shared" ca="1" si="160"/>
        <v>#NAME?</v>
      </c>
      <c r="AP239" s="2" t="e">
        <f ca="1"/>
        <v>#NAME?</v>
      </c>
      <c r="AQ239" s="2" t="e">
        <f t="shared" ca="1" si="161"/>
        <v>#NAME?</v>
      </c>
      <c r="AR239" s="2" t="e">
        <f ca="1"/>
        <v>#NAME?</v>
      </c>
      <c r="AS239" s="2" t="e">
        <f t="shared" ca="1" si="162"/>
        <v>#NAME?</v>
      </c>
      <c r="AT239" s="2" t="e">
        <f ca="1"/>
        <v>#NAME?</v>
      </c>
      <c r="AU239" s="2" t="e">
        <f t="shared" ca="1" si="163"/>
        <v>#NAME?</v>
      </c>
      <c r="AV239" s="2" t="e">
        <f ca="1"/>
        <v>#NAME?</v>
      </c>
      <c r="AW239" s="2" t="e">
        <f t="shared" ca="1" si="164"/>
        <v>#NAME?</v>
      </c>
      <c r="AX239" s="2" t="e">
        <f ca="1"/>
        <v>#NAME?</v>
      </c>
      <c r="AY239" s="2" t="e">
        <f t="shared" ca="1" si="165"/>
        <v>#NAME?</v>
      </c>
      <c r="AZ239" s="2" t="e">
        <f ca="1"/>
        <v>#NAME?</v>
      </c>
      <c r="BA239" s="2" t="e">
        <f t="shared" ca="1" si="166"/>
        <v>#NAME?</v>
      </c>
      <c r="BB239" s="2" t="e">
        <f ca="1"/>
        <v>#NAME?</v>
      </c>
      <c r="BC239" s="2" t="e">
        <f t="shared" ca="1" si="167"/>
        <v>#NAME?</v>
      </c>
      <c r="BD239" s="2" t="e">
        <f ca="1"/>
        <v>#NAME?</v>
      </c>
      <c r="BE239" s="2" t="e">
        <f t="shared" ca="1" si="168"/>
        <v>#NAME?</v>
      </c>
      <c r="BF239" s="2" t="e">
        <f ca="1"/>
        <v>#NAME?</v>
      </c>
      <c r="BG239" s="2" t="e">
        <f t="shared" ca="1" si="169"/>
        <v>#NAME?</v>
      </c>
      <c r="BH239" s="2" t="e">
        <f ca="1"/>
        <v>#NAME?</v>
      </c>
      <c r="BI239" s="2" t="e">
        <f t="shared" ca="1" si="170"/>
        <v>#NAME?</v>
      </c>
      <c r="BJ239" s="2" t="e">
        <f ca="1"/>
        <v>#NAME?</v>
      </c>
      <c r="BK239" s="2" t="e">
        <f t="shared" ca="1" si="171"/>
        <v>#NAME?</v>
      </c>
      <c r="BL239" s="2" t="e">
        <f ca="1"/>
        <v>#NAME?</v>
      </c>
      <c r="BM239" s="2" t="e">
        <f t="shared" ca="1" si="172"/>
        <v>#NAME?</v>
      </c>
      <c r="BN239" s="2" t="e">
        <f ca="1"/>
        <v>#NAME?</v>
      </c>
      <c r="BO239" s="2" t="e">
        <f t="shared" ca="1" si="173"/>
        <v>#NAME?</v>
      </c>
      <c r="BP239" s="2" t="e">
        <f ca="1"/>
        <v>#NAME?</v>
      </c>
      <c r="BQ239" s="2" t="e">
        <f t="shared" ca="1" si="174"/>
        <v>#NAME?</v>
      </c>
      <c r="BR239" s="2" t="e">
        <f ca="1"/>
        <v>#NAME?</v>
      </c>
      <c r="BS239" s="2" t="e">
        <f t="shared" ca="1" si="175"/>
        <v>#NAME?</v>
      </c>
      <c r="BT239" s="2" t="e">
        <f ca="1"/>
        <v>#NAME?</v>
      </c>
      <c r="BU239" s="2" t="e">
        <f t="shared" ca="1" si="176"/>
        <v>#NAME?</v>
      </c>
      <c r="BV239" s="2" t="e">
        <f ca="1"/>
        <v>#NAME?</v>
      </c>
      <c r="BW239" s="2" t="e">
        <f t="shared" ca="1" si="177"/>
        <v>#NAME?</v>
      </c>
      <c r="BX239" s="2" t="e">
        <f ca="1"/>
        <v>#NAME?</v>
      </c>
      <c r="BY239" s="2" t="e">
        <f t="shared" ca="1" si="178"/>
        <v>#NAME?</v>
      </c>
      <c r="BZ239" s="2" t="e">
        <f ca="1"/>
        <v>#NAME?</v>
      </c>
      <c r="CA239" s="2" t="e">
        <f t="shared" ca="1" si="179"/>
        <v>#NAME?</v>
      </c>
      <c r="CB239" s="2" t="e">
        <f ca="1"/>
        <v>#NAME?</v>
      </c>
      <c r="CC239" s="2" t="e">
        <f t="shared" ca="1" si="180"/>
        <v>#NAME?</v>
      </c>
      <c r="CD239" s="2" t="e">
        <f ca="1"/>
        <v>#NAME?</v>
      </c>
      <c r="CE239" s="2" t="e">
        <f t="shared" ca="1" si="181"/>
        <v>#NAME?</v>
      </c>
      <c r="CF239" s="2" t="e">
        <f ca="1"/>
        <v>#NAME?</v>
      </c>
      <c r="CG239" s="2" t="e">
        <f t="shared" ca="1" si="182"/>
        <v>#NAME?</v>
      </c>
      <c r="CH239" s="2" t="e">
        <f ca="1"/>
        <v>#NAME?</v>
      </c>
      <c r="CI239" s="2" t="e">
        <f t="shared" ca="1" si="183"/>
        <v>#NAME?</v>
      </c>
      <c r="CJ239" s="2" t="e">
        <f ca="1"/>
        <v>#NAME?</v>
      </c>
      <c r="CK239" s="2" t="e">
        <f t="shared" ca="1" si="184"/>
        <v>#NAME?</v>
      </c>
      <c r="CL239" s="2" t="e">
        <f ca="1"/>
        <v>#NAME?</v>
      </c>
      <c r="CM239" s="2" t="e">
        <f t="shared" ca="1" si="185"/>
        <v>#NAME?</v>
      </c>
      <c r="CN239" s="2" t="e">
        <f ca="1"/>
        <v>#NAME?</v>
      </c>
      <c r="CO239" s="2" t="e">
        <f t="shared" ca="1" si="186"/>
        <v>#NAME?</v>
      </c>
      <c r="CP239" s="2" t="e">
        <f ca="1"/>
        <v>#NAME?</v>
      </c>
      <c r="CQ239" s="2" t="e">
        <f t="shared" ca="1" si="187"/>
        <v>#NAME?</v>
      </c>
    </row>
    <row r="240" spans="1:95">
      <c r="A240" s="7" t="e">
        <f ca="1"/>
        <v>#NAME?</v>
      </c>
      <c r="B240" s="2" t="e">
        <f ca="1"/>
        <v>#NAME?</v>
      </c>
      <c r="C240" s="2" t="e">
        <f t="shared" ca="1" si="141"/>
        <v>#NAME?</v>
      </c>
      <c r="D240" s="2" t="e">
        <f ca="1"/>
        <v>#NAME?</v>
      </c>
      <c r="E240" s="2" t="e">
        <f t="shared" ca="1" si="142"/>
        <v>#NAME?</v>
      </c>
      <c r="F240" s="2" t="e">
        <f ca="1"/>
        <v>#NAME?</v>
      </c>
      <c r="G240" s="2" t="e">
        <f t="shared" ca="1" si="143"/>
        <v>#NAME?</v>
      </c>
      <c r="H240" s="2" t="e">
        <f ca="1"/>
        <v>#NAME?</v>
      </c>
      <c r="I240" s="2" t="e">
        <f t="shared" ca="1" si="144"/>
        <v>#NAME?</v>
      </c>
      <c r="J240" s="2" t="e">
        <f ca="1"/>
        <v>#NAME?</v>
      </c>
      <c r="K240" s="2" t="e">
        <f t="shared" ca="1" si="145"/>
        <v>#NAME?</v>
      </c>
      <c r="L240" s="2" t="e">
        <f ca="1"/>
        <v>#NAME?</v>
      </c>
      <c r="M240" s="2" t="e">
        <f t="shared" ca="1" si="146"/>
        <v>#NAME?</v>
      </c>
      <c r="N240" s="2" t="e">
        <f ca="1"/>
        <v>#NAME?</v>
      </c>
      <c r="O240" s="2" t="e">
        <f t="shared" ca="1" si="147"/>
        <v>#NAME?</v>
      </c>
      <c r="P240" s="2" t="e">
        <f ca="1"/>
        <v>#NAME?</v>
      </c>
      <c r="Q240" s="2" t="e">
        <f t="shared" ca="1" si="148"/>
        <v>#NAME?</v>
      </c>
      <c r="R240" s="2" t="e">
        <f ca="1"/>
        <v>#NAME?</v>
      </c>
      <c r="S240" s="2" t="e">
        <f t="shared" ca="1" si="149"/>
        <v>#NAME?</v>
      </c>
      <c r="T240" s="2" t="e">
        <f ca="1"/>
        <v>#NAME?</v>
      </c>
      <c r="U240" s="2" t="e">
        <f t="shared" ca="1" si="150"/>
        <v>#NAME?</v>
      </c>
      <c r="V240" s="2" t="e">
        <f ca="1"/>
        <v>#NAME?</v>
      </c>
      <c r="W240" s="2" t="e">
        <f t="shared" ca="1" si="151"/>
        <v>#NAME?</v>
      </c>
      <c r="X240" s="2" t="e">
        <f ca="1"/>
        <v>#NAME?</v>
      </c>
      <c r="Y240" s="2" t="e">
        <f t="shared" ca="1" si="152"/>
        <v>#NAME?</v>
      </c>
      <c r="Z240" s="2" t="e">
        <f ca="1"/>
        <v>#NAME?</v>
      </c>
      <c r="AA240" s="2" t="e">
        <f t="shared" ca="1" si="153"/>
        <v>#NAME?</v>
      </c>
      <c r="AB240" s="2" t="e">
        <f ca="1"/>
        <v>#NAME?</v>
      </c>
      <c r="AC240" s="2" t="e">
        <f t="shared" ca="1" si="154"/>
        <v>#NAME?</v>
      </c>
      <c r="AD240" s="2" t="e">
        <f ca="1"/>
        <v>#NAME?</v>
      </c>
      <c r="AE240" s="2" t="e">
        <f t="shared" ca="1" si="155"/>
        <v>#NAME?</v>
      </c>
      <c r="AF240" s="2" t="e">
        <f ca="1"/>
        <v>#NAME?</v>
      </c>
      <c r="AG240" s="2" t="e">
        <f t="shared" ca="1" si="156"/>
        <v>#NAME?</v>
      </c>
      <c r="AH240" s="2" t="e">
        <f ca="1"/>
        <v>#NAME?</v>
      </c>
      <c r="AI240" s="2" t="e">
        <f t="shared" ca="1" si="157"/>
        <v>#NAME?</v>
      </c>
      <c r="AJ240" s="2" t="e">
        <f ca="1"/>
        <v>#NAME?</v>
      </c>
      <c r="AK240" s="2" t="e">
        <f t="shared" ca="1" si="158"/>
        <v>#NAME?</v>
      </c>
      <c r="AL240" s="2" t="e">
        <f ca="1"/>
        <v>#NAME?</v>
      </c>
      <c r="AM240" s="2" t="e">
        <f t="shared" ca="1" si="159"/>
        <v>#NAME?</v>
      </c>
      <c r="AN240" s="2" t="e">
        <f ca="1"/>
        <v>#NAME?</v>
      </c>
      <c r="AO240" s="2" t="e">
        <f t="shared" ca="1" si="160"/>
        <v>#NAME?</v>
      </c>
      <c r="AP240" s="2" t="e">
        <f ca="1"/>
        <v>#NAME?</v>
      </c>
      <c r="AQ240" s="2" t="e">
        <f t="shared" ca="1" si="161"/>
        <v>#NAME?</v>
      </c>
      <c r="AR240" s="2" t="e">
        <f ca="1"/>
        <v>#NAME?</v>
      </c>
      <c r="AS240" s="2" t="e">
        <f t="shared" ca="1" si="162"/>
        <v>#NAME?</v>
      </c>
      <c r="AT240" s="2" t="e">
        <f ca="1"/>
        <v>#NAME?</v>
      </c>
      <c r="AU240" s="2" t="e">
        <f t="shared" ca="1" si="163"/>
        <v>#NAME?</v>
      </c>
      <c r="AV240" s="2" t="e">
        <f ca="1"/>
        <v>#NAME?</v>
      </c>
      <c r="AW240" s="2" t="e">
        <f t="shared" ca="1" si="164"/>
        <v>#NAME?</v>
      </c>
      <c r="AX240" s="2" t="e">
        <f ca="1"/>
        <v>#NAME?</v>
      </c>
      <c r="AY240" s="2" t="e">
        <f t="shared" ca="1" si="165"/>
        <v>#NAME?</v>
      </c>
      <c r="AZ240" s="2" t="e">
        <f ca="1"/>
        <v>#NAME?</v>
      </c>
      <c r="BA240" s="2" t="e">
        <f t="shared" ca="1" si="166"/>
        <v>#NAME?</v>
      </c>
      <c r="BB240" s="2" t="e">
        <f ca="1"/>
        <v>#NAME?</v>
      </c>
      <c r="BC240" s="2" t="e">
        <f t="shared" ca="1" si="167"/>
        <v>#NAME?</v>
      </c>
      <c r="BD240" s="2" t="e">
        <f ca="1"/>
        <v>#NAME?</v>
      </c>
      <c r="BE240" s="2" t="e">
        <f t="shared" ca="1" si="168"/>
        <v>#NAME?</v>
      </c>
      <c r="BF240" s="2" t="e">
        <f ca="1"/>
        <v>#NAME?</v>
      </c>
      <c r="BG240" s="2" t="e">
        <f t="shared" ca="1" si="169"/>
        <v>#NAME?</v>
      </c>
      <c r="BH240" s="2" t="e">
        <f ca="1"/>
        <v>#NAME?</v>
      </c>
      <c r="BI240" s="2" t="e">
        <f t="shared" ca="1" si="170"/>
        <v>#NAME?</v>
      </c>
      <c r="BJ240" s="2" t="e">
        <f ca="1"/>
        <v>#NAME?</v>
      </c>
      <c r="BK240" s="2" t="e">
        <f t="shared" ca="1" si="171"/>
        <v>#NAME?</v>
      </c>
      <c r="BL240" s="2" t="e">
        <f ca="1"/>
        <v>#NAME?</v>
      </c>
      <c r="BM240" s="2" t="e">
        <f t="shared" ca="1" si="172"/>
        <v>#NAME?</v>
      </c>
      <c r="BN240" s="2" t="e">
        <f ca="1"/>
        <v>#NAME?</v>
      </c>
      <c r="BO240" s="2" t="e">
        <f t="shared" ca="1" si="173"/>
        <v>#NAME?</v>
      </c>
      <c r="BP240" s="2" t="e">
        <f ca="1"/>
        <v>#NAME?</v>
      </c>
      <c r="BQ240" s="2" t="e">
        <f t="shared" ca="1" si="174"/>
        <v>#NAME?</v>
      </c>
      <c r="BR240" s="2" t="e">
        <f ca="1"/>
        <v>#NAME?</v>
      </c>
      <c r="BS240" s="2" t="e">
        <f t="shared" ca="1" si="175"/>
        <v>#NAME?</v>
      </c>
      <c r="BT240" s="2" t="e">
        <f ca="1"/>
        <v>#NAME?</v>
      </c>
      <c r="BU240" s="2" t="e">
        <f t="shared" ca="1" si="176"/>
        <v>#NAME?</v>
      </c>
      <c r="BV240" s="2" t="e">
        <f ca="1"/>
        <v>#NAME?</v>
      </c>
      <c r="BW240" s="2" t="e">
        <f t="shared" ca="1" si="177"/>
        <v>#NAME?</v>
      </c>
      <c r="BX240" s="2" t="e">
        <f ca="1"/>
        <v>#NAME?</v>
      </c>
      <c r="BY240" s="2" t="e">
        <f t="shared" ca="1" si="178"/>
        <v>#NAME?</v>
      </c>
      <c r="BZ240" s="2" t="e">
        <f ca="1"/>
        <v>#NAME?</v>
      </c>
      <c r="CA240" s="2" t="e">
        <f t="shared" ca="1" si="179"/>
        <v>#NAME?</v>
      </c>
      <c r="CB240" s="2" t="e">
        <f ca="1"/>
        <v>#NAME?</v>
      </c>
      <c r="CC240" s="2" t="e">
        <f t="shared" ca="1" si="180"/>
        <v>#NAME?</v>
      </c>
      <c r="CD240" s="2" t="e">
        <f ca="1"/>
        <v>#NAME?</v>
      </c>
      <c r="CE240" s="2" t="e">
        <f t="shared" ca="1" si="181"/>
        <v>#NAME?</v>
      </c>
      <c r="CF240" s="2" t="e">
        <f ca="1"/>
        <v>#NAME?</v>
      </c>
      <c r="CG240" s="2" t="e">
        <f t="shared" ca="1" si="182"/>
        <v>#NAME?</v>
      </c>
      <c r="CH240" s="2" t="e">
        <f ca="1"/>
        <v>#NAME?</v>
      </c>
      <c r="CI240" s="2" t="e">
        <f t="shared" ca="1" si="183"/>
        <v>#NAME?</v>
      </c>
      <c r="CJ240" s="2" t="e">
        <f ca="1"/>
        <v>#NAME?</v>
      </c>
      <c r="CK240" s="2" t="e">
        <f t="shared" ca="1" si="184"/>
        <v>#NAME?</v>
      </c>
      <c r="CL240" s="2" t="e">
        <f ca="1"/>
        <v>#NAME?</v>
      </c>
      <c r="CM240" s="2" t="e">
        <f t="shared" ca="1" si="185"/>
        <v>#NAME?</v>
      </c>
      <c r="CN240" s="2" t="e">
        <f ca="1"/>
        <v>#NAME?</v>
      </c>
      <c r="CO240" s="2" t="e">
        <f t="shared" ca="1" si="186"/>
        <v>#NAME?</v>
      </c>
      <c r="CP240" s="2" t="e">
        <f ca="1"/>
        <v>#NAME?</v>
      </c>
      <c r="CQ240" s="2" t="e">
        <f t="shared" ca="1" si="187"/>
        <v>#NAME?</v>
      </c>
    </row>
    <row r="241" spans="1:95">
      <c r="A241" s="7" t="e">
        <f ca="1"/>
        <v>#NAME?</v>
      </c>
      <c r="B241" s="2" t="e">
        <f ca="1"/>
        <v>#NAME?</v>
      </c>
      <c r="C241" s="2" t="e">
        <f t="shared" ca="1" si="141"/>
        <v>#NAME?</v>
      </c>
      <c r="D241" s="2" t="e">
        <f ca="1"/>
        <v>#NAME?</v>
      </c>
      <c r="E241" s="2" t="e">
        <f t="shared" ca="1" si="142"/>
        <v>#NAME?</v>
      </c>
      <c r="F241" s="2" t="e">
        <f ca="1"/>
        <v>#NAME?</v>
      </c>
      <c r="G241" s="2" t="e">
        <f t="shared" ca="1" si="143"/>
        <v>#NAME?</v>
      </c>
      <c r="H241" s="2" t="e">
        <f ca="1"/>
        <v>#NAME?</v>
      </c>
      <c r="I241" s="2" t="e">
        <f t="shared" ca="1" si="144"/>
        <v>#NAME?</v>
      </c>
      <c r="J241" s="2" t="e">
        <f ca="1"/>
        <v>#NAME?</v>
      </c>
      <c r="K241" s="2" t="e">
        <f t="shared" ca="1" si="145"/>
        <v>#NAME?</v>
      </c>
      <c r="L241" s="2" t="e">
        <f ca="1"/>
        <v>#NAME?</v>
      </c>
      <c r="M241" s="2" t="e">
        <f t="shared" ca="1" si="146"/>
        <v>#NAME?</v>
      </c>
      <c r="N241" s="2" t="e">
        <f ca="1"/>
        <v>#NAME?</v>
      </c>
      <c r="O241" s="2" t="e">
        <f t="shared" ca="1" si="147"/>
        <v>#NAME?</v>
      </c>
      <c r="P241" s="2" t="e">
        <f ca="1"/>
        <v>#NAME?</v>
      </c>
      <c r="Q241" s="2" t="e">
        <f t="shared" ca="1" si="148"/>
        <v>#NAME?</v>
      </c>
      <c r="R241" s="2" t="e">
        <f ca="1"/>
        <v>#NAME?</v>
      </c>
      <c r="S241" s="2" t="e">
        <f t="shared" ca="1" si="149"/>
        <v>#NAME?</v>
      </c>
      <c r="T241" s="2" t="e">
        <f ca="1"/>
        <v>#NAME?</v>
      </c>
      <c r="U241" s="2" t="e">
        <f t="shared" ca="1" si="150"/>
        <v>#NAME?</v>
      </c>
      <c r="V241" s="2" t="e">
        <f ca="1"/>
        <v>#NAME?</v>
      </c>
      <c r="W241" s="2" t="e">
        <f t="shared" ca="1" si="151"/>
        <v>#NAME?</v>
      </c>
      <c r="X241" s="2" t="e">
        <f ca="1"/>
        <v>#NAME?</v>
      </c>
      <c r="Y241" s="2" t="e">
        <f t="shared" ca="1" si="152"/>
        <v>#NAME?</v>
      </c>
      <c r="Z241" s="2" t="e">
        <f ca="1"/>
        <v>#NAME?</v>
      </c>
      <c r="AA241" s="2" t="e">
        <f t="shared" ca="1" si="153"/>
        <v>#NAME?</v>
      </c>
      <c r="AB241" s="2" t="e">
        <f ca="1"/>
        <v>#NAME?</v>
      </c>
      <c r="AC241" s="2" t="e">
        <f t="shared" ca="1" si="154"/>
        <v>#NAME?</v>
      </c>
      <c r="AD241" s="2" t="e">
        <f ca="1"/>
        <v>#NAME?</v>
      </c>
      <c r="AE241" s="2" t="e">
        <f t="shared" ca="1" si="155"/>
        <v>#NAME?</v>
      </c>
      <c r="AF241" s="2" t="e">
        <f ca="1"/>
        <v>#NAME?</v>
      </c>
      <c r="AG241" s="2" t="e">
        <f t="shared" ca="1" si="156"/>
        <v>#NAME?</v>
      </c>
      <c r="AH241" s="2" t="e">
        <f ca="1"/>
        <v>#NAME?</v>
      </c>
      <c r="AI241" s="2" t="e">
        <f t="shared" ca="1" si="157"/>
        <v>#NAME?</v>
      </c>
      <c r="AJ241" s="2" t="e">
        <f ca="1"/>
        <v>#NAME?</v>
      </c>
      <c r="AK241" s="2" t="e">
        <f t="shared" ca="1" si="158"/>
        <v>#NAME?</v>
      </c>
      <c r="AL241" s="2" t="e">
        <f ca="1"/>
        <v>#NAME?</v>
      </c>
      <c r="AM241" s="2" t="e">
        <f t="shared" ca="1" si="159"/>
        <v>#NAME?</v>
      </c>
      <c r="AN241" s="2" t="e">
        <f ca="1"/>
        <v>#NAME?</v>
      </c>
      <c r="AO241" s="2" t="e">
        <f t="shared" ca="1" si="160"/>
        <v>#NAME?</v>
      </c>
      <c r="AP241" s="2" t="e">
        <f ca="1"/>
        <v>#NAME?</v>
      </c>
      <c r="AQ241" s="2" t="e">
        <f t="shared" ca="1" si="161"/>
        <v>#NAME?</v>
      </c>
      <c r="AR241" s="2" t="e">
        <f ca="1"/>
        <v>#NAME?</v>
      </c>
      <c r="AS241" s="2" t="e">
        <f t="shared" ca="1" si="162"/>
        <v>#NAME?</v>
      </c>
      <c r="AT241" s="2" t="e">
        <f ca="1"/>
        <v>#NAME?</v>
      </c>
      <c r="AU241" s="2" t="e">
        <f t="shared" ca="1" si="163"/>
        <v>#NAME?</v>
      </c>
      <c r="AV241" s="2" t="e">
        <f ca="1"/>
        <v>#NAME?</v>
      </c>
      <c r="AW241" s="2" t="e">
        <f t="shared" ca="1" si="164"/>
        <v>#NAME?</v>
      </c>
      <c r="AX241" s="2" t="e">
        <f ca="1"/>
        <v>#NAME?</v>
      </c>
      <c r="AY241" s="2" t="e">
        <f t="shared" ca="1" si="165"/>
        <v>#NAME?</v>
      </c>
      <c r="AZ241" s="2" t="e">
        <f ca="1"/>
        <v>#NAME?</v>
      </c>
      <c r="BA241" s="2" t="e">
        <f t="shared" ca="1" si="166"/>
        <v>#NAME?</v>
      </c>
      <c r="BB241" s="2" t="e">
        <f ca="1"/>
        <v>#NAME?</v>
      </c>
      <c r="BC241" s="2" t="e">
        <f t="shared" ca="1" si="167"/>
        <v>#NAME?</v>
      </c>
      <c r="BD241" s="2" t="e">
        <f ca="1"/>
        <v>#NAME?</v>
      </c>
      <c r="BE241" s="2" t="e">
        <f t="shared" ca="1" si="168"/>
        <v>#NAME?</v>
      </c>
      <c r="BF241" s="2" t="e">
        <f ca="1"/>
        <v>#NAME?</v>
      </c>
      <c r="BG241" s="2" t="e">
        <f t="shared" ca="1" si="169"/>
        <v>#NAME?</v>
      </c>
      <c r="BH241" s="2" t="e">
        <f ca="1"/>
        <v>#NAME?</v>
      </c>
      <c r="BI241" s="2" t="e">
        <f t="shared" ca="1" si="170"/>
        <v>#NAME?</v>
      </c>
      <c r="BJ241" s="2" t="e">
        <f ca="1"/>
        <v>#NAME?</v>
      </c>
      <c r="BK241" s="2" t="e">
        <f t="shared" ca="1" si="171"/>
        <v>#NAME?</v>
      </c>
      <c r="BL241" s="2" t="e">
        <f ca="1"/>
        <v>#NAME?</v>
      </c>
      <c r="BM241" s="2" t="e">
        <f t="shared" ca="1" si="172"/>
        <v>#NAME?</v>
      </c>
      <c r="BN241" s="2" t="e">
        <f ca="1"/>
        <v>#NAME?</v>
      </c>
      <c r="BO241" s="2" t="e">
        <f t="shared" ca="1" si="173"/>
        <v>#NAME?</v>
      </c>
      <c r="BP241" s="2" t="e">
        <f ca="1"/>
        <v>#NAME?</v>
      </c>
      <c r="BQ241" s="2" t="e">
        <f t="shared" ca="1" si="174"/>
        <v>#NAME?</v>
      </c>
      <c r="BR241" s="2" t="e">
        <f ca="1"/>
        <v>#NAME?</v>
      </c>
      <c r="BS241" s="2" t="e">
        <f t="shared" ca="1" si="175"/>
        <v>#NAME?</v>
      </c>
      <c r="BT241" s="2" t="e">
        <f ca="1"/>
        <v>#NAME?</v>
      </c>
      <c r="BU241" s="2" t="e">
        <f t="shared" ca="1" si="176"/>
        <v>#NAME?</v>
      </c>
      <c r="BV241" s="2" t="e">
        <f ca="1"/>
        <v>#NAME?</v>
      </c>
      <c r="BW241" s="2" t="e">
        <f t="shared" ca="1" si="177"/>
        <v>#NAME?</v>
      </c>
      <c r="BX241" s="2" t="e">
        <f ca="1"/>
        <v>#NAME?</v>
      </c>
      <c r="BY241" s="2" t="e">
        <f t="shared" ca="1" si="178"/>
        <v>#NAME?</v>
      </c>
      <c r="BZ241" s="2" t="e">
        <f ca="1"/>
        <v>#NAME?</v>
      </c>
      <c r="CA241" s="2" t="e">
        <f t="shared" ca="1" si="179"/>
        <v>#NAME?</v>
      </c>
      <c r="CB241" s="2" t="e">
        <f ca="1"/>
        <v>#NAME?</v>
      </c>
      <c r="CC241" s="2" t="e">
        <f t="shared" ca="1" si="180"/>
        <v>#NAME?</v>
      </c>
      <c r="CD241" s="2" t="e">
        <f ca="1"/>
        <v>#NAME?</v>
      </c>
      <c r="CE241" s="2" t="e">
        <f t="shared" ca="1" si="181"/>
        <v>#NAME?</v>
      </c>
      <c r="CF241" s="2" t="e">
        <f ca="1"/>
        <v>#NAME?</v>
      </c>
      <c r="CG241" s="2" t="e">
        <f t="shared" ca="1" si="182"/>
        <v>#NAME?</v>
      </c>
      <c r="CH241" s="2" t="e">
        <f ca="1"/>
        <v>#NAME?</v>
      </c>
      <c r="CI241" s="2" t="e">
        <f t="shared" ca="1" si="183"/>
        <v>#NAME?</v>
      </c>
      <c r="CJ241" s="2" t="e">
        <f ca="1"/>
        <v>#NAME?</v>
      </c>
      <c r="CK241" s="2" t="e">
        <f t="shared" ca="1" si="184"/>
        <v>#NAME?</v>
      </c>
      <c r="CL241" s="2" t="e">
        <f ca="1"/>
        <v>#NAME?</v>
      </c>
      <c r="CM241" s="2" t="e">
        <f t="shared" ca="1" si="185"/>
        <v>#NAME?</v>
      </c>
      <c r="CN241" s="2" t="e">
        <f ca="1"/>
        <v>#NAME?</v>
      </c>
      <c r="CO241" s="2" t="e">
        <f t="shared" ca="1" si="186"/>
        <v>#NAME?</v>
      </c>
      <c r="CP241" s="2" t="e">
        <f ca="1"/>
        <v>#NAME?</v>
      </c>
      <c r="CQ241" s="2" t="e">
        <f t="shared" ca="1" si="187"/>
        <v>#NAME?</v>
      </c>
    </row>
    <row r="242" spans="1:95">
      <c r="A242" s="7" t="e">
        <f ca="1"/>
        <v>#NAME?</v>
      </c>
      <c r="B242" s="2" t="e">
        <f ca="1"/>
        <v>#NAME?</v>
      </c>
      <c r="C242" s="2" t="e">
        <f t="shared" ca="1" si="141"/>
        <v>#NAME?</v>
      </c>
      <c r="D242" s="2" t="e">
        <f ca="1"/>
        <v>#NAME?</v>
      </c>
      <c r="E242" s="2" t="e">
        <f t="shared" ca="1" si="142"/>
        <v>#NAME?</v>
      </c>
      <c r="F242" s="2" t="e">
        <f ca="1"/>
        <v>#NAME?</v>
      </c>
      <c r="G242" s="2" t="e">
        <f t="shared" ca="1" si="143"/>
        <v>#NAME?</v>
      </c>
      <c r="H242" s="2" t="e">
        <f ca="1"/>
        <v>#NAME?</v>
      </c>
      <c r="I242" s="2" t="e">
        <f t="shared" ca="1" si="144"/>
        <v>#NAME?</v>
      </c>
      <c r="J242" s="2" t="e">
        <f ca="1"/>
        <v>#NAME?</v>
      </c>
      <c r="K242" s="2" t="e">
        <f t="shared" ca="1" si="145"/>
        <v>#NAME?</v>
      </c>
      <c r="L242" s="2" t="e">
        <f ca="1"/>
        <v>#NAME?</v>
      </c>
      <c r="M242" s="2" t="e">
        <f t="shared" ca="1" si="146"/>
        <v>#NAME?</v>
      </c>
      <c r="N242" s="2" t="e">
        <f ca="1"/>
        <v>#NAME?</v>
      </c>
      <c r="O242" s="2" t="e">
        <f t="shared" ca="1" si="147"/>
        <v>#NAME?</v>
      </c>
      <c r="P242" s="2" t="e">
        <f ca="1"/>
        <v>#NAME?</v>
      </c>
      <c r="Q242" s="2" t="e">
        <f t="shared" ca="1" si="148"/>
        <v>#NAME?</v>
      </c>
      <c r="R242" s="2" t="e">
        <f ca="1"/>
        <v>#NAME?</v>
      </c>
      <c r="S242" s="2" t="e">
        <f t="shared" ca="1" si="149"/>
        <v>#NAME?</v>
      </c>
      <c r="T242" s="2" t="e">
        <f ca="1"/>
        <v>#NAME?</v>
      </c>
      <c r="U242" s="2" t="e">
        <f t="shared" ca="1" si="150"/>
        <v>#NAME?</v>
      </c>
      <c r="V242" s="2" t="e">
        <f ca="1"/>
        <v>#NAME?</v>
      </c>
      <c r="W242" s="2" t="e">
        <f t="shared" ca="1" si="151"/>
        <v>#NAME?</v>
      </c>
      <c r="X242" s="2" t="e">
        <f ca="1"/>
        <v>#NAME?</v>
      </c>
      <c r="Y242" s="2" t="e">
        <f t="shared" ca="1" si="152"/>
        <v>#NAME?</v>
      </c>
      <c r="Z242" s="2" t="e">
        <f ca="1"/>
        <v>#NAME?</v>
      </c>
      <c r="AA242" s="2" t="e">
        <f t="shared" ca="1" si="153"/>
        <v>#NAME?</v>
      </c>
      <c r="AB242" s="2" t="e">
        <f ca="1"/>
        <v>#NAME?</v>
      </c>
      <c r="AC242" s="2" t="e">
        <f t="shared" ca="1" si="154"/>
        <v>#NAME?</v>
      </c>
      <c r="AD242" s="2" t="e">
        <f ca="1"/>
        <v>#NAME?</v>
      </c>
      <c r="AE242" s="2" t="e">
        <f t="shared" ca="1" si="155"/>
        <v>#NAME?</v>
      </c>
      <c r="AF242" s="2" t="e">
        <f ca="1"/>
        <v>#NAME?</v>
      </c>
      <c r="AG242" s="2" t="e">
        <f t="shared" ca="1" si="156"/>
        <v>#NAME?</v>
      </c>
      <c r="AH242" s="2" t="e">
        <f ca="1"/>
        <v>#NAME?</v>
      </c>
      <c r="AI242" s="2" t="e">
        <f t="shared" ca="1" si="157"/>
        <v>#NAME?</v>
      </c>
      <c r="AJ242" s="2" t="e">
        <f ca="1"/>
        <v>#NAME?</v>
      </c>
      <c r="AK242" s="2" t="e">
        <f t="shared" ca="1" si="158"/>
        <v>#NAME?</v>
      </c>
      <c r="AL242" s="2" t="e">
        <f ca="1"/>
        <v>#NAME?</v>
      </c>
      <c r="AM242" s="2" t="e">
        <f t="shared" ca="1" si="159"/>
        <v>#NAME?</v>
      </c>
      <c r="AN242" s="2" t="e">
        <f ca="1"/>
        <v>#NAME?</v>
      </c>
      <c r="AO242" s="2" t="e">
        <f t="shared" ca="1" si="160"/>
        <v>#NAME?</v>
      </c>
      <c r="AP242" s="2" t="e">
        <f ca="1"/>
        <v>#NAME?</v>
      </c>
      <c r="AQ242" s="2" t="e">
        <f t="shared" ca="1" si="161"/>
        <v>#NAME?</v>
      </c>
      <c r="AR242" s="2" t="e">
        <f ca="1"/>
        <v>#NAME?</v>
      </c>
      <c r="AS242" s="2" t="e">
        <f t="shared" ca="1" si="162"/>
        <v>#NAME?</v>
      </c>
      <c r="AT242" s="2" t="e">
        <f ca="1"/>
        <v>#NAME?</v>
      </c>
      <c r="AU242" s="2" t="e">
        <f t="shared" ca="1" si="163"/>
        <v>#NAME?</v>
      </c>
      <c r="AV242" s="2" t="e">
        <f ca="1"/>
        <v>#NAME?</v>
      </c>
      <c r="AW242" s="2" t="e">
        <f t="shared" ca="1" si="164"/>
        <v>#NAME?</v>
      </c>
      <c r="AX242" s="2" t="e">
        <f ca="1"/>
        <v>#NAME?</v>
      </c>
      <c r="AY242" s="2" t="e">
        <f t="shared" ca="1" si="165"/>
        <v>#NAME?</v>
      </c>
      <c r="AZ242" s="2" t="e">
        <f ca="1"/>
        <v>#NAME?</v>
      </c>
      <c r="BA242" s="2" t="e">
        <f t="shared" ca="1" si="166"/>
        <v>#NAME?</v>
      </c>
      <c r="BB242" s="2" t="e">
        <f ca="1"/>
        <v>#NAME?</v>
      </c>
      <c r="BC242" s="2" t="e">
        <f t="shared" ca="1" si="167"/>
        <v>#NAME?</v>
      </c>
      <c r="BD242" s="2" t="e">
        <f ca="1"/>
        <v>#NAME?</v>
      </c>
      <c r="BE242" s="2" t="e">
        <f t="shared" ca="1" si="168"/>
        <v>#NAME?</v>
      </c>
      <c r="BF242" s="2" t="e">
        <f ca="1"/>
        <v>#NAME?</v>
      </c>
      <c r="BG242" s="2" t="e">
        <f t="shared" ca="1" si="169"/>
        <v>#NAME?</v>
      </c>
      <c r="BH242" s="2" t="e">
        <f ca="1"/>
        <v>#NAME?</v>
      </c>
      <c r="BI242" s="2" t="e">
        <f t="shared" ca="1" si="170"/>
        <v>#NAME?</v>
      </c>
      <c r="BJ242" s="2" t="e">
        <f ca="1"/>
        <v>#NAME?</v>
      </c>
      <c r="BK242" s="2" t="e">
        <f t="shared" ca="1" si="171"/>
        <v>#NAME?</v>
      </c>
      <c r="BL242" s="2" t="e">
        <f ca="1"/>
        <v>#NAME?</v>
      </c>
      <c r="BM242" s="2" t="e">
        <f t="shared" ca="1" si="172"/>
        <v>#NAME?</v>
      </c>
      <c r="BN242" s="2" t="e">
        <f ca="1"/>
        <v>#NAME?</v>
      </c>
      <c r="BO242" s="2" t="e">
        <f t="shared" ca="1" si="173"/>
        <v>#NAME?</v>
      </c>
      <c r="BP242" s="2" t="e">
        <f ca="1"/>
        <v>#NAME?</v>
      </c>
      <c r="BQ242" s="2" t="e">
        <f t="shared" ca="1" si="174"/>
        <v>#NAME?</v>
      </c>
      <c r="BR242" s="2" t="e">
        <f ca="1"/>
        <v>#NAME?</v>
      </c>
      <c r="BS242" s="2" t="e">
        <f t="shared" ca="1" si="175"/>
        <v>#NAME?</v>
      </c>
      <c r="BT242" s="2" t="e">
        <f ca="1"/>
        <v>#NAME?</v>
      </c>
      <c r="BU242" s="2" t="e">
        <f t="shared" ca="1" si="176"/>
        <v>#NAME?</v>
      </c>
      <c r="BV242" s="2" t="e">
        <f ca="1"/>
        <v>#NAME?</v>
      </c>
      <c r="BW242" s="2" t="e">
        <f t="shared" ca="1" si="177"/>
        <v>#NAME?</v>
      </c>
      <c r="BX242" s="2" t="e">
        <f ca="1"/>
        <v>#NAME?</v>
      </c>
      <c r="BY242" s="2" t="e">
        <f t="shared" ca="1" si="178"/>
        <v>#NAME?</v>
      </c>
      <c r="BZ242" s="2" t="e">
        <f ca="1"/>
        <v>#NAME?</v>
      </c>
      <c r="CA242" s="2" t="e">
        <f t="shared" ca="1" si="179"/>
        <v>#NAME?</v>
      </c>
      <c r="CB242" s="2" t="e">
        <f ca="1"/>
        <v>#NAME?</v>
      </c>
      <c r="CC242" s="2" t="e">
        <f t="shared" ca="1" si="180"/>
        <v>#NAME?</v>
      </c>
      <c r="CD242" s="2" t="e">
        <f ca="1"/>
        <v>#NAME?</v>
      </c>
      <c r="CE242" s="2" t="e">
        <f t="shared" ca="1" si="181"/>
        <v>#NAME?</v>
      </c>
      <c r="CF242" s="2" t="e">
        <f ca="1"/>
        <v>#NAME?</v>
      </c>
      <c r="CG242" s="2" t="e">
        <f t="shared" ca="1" si="182"/>
        <v>#NAME?</v>
      </c>
      <c r="CH242" s="2" t="e">
        <f ca="1"/>
        <v>#NAME?</v>
      </c>
      <c r="CI242" s="2" t="e">
        <f t="shared" ca="1" si="183"/>
        <v>#NAME?</v>
      </c>
      <c r="CJ242" s="2" t="e">
        <f ca="1"/>
        <v>#NAME?</v>
      </c>
      <c r="CK242" s="2" t="e">
        <f t="shared" ca="1" si="184"/>
        <v>#NAME?</v>
      </c>
      <c r="CL242" s="2" t="e">
        <f ca="1"/>
        <v>#NAME?</v>
      </c>
      <c r="CM242" s="2" t="e">
        <f t="shared" ca="1" si="185"/>
        <v>#NAME?</v>
      </c>
      <c r="CN242" s="2" t="e">
        <f ca="1"/>
        <v>#NAME?</v>
      </c>
      <c r="CO242" s="2" t="e">
        <f t="shared" ca="1" si="186"/>
        <v>#NAME?</v>
      </c>
      <c r="CP242" s="2" t="e">
        <f ca="1"/>
        <v>#NAME?</v>
      </c>
      <c r="CQ242" s="2" t="e">
        <f t="shared" ca="1" si="187"/>
        <v>#NAME?</v>
      </c>
    </row>
    <row r="243" spans="1:95">
      <c r="A243" s="7" t="e">
        <f ca="1"/>
        <v>#NAME?</v>
      </c>
      <c r="B243" s="2" t="e">
        <f ca="1"/>
        <v>#NAME?</v>
      </c>
      <c r="C243" s="2" t="e">
        <f t="shared" ca="1" si="141"/>
        <v>#NAME?</v>
      </c>
      <c r="D243" s="2" t="e">
        <f ca="1"/>
        <v>#NAME?</v>
      </c>
      <c r="E243" s="2" t="e">
        <f t="shared" ca="1" si="142"/>
        <v>#NAME?</v>
      </c>
      <c r="F243" s="2" t="e">
        <f ca="1"/>
        <v>#NAME?</v>
      </c>
      <c r="G243" s="2" t="e">
        <f t="shared" ca="1" si="143"/>
        <v>#NAME?</v>
      </c>
      <c r="H243" s="2" t="e">
        <f ca="1"/>
        <v>#NAME?</v>
      </c>
      <c r="I243" s="2" t="e">
        <f t="shared" ca="1" si="144"/>
        <v>#NAME?</v>
      </c>
      <c r="J243" s="2" t="e">
        <f ca="1"/>
        <v>#NAME?</v>
      </c>
      <c r="K243" s="2" t="e">
        <f t="shared" ca="1" si="145"/>
        <v>#NAME?</v>
      </c>
      <c r="L243" s="2" t="e">
        <f ca="1"/>
        <v>#NAME?</v>
      </c>
      <c r="M243" s="2" t="e">
        <f t="shared" ca="1" si="146"/>
        <v>#NAME?</v>
      </c>
      <c r="N243" s="2" t="e">
        <f ca="1"/>
        <v>#NAME?</v>
      </c>
      <c r="O243" s="2" t="e">
        <f t="shared" ca="1" si="147"/>
        <v>#NAME?</v>
      </c>
      <c r="P243" s="2" t="e">
        <f ca="1"/>
        <v>#NAME?</v>
      </c>
      <c r="Q243" s="2" t="e">
        <f t="shared" ca="1" si="148"/>
        <v>#NAME?</v>
      </c>
      <c r="R243" s="2" t="e">
        <f ca="1"/>
        <v>#NAME?</v>
      </c>
      <c r="S243" s="2" t="e">
        <f t="shared" ca="1" si="149"/>
        <v>#NAME?</v>
      </c>
      <c r="T243" s="2" t="e">
        <f ca="1"/>
        <v>#NAME?</v>
      </c>
      <c r="U243" s="2" t="e">
        <f t="shared" ca="1" si="150"/>
        <v>#NAME?</v>
      </c>
      <c r="V243" s="2" t="e">
        <f ca="1"/>
        <v>#NAME?</v>
      </c>
      <c r="W243" s="2" t="e">
        <f t="shared" ca="1" si="151"/>
        <v>#NAME?</v>
      </c>
      <c r="X243" s="2" t="e">
        <f ca="1"/>
        <v>#NAME?</v>
      </c>
      <c r="Y243" s="2" t="e">
        <f t="shared" ca="1" si="152"/>
        <v>#NAME?</v>
      </c>
      <c r="Z243" s="2" t="e">
        <f ca="1"/>
        <v>#NAME?</v>
      </c>
      <c r="AA243" s="2" t="e">
        <f t="shared" ca="1" si="153"/>
        <v>#NAME?</v>
      </c>
      <c r="AB243" s="2" t="e">
        <f ca="1"/>
        <v>#NAME?</v>
      </c>
      <c r="AC243" s="2" t="e">
        <f t="shared" ca="1" si="154"/>
        <v>#NAME?</v>
      </c>
      <c r="AD243" s="2" t="e">
        <f ca="1"/>
        <v>#NAME?</v>
      </c>
      <c r="AE243" s="2" t="e">
        <f t="shared" ca="1" si="155"/>
        <v>#NAME?</v>
      </c>
      <c r="AF243" s="2" t="e">
        <f ca="1"/>
        <v>#NAME?</v>
      </c>
      <c r="AG243" s="2" t="e">
        <f t="shared" ca="1" si="156"/>
        <v>#NAME?</v>
      </c>
      <c r="AH243" s="2" t="e">
        <f ca="1"/>
        <v>#NAME?</v>
      </c>
      <c r="AI243" s="2" t="e">
        <f t="shared" ca="1" si="157"/>
        <v>#NAME?</v>
      </c>
      <c r="AJ243" s="2" t="e">
        <f ca="1"/>
        <v>#NAME?</v>
      </c>
      <c r="AK243" s="2" t="e">
        <f t="shared" ca="1" si="158"/>
        <v>#NAME?</v>
      </c>
      <c r="AL243" s="2" t="e">
        <f ca="1"/>
        <v>#NAME?</v>
      </c>
      <c r="AM243" s="2" t="e">
        <f t="shared" ca="1" si="159"/>
        <v>#NAME?</v>
      </c>
      <c r="AN243" s="2" t="e">
        <f ca="1"/>
        <v>#NAME?</v>
      </c>
      <c r="AO243" s="2" t="e">
        <f t="shared" ca="1" si="160"/>
        <v>#NAME?</v>
      </c>
      <c r="AP243" s="2" t="e">
        <f ca="1"/>
        <v>#NAME?</v>
      </c>
      <c r="AQ243" s="2" t="e">
        <f t="shared" ca="1" si="161"/>
        <v>#NAME?</v>
      </c>
      <c r="AR243" s="2" t="e">
        <f ca="1"/>
        <v>#NAME?</v>
      </c>
      <c r="AS243" s="2" t="e">
        <f t="shared" ca="1" si="162"/>
        <v>#NAME?</v>
      </c>
      <c r="AT243" s="2" t="e">
        <f ca="1"/>
        <v>#NAME?</v>
      </c>
      <c r="AU243" s="2" t="e">
        <f t="shared" ca="1" si="163"/>
        <v>#NAME?</v>
      </c>
      <c r="AV243" s="2" t="e">
        <f ca="1"/>
        <v>#NAME?</v>
      </c>
      <c r="AW243" s="2" t="e">
        <f t="shared" ca="1" si="164"/>
        <v>#NAME?</v>
      </c>
      <c r="AX243" s="2" t="e">
        <f ca="1"/>
        <v>#NAME?</v>
      </c>
      <c r="AY243" s="2" t="e">
        <f t="shared" ca="1" si="165"/>
        <v>#NAME?</v>
      </c>
      <c r="AZ243" s="2" t="e">
        <f ca="1"/>
        <v>#NAME?</v>
      </c>
      <c r="BA243" s="2" t="e">
        <f t="shared" ca="1" si="166"/>
        <v>#NAME?</v>
      </c>
      <c r="BB243" s="2" t="e">
        <f ca="1"/>
        <v>#NAME?</v>
      </c>
      <c r="BC243" s="2" t="e">
        <f t="shared" ca="1" si="167"/>
        <v>#NAME?</v>
      </c>
      <c r="BD243" s="2" t="e">
        <f ca="1"/>
        <v>#NAME?</v>
      </c>
      <c r="BE243" s="2" t="e">
        <f t="shared" ca="1" si="168"/>
        <v>#NAME?</v>
      </c>
      <c r="BF243" s="2" t="e">
        <f ca="1"/>
        <v>#NAME?</v>
      </c>
      <c r="BG243" s="2" t="e">
        <f t="shared" ca="1" si="169"/>
        <v>#NAME?</v>
      </c>
      <c r="BH243" s="2" t="e">
        <f ca="1"/>
        <v>#NAME?</v>
      </c>
      <c r="BI243" s="2" t="e">
        <f t="shared" ca="1" si="170"/>
        <v>#NAME?</v>
      </c>
      <c r="BJ243" s="2" t="e">
        <f ca="1"/>
        <v>#NAME?</v>
      </c>
      <c r="BK243" s="2" t="e">
        <f t="shared" ca="1" si="171"/>
        <v>#NAME?</v>
      </c>
      <c r="BL243" s="2" t="e">
        <f ca="1"/>
        <v>#NAME?</v>
      </c>
      <c r="BM243" s="2" t="e">
        <f t="shared" ca="1" si="172"/>
        <v>#NAME?</v>
      </c>
      <c r="BN243" s="2" t="e">
        <f ca="1"/>
        <v>#NAME?</v>
      </c>
      <c r="BO243" s="2" t="e">
        <f t="shared" ca="1" si="173"/>
        <v>#NAME?</v>
      </c>
      <c r="BP243" s="2" t="e">
        <f ca="1"/>
        <v>#NAME?</v>
      </c>
      <c r="BQ243" s="2" t="e">
        <f t="shared" ca="1" si="174"/>
        <v>#NAME?</v>
      </c>
      <c r="BR243" s="2" t="e">
        <f ca="1"/>
        <v>#NAME?</v>
      </c>
      <c r="BS243" s="2" t="e">
        <f t="shared" ca="1" si="175"/>
        <v>#NAME?</v>
      </c>
      <c r="BT243" s="2" t="e">
        <f ca="1"/>
        <v>#NAME?</v>
      </c>
      <c r="BU243" s="2" t="e">
        <f t="shared" ca="1" si="176"/>
        <v>#NAME?</v>
      </c>
      <c r="BV243" s="2" t="e">
        <f ca="1"/>
        <v>#NAME?</v>
      </c>
      <c r="BW243" s="2" t="e">
        <f t="shared" ca="1" si="177"/>
        <v>#NAME?</v>
      </c>
      <c r="BX243" s="2" t="e">
        <f ca="1"/>
        <v>#NAME?</v>
      </c>
      <c r="BY243" s="2" t="e">
        <f t="shared" ca="1" si="178"/>
        <v>#NAME?</v>
      </c>
      <c r="BZ243" s="2" t="e">
        <f ca="1"/>
        <v>#NAME?</v>
      </c>
      <c r="CA243" s="2" t="e">
        <f t="shared" ca="1" si="179"/>
        <v>#NAME?</v>
      </c>
      <c r="CB243" s="2" t="e">
        <f ca="1"/>
        <v>#NAME?</v>
      </c>
      <c r="CC243" s="2" t="e">
        <f t="shared" ca="1" si="180"/>
        <v>#NAME?</v>
      </c>
      <c r="CD243" s="2" t="e">
        <f ca="1"/>
        <v>#NAME?</v>
      </c>
      <c r="CE243" s="2" t="e">
        <f t="shared" ca="1" si="181"/>
        <v>#NAME?</v>
      </c>
      <c r="CF243" s="2" t="e">
        <f ca="1"/>
        <v>#NAME?</v>
      </c>
      <c r="CG243" s="2" t="e">
        <f t="shared" ca="1" si="182"/>
        <v>#NAME?</v>
      </c>
      <c r="CH243" s="2" t="e">
        <f ca="1"/>
        <v>#NAME?</v>
      </c>
      <c r="CI243" s="2" t="e">
        <f t="shared" ca="1" si="183"/>
        <v>#NAME?</v>
      </c>
      <c r="CJ243" s="2" t="e">
        <f ca="1"/>
        <v>#NAME?</v>
      </c>
      <c r="CK243" s="2" t="e">
        <f t="shared" ca="1" si="184"/>
        <v>#NAME?</v>
      </c>
      <c r="CL243" s="2" t="e">
        <f ca="1"/>
        <v>#NAME?</v>
      </c>
      <c r="CM243" s="2" t="e">
        <f t="shared" ca="1" si="185"/>
        <v>#NAME?</v>
      </c>
      <c r="CN243" s="2" t="e">
        <f ca="1"/>
        <v>#NAME?</v>
      </c>
      <c r="CO243" s="2" t="e">
        <f t="shared" ca="1" si="186"/>
        <v>#NAME?</v>
      </c>
      <c r="CP243" s="2" t="e">
        <f ca="1"/>
        <v>#NAME?</v>
      </c>
      <c r="CQ243" s="2" t="e">
        <f t="shared" ca="1" si="187"/>
        <v>#NAME?</v>
      </c>
    </row>
    <row r="244" spans="1:95">
      <c r="A244" s="7" t="e">
        <f ca="1"/>
        <v>#NAME?</v>
      </c>
      <c r="B244" s="2" t="e">
        <f ca="1"/>
        <v>#NAME?</v>
      </c>
      <c r="C244" s="2" t="e">
        <f t="shared" ca="1" si="141"/>
        <v>#NAME?</v>
      </c>
      <c r="D244" s="2" t="e">
        <f ca="1"/>
        <v>#NAME?</v>
      </c>
      <c r="E244" s="2" t="e">
        <f t="shared" ca="1" si="142"/>
        <v>#NAME?</v>
      </c>
      <c r="F244" s="2" t="e">
        <f ca="1"/>
        <v>#NAME?</v>
      </c>
      <c r="G244" s="2" t="e">
        <f t="shared" ca="1" si="143"/>
        <v>#NAME?</v>
      </c>
      <c r="H244" s="2" t="e">
        <f ca="1"/>
        <v>#NAME?</v>
      </c>
      <c r="I244" s="2" t="e">
        <f t="shared" ca="1" si="144"/>
        <v>#NAME?</v>
      </c>
      <c r="J244" s="2" t="e">
        <f ca="1"/>
        <v>#NAME?</v>
      </c>
      <c r="K244" s="2" t="e">
        <f t="shared" ca="1" si="145"/>
        <v>#NAME?</v>
      </c>
      <c r="L244" s="2" t="e">
        <f ca="1"/>
        <v>#NAME?</v>
      </c>
      <c r="M244" s="2" t="e">
        <f t="shared" ca="1" si="146"/>
        <v>#NAME?</v>
      </c>
      <c r="N244" s="2" t="e">
        <f ca="1"/>
        <v>#NAME?</v>
      </c>
      <c r="O244" s="2" t="e">
        <f t="shared" ca="1" si="147"/>
        <v>#NAME?</v>
      </c>
      <c r="P244" s="2" t="e">
        <f ca="1"/>
        <v>#NAME?</v>
      </c>
      <c r="Q244" s="2" t="e">
        <f t="shared" ca="1" si="148"/>
        <v>#NAME?</v>
      </c>
      <c r="R244" s="2" t="e">
        <f ca="1"/>
        <v>#NAME?</v>
      </c>
      <c r="S244" s="2" t="e">
        <f t="shared" ca="1" si="149"/>
        <v>#NAME?</v>
      </c>
      <c r="T244" s="2" t="e">
        <f ca="1"/>
        <v>#NAME?</v>
      </c>
      <c r="U244" s="2" t="e">
        <f t="shared" ca="1" si="150"/>
        <v>#NAME?</v>
      </c>
      <c r="V244" s="2" t="e">
        <f ca="1"/>
        <v>#NAME?</v>
      </c>
      <c r="W244" s="2" t="e">
        <f t="shared" ca="1" si="151"/>
        <v>#NAME?</v>
      </c>
      <c r="X244" s="2" t="e">
        <f ca="1"/>
        <v>#NAME?</v>
      </c>
      <c r="Y244" s="2" t="e">
        <f t="shared" ca="1" si="152"/>
        <v>#NAME?</v>
      </c>
      <c r="Z244" s="2" t="e">
        <f ca="1"/>
        <v>#NAME?</v>
      </c>
      <c r="AA244" s="2" t="e">
        <f t="shared" ca="1" si="153"/>
        <v>#NAME?</v>
      </c>
      <c r="AB244" s="2" t="e">
        <f ca="1"/>
        <v>#NAME?</v>
      </c>
      <c r="AC244" s="2" t="e">
        <f t="shared" ca="1" si="154"/>
        <v>#NAME?</v>
      </c>
      <c r="AD244" s="2" t="e">
        <f ca="1"/>
        <v>#NAME?</v>
      </c>
      <c r="AE244" s="2" t="e">
        <f t="shared" ca="1" si="155"/>
        <v>#NAME?</v>
      </c>
      <c r="AF244" s="2" t="e">
        <f ca="1"/>
        <v>#NAME?</v>
      </c>
      <c r="AG244" s="2" t="e">
        <f t="shared" ca="1" si="156"/>
        <v>#NAME?</v>
      </c>
      <c r="AH244" s="2" t="e">
        <f ca="1"/>
        <v>#NAME?</v>
      </c>
      <c r="AI244" s="2" t="e">
        <f t="shared" ca="1" si="157"/>
        <v>#NAME?</v>
      </c>
      <c r="AJ244" s="2" t="e">
        <f ca="1"/>
        <v>#NAME?</v>
      </c>
      <c r="AK244" s="2" t="e">
        <f t="shared" ca="1" si="158"/>
        <v>#NAME?</v>
      </c>
      <c r="AL244" s="2" t="e">
        <f ca="1"/>
        <v>#NAME?</v>
      </c>
      <c r="AM244" s="2" t="e">
        <f t="shared" ca="1" si="159"/>
        <v>#NAME?</v>
      </c>
      <c r="AN244" s="2" t="e">
        <f ca="1"/>
        <v>#NAME?</v>
      </c>
      <c r="AO244" s="2" t="e">
        <f t="shared" ca="1" si="160"/>
        <v>#NAME?</v>
      </c>
      <c r="AP244" s="2" t="e">
        <f ca="1"/>
        <v>#NAME?</v>
      </c>
      <c r="AQ244" s="2" t="e">
        <f t="shared" ca="1" si="161"/>
        <v>#NAME?</v>
      </c>
      <c r="AR244" s="2" t="e">
        <f ca="1"/>
        <v>#NAME?</v>
      </c>
      <c r="AS244" s="2" t="e">
        <f t="shared" ca="1" si="162"/>
        <v>#NAME?</v>
      </c>
      <c r="AT244" s="2" t="e">
        <f ca="1"/>
        <v>#NAME?</v>
      </c>
      <c r="AU244" s="2" t="e">
        <f t="shared" ca="1" si="163"/>
        <v>#NAME?</v>
      </c>
      <c r="AV244" s="2" t="e">
        <f ca="1"/>
        <v>#NAME?</v>
      </c>
      <c r="AW244" s="2" t="e">
        <f t="shared" ca="1" si="164"/>
        <v>#NAME?</v>
      </c>
      <c r="AX244" s="2" t="e">
        <f ca="1"/>
        <v>#NAME?</v>
      </c>
      <c r="AY244" s="2" t="e">
        <f t="shared" ca="1" si="165"/>
        <v>#NAME?</v>
      </c>
      <c r="AZ244" s="2" t="e">
        <f ca="1"/>
        <v>#NAME?</v>
      </c>
      <c r="BA244" s="2" t="e">
        <f t="shared" ca="1" si="166"/>
        <v>#NAME?</v>
      </c>
      <c r="BB244" s="2" t="e">
        <f ca="1"/>
        <v>#NAME?</v>
      </c>
      <c r="BC244" s="2" t="e">
        <f t="shared" ca="1" si="167"/>
        <v>#NAME?</v>
      </c>
      <c r="BD244" s="2" t="e">
        <f ca="1"/>
        <v>#NAME?</v>
      </c>
      <c r="BE244" s="2" t="e">
        <f t="shared" ca="1" si="168"/>
        <v>#NAME?</v>
      </c>
      <c r="BF244" s="2" t="e">
        <f ca="1"/>
        <v>#NAME?</v>
      </c>
      <c r="BG244" s="2" t="e">
        <f t="shared" ca="1" si="169"/>
        <v>#NAME?</v>
      </c>
      <c r="BH244" s="2" t="e">
        <f ca="1"/>
        <v>#NAME?</v>
      </c>
      <c r="BI244" s="2" t="e">
        <f t="shared" ca="1" si="170"/>
        <v>#NAME?</v>
      </c>
      <c r="BJ244" s="2" t="e">
        <f ca="1"/>
        <v>#NAME?</v>
      </c>
      <c r="BK244" s="2" t="e">
        <f t="shared" ca="1" si="171"/>
        <v>#NAME?</v>
      </c>
      <c r="BL244" s="2" t="e">
        <f ca="1"/>
        <v>#NAME?</v>
      </c>
      <c r="BM244" s="2" t="e">
        <f t="shared" ca="1" si="172"/>
        <v>#NAME?</v>
      </c>
      <c r="BN244" s="2" t="e">
        <f ca="1"/>
        <v>#NAME?</v>
      </c>
      <c r="BO244" s="2" t="e">
        <f t="shared" ca="1" si="173"/>
        <v>#NAME?</v>
      </c>
      <c r="BP244" s="2" t="e">
        <f ca="1"/>
        <v>#NAME?</v>
      </c>
      <c r="BQ244" s="2" t="e">
        <f t="shared" ca="1" si="174"/>
        <v>#NAME?</v>
      </c>
      <c r="BR244" s="2" t="e">
        <f ca="1"/>
        <v>#NAME?</v>
      </c>
      <c r="BS244" s="2" t="e">
        <f t="shared" ca="1" si="175"/>
        <v>#NAME?</v>
      </c>
      <c r="BT244" s="2" t="e">
        <f ca="1"/>
        <v>#NAME?</v>
      </c>
      <c r="BU244" s="2" t="e">
        <f t="shared" ca="1" si="176"/>
        <v>#NAME?</v>
      </c>
      <c r="BV244" s="2" t="e">
        <f ca="1"/>
        <v>#NAME?</v>
      </c>
      <c r="BW244" s="2" t="e">
        <f t="shared" ca="1" si="177"/>
        <v>#NAME?</v>
      </c>
      <c r="BX244" s="2" t="e">
        <f ca="1"/>
        <v>#NAME?</v>
      </c>
      <c r="BY244" s="2" t="e">
        <f t="shared" ca="1" si="178"/>
        <v>#NAME?</v>
      </c>
      <c r="BZ244" s="2" t="e">
        <f ca="1"/>
        <v>#NAME?</v>
      </c>
      <c r="CA244" s="2" t="e">
        <f t="shared" ca="1" si="179"/>
        <v>#NAME?</v>
      </c>
      <c r="CB244" s="2" t="e">
        <f ca="1"/>
        <v>#NAME?</v>
      </c>
      <c r="CC244" s="2" t="e">
        <f t="shared" ca="1" si="180"/>
        <v>#NAME?</v>
      </c>
      <c r="CD244" s="2" t="e">
        <f ca="1"/>
        <v>#NAME?</v>
      </c>
      <c r="CE244" s="2" t="e">
        <f t="shared" ca="1" si="181"/>
        <v>#NAME?</v>
      </c>
      <c r="CF244" s="2" t="e">
        <f ca="1"/>
        <v>#NAME?</v>
      </c>
      <c r="CG244" s="2" t="e">
        <f t="shared" ca="1" si="182"/>
        <v>#NAME?</v>
      </c>
      <c r="CH244" s="2" t="e">
        <f ca="1"/>
        <v>#NAME?</v>
      </c>
      <c r="CI244" s="2" t="e">
        <f t="shared" ca="1" si="183"/>
        <v>#NAME?</v>
      </c>
      <c r="CJ244" s="2" t="e">
        <f ca="1"/>
        <v>#NAME?</v>
      </c>
      <c r="CK244" s="2" t="e">
        <f t="shared" ca="1" si="184"/>
        <v>#NAME?</v>
      </c>
      <c r="CL244" s="2" t="e">
        <f ca="1"/>
        <v>#NAME?</v>
      </c>
      <c r="CM244" s="2" t="e">
        <f t="shared" ca="1" si="185"/>
        <v>#NAME?</v>
      </c>
      <c r="CN244" s="2" t="e">
        <f ca="1"/>
        <v>#NAME?</v>
      </c>
      <c r="CO244" s="2" t="e">
        <f t="shared" ca="1" si="186"/>
        <v>#NAME?</v>
      </c>
      <c r="CP244" s="2" t="e">
        <f ca="1"/>
        <v>#NAME?</v>
      </c>
      <c r="CQ244" s="2" t="e">
        <f t="shared" ca="1" si="187"/>
        <v>#NAME?</v>
      </c>
    </row>
    <row r="245" spans="1:95">
      <c r="A245" s="7" t="e">
        <f ca="1"/>
        <v>#NAME?</v>
      </c>
      <c r="B245" s="2" t="e">
        <f ca="1"/>
        <v>#NAME?</v>
      </c>
      <c r="C245" s="2" t="e">
        <f t="shared" ca="1" si="141"/>
        <v>#NAME?</v>
      </c>
      <c r="D245" s="2" t="e">
        <f ca="1"/>
        <v>#NAME?</v>
      </c>
      <c r="E245" s="2" t="e">
        <f t="shared" ca="1" si="142"/>
        <v>#NAME?</v>
      </c>
      <c r="F245" s="2" t="e">
        <f ca="1"/>
        <v>#NAME?</v>
      </c>
      <c r="G245" s="2" t="e">
        <f t="shared" ca="1" si="143"/>
        <v>#NAME?</v>
      </c>
      <c r="H245" s="2" t="e">
        <f ca="1"/>
        <v>#NAME?</v>
      </c>
      <c r="I245" s="2" t="e">
        <f t="shared" ca="1" si="144"/>
        <v>#NAME?</v>
      </c>
      <c r="J245" s="2" t="e">
        <f ca="1"/>
        <v>#NAME?</v>
      </c>
      <c r="K245" s="2" t="e">
        <f t="shared" ca="1" si="145"/>
        <v>#NAME?</v>
      </c>
      <c r="L245" s="2" t="e">
        <f ca="1"/>
        <v>#NAME?</v>
      </c>
      <c r="M245" s="2" t="e">
        <f t="shared" ca="1" si="146"/>
        <v>#NAME?</v>
      </c>
      <c r="N245" s="2" t="e">
        <f ca="1"/>
        <v>#NAME?</v>
      </c>
      <c r="O245" s="2" t="e">
        <f t="shared" ca="1" si="147"/>
        <v>#NAME?</v>
      </c>
      <c r="P245" s="2" t="e">
        <f ca="1"/>
        <v>#NAME?</v>
      </c>
      <c r="Q245" s="2" t="e">
        <f t="shared" ca="1" si="148"/>
        <v>#NAME?</v>
      </c>
      <c r="R245" s="2" t="e">
        <f ca="1"/>
        <v>#NAME?</v>
      </c>
      <c r="S245" s="2" t="e">
        <f t="shared" ca="1" si="149"/>
        <v>#NAME?</v>
      </c>
      <c r="T245" s="2" t="e">
        <f ca="1"/>
        <v>#NAME?</v>
      </c>
      <c r="U245" s="2" t="e">
        <f t="shared" ca="1" si="150"/>
        <v>#NAME?</v>
      </c>
      <c r="V245" s="2" t="e">
        <f ca="1"/>
        <v>#NAME?</v>
      </c>
      <c r="W245" s="2" t="e">
        <f t="shared" ca="1" si="151"/>
        <v>#NAME?</v>
      </c>
      <c r="X245" s="2" t="e">
        <f ca="1"/>
        <v>#NAME?</v>
      </c>
      <c r="Y245" s="2" t="e">
        <f t="shared" ca="1" si="152"/>
        <v>#NAME?</v>
      </c>
      <c r="Z245" s="2" t="e">
        <f ca="1"/>
        <v>#NAME?</v>
      </c>
      <c r="AA245" s="2" t="e">
        <f t="shared" ca="1" si="153"/>
        <v>#NAME?</v>
      </c>
      <c r="AB245" s="2" t="e">
        <f ca="1"/>
        <v>#NAME?</v>
      </c>
      <c r="AC245" s="2" t="e">
        <f t="shared" ca="1" si="154"/>
        <v>#NAME?</v>
      </c>
      <c r="AD245" s="2" t="e">
        <f ca="1"/>
        <v>#NAME?</v>
      </c>
      <c r="AE245" s="2" t="e">
        <f t="shared" ca="1" si="155"/>
        <v>#NAME?</v>
      </c>
      <c r="AF245" s="2" t="e">
        <f ca="1"/>
        <v>#NAME?</v>
      </c>
      <c r="AG245" s="2" t="e">
        <f t="shared" ca="1" si="156"/>
        <v>#NAME?</v>
      </c>
      <c r="AH245" s="2" t="e">
        <f ca="1"/>
        <v>#NAME?</v>
      </c>
      <c r="AI245" s="2" t="e">
        <f t="shared" ca="1" si="157"/>
        <v>#NAME?</v>
      </c>
      <c r="AJ245" s="2" t="e">
        <f ca="1"/>
        <v>#NAME?</v>
      </c>
      <c r="AK245" s="2" t="e">
        <f t="shared" ca="1" si="158"/>
        <v>#NAME?</v>
      </c>
      <c r="AL245" s="2" t="e">
        <f ca="1"/>
        <v>#NAME?</v>
      </c>
      <c r="AM245" s="2" t="e">
        <f t="shared" ca="1" si="159"/>
        <v>#NAME?</v>
      </c>
      <c r="AN245" s="2" t="e">
        <f ca="1"/>
        <v>#NAME?</v>
      </c>
      <c r="AO245" s="2" t="e">
        <f t="shared" ca="1" si="160"/>
        <v>#NAME?</v>
      </c>
      <c r="AP245" s="2" t="e">
        <f ca="1"/>
        <v>#NAME?</v>
      </c>
      <c r="AQ245" s="2" t="e">
        <f t="shared" ca="1" si="161"/>
        <v>#NAME?</v>
      </c>
      <c r="AR245" s="2" t="e">
        <f ca="1"/>
        <v>#NAME?</v>
      </c>
      <c r="AS245" s="2" t="e">
        <f t="shared" ca="1" si="162"/>
        <v>#NAME?</v>
      </c>
      <c r="AT245" s="2" t="e">
        <f ca="1"/>
        <v>#NAME?</v>
      </c>
      <c r="AU245" s="2" t="e">
        <f t="shared" ca="1" si="163"/>
        <v>#NAME?</v>
      </c>
      <c r="AV245" s="2" t="e">
        <f ca="1"/>
        <v>#NAME?</v>
      </c>
      <c r="AW245" s="2" t="e">
        <f t="shared" ca="1" si="164"/>
        <v>#NAME?</v>
      </c>
      <c r="AX245" s="2" t="e">
        <f ca="1"/>
        <v>#NAME?</v>
      </c>
      <c r="AY245" s="2" t="e">
        <f t="shared" ca="1" si="165"/>
        <v>#NAME?</v>
      </c>
      <c r="AZ245" s="2" t="e">
        <f ca="1"/>
        <v>#NAME?</v>
      </c>
      <c r="BA245" s="2" t="e">
        <f t="shared" ca="1" si="166"/>
        <v>#NAME?</v>
      </c>
      <c r="BB245" s="2" t="e">
        <f ca="1"/>
        <v>#NAME?</v>
      </c>
      <c r="BC245" s="2" t="e">
        <f t="shared" ca="1" si="167"/>
        <v>#NAME?</v>
      </c>
      <c r="BD245" s="2" t="e">
        <f ca="1"/>
        <v>#NAME?</v>
      </c>
      <c r="BE245" s="2" t="e">
        <f t="shared" ca="1" si="168"/>
        <v>#NAME?</v>
      </c>
      <c r="BF245" s="2" t="e">
        <f ca="1"/>
        <v>#NAME?</v>
      </c>
      <c r="BG245" s="2" t="e">
        <f t="shared" ca="1" si="169"/>
        <v>#NAME?</v>
      </c>
      <c r="BH245" s="2" t="e">
        <f ca="1"/>
        <v>#NAME?</v>
      </c>
      <c r="BI245" s="2" t="e">
        <f t="shared" ca="1" si="170"/>
        <v>#NAME?</v>
      </c>
      <c r="BJ245" s="2" t="e">
        <f ca="1"/>
        <v>#NAME?</v>
      </c>
      <c r="BK245" s="2" t="e">
        <f t="shared" ca="1" si="171"/>
        <v>#NAME?</v>
      </c>
      <c r="BL245" s="2" t="e">
        <f ca="1"/>
        <v>#NAME?</v>
      </c>
      <c r="BM245" s="2" t="e">
        <f t="shared" ca="1" si="172"/>
        <v>#NAME?</v>
      </c>
      <c r="BN245" s="2" t="e">
        <f ca="1"/>
        <v>#NAME?</v>
      </c>
      <c r="BO245" s="2" t="e">
        <f t="shared" ca="1" si="173"/>
        <v>#NAME?</v>
      </c>
      <c r="BP245" s="2" t="e">
        <f ca="1"/>
        <v>#NAME?</v>
      </c>
      <c r="BQ245" s="2" t="e">
        <f t="shared" ca="1" si="174"/>
        <v>#NAME?</v>
      </c>
      <c r="BR245" s="2" t="e">
        <f ca="1"/>
        <v>#NAME?</v>
      </c>
      <c r="BS245" s="2" t="e">
        <f t="shared" ca="1" si="175"/>
        <v>#NAME?</v>
      </c>
      <c r="BT245" s="2" t="e">
        <f ca="1"/>
        <v>#NAME?</v>
      </c>
      <c r="BU245" s="2" t="e">
        <f t="shared" ca="1" si="176"/>
        <v>#NAME?</v>
      </c>
      <c r="BV245" s="2" t="e">
        <f ca="1"/>
        <v>#NAME?</v>
      </c>
      <c r="BW245" s="2" t="e">
        <f t="shared" ca="1" si="177"/>
        <v>#NAME?</v>
      </c>
      <c r="BX245" s="2" t="e">
        <f ca="1"/>
        <v>#NAME?</v>
      </c>
      <c r="BY245" s="2" t="e">
        <f t="shared" ca="1" si="178"/>
        <v>#NAME?</v>
      </c>
      <c r="BZ245" s="2" t="e">
        <f ca="1"/>
        <v>#NAME?</v>
      </c>
      <c r="CA245" s="2" t="e">
        <f t="shared" ca="1" si="179"/>
        <v>#NAME?</v>
      </c>
      <c r="CB245" s="2" t="e">
        <f ca="1"/>
        <v>#NAME?</v>
      </c>
      <c r="CC245" s="2" t="e">
        <f t="shared" ca="1" si="180"/>
        <v>#NAME?</v>
      </c>
      <c r="CD245" s="2" t="e">
        <f ca="1"/>
        <v>#NAME?</v>
      </c>
      <c r="CE245" s="2" t="e">
        <f t="shared" ca="1" si="181"/>
        <v>#NAME?</v>
      </c>
      <c r="CF245" s="2" t="e">
        <f ca="1"/>
        <v>#NAME?</v>
      </c>
      <c r="CG245" s="2" t="e">
        <f t="shared" ca="1" si="182"/>
        <v>#NAME?</v>
      </c>
      <c r="CH245" s="2" t="e">
        <f ca="1"/>
        <v>#NAME?</v>
      </c>
      <c r="CI245" s="2" t="e">
        <f t="shared" ca="1" si="183"/>
        <v>#NAME?</v>
      </c>
      <c r="CJ245" s="2" t="e">
        <f ca="1"/>
        <v>#NAME?</v>
      </c>
      <c r="CK245" s="2" t="e">
        <f t="shared" ca="1" si="184"/>
        <v>#NAME?</v>
      </c>
      <c r="CL245" s="2" t="e">
        <f ca="1"/>
        <v>#NAME?</v>
      </c>
      <c r="CM245" s="2" t="e">
        <f t="shared" ca="1" si="185"/>
        <v>#NAME?</v>
      </c>
      <c r="CN245" s="2" t="e">
        <f ca="1"/>
        <v>#NAME?</v>
      </c>
      <c r="CO245" s="2" t="e">
        <f t="shared" ca="1" si="186"/>
        <v>#NAME?</v>
      </c>
      <c r="CP245" s="2" t="e">
        <f ca="1"/>
        <v>#NAME?</v>
      </c>
      <c r="CQ245" s="2" t="e">
        <f t="shared" ca="1" si="187"/>
        <v>#NAME?</v>
      </c>
    </row>
    <row r="246" spans="1:95">
      <c r="A246" s="7" t="e">
        <f ca="1"/>
        <v>#NAME?</v>
      </c>
      <c r="B246" s="2" t="e">
        <f ca="1"/>
        <v>#NAME?</v>
      </c>
      <c r="C246" s="2" t="e">
        <f t="shared" ca="1" si="141"/>
        <v>#NAME?</v>
      </c>
      <c r="D246" s="2" t="e">
        <f ca="1"/>
        <v>#NAME?</v>
      </c>
      <c r="E246" s="2" t="e">
        <f t="shared" ca="1" si="142"/>
        <v>#NAME?</v>
      </c>
      <c r="F246" s="2" t="e">
        <f ca="1"/>
        <v>#NAME?</v>
      </c>
      <c r="G246" s="2" t="e">
        <f t="shared" ca="1" si="143"/>
        <v>#NAME?</v>
      </c>
      <c r="H246" s="2" t="e">
        <f ca="1"/>
        <v>#NAME?</v>
      </c>
      <c r="I246" s="2" t="e">
        <f t="shared" ca="1" si="144"/>
        <v>#NAME?</v>
      </c>
      <c r="J246" s="2" t="e">
        <f ca="1"/>
        <v>#NAME?</v>
      </c>
      <c r="K246" s="2" t="e">
        <f t="shared" ca="1" si="145"/>
        <v>#NAME?</v>
      </c>
      <c r="L246" s="2" t="e">
        <f ca="1"/>
        <v>#NAME?</v>
      </c>
      <c r="M246" s="2" t="e">
        <f t="shared" ca="1" si="146"/>
        <v>#NAME?</v>
      </c>
      <c r="N246" s="2" t="e">
        <f ca="1"/>
        <v>#NAME?</v>
      </c>
      <c r="O246" s="2" t="e">
        <f t="shared" ca="1" si="147"/>
        <v>#NAME?</v>
      </c>
      <c r="P246" s="2" t="e">
        <f ca="1"/>
        <v>#NAME?</v>
      </c>
      <c r="Q246" s="2" t="e">
        <f t="shared" ca="1" si="148"/>
        <v>#NAME?</v>
      </c>
      <c r="R246" s="2" t="e">
        <f ca="1"/>
        <v>#NAME?</v>
      </c>
      <c r="S246" s="2" t="e">
        <f t="shared" ca="1" si="149"/>
        <v>#NAME?</v>
      </c>
      <c r="T246" s="2" t="e">
        <f ca="1"/>
        <v>#NAME?</v>
      </c>
      <c r="U246" s="2" t="e">
        <f t="shared" ca="1" si="150"/>
        <v>#NAME?</v>
      </c>
      <c r="V246" s="2" t="e">
        <f ca="1"/>
        <v>#NAME?</v>
      </c>
      <c r="W246" s="2" t="e">
        <f t="shared" ca="1" si="151"/>
        <v>#NAME?</v>
      </c>
      <c r="X246" s="2" t="e">
        <f ca="1"/>
        <v>#NAME?</v>
      </c>
      <c r="Y246" s="2" t="e">
        <f t="shared" ca="1" si="152"/>
        <v>#NAME?</v>
      </c>
      <c r="Z246" s="2" t="e">
        <f ca="1"/>
        <v>#NAME?</v>
      </c>
      <c r="AA246" s="2" t="e">
        <f t="shared" ca="1" si="153"/>
        <v>#NAME?</v>
      </c>
      <c r="AB246" s="2" t="e">
        <f ca="1"/>
        <v>#NAME?</v>
      </c>
      <c r="AC246" s="2" t="e">
        <f t="shared" ca="1" si="154"/>
        <v>#NAME?</v>
      </c>
      <c r="AD246" s="2" t="e">
        <f ca="1"/>
        <v>#NAME?</v>
      </c>
      <c r="AE246" s="2" t="e">
        <f t="shared" ca="1" si="155"/>
        <v>#NAME?</v>
      </c>
      <c r="AF246" s="2" t="e">
        <f ca="1"/>
        <v>#NAME?</v>
      </c>
      <c r="AG246" s="2" t="e">
        <f t="shared" ca="1" si="156"/>
        <v>#NAME?</v>
      </c>
      <c r="AH246" s="2" t="e">
        <f ca="1"/>
        <v>#NAME?</v>
      </c>
      <c r="AI246" s="2" t="e">
        <f t="shared" ca="1" si="157"/>
        <v>#NAME?</v>
      </c>
      <c r="AJ246" s="2" t="e">
        <f ca="1"/>
        <v>#NAME?</v>
      </c>
      <c r="AK246" s="2" t="e">
        <f t="shared" ca="1" si="158"/>
        <v>#NAME?</v>
      </c>
      <c r="AL246" s="2" t="e">
        <f ca="1"/>
        <v>#NAME?</v>
      </c>
      <c r="AM246" s="2" t="e">
        <f t="shared" ca="1" si="159"/>
        <v>#NAME?</v>
      </c>
      <c r="AN246" s="2" t="e">
        <f ca="1"/>
        <v>#NAME?</v>
      </c>
      <c r="AO246" s="2" t="e">
        <f t="shared" ca="1" si="160"/>
        <v>#NAME?</v>
      </c>
      <c r="AP246" s="2" t="e">
        <f ca="1"/>
        <v>#NAME?</v>
      </c>
      <c r="AQ246" s="2" t="e">
        <f t="shared" ca="1" si="161"/>
        <v>#NAME?</v>
      </c>
      <c r="AR246" s="2" t="e">
        <f ca="1"/>
        <v>#NAME?</v>
      </c>
      <c r="AS246" s="2" t="e">
        <f t="shared" ca="1" si="162"/>
        <v>#NAME?</v>
      </c>
      <c r="AT246" s="2" t="e">
        <f ca="1"/>
        <v>#NAME?</v>
      </c>
      <c r="AU246" s="2" t="e">
        <f t="shared" ca="1" si="163"/>
        <v>#NAME?</v>
      </c>
      <c r="AV246" s="2" t="e">
        <f ca="1"/>
        <v>#NAME?</v>
      </c>
      <c r="AW246" s="2" t="e">
        <f t="shared" ca="1" si="164"/>
        <v>#NAME?</v>
      </c>
      <c r="AX246" s="2" t="e">
        <f ca="1"/>
        <v>#NAME?</v>
      </c>
      <c r="AY246" s="2" t="e">
        <f t="shared" ca="1" si="165"/>
        <v>#NAME?</v>
      </c>
      <c r="AZ246" s="2" t="e">
        <f ca="1"/>
        <v>#NAME?</v>
      </c>
      <c r="BA246" s="2" t="e">
        <f t="shared" ca="1" si="166"/>
        <v>#NAME?</v>
      </c>
      <c r="BB246" s="2" t="e">
        <f ca="1"/>
        <v>#NAME?</v>
      </c>
      <c r="BC246" s="2" t="e">
        <f t="shared" ca="1" si="167"/>
        <v>#NAME?</v>
      </c>
      <c r="BD246" s="2" t="e">
        <f ca="1"/>
        <v>#NAME?</v>
      </c>
      <c r="BE246" s="2" t="e">
        <f t="shared" ca="1" si="168"/>
        <v>#NAME?</v>
      </c>
      <c r="BF246" s="2" t="e">
        <f ca="1"/>
        <v>#NAME?</v>
      </c>
      <c r="BG246" s="2" t="e">
        <f t="shared" ca="1" si="169"/>
        <v>#NAME?</v>
      </c>
      <c r="BH246" s="2" t="e">
        <f ca="1"/>
        <v>#NAME?</v>
      </c>
      <c r="BI246" s="2" t="e">
        <f t="shared" ca="1" si="170"/>
        <v>#NAME?</v>
      </c>
      <c r="BJ246" s="2" t="e">
        <f ca="1"/>
        <v>#NAME?</v>
      </c>
      <c r="BK246" s="2" t="e">
        <f t="shared" ca="1" si="171"/>
        <v>#NAME?</v>
      </c>
      <c r="BL246" s="2" t="e">
        <f ca="1"/>
        <v>#NAME?</v>
      </c>
      <c r="BM246" s="2" t="e">
        <f t="shared" ca="1" si="172"/>
        <v>#NAME?</v>
      </c>
      <c r="BN246" s="2" t="e">
        <f ca="1"/>
        <v>#NAME?</v>
      </c>
      <c r="BO246" s="2" t="e">
        <f t="shared" ca="1" si="173"/>
        <v>#NAME?</v>
      </c>
      <c r="BP246" s="2" t="e">
        <f ca="1"/>
        <v>#NAME?</v>
      </c>
      <c r="BQ246" s="2" t="e">
        <f t="shared" ca="1" si="174"/>
        <v>#NAME?</v>
      </c>
      <c r="BR246" s="2" t="e">
        <f ca="1"/>
        <v>#NAME?</v>
      </c>
      <c r="BS246" s="2" t="e">
        <f t="shared" ca="1" si="175"/>
        <v>#NAME?</v>
      </c>
      <c r="BT246" s="2" t="e">
        <f ca="1"/>
        <v>#NAME?</v>
      </c>
      <c r="BU246" s="2" t="e">
        <f t="shared" ca="1" si="176"/>
        <v>#NAME?</v>
      </c>
      <c r="BV246" s="2" t="e">
        <f ca="1"/>
        <v>#NAME?</v>
      </c>
      <c r="BW246" s="2" t="e">
        <f t="shared" ca="1" si="177"/>
        <v>#NAME?</v>
      </c>
      <c r="BX246" s="2" t="e">
        <f ca="1"/>
        <v>#NAME?</v>
      </c>
      <c r="BY246" s="2" t="e">
        <f t="shared" ca="1" si="178"/>
        <v>#NAME?</v>
      </c>
      <c r="BZ246" s="2" t="e">
        <f ca="1"/>
        <v>#NAME?</v>
      </c>
      <c r="CA246" s="2" t="e">
        <f t="shared" ca="1" si="179"/>
        <v>#NAME?</v>
      </c>
      <c r="CB246" s="2" t="e">
        <f ca="1"/>
        <v>#NAME?</v>
      </c>
      <c r="CC246" s="2" t="e">
        <f t="shared" ca="1" si="180"/>
        <v>#NAME?</v>
      </c>
      <c r="CD246" s="2" t="e">
        <f ca="1"/>
        <v>#NAME?</v>
      </c>
      <c r="CE246" s="2" t="e">
        <f t="shared" ca="1" si="181"/>
        <v>#NAME?</v>
      </c>
      <c r="CF246" s="2" t="e">
        <f ca="1"/>
        <v>#NAME?</v>
      </c>
      <c r="CG246" s="2" t="e">
        <f t="shared" ca="1" si="182"/>
        <v>#NAME?</v>
      </c>
      <c r="CH246" s="2" t="e">
        <f ca="1"/>
        <v>#NAME?</v>
      </c>
      <c r="CI246" s="2" t="e">
        <f t="shared" ca="1" si="183"/>
        <v>#NAME?</v>
      </c>
      <c r="CJ246" s="2" t="e">
        <f ca="1"/>
        <v>#NAME?</v>
      </c>
      <c r="CK246" s="2" t="e">
        <f t="shared" ca="1" si="184"/>
        <v>#NAME?</v>
      </c>
      <c r="CL246" s="2" t="e">
        <f ca="1"/>
        <v>#NAME?</v>
      </c>
      <c r="CM246" s="2" t="e">
        <f t="shared" ca="1" si="185"/>
        <v>#NAME?</v>
      </c>
      <c r="CN246" s="2" t="e">
        <f ca="1"/>
        <v>#NAME?</v>
      </c>
      <c r="CO246" s="2" t="e">
        <f t="shared" ca="1" si="186"/>
        <v>#NAME?</v>
      </c>
      <c r="CP246" s="2" t="e">
        <f ca="1"/>
        <v>#NAME?</v>
      </c>
      <c r="CQ246" s="2" t="e">
        <f t="shared" ca="1" si="187"/>
        <v>#NAME?</v>
      </c>
    </row>
    <row r="247" spans="1:95">
      <c r="A247" s="7" t="e">
        <f ca="1"/>
        <v>#NAME?</v>
      </c>
      <c r="B247" s="2" t="e">
        <f ca="1"/>
        <v>#NAME?</v>
      </c>
      <c r="C247" s="2" t="e">
        <f t="shared" ca="1" si="141"/>
        <v>#NAME?</v>
      </c>
      <c r="D247" s="2" t="e">
        <f ca="1"/>
        <v>#NAME?</v>
      </c>
      <c r="E247" s="2" t="e">
        <f t="shared" ca="1" si="142"/>
        <v>#NAME?</v>
      </c>
      <c r="F247" s="2" t="e">
        <f ca="1"/>
        <v>#NAME?</v>
      </c>
      <c r="G247" s="2" t="e">
        <f t="shared" ca="1" si="143"/>
        <v>#NAME?</v>
      </c>
      <c r="H247" s="2" t="e">
        <f ca="1"/>
        <v>#NAME?</v>
      </c>
      <c r="I247" s="2" t="e">
        <f t="shared" ca="1" si="144"/>
        <v>#NAME?</v>
      </c>
      <c r="J247" s="2" t="e">
        <f ca="1"/>
        <v>#NAME?</v>
      </c>
      <c r="K247" s="2" t="e">
        <f t="shared" ca="1" si="145"/>
        <v>#NAME?</v>
      </c>
      <c r="L247" s="2" t="e">
        <f ca="1"/>
        <v>#NAME?</v>
      </c>
      <c r="M247" s="2" t="e">
        <f t="shared" ca="1" si="146"/>
        <v>#NAME?</v>
      </c>
      <c r="N247" s="2" t="e">
        <f ca="1"/>
        <v>#NAME?</v>
      </c>
      <c r="O247" s="2" t="e">
        <f t="shared" ca="1" si="147"/>
        <v>#NAME?</v>
      </c>
      <c r="P247" s="2" t="e">
        <f ca="1"/>
        <v>#NAME?</v>
      </c>
      <c r="Q247" s="2" t="e">
        <f t="shared" ca="1" si="148"/>
        <v>#NAME?</v>
      </c>
      <c r="R247" s="2" t="e">
        <f ca="1"/>
        <v>#NAME?</v>
      </c>
      <c r="S247" s="2" t="e">
        <f t="shared" ca="1" si="149"/>
        <v>#NAME?</v>
      </c>
      <c r="T247" s="2" t="e">
        <f ca="1"/>
        <v>#NAME?</v>
      </c>
      <c r="U247" s="2" t="e">
        <f t="shared" ca="1" si="150"/>
        <v>#NAME?</v>
      </c>
      <c r="V247" s="2" t="e">
        <f ca="1"/>
        <v>#NAME?</v>
      </c>
      <c r="W247" s="2" t="e">
        <f t="shared" ca="1" si="151"/>
        <v>#NAME?</v>
      </c>
      <c r="X247" s="2" t="e">
        <f ca="1"/>
        <v>#NAME?</v>
      </c>
      <c r="Y247" s="2" t="e">
        <f t="shared" ca="1" si="152"/>
        <v>#NAME?</v>
      </c>
      <c r="Z247" s="2" t="e">
        <f ca="1"/>
        <v>#NAME?</v>
      </c>
      <c r="AA247" s="2" t="e">
        <f t="shared" ca="1" si="153"/>
        <v>#NAME?</v>
      </c>
      <c r="AB247" s="2" t="e">
        <f ca="1"/>
        <v>#NAME?</v>
      </c>
      <c r="AC247" s="2" t="e">
        <f t="shared" ca="1" si="154"/>
        <v>#NAME?</v>
      </c>
      <c r="AD247" s="2" t="e">
        <f ca="1"/>
        <v>#NAME?</v>
      </c>
      <c r="AE247" s="2" t="e">
        <f t="shared" ca="1" si="155"/>
        <v>#NAME?</v>
      </c>
      <c r="AF247" s="2" t="e">
        <f ca="1"/>
        <v>#NAME?</v>
      </c>
      <c r="AG247" s="2" t="e">
        <f t="shared" ca="1" si="156"/>
        <v>#NAME?</v>
      </c>
      <c r="AH247" s="2" t="e">
        <f ca="1"/>
        <v>#NAME?</v>
      </c>
      <c r="AI247" s="2" t="e">
        <f t="shared" ca="1" si="157"/>
        <v>#NAME?</v>
      </c>
      <c r="AJ247" s="2" t="e">
        <f ca="1"/>
        <v>#NAME?</v>
      </c>
      <c r="AK247" s="2" t="e">
        <f t="shared" ca="1" si="158"/>
        <v>#NAME?</v>
      </c>
      <c r="AL247" s="2" t="e">
        <f ca="1"/>
        <v>#NAME?</v>
      </c>
      <c r="AM247" s="2" t="e">
        <f t="shared" ca="1" si="159"/>
        <v>#NAME?</v>
      </c>
      <c r="AN247" s="2" t="e">
        <f ca="1"/>
        <v>#NAME?</v>
      </c>
      <c r="AO247" s="2" t="e">
        <f t="shared" ca="1" si="160"/>
        <v>#NAME?</v>
      </c>
      <c r="AP247" s="2" t="e">
        <f ca="1"/>
        <v>#NAME?</v>
      </c>
      <c r="AQ247" s="2" t="e">
        <f t="shared" ca="1" si="161"/>
        <v>#NAME?</v>
      </c>
      <c r="AR247" s="2" t="e">
        <f ca="1"/>
        <v>#NAME?</v>
      </c>
      <c r="AS247" s="2" t="e">
        <f t="shared" ca="1" si="162"/>
        <v>#NAME?</v>
      </c>
      <c r="AT247" s="2" t="e">
        <f ca="1"/>
        <v>#NAME?</v>
      </c>
      <c r="AU247" s="2" t="e">
        <f t="shared" ca="1" si="163"/>
        <v>#NAME?</v>
      </c>
      <c r="AV247" s="2" t="e">
        <f ca="1"/>
        <v>#NAME?</v>
      </c>
      <c r="AW247" s="2" t="e">
        <f t="shared" ca="1" si="164"/>
        <v>#NAME?</v>
      </c>
      <c r="AX247" s="2" t="e">
        <f ca="1"/>
        <v>#NAME?</v>
      </c>
      <c r="AY247" s="2" t="e">
        <f t="shared" ca="1" si="165"/>
        <v>#NAME?</v>
      </c>
      <c r="AZ247" s="2" t="e">
        <f ca="1"/>
        <v>#NAME?</v>
      </c>
      <c r="BA247" s="2" t="e">
        <f t="shared" ca="1" si="166"/>
        <v>#NAME?</v>
      </c>
      <c r="BB247" s="2" t="e">
        <f ca="1"/>
        <v>#NAME?</v>
      </c>
      <c r="BC247" s="2" t="e">
        <f t="shared" ca="1" si="167"/>
        <v>#NAME?</v>
      </c>
      <c r="BD247" s="2" t="e">
        <f ca="1"/>
        <v>#NAME?</v>
      </c>
      <c r="BE247" s="2" t="e">
        <f t="shared" ca="1" si="168"/>
        <v>#NAME?</v>
      </c>
      <c r="BF247" s="2" t="e">
        <f ca="1"/>
        <v>#NAME?</v>
      </c>
      <c r="BG247" s="2" t="e">
        <f t="shared" ca="1" si="169"/>
        <v>#NAME?</v>
      </c>
      <c r="BH247" s="2" t="e">
        <f ca="1"/>
        <v>#NAME?</v>
      </c>
      <c r="BI247" s="2" t="e">
        <f t="shared" ca="1" si="170"/>
        <v>#NAME?</v>
      </c>
      <c r="BJ247" s="2" t="e">
        <f ca="1"/>
        <v>#NAME?</v>
      </c>
      <c r="BK247" s="2" t="e">
        <f t="shared" ca="1" si="171"/>
        <v>#NAME?</v>
      </c>
      <c r="BL247" s="2" t="e">
        <f ca="1"/>
        <v>#NAME?</v>
      </c>
      <c r="BM247" s="2" t="e">
        <f t="shared" ca="1" si="172"/>
        <v>#NAME?</v>
      </c>
      <c r="BN247" s="2" t="e">
        <f ca="1"/>
        <v>#NAME?</v>
      </c>
      <c r="BO247" s="2" t="e">
        <f t="shared" ca="1" si="173"/>
        <v>#NAME?</v>
      </c>
      <c r="BP247" s="2" t="e">
        <f ca="1"/>
        <v>#NAME?</v>
      </c>
      <c r="BQ247" s="2" t="e">
        <f t="shared" ca="1" si="174"/>
        <v>#NAME?</v>
      </c>
      <c r="BR247" s="2" t="e">
        <f ca="1"/>
        <v>#NAME?</v>
      </c>
      <c r="BS247" s="2" t="e">
        <f t="shared" ca="1" si="175"/>
        <v>#NAME?</v>
      </c>
      <c r="BT247" s="2" t="e">
        <f ca="1"/>
        <v>#NAME?</v>
      </c>
      <c r="BU247" s="2" t="e">
        <f t="shared" ca="1" si="176"/>
        <v>#NAME?</v>
      </c>
      <c r="BV247" s="2" t="e">
        <f ca="1"/>
        <v>#NAME?</v>
      </c>
      <c r="BW247" s="2" t="e">
        <f t="shared" ca="1" si="177"/>
        <v>#NAME?</v>
      </c>
      <c r="BX247" s="2" t="e">
        <f ca="1"/>
        <v>#NAME?</v>
      </c>
      <c r="BY247" s="2" t="e">
        <f t="shared" ca="1" si="178"/>
        <v>#NAME?</v>
      </c>
      <c r="BZ247" s="2" t="e">
        <f ca="1"/>
        <v>#NAME?</v>
      </c>
      <c r="CA247" s="2" t="e">
        <f t="shared" ca="1" si="179"/>
        <v>#NAME?</v>
      </c>
      <c r="CB247" s="2" t="e">
        <f ca="1"/>
        <v>#NAME?</v>
      </c>
      <c r="CC247" s="2" t="e">
        <f t="shared" ca="1" si="180"/>
        <v>#NAME?</v>
      </c>
      <c r="CD247" s="2" t="e">
        <f ca="1"/>
        <v>#NAME?</v>
      </c>
      <c r="CE247" s="2" t="e">
        <f t="shared" ca="1" si="181"/>
        <v>#NAME?</v>
      </c>
      <c r="CF247" s="2" t="e">
        <f ca="1"/>
        <v>#NAME?</v>
      </c>
      <c r="CG247" s="2" t="e">
        <f t="shared" ca="1" si="182"/>
        <v>#NAME?</v>
      </c>
      <c r="CH247" s="2" t="e">
        <f ca="1"/>
        <v>#NAME?</v>
      </c>
      <c r="CI247" s="2" t="e">
        <f t="shared" ca="1" si="183"/>
        <v>#NAME?</v>
      </c>
      <c r="CJ247" s="2" t="e">
        <f ca="1"/>
        <v>#NAME?</v>
      </c>
      <c r="CK247" s="2" t="e">
        <f t="shared" ca="1" si="184"/>
        <v>#NAME?</v>
      </c>
      <c r="CL247" s="2" t="e">
        <f ca="1"/>
        <v>#NAME?</v>
      </c>
      <c r="CM247" s="2" t="e">
        <f t="shared" ca="1" si="185"/>
        <v>#NAME?</v>
      </c>
      <c r="CN247" s="2" t="e">
        <f ca="1"/>
        <v>#NAME?</v>
      </c>
      <c r="CO247" s="2" t="e">
        <f t="shared" ca="1" si="186"/>
        <v>#NAME?</v>
      </c>
      <c r="CP247" s="2" t="e">
        <f ca="1"/>
        <v>#NAME?</v>
      </c>
      <c r="CQ247" s="2" t="e">
        <f t="shared" ca="1" si="187"/>
        <v>#NAME?</v>
      </c>
    </row>
    <row r="248" spans="1:95">
      <c r="A248" s="7" t="e">
        <f ca="1"/>
        <v>#NAME?</v>
      </c>
      <c r="B248" s="2" t="e">
        <f ca="1"/>
        <v>#NAME?</v>
      </c>
      <c r="C248" s="2" t="e">
        <f t="shared" ca="1" si="141"/>
        <v>#NAME?</v>
      </c>
      <c r="D248" s="2" t="e">
        <f ca="1"/>
        <v>#NAME?</v>
      </c>
      <c r="E248" s="2" t="e">
        <f t="shared" ca="1" si="142"/>
        <v>#NAME?</v>
      </c>
      <c r="F248" s="2" t="e">
        <f ca="1"/>
        <v>#NAME?</v>
      </c>
      <c r="G248" s="2" t="e">
        <f t="shared" ca="1" si="143"/>
        <v>#NAME?</v>
      </c>
      <c r="H248" s="2" t="e">
        <f ca="1"/>
        <v>#NAME?</v>
      </c>
      <c r="I248" s="2" t="e">
        <f t="shared" ca="1" si="144"/>
        <v>#NAME?</v>
      </c>
      <c r="J248" s="2" t="e">
        <f ca="1"/>
        <v>#NAME?</v>
      </c>
      <c r="K248" s="2" t="e">
        <f t="shared" ca="1" si="145"/>
        <v>#NAME?</v>
      </c>
      <c r="L248" s="2" t="e">
        <f ca="1"/>
        <v>#NAME?</v>
      </c>
      <c r="M248" s="2" t="e">
        <f t="shared" ca="1" si="146"/>
        <v>#NAME?</v>
      </c>
      <c r="N248" s="2" t="e">
        <f ca="1"/>
        <v>#NAME?</v>
      </c>
      <c r="O248" s="2" t="e">
        <f t="shared" ca="1" si="147"/>
        <v>#NAME?</v>
      </c>
      <c r="P248" s="2" t="e">
        <f ca="1"/>
        <v>#NAME?</v>
      </c>
      <c r="Q248" s="2" t="e">
        <f t="shared" ca="1" si="148"/>
        <v>#NAME?</v>
      </c>
      <c r="R248" s="2" t="e">
        <f ca="1"/>
        <v>#NAME?</v>
      </c>
      <c r="S248" s="2" t="e">
        <f t="shared" ca="1" si="149"/>
        <v>#NAME?</v>
      </c>
      <c r="T248" s="2" t="e">
        <f ca="1"/>
        <v>#NAME?</v>
      </c>
      <c r="U248" s="2" t="e">
        <f t="shared" ca="1" si="150"/>
        <v>#NAME?</v>
      </c>
      <c r="V248" s="2" t="e">
        <f ca="1"/>
        <v>#NAME?</v>
      </c>
      <c r="W248" s="2" t="e">
        <f t="shared" ca="1" si="151"/>
        <v>#NAME?</v>
      </c>
      <c r="X248" s="2" t="e">
        <f ca="1"/>
        <v>#NAME?</v>
      </c>
      <c r="Y248" s="2" t="e">
        <f t="shared" ca="1" si="152"/>
        <v>#NAME?</v>
      </c>
      <c r="Z248" s="2" t="e">
        <f ca="1"/>
        <v>#NAME?</v>
      </c>
      <c r="AA248" s="2" t="e">
        <f t="shared" ca="1" si="153"/>
        <v>#NAME?</v>
      </c>
      <c r="AB248" s="2" t="e">
        <f ca="1"/>
        <v>#NAME?</v>
      </c>
      <c r="AC248" s="2" t="e">
        <f t="shared" ca="1" si="154"/>
        <v>#NAME?</v>
      </c>
      <c r="AD248" s="2" t="e">
        <f ca="1"/>
        <v>#NAME?</v>
      </c>
      <c r="AE248" s="2" t="e">
        <f t="shared" ca="1" si="155"/>
        <v>#NAME?</v>
      </c>
      <c r="AF248" s="2" t="e">
        <f ca="1"/>
        <v>#NAME?</v>
      </c>
      <c r="AG248" s="2" t="e">
        <f t="shared" ca="1" si="156"/>
        <v>#NAME?</v>
      </c>
      <c r="AH248" s="2" t="e">
        <f ca="1"/>
        <v>#NAME?</v>
      </c>
      <c r="AI248" s="2" t="e">
        <f t="shared" ca="1" si="157"/>
        <v>#NAME?</v>
      </c>
      <c r="AJ248" s="2" t="e">
        <f ca="1"/>
        <v>#NAME?</v>
      </c>
      <c r="AK248" s="2" t="e">
        <f t="shared" ca="1" si="158"/>
        <v>#NAME?</v>
      </c>
      <c r="AL248" s="2" t="e">
        <f ca="1"/>
        <v>#NAME?</v>
      </c>
      <c r="AM248" s="2" t="e">
        <f t="shared" ca="1" si="159"/>
        <v>#NAME?</v>
      </c>
      <c r="AN248" s="2" t="e">
        <f ca="1"/>
        <v>#NAME?</v>
      </c>
      <c r="AO248" s="2" t="e">
        <f t="shared" ca="1" si="160"/>
        <v>#NAME?</v>
      </c>
      <c r="AP248" s="2" t="e">
        <f ca="1"/>
        <v>#NAME?</v>
      </c>
      <c r="AQ248" s="2" t="e">
        <f t="shared" ca="1" si="161"/>
        <v>#NAME?</v>
      </c>
      <c r="AR248" s="2" t="e">
        <f ca="1"/>
        <v>#NAME?</v>
      </c>
      <c r="AS248" s="2" t="e">
        <f t="shared" ca="1" si="162"/>
        <v>#NAME?</v>
      </c>
      <c r="AT248" s="2" t="e">
        <f ca="1"/>
        <v>#NAME?</v>
      </c>
      <c r="AU248" s="2" t="e">
        <f t="shared" ca="1" si="163"/>
        <v>#NAME?</v>
      </c>
      <c r="AV248" s="2" t="e">
        <f ca="1"/>
        <v>#NAME?</v>
      </c>
      <c r="AW248" s="2" t="e">
        <f t="shared" ca="1" si="164"/>
        <v>#NAME?</v>
      </c>
      <c r="AX248" s="2" t="e">
        <f ca="1"/>
        <v>#NAME?</v>
      </c>
      <c r="AY248" s="2" t="e">
        <f t="shared" ca="1" si="165"/>
        <v>#NAME?</v>
      </c>
      <c r="AZ248" s="2" t="e">
        <f ca="1"/>
        <v>#NAME?</v>
      </c>
      <c r="BA248" s="2" t="e">
        <f t="shared" ca="1" si="166"/>
        <v>#NAME?</v>
      </c>
      <c r="BB248" s="2" t="e">
        <f ca="1"/>
        <v>#NAME?</v>
      </c>
      <c r="BC248" s="2" t="e">
        <f t="shared" ca="1" si="167"/>
        <v>#NAME?</v>
      </c>
      <c r="BD248" s="2" t="e">
        <f ca="1"/>
        <v>#NAME?</v>
      </c>
      <c r="BE248" s="2" t="e">
        <f t="shared" ca="1" si="168"/>
        <v>#NAME?</v>
      </c>
      <c r="BF248" s="2" t="e">
        <f ca="1"/>
        <v>#NAME?</v>
      </c>
      <c r="BG248" s="2" t="e">
        <f t="shared" ca="1" si="169"/>
        <v>#NAME?</v>
      </c>
      <c r="BH248" s="2" t="e">
        <f ca="1"/>
        <v>#NAME?</v>
      </c>
      <c r="BI248" s="2" t="e">
        <f t="shared" ca="1" si="170"/>
        <v>#NAME?</v>
      </c>
      <c r="BJ248" s="2" t="e">
        <f ca="1"/>
        <v>#NAME?</v>
      </c>
      <c r="BK248" s="2" t="e">
        <f t="shared" ca="1" si="171"/>
        <v>#NAME?</v>
      </c>
      <c r="BL248" s="2" t="e">
        <f ca="1"/>
        <v>#NAME?</v>
      </c>
      <c r="BM248" s="2" t="e">
        <f t="shared" ca="1" si="172"/>
        <v>#NAME?</v>
      </c>
      <c r="BN248" s="2" t="e">
        <f ca="1"/>
        <v>#NAME?</v>
      </c>
      <c r="BO248" s="2" t="e">
        <f t="shared" ca="1" si="173"/>
        <v>#NAME?</v>
      </c>
      <c r="BP248" s="2" t="e">
        <f ca="1"/>
        <v>#NAME?</v>
      </c>
      <c r="BQ248" s="2" t="e">
        <f t="shared" ca="1" si="174"/>
        <v>#NAME?</v>
      </c>
      <c r="BR248" s="2" t="e">
        <f ca="1"/>
        <v>#NAME?</v>
      </c>
      <c r="BS248" s="2" t="e">
        <f t="shared" ca="1" si="175"/>
        <v>#NAME?</v>
      </c>
      <c r="BT248" s="2" t="e">
        <f ca="1"/>
        <v>#NAME?</v>
      </c>
      <c r="BU248" s="2" t="e">
        <f t="shared" ca="1" si="176"/>
        <v>#NAME?</v>
      </c>
      <c r="BV248" s="2" t="e">
        <f ca="1"/>
        <v>#NAME?</v>
      </c>
      <c r="BW248" s="2" t="e">
        <f t="shared" ca="1" si="177"/>
        <v>#NAME?</v>
      </c>
      <c r="BX248" s="2" t="e">
        <f ca="1"/>
        <v>#NAME?</v>
      </c>
      <c r="BY248" s="2" t="e">
        <f t="shared" ca="1" si="178"/>
        <v>#NAME?</v>
      </c>
      <c r="BZ248" s="2" t="e">
        <f ca="1"/>
        <v>#NAME?</v>
      </c>
      <c r="CA248" s="2" t="e">
        <f t="shared" ca="1" si="179"/>
        <v>#NAME?</v>
      </c>
      <c r="CB248" s="2" t="e">
        <f ca="1"/>
        <v>#NAME?</v>
      </c>
      <c r="CC248" s="2" t="e">
        <f t="shared" ca="1" si="180"/>
        <v>#NAME?</v>
      </c>
      <c r="CD248" s="2" t="e">
        <f ca="1"/>
        <v>#NAME?</v>
      </c>
      <c r="CE248" s="2" t="e">
        <f t="shared" ca="1" si="181"/>
        <v>#NAME?</v>
      </c>
      <c r="CF248" s="2" t="e">
        <f ca="1"/>
        <v>#NAME?</v>
      </c>
      <c r="CG248" s="2" t="e">
        <f t="shared" ca="1" si="182"/>
        <v>#NAME?</v>
      </c>
      <c r="CH248" s="2" t="e">
        <f ca="1"/>
        <v>#NAME?</v>
      </c>
      <c r="CI248" s="2" t="e">
        <f t="shared" ca="1" si="183"/>
        <v>#NAME?</v>
      </c>
      <c r="CJ248" s="2" t="e">
        <f ca="1"/>
        <v>#NAME?</v>
      </c>
      <c r="CK248" s="2" t="e">
        <f t="shared" ca="1" si="184"/>
        <v>#NAME?</v>
      </c>
      <c r="CL248" s="2" t="e">
        <f ca="1"/>
        <v>#NAME?</v>
      </c>
      <c r="CM248" s="2" t="e">
        <f t="shared" ca="1" si="185"/>
        <v>#NAME?</v>
      </c>
      <c r="CN248" s="2" t="e">
        <f ca="1"/>
        <v>#NAME?</v>
      </c>
      <c r="CO248" s="2" t="e">
        <f t="shared" ca="1" si="186"/>
        <v>#NAME?</v>
      </c>
      <c r="CP248" s="2" t="e">
        <f ca="1"/>
        <v>#NAME?</v>
      </c>
      <c r="CQ248" s="2" t="e">
        <f t="shared" ca="1" si="187"/>
        <v>#NAME?</v>
      </c>
    </row>
    <row r="249" spans="1:95">
      <c r="A249" s="7" t="e">
        <f ca="1"/>
        <v>#NAME?</v>
      </c>
      <c r="B249" s="2" t="e">
        <f ca="1"/>
        <v>#NAME?</v>
      </c>
      <c r="C249" s="2" t="e">
        <f t="shared" ca="1" si="141"/>
        <v>#NAME?</v>
      </c>
      <c r="D249" s="2" t="e">
        <f ca="1"/>
        <v>#NAME?</v>
      </c>
      <c r="E249" s="2" t="e">
        <f t="shared" ca="1" si="142"/>
        <v>#NAME?</v>
      </c>
      <c r="F249" s="2" t="e">
        <f ca="1"/>
        <v>#NAME?</v>
      </c>
      <c r="G249" s="2" t="e">
        <f t="shared" ca="1" si="143"/>
        <v>#NAME?</v>
      </c>
      <c r="H249" s="2" t="e">
        <f ca="1"/>
        <v>#NAME?</v>
      </c>
      <c r="I249" s="2" t="e">
        <f t="shared" ca="1" si="144"/>
        <v>#NAME?</v>
      </c>
      <c r="J249" s="2" t="e">
        <f ca="1"/>
        <v>#NAME?</v>
      </c>
      <c r="K249" s="2" t="e">
        <f t="shared" ca="1" si="145"/>
        <v>#NAME?</v>
      </c>
      <c r="L249" s="2" t="e">
        <f ca="1"/>
        <v>#NAME?</v>
      </c>
      <c r="M249" s="2" t="e">
        <f t="shared" ca="1" si="146"/>
        <v>#NAME?</v>
      </c>
      <c r="N249" s="2" t="e">
        <f ca="1"/>
        <v>#NAME?</v>
      </c>
      <c r="O249" s="2" t="e">
        <f t="shared" ca="1" si="147"/>
        <v>#NAME?</v>
      </c>
      <c r="P249" s="2" t="e">
        <f ca="1"/>
        <v>#NAME?</v>
      </c>
      <c r="Q249" s="2" t="e">
        <f t="shared" ca="1" si="148"/>
        <v>#NAME?</v>
      </c>
      <c r="R249" s="2" t="e">
        <f ca="1"/>
        <v>#NAME?</v>
      </c>
      <c r="S249" s="2" t="e">
        <f t="shared" ca="1" si="149"/>
        <v>#NAME?</v>
      </c>
      <c r="T249" s="2" t="e">
        <f ca="1"/>
        <v>#NAME?</v>
      </c>
      <c r="U249" s="2" t="e">
        <f t="shared" ca="1" si="150"/>
        <v>#NAME?</v>
      </c>
      <c r="V249" s="2" t="e">
        <f ca="1"/>
        <v>#NAME?</v>
      </c>
      <c r="W249" s="2" t="e">
        <f t="shared" ca="1" si="151"/>
        <v>#NAME?</v>
      </c>
      <c r="X249" s="2" t="e">
        <f ca="1"/>
        <v>#NAME?</v>
      </c>
      <c r="Y249" s="2" t="e">
        <f t="shared" ca="1" si="152"/>
        <v>#NAME?</v>
      </c>
      <c r="Z249" s="2" t="e">
        <f ca="1"/>
        <v>#NAME?</v>
      </c>
      <c r="AA249" s="2" t="e">
        <f t="shared" ca="1" si="153"/>
        <v>#NAME?</v>
      </c>
      <c r="AB249" s="2" t="e">
        <f ca="1"/>
        <v>#NAME?</v>
      </c>
      <c r="AC249" s="2" t="e">
        <f t="shared" ca="1" si="154"/>
        <v>#NAME?</v>
      </c>
      <c r="AD249" s="2" t="e">
        <f ca="1"/>
        <v>#NAME?</v>
      </c>
      <c r="AE249" s="2" t="e">
        <f t="shared" ca="1" si="155"/>
        <v>#NAME?</v>
      </c>
      <c r="AF249" s="2" t="e">
        <f ca="1"/>
        <v>#NAME?</v>
      </c>
      <c r="AG249" s="2" t="e">
        <f t="shared" ca="1" si="156"/>
        <v>#NAME?</v>
      </c>
      <c r="AH249" s="2" t="e">
        <f ca="1"/>
        <v>#NAME?</v>
      </c>
      <c r="AI249" s="2" t="e">
        <f t="shared" ca="1" si="157"/>
        <v>#NAME?</v>
      </c>
      <c r="AJ249" s="2" t="e">
        <f ca="1"/>
        <v>#NAME?</v>
      </c>
      <c r="AK249" s="2" t="e">
        <f t="shared" ca="1" si="158"/>
        <v>#NAME?</v>
      </c>
      <c r="AL249" s="2" t="e">
        <f ca="1"/>
        <v>#NAME?</v>
      </c>
      <c r="AM249" s="2" t="e">
        <f t="shared" ca="1" si="159"/>
        <v>#NAME?</v>
      </c>
      <c r="AN249" s="2" t="e">
        <f ca="1"/>
        <v>#NAME?</v>
      </c>
      <c r="AO249" s="2" t="e">
        <f t="shared" ca="1" si="160"/>
        <v>#NAME?</v>
      </c>
      <c r="AP249" s="2" t="e">
        <f ca="1"/>
        <v>#NAME?</v>
      </c>
      <c r="AQ249" s="2" t="e">
        <f t="shared" ca="1" si="161"/>
        <v>#NAME?</v>
      </c>
      <c r="AR249" s="2" t="e">
        <f ca="1"/>
        <v>#NAME?</v>
      </c>
      <c r="AS249" s="2" t="e">
        <f t="shared" ca="1" si="162"/>
        <v>#NAME?</v>
      </c>
      <c r="AT249" s="2" t="e">
        <f ca="1"/>
        <v>#NAME?</v>
      </c>
      <c r="AU249" s="2" t="e">
        <f t="shared" ca="1" si="163"/>
        <v>#NAME?</v>
      </c>
      <c r="AV249" s="2" t="e">
        <f ca="1"/>
        <v>#NAME?</v>
      </c>
      <c r="AW249" s="2" t="e">
        <f t="shared" ca="1" si="164"/>
        <v>#NAME?</v>
      </c>
      <c r="AX249" s="2" t="e">
        <f ca="1"/>
        <v>#NAME?</v>
      </c>
      <c r="AY249" s="2" t="e">
        <f t="shared" ca="1" si="165"/>
        <v>#NAME?</v>
      </c>
      <c r="AZ249" s="2" t="e">
        <f ca="1"/>
        <v>#NAME?</v>
      </c>
      <c r="BA249" s="2" t="e">
        <f t="shared" ca="1" si="166"/>
        <v>#NAME?</v>
      </c>
      <c r="BB249" s="2" t="e">
        <f ca="1"/>
        <v>#NAME?</v>
      </c>
      <c r="BC249" s="2" t="e">
        <f t="shared" ca="1" si="167"/>
        <v>#NAME?</v>
      </c>
      <c r="BD249" s="2" t="e">
        <f ca="1"/>
        <v>#NAME?</v>
      </c>
      <c r="BE249" s="2" t="e">
        <f t="shared" ca="1" si="168"/>
        <v>#NAME?</v>
      </c>
      <c r="BF249" s="2" t="e">
        <f ca="1"/>
        <v>#NAME?</v>
      </c>
      <c r="BG249" s="2" t="e">
        <f t="shared" ca="1" si="169"/>
        <v>#NAME?</v>
      </c>
      <c r="BH249" s="2" t="e">
        <f ca="1"/>
        <v>#NAME?</v>
      </c>
      <c r="BI249" s="2" t="e">
        <f t="shared" ca="1" si="170"/>
        <v>#NAME?</v>
      </c>
      <c r="BJ249" s="2" t="e">
        <f ca="1"/>
        <v>#NAME?</v>
      </c>
      <c r="BK249" s="2" t="e">
        <f t="shared" ca="1" si="171"/>
        <v>#NAME?</v>
      </c>
      <c r="BL249" s="2" t="e">
        <f ca="1"/>
        <v>#NAME?</v>
      </c>
      <c r="BM249" s="2" t="e">
        <f t="shared" ca="1" si="172"/>
        <v>#NAME?</v>
      </c>
      <c r="BN249" s="2" t="e">
        <f ca="1"/>
        <v>#NAME?</v>
      </c>
      <c r="BO249" s="2" t="e">
        <f t="shared" ca="1" si="173"/>
        <v>#NAME?</v>
      </c>
      <c r="BP249" s="2" t="e">
        <f ca="1"/>
        <v>#NAME?</v>
      </c>
      <c r="BQ249" s="2" t="e">
        <f t="shared" ca="1" si="174"/>
        <v>#NAME?</v>
      </c>
      <c r="BR249" s="2" t="e">
        <f ca="1"/>
        <v>#NAME?</v>
      </c>
      <c r="BS249" s="2" t="e">
        <f t="shared" ca="1" si="175"/>
        <v>#NAME?</v>
      </c>
      <c r="BT249" s="2" t="e">
        <f ca="1"/>
        <v>#NAME?</v>
      </c>
      <c r="BU249" s="2" t="e">
        <f t="shared" ca="1" si="176"/>
        <v>#NAME?</v>
      </c>
      <c r="BV249" s="2" t="e">
        <f ca="1"/>
        <v>#NAME?</v>
      </c>
      <c r="BW249" s="2" t="e">
        <f t="shared" ca="1" si="177"/>
        <v>#NAME?</v>
      </c>
      <c r="BX249" s="2" t="e">
        <f ca="1"/>
        <v>#NAME?</v>
      </c>
      <c r="BY249" s="2" t="e">
        <f t="shared" ca="1" si="178"/>
        <v>#NAME?</v>
      </c>
      <c r="BZ249" s="2" t="e">
        <f ca="1"/>
        <v>#NAME?</v>
      </c>
      <c r="CA249" s="2" t="e">
        <f t="shared" ca="1" si="179"/>
        <v>#NAME?</v>
      </c>
      <c r="CB249" s="2" t="e">
        <f ca="1"/>
        <v>#NAME?</v>
      </c>
      <c r="CC249" s="2" t="e">
        <f t="shared" ca="1" si="180"/>
        <v>#NAME?</v>
      </c>
      <c r="CD249" s="2" t="e">
        <f ca="1"/>
        <v>#NAME?</v>
      </c>
      <c r="CE249" s="2" t="e">
        <f t="shared" ca="1" si="181"/>
        <v>#NAME?</v>
      </c>
      <c r="CF249" s="2" t="e">
        <f ca="1"/>
        <v>#NAME?</v>
      </c>
      <c r="CG249" s="2" t="e">
        <f t="shared" ca="1" si="182"/>
        <v>#NAME?</v>
      </c>
      <c r="CH249" s="2" t="e">
        <f ca="1"/>
        <v>#NAME?</v>
      </c>
      <c r="CI249" s="2" t="e">
        <f t="shared" ca="1" si="183"/>
        <v>#NAME?</v>
      </c>
      <c r="CJ249" s="2" t="e">
        <f ca="1"/>
        <v>#NAME?</v>
      </c>
      <c r="CK249" s="2" t="e">
        <f t="shared" ca="1" si="184"/>
        <v>#NAME?</v>
      </c>
      <c r="CL249" s="2" t="e">
        <f ca="1"/>
        <v>#NAME?</v>
      </c>
      <c r="CM249" s="2" t="e">
        <f t="shared" ca="1" si="185"/>
        <v>#NAME?</v>
      </c>
      <c r="CN249" s="2" t="e">
        <f ca="1"/>
        <v>#NAME?</v>
      </c>
      <c r="CO249" s="2" t="e">
        <f t="shared" ca="1" si="186"/>
        <v>#NAME?</v>
      </c>
      <c r="CP249" s="2" t="e">
        <f ca="1"/>
        <v>#NAME?</v>
      </c>
      <c r="CQ249" s="2" t="e">
        <f t="shared" ca="1" si="187"/>
        <v>#NAME?</v>
      </c>
    </row>
    <row r="250" spans="1:95">
      <c r="A250" s="7" t="e">
        <f ca="1"/>
        <v>#NAME?</v>
      </c>
      <c r="B250" s="2" t="e">
        <f ca="1"/>
        <v>#NAME?</v>
      </c>
      <c r="C250" s="2" t="e">
        <f t="shared" ca="1" si="141"/>
        <v>#NAME?</v>
      </c>
      <c r="D250" s="2" t="e">
        <f ca="1"/>
        <v>#NAME?</v>
      </c>
      <c r="E250" s="2" t="e">
        <f t="shared" ca="1" si="142"/>
        <v>#NAME?</v>
      </c>
      <c r="F250" s="2" t="e">
        <f ca="1"/>
        <v>#NAME?</v>
      </c>
      <c r="G250" s="2" t="e">
        <f t="shared" ca="1" si="143"/>
        <v>#NAME?</v>
      </c>
      <c r="H250" s="2" t="e">
        <f ca="1"/>
        <v>#NAME?</v>
      </c>
      <c r="I250" s="2" t="e">
        <f t="shared" ca="1" si="144"/>
        <v>#NAME?</v>
      </c>
      <c r="J250" s="2" t="e">
        <f ca="1"/>
        <v>#NAME?</v>
      </c>
      <c r="K250" s="2" t="e">
        <f t="shared" ca="1" si="145"/>
        <v>#NAME?</v>
      </c>
      <c r="L250" s="2" t="e">
        <f ca="1"/>
        <v>#NAME?</v>
      </c>
      <c r="M250" s="2" t="e">
        <f t="shared" ca="1" si="146"/>
        <v>#NAME?</v>
      </c>
      <c r="N250" s="2" t="e">
        <f ca="1"/>
        <v>#NAME?</v>
      </c>
      <c r="O250" s="2" t="e">
        <f t="shared" ca="1" si="147"/>
        <v>#NAME?</v>
      </c>
      <c r="P250" s="2" t="e">
        <f ca="1"/>
        <v>#NAME?</v>
      </c>
      <c r="Q250" s="2" t="e">
        <f t="shared" ca="1" si="148"/>
        <v>#NAME?</v>
      </c>
      <c r="R250" s="2" t="e">
        <f ca="1"/>
        <v>#NAME?</v>
      </c>
      <c r="S250" s="2" t="e">
        <f t="shared" ca="1" si="149"/>
        <v>#NAME?</v>
      </c>
      <c r="T250" s="2" t="e">
        <f ca="1"/>
        <v>#NAME?</v>
      </c>
      <c r="U250" s="2" t="e">
        <f t="shared" ca="1" si="150"/>
        <v>#NAME?</v>
      </c>
      <c r="V250" s="2" t="e">
        <f ca="1"/>
        <v>#NAME?</v>
      </c>
      <c r="W250" s="2" t="e">
        <f t="shared" ca="1" si="151"/>
        <v>#NAME?</v>
      </c>
      <c r="X250" s="2" t="e">
        <f ca="1"/>
        <v>#NAME?</v>
      </c>
      <c r="Y250" s="2" t="e">
        <f t="shared" ca="1" si="152"/>
        <v>#NAME?</v>
      </c>
      <c r="Z250" s="2" t="e">
        <f ca="1"/>
        <v>#NAME?</v>
      </c>
      <c r="AA250" s="2" t="e">
        <f t="shared" ca="1" si="153"/>
        <v>#NAME?</v>
      </c>
      <c r="AB250" s="2" t="e">
        <f ca="1"/>
        <v>#NAME?</v>
      </c>
      <c r="AC250" s="2" t="e">
        <f t="shared" ca="1" si="154"/>
        <v>#NAME?</v>
      </c>
      <c r="AD250" s="2" t="e">
        <f ca="1"/>
        <v>#NAME?</v>
      </c>
      <c r="AE250" s="2" t="e">
        <f t="shared" ca="1" si="155"/>
        <v>#NAME?</v>
      </c>
      <c r="AF250" s="2" t="e">
        <f ca="1"/>
        <v>#NAME?</v>
      </c>
      <c r="AG250" s="2" t="e">
        <f t="shared" ca="1" si="156"/>
        <v>#NAME?</v>
      </c>
      <c r="AH250" s="2" t="e">
        <f ca="1"/>
        <v>#NAME?</v>
      </c>
      <c r="AI250" s="2" t="e">
        <f t="shared" ca="1" si="157"/>
        <v>#NAME?</v>
      </c>
      <c r="AJ250" s="2" t="e">
        <f ca="1"/>
        <v>#NAME?</v>
      </c>
      <c r="AK250" s="2" t="e">
        <f t="shared" ca="1" si="158"/>
        <v>#NAME?</v>
      </c>
      <c r="AL250" s="2" t="e">
        <f ca="1"/>
        <v>#NAME?</v>
      </c>
      <c r="AM250" s="2" t="e">
        <f t="shared" ca="1" si="159"/>
        <v>#NAME?</v>
      </c>
      <c r="AN250" s="2" t="e">
        <f ca="1"/>
        <v>#NAME?</v>
      </c>
      <c r="AO250" s="2" t="e">
        <f t="shared" ca="1" si="160"/>
        <v>#NAME?</v>
      </c>
      <c r="AP250" s="2" t="e">
        <f ca="1"/>
        <v>#NAME?</v>
      </c>
      <c r="AQ250" s="2" t="e">
        <f t="shared" ca="1" si="161"/>
        <v>#NAME?</v>
      </c>
      <c r="AR250" s="2" t="e">
        <f ca="1"/>
        <v>#NAME?</v>
      </c>
      <c r="AS250" s="2" t="e">
        <f t="shared" ca="1" si="162"/>
        <v>#NAME?</v>
      </c>
      <c r="AT250" s="2" t="e">
        <f ca="1"/>
        <v>#NAME?</v>
      </c>
      <c r="AU250" s="2" t="e">
        <f t="shared" ca="1" si="163"/>
        <v>#NAME?</v>
      </c>
      <c r="AV250" s="2" t="e">
        <f ca="1"/>
        <v>#NAME?</v>
      </c>
      <c r="AW250" s="2" t="e">
        <f t="shared" ca="1" si="164"/>
        <v>#NAME?</v>
      </c>
      <c r="AX250" s="2" t="e">
        <f ca="1"/>
        <v>#NAME?</v>
      </c>
      <c r="AY250" s="2" t="e">
        <f t="shared" ca="1" si="165"/>
        <v>#NAME?</v>
      </c>
      <c r="AZ250" s="2" t="e">
        <f ca="1"/>
        <v>#NAME?</v>
      </c>
      <c r="BA250" s="2" t="e">
        <f t="shared" ca="1" si="166"/>
        <v>#NAME?</v>
      </c>
      <c r="BB250" s="2" t="e">
        <f ca="1"/>
        <v>#NAME?</v>
      </c>
      <c r="BC250" s="2" t="e">
        <f t="shared" ca="1" si="167"/>
        <v>#NAME?</v>
      </c>
      <c r="BD250" s="2" t="e">
        <f ca="1"/>
        <v>#NAME?</v>
      </c>
      <c r="BE250" s="2" t="e">
        <f t="shared" ca="1" si="168"/>
        <v>#NAME?</v>
      </c>
      <c r="BF250" s="2" t="e">
        <f ca="1"/>
        <v>#NAME?</v>
      </c>
      <c r="BG250" s="2" t="e">
        <f t="shared" ca="1" si="169"/>
        <v>#NAME?</v>
      </c>
      <c r="BH250" s="2" t="e">
        <f ca="1"/>
        <v>#NAME?</v>
      </c>
      <c r="BI250" s="2" t="e">
        <f t="shared" ca="1" si="170"/>
        <v>#NAME?</v>
      </c>
      <c r="BJ250" s="2" t="e">
        <f ca="1"/>
        <v>#NAME?</v>
      </c>
      <c r="BK250" s="2" t="e">
        <f t="shared" ca="1" si="171"/>
        <v>#NAME?</v>
      </c>
      <c r="BL250" s="2" t="e">
        <f ca="1"/>
        <v>#NAME?</v>
      </c>
      <c r="BM250" s="2" t="e">
        <f t="shared" ca="1" si="172"/>
        <v>#NAME?</v>
      </c>
      <c r="BN250" s="2" t="e">
        <f ca="1"/>
        <v>#NAME?</v>
      </c>
      <c r="BO250" s="2" t="e">
        <f t="shared" ca="1" si="173"/>
        <v>#NAME?</v>
      </c>
      <c r="BP250" s="2" t="e">
        <f ca="1"/>
        <v>#NAME?</v>
      </c>
      <c r="BQ250" s="2" t="e">
        <f t="shared" ca="1" si="174"/>
        <v>#NAME?</v>
      </c>
      <c r="BR250" s="2" t="e">
        <f ca="1"/>
        <v>#NAME?</v>
      </c>
      <c r="BS250" s="2" t="e">
        <f t="shared" ca="1" si="175"/>
        <v>#NAME?</v>
      </c>
      <c r="BT250" s="2" t="e">
        <f ca="1"/>
        <v>#NAME?</v>
      </c>
      <c r="BU250" s="2" t="e">
        <f t="shared" ca="1" si="176"/>
        <v>#NAME?</v>
      </c>
      <c r="BV250" s="2" t="e">
        <f ca="1"/>
        <v>#NAME?</v>
      </c>
      <c r="BW250" s="2" t="e">
        <f t="shared" ca="1" si="177"/>
        <v>#NAME?</v>
      </c>
      <c r="BX250" s="2" t="e">
        <f ca="1"/>
        <v>#NAME?</v>
      </c>
      <c r="BY250" s="2" t="e">
        <f t="shared" ca="1" si="178"/>
        <v>#NAME?</v>
      </c>
      <c r="BZ250" s="2" t="e">
        <f ca="1"/>
        <v>#NAME?</v>
      </c>
      <c r="CA250" s="2" t="e">
        <f t="shared" ca="1" si="179"/>
        <v>#NAME?</v>
      </c>
      <c r="CB250" s="2" t="e">
        <f ca="1"/>
        <v>#NAME?</v>
      </c>
      <c r="CC250" s="2" t="e">
        <f t="shared" ca="1" si="180"/>
        <v>#NAME?</v>
      </c>
      <c r="CD250" s="2" t="e">
        <f ca="1"/>
        <v>#NAME?</v>
      </c>
      <c r="CE250" s="2" t="e">
        <f t="shared" ca="1" si="181"/>
        <v>#NAME?</v>
      </c>
      <c r="CF250" s="2" t="e">
        <f ca="1"/>
        <v>#NAME?</v>
      </c>
      <c r="CG250" s="2" t="e">
        <f t="shared" ca="1" si="182"/>
        <v>#NAME?</v>
      </c>
      <c r="CH250" s="2" t="e">
        <f ca="1"/>
        <v>#NAME?</v>
      </c>
      <c r="CI250" s="2" t="e">
        <f t="shared" ca="1" si="183"/>
        <v>#NAME?</v>
      </c>
      <c r="CJ250" s="2" t="e">
        <f ca="1"/>
        <v>#NAME?</v>
      </c>
      <c r="CK250" s="2" t="e">
        <f t="shared" ca="1" si="184"/>
        <v>#NAME?</v>
      </c>
      <c r="CL250" s="2" t="e">
        <f ca="1"/>
        <v>#NAME?</v>
      </c>
      <c r="CM250" s="2" t="e">
        <f t="shared" ca="1" si="185"/>
        <v>#NAME?</v>
      </c>
      <c r="CN250" s="2" t="e">
        <f ca="1"/>
        <v>#NAME?</v>
      </c>
      <c r="CO250" s="2" t="e">
        <f t="shared" ca="1" si="186"/>
        <v>#NAME?</v>
      </c>
      <c r="CP250" s="2" t="e">
        <f ca="1"/>
        <v>#NAME?</v>
      </c>
      <c r="CQ250" s="2" t="e">
        <f t="shared" ca="1" si="187"/>
        <v>#NAME?</v>
      </c>
    </row>
    <row r="251" spans="1:95">
      <c r="A251" s="7" t="e">
        <f ca="1"/>
        <v>#NAME?</v>
      </c>
      <c r="B251" s="2" t="e">
        <f ca="1"/>
        <v>#NAME?</v>
      </c>
      <c r="C251" s="2" t="e">
        <f t="shared" ca="1" si="141"/>
        <v>#NAME?</v>
      </c>
      <c r="D251" s="2" t="e">
        <f ca="1"/>
        <v>#NAME?</v>
      </c>
      <c r="E251" s="2" t="e">
        <f t="shared" ca="1" si="142"/>
        <v>#NAME?</v>
      </c>
      <c r="F251" s="2" t="e">
        <f ca="1"/>
        <v>#NAME?</v>
      </c>
      <c r="G251" s="2" t="e">
        <f t="shared" ca="1" si="143"/>
        <v>#NAME?</v>
      </c>
      <c r="H251" s="2" t="e">
        <f ca="1"/>
        <v>#NAME?</v>
      </c>
      <c r="I251" s="2" t="e">
        <f t="shared" ca="1" si="144"/>
        <v>#NAME?</v>
      </c>
      <c r="J251" s="2" t="e">
        <f ca="1"/>
        <v>#NAME?</v>
      </c>
      <c r="K251" s="2" t="e">
        <f t="shared" ca="1" si="145"/>
        <v>#NAME?</v>
      </c>
      <c r="L251" s="2" t="e">
        <f ca="1"/>
        <v>#NAME?</v>
      </c>
      <c r="M251" s="2" t="e">
        <f t="shared" ca="1" si="146"/>
        <v>#NAME?</v>
      </c>
      <c r="N251" s="2" t="e">
        <f ca="1"/>
        <v>#NAME?</v>
      </c>
      <c r="O251" s="2" t="e">
        <f t="shared" ca="1" si="147"/>
        <v>#NAME?</v>
      </c>
      <c r="P251" s="2" t="e">
        <f ca="1"/>
        <v>#NAME?</v>
      </c>
      <c r="Q251" s="2" t="e">
        <f t="shared" ca="1" si="148"/>
        <v>#NAME?</v>
      </c>
      <c r="R251" s="2" t="e">
        <f ca="1"/>
        <v>#NAME?</v>
      </c>
      <c r="S251" s="2" t="e">
        <f t="shared" ca="1" si="149"/>
        <v>#NAME?</v>
      </c>
      <c r="T251" s="2" t="e">
        <f ca="1"/>
        <v>#NAME?</v>
      </c>
      <c r="U251" s="2" t="e">
        <f t="shared" ca="1" si="150"/>
        <v>#NAME?</v>
      </c>
      <c r="V251" s="2" t="e">
        <f ca="1"/>
        <v>#NAME?</v>
      </c>
      <c r="W251" s="2" t="e">
        <f t="shared" ca="1" si="151"/>
        <v>#NAME?</v>
      </c>
      <c r="X251" s="2" t="e">
        <f ca="1"/>
        <v>#NAME?</v>
      </c>
      <c r="Y251" s="2" t="e">
        <f t="shared" ca="1" si="152"/>
        <v>#NAME?</v>
      </c>
      <c r="Z251" s="2" t="e">
        <f ca="1"/>
        <v>#NAME?</v>
      </c>
      <c r="AA251" s="2" t="e">
        <f t="shared" ca="1" si="153"/>
        <v>#NAME?</v>
      </c>
      <c r="AB251" s="2" t="e">
        <f ca="1"/>
        <v>#NAME?</v>
      </c>
      <c r="AC251" s="2" t="e">
        <f t="shared" ca="1" si="154"/>
        <v>#NAME?</v>
      </c>
      <c r="AD251" s="2" t="e">
        <f ca="1"/>
        <v>#NAME?</v>
      </c>
      <c r="AE251" s="2" t="e">
        <f t="shared" ca="1" si="155"/>
        <v>#NAME?</v>
      </c>
      <c r="AF251" s="2" t="e">
        <f ca="1"/>
        <v>#NAME?</v>
      </c>
      <c r="AG251" s="2" t="e">
        <f t="shared" ca="1" si="156"/>
        <v>#NAME?</v>
      </c>
      <c r="AH251" s="2" t="e">
        <f ca="1"/>
        <v>#NAME?</v>
      </c>
      <c r="AI251" s="2" t="e">
        <f t="shared" ca="1" si="157"/>
        <v>#NAME?</v>
      </c>
      <c r="AJ251" s="2" t="e">
        <f ca="1"/>
        <v>#NAME?</v>
      </c>
      <c r="AK251" s="2" t="e">
        <f t="shared" ca="1" si="158"/>
        <v>#NAME?</v>
      </c>
      <c r="AL251" s="2" t="e">
        <f ca="1"/>
        <v>#NAME?</v>
      </c>
      <c r="AM251" s="2" t="e">
        <f t="shared" ca="1" si="159"/>
        <v>#NAME?</v>
      </c>
      <c r="AN251" s="2" t="e">
        <f ca="1"/>
        <v>#NAME?</v>
      </c>
      <c r="AO251" s="2" t="e">
        <f t="shared" ca="1" si="160"/>
        <v>#NAME?</v>
      </c>
      <c r="AP251" s="2" t="e">
        <f ca="1"/>
        <v>#NAME?</v>
      </c>
      <c r="AQ251" s="2" t="e">
        <f t="shared" ca="1" si="161"/>
        <v>#NAME?</v>
      </c>
      <c r="AR251" s="2" t="e">
        <f ca="1"/>
        <v>#NAME?</v>
      </c>
      <c r="AS251" s="2" t="e">
        <f t="shared" ca="1" si="162"/>
        <v>#NAME?</v>
      </c>
      <c r="AT251" s="2" t="e">
        <f ca="1"/>
        <v>#NAME?</v>
      </c>
      <c r="AU251" s="2" t="e">
        <f t="shared" ca="1" si="163"/>
        <v>#NAME?</v>
      </c>
      <c r="AV251" s="2" t="e">
        <f ca="1"/>
        <v>#NAME?</v>
      </c>
      <c r="AW251" s="2" t="e">
        <f t="shared" ca="1" si="164"/>
        <v>#NAME?</v>
      </c>
      <c r="AX251" s="2" t="e">
        <f ca="1"/>
        <v>#NAME?</v>
      </c>
      <c r="AY251" s="2" t="e">
        <f t="shared" ca="1" si="165"/>
        <v>#NAME?</v>
      </c>
      <c r="AZ251" s="2" t="e">
        <f ca="1"/>
        <v>#NAME?</v>
      </c>
      <c r="BA251" s="2" t="e">
        <f t="shared" ca="1" si="166"/>
        <v>#NAME?</v>
      </c>
      <c r="BB251" s="2" t="e">
        <f ca="1"/>
        <v>#NAME?</v>
      </c>
      <c r="BC251" s="2" t="e">
        <f t="shared" ca="1" si="167"/>
        <v>#NAME?</v>
      </c>
      <c r="BD251" s="2" t="e">
        <f ca="1"/>
        <v>#NAME?</v>
      </c>
      <c r="BE251" s="2" t="e">
        <f t="shared" ca="1" si="168"/>
        <v>#NAME?</v>
      </c>
      <c r="BF251" s="2" t="e">
        <f ca="1"/>
        <v>#NAME?</v>
      </c>
      <c r="BG251" s="2" t="e">
        <f t="shared" ca="1" si="169"/>
        <v>#NAME?</v>
      </c>
      <c r="BH251" s="2" t="e">
        <f ca="1"/>
        <v>#NAME?</v>
      </c>
      <c r="BI251" s="2" t="e">
        <f t="shared" ca="1" si="170"/>
        <v>#NAME?</v>
      </c>
      <c r="BJ251" s="2" t="e">
        <f ca="1"/>
        <v>#NAME?</v>
      </c>
      <c r="BK251" s="2" t="e">
        <f t="shared" ca="1" si="171"/>
        <v>#NAME?</v>
      </c>
      <c r="BL251" s="2" t="e">
        <f ca="1"/>
        <v>#NAME?</v>
      </c>
      <c r="BM251" s="2" t="e">
        <f t="shared" ca="1" si="172"/>
        <v>#NAME?</v>
      </c>
      <c r="BN251" s="2" t="e">
        <f ca="1"/>
        <v>#NAME?</v>
      </c>
      <c r="BO251" s="2" t="e">
        <f t="shared" ca="1" si="173"/>
        <v>#NAME?</v>
      </c>
      <c r="BP251" s="2" t="e">
        <f ca="1"/>
        <v>#NAME?</v>
      </c>
      <c r="BQ251" s="2" t="e">
        <f t="shared" ca="1" si="174"/>
        <v>#NAME?</v>
      </c>
      <c r="BR251" s="2" t="e">
        <f ca="1"/>
        <v>#NAME?</v>
      </c>
      <c r="BS251" s="2" t="e">
        <f t="shared" ca="1" si="175"/>
        <v>#NAME?</v>
      </c>
      <c r="BT251" s="2" t="e">
        <f ca="1"/>
        <v>#NAME?</v>
      </c>
      <c r="BU251" s="2" t="e">
        <f t="shared" ca="1" si="176"/>
        <v>#NAME?</v>
      </c>
      <c r="BV251" s="2" t="e">
        <f ca="1"/>
        <v>#NAME?</v>
      </c>
      <c r="BW251" s="2" t="e">
        <f t="shared" ca="1" si="177"/>
        <v>#NAME?</v>
      </c>
      <c r="BX251" s="2" t="e">
        <f ca="1"/>
        <v>#NAME?</v>
      </c>
      <c r="BY251" s="2" t="e">
        <f t="shared" ca="1" si="178"/>
        <v>#NAME?</v>
      </c>
      <c r="BZ251" s="2" t="e">
        <f ca="1"/>
        <v>#NAME?</v>
      </c>
      <c r="CA251" s="2" t="e">
        <f t="shared" ca="1" si="179"/>
        <v>#NAME?</v>
      </c>
      <c r="CB251" s="2" t="e">
        <f ca="1"/>
        <v>#NAME?</v>
      </c>
      <c r="CC251" s="2" t="e">
        <f t="shared" ca="1" si="180"/>
        <v>#NAME?</v>
      </c>
      <c r="CD251" s="2" t="e">
        <f ca="1"/>
        <v>#NAME?</v>
      </c>
      <c r="CE251" s="2" t="e">
        <f t="shared" ca="1" si="181"/>
        <v>#NAME?</v>
      </c>
      <c r="CF251" s="2" t="e">
        <f ca="1"/>
        <v>#NAME?</v>
      </c>
      <c r="CG251" s="2" t="e">
        <f t="shared" ca="1" si="182"/>
        <v>#NAME?</v>
      </c>
      <c r="CH251" s="2" t="e">
        <f ca="1"/>
        <v>#NAME?</v>
      </c>
      <c r="CI251" s="2" t="e">
        <f t="shared" ca="1" si="183"/>
        <v>#NAME?</v>
      </c>
      <c r="CJ251" s="2" t="e">
        <f ca="1"/>
        <v>#NAME?</v>
      </c>
      <c r="CK251" s="2" t="e">
        <f t="shared" ca="1" si="184"/>
        <v>#NAME?</v>
      </c>
      <c r="CL251" s="2" t="e">
        <f ca="1"/>
        <v>#NAME?</v>
      </c>
      <c r="CM251" s="2" t="e">
        <f t="shared" ca="1" si="185"/>
        <v>#NAME?</v>
      </c>
      <c r="CN251" s="2" t="e">
        <f ca="1"/>
        <v>#NAME?</v>
      </c>
      <c r="CO251" s="2" t="e">
        <f t="shared" ca="1" si="186"/>
        <v>#NAME?</v>
      </c>
      <c r="CP251" s="2" t="e">
        <f ca="1"/>
        <v>#NAME?</v>
      </c>
      <c r="CQ251" s="2" t="e">
        <f t="shared" ca="1" si="187"/>
        <v>#NAME?</v>
      </c>
    </row>
    <row r="252" spans="1:95">
      <c r="A252" s="7" t="e">
        <f ca="1"/>
        <v>#NAME?</v>
      </c>
      <c r="B252" s="2" t="e">
        <f ca="1"/>
        <v>#NAME?</v>
      </c>
      <c r="D252" s="2" t="e">
        <f ca="1"/>
        <v>#NAME?</v>
      </c>
      <c r="F252" s="2" t="e">
        <f ca="1"/>
        <v>#NAME?</v>
      </c>
      <c r="H252" s="2" t="e">
        <f ca="1"/>
        <v>#NAME?</v>
      </c>
      <c r="J252" s="2" t="e">
        <f ca="1"/>
        <v>#NAME?</v>
      </c>
      <c r="L252" s="2" t="e">
        <f ca="1"/>
        <v>#NAME?</v>
      </c>
      <c r="N252" s="2" t="e">
        <f ca="1"/>
        <v>#NAME?</v>
      </c>
      <c r="P252" s="2" t="e">
        <f ca="1"/>
        <v>#NAME?</v>
      </c>
      <c r="R252" s="2" t="e">
        <f ca="1"/>
        <v>#NAME?</v>
      </c>
      <c r="T252" s="2" t="e">
        <f ca="1"/>
        <v>#NAME?</v>
      </c>
      <c r="V252" s="2" t="e">
        <f ca="1"/>
        <v>#NAME?</v>
      </c>
      <c r="X252" s="2" t="e">
        <f ca="1"/>
        <v>#NAME?</v>
      </c>
      <c r="Z252" s="2" t="e">
        <f ca="1"/>
        <v>#NAME?</v>
      </c>
      <c r="AB252" s="2" t="e">
        <f ca="1"/>
        <v>#NAME?</v>
      </c>
      <c r="AD252" s="2" t="e">
        <f ca="1"/>
        <v>#NAME?</v>
      </c>
      <c r="AF252" s="2" t="e">
        <f ca="1"/>
        <v>#NAME?</v>
      </c>
      <c r="AH252" s="2" t="e">
        <f ca="1"/>
        <v>#NAME?</v>
      </c>
      <c r="AJ252" s="2" t="e">
        <f ca="1"/>
        <v>#NAME?</v>
      </c>
      <c r="AL252" s="2" t="e">
        <f ca="1"/>
        <v>#NAME?</v>
      </c>
      <c r="AN252" s="2" t="e">
        <f ca="1"/>
        <v>#NAME?</v>
      </c>
      <c r="AP252" s="2" t="e">
        <f ca="1"/>
        <v>#NAME?</v>
      </c>
      <c r="AR252" s="2" t="e">
        <f ca="1"/>
        <v>#NAME?</v>
      </c>
      <c r="AT252" s="2" t="e">
        <f ca="1"/>
        <v>#NAME?</v>
      </c>
      <c r="AV252" s="2" t="e">
        <f ca="1"/>
        <v>#NAME?</v>
      </c>
      <c r="AX252" s="2" t="e">
        <f ca="1"/>
        <v>#NAME?</v>
      </c>
      <c r="AZ252" s="2" t="e">
        <f ca="1"/>
        <v>#NAME?</v>
      </c>
      <c r="BB252" s="2" t="e">
        <f ca="1"/>
        <v>#NAME?</v>
      </c>
      <c r="BD252" s="2" t="e">
        <f ca="1"/>
        <v>#NAME?</v>
      </c>
      <c r="BF252" s="2" t="e">
        <f ca="1"/>
        <v>#NAME?</v>
      </c>
      <c r="BH252" s="2" t="e">
        <f ca="1"/>
        <v>#NAME?</v>
      </c>
      <c r="BJ252" s="2" t="e">
        <f ca="1"/>
        <v>#NAME?</v>
      </c>
      <c r="BL252" s="2" t="e">
        <f ca="1"/>
        <v>#NAME?</v>
      </c>
      <c r="BN252" s="2" t="e">
        <f ca="1"/>
        <v>#NAME?</v>
      </c>
      <c r="BP252" s="2" t="e">
        <f ca="1"/>
        <v>#NAME?</v>
      </c>
      <c r="BR252" s="2" t="e">
        <f ca="1"/>
        <v>#NAME?</v>
      </c>
      <c r="BT252" s="2" t="e">
        <f ca="1"/>
        <v>#NAME?</v>
      </c>
      <c r="BV252" s="2" t="e">
        <f ca="1"/>
        <v>#NAME?</v>
      </c>
      <c r="BX252" s="2" t="e">
        <f ca="1"/>
        <v>#NAME?</v>
      </c>
      <c r="BZ252" s="2" t="e">
        <f ca="1"/>
        <v>#NAME?</v>
      </c>
      <c r="CB252" s="2" t="e">
        <f ca="1"/>
        <v>#NAME?</v>
      </c>
      <c r="CD252" s="2" t="e">
        <f ca="1"/>
        <v>#NAME?</v>
      </c>
      <c r="CF252" s="2" t="e">
        <f ca="1"/>
        <v>#NAME?</v>
      </c>
      <c r="CH252" s="2" t="e">
        <f ca="1"/>
        <v>#NAME?</v>
      </c>
      <c r="CJ252" s="2" t="e">
        <f ca="1"/>
        <v>#NAME?</v>
      </c>
      <c r="CL252" s="2" t="e">
        <f ca="1"/>
        <v>#NAME?</v>
      </c>
      <c r="CN252" s="2" t="e">
        <f ca="1"/>
        <v>#NAME?</v>
      </c>
      <c r="CP252" s="2" t="e">
        <f ca="1"/>
        <v>#NAME?</v>
      </c>
    </row>
    <row r="253" spans="1:95">
      <c r="AD253" s="2" t="e">
        <f ca="1"/>
        <v>#NAME?</v>
      </c>
    </row>
  </sheetData>
  <conditionalFormatting sqref="C252">
    <cfRule type="colorScale" priority="48">
      <colorScale>
        <cfvo type="num" val="-0.05"/>
        <cfvo type="num" val="0"/>
        <cfvo type="num" val="0.05"/>
        <color rgb="FFFF0000"/>
        <color rgb="FFFFFFFF"/>
        <color rgb="FF00B050"/>
      </colorScale>
    </cfRule>
  </conditionalFormatting>
  <conditionalFormatting sqref="E252">
    <cfRule type="colorScale" priority="49">
      <colorScale>
        <cfvo type="num" val="-0.05"/>
        <cfvo type="num" val="0"/>
        <cfvo type="num" val="0.05"/>
        <color rgb="FFFF0000"/>
        <color rgb="FFFFFFFF"/>
        <color rgb="FF00B050"/>
      </colorScale>
    </cfRule>
  </conditionalFormatting>
  <conditionalFormatting sqref="G252">
    <cfRule type="colorScale" priority="50">
      <colorScale>
        <cfvo type="num" val="-0.05"/>
        <cfvo type="num" val="0"/>
        <cfvo type="num" val="0.05"/>
        <color rgb="FFFF0000"/>
        <color rgb="FFFFFFFF"/>
        <color rgb="FF00B050"/>
      </colorScale>
    </cfRule>
  </conditionalFormatting>
  <conditionalFormatting sqref="I252">
    <cfRule type="colorScale" priority="51">
      <colorScale>
        <cfvo type="num" val="-0.05"/>
        <cfvo type="num" val="0"/>
        <cfvo type="num" val="0.05"/>
        <color rgb="FFFF0000"/>
        <color rgb="FFFFFFFF"/>
        <color rgb="FF00B050"/>
      </colorScale>
    </cfRule>
  </conditionalFormatting>
  <conditionalFormatting sqref="K252">
    <cfRule type="colorScale" priority="52">
      <colorScale>
        <cfvo type="num" val="-0.05"/>
        <cfvo type="num" val="0"/>
        <cfvo type="num" val="0.05"/>
        <color rgb="FFFF0000"/>
        <color rgb="FFFFFFFF"/>
        <color rgb="FF00B050"/>
      </colorScale>
    </cfRule>
  </conditionalFormatting>
  <conditionalFormatting sqref="M252">
    <cfRule type="colorScale" priority="53">
      <colorScale>
        <cfvo type="num" val="-0.05"/>
        <cfvo type="num" val="0"/>
        <cfvo type="num" val="0.05"/>
        <color rgb="FFFF0000"/>
        <color rgb="FFFFFFFF"/>
        <color rgb="FF00B050"/>
      </colorScale>
    </cfRule>
  </conditionalFormatting>
  <conditionalFormatting sqref="O252">
    <cfRule type="colorScale" priority="54">
      <colorScale>
        <cfvo type="num" val="-0.05"/>
        <cfvo type="num" val="0"/>
        <cfvo type="num" val="0.05"/>
        <color rgb="FFFF0000"/>
        <color rgb="FFFFFFFF"/>
        <color rgb="FF00B050"/>
      </colorScale>
    </cfRule>
  </conditionalFormatting>
  <conditionalFormatting sqref="Q252">
    <cfRule type="colorScale" priority="55">
      <colorScale>
        <cfvo type="num" val="-0.05"/>
        <cfvo type="num" val="0"/>
        <cfvo type="num" val="0.05"/>
        <color rgb="FFFF0000"/>
        <color rgb="FFFFFFFF"/>
        <color rgb="FF00B050"/>
      </colorScale>
    </cfRule>
  </conditionalFormatting>
  <conditionalFormatting sqref="S252">
    <cfRule type="colorScale" priority="56">
      <colorScale>
        <cfvo type="num" val="-0.05"/>
        <cfvo type="num" val="0"/>
        <cfvo type="num" val="0.05"/>
        <color rgb="FFFF0000"/>
        <color rgb="FFFFFFFF"/>
        <color rgb="FF00B050"/>
      </colorScale>
    </cfRule>
  </conditionalFormatting>
  <conditionalFormatting sqref="U252">
    <cfRule type="colorScale" priority="57">
      <colorScale>
        <cfvo type="num" val="-0.05"/>
        <cfvo type="num" val="0"/>
        <cfvo type="num" val="0.05"/>
        <color rgb="FFFF0000"/>
        <color rgb="FFFFFFFF"/>
        <color rgb="FF00B050"/>
      </colorScale>
    </cfRule>
  </conditionalFormatting>
  <conditionalFormatting sqref="C3:C251">
    <cfRule type="cellIs" dxfId="148" priority="47" stopIfTrue="1" operator="between">
      <formula>-0.0005</formula>
      <formula>0.0005</formula>
    </cfRule>
    <cfRule type="cellIs" dxfId="147" priority="199" stopIfTrue="1" operator="lessThan">
      <formula>0</formula>
    </cfRule>
    <cfRule type="cellIs" dxfId="146" priority="200" stopIfTrue="1" operator="greaterThan">
      <formula>0</formula>
    </cfRule>
  </conditionalFormatting>
  <conditionalFormatting sqref="E3:E251">
    <cfRule type="cellIs" dxfId="145" priority="46" stopIfTrue="1" operator="between">
      <formula>-0.0005</formula>
      <formula>0.0005</formula>
    </cfRule>
    <cfRule type="cellIs" dxfId="144" priority="201" stopIfTrue="1" operator="lessThan">
      <formula>0</formula>
    </cfRule>
    <cfRule type="cellIs" dxfId="143" priority="202" stopIfTrue="1" operator="greaterThan">
      <formula>0</formula>
    </cfRule>
  </conditionalFormatting>
  <conditionalFormatting sqref="G3:G251">
    <cfRule type="cellIs" dxfId="142" priority="45" stopIfTrue="1" operator="between">
      <formula>-0.0005</formula>
      <formula>0.0005</formula>
    </cfRule>
    <cfRule type="cellIs" dxfId="141" priority="203" stopIfTrue="1" operator="lessThan">
      <formula>0</formula>
    </cfRule>
    <cfRule type="cellIs" dxfId="140" priority="204" stopIfTrue="1" operator="greaterThan">
      <formula>0</formula>
    </cfRule>
  </conditionalFormatting>
  <conditionalFormatting sqref="I3:I251">
    <cfRule type="cellIs" dxfId="139" priority="44" stopIfTrue="1" operator="between">
      <formula>-0.0005</formula>
      <formula>0.0005</formula>
    </cfRule>
    <cfRule type="cellIs" dxfId="138" priority="205" stopIfTrue="1" operator="lessThan">
      <formula>0</formula>
    </cfRule>
    <cfRule type="cellIs" dxfId="137" priority="206" stopIfTrue="1" operator="greaterThan">
      <formula>0</formula>
    </cfRule>
  </conditionalFormatting>
  <conditionalFormatting sqref="K3:K251">
    <cfRule type="cellIs" dxfId="136" priority="43" stopIfTrue="1" operator="between">
      <formula>-0.0005</formula>
      <formula>0.0005</formula>
    </cfRule>
    <cfRule type="cellIs" dxfId="135" priority="207" stopIfTrue="1" operator="lessThan">
      <formula>0</formula>
    </cfRule>
    <cfRule type="cellIs" dxfId="134" priority="208" stopIfTrue="1" operator="greaterThan">
      <formula>0</formula>
    </cfRule>
  </conditionalFormatting>
  <conditionalFormatting sqref="M3:M251">
    <cfRule type="cellIs" dxfId="133" priority="42" stopIfTrue="1" operator="between">
      <formula>-0.0005</formula>
      <formula>0.0005</formula>
    </cfRule>
    <cfRule type="cellIs" dxfId="132" priority="209" stopIfTrue="1" operator="lessThan">
      <formula>0</formula>
    </cfRule>
    <cfRule type="cellIs" dxfId="131" priority="210" stopIfTrue="1" operator="greaterThan">
      <formula>0</formula>
    </cfRule>
  </conditionalFormatting>
  <conditionalFormatting sqref="O3:O251">
    <cfRule type="cellIs" dxfId="130" priority="41" stopIfTrue="1" operator="between">
      <formula>-0.0005</formula>
      <formula>0.0005</formula>
    </cfRule>
    <cfRule type="cellIs" dxfId="129" priority="211" stopIfTrue="1" operator="lessThan">
      <formula>0</formula>
    </cfRule>
    <cfRule type="cellIs" dxfId="128" priority="212" stopIfTrue="1" operator="greaterThan">
      <formula>0</formula>
    </cfRule>
  </conditionalFormatting>
  <conditionalFormatting sqref="Q3:Q251">
    <cfRule type="cellIs" dxfId="127" priority="40" stopIfTrue="1" operator="between">
      <formula>-0.0005</formula>
      <formula>0.0005</formula>
    </cfRule>
    <cfRule type="cellIs" dxfId="126" priority="213" stopIfTrue="1" operator="lessThan">
      <formula>0</formula>
    </cfRule>
    <cfRule type="cellIs" dxfId="125" priority="214" stopIfTrue="1" operator="greaterThan">
      <formula>0</formula>
    </cfRule>
  </conditionalFormatting>
  <conditionalFormatting sqref="S3:S251">
    <cfRule type="cellIs" dxfId="124" priority="39" stopIfTrue="1" operator="between">
      <formula>-0.0005</formula>
      <formula>0.0005</formula>
    </cfRule>
    <cfRule type="cellIs" dxfId="123" priority="215" stopIfTrue="1" operator="lessThan">
      <formula>0</formula>
    </cfRule>
    <cfRule type="cellIs" dxfId="122" priority="216" stopIfTrue="1" operator="greaterThan">
      <formula>0</formula>
    </cfRule>
  </conditionalFormatting>
  <conditionalFormatting sqref="U3:U251">
    <cfRule type="cellIs" dxfId="121" priority="38" stopIfTrue="1" operator="between">
      <formula>-0.0005</formula>
      <formula>0.0005</formula>
    </cfRule>
    <cfRule type="cellIs" dxfId="120" priority="217" stopIfTrue="1" operator="lessThan">
      <formula>0</formula>
    </cfRule>
    <cfRule type="cellIs" dxfId="119" priority="218" stopIfTrue="1" operator="greaterThan">
      <formula>0</formula>
    </cfRule>
  </conditionalFormatting>
  <conditionalFormatting sqref="W3:W251">
    <cfRule type="cellIs" dxfId="118" priority="37" stopIfTrue="1" operator="between">
      <formula>-0.0005</formula>
      <formula>0.0005</formula>
    </cfRule>
    <cfRule type="cellIs" dxfId="117" priority="219" stopIfTrue="1" operator="lessThan">
      <formula>0</formula>
    </cfRule>
    <cfRule type="cellIs" dxfId="116" priority="220" stopIfTrue="1" operator="greaterThan">
      <formula>0</formula>
    </cfRule>
  </conditionalFormatting>
  <conditionalFormatting sqref="Y3:Y251">
    <cfRule type="cellIs" dxfId="115" priority="36" stopIfTrue="1" operator="between">
      <formula>-0.0005</formula>
      <formula>0.0005</formula>
    </cfRule>
    <cfRule type="cellIs" dxfId="114" priority="221" stopIfTrue="1" operator="lessThan">
      <formula>0</formula>
    </cfRule>
    <cfRule type="cellIs" dxfId="113" priority="222" stopIfTrue="1" operator="greaterThan">
      <formula>0</formula>
    </cfRule>
  </conditionalFormatting>
  <conditionalFormatting sqref="AA3:AA251">
    <cfRule type="cellIs" dxfId="112" priority="35" stopIfTrue="1" operator="between">
      <formula>-0.0005</formula>
      <formula>0.0005</formula>
    </cfRule>
    <cfRule type="cellIs" dxfId="111" priority="223" stopIfTrue="1" operator="lessThan">
      <formula>0</formula>
    </cfRule>
    <cfRule type="cellIs" dxfId="110" priority="224" stopIfTrue="1" operator="greaterThan">
      <formula>0</formula>
    </cfRule>
  </conditionalFormatting>
  <conditionalFormatting sqref="AC3:AC251">
    <cfRule type="cellIs" dxfId="109" priority="34" stopIfTrue="1" operator="between">
      <formula>-0.0005</formula>
      <formula>0.0005</formula>
    </cfRule>
    <cfRule type="cellIs" dxfId="108" priority="225" stopIfTrue="1" operator="lessThan">
      <formula>0</formula>
    </cfRule>
    <cfRule type="cellIs" dxfId="107" priority="226" stopIfTrue="1" operator="greaterThan">
      <formula>0</formula>
    </cfRule>
  </conditionalFormatting>
  <conditionalFormatting sqref="AE3:AE251">
    <cfRule type="cellIs" dxfId="106" priority="33" stopIfTrue="1" operator="between">
      <formula>-0.0005</formula>
      <formula>0.0005</formula>
    </cfRule>
    <cfRule type="cellIs" dxfId="105" priority="227" stopIfTrue="1" operator="lessThan">
      <formula>0</formula>
    </cfRule>
    <cfRule type="cellIs" dxfId="104" priority="228" stopIfTrue="1" operator="greaterThan">
      <formula>0</formula>
    </cfRule>
  </conditionalFormatting>
  <conditionalFormatting sqref="AG3:AG251">
    <cfRule type="cellIs" dxfId="103" priority="32" stopIfTrue="1" operator="between">
      <formula>-0.0005</formula>
      <formula>0.0005</formula>
    </cfRule>
    <cfRule type="cellIs" dxfId="102" priority="229" stopIfTrue="1" operator="lessThan">
      <formula>0</formula>
    </cfRule>
    <cfRule type="cellIs" dxfId="101" priority="230" stopIfTrue="1" operator="greaterThan">
      <formula>0</formula>
    </cfRule>
  </conditionalFormatting>
  <conditionalFormatting sqref="AI3:AI251">
    <cfRule type="cellIs" dxfId="100" priority="31" stopIfTrue="1" operator="between">
      <formula>-0.0005</formula>
      <formula>0.0005</formula>
    </cfRule>
    <cfRule type="cellIs" dxfId="99" priority="231" stopIfTrue="1" operator="lessThan">
      <formula>0</formula>
    </cfRule>
    <cfRule type="cellIs" dxfId="98" priority="232" stopIfTrue="1" operator="greaterThan">
      <formula>0</formula>
    </cfRule>
  </conditionalFormatting>
  <conditionalFormatting sqref="AK3:AK251">
    <cfRule type="cellIs" dxfId="97" priority="30" stopIfTrue="1" operator="between">
      <formula>-0.0005</formula>
      <formula>0.0005</formula>
    </cfRule>
  </conditionalFormatting>
  <conditionalFormatting sqref="AK3:AK251">
    <cfRule type="cellIs" dxfId="96" priority="233" stopIfTrue="1" operator="lessThan">
      <formula>0</formula>
    </cfRule>
  </conditionalFormatting>
  <conditionalFormatting sqref="AK3:AK251">
    <cfRule type="cellIs" dxfId="95" priority="234" stopIfTrue="1" operator="greaterThan">
      <formula>0</formula>
    </cfRule>
  </conditionalFormatting>
  <conditionalFormatting sqref="AM3:AM251">
    <cfRule type="cellIs" dxfId="94" priority="29" stopIfTrue="1" operator="between">
      <formula>-0.0005</formula>
      <formula>0.0005</formula>
    </cfRule>
  </conditionalFormatting>
  <conditionalFormatting sqref="AM3:AM251">
    <cfRule type="cellIs" dxfId="93" priority="235" stopIfTrue="1" operator="lessThan">
      <formula>0</formula>
    </cfRule>
  </conditionalFormatting>
  <conditionalFormatting sqref="AM3:AM251">
    <cfRule type="cellIs" dxfId="92" priority="236" stopIfTrue="1" operator="greaterThan">
      <formula>0</formula>
    </cfRule>
  </conditionalFormatting>
  <conditionalFormatting sqref="AO3:AO251">
    <cfRule type="cellIs" dxfId="91" priority="28" stopIfTrue="1" operator="between">
      <formula>-0.0005</formula>
      <formula>0.0005</formula>
    </cfRule>
  </conditionalFormatting>
  <conditionalFormatting sqref="AO3:AO251">
    <cfRule type="cellIs" dxfId="90" priority="237" stopIfTrue="1" operator="lessThan">
      <formula>0</formula>
    </cfRule>
  </conditionalFormatting>
  <conditionalFormatting sqref="AO3:AO251">
    <cfRule type="cellIs" dxfId="89" priority="238" stopIfTrue="1" operator="greaterThan">
      <formula>0</formula>
    </cfRule>
  </conditionalFormatting>
  <conditionalFormatting sqref="AQ3:AQ251">
    <cfRule type="cellIs" dxfId="88" priority="27" stopIfTrue="1" operator="between">
      <formula>-0.0005</formula>
      <formula>0.0005</formula>
    </cfRule>
  </conditionalFormatting>
  <conditionalFormatting sqref="AQ3:AQ251">
    <cfRule type="cellIs" dxfId="87" priority="239" stopIfTrue="1" operator="lessThan">
      <formula>0</formula>
    </cfRule>
  </conditionalFormatting>
  <conditionalFormatting sqref="AQ3:AQ251">
    <cfRule type="cellIs" dxfId="86" priority="240" stopIfTrue="1" operator="greaterThan">
      <formula>0</formula>
    </cfRule>
  </conditionalFormatting>
  <conditionalFormatting sqref="AS3:AS251">
    <cfRule type="cellIs" dxfId="85" priority="26" stopIfTrue="1" operator="between">
      <formula>-0.0005</formula>
      <formula>0.0005</formula>
    </cfRule>
  </conditionalFormatting>
  <conditionalFormatting sqref="AS3:AS251">
    <cfRule type="cellIs" dxfId="84" priority="241" stopIfTrue="1" operator="lessThan">
      <formula>0</formula>
    </cfRule>
  </conditionalFormatting>
  <conditionalFormatting sqref="AS3:AS251">
    <cfRule type="cellIs" dxfId="83" priority="242" stopIfTrue="1" operator="greaterThan">
      <formula>0</formula>
    </cfRule>
  </conditionalFormatting>
  <conditionalFormatting sqref="AU3:AU251">
    <cfRule type="cellIs" dxfId="82" priority="25" stopIfTrue="1" operator="between">
      <formula>-0.0005</formula>
      <formula>0.0005</formula>
    </cfRule>
  </conditionalFormatting>
  <conditionalFormatting sqref="AU3:AU251">
    <cfRule type="cellIs" dxfId="81" priority="243" stopIfTrue="1" operator="lessThan">
      <formula>0</formula>
    </cfRule>
  </conditionalFormatting>
  <conditionalFormatting sqref="AU3:AU251">
    <cfRule type="cellIs" dxfId="80" priority="244" stopIfTrue="1" operator="greaterThan">
      <formula>0</formula>
    </cfRule>
  </conditionalFormatting>
  <conditionalFormatting sqref="AW3:AW251">
    <cfRule type="cellIs" dxfId="79" priority="24" stopIfTrue="1" operator="between">
      <formula>-0.0005</formula>
      <formula>0.0005</formula>
    </cfRule>
  </conditionalFormatting>
  <conditionalFormatting sqref="AW3:AW251">
    <cfRule type="cellIs" dxfId="78" priority="245" stopIfTrue="1" operator="lessThan">
      <formula>0</formula>
    </cfRule>
  </conditionalFormatting>
  <conditionalFormatting sqref="AW3:AW251">
    <cfRule type="cellIs" dxfId="77" priority="246" stopIfTrue="1" operator="greaterThan">
      <formula>0</formula>
    </cfRule>
  </conditionalFormatting>
  <conditionalFormatting sqref="AY3:AY251">
    <cfRule type="cellIs" dxfId="76" priority="23" stopIfTrue="1" operator="between">
      <formula>-0.0005</formula>
      <formula>0.0005</formula>
    </cfRule>
  </conditionalFormatting>
  <conditionalFormatting sqref="AY3:AY251">
    <cfRule type="cellIs" dxfId="75" priority="247" stopIfTrue="1" operator="lessThan">
      <formula>0</formula>
    </cfRule>
  </conditionalFormatting>
  <conditionalFormatting sqref="AY3:AY251">
    <cfRule type="cellIs" dxfId="74" priority="248" stopIfTrue="1" operator="greaterThan">
      <formula>0</formula>
    </cfRule>
  </conditionalFormatting>
  <conditionalFormatting sqref="BA3:BA251">
    <cfRule type="cellIs" dxfId="73" priority="22" stopIfTrue="1" operator="between">
      <formula>-0.0005</formula>
      <formula>0.0005</formula>
    </cfRule>
  </conditionalFormatting>
  <conditionalFormatting sqref="BA3:BA251">
    <cfRule type="cellIs" dxfId="72" priority="249" stopIfTrue="1" operator="lessThan">
      <formula>0</formula>
    </cfRule>
  </conditionalFormatting>
  <conditionalFormatting sqref="BA3:BA251">
    <cfRule type="cellIs" dxfId="71" priority="250" stopIfTrue="1" operator="greaterThan">
      <formula>0</formula>
    </cfRule>
  </conditionalFormatting>
  <conditionalFormatting sqref="BC3:BC251">
    <cfRule type="cellIs" dxfId="70" priority="21" stopIfTrue="1" operator="between">
      <formula>-0.0005</formula>
      <formula>0.0005</formula>
    </cfRule>
  </conditionalFormatting>
  <conditionalFormatting sqref="BC3:BC251">
    <cfRule type="cellIs" dxfId="69" priority="251" stopIfTrue="1" operator="lessThan">
      <formula>0</formula>
    </cfRule>
  </conditionalFormatting>
  <conditionalFormatting sqref="BC3:BC251">
    <cfRule type="cellIs" dxfId="68" priority="252" stopIfTrue="1" operator="greaterThan">
      <formula>0</formula>
    </cfRule>
  </conditionalFormatting>
  <conditionalFormatting sqref="BE3:BE251">
    <cfRule type="cellIs" dxfId="67" priority="20" stopIfTrue="1" operator="between">
      <formula>-0.0005</formula>
      <formula>0.0005</formula>
    </cfRule>
  </conditionalFormatting>
  <conditionalFormatting sqref="BE3:BE251">
    <cfRule type="cellIs" dxfId="66" priority="253" stopIfTrue="1" operator="lessThan">
      <formula>0</formula>
    </cfRule>
  </conditionalFormatting>
  <conditionalFormatting sqref="BE3:BE251">
    <cfRule type="cellIs" dxfId="65" priority="254" stopIfTrue="1" operator="greaterThan">
      <formula>0</formula>
    </cfRule>
  </conditionalFormatting>
  <conditionalFormatting sqref="BG3:BG251">
    <cfRule type="cellIs" dxfId="64" priority="19" stopIfTrue="1" operator="between">
      <formula>-0.0005</formula>
      <formula>0.0005</formula>
    </cfRule>
  </conditionalFormatting>
  <conditionalFormatting sqref="BG3:BG251">
    <cfRule type="cellIs" dxfId="63" priority="255" stopIfTrue="1" operator="lessThan">
      <formula>0</formula>
    </cfRule>
  </conditionalFormatting>
  <conditionalFormatting sqref="BG3:BG251">
    <cfRule type="cellIs" dxfId="62" priority="256" stopIfTrue="1" operator="greaterThan">
      <formula>0</formula>
    </cfRule>
  </conditionalFormatting>
  <conditionalFormatting sqref="BI3:BI251">
    <cfRule type="cellIs" dxfId="61" priority="18" stopIfTrue="1" operator="between">
      <formula>-0.0005</formula>
      <formula>0.0005</formula>
    </cfRule>
  </conditionalFormatting>
  <conditionalFormatting sqref="BI3:BI251">
    <cfRule type="cellIs" dxfId="60" priority="257" stopIfTrue="1" operator="lessThan">
      <formula>0</formula>
    </cfRule>
  </conditionalFormatting>
  <conditionalFormatting sqref="BI3:BI251">
    <cfRule type="cellIs" dxfId="59" priority="258" stopIfTrue="1" operator="greaterThan">
      <formula>0</formula>
    </cfRule>
  </conditionalFormatting>
  <conditionalFormatting sqref="BK3:BK251">
    <cfRule type="cellIs" dxfId="58" priority="17" stopIfTrue="1" operator="between">
      <formula>-0.0005</formula>
      <formula>0.0005</formula>
    </cfRule>
  </conditionalFormatting>
  <conditionalFormatting sqref="BK3:BK251">
    <cfRule type="cellIs" dxfId="57" priority="259" stopIfTrue="1" operator="lessThan">
      <formula>0</formula>
    </cfRule>
  </conditionalFormatting>
  <conditionalFormatting sqref="BK3:BK251">
    <cfRule type="cellIs" dxfId="56" priority="260" stopIfTrue="1" operator="greaterThan">
      <formula>0</formula>
    </cfRule>
  </conditionalFormatting>
  <conditionalFormatting sqref="BM3:BM251">
    <cfRule type="cellIs" dxfId="55" priority="16" stopIfTrue="1" operator="between">
      <formula>-0.0005</formula>
      <formula>0.0005</formula>
    </cfRule>
  </conditionalFormatting>
  <conditionalFormatting sqref="BM3:BM251">
    <cfRule type="cellIs" dxfId="54" priority="261" stopIfTrue="1" operator="lessThan">
      <formula>0</formula>
    </cfRule>
  </conditionalFormatting>
  <conditionalFormatting sqref="BM3:BM251">
    <cfRule type="cellIs" dxfId="53" priority="262" stopIfTrue="1" operator="greaterThan">
      <formula>0</formula>
    </cfRule>
  </conditionalFormatting>
  <conditionalFormatting sqref="BO3:BO251">
    <cfRule type="cellIs" dxfId="52" priority="15" stopIfTrue="1" operator="between">
      <formula>-0.0005</formula>
      <formula>0.0005</formula>
    </cfRule>
  </conditionalFormatting>
  <conditionalFormatting sqref="BO3:BO251">
    <cfRule type="cellIs" dxfId="51" priority="263" stopIfTrue="1" operator="lessThan">
      <formula>0</formula>
    </cfRule>
  </conditionalFormatting>
  <conditionalFormatting sqref="BO3:BO251">
    <cfRule type="cellIs" dxfId="50" priority="264" stopIfTrue="1" operator="greaterThan">
      <formula>0</formula>
    </cfRule>
  </conditionalFormatting>
  <conditionalFormatting sqref="BQ3:BQ251">
    <cfRule type="cellIs" dxfId="49" priority="14" stopIfTrue="1" operator="between">
      <formula>-0.0005</formula>
      <formula>0.0005</formula>
    </cfRule>
  </conditionalFormatting>
  <conditionalFormatting sqref="BQ3:BQ251">
    <cfRule type="cellIs" dxfId="48" priority="265" stopIfTrue="1" operator="lessThan">
      <formula>0</formula>
    </cfRule>
  </conditionalFormatting>
  <conditionalFormatting sqref="BQ3:BQ251">
    <cfRule type="cellIs" dxfId="47" priority="266" stopIfTrue="1" operator="greaterThan">
      <formula>0</formula>
    </cfRule>
  </conditionalFormatting>
  <conditionalFormatting sqref="BS3:BS251">
    <cfRule type="cellIs" dxfId="46" priority="13" stopIfTrue="1" operator="between">
      <formula>-0.0005</formula>
      <formula>0.0005</formula>
    </cfRule>
  </conditionalFormatting>
  <conditionalFormatting sqref="BS3:BS251">
    <cfRule type="cellIs" dxfId="45" priority="267" stopIfTrue="1" operator="lessThan">
      <formula>0</formula>
    </cfRule>
  </conditionalFormatting>
  <conditionalFormatting sqref="BS3:BS251">
    <cfRule type="cellIs" dxfId="44" priority="268" stopIfTrue="1" operator="greaterThan">
      <formula>0</formula>
    </cfRule>
  </conditionalFormatting>
  <conditionalFormatting sqref="BU3:BU251">
    <cfRule type="cellIs" dxfId="43" priority="12" stopIfTrue="1" operator="between">
      <formula>-0.0005</formula>
      <formula>0.0005</formula>
    </cfRule>
  </conditionalFormatting>
  <conditionalFormatting sqref="BU3:BU251">
    <cfRule type="cellIs" dxfId="42" priority="269" stopIfTrue="1" operator="lessThan">
      <formula>0</formula>
    </cfRule>
  </conditionalFormatting>
  <conditionalFormatting sqref="BU3:BU251">
    <cfRule type="cellIs" dxfId="41" priority="270" stopIfTrue="1" operator="greaterThan">
      <formula>0</formula>
    </cfRule>
  </conditionalFormatting>
  <conditionalFormatting sqref="BW3:BW251">
    <cfRule type="cellIs" dxfId="40" priority="11" stopIfTrue="1" operator="between">
      <formula>-0.0005</formula>
      <formula>0.0005</formula>
    </cfRule>
  </conditionalFormatting>
  <conditionalFormatting sqref="BW3:BW251">
    <cfRule type="cellIs" dxfId="39" priority="271" stopIfTrue="1" operator="lessThan">
      <formula>0</formula>
    </cfRule>
  </conditionalFormatting>
  <conditionalFormatting sqref="BW3:BW251">
    <cfRule type="cellIs" dxfId="38" priority="272" stopIfTrue="1" operator="greaterThan">
      <formula>0</formula>
    </cfRule>
  </conditionalFormatting>
  <conditionalFormatting sqref="BY3:BY251">
    <cfRule type="cellIs" dxfId="37" priority="10" stopIfTrue="1" operator="between">
      <formula>-0.0005</formula>
      <formula>0.0005</formula>
    </cfRule>
  </conditionalFormatting>
  <conditionalFormatting sqref="BY3:BY251">
    <cfRule type="cellIs" dxfId="36" priority="273" stopIfTrue="1" operator="lessThan">
      <formula>0</formula>
    </cfRule>
  </conditionalFormatting>
  <conditionalFormatting sqref="BY3:BY251">
    <cfRule type="cellIs" dxfId="35" priority="274" stopIfTrue="1" operator="greaterThan">
      <formula>0</formula>
    </cfRule>
  </conditionalFormatting>
  <conditionalFormatting sqref="CA3:CA251">
    <cfRule type="cellIs" dxfId="34" priority="9" stopIfTrue="1" operator="between">
      <formula>-0.0005</formula>
      <formula>0.0005</formula>
    </cfRule>
  </conditionalFormatting>
  <conditionalFormatting sqref="CA3:CA251">
    <cfRule type="cellIs" dxfId="33" priority="275" stopIfTrue="1" operator="lessThan">
      <formula>0</formula>
    </cfRule>
  </conditionalFormatting>
  <conditionalFormatting sqref="CA3:CA251">
    <cfRule type="cellIs" dxfId="32" priority="276" stopIfTrue="1" operator="greaterThan">
      <formula>0</formula>
    </cfRule>
  </conditionalFormatting>
  <conditionalFormatting sqref="CC3:CC251">
    <cfRule type="cellIs" dxfId="31" priority="8" stopIfTrue="1" operator="between">
      <formula>-0.0005</formula>
      <formula>0.0005</formula>
    </cfRule>
  </conditionalFormatting>
  <conditionalFormatting sqref="CC3:CC251">
    <cfRule type="cellIs" dxfId="30" priority="277" stopIfTrue="1" operator="lessThan">
      <formula>0</formula>
    </cfRule>
  </conditionalFormatting>
  <conditionalFormatting sqref="CC3:CC251">
    <cfRule type="cellIs" dxfId="29" priority="278" stopIfTrue="1" operator="greaterThan">
      <formula>0</formula>
    </cfRule>
  </conditionalFormatting>
  <conditionalFormatting sqref="CE3:CE251">
    <cfRule type="cellIs" dxfId="28" priority="7" stopIfTrue="1" operator="between">
      <formula>-0.0005</formula>
      <formula>0.0005</formula>
    </cfRule>
  </conditionalFormatting>
  <conditionalFormatting sqref="CE3:CE251">
    <cfRule type="cellIs" dxfId="27" priority="279" stopIfTrue="1" operator="lessThan">
      <formula>0</formula>
    </cfRule>
  </conditionalFormatting>
  <conditionalFormatting sqref="CE3:CE251">
    <cfRule type="cellIs" dxfId="26" priority="280" stopIfTrue="1" operator="greaterThan">
      <formula>0</formula>
    </cfRule>
  </conditionalFormatting>
  <conditionalFormatting sqref="CG3:CG251">
    <cfRule type="cellIs" dxfId="25" priority="6" stopIfTrue="1" operator="between">
      <formula>-0.0005</formula>
      <formula>0.0005</formula>
    </cfRule>
  </conditionalFormatting>
  <conditionalFormatting sqref="CG3:CG251">
    <cfRule type="cellIs" dxfId="24" priority="281" stopIfTrue="1" operator="lessThan">
      <formula>0</formula>
    </cfRule>
  </conditionalFormatting>
  <conditionalFormatting sqref="CG3:CG251">
    <cfRule type="cellIs" dxfId="23" priority="282" stopIfTrue="1" operator="greaterThan">
      <formula>0</formula>
    </cfRule>
  </conditionalFormatting>
  <conditionalFormatting sqref="CI3:CI251">
    <cfRule type="cellIs" dxfId="22" priority="5" stopIfTrue="1" operator="between">
      <formula>-0.0005</formula>
      <formula>0.0005</formula>
    </cfRule>
  </conditionalFormatting>
  <conditionalFormatting sqref="CI3:CI251">
    <cfRule type="cellIs" dxfId="21" priority="283" stopIfTrue="1" operator="lessThan">
      <formula>0</formula>
    </cfRule>
  </conditionalFormatting>
  <conditionalFormatting sqref="CI3:CI251">
    <cfRule type="cellIs" dxfId="20" priority="284" stopIfTrue="1" operator="greaterThan">
      <formula>0</formula>
    </cfRule>
  </conditionalFormatting>
  <conditionalFormatting sqref="CK3:CK251">
    <cfRule type="cellIs" dxfId="19" priority="4" stopIfTrue="1" operator="between">
      <formula>-0.0005</formula>
      <formula>0.0005</formula>
    </cfRule>
  </conditionalFormatting>
  <conditionalFormatting sqref="CK3:CK251">
    <cfRule type="cellIs" dxfId="18" priority="285" stopIfTrue="1" operator="lessThan">
      <formula>0</formula>
    </cfRule>
  </conditionalFormatting>
  <conditionalFormatting sqref="CK3:CK251">
    <cfRule type="cellIs" dxfId="17" priority="286" stopIfTrue="1" operator="greaterThan">
      <formula>0</formula>
    </cfRule>
  </conditionalFormatting>
  <conditionalFormatting sqref="CM3:CM251">
    <cfRule type="cellIs" dxfId="16" priority="3" stopIfTrue="1" operator="between">
      <formula>-0.0005</formula>
      <formula>0.0005</formula>
    </cfRule>
  </conditionalFormatting>
  <conditionalFormatting sqref="CM3:CM251">
    <cfRule type="cellIs" dxfId="15" priority="287" stopIfTrue="1" operator="lessThan">
      <formula>0</formula>
    </cfRule>
  </conditionalFormatting>
  <conditionalFormatting sqref="CM3:CM251">
    <cfRule type="cellIs" dxfId="14" priority="288" stopIfTrue="1" operator="greaterThan">
      <formula>0</formula>
    </cfRule>
  </conditionalFormatting>
  <conditionalFormatting sqref="CO3:CO251">
    <cfRule type="cellIs" dxfId="13" priority="2" stopIfTrue="1" operator="between">
      <formula>-0.0005</formula>
      <formula>0.0005</formula>
    </cfRule>
  </conditionalFormatting>
  <conditionalFormatting sqref="CO3:CO251">
    <cfRule type="cellIs" dxfId="12" priority="289" stopIfTrue="1" operator="lessThan">
      <formula>0</formula>
    </cfRule>
  </conditionalFormatting>
  <conditionalFormatting sqref="CO3:CO251">
    <cfRule type="cellIs" dxfId="11" priority="290" stopIfTrue="1" operator="greaterThan">
      <formula>0</formula>
    </cfRule>
  </conditionalFormatting>
  <conditionalFormatting sqref="CQ3:CQ251">
    <cfRule type="cellIs" dxfId="10" priority="1" stopIfTrue="1" operator="between">
      <formula>-0.0005</formula>
      <formula>0.0005</formula>
    </cfRule>
  </conditionalFormatting>
  <conditionalFormatting sqref="CQ3:CQ251">
    <cfRule type="cellIs" dxfId="9" priority="291" stopIfTrue="1" operator="lessThan">
      <formula>0</formula>
    </cfRule>
  </conditionalFormatting>
  <conditionalFormatting sqref="CQ3:CQ251">
    <cfRule type="cellIs" dxfId="8" priority="292" stopIfTrue="1"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12"/>
  <sheetViews>
    <sheetView zoomScale="108" workbookViewId="0">
      <selection activeCell="B22" sqref="B22:B27"/>
    </sheetView>
  </sheetViews>
  <sheetFormatPr defaultColWidth="10.81640625" defaultRowHeight="15"/>
  <cols>
    <col min="1" max="1" width="18.36328125" style="24" customWidth="1"/>
    <col min="2" max="2" width="15.453125" style="20" customWidth="1"/>
    <col min="3" max="3" width="21.453125" style="20" customWidth="1"/>
    <col min="4" max="4" width="20.81640625" style="20" customWidth="1"/>
    <col min="5" max="16384" width="10.81640625" style="20"/>
  </cols>
  <sheetData>
    <row r="1" spans="1:4" s="23" customFormat="1" ht="34.950000000000003" customHeight="1">
      <c r="A1" s="22" t="s">
        <v>27</v>
      </c>
      <c r="B1" s="22" t="s">
        <v>25</v>
      </c>
      <c r="C1" s="22" t="s">
        <v>26</v>
      </c>
      <c r="D1" s="23" t="s">
        <v>32</v>
      </c>
    </row>
    <row r="2" spans="1:4">
      <c r="A2" s="24" t="s">
        <v>28</v>
      </c>
      <c r="B2" s="20" t="s">
        <v>3</v>
      </c>
      <c r="C2" s="20">
        <v>-12</v>
      </c>
      <c r="D2" s="21">
        <v>45931.999768518515</v>
      </c>
    </row>
    <row r="3" spans="1:4">
      <c r="A3" s="24" t="s">
        <v>28</v>
      </c>
      <c r="B3" s="20" t="s">
        <v>7</v>
      </c>
      <c r="C3" s="20">
        <v>3</v>
      </c>
      <c r="D3" s="21">
        <v>45931.999768518515</v>
      </c>
    </row>
    <row r="4" spans="1:4">
      <c r="A4" s="24" t="s">
        <v>28</v>
      </c>
      <c r="B4" s="20" t="s">
        <v>5</v>
      </c>
      <c r="C4" s="20">
        <v>-45</v>
      </c>
      <c r="D4" s="21">
        <v>45931.999768518515</v>
      </c>
    </row>
    <row r="5" spans="1:4">
      <c r="A5" s="24" t="s">
        <v>28</v>
      </c>
      <c r="B5" s="20" t="s">
        <v>4</v>
      </c>
      <c r="C5" s="20">
        <v>12</v>
      </c>
      <c r="D5" s="21">
        <v>45931.999768518515</v>
      </c>
    </row>
    <row r="6" spans="1:4">
      <c r="A6" s="24" t="s">
        <v>34</v>
      </c>
      <c r="B6" s="20" t="s">
        <v>3</v>
      </c>
      <c r="C6" s="20">
        <v>15</v>
      </c>
      <c r="D6" s="21">
        <v>45932.550798611112</v>
      </c>
    </row>
    <row r="7" spans="1:4">
      <c r="A7" s="24" t="s">
        <v>34</v>
      </c>
      <c r="B7" s="20" t="s">
        <v>7</v>
      </c>
      <c r="C7" s="20">
        <v>52</v>
      </c>
      <c r="D7" s="21">
        <v>45932.550810185188</v>
      </c>
    </row>
    <row r="8" spans="1:4">
      <c r="A8" s="24" t="s">
        <v>34</v>
      </c>
      <c r="B8" s="20" t="s">
        <v>6</v>
      </c>
      <c r="C8" s="20">
        <v>12</v>
      </c>
      <c r="D8" s="21">
        <v>45932.550810185188</v>
      </c>
    </row>
    <row r="9" spans="1:4">
      <c r="A9" s="24" t="s">
        <v>35</v>
      </c>
      <c r="B9" s="20" t="s">
        <v>3</v>
      </c>
      <c r="C9" s="20">
        <v>-12</v>
      </c>
      <c r="D9" s="21">
        <v>45932.554444444446</v>
      </c>
    </row>
    <row r="10" spans="1:4">
      <c r="A10" s="24" t="s">
        <v>35</v>
      </c>
      <c r="B10" s="20" t="s">
        <v>4</v>
      </c>
      <c r="C10" s="20">
        <v>-43</v>
      </c>
      <c r="D10" s="21">
        <v>45932.554456018515</v>
      </c>
    </row>
    <row r="11" spans="1:4">
      <c r="A11" s="24" t="s">
        <v>36</v>
      </c>
      <c r="B11" s="20" t="s">
        <v>7</v>
      </c>
      <c r="C11" s="20">
        <v>10</v>
      </c>
      <c r="D11" s="21">
        <v>45938.982928240737</v>
      </c>
    </row>
    <row r="12" spans="1:4">
      <c r="A12" s="24" t="s">
        <v>36</v>
      </c>
      <c r="B12" s="20" t="s">
        <v>6</v>
      </c>
      <c r="C12" s="20">
        <v>300</v>
      </c>
      <c r="D12" s="21">
        <v>45938.982928240737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E42"/>
  <sheetViews>
    <sheetView zoomScale="117" workbookViewId="0">
      <selection activeCell="D1" sqref="D1"/>
    </sheetView>
  </sheetViews>
  <sheetFormatPr defaultColWidth="10.81640625" defaultRowHeight="15"/>
  <cols>
    <col min="1" max="1" width="38.26953125" bestFit="1" customWidth="1"/>
    <col min="2" max="2" width="11.1796875" bestFit="1" customWidth="1"/>
    <col min="3" max="3" width="12.1796875" bestFit="1" customWidth="1"/>
    <col min="4" max="4" width="13.08984375" style="37" bestFit="1" customWidth="1"/>
    <col min="5" max="5" width="13.453125" style="32" bestFit="1" customWidth="1"/>
    <col min="6" max="6" width="9.6328125" bestFit="1" customWidth="1"/>
    <col min="7" max="7" width="8.81640625" customWidth="1"/>
    <col min="8" max="8" width="9.36328125" customWidth="1"/>
  </cols>
  <sheetData>
    <row r="1" spans="1:5" ht="31.95" customHeight="1">
      <c r="A1" t="s">
        <v>8</v>
      </c>
      <c r="B1" t="s">
        <v>1</v>
      </c>
      <c r="C1" t="s">
        <v>9</v>
      </c>
      <c r="D1" s="37" t="s">
        <v>90</v>
      </c>
      <c r="E1" s="32" t="s">
        <v>10</v>
      </c>
    </row>
    <row r="3" spans="1:5" ht="15.6">
      <c r="A3" s="30" t="s">
        <v>37</v>
      </c>
    </row>
    <row r="4" spans="1:5" s="30" customFormat="1" ht="15.6">
      <c r="D4" s="38"/>
      <c r="E4" s="33"/>
    </row>
    <row r="5" spans="1:5">
      <c r="A5" t="s">
        <v>14</v>
      </c>
      <c r="B5" t="s">
        <v>3</v>
      </c>
      <c r="C5" s="31">
        <v>-0.12</v>
      </c>
      <c r="D5" s="37">
        <v>-240</v>
      </c>
      <c r="E5" s="32">
        <v>-12</v>
      </c>
    </row>
    <row r="6" spans="1:5">
      <c r="A6" t="s">
        <v>20</v>
      </c>
      <c r="B6" t="s">
        <v>3</v>
      </c>
      <c r="C6" s="31">
        <v>-0.12</v>
      </c>
      <c r="D6" s="37">
        <v>-120</v>
      </c>
      <c r="E6" s="32">
        <v>-12</v>
      </c>
    </row>
    <row r="7" spans="1:5">
      <c r="A7" t="s">
        <v>21</v>
      </c>
      <c r="B7" t="s">
        <v>3</v>
      </c>
      <c r="C7" s="31">
        <v>-0.12</v>
      </c>
      <c r="D7" s="37">
        <v>-2760</v>
      </c>
      <c r="E7" s="32">
        <v>-12</v>
      </c>
    </row>
    <row r="8" spans="1:5">
      <c r="A8" t="s">
        <v>22</v>
      </c>
      <c r="B8" t="s">
        <v>3</v>
      </c>
      <c r="C8" s="31">
        <v>-0.12</v>
      </c>
      <c r="D8" s="37">
        <v>-180</v>
      </c>
      <c r="E8" s="32">
        <v>-12</v>
      </c>
    </row>
    <row r="9" spans="1:5">
      <c r="A9" t="s">
        <v>30</v>
      </c>
      <c r="B9" t="s">
        <v>4</v>
      </c>
      <c r="C9" s="31">
        <v>0.12</v>
      </c>
      <c r="D9" s="37">
        <v>1440</v>
      </c>
      <c r="E9" s="32">
        <v>12</v>
      </c>
    </row>
    <row r="10" spans="1:5">
      <c r="A10" t="s">
        <v>31</v>
      </c>
      <c r="B10" t="s">
        <v>5</v>
      </c>
      <c r="C10" s="31">
        <v>-0.45</v>
      </c>
      <c r="D10" s="37">
        <v>-4050</v>
      </c>
      <c r="E10" s="32">
        <v>-45</v>
      </c>
    </row>
    <row r="11" spans="1:5">
      <c r="A11" t="s">
        <v>68</v>
      </c>
      <c r="B11" t="s">
        <v>3</v>
      </c>
      <c r="C11" s="31">
        <v>-0.12</v>
      </c>
      <c r="D11" s="37">
        <v>-48</v>
      </c>
      <c r="E11" s="32">
        <v>-12</v>
      </c>
    </row>
    <row r="12" spans="1:5">
      <c r="A12" t="s">
        <v>82</v>
      </c>
      <c r="B12" t="s">
        <v>7</v>
      </c>
      <c r="C12" s="31">
        <v>0.03</v>
      </c>
      <c r="D12" s="37">
        <v>6</v>
      </c>
      <c r="E12" s="32">
        <v>3</v>
      </c>
    </row>
    <row r="13" spans="1:5">
      <c r="A13" t="s">
        <v>30</v>
      </c>
      <c r="B13" t="s">
        <v>4</v>
      </c>
      <c r="C13" s="31">
        <v>0.12</v>
      </c>
      <c r="D13" s="37">
        <v>12</v>
      </c>
      <c r="E13" s="32">
        <v>12</v>
      </c>
    </row>
    <row r="14" spans="1:5" s="30" customFormat="1" ht="15.6">
      <c r="A14" s="30" t="s">
        <v>38</v>
      </c>
      <c r="D14" s="38">
        <v>-5940</v>
      </c>
      <c r="E14" s="33">
        <v>-12.07</v>
      </c>
    </row>
    <row r="16" spans="1:5" ht="15.6">
      <c r="A16" s="30" t="s">
        <v>39</v>
      </c>
    </row>
    <row r="17" spans="1:5" s="30" customFormat="1" ht="15.6">
      <c r="D17" s="38"/>
      <c r="E17" s="33"/>
    </row>
    <row r="18" spans="1:5">
      <c r="A18" t="s">
        <v>14</v>
      </c>
      <c r="B18" t="s">
        <v>3</v>
      </c>
      <c r="C18" s="31">
        <v>0.15</v>
      </c>
      <c r="D18" s="37">
        <v>300</v>
      </c>
      <c r="E18" s="32">
        <v>15</v>
      </c>
    </row>
    <row r="19" spans="1:5">
      <c r="A19" t="s">
        <v>20</v>
      </c>
      <c r="B19" t="s">
        <v>3</v>
      </c>
      <c r="C19" s="31">
        <v>0.15</v>
      </c>
      <c r="D19" s="37">
        <v>150</v>
      </c>
      <c r="E19" s="32">
        <v>15</v>
      </c>
    </row>
    <row r="20" spans="1:5">
      <c r="A20" t="s">
        <v>21</v>
      </c>
      <c r="B20" t="s">
        <v>3</v>
      </c>
      <c r="C20" s="31">
        <v>0.15</v>
      </c>
      <c r="D20" s="37">
        <v>3450</v>
      </c>
      <c r="E20" s="32">
        <v>15</v>
      </c>
    </row>
    <row r="21" spans="1:5">
      <c r="A21" t="s">
        <v>22</v>
      </c>
      <c r="B21" t="s">
        <v>3</v>
      </c>
      <c r="C21" s="31">
        <v>0.15</v>
      </c>
      <c r="D21" s="37">
        <v>225</v>
      </c>
      <c r="E21" s="32">
        <v>15</v>
      </c>
    </row>
    <row r="22" spans="1:5">
      <c r="A22" t="s">
        <v>29</v>
      </c>
      <c r="B22" t="s">
        <v>6</v>
      </c>
      <c r="C22" s="31">
        <v>0.12</v>
      </c>
      <c r="D22" s="37">
        <v>360</v>
      </c>
      <c r="E22" s="32">
        <v>12</v>
      </c>
    </row>
    <row r="23" spans="1:5">
      <c r="A23" t="s">
        <v>68</v>
      </c>
      <c r="B23" t="s">
        <v>3</v>
      </c>
      <c r="C23" s="31">
        <v>0.15</v>
      </c>
      <c r="D23" s="37">
        <v>60</v>
      </c>
      <c r="E23" s="32">
        <v>15</v>
      </c>
    </row>
    <row r="24" spans="1:5">
      <c r="A24" t="s">
        <v>82</v>
      </c>
      <c r="B24" t="s">
        <v>7</v>
      </c>
      <c r="C24" s="31">
        <v>0.52</v>
      </c>
      <c r="D24" s="37">
        <v>104</v>
      </c>
      <c r="E24" s="32">
        <v>52</v>
      </c>
    </row>
    <row r="25" spans="1:5" s="30" customFormat="1" ht="15.6">
      <c r="A25" s="30" t="s">
        <v>40</v>
      </c>
      <c r="D25" s="38">
        <v>4649</v>
      </c>
      <c r="E25" s="33">
        <v>14.95</v>
      </c>
    </row>
    <row r="27" spans="1:5" ht="15.6">
      <c r="A27" s="30" t="s">
        <v>41</v>
      </c>
    </row>
    <row r="28" spans="1:5" s="30" customFormat="1" ht="15.6">
      <c r="D28" s="38"/>
      <c r="E28" s="33"/>
    </row>
    <row r="29" spans="1:5">
      <c r="A29" t="s">
        <v>14</v>
      </c>
      <c r="B29" t="s">
        <v>3</v>
      </c>
      <c r="C29" s="31">
        <v>-0.12</v>
      </c>
      <c r="D29" s="37">
        <v>-240</v>
      </c>
      <c r="E29" s="32">
        <v>-12</v>
      </c>
    </row>
    <row r="30" spans="1:5">
      <c r="A30" t="s">
        <v>20</v>
      </c>
      <c r="B30" t="s">
        <v>3</v>
      </c>
      <c r="C30" s="31">
        <v>-0.12</v>
      </c>
      <c r="D30" s="37">
        <v>-120</v>
      </c>
      <c r="E30" s="32">
        <v>-12</v>
      </c>
    </row>
    <row r="31" spans="1:5">
      <c r="A31" t="s">
        <v>21</v>
      </c>
      <c r="B31" t="s">
        <v>3</v>
      </c>
      <c r="C31" s="31">
        <v>-0.12</v>
      </c>
      <c r="D31" s="37">
        <v>-2760</v>
      </c>
      <c r="E31" s="32">
        <v>-12</v>
      </c>
    </row>
    <row r="32" spans="1:5">
      <c r="A32" t="s">
        <v>22</v>
      </c>
      <c r="B32" t="s">
        <v>3</v>
      </c>
      <c r="C32" s="31">
        <v>-0.12</v>
      </c>
      <c r="D32" s="37">
        <v>-180</v>
      </c>
      <c r="E32" s="32">
        <v>-12</v>
      </c>
    </row>
    <row r="33" spans="1:5">
      <c r="A33" t="s">
        <v>30</v>
      </c>
      <c r="B33" t="s">
        <v>4</v>
      </c>
      <c r="C33" s="31">
        <v>-0.43</v>
      </c>
      <c r="D33" s="37">
        <v>-5160</v>
      </c>
      <c r="E33" s="32">
        <v>-43</v>
      </c>
    </row>
    <row r="34" spans="1:5">
      <c r="A34" t="s">
        <v>68</v>
      </c>
      <c r="B34" t="s">
        <v>3</v>
      </c>
      <c r="C34" s="31">
        <v>-0.12</v>
      </c>
      <c r="D34" s="37">
        <v>-48</v>
      </c>
      <c r="E34" s="32">
        <v>-12</v>
      </c>
    </row>
    <row r="35" spans="1:5">
      <c r="A35" t="s">
        <v>30</v>
      </c>
      <c r="B35" t="s">
        <v>4</v>
      </c>
      <c r="C35" s="31">
        <v>-0.43</v>
      </c>
      <c r="D35" s="37">
        <v>-43</v>
      </c>
      <c r="E35" s="32">
        <v>-43</v>
      </c>
    </row>
    <row r="36" spans="1:5" s="30" customFormat="1" ht="15.6">
      <c r="A36" s="30" t="s">
        <v>42</v>
      </c>
      <c r="D36" s="38">
        <v>-8551</v>
      </c>
      <c r="E36" s="33">
        <v>-21.38</v>
      </c>
    </row>
    <row r="38" spans="1:5" ht="15.6">
      <c r="A38" s="30" t="s">
        <v>43</v>
      </c>
    </row>
    <row r="39" spans="1:5" s="30" customFormat="1" ht="15.6">
      <c r="D39" s="38"/>
      <c r="E39" s="33"/>
    </row>
    <row r="40" spans="1:5">
      <c r="A40" t="s">
        <v>29</v>
      </c>
      <c r="B40" t="s">
        <v>6</v>
      </c>
      <c r="C40" s="31">
        <v>3</v>
      </c>
      <c r="D40" s="37">
        <v>9000</v>
      </c>
      <c r="E40" s="32">
        <v>300</v>
      </c>
    </row>
    <row r="41" spans="1:5">
      <c r="A41" t="s">
        <v>82</v>
      </c>
      <c r="B41" t="s">
        <v>7</v>
      </c>
      <c r="C41" s="31">
        <v>0.1</v>
      </c>
      <c r="D41" s="37">
        <v>20</v>
      </c>
      <c r="E41" s="32">
        <v>10</v>
      </c>
    </row>
    <row r="42" spans="1:5" s="30" customFormat="1" ht="15.6">
      <c r="A42" s="30" t="s">
        <v>44</v>
      </c>
      <c r="D42" s="38">
        <v>9020</v>
      </c>
      <c r="E42" s="33">
        <v>281.88</v>
      </c>
    </row>
  </sheetData>
  <conditionalFormatting sqref="D2:E42">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5"/>
  <sheetViews>
    <sheetView zoomScale="125" workbookViewId="0">
      <selection activeCell="C14" sqref="C14"/>
    </sheetView>
  </sheetViews>
  <sheetFormatPr defaultColWidth="10.81640625" defaultRowHeight="15"/>
  <cols>
    <col min="1" max="1" width="34.453125" style="27" bestFit="1" customWidth="1"/>
    <col min="2" max="2" width="9.453125" style="11" bestFit="1" customWidth="1"/>
    <col min="3" max="3" width="10.453125" style="11" bestFit="1" customWidth="1"/>
    <col min="4" max="4" width="22.81640625" style="11" bestFit="1" customWidth="1"/>
    <col min="5" max="16384" width="10.81640625" style="11"/>
  </cols>
  <sheetData>
    <row r="1" spans="1:4" s="27" customFormat="1" ht="15.6">
      <c r="A1" s="26" t="s">
        <v>8</v>
      </c>
      <c r="B1" s="26" t="s">
        <v>1</v>
      </c>
      <c r="C1" s="26" t="s">
        <v>23</v>
      </c>
      <c r="D1" s="26" t="s">
        <v>24</v>
      </c>
    </row>
    <row r="2" spans="1:4">
      <c r="A2" s="27" t="s">
        <v>14</v>
      </c>
      <c r="B2" s="11" t="s">
        <v>3</v>
      </c>
      <c r="C2" s="25" t="s">
        <v>15</v>
      </c>
      <c r="D2" s="25" t="s">
        <v>15</v>
      </c>
    </row>
    <row r="3" spans="1:4">
      <c r="A3" s="27" t="s">
        <v>20</v>
      </c>
      <c r="B3" s="11" t="s">
        <v>3</v>
      </c>
      <c r="C3" s="25" t="s">
        <v>15</v>
      </c>
      <c r="D3" s="25" t="s">
        <v>15</v>
      </c>
    </row>
    <row r="4" spans="1:4">
      <c r="A4" s="27" t="s">
        <v>21</v>
      </c>
      <c r="B4" s="11" t="s">
        <v>3</v>
      </c>
      <c r="C4" s="25" t="s">
        <v>15</v>
      </c>
      <c r="D4" s="25" t="s">
        <v>15</v>
      </c>
    </row>
    <row r="5" spans="1:4">
      <c r="A5" s="27" t="s">
        <v>22</v>
      </c>
      <c r="B5" s="11" t="s">
        <v>3</v>
      </c>
      <c r="C5" s="25" t="s">
        <v>15</v>
      </c>
      <c r="D5" s="25" t="s">
        <v>15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defaultColWidth="10.81640625" defaultRowHeight="1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C286"/>
  <sheetViews>
    <sheetView workbookViewId="0">
      <selection activeCell="D12" sqref="D12"/>
    </sheetView>
  </sheetViews>
  <sheetFormatPr defaultColWidth="10.81640625" defaultRowHeight="15"/>
  <cols>
    <col min="1" max="1" width="35.36328125" style="29" customWidth="1"/>
    <col min="2" max="2" width="31.36328125" style="11" customWidth="1"/>
    <col min="3" max="3" width="55.81640625" style="11" customWidth="1"/>
    <col min="4" max="16384" width="10.81640625" style="11"/>
  </cols>
  <sheetData>
    <row r="1" spans="1:3" s="9" customFormat="1" ht="34.049999999999997" customHeight="1">
      <c r="A1" s="9" t="s">
        <v>65</v>
      </c>
      <c r="B1" s="9" t="s">
        <v>66</v>
      </c>
      <c r="C1" s="9" t="s">
        <v>67</v>
      </c>
    </row>
    <row r="2" spans="1:3">
      <c r="A2" s="28">
        <v>45938.994293981479</v>
      </c>
      <c r="B2" s="11" t="s">
        <v>45</v>
      </c>
      <c r="C2" s="11" t="s">
        <v>46</v>
      </c>
    </row>
    <row r="3" spans="1:3">
      <c r="A3" s="28">
        <v>45938.994293981479</v>
      </c>
      <c r="B3" s="11" t="s">
        <v>45</v>
      </c>
      <c r="C3" s="11" t="s">
        <v>47</v>
      </c>
    </row>
    <row r="4" spans="1:3">
      <c r="A4" s="28">
        <v>45938.994293981479</v>
      </c>
      <c r="B4" s="11" t="s">
        <v>48</v>
      </c>
      <c r="C4" s="11" t="s">
        <v>49</v>
      </c>
    </row>
    <row r="5" spans="1:3">
      <c r="A5" s="28">
        <v>45938.994305555556</v>
      </c>
      <c r="B5" s="11" t="s">
        <v>48</v>
      </c>
      <c r="C5" s="11" t="s">
        <v>50</v>
      </c>
    </row>
    <row r="6" spans="1:3">
      <c r="A6" s="28">
        <v>45938.994305555556</v>
      </c>
      <c r="B6" s="11" t="s">
        <v>45</v>
      </c>
      <c r="C6" s="11" t="s">
        <v>51</v>
      </c>
    </row>
    <row r="7" spans="1:3">
      <c r="A7" s="28">
        <v>45938.994305555556</v>
      </c>
      <c r="B7" s="11" t="s">
        <v>48</v>
      </c>
      <c r="C7" s="11" t="s">
        <v>52</v>
      </c>
    </row>
    <row r="8" spans="1:3">
      <c r="A8" s="28">
        <v>45938.994305555556</v>
      </c>
      <c r="B8" s="11" t="s">
        <v>48</v>
      </c>
      <c r="C8" s="11" t="s">
        <v>53</v>
      </c>
    </row>
    <row r="9" spans="1:3">
      <c r="A9" s="28">
        <v>45938.994305555556</v>
      </c>
      <c r="B9" s="11" t="s">
        <v>45</v>
      </c>
      <c r="C9" s="11" t="s">
        <v>54</v>
      </c>
    </row>
    <row r="10" spans="1:3">
      <c r="A10" s="28">
        <v>45938.994305555556</v>
      </c>
      <c r="B10" s="11" t="s">
        <v>48</v>
      </c>
      <c r="C10" s="11" t="s">
        <v>55</v>
      </c>
    </row>
    <row r="11" spans="1:3">
      <c r="A11" s="28">
        <v>45938.994305555556</v>
      </c>
      <c r="B11" s="11" t="s">
        <v>48</v>
      </c>
      <c r="C11" s="11" t="s">
        <v>56</v>
      </c>
    </row>
    <row r="12" spans="1:3">
      <c r="A12" s="28">
        <v>45938.994305555556</v>
      </c>
      <c r="B12" s="11" t="s">
        <v>45</v>
      </c>
      <c r="C12" s="11" t="s">
        <v>57</v>
      </c>
    </row>
    <row r="13" spans="1:3">
      <c r="A13" s="28">
        <v>45938.994305555556</v>
      </c>
      <c r="B13" s="11" t="s">
        <v>48</v>
      </c>
      <c r="C13" s="11" t="s">
        <v>58</v>
      </c>
    </row>
    <row r="14" spans="1:3">
      <c r="A14" s="28">
        <v>45938.994305555556</v>
      </c>
      <c r="B14" s="11" t="s">
        <v>48</v>
      </c>
      <c r="C14" s="11" t="s">
        <v>59</v>
      </c>
    </row>
    <row r="15" spans="1:3">
      <c r="A15" s="28">
        <v>45938.994305555556</v>
      </c>
      <c r="B15" s="11" t="s">
        <v>45</v>
      </c>
      <c r="C15" s="11" t="s">
        <v>60</v>
      </c>
    </row>
    <row r="16" spans="1:3">
      <c r="A16" s="28">
        <v>45938.994305555556</v>
      </c>
      <c r="B16" s="11" t="s">
        <v>48</v>
      </c>
      <c r="C16" s="11" t="s">
        <v>61</v>
      </c>
    </row>
    <row r="17" spans="1:3">
      <c r="A17" s="28">
        <v>45938.994305555556</v>
      </c>
      <c r="B17" s="11" t="s">
        <v>48</v>
      </c>
      <c r="C17" s="11" t="s">
        <v>62</v>
      </c>
    </row>
    <row r="18" spans="1:3">
      <c r="A18" s="28">
        <v>45938.994305555556</v>
      </c>
      <c r="B18" s="11" t="s">
        <v>45</v>
      </c>
      <c r="C18" s="11" t="s">
        <v>63</v>
      </c>
    </row>
    <row r="19" spans="1:3">
      <c r="A19" s="28">
        <v>45938.994305555556</v>
      </c>
      <c r="B19" s="11" t="s">
        <v>45</v>
      </c>
      <c r="C19" s="11" t="s">
        <v>64</v>
      </c>
    </row>
    <row r="20" spans="1:3">
      <c r="A20" s="28">
        <v>45938.994328703702</v>
      </c>
      <c r="B20" s="11" t="s">
        <v>45</v>
      </c>
      <c r="C20" s="11" t="s">
        <v>46</v>
      </c>
    </row>
    <row r="21" spans="1:3">
      <c r="A21" s="28">
        <v>45938.994328703702</v>
      </c>
      <c r="B21" s="11" t="s">
        <v>45</v>
      </c>
      <c r="C21" s="11" t="s">
        <v>47</v>
      </c>
    </row>
    <row r="22" spans="1:3">
      <c r="A22" s="28">
        <v>45938.994328703702</v>
      </c>
      <c r="B22" s="11" t="s">
        <v>48</v>
      </c>
      <c r="C22" s="11" t="s">
        <v>49</v>
      </c>
    </row>
    <row r="23" spans="1:3">
      <c r="A23" s="28">
        <v>45938.994328703702</v>
      </c>
      <c r="B23" s="11" t="s">
        <v>48</v>
      </c>
      <c r="C23" s="11" t="s">
        <v>50</v>
      </c>
    </row>
    <row r="24" spans="1:3">
      <c r="A24" s="28">
        <v>45938.994328703702</v>
      </c>
      <c r="B24" s="11" t="s">
        <v>45</v>
      </c>
      <c r="C24" s="11" t="s">
        <v>51</v>
      </c>
    </row>
    <row r="25" spans="1:3">
      <c r="A25" s="28">
        <v>45938.994328703702</v>
      </c>
      <c r="B25" s="11" t="s">
        <v>48</v>
      </c>
      <c r="C25" s="11" t="s">
        <v>52</v>
      </c>
    </row>
    <row r="26" spans="1:3">
      <c r="A26" s="28">
        <v>45938.994328703702</v>
      </c>
      <c r="B26" s="11" t="s">
        <v>48</v>
      </c>
      <c r="C26" s="11" t="s">
        <v>53</v>
      </c>
    </row>
    <row r="27" spans="1:3">
      <c r="A27" s="28">
        <v>45938.994328703702</v>
      </c>
      <c r="B27" s="11" t="s">
        <v>45</v>
      </c>
      <c r="C27" s="11" t="s">
        <v>54</v>
      </c>
    </row>
    <row r="28" spans="1:3">
      <c r="A28" s="28">
        <v>45938.994328703702</v>
      </c>
      <c r="B28" s="11" t="s">
        <v>48</v>
      </c>
      <c r="C28" s="11" t="s">
        <v>55</v>
      </c>
    </row>
    <row r="29" spans="1:3">
      <c r="A29" s="28">
        <v>45938.994328703702</v>
      </c>
      <c r="B29" s="11" t="s">
        <v>48</v>
      </c>
      <c r="C29" s="11" t="s">
        <v>56</v>
      </c>
    </row>
    <row r="30" spans="1:3">
      <c r="A30" s="28">
        <v>45938.994328703702</v>
      </c>
      <c r="B30" s="11" t="s">
        <v>45</v>
      </c>
      <c r="C30" s="11" t="s">
        <v>57</v>
      </c>
    </row>
    <row r="31" spans="1:3">
      <c r="A31" s="28">
        <v>45938.994328703702</v>
      </c>
      <c r="B31" s="11" t="s">
        <v>48</v>
      </c>
      <c r="C31" s="11" t="s">
        <v>58</v>
      </c>
    </row>
    <row r="32" spans="1:3">
      <c r="A32" s="28">
        <v>45938.994328703702</v>
      </c>
      <c r="B32" s="11" t="s">
        <v>48</v>
      </c>
      <c r="C32" s="11" t="s">
        <v>59</v>
      </c>
    </row>
    <row r="33" spans="1:3">
      <c r="A33" s="28">
        <v>45938.994328703702</v>
      </c>
      <c r="B33" s="11" t="s">
        <v>45</v>
      </c>
      <c r="C33" s="11" t="s">
        <v>60</v>
      </c>
    </row>
    <row r="34" spans="1:3">
      <c r="A34" s="28">
        <v>45938.994328703702</v>
      </c>
      <c r="B34" s="11" t="s">
        <v>48</v>
      </c>
      <c r="C34" s="11" t="s">
        <v>61</v>
      </c>
    </row>
    <row r="35" spans="1:3">
      <c r="A35" s="28">
        <v>45938.994328703702</v>
      </c>
      <c r="B35" s="11" t="s">
        <v>48</v>
      </c>
      <c r="C35" s="11" t="s">
        <v>62</v>
      </c>
    </row>
    <row r="36" spans="1:3">
      <c r="A36" s="28">
        <v>45938.994340277779</v>
      </c>
      <c r="B36" s="11" t="s">
        <v>45</v>
      </c>
      <c r="C36" s="11" t="s">
        <v>63</v>
      </c>
    </row>
    <row r="37" spans="1:3">
      <c r="A37" s="28">
        <v>45938.994340277779</v>
      </c>
      <c r="B37" s="11" t="s">
        <v>45</v>
      </c>
      <c r="C37" s="11" t="s">
        <v>64</v>
      </c>
    </row>
    <row r="38" spans="1:3">
      <c r="A38" s="28">
        <v>45938.994351851848</v>
      </c>
      <c r="B38" s="11" t="s">
        <v>45</v>
      </c>
      <c r="C38" s="11" t="s">
        <v>46</v>
      </c>
    </row>
    <row r="39" spans="1:3">
      <c r="A39" s="28">
        <v>45938.994351851848</v>
      </c>
      <c r="B39" s="11" t="s">
        <v>45</v>
      </c>
      <c r="C39" s="11" t="s">
        <v>47</v>
      </c>
    </row>
    <row r="40" spans="1:3">
      <c r="A40" s="28">
        <v>45938.994351851848</v>
      </c>
      <c r="B40" s="11" t="s">
        <v>48</v>
      </c>
      <c r="C40" s="11" t="s">
        <v>49</v>
      </c>
    </row>
    <row r="41" spans="1:3">
      <c r="A41" s="28">
        <v>45938.994351851848</v>
      </c>
      <c r="B41" s="11" t="s">
        <v>48</v>
      </c>
      <c r="C41" s="11" t="s">
        <v>50</v>
      </c>
    </row>
    <row r="42" spans="1:3">
      <c r="A42" s="28">
        <v>45938.994351851848</v>
      </c>
      <c r="B42" s="11" t="s">
        <v>45</v>
      </c>
      <c r="C42" s="11" t="s">
        <v>51</v>
      </c>
    </row>
    <row r="43" spans="1:3">
      <c r="A43" s="28">
        <v>45938.994351851848</v>
      </c>
      <c r="B43" s="11" t="s">
        <v>48</v>
      </c>
      <c r="C43" s="11" t="s">
        <v>52</v>
      </c>
    </row>
    <row r="44" spans="1:3">
      <c r="A44" s="28">
        <v>45938.994351851848</v>
      </c>
      <c r="B44" s="11" t="s">
        <v>48</v>
      </c>
      <c r="C44" s="11" t="s">
        <v>53</v>
      </c>
    </row>
    <row r="45" spans="1:3">
      <c r="A45" s="28">
        <v>45938.994351851848</v>
      </c>
      <c r="B45" s="11" t="s">
        <v>45</v>
      </c>
      <c r="C45" s="11" t="s">
        <v>54</v>
      </c>
    </row>
    <row r="46" spans="1:3">
      <c r="A46" s="28">
        <v>45938.994351851848</v>
      </c>
      <c r="B46" s="11" t="s">
        <v>48</v>
      </c>
      <c r="C46" s="11" t="s">
        <v>55</v>
      </c>
    </row>
    <row r="47" spans="1:3">
      <c r="A47" s="28">
        <v>45938.994351851848</v>
      </c>
      <c r="B47" s="11" t="s">
        <v>48</v>
      </c>
      <c r="C47" s="11" t="s">
        <v>56</v>
      </c>
    </row>
    <row r="48" spans="1:3">
      <c r="A48" s="28">
        <v>45938.994351851848</v>
      </c>
      <c r="B48" s="11" t="s">
        <v>45</v>
      </c>
      <c r="C48" s="11" t="s">
        <v>57</v>
      </c>
    </row>
    <row r="49" spans="1:3">
      <c r="A49" s="28">
        <v>45938.994351851848</v>
      </c>
      <c r="B49" s="11" t="s">
        <v>48</v>
      </c>
      <c r="C49" s="11" t="s">
        <v>58</v>
      </c>
    </row>
    <row r="50" spans="1:3">
      <c r="A50" s="28">
        <v>45938.994351851848</v>
      </c>
      <c r="B50" s="11" t="s">
        <v>48</v>
      </c>
      <c r="C50" s="11" t="s">
        <v>59</v>
      </c>
    </row>
    <row r="51" spans="1:3">
      <c r="A51" s="28">
        <v>45938.994351851848</v>
      </c>
      <c r="B51" s="11" t="s">
        <v>45</v>
      </c>
      <c r="C51" s="11" t="s">
        <v>60</v>
      </c>
    </row>
    <row r="52" spans="1:3">
      <c r="A52" s="28">
        <v>45938.994351851848</v>
      </c>
      <c r="B52" s="11" t="s">
        <v>48</v>
      </c>
      <c r="C52" s="11" t="s">
        <v>61</v>
      </c>
    </row>
    <row r="53" spans="1:3">
      <c r="A53" s="28">
        <v>45938.994351851848</v>
      </c>
      <c r="B53" s="11" t="s">
        <v>48</v>
      </c>
      <c r="C53" s="11" t="s">
        <v>62</v>
      </c>
    </row>
    <row r="54" spans="1:3">
      <c r="A54" s="28">
        <v>45938.994351851848</v>
      </c>
      <c r="B54" s="11" t="s">
        <v>45</v>
      </c>
      <c r="C54" s="11" t="s">
        <v>63</v>
      </c>
    </row>
    <row r="55" spans="1:3">
      <c r="A55" s="28">
        <v>45938.994351851848</v>
      </c>
      <c r="B55" s="11" t="s">
        <v>45</v>
      </c>
      <c r="C55" s="11" t="s">
        <v>64</v>
      </c>
    </row>
    <row r="56" spans="1:3">
      <c r="A56" s="28">
        <v>45938.994351851848</v>
      </c>
      <c r="B56" s="11" t="s">
        <v>45</v>
      </c>
      <c r="C56" s="11" t="s">
        <v>46</v>
      </c>
    </row>
    <row r="57" spans="1:3">
      <c r="A57" s="28">
        <v>45938.994351851848</v>
      </c>
      <c r="B57" s="11" t="s">
        <v>45</v>
      </c>
      <c r="C57" s="11" t="s">
        <v>47</v>
      </c>
    </row>
    <row r="58" spans="1:3">
      <c r="A58" s="28">
        <v>45938.994351851848</v>
      </c>
      <c r="B58" s="11" t="s">
        <v>48</v>
      </c>
      <c r="C58" s="11" t="s">
        <v>49</v>
      </c>
    </row>
    <row r="59" spans="1:3">
      <c r="A59" s="28">
        <v>45938.994351851848</v>
      </c>
      <c r="B59" s="11" t="s">
        <v>48</v>
      </c>
      <c r="C59" s="11" t="s">
        <v>50</v>
      </c>
    </row>
    <row r="60" spans="1:3">
      <c r="A60" s="28">
        <v>45938.994351851848</v>
      </c>
      <c r="B60" s="11" t="s">
        <v>45</v>
      </c>
      <c r="C60" s="11" t="s">
        <v>51</v>
      </c>
    </row>
    <row r="61" spans="1:3">
      <c r="A61" s="28">
        <v>45938.994351851848</v>
      </c>
      <c r="B61" s="11" t="s">
        <v>48</v>
      </c>
      <c r="C61" s="11" t="s">
        <v>52</v>
      </c>
    </row>
    <row r="62" spans="1:3">
      <c r="A62" s="28">
        <v>45938.994351851848</v>
      </c>
      <c r="B62" s="11" t="s">
        <v>48</v>
      </c>
      <c r="C62" s="11" t="s">
        <v>53</v>
      </c>
    </row>
    <row r="63" spans="1:3">
      <c r="A63" s="28">
        <v>45938.994351851848</v>
      </c>
      <c r="B63" s="11" t="s">
        <v>45</v>
      </c>
      <c r="C63" s="11" t="s">
        <v>54</v>
      </c>
    </row>
    <row r="64" spans="1:3">
      <c r="A64" s="28">
        <v>45938.994351851848</v>
      </c>
      <c r="B64" s="11" t="s">
        <v>48</v>
      </c>
      <c r="C64" s="11" t="s">
        <v>55</v>
      </c>
    </row>
    <row r="65" spans="1:3">
      <c r="A65" s="28">
        <v>45938.994351851848</v>
      </c>
      <c r="B65" s="11" t="s">
        <v>48</v>
      </c>
      <c r="C65" s="11" t="s">
        <v>56</v>
      </c>
    </row>
    <row r="66" spans="1:3">
      <c r="A66" s="28">
        <v>45938.994351851848</v>
      </c>
      <c r="B66" s="11" t="s">
        <v>45</v>
      </c>
      <c r="C66" s="11" t="s">
        <v>57</v>
      </c>
    </row>
    <row r="67" spans="1:3">
      <c r="A67" s="28">
        <v>45938.994351851848</v>
      </c>
      <c r="B67" s="11" t="s">
        <v>48</v>
      </c>
      <c r="C67" s="11" t="s">
        <v>58</v>
      </c>
    </row>
    <row r="68" spans="1:3">
      <c r="A68" s="28">
        <v>45938.994351851848</v>
      </c>
      <c r="B68" s="11" t="s">
        <v>48</v>
      </c>
      <c r="C68" s="11" t="s">
        <v>59</v>
      </c>
    </row>
    <row r="69" spans="1:3">
      <c r="A69" s="28">
        <v>45938.994351851848</v>
      </c>
      <c r="B69" s="11" t="s">
        <v>45</v>
      </c>
      <c r="C69" s="11" t="s">
        <v>60</v>
      </c>
    </row>
    <row r="70" spans="1:3">
      <c r="A70" s="28">
        <v>45938.994351851848</v>
      </c>
      <c r="B70" s="11" t="s">
        <v>48</v>
      </c>
      <c r="C70" s="11" t="s">
        <v>61</v>
      </c>
    </row>
    <row r="71" spans="1:3">
      <c r="A71" s="28">
        <v>45938.994351851848</v>
      </c>
      <c r="B71" s="11" t="s">
        <v>48</v>
      </c>
      <c r="C71" s="11" t="s">
        <v>62</v>
      </c>
    </row>
    <row r="72" spans="1:3">
      <c r="A72" s="28">
        <v>45938.994351851848</v>
      </c>
      <c r="B72" s="11" t="s">
        <v>45</v>
      </c>
      <c r="C72" s="11" t="s">
        <v>63</v>
      </c>
    </row>
    <row r="73" spans="1:3">
      <c r="A73" s="28">
        <v>45938.994351851848</v>
      </c>
      <c r="B73" s="11" t="s">
        <v>45</v>
      </c>
      <c r="C73" s="11" t="s">
        <v>64</v>
      </c>
    </row>
    <row r="74" spans="1:3">
      <c r="A74" s="28">
        <v>45939.000034722223</v>
      </c>
      <c r="B74" s="11" t="s">
        <v>45</v>
      </c>
      <c r="C74" s="11" t="s">
        <v>46</v>
      </c>
    </row>
    <row r="75" spans="1:3">
      <c r="A75" s="28">
        <v>45939.000034722223</v>
      </c>
      <c r="B75" s="11" t="s">
        <v>45</v>
      </c>
      <c r="C75" s="11" t="s">
        <v>47</v>
      </c>
    </row>
    <row r="76" spans="1:3">
      <c r="A76" s="28">
        <v>45939.000034722223</v>
      </c>
      <c r="B76" s="11" t="s">
        <v>48</v>
      </c>
      <c r="C76" s="11" t="s">
        <v>49</v>
      </c>
    </row>
    <row r="77" spans="1:3">
      <c r="A77" s="28">
        <v>45939.000034722223</v>
      </c>
      <c r="B77" s="11" t="s">
        <v>48</v>
      </c>
      <c r="C77" s="11" t="s">
        <v>50</v>
      </c>
    </row>
    <row r="78" spans="1:3">
      <c r="A78" s="28">
        <v>45939.000034722223</v>
      </c>
      <c r="B78" s="11" t="s">
        <v>45</v>
      </c>
      <c r="C78" s="11" t="s">
        <v>51</v>
      </c>
    </row>
    <row r="79" spans="1:3">
      <c r="A79" s="28">
        <v>45939.000034722223</v>
      </c>
      <c r="B79" s="11" t="s">
        <v>48</v>
      </c>
      <c r="C79" s="11" t="s">
        <v>52</v>
      </c>
    </row>
    <row r="80" spans="1:3">
      <c r="A80" s="28">
        <v>45939.000034722223</v>
      </c>
      <c r="B80" s="11" t="s">
        <v>48</v>
      </c>
      <c r="C80" s="11" t="s">
        <v>53</v>
      </c>
    </row>
    <row r="81" spans="1:3">
      <c r="A81" s="28">
        <v>45939.000034722223</v>
      </c>
      <c r="B81" s="11" t="s">
        <v>45</v>
      </c>
      <c r="C81" s="11" t="s">
        <v>54</v>
      </c>
    </row>
    <row r="82" spans="1:3">
      <c r="A82" s="28">
        <v>45939.000034722223</v>
      </c>
      <c r="B82" s="11" t="s">
        <v>48</v>
      </c>
      <c r="C82" s="11" t="s">
        <v>55</v>
      </c>
    </row>
    <row r="83" spans="1:3">
      <c r="A83" s="28">
        <v>45939.000034722223</v>
      </c>
      <c r="B83" s="11" t="s">
        <v>48</v>
      </c>
      <c r="C83" s="11" t="s">
        <v>56</v>
      </c>
    </row>
    <row r="84" spans="1:3">
      <c r="A84" s="28">
        <v>45939.000034722223</v>
      </c>
      <c r="B84" s="11" t="s">
        <v>45</v>
      </c>
      <c r="C84" s="11" t="s">
        <v>57</v>
      </c>
    </row>
    <row r="85" spans="1:3">
      <c r="A85" s="28">
        <v>45939.000034722223</v>
      </c>
      <c r="B85" s="11" t="s">
        <v>48</v>
      </c>
      <c r="C85" s="11" t="s">
        <v>58</v>
      </c>
    </row>
    <row r="86" spans="1:3">
      <c r="A86" s="28">
        <v>45939.0000462963</v>
      </c>
      <c r="B86" s="11" t="s">
        <v>48</v>
      </c>
      <c r="C86" s="11" t="s">
        <v>59</v>
      </c>
    </row>
    <row r="87" spans="1:3">
      <c r="A87" s="28">
        <v>45939.0000462963</v>
      </c>
      <c r="B87" s="11" t="s">
        <v>45</v>
      </c>
      <c r="C87" s="11" t="s">
        <v>60</v>
      </c>
    </row>
    <row r="88" spans="1:3">
      <c r="A88" s="28">
        <v>45939.0000462963</v>
      </c>
      <c r="B88" s="11" t="s">
        <v>48</v>
      </c>
      <c r="C88" s="11" t="s">
        <v>61</v>
      </c>
    </row>
    <row r="89" spans="1:3">
      <c r="A89" s="28">
        <v>45939.0000462963</v>
      </c>
      <c r="B89" s="11" t="s">
        <v>48</v>
      </c>
      <c r="C89" s="11" t="s">
        <v>62</v>
      </c>
    </row>
    <row r="90" spans="1:3">
      <c r="A90" s="28">
        <v>45939.0000462963</v>
      </c>
      <c r="B90" s="11" t="s">
        <v>45</v>
      </c>
      <c r="C90" s="11" t="s">
        <v>63</v>
      </c>
    </row>
    <row r="91" spans="1:3">
      <c r="A91" s="28">
        <v>45939.0000462963</v>
      </c>
      <c r="B91" s="11" t="s">
        <v>45</v>
      </c>
      <c r="C91" s="11" t="s">
        <v>64</v>
      </c>
    </row>
    <row r="92" spans="1:3">
      <c r="A92" s="28">
        <v>45939.000196759262</v>
      </c>
      <c r="B92" s="11" t="s">
        <v>45</v>
      </c>
      <c r="C92" s="11" t="s">
        <v>46</v>
      </c>
    </row>
    <row r="93" spans="1:3">
      <c r="A93" s="28">
        <v>45939.000196759262</v>
      </c>
      <c r="B93" s="11" t="s">
        <v>45</v>
      </c>
      <c r="C93" s="11" t="s">
        <v>47</v>
      </c>
    </row>
    <row r="94" spans="1:3">
      <c r="A94" s="28">
        <v>45939.000196759262</v>
      </c>
      <c r="B94" s="11" t="s">
        <v>48</v>
      </c>
      <c r="C94" s="11" t="s">
        <v>49</v>
      </c>
    </row>
    <row r="95" spans="1:3">
      <c r="A95" s="28">
        <v>45939.000196759262</v>
      </c>
      <c r="B95" s="11" t="s">
        <v>48</v>
      </c>
      <c r="C95" s="11" t="s">
        <v>50</v>
      </c>
    </row>
    <row r="96" spans="1:3">
      <c r="A96" s="28">
        <v>45939.000196759262</v>
      </c>
      <c r="B96" s="11" t="s">
        <v>45</v>
      </c>
      <c r="C96" s="11" t="s">
        <v>51</v>
      </c>
    </row>
    <row r="97" spans="1:3">
      <c r="A97" s="28">
        <v>45939.000208333331</v>
      </c>
      <c r="B97" s="11" t="s">
        <v>48</v>
      </c>
      <c r="C97" s="11" t="s">
        <v>52</v>
      </c>
    </row>
    <row r="98" spans="1:3">
      <c r="A98" s="28">
        <v>45939.000208333331</v>
      </c>
      <c r="B98" s="11" t="s">
        <v>48</v>
      </c>
      <c r="C98" s="11" t="s">
        <v>53</v>
      </c>
    </row>
    <row r="99" spans="1:3">
      <c r="A99" s="28">
        <v>45939.000208333331</v>
      </c>
      <c r="B99" s="11" t="s">
        <v>45</v>
      </c>
      <c r="C99" s="11" t="s">
        <v>54</v>
      </c>
    </row>
    <row r="100" spans="1:3">
      <c r="A100" s="28">
        <v>45939.000208333331</v>
      </c>
      <c r="B100" s="11" t="s">
        <v>48</v>
      </c>
      <c r="C100" s="11" t="s">
        <v>55</v>
      </c>
    </row>
    <row r="101" spans="1:3">
      <c r="A101" s="28">
        <v>45939.000208333331</v>
      </c>
      <c r="B101" s="11" t="s">
        <v>48</v>
      </c>
      <c r="C101" s="11" t="s">
        <v>56</v>
      </c>
    </row>
    <row r="102" spans="1:3">
      <c r="A102" s="28">
        <v>45939.000208333331</v>
      </c>
      <c r="B102" s="11" t="s">
        <v>45</v>
      </c>
      <c r="C102" s="11" t="s">
        <v>57</v>
      </c>
    </row>
    <row r="103" spans="1:3">
      <c r="A103" s="28">
        <v>45939.000208333331</v>
      </c>
      <c r="B103" s="11" t="s">
        <v>48</v>
      </c>
      <c r="C103" s="11" t="s">
        <v>58</v>
      </c>
    </row>
    <row r="104" spans="1:3">
      <c r="A104" s="28">
        <v>45939.000208333331</v>
      </c>
      <c r="B104" s="11" t="s">
        <v>48</v>
      </c>
      <c r="C104" s="11" t="s">
        <v>59</v>
      </c>
    </row>
    <row r="105" spans="1:3">
      <c r="A105" s="28">
        <v>45939.000208333331</v>
      </c>
      <c r="B105" s="11" t="s">
        <v>45</v>
      </c>
      <c r="C105" s="11" t="s">
        <v>60</v>
      </c>
    </row>
    <row r="106" spans="1:3">
      <c r="A106" s="28">
        <v>45939.000208333331</v>
      </c>
      <c r="B106" s="11" t="s">
        <v>48</v>
      </c>
      <c r="C106" s="11" t="s">
        <v>61</v>
      </c>
    </row>
    <row r="107" spans="1:3">
      <c r="A107" s="28">
        <v>45939.000208333331</v>
      </c>
      <c r="B107" s="11" t="s">
        <v>48</v>
      </c>
      <c r="C107" s="11" t="s">
        <v>62</v>
      </c>
    </row>
    <row r="108" spans="1:3">
      <c r="A108" s="28">
        <v>45939.000208333331</v>
      </c>
      <c r="B108" s="11" t="s">
        <v>45</v>
      </c>
      <c r="C108" s="11" t="s">
        <v>63</v>
      </c>
    </row>
    <row r="109" spans="1:3">
      <c r="A109" s="28">
        <v>45939.000208333331</v>
      </c>
      <c r="B109" s="11" t="s">
        <v>45</v>
      </c>
      <c r="C109" s="11" t="s">
        <v>64</v>
      </c>
    </row>
    <row r="110" spans="1:3">
      <c r="A110" s="28">
        <v>45939.011944444443</v>
      </c>
      <c r="B110" s="11" t="s">
        <v>45</v>
      </c>
      <c r="C110" s="11" t="s">
        <v>46</v>
      </c>
    </row>
    <row r="111" spans="1:3">
      <c r="A111" s="28">
        <v>45939.011944444443</v>
      </c>
      <c r="B111" s="11" t="s">
        <v>45</v>
      </c>
      <c r="C111" s="11" t="s">
        <v>47</v>
      </c>
    </row>
    <row r="112" spans="1:3">
      <c r="A112" s="28">
        <v>45939.011944444443</v>
      </c>
      <c r="B112" s="11" t="s">
        <v>48</v>
      </c>
      <c r="C112" s="11" t="s">
        <v>49</v>
      </c>
    </row>
    <row r="113" spans="1:3">
      <c r="A113" s="28">
        <v>45939.011944444443</v>
      </c>
      <c r="B113" s="11" t="s">
        <v>48</v>
      </c>
      <c r="C113" s="11" t="s">
        <v>69</v>
      </c>
    </row>
    <row r="114" spans="1:3">
      <c r="A114" s="28">
        <v>45939.011944444443</v>
      </c>
      <c r="B114" s="11" t="s">
        <v>45</v>
      </c>
      <c r="C114" s="11" t="s">
        <v>70</v>
      </c>
    </row>
    <row r="115" spans="1:3">
      <c r="A115" s="28">
        <v>45939.011944444443</v>
      </c>
      <c r="B115" s="11" t="s">
        <v>48</v>
      </c>
      <c r="C115" s="11" t="s">
        <v>52</v>
      </c>
    </row>
    <row r="116" spans="1:3">
      <c r="A116" s="28">
        <v>45939.011944444443</v>
      </c>
      <c r="B116" s="11" t="s">
        <v>48</v>
      </c>
      <c r="C116" s="11" t="s">
        <v>71</v>
      </c>
    </row>
    <row r="117" spans="1:3">
      <c r="A117" s="28">
        <v>45939.011944444443</v>
      </c>
      <c r="B117" s="11" t="s">
        <v>45</v>
      </c>
      <c r="C117" s="11" t="s">
        <v>72</v>
      </c>
    </row>
    <row r="118" spans="1:3">
      <c r="A118" s="28">
        <v>45939.011944444443</v>
      </c>
      <c r="B118" s="11" t="s">
        <v>48</v>
      </c>
      <c r="C118" s="11" t="s">
        <v>55</v>
      </c>
    </row>
    <row r="119" spans="1:3">
      <c r="A119" s="28">
        <v>45939.011944444443</v>
      </c>
      <c r="B119" s="11" t="s">
        <v>48</v>
      </c>
      <c r="C119" s="11" t="s">
        <v>73</v>
      </c>
    </row>
    <row r="120" spans="1:3">
      <c r="A120" s="28">
        <v>45939.011944444443</v>
      </c>
      <c r="B120" s="11" t="s">
        <v>45</v>
      </c>
      <c r="C120" s="11" t="s">
        <v>74</v>
      </c>
    </row>
    <row r="121" spans="1:3">
      <c r="A121" s="28">
        <v>45939.011944444443</v>
      </c>
      <c r="B121" s="11" t="s">
        <v>48</v>
      </c>
      <c r="C121" s="11" t="s">
        <v>58</v>
      </c>
    </row>
    <row r="122" spans="1:3">
      <c r="A122" s="28">
        <v>45939.011944444443</v>
      </c>
      <c r="B122" s="11" t="s">
        <v>48</v>
      </c>
      <c r="C122" s="11" t="s">
        <v>75</v>
      </c>
    </row>
    <row r="123" spans="1:3">
      <c r="A123" s="28">
        <v>45939.011944444443</v>
      </c>
      <c r="B123" s="11" t="s">
        <v>45</v>
      </c>
      <c r="C123" s="11" t="s">
        <v>76</v>
      </c>
    </row>
    <row r="124" spans="1:3">
      <c r="A124" s="28">
        <v>45939.011944444443</v>
      </c>
      <c r="B124" s="11" t="s">
        <v>48</v>
      </c>
      <c r="C124" s="11" t="s">
        <v>61</v>
      </c>
    </row>
    <row r="125" spans="1:3">
      <c r="A125" s="28">
        <v>45939.011956018519</v>
      </c>
      <c r="B125" s="11" t="s">
        <v>48</v>
      </c>
      <c r="C125" s="11" t="s">
        <v>77</v>
      </c>
    </row>
    <row r="126" spans="1:3">
      <c r="A126" s="28">
        <v>45939.011956018519</v>
      </c>
      <c r="B126" s="11" t="s">
        <v>45</v>
      </c>
      <c r="C126" s="11" t="s">
        <v>78</v>
      </c>
    </row>
    <row r="127" spans="1:3">
      <c r="A127" s="28">
        <v>45939.011956018519</v>
      </c>
      <c r="B127" s="11" t="s">
        <v>45</v>
      </c>
      <c r="C127" s="11" t="s">
        <v>79</v>
      </c>
    </row>
    <row r="128" spans="1:3">
      <c r="A128" s="28">
        <v>45939.017581018517</v>
      </c>
      <c r="B128" s="11" t="s">
        <v>45</v>
      </c>
      <c r="C128" s="11" t="s">
        <v>46</v>
      </c>
    </row>
    <row r="129" spans="1:3">
      <c r="A129" s="28">
        <v>45939.017581018517</v>
      </c>
      <c r="B129" s="11" t="s">
        <v>45</v>
      </c>
      <c r="C129" s="11" t="s">
        <v>47</v>
      </c>
    </row>
    <row r="130" spans="1:3">
      <c r="A130" s="28">
        <v>45939.017581018517</v>
      </c>
      <c r="B130" s="11" t="s">
        <v>48</v>
      </c>
      <c r="C130" s="11" t="s">
        <v>49</v>
      </c>
    </row>
    <row r="131" spans="1:3">
      <c r="A131" s="28">
        <v>45939.017581018517</v>
      </c>
      <c r="B131" s="11" t="s">
        <v>48</v>
      </c>
      <c r="C131" s="11" t="s">
        <v>69</v>
      </c>
    </row>
    <row r="132" spans="1:3">
      <c r="A132" s="28">
        <v>45939.017581018517</v>
      </c>
      <c r="B132" s="11" t="s">
        <v>45</v>
      </c>
      <c r="C132" s="11" t="s">
        <v>70</v>
      </c>
    </row>
    <row r="133" spans="1:3">
      <c r="A133" s="28">
        <v>45939.017581018517</v>
      </c>
      <c r="B133" s="11" t="s">
        <v>48</v>
      </c>
      <c r="C133" s="11" t="s">
        <v>52</v>
      </c>
    </row>
    <row r="134" spans="1:3">
      <c r="A134" s="28">
        <v>45939.017581018517</v>
      </c>
      <c r="B134" s="11" t="s">
        <v>48</v>
      </c>
      <c r="C134" s="11" t="s">
        <v>71</v>
      </c>
    </row>
    <row r="135" spans="1:3">
      <c r="A135" s="28">
        <v>45939.017581018517</v>
      </c>
      <c r="B135" s="11" t="s">
        <v>45</v>
      </c>
      <c r="C135" s="11" t="s">
        <v>72</v>
      </c>
    </row>
    <row r="136" spans="1:3">
      <c r="A136" s="28">
        <v>45939.017581018517</v>
      </c>
      <c r="B136" s="11" t="s">
        <v>48</v>
      </c>
      <c r="C136" s="11" t="s">
        <v>55</v>
      </c>
    </row>
    <row r="137" spans="1:3">
      <c r="A137" s="28">
        <v>45939.017581018517</v>
      </c>
      <c r="B137" s="11" t="s">
        <v>48</v>
      </c>
      <c r="C137" s="11" t="s">
        <v>73</v>
      </c>
    </row>
    <row r="138" spans="1:3">
      <c r="A138" s="28">
        <v>45939.017581018517</v>
      </c>
      <c r="B138" s="11" t="s">
        <v>45</v>
      </c>
      <c r="C138" s="11" t="s">
        <v>74</v>
      </c>
    </row>
    <row r="139" spans="1:3">
      <c r="A139" s="28">
        <v>45939.017581018517</v>
      </c>
      <c r="B139" s="11" t="s">
        <v>48</v>
      </c>
      <c r="C139" s="11" t="s">
        <v>58</v>
      </c>
    </row>
    <row r="140" spans="1:3">
      <c r="A140" s="28">
        <v>45939.017592592594</v>
      </c>
      <c r="B140" s="11" t="s">
        <v>48</v>
      </c>
      <c r="C140" s="11" t="s">
        <v>75</v>
      </c>
    </row>
    <row r="141" spans="1:3">
      <c r="A141" s="28">
        <v>45939.017592592594</v>
      </c>
      <c r="B141" s="11" t="s">
        <v>45</v>
      </c>
      <c r="C141" s="11" t="s">
        <v>76</v>
      </c>
    </row>
    <row r="142" spans="1:3">
      <c r="A142" s="28">
        <v>45939.017592592594</v>
      </c>
      <c r="B142" s="11" t="s">
        <v>48</v>
      </c>
      <c r="C142" s="11" t="s">
        <v>61</v>
      </c>
    </row>
    <row r="143" spans="1:3">
      <c r="A143" s="28">
        <v>45939.017592592594</v>
      </c>
      <c r="B143" s="11" t="s">
        <v>48</v>
      </c>
      <c r="C143" s="11" t="s">
        <v>77</v>
      </c>
    </row>
    <row r="144" spans="1:3">
      <c r="A144" s="28">
        <v>45939.017592592594</v>
      </c>
      <c r="B144" s="11" t="s">
        <v>45</v>
      </c>
      <c r="C144" s="11" t="s">
        <v>78</v>
      </c>
    </row>
    <row r="145" spans="1:3">
      <c r="A145" s="28">
        <v>45939.017592592594</v>
      </c>
      <c r="B145" s="11" t="s">
        <v>45</v>
      </c>
      <c r="C145" s="11" t="s">
        <v>79</v>
      </c>
    </row>
    <row r="146" spans="1:3">
      <c r="A146" s="28">
        <v>45939.028263888889</v>
      </c>
      <c r="B146" s="11" t="s">
        <v>45</v>
      </c>
      <c r="C146" s="11" t="s">
        <v>46</v>
      </c>
    </row>
    <row r="147" spans="1:3">
      <c r="A147" s="28">
        <v>45939.028263888889</v>
      </c>
      <c r="B147" s="11" t="s">
        <v>45</v>
      </c>
      <c r="C147" s="11" t="s">
        <v>47</v>
      </c>
    </row>
    <row r="148" spans="1:3">
      <c r="A148" s="28">
        <v>45939.028263888889</v>
      </c>
      <c r="B148" s="11" t="s">
        <v>48</v>
      </c>
      <c r="C148" s="11" t="s">
        <v>49</v>
      </c>
    </row>
    <row r="149" spans="1:3">
      <c r="A149" s="28">
        <v>45939.028275462966</v>
      </c>
      <c r="B149" s="11" t="s">
        <v>48</v>
      </c>
      <c r="C149" s="11" t="s">
        <v>69</v>
      </c>
    </row>
    <row r="150" spans="1:3">
      <c r="A150" s="28">
        <v>45939.028275462966</v>
      </c>
      <c r="B150" s="11" t="s">
        <v>45</v>
      </c>
      <c r="C150" s="11" t="s">
        <v>70</v>
      </c>
    </row>
    <row r="151" spans="1:3">
      <c r="A151" s="28">
        <v>45939.028275462966</v>
      </c>
      <c r="B151" s="11" t="s">
        <v>48</v>
      </c>
      <c r="C151" s="11" t="s">
        <v>52</v>
      </c>
    </row>
    <row r="152" spans="1:3">
      <c r="A152" s="28">
        <v>45939.028275462966</v>
      </c>
      <c r="B152" s="11" t="s">
        <v>48</v>
      </c>
      <c r="C152" s="11" t="s">
        <v>71</v>
      </c>
    </row>
    <row r="153" spans="1:3">
      <c r="A153" s="28">
        <v>45939.028275462966</v>
      </c>
      <c r="B153" s="11" t="s">
        <v>45</v>
      </c>
      <c r="C153" s="11" t="s">
        <v>72</v>
      </c>
    </row>
    <row r="154" spans="1:3">
      <c r="A154" s="28">
        <v>45939.028275462966</v>
      </c>
      <c r="B154" s="11" t="s">
        <v>48</v>
      </c>
      <c r="C154" s="11" t="s">
        <v>55</v>
      </c>
    </row>
    <row r="155" spans="1:3">
      <c r="A155" s="28">
        <v>45939.028275462966</v>
      </c>
      <c r="B155" s="11" t="s">
        <v>48</v>
      </c>
      <c r="C155" s="11" t="s">
        <v>73</v>
      </c>
    </row>
    <row r="156" spans="1:3">
      <c r="A156" s="28">
        <v>45939.028275462966</v>
      </c>
      <c r="B156" s="11" t="s">
        <v>45</v>
      </c>
      <c r="C156" s="11" t="s">
        <v>74</v>
      </c>
    </row>
    <row r="157" spans="1:3">
      <c r="A157" s="28">
        <v>45939.028275462966</v>
      </c>
      <c r="B157" s="11" t="s">
        <v>48</v>
      </c>
      <c r="C157" s="11" t="s">
        <v>58</v>
      </c>
    </row>
    <row r="158" spans="1:3">
      <c r="A158" s="28">
        <v>45939.028275462966</v>
      </c>
      <c r="B158" s="11" t="s">
        <v>48</v>
      </c>
      <c r="C158" s="11" t="s">
        <v>75</v>
      </c>
    </row>
    <row r="159" spans="1:3">
      <c r="A159" s="28">
        <v>45939.028275462966</v>
      </c>
      <c r="B159" s="11" t="s">
        <v>45</v>
      </c>
      <c r="C159" s="11" t="s">
        <v>76</v>
      </c>
    </row>
    <row r="160" spans="1:3">
      <c r="A160" s="28">
        <v>45939.028275462966</v>
      </c>
      <c r="B160" s="11" t="s">
        <v>48</v>
      </c>
      <c r="C160" s="11" t="s">
        <v>61</v>
      </c>
    </row>
    <row r="161" spans="1:3">
      <c r="A161" s="28">
        <v>45939.028275462966</v>
      </c>
      <c r="B161" s="11" t="s">
        <v>48</v>
      </c>
      <c r="C161" s="11" t="s">
        <v>77</v>
      </c>
    </row>
    <row r="162" spans="1:3">
      <c r="A162" s="28">
        <v>45939.028275462966</v>
      </c>
      <c r="B162" s="11" t="s">
        <v>45</v>
      </c>
      <c r="C162" s="11" t="s">
        <v>78</v>
      </c>
    </row>
    <row r="163" spans="1:3">
      <c r="A163" s="28">
        <v>45939.028275462966</v>
      </c>
      <c r="B163" s="11" t="s">
        <v>45</v>
      </c>
      <c r="C163" s="11" t="s">
        <v>79</v>
      </c>
    </row>
    <row r="164" spans="1:3">
      <c r="A164" s="28">
        <v>45939.099340277775</v>
      </c>
      <c r="B164" s="11" t="s">
        <v>45</v>
      </c>
      <c r="C164" s="11" t="s">
        <v>46</v>
      </c>
    </row>
    <row r="165" spans="1:3">
      <c r="A165" s="28">
        <v>45939.099351851852</v>
      </c>
      <c r="B165" s="11" t="s">
        <v>45</v>
      </c>
      <c r="C165" s="11" t="s">
        <v>47</v>
      </c>
    </row>
    <row r="166" spans="1:3">
      <c r="A166" s="28">
        <v>45939.099351851852</v>
      </c>
      <c r="B166" s="11" t="s">
        <v>48</v>
      </c>
      <c r="C166" s="11" t="s">
        <v>49</v>
      </c>
    </row>
    <row r="167" spans="1:3">
      <c r="A167" s="28">
        <v>45939.099351851852</v>
      </c>
      <c r="B167" s="11" t="s">
        <v>48</v>
      </c>
      <c r="C167" s="11" t="s">
        <v>69</v>
      </c>
    </row>
    <row r="168" spans="1:3">
      <c r="A168" s="28">
        <v>45939.099351851852</v>
      </c>
      <c r="B168" s="11" t="s">
        <v>45</v>
      </c>
      <c r="C168" s="11" t="s">
        <v>70</v>
      </c>
    </row>
    <row r="169" spans="1:3">
      <c r="A169" s="28">
        <v>45939.099351851852</v>
      </c>
      <c r="B169" s="11" t="s">
        <v>48</v>
      </c>
      <c r="C169" s="11" t="s">
        <v>52</v>
      </c>
    </row>
    <row r="170" spans="1:3">
      <c r="A170" s="28">
        <v>45939.099351851852</v>
      </c>
      <c r="B170" s="11" t="s">
        <v>48</v>
      </c>
      <c r="C170" s="11" t="s">
        <v>71</v>
      </c>
    </row>
    <row r="171" spans="1:3">
      <c r="A171" s="28">
        <v>45939.099351851852</v>
      </c>
      <c r="B171" s="11" t="s">
        <v>45</v>
      </c>
      <c r="C171" s="11" t="s">
        <v>72</v>
      </c>
    </row>
    <row r="172" spans="1:3">
      <c r="A172" s="28">
        <v>45939.099351851852</v>
      </c>
      <c r="B172" s="11" t="s">
        <v>48</v>
      </c>
      <c r="C172" s="11" t="s">
        <v>55</v>
      </c>
    </row>
    <row r="173" spans="1:3">
      <c r="A173" s="28">
        <v>45939.099351851852</v>
      </c>
      <c r="B173" s="11" t="s">
        <v>48</v>
      </c>
      <c r="C173" s="11" t="s">
        <v>73</v>
      </c>
    </row>
    <row r="174" spans="1:3">
      <c r="A174" s="28">
        <v>45939.099351851852</v>
      </c>
      <c r="B174" s="11" t="s">
        <v>45</v>
      </c>
      <c r="C174" s="11" t="s">
        <v>74</v>
      </c>
    </row>
    <row r="175" spans="1:3">
      <c r="A175" s="28">
        <v>45939.099351851852</v>
      </c>
      <c r="B175" s="11" t="s">
        <v>48</v>
      </c>
      <c r="C175" s="11" t="s">
        <v>58</v>
      </c>
    </row>
    <row r="176" spans="1:3">
      <c r="A176" s="28">
        <v>45939.099363425928</v>
      </c>
      <c r="B176" s="11" t="s">
        <v>48</v>
      </c>
      <c r="C176" s="11" t="s">
        <v>75</v>
      </c>
    </row>
    <row r="177" spans="1:3">
      <c r="A177" s="28">
        <v>45939.099363425928</v>
      </c>
      <c r="B177" s="11" t="s">
        <v>45</v>
      </c>
      <c r="C177" s="11" t="s">
        <v>76</v>
      </c>
    </row>
    <row r="178" spans="1:3">
      <c r="A178" s="28">
        <v>45939.099363425928</v>
      </c>
      <c r="B178" s="11" t="s">
        <v>48</v>
      </c>
      <c r="C178" s="11" t="s">
        <v>61</v>
      </c>
    </row>
    <row r="179" spans="1:3">
      <c r="A179" s="28">
        <v>45939.099363425928</v>
      </c>
      <c r="B179" s="11" t="s">
        <v>48</v>
      </c>
      <c r="C179" s="11" t="s">
        <v>77</v>
      </c>
    </row>
    <row r="180" spans="1:3">
      <c r="A180" s="28">
        <v>45939.099363425928</v>
      </c>
      <c r="B180" s="11" t="s">
        <v>45</v>
      </c>
      <c r="C180" s="11" t="s">
        <v>78</v>
      </c>
    </row>
    <row r="181" spans="1:3">
      <c r="A181" s="28">
        <v>45939.099363425928</v>
      </c>
      <c r="B181" s="11" t="s">
        <v>45</v>
      </c>
      <c r="C181" s="11" t="s">
        <v>79</v>
      </c>
    </row>
    <row r="182" spans="1:3">
      <c r="A182" s="28">
        <v>45939.099490740744</v>
      </c>
      <c r="B182" s="11" t="s">
        <v>45</v>
      </c>
      <c r="C182" s="11" t="s">
        <v>46</v>
      </c>
    </row>
    <row r="183" spans="1:3">
      <c r="A183" s="28">
        <v>45939.099490740744</v>
      </c>
      <c r="B183" s="11" t="s">
        <v>45</v>
      </c>
      <c r="C183" s="11" t="s">
        <v>47</v>
      </c>
    </row>
    <row r="184" spans="1:3">
      <c r="A184" s="28">
        <v>45939.099490740744</v>
      </c>
      <c r="B184" s="11" t="s">
        <v>48</v>
      </c>
      <c r="C184" s="11" t="s">
        <v>49</v>
      </c>
    </row>
    <row r="185" spans="1:3">
      <c r="A185" s="28">
        <v>45939.099490740744</v>
      </c>
      <c r="B185" s="11" t="s">
        <v>48</v>
      </c>
      <c r="C185" s="11" t="s">
        <v>69</v>
      </c>
    </row>
    <row r="186" spans="1:3">
      <c r="A186" s="28">
        <v>45939.099490740744</v>
      </c>
      <c r="B186" s="11" t="s">
        <v>45</v>
      </c>
      <c r="C186" s="11" t="s">
        <v>70</v>
      </c>
    </row>
    <row r="187" spans="1:3">
      <c r="A187" s="28">
        <v>45939.099490740744</v>
      </c>
      <c r="B187" s="11" t="s">
        <v>48</v>
      </c>
      <c r="C187" s="11" t="s">
        <v>52</v>
      </c>
    </row>
    <row r="188" spans="1:3">
      <c r="A188" s="28">
        <v>45939.099490740744</v>
      </c>
      <c r="B188" s="11" t="s">
        <v>48</v>
      </c>
      <c r="C188" s="11" t="s">
        <v>71</v>
      </c>
    </row>
    <row r="189" spans="1:3">
      <c r="A189" s="28">
        <v>45939.099490740744</v>
      </c>
      <c r="B189" s="11" t="s">
        <v>45</v>
      </c>
      <c r="C189" s="11" t="s">
        <v>72</v>
      </c>
    </row>
    <row r="190" spans="1:3">
      <c r="A190" s="28">
        <v>45939.099490740744</v>
      </c>
      <c r="B190" s="11" t="s">
        <v>48</v>
      </c>
      <c r="C190" s="11" t="s">
        <v>55</v>
      </c>
    </row>
    <row r="191" spans="1:3">
      <c r="A191" s="28">
        <v>45939.099490740744</v>
      </c>
      <c r="B191" s="11" t="s">
        <v>48</v>
      </c>
      <c r="C191" s="11" t="s">
        <v>73</v>
      </c>
    </row>
    <row r="192" spans="1:3">
      <c r="A192" s="28">
        <v>45939.099490740744</v>
      </c>
      <c r="B192" s="11" t="s">
        <v>45</v>
      </c>
      <c r="C192" s="11" t="s">
        <v>74</v>
      </c>
    </row>
    <row r="193" spans="1:3">
      <c r="A193" s="28">
        <v>45939.099490740744</v>
      </c>
      <c r="B193" s="11" t="s">
        <v>48</v>
      </c>
      <c r="C193" s="11" t="s">
        <v>58</v>
      </c>
    </row>
    <row r="194" spans="1:3">
      <c r="A194" s="28">
        <v>45939.099502314813</v>
      </c>
      <c r="B194" s="11" t="s">
        <v>48</v>
      </c>
      <c r="C194" s="11" t="s">
        <v>75</v>
      </c>
    </row>
    <row r="195" spans="1:3">
      <c r="A195" s="28">
        <v>45939.099502314813</v>
      </c>
      <c r="B195" s="11" t="s">
        <v>45</v>
      </c>
      <c r="C195" s="11" t="s">
        <v>76</v>
      </c>
    </row>
    <row r="196" spans="1:3">
      <c r="A196" s="28">
        <v>45939.099502314813</v>
      </c>
      <c r="B196" s="11" t="s">
        <v>48</v>
      </c>
      <c r="C196" s="11" t="s">
        <v>61</v>
      </c>
    </row>
    <row r="197" spans="1:3">
      <c r="A197" s="28">
        <v>45939.099502314813</v>
      </c>
      <c r="B197" s="11" t="s">
        <v>48</v>
      </c>
      <c r="C197" s="11" t="s">
        <v>77</v>
      </c>
    </row>
    <row r="198" spans="1:3">
      <c r="A198" s="28">
        <v>45939.099502314813</v>
      </c>
      <c r="B198" s="11" t="s">
        <v>45</v>
      </c>
      <c r="C198" s="11" t="s">
        <v>78</v>
      </c>
    </row>
    <row r="199" spans="1:3">
      <c r="A199" s="28">
        <v>45939.099502314813</v>
      </c>
      <c r="B199" s="11" t="s">
        <v>45</v>
      </c>
      <c r="C199" s="11" t="s">
        <v>79</v>
      </c>
    </row>
    <row r="200" spans="1:3">
      <c r="A200" s="28">
        <v>45939.102314814816</v>
      </c>
      <c r="B200" s="11" t="s">
        <v>45</v>
      </c>
      <c r="C200" s="11" t="s">
        <v>46</v>
      </c>
    </row>
    <row r="201" spans="1:3">
      <c r="A201" s="28">
        <v>45939.102314814816</v>
      </c>
      <c r="B201" s="11" t="s">
        <v>45</v>
      </c>
      <c r="C201" s="11" t="s">
        <v>47</v>
      </c>
    </row>
    <row r="202" spans="1:3">
      <c r="A202" s="28">
        <v>45939.102314814816</v>
      </c>
      <c r="B202" s="11" t="s">
        <v>48</v>
      </c>
      <c r="C202" s="11" t="s">
        <v>49</v>
      </c>
    </row>
    <row r="203" spans="1:3">
      <c r="A203" s="28">
        <v>45939.102314814816</v>
      </c>
      <c r="B203" s="11" t="s">
        <v>48</v>
      </c>
      <c r="C203" s="11" t="s">
        <v>69</v>
      </c>
    </row>
    <row r="204" spans="1:3">
      <c r="A204" s="28">
        <v>45939.102314814816</v>
      </c>
      <c r="B204" s="11" t="s">
        <v>45</v>
      </c>
      <c r="C204" s="11" t="s">
        <v>70</v>
      </c>
    </row>
    <row r="205" spans="1:3">
      <c r="A205" s="28">
        <v>45939.102314814816</v>
      </c>
      <c r="B205" s="11" t="s">
        <v>48</v>
      </c>
      <c r="C205" s="11" t="s">
        <v>52</v>
      </c>
    </row>
    <row r="206" spans="1:3">
      <c r="A206" s="28">
        <v>45939.102326388886</v>
      </c>
      <c r="B206" s="11" t="s">
        <v>48</v>
      </c>
      <c r="C206" s="11" t="s">
        <v>71</v>
      </c>
    </row>
    <row r="207" spans="1:3">
      <c r="A207" s="28">
        <v>45939.102326388886</v>
      </c>
      <c r="B207" s="11" t="s">
        <v>45</v>
      </c>
      <c r="C207" s="11" t="s">
        <v>72</v>
      </c>
    </row>
    <row r="208" spans="1:3">
      <c r="A208" s="28">
        <v>45939.102326388886</v>
      </c>
      <c r="B208" s="11" t="s">
        <v>48</v>
      </c>
      <c r="C208" s="11" t="s">
        <v>55</v>
      </c>
    </row>
    <row r="209" spans="1:3">
      <c r="A209" s="28">
        <v>45939.102326388886</v>
      </c>
      <c r="B209" s="11" t="s">
        <v>48</v>
      </c>
      <c r="C209" s="11" t="s">
        <v>73</v>
      </c>
    </row>
    <row r="210" spans="1:3">
      <c r="A210" s="28">
        <v>45939.102326388886</v>
      </c>
      <c r="B210" s="11" t="s">
        <v>45</v>
      </c>
      <c r="C210" s="11" t="s">
        <v>74</v>
      </c>
    </row>
    <row r="211" spans="1:3">
      <c r="A211" s="28">
        <v>45939.102326388886</v>
      </c>
      <c r="B211" s="11" t="s">
        <v>48</v>
      </c>
      <c r="C211" s="11" t="s">
        <v>58</v>
      </c>
    </row>
    <row r="212" spans="1:3">
      <c r="A212" s="28">
        <v>45939.102326388886</v>
      </c>
      <c r="B212" s="11" t="s">
        <v>48</v>
      </c>
      <c r="C212" s="11" t="s">
        <v>75</v>
      </c>
    </row>
    <row r="213" spans="1:3">
      <c r="A213" s="28">
        <v>45939.102326388886</v>
      </c>
      <c r="B213" s="11" t="s">
        <v>45</v>
      </c>
      <c r="C213" s="11" t="s">
        <v>76</v>
      </c>
    </row>
    <row r="214" spans="1:3">
      <c r="A214" s="28">
        <v>45939.102326388886</v>
      </c>
      <c r="B214" s="11" t="s">
        <v>48</v>
      </c>
      <c r="C214" s="11" t="s">
        <v>61</v>
      </c>
    </row>
    <row r="215" spans="1:3">
      <c r="A215" s="28">
        <v>45939.102326388886</v>
      </c>
      <c r="B215" s="11" t="s">
        <v>48</v>
      </c>
      <c r="C215" s="11" t="s">
        <v>77</v>
      </c>
    </row>
    <row r="216" spans="1:3">
      <c r="A216" s="28">
        <v>45939.102326388886</v>
      </c>
      <c r="B216" s="11" t="s">
        <v>45</v>
      </c>
      <c r="C216" s="11" t="s">
        <v>78</v>
      </c>
    </row>
    <row r="217" spans="1:3">
      <c r="A217" s="28">
        <v>45939.102326388886</v>
      </c>
      <c r="B217" s="11" t="s">
        <v>45</v>
      </c>
      <c r="C217" s="11" t="s">
        <v>79</v>
      </c>
    </row>
    <row r="218" spans="1:3">
      <c r="A218" s="28">
        <v>45939.798148148147</v>
      </c>
      <c r="B218" s="11" t="s">
        <v>45</v>
      </c>
      <c r="C218" s="11" t="s">
        <v>46</v>
      </c>
    </row>
    <row r="219" spans="1:3">
      <c r="A219" s="28">
        <v>45939.798148148147</v>
      </c>
      <c r="B219" s="11" t="s">
        <v>45</v>
      </c>
      <c r="C219" s="11" t="s">
        <v>47</v>
      </c>
    </row>
    <row r="220" spans="1:3">
      <c r="A220" s="28">
        <v>45939.798148148147</v>
      </c>
      <c r="B220" s="11" t="s">
        <v>48</v>
      </c>
      <c r="C220" s="11" t="s">
        <v>49</v>
      </c>
    </row>
    <row r="221" spans="1:3">
      <c r="A221" s="28">
        <v>45939.798148148147</v>
      </c>
      <c r="B221" s="11" t="s">
        <v>48</v>
      </c>
      <c r="C221" s="11" t="s">
        <v>83</v>
      </c>
    </row>
    <row r="222" spans="1:3">
      <c r="A222" s="28">
        <v>45939.798148148147</v>
      </c>
      <c r="B222" s="11" t="s">
        <v>45</v>
      </c>
      <c r="C222" s="11" t="s">
        <v>84</v>
      </c>
    </row>
    <row r="223" spans="1:3">
      <c r="A223" s="28">
        <v>45939.798148148147</v>
      </c>
      <c r="B223" s="11" t="s">
        <v>48</v>
      </c>
      <c r="C223" s="11" t="s">
        <v>52</v>
      </c>
    </row>
    <row r="224" spans="1:3">
      <c r="A224" s="28">
        <v>45939.798148148147</v>
      </c>
      <c r="B224" s="11" t="s">
        <v>48</v>
      </c>
      <c r="C224" s="11" t="s">
        <v>71</v>
      </c>
    </row>
    <row r="225" spans="1:3">
      <c r="A225" s="28">
        <v>45939.798148148147</v>
      </c>
      <c r="B225" s="11" t="s">
        <v>45</v>
      </c>
      <c r="C225" s="11" t="s">
        <v>72</v>
      </c>
    </row>
    <row r="226" spans="1:3">
      <c r="A226" s="28">
        <v>45939.798148148147</v>
      </c>
      <c r="B226" s="11" t="s">
        <v>48</v>
      </c>
      <c r="C226" s="11" t="s">
        <v>55</v>
      </c>
    </row>
    <row r="227" spans="1:3">
      <c r="A227" s="28">
        <v>45939.798159722224</v>
      </c>
      <c r="B227" s="11" t="s">
        <v>48</v>
      </c>
      <c r="C227" s="11" t="s">
        <v>85</v>
      </c>
    </row>
    <row r="228" spans="1:3">
      <c r="A228" s="28">
        <v>45939.798159722224</v>
      </c>
      <c r="B228" s="11" t="s">
        <v>45</v>
      </c>
      <c r="C228" s="11" t="s">
        <v>74</v>
      </c>
    </row>
    <row r="229" spans="1:3">
      <c r="A229" s="28">
        <v>45939.798159722224</v>
      </c>
      <c r="B229" s="11" t="s">
        <v>48</v>
      </c>
      <c r="C229" s="11" t="s">
        <v>58</v>
      </c>
    </row>
    <row r="230" spans="1:3">
      <c r="A230" s="28">
        <v>45939.798159722224</v>
      </c>
      <c r="B230" s="11" t="s">
        <v>48</v>
      </c>
      <c r="C230" s="11" t="s">
        <v>86</v>
      </c>
    </row>
    <row r="231" spans="1:3">
      <c r="A231" s="28">
        <v>45939.798159722224</v>
      </c>
      <c r="B231" s="11" t="s">
        <v>45</v>
      </c>
      <c r="C231" s="11" t="s">
        <v>87</v>
      </c>
    </row>
    <row r="232" spans="1:3">
      <c r="A232" s="28">
        <v>45939.798159722224</v>
      </c>
      <c r="B232" s="11" t="s">
        <v>48</v>
      </c>
      <c r="C232" s="11" t="s">
        <v>61</v>
      </c>
    </row>
    <row r="233" spans="1:3">
      <c r="A233" s="28">
        <v>45939.798159722224</v>
      </c>
      <c r="B233" s="11" t="s">
        <v>48</v>
      </c>
      <c r="C233" s="11" t="s">
        <v>88</v>
      </c>
    </row>
    <row r="234" spans="1:3">
      <c r="A234" s="28">
        <v>45939.798159722224</v>
      </c>
      <c r="B234" s="11" t="s">
        <v>45</v>
      </c>
      <c r="C234" s="11" t="s">
        <v>78</v>
      </c>
    </row>
    <row r="235" spans="1:3">
      <c r="A235" s="28">
        <v>45939.798159722224</v>
      </c>
      <c r="B235" s="11" t="s">
        <v>45</v>
      </c>
      <c r="C235" s="11" t="s">
        <v>89</v>
      </c>
    </row>
    <row r="236" spans="1:3">
      <c r="A236" s="28">
        <v>45939.802233796298</v>
      </c>
      <c r="B236" s="11" t="s">
        <v>45</v>
      </c>
      <c r="C236" s="11" t="s">
        <v>46</v>
      </c>
    </row>
    <row r="237" spans="1:3">
      <c r="A237" s="28">
        <v>45939.802233796298</v>
      </c>
      <c r="B237" s="11" t="s">
        <v>45</v>
      </c>
      <c r="C237" s="11" t="s">
        <v>47</v>
      </c>
    </row>
    <row r="238" spans="1:3">
      <c r="A238" s="28">
        <v>45939.802233796298</v>
      </c>
      <c r="B238" s="11" t="s">
        <v>48</v>
      </c>
      <c r="C238" s="11" t="s">
        <v>49</v>
      </c>
    </row>
    <row r="239" spans="1:3">
      <c r="A239" s="28">
        <v>45939.802233796298</v>
      </c>
      <c r="B239" s="11" t="s">
        <v>48</v>
      </c>
      <c r="C239" s="11" t="s">
        <v>83</v>
      </c>
    </row>
    <row r="240" spans="1:3">
      <c r="A240" s="28">
        <v>45939.802233796298</v>
      </c>
      <c r="B240" s="11" t="s">
        <v>45</v>
      </c>
      <c r="C240" s="11" t="s">
        <v>84</v>
      </c>
    </row>
    <row r="241" spans="1:3">
      <c r="A241" s="28">
        <v>45939.802233796298</v>
      </c>
      <c r="B241" s="11" t="s">
        <v>48</v>
      </c>
      <c r="C241" s="11" t="s">
        <v>52</v>
      </c>
    </row>
    <row r="242" spans="1:3">
      <c r="A242" s="28">
        <v>45939.802233796298</v>
      </c>
      <c r="B242" s="11" t="s">
        <v>48</v>
      </c>
      <c r="C242" s="11" t="s">
        <v>71</v>
      </c>
    </row>
    <row r="243" spans="1:3">
      <c r="A243" s="28">
        <v>45939.802233796298</v>
      </c>
      <c r="B243" s="11" t="s">
        <v>45</v>
      </c>
      <c r="C243" s="11" t="s">
        <v>72</v>
      </c>
    </row>
    <row r="244" spans="1:3">
      <c r="A244" s="28">
        <v>45939.802233796298</v>
      </c>
      <c r="B244" s="11" t="s">
        <v>48</v>
      </c>
      <c r="C244" s="11" t="s">
        <v>55</v>
      </c>
    </row>
    <row r="245" spans="1:3">
      <c r="A245" s="28">
        <v>45939.802233796298</v>
      </c>
      <c r="B245" s="11" t="s">
        <v>48</v>
      </c>
      <c r="C245" s="11" t="s">
        <v>85</v>
      </c>
    </row>
    <row r="246" spans="1:3">
      <c r="A246" s="28">
        <v>45939.802233796298</v>
      </c>
      <c r="B246" s="11" t="s">
        <v>45</v>
      </c>
      <c r="C246" s="11" t="s">
        <v>74</v>
      </c>
    </row>
    <row r="247" spans="1:3">
      <c r="A247" s="28">
        <v>45939.802233796298</v>
      </c>
      <c r="B247" s="11" t="s">
        <v>48</v>
      </c>
      <c r="C247" s="11" t="s">
        <v>58</v>
      </c>
    </row>
    <row r="248" spans="1:3">
      <c r="A248" s="28">
        <v>45939.802245370367</v>
      </c>
      <c r="B248" s="11" t="s">
        <v>48</v>
      </c>
      <c r="C248" s="11" t="s">
        <v>86</v>
      </c>
    </row>
    <row r="249" spans="1:3">
      <c r="A249" s="28">
        <v>45939.802245370367</v>
      </c>
      <c r="B249" s="11" t="s">
        <v>45</v>
      </c>
      <c r="C249" s="11" t="s">
        <v>87</v>
      </c>
    </row>
    <row r="250" spans="1:3">
      <c r="A250" s="28">
        <v>45939.802245370367</v>
      </c>
      <c r="B250" s="11" t="s">
        <v>48</v>
      </c>
      <c r="C250" s="11" t="s">
        <v>61</v>
      </c>
    </row>
    <row r="251" spans="1:3">
      <c r="A251" s="28">
        <v>45939.802245370367</v>
      </c>
      <c r="B251" s="11" t="s">
        <v>48</v>
      </c>
      <c r="C251" s="11" t="s">
        <v>88</v>
      </c>
    </row>
    <row r="252" spans="1:3">
      <c r="A252" s="28">
        <v>45939.802245370367</v>
      </c>
      <c r="B252" s="11" t="s">
        <v>45</v>
      </c>
      <c r="C252" s="11" t="s">
        <v>78</v>
      </c>
    </row>
    <row r="253" spans="1:3">
      <c r="A253" s="28">
        <v>45939.802245370367</v>
      </c>
      <c r="B253" s="11" t="s">
        <v>45</v>
      </c>
      <c r="C253" s="11" t="s">
        <v>89</v>
      </c>
    </row>
    <row r="254" spans="1:3">
      <c r="A254" s="28">
        <v>45939.840231481481</v>
      </c>
      <c r="B254" s="11" t="s">
        <v>45</v>
      </c>
      <c r="C254" s="11" t="s">
        <v>46</v>
      </c>
    </row>
    <row r="255" spans="1:3">
      <c r="A255" s="28">
        <v>45939.840231481481</v>
      </c>
      <c r="B255" s="11" t="s">
        <v>45</v>
      </c>
      <c r="C255" s="11" t="s">
        <v>47</v>
      </c>
    </row>
    <row r="256" spans="1:3">
      <c r="A256" s="28">
        <v>45939.840231481481</v>
      </c>
      <c r="B256" s="11" t="s">
        <v>48</v>
      </c>
      <c r="C256" s="11" t="s">
        <v>49</v>
      </c>
    </row>
    <row r="257" spans="1:3">
      <c r="A257" s="28">
        <v>45939.840231481481</v>
      </c>
      <c r="B257" s="11" t="s">
        <v>48</v>
      </c>
      <c r="C257" s="11" t="s">
        <v>83</v>
      </c>
    </row>
    <row r="258" spans="1:3">
      <c r="A258" s="28">
        <v>45939.840231481481</v>
      </c>
      <c r="B258" s="11" t="s">
        <v>45</v>
      </c>
      <c r="C258" s="11" t="s">
        <v>84</v>
      </c>
    </row>
    <row r="259" spans="1:3">
      <c r="A259" s="28">
        <v>45939.840231481481</v>
      </c>
      <c r="B259" s="11" t="s">
        <v>48</v>
      </c>
      <c r="C259" s="11" t="s">
        <v>52</v>
      </c>
    </row>
    <row r="260" spans="1:3">
      <c r="A260" s="28">
        <v>45939.840231481481</v>
      </c>
      <c r="B260" s="11" t="s">
        <v>48</v>
      </c>
      <c r="C260" s="11" t="s">
        <v>91</v>
      </c>
    </row>
    <row r="261" spans="1:3">
      <c r="A261" s="28">
        <v>45939.840231481481</v>
      </c>
      <c r="B261" s="11" t="s">
        <v>45</v>
      </c>
      <c r="C261" s="11" t="s">
        <v>54</v>
      </c>
    </row>
    <row r="262" spans="1:3">
      <c r="A262" s="28">
        <v>45939.840231481481</v>
      </c>
      <c r="B262" s="11" t="s">
        <v>48</v>
      </c>
      <c r="C262" s="11" t="s">
        <v>55</v>
      </c>
    </row>
    <row r="263" spans="1:3">
      <c r="A263" s="28">
        <v>45939.840231481481</v>
      </c>
      <c r="B263" s="11" t="s">
        <v>48</v>
      </c>
      <c r="C263" s="11" t="s">
        <v>85</v>
      </c>
    </row>
    <row r="264" spans="1:3">
      <c r="A264" s="28">
        <v>45939.840231481481</v>
      </c>
      <c r="B264" s="11" t="s">
        <v>45</v>
      </c>
      <c r="C264" s="11" t="s">
        <v>74</v>
      </c>
    </row>
    <row r="265" spans="1:3">
      <c r="A265" s="28">
        <v>45939.840231481481</v>
      </c>
      <c r="B265" s="11" t="s">
        <v>48</v>
      </c>
      <c r="C265" s="11" t="s">
        <v>58</v>
      </c>
    </row>
    <row r="266" spans="1:3">
      <c r="A266" s="28">
        <v>45939.840231481481</v>
      </c>
      <c r="B266" s="11" t="s">
        <v>48</v>
      </c>
      <c r="C266" s="11" t="s">
        <v>86</v>
      </c>
    </row>
    <row r="267" spans="1:3">
      <c r="A267" s="28">
        <v>45939.840231481481</v>
      </c>
      <c r="B267" s="11" t="s">
        <v>45</v>
      </c>
      <c r="C267" s="11" t="s">
        <v>87</v>
      </c>
    </row>
    <row r="268" spans="1:3">
      <c r="A268" s="28">
        <v>45939.840231481481</v>
      </c>
      <c r="B268" s="11" t="s">
        <v>48</v>
      </c>
      <c r="C268" s="11" t="s">
        <v>61</v>
      </c>
    </row>
    <row r="269" spans="1:3">
      <c r="A269" s="28">
        <v>45939.840231481481</v>
      </c>
      <c r="B269" s="11" t="s">
        <v>48</v>
      </c>
      <c r="C269" s="11" t="s">
        <v>88</v>
      </c>
    </row>
    <row r="270" spans="1:3">
      <c r="A270" s="28">
        <v>45939.840231481481</v>
      </c>
      <c r="B270" s="11" t="s">
        <v>45</v>
      </c>
      <c r="C270" s="11" t="s">
        <v>78</v>
      </c>
    </row>
    <row r="271" spans="1:3">
      <c r="A271" s="28">
        <v>45939.840231481481</v>
      </c>
      <c r="B271" s="11" t="s">
        <v>45</v>
      </c>
      <c r="C271" s="11" t="s">
        <v>92</v>
      </c>
    </row>
    <row r="272" spans="1:3">
      <c r="A272" s="28">
        <v>45939.840254629627</v>
      </c>
      <c r="B272" s="11" t="s">
        <v>45</v>
      </c>
      <c r="C272" s="11" t="s">
        <v>46</v>
      </c>
    </row>
    <row r="273" spans="1:3">
      <c r="A273" s="28">
        <v>45939.840254629627</v>
      </c>
      <c r="B273" s="11" t="s">
        <v>45</v>
      </c>
      <c r="C273" s="11" t="s">
        <v>93</v>
      </c>
    </row>
    <row r="274" spans="1:3">
      <c r="A274" s="28">
        <v>45939.840254629627</v>
      </c>
      <c r="B274" s="11" t="s">
        <v>48</v>
      </c>
      <c r="C274" s="11" t="s">
        <v>49</v>
      </c>
    </row>
    <row r="275" spans="1:3">
      <c r="A275" s="28">
        <v>45939.840266203704</v>
      </c>
      <c r="B275" s="11" t="s">
        <v>48</v>
      </c>
      <c r="C275" s="11" t="s">
        <v>83</v>
      </c>
    </row>
    <row r="276" spans="1:3">
      <c r="A276" s="28">
        <v>45939.840266203704</v>
      </c>
      <c r="B276" s="11" t="s">
        <v>45</v>
      </c>
      <c r="C276" s="11" t="s">
        <v>84</v>
      </c>
    </row>
    <row r="277" spans="1:3">
      <c r="A277" s="28">
        <v>45939.840266203704</v>
      </c>
      <c r="B277" s="11" t="s">
        <v>48</v>
      </c>
      <c r="C277" s="11" t="s">
        <v>55</v>
      </c>
    </row>
    <row r="278" spans="1:3">
      <c r="A278" s="28">
        <v>45939.840266203704</v>
      </c>
      <c r="B278" s="11" t="s">
        <v>48</v>
      </c>
      <c r="C278" s="11" t="s">
        <v>85</v>
      </c>
    </row>
    <row r="279" spans="1:3">
      <c r="A279" s="28">
        <v>45939.840266203704</v>
      </c>
      <c r="B279" s="11" t="s">
        <v>45</v>
      </c>
      <c r="C279" s="11" t="s">
        <v>74</v>
      </c>
    </row>
    <row r="280" spans="1:3">
      <c r="A280" s="28">
        <v>45939.840266203704</v>
      </c>
      <c r="B280" s="11" t="s">
        <v>48</v>
      </c>
      <c r="C280" s="11" t="s">
        <v>58</v>
      </c>
    </row>
    <row r="281" spans="1:3">
      <c r="A281" s="28">
        <v>45939.840266203704</v>
      </c>
      <c r="B281" s="11" t="s">
        <v>48</v>
      </c>
      <c r="C281" s="11" t="s">
        <v>86</v>
      </c>
    </row>
    <row r="282" spans="1:3">
      <c r="A282" s="28">
        <v>45939.840266203704</v>
      </c>
      <c r="B282" s="11" t="s">
        <v>45</v>
      </c>
      <c r="C282" s="11" t="s">
        <v>87</v>
      </c>
    </row>
    <row r="283" spans="1:3">
      <c r="A283" s="28">
        <v>45939.840266203704</v>
      </c>
      <c r="B283" s="11" t="s">
        <v>48</v>
      </c>
      <c r="C283" s="11" t="s">
        <v>61</v>
      </c>
    </row>
    <row r="284" spans="1:3">
      <c r="A284" s="28">
        <v>45939.840266203704</v>
      </c>
      <c r="B284" s="11" t="s">
        <v>48</v>
      </c>
      <c r="C284" s="11" t="s">
        <v>88</v>
      </c>
    </row>
    <row r="285" spans="1:3">
      <c r="A285" s="28">
        <v>45939.840266203704</v>
      </c>
      <c r="B285" s="11" t="s">
        <v>45</v>
      </c>
      <c r="C285" s="11" t="s">
        <v>78</v>
      </c>
    </row>
    <row r="286" spans="1:3">
      <c r="A286" s="28">
        <v>45939.840266203704</v>
      </c>
      <c r="B286" s="11" t="s">
        <v>45</v>
      </c>
      <c r="C286" s="11" t="s">
        <v>94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Dorian Beurthe</cp:lastModifiedBy>
  <dcterms:created xsi:type="dcterms:W3CDTF">2025-09-22T13:12:55Z</dcterms:created>
  <dcterms:modified xsi:type="dcterms:W3CDTF">2025-10-09T18:11:30Z</dcterms:modified>
</cp:coreProperties>
</file>