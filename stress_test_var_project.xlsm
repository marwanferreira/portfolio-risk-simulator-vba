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35546E40-1E8A-C548-B712-EA6D7231013F}" xr6:coauthVersionLast="47" xr6:coauthVersionMax="47" xr10:uidLastSave="{00000000-0000-0000-0000-000000000000}"/>
  <bookViews>
    <workbookView xWindow="0" yWindow="0" windowWidth="28800" windowHeight="18000" activeTab="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Risk_Results" sheetId="7" r:id="rId5"/>
    <sheet name="Charts" sheetId="5" r:id="rId6"/>
    <sheet name="DEV_LOG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3" i="2"/>
  <c r="D3" i="6"/>
  <c r="D2" i="6"/>
  <c r="C2" i="6"/>
</calcChain>
</file>

<file path=xl/sharedStrings.xml><?xml version="1.0" encoding="utf-8"?>
<sst xmlns="http://schemas.openxmlformats.org/spreadsheetml/2006/main" count="55" uniqueCount="29">
  <si>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</si>
  <si>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</si>
  <si>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</si>
  <si>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</si>
  <si>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</si>
  <si>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</si>
  <si>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</si>
  <si>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</si>
  <si>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</si>
  <si>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</si>
  <si>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</si>
  <si>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</si>
  <si>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</si>
  <si>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</si>
  <si>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</si>
  <si>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</si>
  <si>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</si>
  <si>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</si>
  <si>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</si>
  <si>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</si>
  <si>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</si>
  <si>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Date</t>
  </si>
  <si>
    <t>VaR (95%)</t>
  </si>
  <si>
    <t>Expected Shortfall (95%)</t>
  </si>
  <si>
    <t>PnL Impact (€)</t>
  </si>
  <si>
    <t>PnL Impact (%)</t>
  </si>
  <si>
    <t>12,5</t>
  </si>
  <si>
    <t>15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</si>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</sst>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%"/>
    <numFmt numFmtId="165" formatCode="#,##0.00\ [$€-407]"/>
  </numFmts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" fillId="0" borderId="1" xfId="0" applyFont="1" applyFill="1" applyBorder="1" applyAlignment="1">
      <alignment horizontal="center"/>
    </xf>
    <xf numFmtId="0" fontId="0" fillId="0" borderId="1" xfId="0" applyFill="1" applyBorder="1"/>
    <xf numFmtId="165" fontId="0" fillId="0" borderId="1" xfId="0" applyNumberFormat="1" applyFill="1" applyBorder="1"/>
    <xf numFmtId="164" fontId="0" fillId="0" borderId="1" xfId="0" applyNumberFormat="1" applyFill="1" applyBorder="1"/>
    <xf numFmtId="165" fontId="1" fillId="0" borderId="0" xfId="0" applyNumberFormat="1" applyFont="1"/>
    <xf numFmtId="49" fontId="0" fillId="0" borderId="1" xfId="0" applyNumberFormat="1" applyFill="1" applyBorder="1"/>
  </cellXfs>
  <cellStyles count="1"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D20" sqref="D20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14</v>
      </c>
      <c r="C3">
        <v>15000</v>
      </c>
      <c r="D3">
        <f>0.6</f>
        <v>0.6</v>
      </c>
      <c r="E3">
        <v>25</v>
      </c>
    </row>
    <row r="4" spans="1:6" x14ac:dyDescent="0.2">
      <c r="A4" t="s">
        <v>9</v>
      </c>
      <c r="B4" t="s">
        <v>10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F101"/>
  <sheetViews>
    <sheetView workbookViewId="0">
      <selection activeCell="H14" sqref="H14"/>
    </sheetView>
  </sheetViews>
  <sheetFormatPr baseColWidth="10" defaultColWidth="10.83203125" defaultRowHeight="16" x14ac:dyDescent="0.2"/>
  <cols>
    <col min="1" max="1" width="10.6640625" customWidth="1"/>
    <col min="5" max="5" width="13.1640625" customWidth="1"/>
  </cols>
  <sheetData>
    <row r="1" spans="1:6" s="5" customFormat="1" x14ac:dyDescent="0.2">
      <c r="A1" s="5" t="s">
        <v>21</v>
      </c>
      <c r="B1" s="5" t="s">
        <v>7</v>
      </c>
      <c r="C1" s="5" t="s">
        <v>14</v>
      </c>
      <c r="D1" s="5" t="s">
        <v>17</v>
      </c>
      <c r="E1" s="5" t="s">
        <v>16</v>
      </c>
      <c r="F1" s="5" t="s">
        <v>10</v>
      </c>
    </row>
    <row r="2" spans="1:6" x14ac:dyDescent="0.2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  <c r="F2">
        <v>-4.0000000000000001E-3</v>
      </c>
    </row>
    <row r="3" spans="1:6" x14ac:dyDescent="0.2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  <c r="F3">
        <f xml:space="preserve"> -8 * (D3 - D2)</f>
        <v>-1.5999999999999999E-3</v>
      </c>
    </row>
    <row r="4" spans="1:6" x14ac:dyDescent="0.2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  <c r="F4">
        <f t="shared" ref="F4:F67" si="0" xml:space="preserve"> -8 * (D4 - D3)</f>
        <v>-7.1999999999999998E-3</v>
      </c>
    </row>
    <row r="5" spans="1:6" x14ac:dyDescent="0.2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  <c r="F5">
        <f t="shared" si="0"/>
        <v>-7.9999999999999993E-4</v>
      </c>
    </row>
    <row r="6" spans="1:6" x14ac:dyDescent="0.2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  <c r="F6">
        <f t="shared" si="0"/>
        <v>1.04E-2</v>
      </c>
    </row>
    <row r="7" spans="1:6" x14ac:dyDescent="0.2">
      <c r="A7" s="6">
        <v>45835</v>
      </c>
      <c r="B7">
        <v>2.9999999999999997E-4</v>
      </c>
      <c r="C7">
        <v>1.4E-3</v>
      </c>
      <c r="D7">
        <v>0</v>
      </c>
      <c r="E7">
        <v>-1E-3</v>
      </c>
      <c r="F7">
        <f t="shared" si="0"/>
        <v>-6.4000000000000003E-3</v>
      </c>
    </row>
    <row r="8" spans="1:6" x14ac:dyDescent="0.2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  <c r="F8">
        <f t="shared" si="0"/>
        <v>-1.6000000000000001E-3</v>
      </c>
    </row>
    <row r="9" spans="1:6" x14ac:dyDescent="0.2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  <c r="F9">
        <f t="shared" si="0"/>
        <v>-7.9999999999999971E-4</v>
      </c>
    </row>
    <row r="10" spans="1:6" x14ac:dyDescent="0.2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  <c r="F10">
        <f t="shared" si="0"/>
        <v>7.1999999999999998E-3</v>
      </c>
    </row>
    <row r="11" spans="1:6" x14ac:dyDescent="0.2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  <c r="F11">
        <f t="shared" si="0"/>
        <v>8.0000000000000036E-4</v>
      </c>
    </row>
    <row r="12" spans="1:6" x14ac:dyDescent="0.2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  <c r="F12">
        <f t="shared" si="0"/>
        <v>0</v>
      </c>
    </row>
    <row r="13" spans="1:6" x14ac:dyDescent="0.2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  <c r="F13">
        <f t="shared" si="0"/>
        <v>-8.0000000000000036E-4</v>
      </c>
    </row>
    <row r="14" spans="1:6" x14ac:dyDescent="0.2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  <c r="F14">
        <f t="shared" si="0"/>
        <v>-2.3999999999999998E-3</v>
      </c>
    </row>
    <row r="15" spans="1:6" x14ac:dyDescent="0.2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  <c r="F15">
        <f t="shared" si="0"/>
        <v>2.3999999999999998E-3</v>
      </c>
    </row>
    <row r="16" spans="1:6" x14ac:dyDescent="0.2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  <c r="F16">
        <f t="shared" si="0"/>
        <v>-1.2799999999999999E-2</v>
      </c>
    </row>
    <row r="17" spans="1:6" x14ac:dyDescent="0.2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  <c r="F17">
        <f t="shared" si="0"/>
        <v>1.44E-2</v>
      </c>
    </row>
    <row r="18" spans="1:6" x14ac:dyDescent="0.2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  <c r="F18">
        <f t="shared" si="0"/>
        <v>-4.8000000000000004E-3</v>
      </c>
    </row>
    <row r="19" spans="1:6" x14ac:dyDescent="0.2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  <c r="F19">
        <f t="shared" si="0"/>
        <v>-4.8000000000000004E-3</v>
      </c>
    </row>
    <row r="20" spans="1:6" x14ac:dyDescent="0.2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  <c r="F20">
        <f t="shared" si="0"/>
        <v>1.04E-2</v>
      </c>
    </row>
    <row r="21" spans="1:6" x14ac:dyDescent="0.2">
      <c r="A21" s="6">
        <v>45849</v>
      </c>
      <c r="B21">
        <v>-2.3E-3</v>
      </c>
      <c r="C21">
        <v>1E-4</v>
      </c>
      <c r="D21">
        <v>1E-3</v>
      </c>
      <c r="E21">
        <v>1.1000000000000001E-3</v>
      </c>
      <c r="F21">
        <f t="shared" si="0"/>
        <v>-1.52E-2</v>
      </c>
    </row>
    <row r="22" spans="1:6" x14ac:dyDescent="0.2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  <c r="F22">
        <f t="shared" si="0"/>
        <v>2.4000000000000002E-3</v>
      </c>
    </row>
    <row r="23" spans="1:6" x14ac:dyDescent="0.2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  <c r="F23">
        <f t="shared" si="0"/>
        <v>7.1999999999999998E-3</v>
      </c>
    </row>
    <row r="24" spans="1:6" x14ac:dyDescent="0.2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  <c r="F24">
        <f t="shared" si="0"/>
        <v>-8.0000000000000002E-3</v>
      </c>
    </row>
    <row r="25" spans="1:6" x14ac:dyDescent="0.2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  <c r="F25">
        <f t="shared" si="0"/>
        <v>3.2000000000000002E-3</v>
      </c>
    </row>
    <row r="26" spans="1:6" x14ac:dyDescent="0.2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  <c r="F26">
        <f t="shared" si="0"/>
        <v>1.12E-2</v>
      </c>
    </row>
    <row r="27" spans="1:6" x14ac:dyDescent="0.2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  <c r="F27">
        <f t="shared" si="0"/>
        <v>-3.2000000000000006E-3</v>
      </c>
    </row>
    <row r="28" spans="1:6" x14ac:dyDescent="0.2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  <c r="F28">
        <f t="shared" si="0"/>
        <v>-3.1999999999999997E-3</v>
      </c>
    </row>
    <row r="29" spans="1:6" x14ac:dyDescent="0.2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  <c r="F29">
        <f t="shared" si="0"/>
        <v>7.9999999999999971E-4</v>
      </c>
    </row>
    <row r="30" spans="1:6" x14ac:dyDescent="0.2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  <c r="F30">
        <f t="shared" si="0"/>
        <v>-4.0000000000000001E-3</v>
      </c>
    </row>
    <row r="31" spans="1:6" x14ac:dyDescent="0.2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  <c r="F31">
        <f t="shared" si="0"/>
        <v>-4.8000000000000004E-3</v>
      </c>
    </row>
    <row r="32" spans="1:6" x14ac:dyDescent="0.2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  <c r="F32">
        <f t="shared" si="0"/>
        <v>8.0000000000000036E-4</v>
      </c>
    </row>
    <row r="33" spans="1:6" x14ac:dyDescent="0.2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  <c r="F33">
        <f t="shared" si="0"/>
        <v>6.4000000000000003E-3</v>
      </c>
    </row>
    <row r="34" spans="1:6" x14ac:dyDescent="0.2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  <c r="F34">
        <f t="shared" si="0"/>
        <v>8.0000000000000004E-4</v>
      </c>
    </row>
    <row r="35" spans="1:6" x14ac:dyDescent="0.2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  <c r="F35">
        <f t="shared" si="0"/>
        <v>2.4000000000000002E-3</v>
      </c>
    </row>
    <row r="36" spans="1:6" x14ac:dyDescent="0.2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  <c r="F36">
        <f t="shared" si="0"/>
        <v>-4.8000000000000004E-3</v>
      </c>
    </row>
    <row r="37" spans="1:6" x14ac:dyDescent="0.2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  <c r="F37">
        <f t="shared" si="0"/>
        <v>-5.5999999999999999E-3</v>
      </c>
    </row>
    <row r="38" spans="1:6" x14ac:dyDescent="0.2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  <c r="F38">
        <f t="shared" si="0"/>
        <v>2.4000000000000002E-3</v>
      </c>
    </row>
    <row r="39" spans="1:6" x14ac:dyDescent="0.2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  <c r="F39">
        <f t="shared" si="0"/>
        <v>6.3999999999999994E-3</v>
      </c>
    </row>
    <row r="40" spans="1:6" x14ac:dyDescent="0.2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  <c r="F40">
        <f t="shared" si="0"/>
        <v>3.2000000000000002E-3</v>
      </c>
    </row>
    <row r="41" spans="1:6" x14ac:dyDescent="0.2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  <c r="F41">
        <f t="shared" si="0"/>
        <v>0</v>
      </c>
    </row>
    <row r="42" spans="1:6" x14ac:dyDescent="0.2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  <c r="F42">
        <f t="shared" si="0"/>
        <v>-1.2E-2</v>
      </c>
    </row>
    <row r="43" spans="1:6" x14ac:dyDescent="0.2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  <c r="F43">
        <f t="shared" si="0"/>
        <v>-7.999999999999995E-4</v>
      </c>
    </row>
    <row r="44" spans="1:6" x14ac:dyDescent="0.2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  <c r="F44">
        <f t="shared" si="0"/>
        <v>1.2799999999999999E-2</v>
      </c>
    </row>
    <row r="45" spans="1:6" x14ac:dyDescent="0.2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  <c r="F45">
        <f t="shared" si="0"/>
        <v>-1.5999999999999999E-3</v>
      </c>
    </row>
    <row r="46" spans="1:6" x14ac:dyDescent="0.2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  <c r="F46">
        <f t="shared" si="0"/>
        <v>-1.2E-2</v>
      </c>
    </row>
    <row r="47" spans="1:6" x14ac:dyDescent="0.2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  <c r="F47">
        <f t="shared" si="0"/>
        <v>5.6000000000000008E-3</v>
      </c>
    </row>
    <row r="48" spans="1:6" x14ac:dyDescent="0.2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  <c r="F48">
        <f t="shared" si="0"/>
        <v>-8.0000000000000036E-4</v>
      </c>
    </row>
    <row r="49" spans="1:6" x14ac:dyDescent="0.2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  <c r="F49">
        <f t="shared" si="0"/>
        <v>-1.5999999999999994E-3</v>
      </c>
    </row>
    <row r="50" spans="1:6" x14ac:dyDescent="0.2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  <c r="F50">
        <f t="shared" si="0"/>
        <v>0</v>
      </c>
    </row>
    <row r="51" spans="1:6" x14ac:dyDescent="0.2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  <c r="F51">
        <f t="shared" si="0"/>
        <v>-1.6000000000000007E-3</v>
      </c>
    </row>
    <row r="52" spans="1:6" x14ac:dyDescent="0.2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  <c r="F52">
        <f t="shared" si="0"/>
        <v>4.8000000000000004E-3</v>
      </c>
    </row>
    <row r="53" spans="1:6" x14ac:dyDescent="0.2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  <c r="F53">
        <f t="shared" si="0"/>
        <v>0</v>
      </c>
    </row>
    <row r="54" spans="1:6" x14ac:dyDescent="0.2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  <c r="F54">
        <f t="shared" si="0"/>
        <v>-2.4000000000000002E-3</v>
      </c>
    </row>
    <row r="55" spans="1:6" x14ac:dyDescent="0.2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  <c r="F55">
        <f t="shared" si="0"/>
        <v>1.12E-2</v>
      </c>
    </row>
    <row r="56" spans="1:6" x14ac:dyDescent="0.2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  <c r="F56">
        <f t="shared" si="0"/>
        <v>-1.12E-2</v>
      </c>
    </row>
    <row r="57" spans="1:6" x14ac:dyDescent="0.2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  <c r="F57">
        <f t="shared" si="0"/>
        <v>7.9999999999999993E-4</v>
      </c>
    </row>
    <row r="58" spans="1:6" x14ac:dyDescent="0.2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  <c r="F58">
        <f t="shared" si="0"/>
        <v>-1.5999999999999994E-3</v>
      </c>
    </row>
    <row r="59" spans="1:6" x14ac:dyDescent="0.2">
      <c r="A59" s="6">
        <v>45887</v>
      </c>
      <c r="B59">
        <v>2.8999999999999998E-3</v>
      </c>
      <c r="C59">
        <v>3.3E-3</v>
      </c>
      <c r="D59">
        <v>1E-4</v>
      </c>
      <c r="E59">
        <v>2E-3</v>
      </c>
      <c r="F59">
        <f t="shared" si="0"/>
        <v>3.9999999999999992E-3</v>
      </c>
    </row>
    <row r="60" spans="1:6" x14ac:dyDescent="0.2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  <c r="F60">
        <f t="shared" si="0"/>
        <v>1.6000000000000001E-3</v>
      </c>
    </row>
    <row r="61" spans="1:6" x14ac:dyDescent="0.2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  <c r="F61">
        <f t="shared" si="0"/>
        <v>1.5999999999999999E-3</v>
      </c>
    </row>
    <row r="62" spans="1:6" x14ac:dyDescent="0.2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  <c r="F62">
        <f t="shared" si="0"/>
        <v>2.3999999999999998E-3</v>
      </c>
    </row>
    <row r="63" spans="1:6" x14ac:dyDescent="0.2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  <c r="F63">
        <f t="shared" si="0"/>
        <v>-1.5999999999999994E-3</v>
      </c>
    </row>
    <row r="64" spans="1:6" x14ac:dyDescent="0.2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  <c r="F64">
        <f t="shared" si="0"/>
        <v>-7.1999999999999998E-3</v>
      </c>
    </row>
    <row r="65" spans="1:6" x14ac:dyDescent="0.2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  <c r="F65">
        <f t="shared" si="0"/>
        <v>-7.999999999999995E-4</v>
      </c>
    </row>
    <row r="66" spans="1:6" x14ac:dyDescent="0.2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  <c r="F66">
        <f t="shared" si="0"/>
        <v>7.999999999999995E-4</v>
      </c>
    </row>
    <row r="67" spans="1:6" x14ac:dyDescent="0.2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  <c r="F67">
        <f t="shared" si="0"/>
        <v>4.0000000000000001E-3</v>
      </c>
    </row>
    <row r="68" spans="1:6" x14ac:dyDescent="0.2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  <c r="F68">
        <f t="shared" ref="F68:F101" si="1" xml:space="preserve"> -8 * (D68 - D67)</f>
        <v>6.4000000000000003E-3</v>
      </c>
    </row>
    <row r="69" spans="1:6" x14ac:dyDescent="0.2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  <c r="F69">
        <f t="shared" si="1"/>
        <v>-2.4000000000000002E-3</v>
      </c>
    </row>
    <row r="70" spans="1:6" x14ac:dyDescent="0.2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  <c r="F70">
        <f t="shared" si="1"/>
        <v>-6.3999999999999994E-3</v>
      </c>
    </row>
    <row r="71" spans="1:6" x14ac:dyDescent="0.2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  <c r="F71">
        <f t="shared" si="1"/>
        <v>-1.6000000000000003E-3</v>
      </c>
    </row>
    <row r="72" spans="1:6" x14ac:dyDescent="0.2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  <c r="F72">
        <f t="shared" si="1"/>
        <v>1.2E-2</v>
      </c>
    </row>
    <row r="73" spans="1:6" x14ac:dyDescent="0.2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  <c r="F73">
        <f t="shared" si="1"/>
        <v>-8.0000000000000036E-4</v>
      </c>
    </row>
    <row r="74" spans="1:6" x14ac:dyDescent="0.2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  <c r="F74">
        <f t="shared" si="1"/>
        <v>-7.1999999999999998E-3</v>
      </c>
    </row>
    <row r="75" spans="1:6" x14ac:dyDescent="0.2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  <c r="F75">
        <f t="shared" si="1"/>
        <v>4.7999999999999996E-3</v>
      </c>
    </row>
    <row r="76" spans="1:6" x14ac:dyDescent="0.2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  <c r="F76">
        <f t="shared" si="1"/>
        <v>2.4000000000000002E-3</v>
      </c>
    </row>
    <row r="77" spans="1:6" x14ac:dyDescent="0.2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  <c r="F77">
        <f t="shared" si="1"/>
        <v>-8.8000000000000005E-3</v>
      </c>
    </row>
    <row r="78" spans="1:6" x14ac:dyDescent="0.2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  <c r="F78">
        <f t="shared" si="1"/>
        <v>-2.4000000000000002E-3</v>
      </c>
    </row>
    <row r="79" spans="1:6" x14ac:dyDescent="0.2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  <c r="F79">
        <f t="shared" si="1"/>
        <v>6.3999999999999994E-3</v>
      </c>
    </row>
    <row r="80" spans="1:6" x14ac:dyDescent="0.2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  <c r="F80">
        <f t="shared" si="1"/>
        <v>2.3999999999999998E-3</v>
      </c>
    </row>
    <row r="81" spans="1:6" x14ac:dyDescent="0.2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  <c r="F81">
        <f t="shared" si="1"/>
        <v>1.6000000000000007E-3</v>
      </c>
    </row>
    <row r="82" spans="1:6" x14ac:dyDescent="0.2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  <c r="F82">
        <f t="shared" si="1"/>
        <v>1.5999999999999999E-3</v>
      </c>
    </row>
    <row r="83" spans="1:6" x14ac:dyDescent="0.2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  <c r="F83">
        <f t="shared" si="1"/>
        <v>-8.0000000000000036E-4</v>
      </c>
    </row>
    <row r="84" spans="1:6" x14ac:dyDescent="0.2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  <c r="F84">
        <f t="shared" si="1"/>
        <v>-1.3600000000000001E-2</v>
      </c>
    </row>
    <row r="85" spans="1:6" x14ac:dyDescent="0.2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  <c r="F85">
        <f t="shared" si="1"/>
        <v>8.0000000000000036E-4</v>
      </c>
    </row>
    <row r="86" spans="1:6" x14ac:dyDescent="0.2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  <c r="F86">
        <f t="shared" si="1"/>
        <v>4.0000000000000001E-3</v>
      </c>
    </row>
    <row r="87" spans="1:6" x14ac:dyDescent="0.2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  <c r="F87">
        <f t="shared" si="1"/>
        <v>3.2000000000000002E-3</v>
      </c>
    </row>
    <row r="88" spans="1:6" x14ac:dyDescent="0.2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  <c r="F88">
        <f t="shared" si="1"/>
        <v>-6.3999999999999994E-3</v>
      </c>
    </row>
    <row r="89" spans="1:6" x14ac:dyDescent="0.2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  <c r="F89">
        <f t="shared" si="1"/>
        <v>2.3999999999999998E-3</v>
      </c>
    </row>
    <row r="90" spans="1:6" x14ac:dyDescent="0.2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  <c r="F90">
        <f t="shared" si="1"/>
        <v>8.8000000000000005E-3</v>
      </c>
    </row>
    <row r="91" spans="1:6" x14ac:dyDescent="0.2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  <c r="F91">
        <f t="shared" si="1"/>
        <v>-1.12E-2</v>
      </c>
    </row>
    <row r="92" spans="1:6" x14ac:dyDescent="0.2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  <c r="F92">
        <f t="shared" si="1"/>
        <v>-1.6000000000000007E-3</v>
      </c>
    </row>
    <row r="93" spans="1:6" x14ac:dyDescent="0.2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  <c r="F93">
        <f t="shared" si="1"/>
        <v>-1.5999999999999999E-3</v>
      </c>
    </row>
    <row r="94" spans="1:6" x14ac:dyDescent="0.2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  <c r="F94">
        <f t="shared" si="1"/>
        <v>0</v>
      </c>
    </row>
    <row r="95" spans="1:6" x14ac:dyDescent="0.2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  <c r="F95">
        <f t="shared" si="1"/>
        <v>4.0000000000000001E-3</v>
      </c>
    </row>
    <row r="96" spans="1:6" x14ac:dyDescent="0.2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  <c r="F96">
        <f t="shared" si="1"/>
        <v>3.2000000000000002E-3</v>
      </c>
    </row>
    <row r="97" spans="1:6" x14ac:dyDescent="0.2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  <c r="F97">
        <f t="shared" si="1"/>
        <v>-3.2000000000000002E-3</v>
      </c>
    </row>
    <row r="98" spans="1:6" x14ac:dyDescent="0.2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  <c r="F98">
        <f t="shared" si="1"/>
        <v>3.2000000000000002E-3</v>
      </c>
    </row>
    <row r="99" spans="1:6" x14ac:dyDescent="0.2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  <c r="F99">
        <f t="shared" si="1"/>
        <v>2.4000000000000002E-3</v>
      </c>
    </row>
    <row r="100" spans="1:6" x14ac:dyDescent="0.2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  <c r="F100">
        <f t="shared" si="1"/>
        <v>6.4000000000000003E-3</v>
      </c>
    </row>
    <row r="101" spans="1:6" x14ac:dyDescent="0.2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  <c r="F101">
        <f t="shared" si="1"/>
        <v>-9.6000000000000009E-3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6"/>
  <sheetViews>
    <sheetView workbookViewId="0">
      <selection activeCell="A6" sqref="A6:D6"/>
    </sheetView>
  </sheetViews>
  <sheetFormatPr baseColWidth="10" defaultColWidth="10.83203125" defaultRowHeight="16" x14ac:dyDescent="0.2"/>
  <cols>
    <col min="1" max="2" width="10.83203125" style="1"/>
    <col min="3" max="3" width="21.5" style="1" customWidth="1"/>
    <col min="4" max="4" width="20.83203125" style="1" customWidth="1"/>
    <col min="5" max="16384" width="10.83203125" style="1"/>
  </cols>
  <sheetData>
    <row r="1" spans="1:4" x14ac:dyDescent="0.2">
      <c r="A1" s="3" t="s">
        <v>1</v>
      </c>
      <c r="B1" s="3" t="s">
        <v>11</v>
      </c>
      <c r="C1" s="3" t="s">
        <v>12</v>
      </c>
      <c r="D1" s="3" t="s">
        <v>13</v>
      </c>
    </row>
    <row r="2" spans="1:4" x14ac:dyDescent="0.2">
      <c r="A2" s="1" t="s">
        <v>7</v>
      </c>
      <c r="B2" s="1">
        <v>12.5</v>
      </c>
    </row>
    <row r="3" spans="1:4" x14ac:dyDescent="0.2">
      <c r="A3" s="1" t="s">
        <v>14</v>
      </c>
      <c r="B3" s="1">
        <v>15</v>
      </c>
      <c r="C3" s="1" t="s">
        <v>15</v>
      </c>
      <c r="D3" s="2">
        <v>45929.626423611109</v>
      </c>
    </row>
    <row r="4" spans="1:4" x14ac:dyDescent="0.2">
      <c r="A4" s="1" t="s">
        <v>16</v>
      </c>
      <c r="B4" s="1">
        <v>8.98</v>
      </c>
      <c r="C4" s="1" t="s">
        <v>15</v>
      </c>
      <c r="D4" s="2">
        <v>45929.629166666666</v>
      </c>
    </row>
    <row r="5" spans="1:4" x14ac:dyDescent="0.2">
      <c r="A5" s="1" t="s">
        <v>17</v>
      </c>
      <c r="B5" s="1">
        <v>12</v>
      </c>
      <c r="C5" s="1" t="s">
        <v>18</v>
      </c>
      <c r="D5" s="2">
        <v>45929.636111111111</v>
      </c>
    </row>
    <row r="6" spans="1:4" x14ac:dyDescent="0.2">
      <c r="A6" s="1" t="s">
        <v>10</v>
      </c>
      <c r="B6" s="1">
        <v>100</v>
      </c>
      <c r="C6" s="1" t="s">
        <v>18</v>
      </c>
      <c r="D6" s="2">
        <v>45929.890868055554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H4"/>
  <sheetViews>
    <sheetView workbookViewId="0">
      <selection activeCell="G12" sqref="G12"/>
    </sheetView>
  </sheetViews>
  <sheetFormatPr baseColWidth="10" defaultColWidth="10.83203125" defaultRowHeight="16" x14ac:dyDescent="0.2"/>
  <cols>
    <col min="1" max="1" width="13" bestFit="1" customWidth="1"/>
    <col min="2" max="2" width="10" bestFit="1" customWidth="1"/>
    <col min="3" max="3" width="12.6640625" bestFit="1" customWidth="1"/>
    <col min="4" max="4" width="13" bestFit="1" customWidth="1"/>
    <col min="5" max="5" width="13.6640625" bestFit="1" customWidth="1"/>
    <col min="6" max="6" width="9.6640625" bestFit="1" customWidth="1"/>
    <col min="7" max="7" width="21.5" bestFit="1" customWidth="1"/>
    <col min="8" max="8" width="2.1640625" bestFit="1" customWidth="1"/>
  </cols>
  <sheetData>
    <row r="1" spans="1:8" s="4" customFormat="1" x14ac:dyDescent="0.2">
      <c r="A1" s="8" t="s">
        <v>19</v>
      </c>
      <c r="B1" s="8" t="s">
        <v>1</v>
      </c>
      <c r="C1" s="8" t="s">
        <v>20</v>
      </c>
      <c r="D1" s="8" t="s">
        <v>24</v>
      </c>
      <c r="E1" s="8" t="s">
        <v>25</v>
      </c>
      <c r="H1" s="12"/>
    </row>
    <row r="2" spans="1:8" x14ac:dyDescent="0.2">
      <c r="A2" s="9" t="s">
        <v>6</v>
      </c>
      <c r="B2" s="9" t="s">
        <v>7</v>
      </c>
      <c r="C2" s="13" t="s">
        <v>26</v>
      </c>
      <c r="D2" s="10">
        <v>3125</v>
      </c>
      <c r="E2" s="11">
        <v>12.5</v>
      </c>
      <c r="G2" s="4"/>
      <c r="H2" s="7"/>
    </row>
    <row r="3" spans="1:8" x14ac:dyDescent="0.2">
      <c r="A3" s="9" t="s">
        <v>8</v>
      </c>
      <c r="B3" s="9" t="s">
        <v>14</v>
      </c>
      <c r="C3" s="13" t="s">
        <v>27</v>
      </c>
      <c r="D3" s="10">
        <v>2250</v>
      </c>
      <c r="E3" s="11">
        <v>15</v>
      </c>
      <c r="G3" s="4"/>
      <c r="H3" s="7"/>
    </row>
    <row r="4" spans="1:8" x14ac:dyDescent="0.2">
      <c r="A4" s="9" t="s">
        <v>9</v>
      </c>
      <c r="B4" s="9" t="s">
        <v>10</v>
      </c>
      <c r="C4" s="13" t="s">
        <v>28</v>
      </c>
      <c r="D4" s="10">
        <v>-800</v>
      </c>
      <c r="E4" s="11">
        <v>-8</v>
      </c>
    </row>
  </sheetData>
  <conditionalFormatting sqref="D2:D4">
    <cfRule type="cellIs" dxfId="1" priority="1" stopIfTrue="1" operator="lessThan">
      <formula>0</formula>
    </cfRule>
    <cfRule type="cellIs" dxfId="0" priority="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3BAD3-57CB-5A42-9299-109FB1AFBCD1}">
  <sheetPr codeName="Sheet7"/>
  <dimension ref="A1:D4"/>
  <sheetViews>
    <sheetView tabSelected="1" zoomScale="90" workbookViewId="0"/>
  </sheetViews>
  <sheetFormatPr baseColWidth="10" defaultRowHeight="16" x14ac:dyDescent="0.2"/>
  <cols>
    <col min="1" max="1" width="13" bestFit="1" customWidth="1"/>
    <col min="2" max="2" width="10" bestFit="1" customWidth="1"/>
    <col min="3" max="3" width="9.6640625" bestFit="1" customWidth="1"/>
    <col min="4" max="4" width="21.5" bestFit="1" customWidth="1"/>
  </cols>
  <sheetData>
    <row r="1" spans="1:4" x14ac:dyDescent="0.2">
      <c r="A1" s="4" t="s">
        <v>19</v>
      </c>
      <c r="B1" s="4" t="s">
        <v>1</v>
      </c>
      <c r="C1" s="4" t="s">
        <v>22</v>
      </c>
      <c r="D1" s="4" t="s">
        <v>23</v>
      </c>
    </row>
    <row r="2" spans="1:4" x14ac:dyDescent="0.2">
      <c r="A2" t="s">
        <v>6</v>
      </c>
      <c r="B2" t="s">
        <v>7</v>
      </c>
      <c r="C2">
        <v>-67.5</v>
      </c>
      <c r="D2">
        <v>-70.5</v>
      </c>
    </row>
    <row r="3" spans="1:4" x14ac:dyDescent="0.2">
      <c r="A3" t="s">
        <v>8</v>
      </c>
      <c r="B3" t="s">
        <v>14</v>
      </c>
      <c r="C3">
        <v>-73.5</v>
      </c>
      <c r="D3">
        <v>-74.400000000000006</v>
      </c>
    </row>
    <row r="4" spans="1:4" x14ac:dyDescent="0.2">
      <c r="A4" t="s">
        <v>9</v>
      </c>
      <c r="B4" t="s">
        <v>10</v>
      </c>
      <c r="C4">
        <v>-120</v>
      </c>
      <c r="D4">
        <v>-131.19999999999999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Portfolio</vt:lpstr>
      <vt:lpstr>Market_Data</vt:lpstr>
      <vt:lpstr>Scenarios</vt:lpstr>
      <vt:lpstr>VaR_ES_Output</vt:lpstr>
      <vt:lpstr>Risk_Results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2025-09-29T19:57:10Z</dcterms:modified>
</cp:coreProperties>
</file>