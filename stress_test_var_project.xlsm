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7347FB51-5B14-8E4F-82A6-8EBD1F6D8A2A}" xr6:coauthVersionLast="47" xr6:coauthVersionMax="47" xr10:uidLastSave="{00000000-0000-0000-0000-000000000000}"/>
  <bookViews>
    <workbookView xWindow="0" yWindow="500" windowWidth="25680" windowHeight="1330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H2" i="8" a="1"/>
  <c r="J2" i="8" a="1"/>
  <c r="R2" i="8" a="1"/>
  <c r="F2" i="8" a="1"/>
  <c r="F16" i="2" l="1"/>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Q249" i="8" s="1"/>
  <c r="CQ248" i="8" s="1"/>
  <c r="CQ247" i="8" s="1"/>
  <c r="CQ245" i="8" s="1"/>
  <c r="CQ244" i="8" s="1"/>
  <c r="CQ240" i="8" s="1"/>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O68" i="8" s="1"/>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C14" i="8" l="1"/>
  <c r="C26" i="8"/>
  <c r="C44" i="8"/>
  <c r="C62" i="8"/>
  <c r="C80" i="8"/>
  <c r="C92" i="8"/>
  <c r="C110" i="8"/>
  <c r="C128" i="8"/>
  <c r="C146" i="8"/>
  <c r="C164" i="8"/>
  <c r="C182" i="8"/>
  <c r="C194" i="8"/>
  <c r="C212" i="8"/>
  <c r="C248"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CI165" i="8"/>
  <c r="E7" i="8"/>
  <c r="E19" i="8"/>
  <c r="E31" i="8"/>
  <c r="E43" i="8"/>
  <c r="E55" i="8"/>
  <c r="E67" i="8"/>
  <c r="E79" i="8"/>
  <c r="E91" i="8"/>
  <c r="E103" i="8"/>
  <c r="E115" i="8"/>
  <c r="E127" i="8"/>
  <c r="E139" i="8"/>
  <c r="E151" i="8"/>
  <c r="E163" i="8"/>
  <c r="E175" i="8"/>
  <c r="E187" i="8"/>
  <c r="E199" i="8"/>
  <c r="E211" i="8"/>
  <c r="E223" i="8"/>
  <c r="E235" i="8"/>
  <c r="E247" i="8"/>
  <c r="G10" i="8"/>
  <c r="G22" i="8"/>
  <c r="G34" i="8"/>
  <c r="G46" i="8"/>
  <c r="G58" i="8"/>
  <c r="G70" i="8"/>
  <c r="G82" i="8"/>
  <c r="G94" i="8"/>
  <c r="G106" i="8"/>
  <c r="G118" i="8"/>
  <c r="G130" i="8"/>
  <c r="G142" i="8"/>
  <c r="G154" i="8"/>
  <c r="G166" i="8"/>
  <c r="G178" i="8"/>
  <c r="G190" i="8"/>
  <c r="G202" i="8"/>
  <c r="G214" i="8"/>
  <c r="G226" i="8"/>
  <c r="G238" i="8"/>
  <c r="G250" i="8"/>
  <c r="I13" i="8"/>
  <c r="I25" i="8"/>
  <c r="I37" i="8"/>
  <c r="I49" i="8"/>
  <c r="I61" i="8"/>
  <c r="I73" i="8"/>
  <c r="I85" i="8"/>
  <c r="I97" i="8"/>
  <c r="I109" i="8"/>
  <c r="I121" i="8"/>
  <c r="I133" i="8"/>
  <c r="I145" i="8"/>
  <c r="I157" i="8"/>
  <c r="I169" i="8"/>
  <c r="I181" i="8"/>
  <c r="I193" i="8"/>
  <c r="I205" i="8"/>
  <c r="I217" i="8"/>
  <c r="I229" i="8"/>
  <c r="I241" i="8"/>
  <c r="K4" i="8"/>
  <c r="K16" i="8"/>
  <c r="K28" i="8"/>
  <c r="K40" i="8"/>
  <c r="K52" i="8"/>
  <c r="K64" i="8"/>
  <c r="K76" i="8"/>
  <c r="K88" i="8"/>
  <c r="K100" i="8"/>
  <c r="K112" i="8"/>
  <c r="K124" i="8"/>
  <c r="K136" i="8"/>
  <c r="K148" i="8"/>
  <c r="K160" i="8"/>
  <c r="K172" i="8"/>
  <c r="K184" i="8"/>
  <c r="K196" i="8"/>
  <c r="K208" i="8"/>
  <c r="K220" i="8"/>
  <c r="K232" i="8"/>
  <c r="K244"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C8" i="8"/>
  <c r="C32" i="8"/>
  <c r="C56" i="8"/>
  <c r="C74" i="8"/>
  <c r="C98" i="8"/>
  <c r="C116" i="8"/>
  <c r="C134" i="8"/>
  <c r="C152" i="8"/>
  <c r="C170" i="8"/>
  <c r="C188" i="8"/>
  <c r="C206" i="8"/>
  <c r="C218" i="8"/>
  <c r="C230" i="8"/>
  <c r="C24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72" i="8"/>
  <c r="AY84" i="8"/>
  <c r="AY108" i="8"/>
  <c r="AY120" i="8"/>
  <c r="AY132" i="8"/>
  <c r="AY144" i="8"/>
  <c r="AY156" i="8"/>
  <c r="AY168" i="8"/>
  <c r="AY180" i="8"/>
  <c r="AY192" i="8"/>
  <c r="AY204" i="8"/>
  <c r="AY216" i="8"/>
  <c r="AY228" i="8"/>
  <c r="AY240" i="8"/>
  <c r="BA14" i="8"/>
  <c r="BA26" i="8"/>
  <c r="BA38" i="8"/>
  <c r="BA50" i="8"/>
  <c r="BA62" i="8"/>
  <c r="BA74" i="8"/>
  <c r="AY60" i="8"/>
  <c r="AY96" i="8"/>
  <c r="E11" i="8"/>
  <c r="E23" i="8"/>
  <c r="E35" i="8"/>
  <c r="E47" i="8"/>
  <c r="E59" i="8"/>
  <c r="E71" i="8"/>
  <c r="E83" i="8"/>
  <c r="E95" i="8"/>
  <c r="E107" i="8"/>
  <c r="E119" i="8"/>
  <c r="E131" i="8"/>
  <c r="E143" i="8"/>
  <c r="E155" i="8"/>
  <c r="E167" i="8"/>
  <c r="E179" i="8"/>
  <c r="E191" i="8"/>
  <c r="E203" i="8"/>
  <c r="E215" i="8"/>
  <c r="E227" i="8"/>
  <c r="E239" i="8"/>
  <c r="E251" i="8"/>
  <c r="G14" i="8"/>
  <c r="G26" i="8"/>
  <c r="G38" i="8"/>
  <c r="G50" i="8"/>
  <c r="G62" i="8"/>
  <c r="G74" i="8"/>
  <c r="G86" i="8"/>
  <c r="G98" i="8"/>
  <c r="G110" i="8"/>
  <c r="G122" i="8"/>
  <c r="G134" i="8"/>
  <c r="G146" i="8"/>
  <c r="G158" i="8"/>
  <c r="G170" i="8"/>
  <c r="G182" i="8"/>
  <c r="G194" i="8"/>
  <c r="G206" i="8"/>
  <c r="G218" i="8"/>
  <c r="G230" i="8"/>
  <c r="G242" i="8"/>
  <c r="I5" i="8"/>
  <c r="I17" i="8"/>
  <c r="I29" i="8"/>
  <c r="I41" i="8"/>
  <c r="I53" i="8"/>
  <c r="I65" i="8"/>
  <c r="I77" i="8"/>
  <c r="I89" i="8"/>
  <c r="I101" i="8"/>
  <c r="I113" i="8"/>
  <c r="I125" i="8"/>
  <c r="I137" i="8"/>
  <c r="I149" i="8"/>
  <c r="I161" i="8"/>
  <c r="I173" i="8"/>
  <c r="C20" i="8"/>
  <c r="C38" i="8"/>
  <c r="C50" i="8"/>
  <c r="C68" i="8"/>
  <c r="C86" i="8"/>
  <c r="C104" i="8"/>
  <c r="C122" i="8"/>
  <c r="C140" i="8"/>
  <c r="C158" i="8"/>
  <c r="C176" i="8"/>
  <c r="C200" i="8"/>
  <c r="C236" i="8"/>
  <c r="C224"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5" i="8"/>
  <c r="BC27" i="8"/>
  <c r="BC39" i="8"/>
  <c r="BC51" i="8"/>
  <c r="BC63" i="8"/>
  <c r="BC75" i="8"/>
  <c r="BC87" i="8"/>
  <c r="BC99" i="8"/>
  <c r="BC111" i="8"/>
  <c r="BC123" i="8"/>
  <c r="BC135" i="8"/>
  <c r="BC147" i="8"/>
  <c r="BC159" i="8"/>
  <c r="BC171" i="8"/>
  <c r="BC183" i="8"/>
  <c r="BC195" i="8"/>
  <c r="BC207" i="8"/>
  <c r="BC219" i="8"/>
  <c r="BC231" i="8"/>
  <c r="BC243" i="8"/>
  <c r="BE6" i="8"/>
  <c r="BE18" i="8"/>
  <c r="BE30" i="8"/>
  <c r="BE42" i="8"/>
  <c r="BE54" i="8"/>
  <c r="BE66" i="8"/>
  <c r="BE78" i="8"/>
  <c r="BE90" i="8"/>
  <c r="BE102" i="8"/>
  <c r="BE114" i="8"/>
  <c r="BE126" i="8"/>
  <c r="BE138" i="8"/>
  <c r="BE150" i="8"/>
  <c r="BE162" i="8"/>
  <c r="BE174" i="8"/>
  <c r="BE186" i="8"/>
  <c r="BE198" i="8"/>
  <c r="BE210" i="8"/>
  <c r="BE222" i="8"/>
  <c r="BE234" i="8"/>
  <c r="BE246" i="8"/>
  <c r="BG9" i="8"/>
  <c r="BG21" i="8"/>
  <c r="BG33" i="8"/>
  <c r="BG45" i="8"/>
  <c r="BG57" i="8"/>
  <c r="BG69" i="8"/>
  <c r="BG81" i="8"/>
  <c r="BG93" i="8"/>
  <c r="BG105" i="8"/>
  <c r="BG117" i="8"/>
  <c r="BG129" i="8"/>
  <c r="BG141" i="8"/>
  <c r="BG153" i="8"/>
  <c r="BG165" i="8"/>
  <c r="BG177" i="8"/>
  <c r="BA86" i="8"/>
  <c r="BA98" i="8"/>
  <c r="BA110" i="8"/>
  <c r="BA122" i="8"/>
  <c r="BA134" i="8"/>
  <c r="BA146" i="8"/>
  <c r="BA158" i="8"/>
  <c r="BA170" i="8"/>
  <c r="BA182" i="8"/>
  <c r="BA194" i="8"/>
  <c r="BA206" i="8"/>
  <c r="BA218" i="8"/>
  <c r="BA230" i="8"/>
  <c r="BA242" i="8"/>
  <c r="BC5" i="8"/>
  <c r="BC17" i="8"/>
  <c r="BC29" i="8"/>
  <c r="BC41" i="8"/>
  <c r="BC53" i="8"/>
  <c r="BC65" i="8"/>
  <c r="BC77" i="8"/>
  <c r="BC89" i="8"/>
  <c r="BC101" i="8"/>
  <c r="BC113" i="8"/>
  <c r="BC125" i="8"/>
  <c r="BC137" i="8"/>
  <c r="BC149"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5" i="8"/>
  <c r="BK17" i="8"/>
  <c r="BK29" i="8"/>
  <c r="BK41" i="8"/>
  <c r="BK53" i="8"/>
  <c r="BK65" i="8"/>
  <c r="BK77" i="8"/>
  <c r="BK89" i="8"/>
  <c r="BK101" i="8"/>
  <c r="BK113" i="8"/>
  <c r="BK125" i="8"/>
  <c r="BK137" i="8"/>
  <c r="BK149" i="8"/>
  <c r="BK161" i="8"/>
  <c r="BK173" i="8"/>
  <c r="BK185" i="8"/>
  <c r="BK197" i="8"/>
  <c r="BK209" i="8"/>
  <c r="BK221" i="8"/>
  <c r="BK233" i="8"/>
  <c r="BK245" i="8"/>
  <c r="BM8" i="8"/>
  <c r="BM20" i="8"/>
  <c r="BM32" i="8"/>
  <c r="BM44" i="8"/>
  <c r="BM56" i="8"/>
  <c r="BM68" i="8"/>
  <c r="BM80" i="8"/>
  <c r="BM92" i="8"/>
  <c r="BM104" i="8"/>
  <c r="BM116" i="8"/>
  <c r="BM128" i="8"/>
  <c r="BM140" i="8"/>
  <c r="BM152" i="8"/>
  <c r="BM164" i="8"/>
  <c r="BM176" i="8"/>
  <c r="BM188" i="8"/>
  <c r="BM200" i="8"/>
  <c r="BM212" i="8"/>
  <c r="BM224" i="8"/>
  <c r="BM236" i="8"/>
  <c r="BM248" i="8"/>
  <c r="BO11" i="8"/>
  <c r="BO23" i="8"/>
  <c r="BO35" i="8"/>
  <c r="BO47" i="8"/>
  <c r="BO59" i="8"/>
  <c r="BO71" i="8"/>
  <c r="BO83" i="8"/>
  <c r="BO95" i="8"/>
  <c r="BO107" i="8"/>
  <c r="BO119" i="8"/>
  <c r="BO131" i="8"/>
  <c r="BO143" i="8"/>
  <c r="BO155" i="8"/>
  <c r="BO167" i="8"/>
  <c r="BO179" i="8"/>
  <c r="BO191" i="8"/>
  <c r="BO203" i="8"/>
  <c r="BO215" i="8"/>
  <c r="BO227" i="8"/>
  <c r="BO239" i="8"/>
  <c r="BO251" i="8"/>
  <c r="BQ14" i="8"/>
  <c r="BQ26" i="8"/>
  <c r="BQ38" i="8"/>
  <c r="BQ50" i="8"/>
  <c r="BQ62" i="8"/>
  <c r="BQ74" i="8"/>
  <c r="BQ86" i="8"/>
  <c r="BQ98" i="8"/>
  <c r="BQ110" i="8"/>
  <c r="BQ122" i="8"/>
  <c r="I185" i="8"/>
  <c r="I197" i="8"/>
  <c r="I209" i="8"/>
  <c r="I221" i="8"/>
  <c r="I233" i="8"/>
  <c r="I245" i="8"/>
  <c r="K8" i="8"/>
  <c r="K20" i="8"/>
  <c r="K32" i="8"/>
  <c r="K44" i="8"/>
  <c r="K56" i="8"/>
  <c r="K68" i="8"/>
  <c r="K80" i="8"/>
  <c r="K92" i="8"/>
  <c r="K104" i="8"/>
  <c r="K116" i="8"/>
  <c r="K128" i="8"/>
  <c r="K140" i="8"/>
  <c r="K152" i="8"/>
  <c r="K164" i="8"/>
  <c r="K176" i="8"/>
  <c r="K188" i="8"/>
  <c r="K200" i="8"/>
  <c r="K212" i="8"/>
  <c r="K224" i="8"/>
  <c r="K236" i="8"/>
  <c r="K248" i="8"/>
  <c r="M11" i="8"/>
  <c r="M23" i="8"/>
  <c r="M35" i="8"/>
  <c r="M47" i="8"/>
  <c r="M59" i="8"/>
  <c r="M71" i="8"/>
  <c r="M83" i="8"/>
  <c r="M95" i="8"/>
  <c r="M107" i="8"/>
  <c r="M119" i="8"/>
  <c r="M131" i="8"/>
  <c r="M143" i="8"/>
  <c r="M155" i="8"/>
  <c r="M167" i="8"/>
  <c r="M179" i="8"/>
  <c r="M191" i="8"/>
  <c r="M203" i="8"/>
  <c r="M215" i="8"/>
  <c r="M227" i="8"/>
  <c r="M239" i="8"/>
  <c r="M251" i="8"/>
  <c r="O13" i="8"/>
  <c r="O25" i="8"/>
  <c r="O37" i="8"/>
  <c r="O49" i="8"/>
  <c r="O61" i="8"/>
  <c r="O73" i="8"/>
  <c r="O85" i="8"/>
  <c r="O97" i="8"/>
  <c r="O109" i="8"/>
  <c r="O121" i="8"/>
  <c r="O133" i="8"/>
  <c r="O145" i="8"/>
  <c r="O157" i="8"/>
  <c r="O169" i="8"/>
  <c r="O181" i="8"/>
  <c r="O193" i="8"/>
  <c r="O205" i="8"/>
  <c r="O217" i="8"/>
  <c r="O229" i="8"/>
  <c r="O241" i="8"/>
  <c r="Q15" i="8"/>
  <c r="Q27" i="8"/>
  <c r="Q39" i="8"/>
  <c r="Q51" i="8"/>
  <c r="Q63" i="8"/>
  <c r="Q75" i="8"/>
  <c r="Q87" i="8"/>
  <c r="Q99" i="8"/>
  <c r="Q111" i="8"/>
  <c r="Q123" i="8"/>
  <c r="Q135" i="8"/>
  <c r="Q147" i="8"/>
  <c r="Q159" i="8"/>
  <c r="Q171" i="8"/>
  <c r="Q183" i="8"/>
  <c r="Q195" i="8"/>
  <c r="Q207" i="8"/>
  <c r="Q219" i="8"/>
  <c r="Q231" i="8"/>
  <c r="Q243" i="8"/>
  <c r="S5" i="8"/>
  <c r="S17" i="8"/>
  <c r="S29" i="8"/>
  <c r="S41" i="8"/>
  <c r="S53" i="8"/>
  <c r="S65" i="8"/>
  <c r="S77" i="8"/>
  <c r="S89" i="8"/>
  <c r="S101" i="8"/>
  <c r="S113" i="8"/>
  <c r="S125" i="8"/>
  <c r="S137" i="8"/>
  <c r="S149" i="8"/>
  <c r="S161" i="8"/>
  <c r="S173" i="8"/>
  <c r="S185" i="8"/>
  <c r="S197" i="8"/>
  <c r="S209" i="8"/>
  <c r="S221" i="8"/>
  <c r="S233" i="8"/>
  <c r="S245" i="8"/>
  <c r="U7" i="8"/>
  <c r="U19" i="8"/>
  <c r="U31" i="8"/>
  <c r="U43" i="8"/>
  <c r="U55" i="8"/>
  <c r="U67" i="8"/>
  <c r="U79" i="8"/>
  <c r="U91" i="8"/>
  <c r="U103" i="8"/>
  <c r="U115" i="8"/>
  <c r="U127" i="8"/>
  <c r="U139" i="8"/>
  <c r="U151" i="8"/>
  <c r="U163" i="8"/>
  <c r="U175" i="8"/>
  <c r="U187" i="8"/>
  <c r="U199" i="8"/>
  <c r="U211" i="8"/>
  <c r="U223" i="8"/>
  <c r="U235" i="8"/>
  <c r="U247" i="8"/>
  <c r="W9" i="8"/>
  <c r="W21" i="8"/>
  <c r="W33" i="8"/>
  <c r="W45" i="8"/>
  <c r="BM109"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G189" i="8"/>
  <c r="BG201" i="8"/>
  <c r="BG213" i="8"/>
  <c r="BG225" i="8"/>
  <c r="BG237" i="8"/>
  <c r="BG249" i="8"/>
  <c r="BI12" i="8"/>
  <c r="BI24" i="8"/>
  <c r="BI36"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30" i="8"/>
  <c r="BM42" i="8"/>
  <c r="BM54" i="8"/>
  <c r="BM66" i="8"/>
  <c r="BM78" i="8"/>
  <c r="BM90" i="8"/>
  <c r="BM102" i="8"/>
  <c r="BM114" i="8"/>
  <c r="BM126" i="8"/>
  <c r="BM138" i="8"/>
  <c r="BM150" i="8"/>
  <c r="BM162" i="8"/>
  <c r="BM174" i="8"/>
  <c r="BM186" i="8"/>
  <c r="BM198"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60" i="8"/>
  <c r="BQ72" i="8"/>
  <c r="BQ84" i="8"/>
  <c r="BQ96"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 i="8"/>
  <c r="BU18" i="8"/>
  <c r="BU30" i="8"/>
  <c r="BU42" i="8"/>
  <c r="BU54" i="8"/>
  <c r="BU66" i="8"/>
  <c r="BU78" i="8"/>
  <c r="BU90" i="8"/>
  <c r="BU102" i="8"/>
  <c r="BU114" i="8"/>
  <c r="BU126" i="8"/>
  <c r="BU138" i="8"/>
  <c r="BU150" i="8"/>
  <c r="BU162" i="8"/>
  <c r="BU174" i="8"/>
  <c r="BU186" i="8"/>
  <c r="BU198" i="8"/>
  <c r="BU210" i="8"/>
  <c r="BU222" i="8"/>
  <c r="BU234" i="8"/>
  <c r="BU246" i="8"/>
  <c r="BW9" i="8"/>
  <c r="BW21" i="8"/>
  <c r="BW33" i="8"/>
  <c r="BW45" i="8"/>
  <c r="BW57" i="8"/>
  <c r="BW69" i="8"/>
  <c r="BW81" i="8"/>
  <c r="BW93" i="8"/>
  <c r="BW105" i="8"/>
  <c r="BW117" i="8"/>
  <c r="BW129" i="8"/>
  <c r="BW141" i="8"/>
  <c r="BW153" i="8"/>
  <c r="BW165" i="8"/>
  <c r="BW177" i="8"/>
  <c r="BW189" i="8"/>
  <c r="BW201" i="8"/>
  <c r="BW213" i="8"/>
  <c r="BW225" i="8"/>
  <c r="BW237" i="8"/>
  <c r="BW249" i="8"/>
  <c r="BQ134" i="8"/>
  <c r="BQ146" i="8"/>
  <c r="BQ158" i="8"/>
  <c r="BQ170" i="8"/>
  <c r="BQ182" i="8"/>
  <c r="BQ194" i="8"/>
  <c r="BQ206" i="8"/>
  <c r="BQ218" i="8"/>
  <c r="BQ230" i="8"/>
  <c r="BQ242" i="8"/>
  <c r="BS5" i="8"/>
  <c r="BS17" i="8"/>
  <c r="BS29" i="8"/>
  <c r="BS41" i="8"/>
  <c r="BS53" i="8"/>
  <c r="BS65" i="8"/>
  <c r="BS77" i="8"/>
  <c r="BS89" i="8"/>
  <c r="BS101" i="8"/>
  <c r="BS113" i="8"/>
  <c r="BS125" i="8"/>
  <c r="BS137" i="8"/>
  <c r="BS149" i="8"/>
  <c r="BS161" i="8"/>
  <c r="BS173" i="8"/>
  <c r="BS185" i="8"/>
  <c r="BS197" i="8"/>
  <c r="BS209" i="8"/>
  <c r="BS221" i="8"/>
  <c r="BS233" i="8"/>
  <c r="BS245" i="8"/>
  <c r="BU8" i="8"/>
  <c r="BU20" i="8"/>
  <c r="BU32" i="8"/>
  <c r="BU44" i="8"/>
  <c r="BU56" i="8"/>
  <c r="BU68" i="8"/>
  <c r="BU80" i="8"/>
  <c r="BU92" i="8"/>
  <c r="BU104" i="8"/>
  <c r="BU116" i="8"/>
  <c r="BU128" i="8"/>
  <c r="BU140" i="8"/>
  <c r="BU152" i="8"/>
  <c r="BU164" i="8"/>
  <c r="BU176" i="8"/>
  <c r="BU188" i="8"/>
  <c r="BU200" i="8"/>
  <c r="BU212" i="8"/>
  <c r="BU224" i="8"/>
  <c r="BU236" i="8"/>
  <c r="BU248" i="8"/>
  <c r="W57" i="8"/>
  <c r="W69" i="8"/>
  <c r="W81" i="8"/>
  <c r="W93" i="8"/>
  <c r="W105" i="8"/>
  <c r="W117" i="8"/>
  <c r="W129" i="8"/>
  <c r="W141" i="8"/>
  <c r="W153" i="8"/>
  <c r="W165" i="8"/>
  <c r="W177" i="8"/>
  <c r="W189" i="8"/>
  <c r="W201" i="8"/>
  <c r="W213" i="8"/>
  <c r="W225" i="8"/>
  <c r="W237" i="8"/>
  <c r="W249" i="8"/>
  <c r="Y11" i="8"/>
  <c r="Y23" i="8"/>
  <c r="Y35" i="8"/>
  <c r="Y47" i="8"/>
  <c r="Y59" i="8"/>
  <c r="Y71" i="8"/>
  <c r="Y83" i="8"/>
  <c r="Y95" i="8"/>
  <c r="Y107" i="8"/>
  <c r="Y119" i="8"/>
  <c r="Y131" i="8"/>
  <c r="Y143" i="8"/>
  <c r="Y155" i="8"/>
  <c r="Y167"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21"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E138" i="8"/>
  <c r="CE150" i="8"/>
  <c r="CE162" i="8"/>
  <c r="CE174" i="8"/>
  <c r="CE186" i="8"/>
  <c r="CE198" i="8"/>
  <c r="CE210" i="8"/>
  <c r="CE222" i="8"/>
  <c r="CE234" i="8"/>
  <c r="CE246" i="8"/>
  <c r="CG9" i="8"/>
  <c r="CG21" i="8"/>
  <c r="CG33" i="8"/>
  <c r="CG45" i="8"/>
  <c r="CG57" i="8"/>
  <c r="CG69" i="8"/>
  <c r="CG81" i="8"/>
  <c r="CG93" i="8"/>
  <c r="BW11" i="8"/>
  <c r="BW23" i="8"/>
  <c r="BW35" i="8"/>
  <c r="BW47" i="8"/>
  <c r="BW59" i="8"/>
  <c r="BW71" i="8"/>
  <c r="BW83" i="8"/>
  <c r="BW95" i="8"/>
  <c r="BW107" i="8"/>
  <c r="BW119" i="8"/>
  <c r="BW131" i="8"/>
  <c r="BW143" i="8"/>
  <c r="BW155" i="8"/>
  <c r="BW167" i="8"/>
  <c r="BW179" i="8"/>
  <c r="BW191" i="8"/>
  <c r="BW203" i="8"/>
  <c r="BW215" i="8"/>
  <c r="BW227" i="8"/>
  <c r="BW239" i="8"/>
  <c r="BW251"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BU73"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Y179"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CE212" i="8"/>
  <c r="CE224" i="8"/>
  <c r="CE236" i="8"/>
  <c r="CE248" i="8"/>
  <c r="CG11" i="8"/>
  <c r="CG23" i="8"/>
  <c r="CG35" i="8"/>
  <c r="CG47" i="8"/>
  <c r="CG59" i="8"/>
  <c r="CG71" i="8"/>
  <c r="CG83" i="8"/>
  <c r="CG95" i="8"/>
  <c r="CG107" i="8"/>
  <c r="CG119" i="8"/>
  <c r="CG131" i="8"/>
  <c r="CG143" i="8"/>
  <c r="CG155" i="8"/>
  <c r="CG167" i="8"/>
  <c r="CG179" i="8"/>
  <c r="CG191" i="8"/>
  <c r="CG203" i="8"/>
  <c r="CG215" i="8"/>
  <c r="CG227" i="8"/>
  <c r="CK243" i="8"/>
  <c r="CM5" i="8"/>
  <c r="CM17" i="8"/>
  <c r="CM29" i="8"/>
  <c r="CM41" i="8"/>
  <c r="CM53" i="8"/>
  <c r="CM65" i="8"/>
  <c r="CM77" i="8"/>
  <c r="CM89" i="8"/>
  <c r="CM101" i="8"/>
  <c r="CM113" i="8"/>
  <c r="CM125" i="8"/>
  <c r="CM137" i="8"/>
  <c r="CM149" i="8"/>
  <c r="CM161" i="8"/>
  <c r="CM173" i="8"/>
  <c r="CM197" i="8"/>
  <c r="CM209" i="8"/>
  <c r="CM221" i="8"/>
  <c r="CM233" i="8"/>
  <c r="CM245" i="8"/>
  <c r="CO7" i="8"/>
  <c r="CO19"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30"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BY247" i="8"/>
  <c r="CA9" i="8"/>
  <c r="CA21"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196" i="8"/>
  <c r="CG208" i="8"/>
  <c r="CG220" i="8"/>
  <c r="CG232" i="8"/>
  <c r="CG244" i="8"/>
  <c r="CI6"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AG212" i="8"/>
  <c r="BK229" i="8"/>
  <c r="BK241" i="8"/>
  <c r="BM4" i="8"/>
  <c r="BM16" i="8"/>
  <c r="BM28" i="8"/>
  <c r="BM40"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M64" i="8"/>
  <c r="E164" i="8"/>
  <c r="E200" i="8"/>
  <c r="E188" i="8"/>
  <c r="BM52" i="8"/>
  <c r="E20" i="8"/>
  <c r="E8" i="8"/>
  <c r="E44" i="8"/>
  <c r="E68" i="8"/>
  <c r="E92" i="8"/>
  <c r="E116" i="8"/>
  <c r="E176" i="8"/>
  <c r="E32" i="8"/>
  <c r="E56" i="8"/>
  <c r="E80" i="8"/>
  <c r="E104" i="8"/>
  <c r="E128" i="8"/>
  <c r="E140" i="8"/>
  <c r="E152" i="8"/>
  <c r="E212"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77" i="8"/>
  <c r="U100" i="8"/>
  <c r="E248" i="8"/>
  <c r="G23" i="8"/>
  <c r="G71" i="8"/>
  <c r="G95" i="8"/>
  <c r="G107" i="8"/>
  <c r="G143" i="8"/>
  <c r="G167" i="8"/>
  <c r="G191" i="8"/>
  <c r="G227" i="8"/>
  <c r="G251" i="8"/>
  <c r="I26" i="8"/>
  <c r="I50" i="8"/>
  <c r="I74" i="8"/>
  <c r="I98" i="8"/>
  <c r="I134" i="8"/>
  <c r="I158" i="8"/>
  <c r="I206" i="8"/>
  <c r="I230" i="8"/>
  <c r="K5" i="8"/>
  <c r="K41" i="8"/>
  <c r="K65" i="8"/>
  <c r="K89" i="8"/>
  <c r="K125" i="8"/>
  <c r="K149" i="8"/>
  <c r="K173" i="8"/>
  <c r="K197" i="8"/>
  <c r="K221" i="8"/>
  <c r="K245" i="8"/>
  <c r="M32" i="8"/>
  <c r="M56" i="8"/>
  <c r="M80" i="8"/>
  <c r="M104" i="8"/>
  <c r="M128" i="8"/>
  <c r="M152" i="8"/>
  <c r="M176" i="8"/>
  <c r="M200" i="8"/>
  <c r="M224" i="8"/>
  <c r="M248" i="8"/>
  <c r="O22" i="8"/>
  <c r="O46" i="8"/>
  <c r="O70" i="8"/>
  <c r="O94" i="8"/>
  <c r="O118" i="8"/>
  <c r="O142" i="8"/>
  <c r="O166" i="8"/>
  <c r="O190" i="8"/>
  <c r="O214" i="8"/>
  <c r="O238" i="8"/>
  <c r="Q12" i="8"/>
  <c r="Q36" i="8"/>
  <c r="Q60" i="8"/>
  <c r="Q84" i="8"/>
  <c r="Q108" i="8"/>
  <c r="Q132" i="8"/>
  <c r="Q156" i="8"/>
  <c r="Q180" i="8"/>
  <c r="Q204" i="8"/>
  <c r="Q228" i="8"/>
  <c r="S14" i="8"/>
  <c r="S38" i="8"/>
  <c r="S62" i="8"/>
  <c r="S86" i="8"/>
  <c r="S110" i="8"/>
  <c r="S134" i="8"/>
  <c r="S158" i="8"/>
  <c r="S182" i="8"/>
  <c r="S206" i="8"/>
  <c r="S230" i="8"/>
  <c r="U4" i="8"/>
  <c r="U28" i="8"/>
  <c r="U52" i="8"/>
  <c r="U76" i="8"/>
  <c r="Y32" i="8"/>
  <c r="E236" i="8"/>
  <c r="G11" i="8"/>
  <c r="G47" i="8"/>
  <c r="G83" i="8"/>
  <c r="G119" i="8"/>
  <c r="G131" i="8"/>
  <c r="G155" i="8"/>
  <c r="G179" i="8"/>
  <c r="G203" i="8"/>
  <c r="G215" i="8"/>
  <c r="G239" i="8"/>
  <c r="I14" i="8"/>
  <c r="I38" i="8"/>
  <c r="I62" i="8"/>
  <c r="I86" i="8"/>
  <c r="I110" i="8"/>
  <c r="I122" i="8"/>
  <c r="I146" i="8"/>
  <c r="I182" i="8"/>
  <c r="I218" i="8"/>
  <c r="I242" i="8"/>
  <c r="K17" i="8"/>
  <c r="K29" i="8"/>
  <c r="K53" i="8"/>
  <c r="K77" i="8"/>
  <c r="K101" i="8"/>
  <c r="K113" i="8"/>
  <c r="K137" i="8"/>
  <c r="K161" i="8"/>
  <c r="K185" i="8"/>
  <c r="K209" i="8"/>
  <c r="K233" i="8"/>
  <c r="M8" i="8"/>
  <c r="M20" i="8"/>
  <c r="M44" i="8"/>
  <c r="M68" i="8"/>
  <c r="M92" i="8"/>
  <c r="M116" i="8"/>
  <c r="M140" i="8"/>
  <c r="M164" i="8"/>
  <c r="M188" i="8"/>
  <c r="M212" i="8"/>
  <c r="M236" i="8"/>
  <c r="O10" i="8"/>
  <c r="O34" i="8"/>
  <c r="O58" i="8"/>
  <c r="O82" i="8"/>
  <c r="O106" i="8"/>
  <c r="O130" i="8"/>
  <c r="O154" i="8"/>
  <c r="O178" i="8"/>
  <c r="O202" i="8"/>
  <c r="O226" i="8"/>
  <c r="O250" i="8"/>
  <c r="Q24" i="8"/>
  <c r="Q48" i="8"/>
  <c r="Q72" i="8"/>
  <c r="Q96" i="8"/>
  <c r="Q120" i="8"/>
  <c r="Q144" i="8"/>
  <c r="Q168" i="8"/>
  <c r="Q192" i="8"/>
  <c r="Q216" i="8"/>
  <c r="Q240" i="8"/>
  <c r="S26" i="8"/>
  <c r="S50" i="8"/>
  <c r="S74" i="8"/>
  <c r="S98" i="8"/>
  <c r="S122" i="8"/>
  <c r="S146" i="8"/>
  <c r="S170" i="8"/>
  <c r="S194" i="8"/>
  <c r="S218" i="8"/>
  <c r="S242" i="8"/>
  <c r="U16" i="8"/>
  <c r="U40" i="8"/>
  <c r="U64" i="8"/>
  <c r="U88" i="8"/>
  <c r="Y20" i="8"/>
  <c r="E224" i="8"/>
  <c r="G59" i="8"/>
  <c r="I170" i="8"/>
  <c r="G35" i="8"/>
  <c r="I194" i="8"/>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44" i="8"/>
  <c r="Y56" i="8"/>
  <c r="Y68" i="8"/>
  <c r="Y80" i="8"/>
  <c r="Y92" i="8"/>
  <c r="Y104" i="8"/>
  <c r="Y116" i="8"/>
  <c r="Y128" i="8"/>
  <c r="Y140" i="8"/>
  <c r="Y152" i="8"/>
  <c r="Y164" i="8"/>
  <c r="Y176" i="8"/>
  <c r="Y188" i="8"/>
  <c r="Y200" i="8"/>
  <c r="Y212" i="8"/>
  <c r="Y224" i="8"/>
  <c r="Y236" i="8"/>
  <c r="Y248"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S51" i="8"/>
  <c r="S75" i="8"/>
  <c r="S99" i="8"/>
  <c r="S123" i="8"/>
  <c r="S147" i="8"/>
  <c r="S171" i="8"/>
  <c r="S195" i="8"/>
  <c r="S231" i="8"/>
  <c r="U5" i="8"/>
  <c r="U29" i="8"/>
  <c r="U53" i="8"/>
  <c r="U89" i="8"/>
  <c r="U113" i="8"/>
  <c r="U137" i="8"/>
  <c r="U173" i="8"/>
  <c r="U197" i="8"/>
  <c r="U221" i="8"/>
  <c r="U245" i="8"/>
  <c r="W19" i="8"/>
  <c r="W43" i="8"/>
  <c r="W79" i="8"/>
  <c r="W103" i="8"/>
  <c r="W127" i="8"/>
  <c r="W151" i="8"/>
  <c r="W187" i="8"/>
  <c r="W211" i="8"/>
  <c r="W235" i="8"/>
  <c r="Y21" i="8"/>
  <c r="Y45" i="8"/>
  <c r="Y69" i="8"/>
  <c r="Y117" i="8"/>
  <c r="Y249" i="8"/>
  <c r="AC134" i="8"/>
  <c r="S63" i="8"/>
  <c r="S87" i="8"/>
  <c r="S111" i="8"/>
  <c r="S135" i="8"/>
  <c r="S159" i="8"/>
  <c r="S183" i="8"/>
  <c r="S207" i="8"/>
  <c r="S219" i="8"/>
  <c r="S243" i="8"/>
  <c r="U17" i="8"/>
  <c r="U41" i="8"/>
  <c r="U65" i="8"/>
  <c r="U77" i="8"/>
  <c r="U101" i="8"/>
  <c r="U125" i="8"/>
  <c r="U149" i="8"/>
  <c r="U161" i="8"/>
  <c r="U185" i="8"/>
  <c r="U209" i="8"/>
  <c r="U233" i="8"/>
  <c r="W7" i="8"/>
  <c r="W31" i="8"/>
  <c r="W55" i="8"/>
  <c r="W67" i="8"/>
  <c r="W91" i="8"/>
  <c r="W115" i="8"/>
  <c r="W139" i="8"/>
  <c r="W163" i="8"/>
  <c r="W175" i="8"/>
  <c r="W199" i="8"/>
  <c r="W223" i="8"/>
  <c r="W247" i="8"/>
  <c r="Y9" i="8"/>
  <c r="Y33" i="8"/>
  <c r="Y57" i="8"/>
  <c r="Y81" i="8"/>
  <c r="Y93" i="8"/>
  <c r="Y105" i="8"/>
  <c r="Y129" i="8"/>
  <c r="Y141" i="8"/>
  <c r="Y153" i="8"/>
  <c r="Y165" i="8"/>
  <c r="Y177" i="8"/>
  <c r="Y189" i="8"/>
  <c r="Y201" i="8"/>
  <c r="Y213" i="8"/>
  <c r="Y225" i="8"/>
  <c r="Y237"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3" i="8"/>
  <c r="AM35" i="8"/>
  <c r="AM47" i="8"/>
  <c r="AM59" i="8"/>
  <c r="AM71" i="8"/>
  <c r="AM83" i="8"/>
  <c r="AM95" i="8"/>
  <c r="AM107" i="8"/>
  <c r="AM119" i="8"/>
  <c r="AM131"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16" i="8"/>
  <c r="BC28" i="8"/>
  <c r="BC40" i="8"/>
  <c r="BC52" i="8"/>
  <c r="BC64" i="8"/>
  <c r="BC76" i="8"/>
  <c r="BC88"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10" i="8"/>
  <c r="BG22" i="8"/>
  <c r="BG34" i="8"/>
  <c r="BG46" i="8"/>
  <c r="BG58" i="8"/>
  <c r="BG70" i="8"/>
  <c r="BG82" i="8"/>
  <c r="BG94" i="8"/>
  <c r="BG106" i="8"/>
  <c r="BG118" i="8"/>
  <c r="BG130" i="8"/>
  <c r="BG142" i="8"/>
  <c r="BG154" i="8"/>
  <c r="BG166" i="8"/>
  <c r="BG178" i="8"/>
  <c r="BG190" i="8"/>
  <c r="BG202"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4" i="8"/>
  <c r="BK16" i="8"/>
  <c r="BK28" i="8"/>
  <c r="BK40" i="8"/>
  <c r="BK52" i="8"/>
  <c r="BK64" i="8"/>
  <c r="BK76" i="8"/>
  <c r="BK88"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G239" i="8"/>
  <c r="CG251" i="8"/>
  <c r="CI13" i="8"/>
  <c r="CI25" i="8"/>
  <c r="CI37" i="8"/>
  <c r="CI49" i="8"/>
  <c r="CI61" i="8"/>
  <c r="CI73" i="8"/>
  <c r="CI85" i="8"/>
  <c r="CI97" i="8"/>
  <c r="CI109" i="8"/>
  <c r="CK147" i="8"/>
  <c r="CK159" i="8"/>
  <c r="CK171" i="8"/>
  <c r="CK183" i="8"/>
  <c r="CK195" i="8"/>
  <c r="CK207" i="8"/>
  <c r="CK219" i="8"/>
  <c r="CK231" i="8"/>
  <c r="CM185"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BG61" i="8"/>
  <c r="BG73" i="8"/>
  <c r="BG85" i="8"/>
  <c r="K86" i="8"/>
  <c r="E5" i="8"/>
  <c r="E17" i="8"/>
  <c r="E29" i="8"/>
  <c r="E41" i="8"/>
  <c r="E53" i="8"/>
  <c r="E65" i="8"/>
  <c r="E77" i="8"/>
  <c r="E89" i="8"/>
  <c r="E101" i="8"/>
  <c r="E113" i="8"/>
  <c r="E125" i="8"/>
  <c r="E137" i="8"/>
  <c r="E149" i="8"/>
  <c r="E161" i="8"/>
  <c r="E173" i="8"/>
  <c r="E185" i="8"/>
  <c r="E197" i="8"/>
  <c r="E209" i="8"/>
  <c r="E221" i="8"/>
  <c r="E233" i="8"/>
  <c r="E245" i="8"/>
  <c r="G8" i="8"/>
  <c r="G20" i="8"/>
  <c r="G32" i="8"/>
  <c r="G44" i="8"/>
  <c r="G56" i="8"/>
  <c r="G68" i="8"/>
  <c r="G80" i="8"/>
  <c r="G92" i="8"/>
  <c r="G104" i="8"/>
  <c r="G116" i="8"/>
  <c r="G128" i="8"/>
  <c r="G140" i="8"/>
  <c r="G152" i="8"/>
  <c r="G164" i="8"/>
  <c r="G176" i="8"/>
  <c r="G188" i="8"/>
  <c r="G200" i="8"/>
  <c r="G212" i="8"/>
  <c r="G224" i="8"/>
  <c r="G236" i="8"/>
  <c r="G248" i="8"/>
  <c r="I11" i="8"/>
  <c r="I23" i="8"/>
  <c r="I35" i="8"/>
  <c r="I47" i="8"/>
  <c r="I59" i="8"/>
  <c r="I71" i="8"/>
  <c r="I83" i="8"/>
  <c r="I95" i="8"/>
  <c r="I107" i="8"/>
  <c r="I119" i="8"/>
  <c r="I131" i="8"/>
  <c r="I143" i="8"/>
  <c r="I155" i="8"/>
  <c r="I167" i="8"/>
  <c r="I179" i="8"/>
  <c r="I191" i="8"/>
  <c r="I203" i="8"/>
  <c r="I215" i="8"/>
  <c r="I227" i="8"/>
  <c r="I239" i="8"/>
  <c r="I251" i="8"/>
  <c r="K14" i="8"/>
  <c r="K26" i="8"/>
  <c r="K38" i="8"/>
  <c r="K50" i="8"/>
  <c r="K62" i="8"/>
  <c r="K74" i="8"/>
  <c r="K98" i="8"/>
  <c r="E9" i="8"/>
  <c r="E69" i="8"/>
  <c r="E129" i="8"/>
  <c r="E189" i="8"/>
  <c r="E249" i="8"/>
  <c r="G72" i="8"/>
  <c r="G132" i="8"/>
  <c r="G192" i="8"/>
  <c r="I15" i="8"/>
  <c r="I87" i="8"/>
  <c r="I171" i="8"/>
  <c r="I231" i="8"/>
  <c r="K42" i="8"/>
  <c r="K114" i="8"/>
  <c r="K162" i="8"/>
  <c r="K222" i="8"/>
  <c r="K246" i="8"/>
  <c r="M45" i="8"/>
  <c r="M81" i="8"/>
  <c r="M117" i="8"/>
  <c r="M153" i="8"/>
  <c r="M177" i="8"/>
  <c r="M213" i="8"/>
  <c r="M237" i="8"/>
  <c r="O11" i="8"/>
  <c r="O47" i="8"/>
  <c r="O71" i="8"/>
  <c r="O119" i="8"/>
  <c r="O143" i="8"/>
  <c r="O167" i="8"/>
  <c r="O191" i="8"/>
  <c r="O215" i="8"/>
  <c r="O239" i="8"/>
  <c r="Q13" i="8"/>
  <c r="Q37" i="8"/>
  <c r="Q61" i="8"/>
  <c r="Q73" i="8"/>
  <c r="Q97" i="8"/>
  <c r="Q121" i="8"/>
  <c r="Q145" i="8"/>
  <c r="Q169" i="8"/>
  <c r="Q193" i="8"/>
  <c r="Q217" i="8"/>
  <c r="Q241" i="8"/>
  <c r="S15" i="8"/>
  <c r="S39" i="8"/>
  <c r="E57" i="8"/>
  <c r="E117" i="8"/>
  <c r="E177" i="8"/>
  <c r="E225" i="8"/>
  <c r="G36" i="8"/>
  <c r="G96" i="8"/>
  <c r="G156" i="8"/>
  <c r="G216" i="8"/>
  <c r="I63" i="8"/>
  <c r="I111" i="8"/>
  <c r="I147" i="8"/>
  <c r="I195" i="8"/>
  <c r="K6" i="8"/>
  <c r="K66" i="8"/>
  <c r="K102" i="8"/>
  <c r="K150" i="8"/>
  <c r="K198" i="8"/>
  <c r="K234" i="8"/>
  <c r="M33" i="8"/>
  <c r="M69" i="8"/>
  <c r="M93" i="8"/>
  <c r="M141" i="8"/>
  <c r="M165" i="8"/>
  <c r="M189" i="8"/>
  <c r="M201" i="8"/>
  <c r="M225" i="8"/>
  <c r="M249" i="8"/>
  <c r="O23" i="8"/>
  <c r="O59" i="8"/>
  <c r="O107" i="8"/>
  <c r="O131" i="8"/>
  <c r="O155" i="8"/>
  <c r="O179" i="8"/>
  <c r="O203" i="8"/>
  <c r="O227" i="8"/>
  <c r="O251" i="8"/>
  <c r="Q25" i="8"/>
  <c r="Q49" i="8"/>
  <c r="Q85" i="8"/>
  <c r="Q109" i="8"/>
  <c r="Q133" i="8"/>
  <c r="Q157" i="8"/>
  <c r="Q181" i="8"/>
  <c r="Q205" i="8"/>
  <c r="Q229" i="8"/>
  <c r="S27" i="8"/>
  <c r="E21" i="8"/>
  <c r="E81" i="8"/>
  <c r="E141" i="8"/>
  <c r="E201" i="8"/>
  <c r="G12" i="8"/>
  <c r="G60" i="8"/>
  <c r="G108" i="8"/>
  <c r="G168" i="8"/>
  <c r="G228" i="8"/>
  <c r="I39" i="8"/>
  <c r="I99" i="8"/>
  <c r="I159" i="8"/>
  <c r="I219" i="8"/>
  <c r="K18" i="8"/>
  <c r="K90" i="8"/>
  <c r="K174" i="8"/>
  <c r="M57" i="8"/>
  <c r="O35" i="8"/>
  <c r="E33" i="8"/>
  <c r="E93" i="8"/>
  <c r="E153" i="8"/>
  <c r="E213" i="8"/>
  <c r="G24" i="8"/>
  <c r="G84" i="8"/>
  <c r="G144" i="8"/>
  <c r="G204" i="8"/>
  <c r="I27" i="8"/>
  <c r="I75" i="8"/>
  <c r="I135" i="8"/>
  <c r="I207" i="8"/>
  <c r="K30" i="8"/>
  <c r="K78" i="8"/>
  <c r="K138" i="8"/>
  <c r="K210" i="8"/>
  <c r="M9" i="8"/>
  <c r="M105" i="8"/>
  <c r="O83" i="8"/>
  <c r="E45" i="8"/>
  <c r="E105" i="8"/>
  <c r="E165" i="8"/>
  <c r="E237" i="8"/>
  <c r="G48" i="8"/>
  <c r="G120" i="8"/>
  <c r="G180" i="8"/>
  <c r="G240" i="8"/>
  <c r="I51" i="8"/>
  <c r="I123" i="8"/>
  <c r="I183" i="8"/>
  <c r="I243" i="8"/>
  <c r="K54" i="8"/>
  <c r="K126" i="8"/>
  <c r="K186" i="8"/>
  <c r="M21" i="8"/>
  <c r="M129" i="8"/>
  <c r="O9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Q115" i="8"/>
  <c r="Q127" i="8"/>
  <c r="Q139" i="8"/>
  <c r="Q151" i="8"/>
  <c r="Q163" i="8"/>
  <c r="Q175" i="8"/>
  <c r="Q187" i="8"/>
  <c r="Q199" i="8"/>
  <c r="Q211" i="8"/>
  <c r="Q223" i="8"/>
  <c r="Q235" i="8"/>
  <c r="Q247" i="8"/>
  <c r="S9" i="8"/>
  <c r="S21" i="8"/>
  <c r="S33" i="8"/>
  <c r="S45" i="8"/>
  <c r="S57" i="8"/>
  <c r="S69" i="8"/>
  <c r="S81" i="8"/>
  <c r="S93" i="8"/>
  <c r="S105" i="8"/>
  <c r="S117" i="8"/>
  <c r="S129" i="8"/>
  <c r="S141" i="8"/>
  <c r="S153" i="8"/>
  <c r="S165" i="8"/>
  <c r="S177" i="8"/>
  <c r="S189" i="8"/>
  <c r="S201" i="8"/>
  <c r="S213" i="8"/>
  <c r="S225" i="8"/>
  <c r="S237" i="8"/>
  <c r="S249" i="8"/>
  <c r="U11" i="8"/>
  <c r="U23" i="8"/>
  <c r="U35" i="8"/>
  <c r="U47" i="8"/>
  <c r="U59" i="8"/>
  <c r="U71" i="8"/>
  <c r="U83" i="8"/>
  <c r="U95" i="8"/>
  <c r="U107" i="8"/>
  <c r="U119" i="8"/>
  <c r="U131" i="8"/>
  <c r="U143" i="8"/>
  <c r="U155" i="8"/>
  <c r="K110" i="8"/>
  <c r="K122" i="8"/>
  <c r="K134" i="8"/>
  <c r="K146" i="8"/>
  <c r="K158" i="8"/>
  <c r="K170" i="8"/>
  <c r="K182" i="8"/>
  <c r="K194" i="8"/>
  <c r="K206" i="8"/>
  <c r="K218" i="8"/>
  <c r="K230" i="8"/>
  <c r="K242"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A8" i="8"/>
  <c r="AA20" i="8"/>
  <c r="AA32" i="8"/>
  <c r="AA44" i="8"/>
  <c r="AA56" i="8"/>
  <c r="AA68" i="8"/>
  <c r="AA80" i="8"/>
  <c r="AA92" i="8"/>
  <c r="AA104" i="8"/>
  <c r="AA116" i="8"/>
  <c r="AA128" i="8"/>
  <c r="AA140" i="8"/>
  <c r="AA152" i="8"/>
  <c r="AA164" i="8"/>
  <c r="AA176" i="8"/>
  <c r="AA188" i="8"/>
  <c r="AA200" i="8"/>
  <c r="AA212" i="8"/>
  <c r="AA224" i="8"/>
  <c r="AA236" i="8"/>
  <c r="AA248" i="8"/>
  <c r="AC10" i="8"/>
  <c r="AC22" i="8"/>
  <c r="AC34" i="8"/>
  <c r="AC46" i="8"/>
  <c r="AC58" i="8"/>
  <c r="AC70" i="8"/>
  <c r="AC82" i="8"/>
  <c r="AC94" i="8"/>
  <c r="AC106" i="8"/>
  <c r="AC118" i="8"/>
  <c r="AC130" i="8"/>
  <c r="AC142" i="8"/>
  <c r="AC154" i="8"/>
  <c r="AC166" i="8"/>
  <c r="AC178" i="8"/>
  <c r="AC190" i="8"/>
  <c r="AC202" i="8"/>
  <c r="AC214" i="8"/>
  <c r="AC226" i="8"/>
  <c r="AC238" i="8"/>
  <c r="AC250" i="8"/>
  <c r="AE12" i="8"/>
  <c r="AE24" i="8"/>
  <c r="AE36" i="8"/>
  <c r="AE48" i="8"/>
  <c r="AE60" i="8"/>
  <c r="AE72" i="8"/>
  <c r="AE84" i="8"/>
  <c r="AE96" i="8"/>
  <c r="AE108" i="8"/>
  <c r="AE120" i="8"/>
  <c r="AE132" i="8"/>
  <c r="AE144" i="8"/>
  <c r="AE156" i="8"/>
  <c r="AE168" i="8"/>
  <c r="AE180" i="8"/>
  <c r="AE192" i="8"/>
  <c r="AE204" i="8"/>
  <c r="AE216" i="8"/>
  <c r="AE228" i="8"/>
  <c r="AE240"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O250" i="8"/>
  <c r="AQ12" i="8"/>
  <c r="AQ24" i="8"/>
  <c r="AQ36" i="8"/>
  <c r="AQ48" i="8"/>
  <c r="AQ60" i="8"/>
  <c r="AQ72"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16"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C13" i="8"/>
  <c r="BC25" i="8"/>
  <c r="BC37" i="8"/>
  <c r="BC49" i="8"/>
  <c r="BC61" i="8"/>
  <c r="BC73" i="8"/>
  <c r="BC85" i="8"/>
  <c r="BC97" i="8"/>
  <c r="BC109" i="8"/>
  <c r="BC121" i="8"/>
  <c r="BC133" i="8"/>
  <c r="BC145" i="8"/>
  <c r="BC157" i="8"/>
  <c r="BC169" i="8"/>
  <c r="BC181" i="8"/>
  <c r="BC193" i="8"/>
  <c r="BC205" i="8"/>
  <c r="BC217" i="8"/>
  <c r="BC229" i="8"/>
  <c r="BC241" i="8"/>
  <c r="BE4" i="8"/>
  <c r="BE16" i="8"/>
  <c r="BE28" i="8"/>
  <c r="BE40" i="8"/>
  <c r="BE52" i="8"/>
  <c r="BE64" i="8"/>
  <c r="BE76" i="8"/>
  <c r="BE88" i="8"/>
  <c r="BE100" i="8"/>
  <c r="BE112" i="8"/>
  <c r="BE124" i="8"/>
  <c r="BE136" i="8"/>
  <c r="BE148" i="8"/>
  <c r="BE160"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C7" i="8"/>
  <c r="C13" i="8"/>
  <c r="C19" i="8"/>
  <c r="C25" i="8"/>
  <c r="C31" i="8"/>
  <c r="C37" i="8"/>
  <c r="C43" i="8"/>
  <c r="C49" i="8"/>
  <c r="C55" i="8"/>
  <c r="C61" i="8"/>
  <c r="C67" i="8"/>
  <c r="C73" i="8"/>
  <c r="C79" i="8"/>
  <c r="C85" i="8"/>
  <c r="C91" i="8"/>
  <c r="C97" i="8"/>
  <c r="C103" i="8"/>
  <c r="C109" i="8"/>
  <c r="C115" i="8"/>
  <c r="C121" i="8"/>
  <c r="C127" i="8"/>
  <c r="C133" i="8"/>
  <c r="C139" i="8"/>
  <c r="C145" i="8"/>
  <c r="C151" i="8"/>
  <c r="C157" i="8"/>
  <c r="C163" i="8"/>
  <c r="C169" i="8"/>
  <c r="C175" i="8"/>
  <c r="C181" i="8"/>
  <c r="C187" i="8"/>
  <c r="C193" i="8"/>
  <c r="C199" i="8"/>
  <c r="C205" i="8"/>
  <c r="C211" i="8"/>
  <c r="C217" i="8"/>
  <c r="C223" i="8"/>
  <c r="C229" i="8"/>
  <c r="C235" i="8"/>
  <c r="C241" i="8"/>
  <c r="C247" i="8"/>
  <c r="E6" i="8"/>
  <c r="E18" i="8"/>
  <c r="E30" i="8"/>
  <c r="E42" i="8"/>
  <c r="E54" i="8"/>
  <c r="E66" i="8"/>
  <c r="E78" i="8"/>
  <c r="E90" i="8"/>
  <c r="E102" i="8"/>
  <c r="E114" i="8"/>
  <c r="E126" i="8"/>
  <c r="E138" i="8"/>
  <c r="E150" i="8"/>
  <c r="E162" i="8"/>
  <c r="E174" i="8"/>
  <c r="E186" i="8"/>
  <c r="E198" i="8"/>
  <c r="E210" i="8"/>
  <c r="E222" i="8"/>
  <c r="E234" i="8"/>
  <c r="E246" i="8"/>
  <c r="G9" i="8"/>
  <c r="G21" i="8"/>
  <c r="G33" i="8"/>
  <c r="G45" i="8"/>
  <c r="G57" i="8"/>
  <c r="G69" i="8"/>
  <c r="G81" i="8"/>
  <c r="G93" i="8"/>
  <c r="G105" i="8"/>
  <c r="G117" i="8"/>
  <c r="G129" i="8"/>
  <c r="G141" i="8"/>
  <c r="G153" i="8"/>
  <c r="G165" i="8"/>
  <c r="G177" i="8"/>
  <c r="G189" i="8"/>
  <c r="G201" i="8"/>
  <c r="G213" i="8"/>
  <c r="G225" i="8"/>
  <c r="G237" i="8"/>
  <c r="G249" i="8"/>
  <c r="I12" i="8"/>
  <c r="I24" i="8"/>
  <c r="I36" i="8"/>
  <c r="I48" i="8"/>
  <c r="I60" i="8"/>
  <c r="I72" i="8"/>
  <c r="I84" i="8"/>
  <c r="I96" i="8"/>
  <c r="I108" i="8"/>
  <c r="I120" i="8"/>
  <c r="I132" i="8"/>
  <c r="I144" i="8"/>
  <c r="I156" i="8"/>
  <c r="I168" i="8"/>
  <c r="I180" i="8"/>
  <c r="I192" i="8"/>
  <c r="I204" i="8"/>
  <c r="I216" i="8"/>
  <c r="I228" i="8"/>
  <c r="I240" i="8"/>
  <c r="K15" i="8"/>
  <c r="K27" i="8"/>
  <c r="K39"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E24" i="8"/>
  <c r="E48" i="8"/>
  <c r="E72" i="8"/>
  <c r="E96" i="8"/>
  <c r="E132" i="8"/>
  <c r="E156" i="8"/>
  <c r="E180" i="8"/>
  <c r="E204" i="8"/>
  <c r="E228" i="8"/>
  <c r="G39" i="8"/>
  <c r="G63" i="8"/>
  <c r="G99" i="8"/>
  <c r="G123" i="8"/>
  <c r="G147" i="8"/>
  <c r="G171" i="8"/>
  <c r="G195" i="8"/>
  <c r="G219" i="8"/>
  <c r="I6" i="8"/>
  <c r="I30" i="8"/>
  <c r="I54" i="8"/>
  <c r="I78" i="8"/>
  <c r="I102" i="8"/>
  <c r="I126" i="8"/>
  <c r="I150" i="8"/>
  <c r="I174" i="8"/>
  <c r="I198" i="8"/>
  <c r="I222" i="8"/>
  <c r="I246" i="8"/>
  <c r="K33" i="8"/>
  <c r="K69" i="8"/>
  <c r="K93" i="8"/>
  <c r="K129" i="8"/>
  <c r="K153" i="8"/>
  <c r="K177" i="8"/>
  <c r="K213" i="8"/>
  <c r="K237" i="8"/>
  <c r="M24" i="8"/>
  <c r="M48" i="8"/>
  <c r="M72" i="8"/>
  <c r="M96" i="8"/>
  <c r="M120" i="8"/>
  <c r="M144" i="8"/>
  <c r="M180" i="8"/>
  <c r="M204" i="8"/>
  <c r="M228" i="8"/>
  <c r="O26" i="8"/>
  <c r="O50" i="8"/>
  <c r="O86" i="8"/>
  <c r="O110" i="8"/>
  <c r="O134" i="8"/>
  <c r="O158" i="8"/>
  <c r="O194" i="8"/>
  <c r="O218" i="8"/>
  <c r="Q4" i="8"/>
  <c r="Q28" i="8"/>
  <c r="Q52" i="8"/>
  <c r="Q76" i="8"/>
  <c r="Q100" i="8"/>
  <c r="Q124" i="8"/>
  <c r="Q148" i="8"/>
  <c r="Q172" i="8"/>
  <c r="Q196" i="8"/>
  <c r="Q220" i="8"/>
  <c r="Q244" i="8"/>
  <c r="S18" i="8"/>
  <c r="S42" i="8"/>
  <c r="S66" i="8"/>
  <c r="S90" i="8"/>
  <c r="S114" i="8"/>
  <c r="S150" i="8"/>
  <c r="S174" i="8"/>
  <c r="S198" i="8"/>
  <c r="E12" i="8"/>
  <c r="E36" i="8"/>
  <c r="E60" i="8"/>
  <c r="E84" i="8"/>
  <c r="E108" i="8"/>
  <c r="E120" i="8"/>
  <c r="E144" i="8"/>
  <c r="E168" i="8"/>
  <c r="E192" i="8"/>
  <c r="E216" i="8"/>
  <c r="E240" i="8"/>
  <c r="G15" i="8"/>
  <c r="G27" i="8"/>
  <c r="G51" i="8"/>
  <c r="G75" i="8"/>
  <c r="G87" i="8"/>
  <c r="G111" i="8"/>
  <c r="G135" i="8"/>
  <c r="G159" i="8"/>
  <c r="G183" i="8"/>
  <c r="G207" i="8"/>
  <c r="G231" i="8"/>
  <c r="G243" i="8"/>
  <c r="I18" i="8"/>
  <c r="I42" i="8"/>
  <c r="I66" i="8"/>
  <c r="I90" i="8"/>
  <c r="I114" i="8"/>
  <c r="I138" i="8"/>
  <c r="I162" i="8"/>
  <c r="I186" i="8"/>
  <c r="I210" i="8"/>
  <c r="I234" i="8"/>
  <c r="K9" i="8"/>
  <c r="K21" i="8"/>
  <c r="K45" i="8"/>
  <c r="K57" i="8"/>
  <c r="K81" i="8"/>
  <c r="K105" i="8"/>
  <c r="K117" i="8"/>
  <c r="K141" i="8"/>
  <c r="K165" i="8"/>
  <c r="K189" i="8"/>
  <c r="K201" i="8"/>
  <c r="K225" i="8"/>
  <c r="K249" i="8"/>
  <c r="M12" i="8"/>
  <c r="M36" i="8"/>
  <c r="M60" i="8"/>
  <c r="M84" i="8"/>
  <c r="M108" i="8"/>
  <c r="M132" i="8"/>
  <c r="M156" i="8"/>
  <c r="M168" i="8"/>
  <c r="M192" i="8"/>
  <c r="M216" i="8"/>
  <c r="M240" i="8"/>
  <c r="O14" i="8"/>
  <c r="O38" i="8"/>
  <c r="O62" i="8"/>
  <c r="O74" i="8"/>
  <c r="O98" i="8"/>
  <c r="O122" i="8"/>
  <c r="O146" i="8"/>
  <c r="O170" i="8"/>
  <c r="O182" i="8"/>
  <c r="O206" i="8"/>
  <c r="O230" i="8"/>
  <c r="O242" i="8"/>
  <c r="Q16" i="8"/>
  <c r="Q40" i="8"/>
  <c r="Q64" i="8"/>
  <c r="Q88" i="8"/>
  <c r="Q112" i="8"/>
  <c r="Q136" i="8"/>
  <c r="Q160" i="8"/>
  <c r="Q184" i="8"/>
  <c r="Q208" i="8"/>
  <c r="Q232" i="8"/>
  <c r="S6" i="8"/>
  <c r="S30" i="8"/>
  <c r="S54" i="8"/>
  <c r="S78" i="8"/>
  <c r="S102" i="8"/>
  <c r="S126" i="8"/>
  <c r="S138" i="8"/>
  <c r="S162" i="8"/>
  <c r="S186" i="8"/>
  <c r="S210" i="8"/>
  <c r="E13" i="8"/>
  <c r="E25" i="8"/>
  <c r="E37" i="8"/>
  <c r="E49" i="8"/>
  <c r="E61" i="8"/>
  <c r="E73" i="8"/>
  <c r="E85" i="8"/>
  <c r="E97" i="8"/>
  <c r="E109" i="8"/>
  <c r="E121" i="8"/>
  <c r="E133" i="8"/>
  <c r="E145" i="8"/>
  <c r="E157" i="8"/>
  <c r="E169"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G244" i="8"/>
  <c r="I7" i="8"/>
  <c r="I19" i="8"/>
  <c r="I31" i="8"/>
  <c r="I43" i="8"/>
  <c r="I55" i="8"/>
  <c r="I67" i="8"/>
  <c r="I79" i="8"/>
  <c r="I91" i="8"/>
  <c r="I103" i="8"/>
  <c r="I115" i="8"/>
  <c r="I127" i="8"/>
  <c r="I139" i="8"/>
  <c r="I151" i="8"/>
  <c r="I163" i="8"/>
  <c r="I175" i="8"/>
  <c r="I187" i="8"/>
  <c r="I199" i="8"/>
  <c r="I211" i="8"/>
  <c r="I223" i="8"/>
  <c r="I235" i="8"/>
  <c r="I247" i="8"/>
  <c r="K10" i="8"/>
  <c r="K22" i="8"/>
  <c r="K34" i="8"/>
  <c r="K46" i="8"/>
  <c r="K58" i="8"/>
  <c r="K70" i="8"/>
  <c r="K82" i="8"/>
  <c r="K94" i="8"/>
  <c r="K106" i="8"/>
  <c r="K118" i="8"/>
  <c r="K130" i="8"/>
  <c r="K142" i="8"/>
  <c r="K154" i="8"/>
  <c r="K166" i="8"/>
  <c r="K178" i="8"/>
  <c r="K190" i="8"/>
  <c r="K202" i="8"/>
  <c r="K214" i="8"/>
  <c r="K226" i="8"/>
  <c r="K238" i="8"/>
  <c r="K250"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U167" i="8"/>
  <c r="U179" i="8"/>
  <c r="U191" i="8"/>
  <c r="U203" i="8"/>
  <c r="U215" i="8"/>
  <c r="U227" i="8"/>
  <c r="U239" i="8"/>
  <c r="U251" i="8"/>
  <c r="W13" i="8"/>
  <c r="W25" i="8"/>
  <c r="W37" i="8"/>
  <c r="W49" i="8"/>
  <c r="W61" i="8"/>
  <c r="W73" i="8"/>
  <c r="W85" i="8"/>
  <c r="W97" i="8"/>
  <c r="W109" i="8"/>
  <c r="W121" i="8"/>
  <c r="W133" i="8"/>
  <c r="W145" i="8"/>
  <c r="W157" i="8"/>
  <c r="W169" i="8"/>
  <c r="W181" i="8"/>
  <c r="W193" i="8"/>
  <c r="W205" i="8"/>
  <c r="W217" i="8"/>
  <c r="W229" i="8"/>
  <c r="W241" i="8"/>
  <c r="Y15" i="8"/>
  <c r="Y27" i="8"/>
  <c r="Y39" i="8"/>
  <c r="Y51" i="8"/>
  <c r="Y63" i="8"/>
  <c r="Y75" i="8"/>
  <c r="Y87" i="8"/>
  <c r="Y99" i="8"/>
  <c r="Y111" i="8"/>
  <c r="Y123" i="8"/>
  <c r="Y135" i="8"/>
  <c r="Y147" i="8"/>
  <c r="Y159" i="8"/>
  <c r="Y171" i="8"/>
  <c r="Y183" i="8"/>
  <c r="Y195" i="8"/>
  <c r="Y207" i="8"/>
  <c r="Y219" i="8"/>
  <c r="Y231" i="8"/>
  <c r="Y243" i="8"/>
  <c r="AA6" i="8"/>
  <c r="AA18" i="8"/>
  <c r="AA30" i="8"/>
  <c r="AA42" i="8"/>
  <c r="AA54" i="8"/>
  <c r="AA66" i="8"/>
  <c r="AA78" i="8"/>
  <c r="AA90" i="8"/>
  <c r="AA102" i="8"/>
  <c r="AA114" i="8"/>
  <c r="AA126" i="8"/>
  <c r="AA138" i="8"/>
  <c r="AA150" i="8"/>
  <c r="AA162" i="8"/>
  <c r="AA174" i="8"/>
  <c r="AA186" i="8"/>
  <c r="AA198" i="8"/>
  <c r="AA210" i="8"/>
  <c r="AA222" i="8"/>
  <c r="AA234" i="8"/>
  <c r="AA246" i="8"/>
  <c r="AC8" i="8"/>
  <c r="AC20" i="8"/>
  <c r="AC32" i="8"/>
  <c r="AC44" i="8"/>
  <c r="AC56" i="8"/>
  <c r="AC68" i="8"/>
  <c r="AC80" i="8"/>
  <c r="AC92" i="8"/>
  <c r="AC104" i="8"/>
  <c r="AC116" i="8"/>
  <c r="AC128" i="8"/>
  <c r="AC140" i="8"/>
  <c r="AC152" i="8"/>
  <c r="AC164" i="8"/>
  <c r="AC176" i="8"/>
  <c r="AC188" i="8"/>
  <c r="AC200" i="8"/>
  <c r="AC212" i="8"/>
  <c r="AC224" i="8"/>
  <c r="AC236" i="8"/>
  <c r="AC248" i="8"/>
  <c r="AE10" i="8"/>
  <c r="AE22" i="8"/>
  <c r="AE34" i="8"/>
  <c r="AE46" i="8"/>
  <c r="AE58" i="8"/>
  <c r="AE70" i="8"/>
  <c r="AE82" i="8"/>
  <c r="AE94" i="8"/>
  <c r="AE106" i="8"/>
  <c r="AE118" i="8"/>
  <c r="AE130" i="8"/>
  <c r="AE142" i="8"/>
  <c r="AE154" i="8"/>
  <c r="AE166" i="8"/>
  <c r="AE178" i="8"/>
  <c r="AE190" i="8"/>
  <c r="AE202" i="8"/>
  <c r="AE214" i="8"/>
  <c r="AE226" i="8"/>
  <c r="AE238" i="8"/>
  <c r="AE250" i="8"/>
  <c r="AG12" i="8"/>
  <c r="AG24" i="8"/>
  <c r="AG36" i="8"/>
  <c r="AG48" i="8"/>
  <c r="AG60" i="8"/>
  <c r="M138" i="8"/>
  <c r="M150" i="8"/>
  <c r="M162" i="8"/>
  <c r="M174" i="8"/>
  <c r="M186" i="8"/>
  <c r="M198" i="8"/>
  <c r="M210" i="8"/>
  <c r="M222" i="8"/>
  <c r="M234" i="8"/>
  <c r="M246" i="8"/>
  <c r="O8" i="8"/>
  <c r="O20" i="8"/>
  <c r="O32" i="8"/>
  <c r="O44" i="8"/>
  <c r="O56" i="8"/>
  <c r="O68" i="8"/>
  <c r="O80" i="8"/>
  <c r="O92" i="8"/>
  <c r="O104" i="8"/>
  <c r="O116" i="8"/>
  <c r="O128" i="8"/>
  <c r="O140" i="8"/>
  <c r="O152" i="8"/>
  <c r="O164" i="8"/>
  <c r="O176" i="8"/>
  <c r="O188" i="8"/>
  <c r="O200" i="8"/>
  <c r="O212" i="8"/>
  <c r="O224" i="8"/>
  <c r="O236" i="8"/>
  <c r="O248" i="8"/>
  <c r="Q10" i="8"/>
  <c r="Q22" i="8"/>
  <c r="Q34" i="8"/>
  <c r="Q46" i="8"/>
  <c r="Q58" i="8"/>
  <c r="Q70" i="8"/>
  <c r="Q82" i="8"/>
  <c r="Q94" i="8"/>
  <c r="Q106" i="8"/>
  <c r="Q118" i="8"/>
  <c r="Q130" i="8"/>
  <c r="Q142" i="8"/>
  <c r="Q154" i="8"/>
  <c r="Q166" i="8"/>
  <c r="Q178" i="8"/>
  <c r="Q190" i="8"/>
  <c r="Q202" i="8"/>
  <c r="Q214" i="8"/>
  <c r="Q226" i="8"/>
  <c r="Q238" i="8"/>
  <c r="Q250" i="8"/>
  <c r="S12" i="8"/>
  <c r="S24" i="8"/>
  <c r="S36" i="8"/>
  <c r="S48" i="8"/>
  <c r="S60" i="8"/>
  <c r="S72" i="8"/>
  <c r="S84" i="8"/>
  <c r="S96" i="8"/>
  <c r="S108" i="8"/>
  <c r="S120" i="8"/>
  <c r="S132" i="8"/>
  <c r="S144" i="8"/>
  <c r="S156" i="8"/>
  <c r="S168" i="8"/>
  <c r="S180" i="8"/>
  <c r="S192" i="8"/>
  <c r="S204" i="8"/>
  <c r="S216" i="8"/>
  <c r="S228" i="8"/>
  <c r="S240" i="8"/>
  <c r="U14" i="8"/>
  <c r="U26" i="8"/>
  <c r="U38" i="8"/>
  <c r="U50" i="8"/>
  <c r="U62" i="8"/>
  <c r="U74" i="8"/>
  <c r="U86" i="8"/>
  <c r="U98" i="8"/>
  <c r="U110" i="8"/>
  <c r="U122" i="8"/>
  <c r="U134" i="8"/>
  <c r="U146" i="8"/>
  <c r="U158" i="8"/>
  <c r="U170" i="8"/>
  <c r="U182" i="8"/>
  <c r="U194" i="8"/>
  <c r="U206" i="8"/>
  <c r="U218" i="8"/>
  <c r="U230" i="8"/>
  <c r="U242" i="8"/>
  <c r="W4" i="8"/>
  <c r="W16" i="8"/>
  <c r="W28" i="8"/>
  <c r="W40" i="8"/>
  <c r="W52" i="8"/>
  <c r="W64" i="8"/>
  <c r="W76" i="8"/>
  <c r="W88" i="8"/>
  <c r="W100" i="8"/>
  <c r="W112" i="8"/>
  <c r="W124" i="8"/>
  <c r="W136" i="8"/>
  <c r="W148" i="8"/>
  <c r="W160" i="8"/>
  <c r="W172" i="8"/>
  <c r="W184" i="8"/>
  <c r="W196" i="8"/>
  <c r="W208" i="8"/>
  <c r="W220" i="8"/>
  <c r="W232" i="8"/>
  <c r="W244" i="8"/>
  <c r="Y6" i="8"/>
  <c r="Y18" i="8"/>
  <c r="Y30" i="8"/>
  <c r="Y42" i="8"/>
  <c r="Y54" i="8"/>
  <c r="Y66" i="8"/>
  <c r="Y78" i="8"/>
  <c r="Y90" i="8"/>
  <c r="Y102" i="8"/>
  <c r="Y114" i="8"/>
  <c r="Y126" i="8"/>
  <c r="Y138" i="8"/>
  <c r="Y150" i="8"/>
  <c r="Y162" i="8"/>
  <c r="Y174" i="8"/>
  <c r="Y186" i="8"/>
  <c r="Y198" i="8"/>
  <c r="Y210" i="8"/>
  <c r="Y222" i="8"/>
  <c r="Y234" i="8"/>
  <c r="Y246" i="8"/>
  <c r="AA9" i="8"/>
  <c r="AA21" i="8"/>
  <c r="AA33" i="8"/>
  <c r="AA45" i="8"/>
  <c r="AA57" i="8"/>
  <c r="AA69" i="8"/>
  <c r="AA81" i="8"/>
  <c r="AA93" i="8"/>
  <c r="AA105" i="8"/>
  <c r="AA117"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5" i="8"/>
  <c r="AG27" i="8"/>
  <c r="AG39" i="8"/>
  <c r="AG51" i="8"/>
  <c r="AG63" i="8"/>
  <c r="AG75" i="8"/>
  <c r="AG87" i="8"/>
  <c r="AG99" i="8"/>
  <c r="AG111" i="8"/>
  <c r="AG123" i="8"/>
  <c r="AG135" i="8"/>
  <c r="AG147" i="8"/>
  <c r="AG159" i="8"/>
  <c r="AG171" i="8"/>
  <c r="AG183" i="8"/>
  <c r="AG195" i="8"/>
  <c r="AG207" i="8"/>
  <c r="AG219"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W251" i="8"/>
  <c r="Y13" i="8"/>
  <c r="Y25" i="8"/>
  <c r="Y37" i="8"/>
  <c r="Y49" i="8"/>
  <c r="Y61" i="8"/>
  <c r="Y73" i="8"/>
  <c r="Y85" i="8"/>
  <c r="Y97" i="8"/>
  <c r="Y109" i="8"/>
  <c r="Y121" i="8"/>
  <c r="Y133" i="8"/>
  <c r="Y145" i="8"/>
  <c r="Y157" i="8"/>
  <c r="Y169" i="8"/>
  <c r="Y181" i="8"/>
  <c r="Y193" i="8"/>
  <c r="Y205" i="8"/>
  <c r="Y217" i="8"/>
  <c r="Y229" i="8"/>
  <c r="Y241"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AE128" i="8"/>
  <c r="AE140" i="8"/>
  <c r="AE152" i="8"/>
  <c r="AE164" i="8"/>
  <c r="AE176" i="8"/>
  <c r="AE188" i="8"/>
  <c r="AE200" i="8"/>
  <c r="AE212" i="8"/>
  <c r="AE224" i="8"/>
  <c r="AE236" i="8"/>
  <c r="AE248" i="8"/>
  <c r="AG10" i="8"/>
  <c r="AG22" i="8"/>
  <c r="AG34" i="8"/>
  <c r="AG46" i="8"/>
  <c r="AG58" i="8"/>
  <c r="AG70" i="8"/>
  <c r="AG82" i="8"/>
  <c r="AG94" i="8"/>
  <c r="AG106" i="8"/>
  <c r="AG118" i="8"/>
  <c r="AG130" i="8"/>
  <c r="AG142"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04" i="8"/>
  <c r="AI216" i="8"/>
  <c r="AI228" i="8"/>
  <c r="AI240" i="8"/>
  <c r="AK14" i="8"/>
  <c r="AK26" i="8"/>
  <c r="AK38" i="8"/>
  <c r="AK50" i="8"/>
  <c r="AK62" i="8"/>
  <c r="AK74" i="8"/>
  <c r="AK86" i="8"/>
  <c r="AK98" i="8"/>
  <c r="AK110" i="8"/>
  <c r="AK122" i="8"/>
  <c r="AK134" i="8"/>
  <c r="AK146" i="8"/>
  <c r="AK158" i="8"/>
  <c r="AK170" i="8"/>
  <c r="AK182" i="8"/>
  <c r="AK194" i="8"/>
  <c r="AK206" i="8"/>
  <c r="AK218" i="8"/>
  <c r="AK230" i="8"/>
  <c r="AK242" i="8"/>
  <c r="AM4" i="8"/>
  <c r="AM16" i="8"/>
  <c r="AM28" i="8"/>
  <c r="AM40" i="8"/>
  <c r="AM52" i="8"/>
  <c r="AM64" i="8"/>
  <c r="AM76" i="8"/>
  <c r="AM88" i="8"/>
  <c r="AM100" i="8"/>
  <c r="AM112" i="8"/>
  <c r="AM124" i="8"/>
  <c r="AM136" i="8"/>
  <c r="AM148" i="8"/>
  <c r="AM160" i="8"/>
  <c r="AM172" i="8"/>
  <c r="AM184" i="8"/>
  <c r="AM196" i="8"/>
  <c r="AM208" i="8"/>
  <c r="AM220" i="8"/>
  <c r="AM232" i="8"/>
  <c r="AM244" i="8"/>
  <c r="AO6" i="8"/>
  <c r="AO18" i="8"/>
  <c r="AO30" i="8"/>
  <c r="AO42" i="8"/>
  <c r="AG72" i="8"/>
  <c r="AG84" i="8"/>
  <c r="AG96" i="8"/>
  <c r="AG108" i="8"/>
  <c r="AG120" i="8"/>
  <c r="AG132" i="8"/>
  <c r="AG144" i="8"/>
  <c r="AG156" i="8"/>
  <c r="AG168" i="8"/>
  <c r="AG180" i="8"/>
  <c r="AG192" i="8"/>
  <c r="AG204" i="8"/>
  <c r="AG216" i="8"/>
  <c r="AG228" i="8"/>
  <c r="AG240" i="8"/>
  <c r="AI14" i="8"/>
  <c r="AI26" i="8"/>
  <c r="AI38" i="8"/>
  <c r="AI50" i="8"/>
  <c r="AI62" i="8"/>
  <c r="AI74" i="8"/>
  <c r="AI86" i="8"/>
  <c r="AI98" i="8"/>
  <c r="AI110" i="8"/>
  <c r="AI122" i="8"/>
  <c r="AI134" i="8"/>
  <c r="AI146" i="8"/>
  <c r="AI158" i="8"/>
  <c r="AI170" i="8"/>
  <c r="AI182" i="8"/>
  <c r="AI194" i="8"/>
  <c r="AI206" i="8"/>
  <c r="AI218" i="8"/>
  <c r="AI230" i="8"/>
  <c r="AI242" i="8"/>
  <c r="AK4" i="8"/>
  <c r="AK16" i="8"/>
  <c r="AK28" i="8"/>
  <c r="AK40" i="8"/>
  <c r="AK52" i="8"/>
  <c r="AK64"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62"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O167" i="8"/>
  <c r="AO179"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AO54" i="8"/>
  <c r="AO66" i="8"/>
  <c r="AO78" i="8"/>
  <c r="AO90" i="8"/>
  <c r="AO102"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37"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11" i="8"/>
  <c r="BA123" i="8"/>
  <c r="BA135" i="8"/>
  <c r="BA147" i="8"/>
  <c r="BA159" i="8"/>
  <c r="BA171" i="8"/>
  <c r="BA183" i="8"/>
  <c r="BA195" i="8"/>
  <c r="BA207" i="8"/>
  <c r="BA219" i="8"/>
  <c r="BA231" i="8"/>
  <c r="BA243" i="8"/>
  <c r="BC6" i="8"/>
  <c r="BC18" i="8"/>
  <c r="BC30" i="8"/>
  <c r="BC42" i="8"/>
  <c r="BC54" i="8"/>
  <c r="BC66" i="8"/>
  <c r="BC78" i="8"/>
  <c r="BC90" i="8"/>
  <c r="BC102" i="8"/>
  <c r="BC114" i="8"/>
  <c r="BC126" i="8"/>
  <c r="BC138" i="8"/>
  <c r="BC150"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80" i="8"/>
  <c r="BG192" i="8"/>
  <c r="BG204" i="8"/>
  <c r="BG216" i="8"/>
  <c r="BG228" i="8"/>
  <c r="BG240" i="8"/>
  <c r="BI15" i="8"/>
  <c r="BI27" i="8"/>
  <c r="BI39" i="8"/>
  <c r="BI51" i="8"/>
  <c r="BI63" i="8"/>
  <c r="BI75" i="8"/>
  <c r="BI87" i="8"/>
  <c r="BI99" i="8"/>
  <c r="BI111" i="8"/>
  <c r="BI123" i="8"/>
  <c r="BI135" i="8"/>
  <c r="BI147" i="8"/>
  <c r="BI159" i="8"/>
  <c r="BI171" i="8"/>
  <c r="BI183" i="8"/>
  <c r="BI195" i="8"/>
  <c r="BI207" i="8"/>
  <c r="BI219" i="8"/>
  <c r="BI231" i="8"/>
  <c r="BI243" i="8"/>
  <c r="BK6" i="8"/>
  <c r="BK18" i="8"/>
  <c r="BK30" i="8"/>
  <c r="BK42" i="8"/>
  <c r="BK54" i="8"/>
  <c r="BK66" i="8"/>
  <c r="BK78" i="8"/>
  <c r="BK90" i="8"/>
  <c r="BK102" i="8"/>
  <c r="BK114" i="8"/>
  <c r="BK126" i="8"/>
  <c r="BK138"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198"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1" i="8"/>
  <c r="BC23" i="8"/>
  <c r="BC35" i="8"/>
  <c r="BC47" i="8"/>
  <c r="BC59" i="8"/>
  <c r="BC71" i="8"/>
  <c r="BC83" i="8"/>
  <c r="BC95" i="8"/>
  <c r="BC107" i="8"/>
  <c r="BC119" i="8"/>
  <c r="BC131" i="8"/>
  <c r="BC143" i="8"/>
  <c r="BC155" i="8"/>
  <c r="BC167" i="8"/>
  <c r="BC179" i="8"/>
  <c r="BC191" i="8"/>
  <c r="BC203" i="8"/>
  <c r="BC215" i="8"/>
  <c r="BC227" i="8"/>
  <c r="BC239" i="8"/>
  <c r="BC251" i="8"/>
  <c r="BE14" i="8"/>
  <c r="BE26" i="8"/>
  <c r="BE38" i="8"/>
  <c r="BE50" i="8"/>
  <c r="BE62" i="8"/>
  <c r="BE74" i="8"/>
  <c r="BE86" i="8"/>
  <c r="BE98" i="8"/>
  <c r="BE110" i="8"/>
  <c r="BE122" i="8"/>
  <c r="BE134" i="8"/>
  <c r="BE146" i="8"/>
  <c r="BE158" i="8"/>
  <c r="BE170" i="8"/>
  <c r="BE182" i="8"/>
  <c r="BE194" i="8"/>
  <c r="BE206" i="8"/>
  <c r="BE218" i="8"/>
  <c r="BE230" i="8"/>
  <c r="BE242" i="8"/>
  <c r="BG5" i="8"/>
  <c r="BG17" i="8"/>
  <c r="BG29" i="8"/>
  <c r="BG41" i="8"/>
  <c r="BG53" i="8"/>
  <c r="BG65" i="8"/>
  <c r="BG77" i="8"/>
  <c r="BG89" i="8"/>
  <c r="BG101" i="8"/>
  <c r="BG113" i="8"/>
  <c r="BG125" i="8"/>
  <c r="BG137" i="8"/>
  <c r="BG149" i="8"/>
  <c r="BG161" i="8"/>
  <c r="BG173" i="8"/>
  <c r="BG185" i="8"/>
  <c r="BG197" i="8"/>
  <c r="BG209" i="8"/>
  <c r="BG221" i="8"/>
  <c r="BG233" i="8"/>
  <c r="BG245" i="8"/>
  <c r="BI8" i="8"/>
  <c r="BI20" i="8"/>
  <c r="BI32" i="8"/>
  <c r="BI44" i="8"/>
  <c r="BI56" i="8"/>
  <c r="BI68" i="8"/>
  <c r="BI80" i="8"/>
  <c r="BI92" i="8"/>
  <c r="BI104" i="8"/>
  <c r="BI116" i="8"/>
  <c r="BI128" i="8"/>
  <c r="BI140" i="8"/>
  <c r="BI152" i="8"/>
  <c r="BI164" i="8"/>
  <c r="BI176" i="8"/>
  <c r="BI188" i="8"/>
  <c r="BI200" i="8"/>
  <c r="BI212" i="8"/>
  <c r="BI224" i="8"/>
  <c r="BI236" i="8"/>
  <c r="BI248" i="8"/>
  <c r="BK11" i="8"/>
  <c r="BK23" i="8"/>
  <c r="BK35" i="8"/>
  <c r="BK47" i="8"/>
  <c r="BK59" i="8"/>
  <c r="BK71" i="8"/>
  <c r="BK83" i="8"/>
  <c r="BK95" i="8"/>
  <c r="BK107" i="8"/>
  <c r="BK119" i="8"/>
  <c r="BK131" i="8"/>
  <c r="BK143" i="8"/>
  <c r="BK155" i="8"/>
  <c r="BK167" i="8"/>
  <c r="BK179" i="8"/>
  <c r="BK191" i="8"/>
  <c r="BK203" i="8"/>
  <c r="BK215" i="8"/>
  <c r="BK227" i="8"/>
  <c r="BK239" i="8"/>
  <c r="BK251" i="8"/>
  <c r="BM14" i="8"/>
  <c r="BM26" i="8"/>
  <c r="BM38" i="8"/>
  <c r="BM50" i="8"/>
  <c r="BM62" i="8"/>
  <c r="BM74" i="8"/>
  <c r="BA95" i="8"/>
  <c r="BA107" i="8"/>
  <c r="BA119" i="8"/>
  <c r="BA131" i="8"/>
  <c r="BA143" i="8"/>
  <c r="BA155" i="8"/>
  <c r="BA167" i="8"/>
  <c r="BA179" i="8"/>
  <c r="BA191" i="8"/>
  <c r="BA203" i="8"/>
  <c r="BA215" i="8"/>
  <c r="BA227"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35" i="8"/>
  <c r="BI47" i="8"/>
  <c r="BI59" i="8"/>
  <c r="BI71" i="8"/>
  <c r="BI83" i="8"/>
  <c r="BI95" i="8"/>
  <c r="BI107" i="8"/>
  <c r="BI119" i="8"/>
  <c r="BI131" i="8"/>
  <c r="BI143" i="8"/>
  <c r="BI155" i="8"/>
  <c r="BI167" i="8"/>
  <c r="BI179" i="8"/>
  <c r="BI191" i="8"/>
  <c r="BI203" i="8"/>
  <c r="BI215" i="8"/>
  <c r="BI227" i="8"/>
  <c r="BI239" i="8"/>
  <c r="BI251" i="8"/>
  <c r="BK14" i="8"/>
  <c r="BK26" i="8"/>
  <c r="BK38" i="8"/>
  <c r="BK50" i="8"/>
  <c r="BK62" i="8"/>
  <c r="BK74" i="8"/>
  <c r="BK86" i="8"/>
  <c r="BK98" i="8"/>
  <c r="BK110" i="8"/>
  <c r="BK122" i="8"/>
  <c r="BK134"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44" i="8"/>
  <c r="BO56" i="8"/>
  <c r="BO68" i="8"/>
  <c r="BO80" i="8"/>
  <c r="BO92" i="8"/>
  <c r="BO104" i="8"/>
  <c r="BO116" i="8"/>
  <c r="BO128" i="8"/>
  <c r="BO140" i="8"/>
  <c r="BO152" i="8"/>
  <c r="BO164" i="8"/>
  <c r="BO176" i="8"/>
  <c r="BO188" i="8"/>
  <c r="BO200" i="8"/>
  <c r="BO212" i="8"/>
  <c r="BO224" i="8"/>
  <c r="BO236" i="8"/>
  <c r="BO248" i="8"/>
  <c r="BQ11" i="8"/>
  <c r="BQ23" i="8"/>
  <c r="BQ35" i="8"/>
  <c r="BQ47" i="8"/>
  <c r="BQ59" i="8"/>
  <c r="BQ71" i="8"/>
  <c r="BQ83" i="8"/>
  <c r="BQ95" i="8"/>
  <c r="BQ107" i="8"/>
  <c r="BQ119" i="8"/>
  <c r="BQ131" i="8"/>
  <c r="BQ143" i="8"/>
  <c r="BQ155" i="8"/>
  <c r="BQ167" i="8"/>
  <c r="BQ179" i="8"/>
  <c r="BQ191" i="8"/>
  <c r="BQ203" i="8"/>
  <c r="BQ215" i="8"/>
  <c r="BQ227" i="8"/>
  <c r="BQ239" i="8"/>
  <c r="BQ251" i="8"/>
  <c r="BS14" i="8"/>
  <c r="BS26" i="8"/>
  <c r="BS38" i="8"/>
  <c r="BS50" i="8"/>
  <c r="BS62" i="8"/>
  <c r="BS74" i="8"/>
  <c r="BS86" i="8"/>
  <c r="BS98" i="8"/>
  <c r="BS110" i="8"/>
  <c r="BS122" i="8"/>
  <c r="BS134" i="8"/>
  <c r="BS146" i="8"/>
  <c r="BS158" i="8"/>
  <c r="BS170" i="8"/>
  <c r="BS182" i="8"/>
  <c r="BS194" i="8"/>
  <c r="BS206" i="8"/>
  <c r="BS218" i="8"/>
  <c r="BS230" i="8"/>
  <c r="BS242" i="8"/>
  <c r="BU5" i="8"/>
  <c r="BU17"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19" i="8"/>
  <c r="BY131" i="8"/>
  <c r="BY143" i="8"/>
  <c r="BY155" i="8"/>
  <c r="BY167" i="8"/>
  <c r="BY179" i="8"/>
  <c r="BY191" i="8"/>
  <c r="BY203" i="8"/>
  <c r="BY215" i="8"/>
  <c r="BY227" i="8"/>
  <c r="BY239" i="8"/>
  <c r="BY251" i="8"/>
  <c r="CA13" i="8"/>
  <c r="CA25" i="8"/>
  <c r="CA37" i="8"/>
  <c r="CA49" i="8"/>
  <c r="CA61" i="8"/>
  <c r="CA73" i="8"/>
  <c r="CA85" i="8"/>
  <c r="CA97" i="8"/>
  <c r="CA109" i="8"/>
  <c r="BY37" i="8"/>
  <c r="BY49" i="8"/>
  <c r="BY61" i="8"/>
  <c r="BY73" i="8"/>
  <c r="BY85" i="8"/>
  <c r="BY97" i="8"/>
  <c r="BY109" i="8"/>
  <c r="BK150" i="8"/>
  <c r="BK162" i="8"/>
  <c r="BK174" i="8"/>
  <c r="BK186" i="8"/>
  <c r="BK198"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2" i="8"/>
  <c r="BO24" i="8"/>
  <c r="BO36" i="8"/>
  <c r="BO48" i="8"/>
  <c r="BO60" i="8"/>
  <c r="BO72" i="8"/>
  <c r="BO84" i="8"/>
  <c r="BO96" i="8"/>
  <c r="BO108" i="8"/>
  <c r="BO120" i="8"/>
  <c r="BO132" i="8"/>
  <c r="BO144" i="8"/>
  <c r="BO156" i="8"/>
  <c r="BO168" i="8"/>
  <c r="BO180" i="8"/>
  <c r="BO192" i="8"/>
  <c r="BO204" i="8"/>
  <c r="BO216" i="8"/>
  <c r="BO228" i="8"/>
  <c r="BO240" i="8"/>
  <c r="BQ15" i="8"/>
  <c r="BQ27" i="8"/>
  <c r="BQ39" i="8"/>
  <c r="BQ51" i="8"/>
  <c r="BQ63" i="8"/>
  <c r="BQ75" i="8"/>
  <c r="BQ87" i="8"/>
  <c r="BQ99" i="8"/>
  <c r="BQ111" i="8"/>
  <c r="BQ123" i="8"/>
  <c r="BQ135" i="8"/>
  <c r="BQ147" i="8"/>
  <c r="BQ159" i="8"/>
  <c r="BQ171" i="8"/>
  <c r="BQ183" i="8"/>
  <c r="BQ195" i="8"/>
  <c r="BQ207" i="8"/>
  <c r="BQ219" i="8"/>
  <c r="BQ231" i="8"/>
  <c r="BQ243" i="8"/>
  <c r="BS6" i="8"/>
  <c r="BS18" i="8"/>
  <c r="BS30" i="8"/>
  <c r="BS42" i="8"/>
  <c r="BS54" i="8"/>
  <c r="BS66" i="8"/>
  <c r="BS78" i="8"/>
  <c r="BS90" i="8"/>
  <c r="BS102" i="8"/>
  <c r="BS114" i="8"/>
  <c r="BS126" i="8"/>
  <c r="BS138" i="8"/>
  <c r="BS150" i="8"/>
  <c r="BS162" i="8"/>
  <c r="BS174" i="8"/>
  <c r="BS186" i="8"/>
  <c r="BS198" i="8"/>
  <c r="BS210" i="8"/>
  <c r="BS222" i="8"/>
  <c r="BS234" i="8"/>
  <c r="BS246" i="8"/>
  <c r="BU9" i="8"/>
  <c r="BU21" i="8"/>
  <c r="BU33" i="8"/>
  <c r="BU45" i="8"/>
  <c r="BU57" i="8"/>
  <c r="BU69" i="8"/>
  <c r="BU81" i="8"/>
  <c r="BU93" i="8"/>
  <c r="BU105" i="8"/>
  <c r="BU117" i="8"/>
  <c r="BU129" i="8"/>
  <c r="BU141" i="8"/>
  <c r="BU153" i="8"/>
  <c r="BU165" i="8"/>
  <c r="BU177" i="8"/>
  <c r="BU189" i="8"/>
  <c r="BU201" i="8"/>
  <c r="BU213" i="8"/>
  <c r="BU225" i="8"/>
  <c r="BU237" i="8"/>
  <c r="BU249" i="8"/>
  <c r="BW12" i="8"/>
  <c r="BW24" i="8"/>
  <c r="BW36" i="8"/>
  <c r="BW48" i="8"/>
  <c r="BW60" i="8"/>
  <c r="BW72" i="8"/>
  <c r="BW84" i="8"/>
  <c r="BW96" i="8"/>
  <c r="BW108" i="8"/>
  <c r="BW120" i="8"/>
  <c r="BW132" i="8"/>
  <c r="BW144" i="8"/>
  <c r="BW156" i="8"/>
  <c r="BW168" i="8"/>
  <c r="BW180" i="8"/>
  <c r="BW192" i="8"/>
  <c r="BW204" i="8"/>
  <c r="BW216" i="8"/>
  <c r="BW228" i="8"/>
  <c r="BW240"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BS43" i="8"/>
  <c r="BS55" i="8"/>
  <c r="BS67" i="8"/>
  <c r="BS79" i="8"/>
  <c r="BS91" i="8"/>
  <c r="BS103" i="8"/>
  <c r="BS115" i="8"/>
  <c r="BS127" i="8"/>
  <c r="BS139" i="8"/>
  <c r="BS151" i="8"/>
  <c r="BS163" i="8"/>
  <c r="BS175" i="8"/>
  <c r="BS187" i="8"/>
  <c r="AY64" i="8"/>
  <c r="AY76" i="8"/>
  <c r="AY88" i="8"/>
  <c r="AY100" i="8"/>
  <c r="AY112"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C9" i="8"/>
  <c r="BC21" i="8"/>
  <c r="BC33" i="8"/>
  <c r="BC45" i="8"/>
  <c r="BC57" i="8"/>
  <c r="BC69" i="8"/>
  <c r="BC81" i="8"/>
  <c r="BC93" i="8"/>
  <c r="BC105" i="8"/>
  <c r="BC117" i="8"/>
  <c r="BC129" i="8"/>
  <c r="BC141" i="8"/>
  <c r="BC153" i="8"/>
  <c r="BC165" i="8"/>
  <c r="BC177" i="8"/>
  <c r="BC189" i="8"/>
  <c r="BC201" i="8"/>
  <c r="BC213" i="8"/>
  <c r="BC225" i="8"/>
  <c r="BC237" i="8"/>
  <c r="BC249" i="8"/>
  <c r="BE12" i="8"/>
  <c r="BE24" i="8"/>
  <c r="BE36" i="8"/>
  <c r="BE48" i="8"/>
  <c r="BE60" i="8"/>
  <c r="BE72" i="8"/>
  <c r="BE84" i="8"/>
  <c r="BE96" i="8"/>
  <c r="BE108" i="8"/>
  <c r="BE120" i="8"/>
  <c r="BE132" i="8"/>
  <c r="BE144" i="8"/>
  <c r="BE156" i="8"/>
  <c r="BE168" i="8"/>
  <c r="BE180" i="8"/>
  <c r="BE192" i="8"/>
  <c r="BE204"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12" i="8"/>
  <c r="CG24" i="8"/>
  <c r="CG36" i="8"/>
  <c r="CG48" i="8"/>
  <c r="CG60" i="8"/>
  <c r="CG72" i="8"/>
  <c r="CG84" i="8"/>
  <c r="CG96" i="8"/>
  <c r="CG108" i="8"/>
  <c r="CG120" i="8"/>
  <c r="CG132" i="8"/>
  <c r="CG144" i="8"/>
  <c r="CG156" i="8"/>
  <c r="CG168" i="8"/>
  <c r="CG180" i="8"/>
  <c r="CG192" i="8"/>
  <c r="CG204" i="8"/>
  <c r="CG216" i="8"/>
  <c r="CG228" i="8"/>
  <c r="CG240" i="8"/>
  <c r="CI14" i="8"/>
  <c r="CI26" i="8"/>
  <c r="CI38" i="8"/>
  <c r="CI50" i="8"/>
  <c r="CI62" i="8"/>
  <c r="CI74" i="8"/>
  <c r="CI86" i="8"/>
  <c r="CI98" i="8"/>
  <c r="CI110"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BE216" i="8"/>
  <c r="BE228" i="8"/>
  <c r="BE240" i="8"/>
  <c r="BG15" i="8"/>
  <c r="BG27" i="8"/>
  <c r="BG39" i="8"/>
  <c r="BG51" i="8"/>
  <c r="BG63" i="8"/>
  <c r="BG75" i="8"/>
  <c r="BG87" i="8"/>
  <c r="BG99" i="8"/>
  <c r="BG111" i="8"/>
  <c r="BG123" i="8"/>
  <c r="BG135" i="8"/>
  <c r="BG147" i="8"/>
  <c r="BG159" i="8"/>
  <c r="BG171" i="8"/>
  <c r="BG183" i="8"/>
  <c r="BG195" i="8"/>
  <c r="BG207" i="8"/>
  <c r="BG219" i="8"/>
  <c r="BG231" i="8"/>
  <c r="BG243" i="8"/>
  <c r="BI6" i="8"/>
  <c r="BI18" i="8"/>
  <c r="BI30" i="8"/>
  <c r="BI42" i="8"/>
  <c r="BI54" i="8"/>
  <c r="BI66" i="8"/>
  <c r="BI78" i="8"/>
  <c r="BI90" i="8"/>
  <c r="BI102" i="8"/>
  <c r="BI114" i="8"/>
  <c r="BI126" i="8"/>
  <c r="BI138" i="8"/>
  <c r="BI150" i="8"/>
  <c r="BI162" i="8"/>
  <c r="BI174" i="8"/>
  <c r="BI186" i="8"/>
  <c r="BI198" i="8"/>
  <c r="BI210" i="8"/>
  <c r="BI222" i="8"/>
  <c r="BI234" i="8"/>
  <c r="BI246" i="8"/>
  <c r="BK9" i="8"/>
  <c r="BK21" i="8"/>
  <c r="BK33" i="8"/>
  <c r="BK45" i="8"/>
  <c r="BK57" i="8"/>
  <c r="BK69" i="8"/>
  <c r="BK81" i="8"/>
  <c r="BK93" i="8"/>
  <c r="BK105" i="8"/>
  <c r="BK117" i="8"/>
  <c r="BK129" i="8"/>
  <c r="BK141" i="8"/>
  <c r="BK153" i="8"/>
  <c r="BK165" i="8"/>
  <c r="BK177" i="8"/>
  <c r="BK189" i="8"/>
  <c r="BK201" i="8"/>
  <c r="BK213" i="8"/>
  <c r="BK225" i="8"/>
  <c r="BK237" i="8"/>
  <c r="BK249" i="8"/>
  <c r="BM12" i="8"/>
  <c r="BM24" i="8"/>
  <c r="BM36" i="8"/>
  <c r="BM48" i="8"/>
  <c r="BM60" i="8"/>
  <c r="BM72" i="8"/>
  <c r="BM84" i="8"/>
  <c r="BM96" i="8"/>
  <c r="BM108" i="8"/>
  <c r="BM120" i="8"/>
  <c r="BM132" i="8"/>
  <c r="BM144" i="8"/>
  <c r="BM156"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119" i="8"/>
  <c r="CQ131" i="8"/>
  <c r="CQ143" i="8"/>
  <c r="CQ155" i="8"/>
  <c r="CQ167" i="8"/>
  <c r="CQ179" i="8"/>
  <c r="CQ191" i="8"/>
  <c r="CQ203" i="8"/>
  <c r="CQ215" i="8"/>
  <c r="CQ227" i="8"/>
  <c r="CQ239" i="8"/>
  <c r="CQ251" i="8"/>
  <c r="BM168" i="8"/>
  <c r="BM180" i="8"/>
  <c r="BM192" i="8"/>
  <c r="BM204" i="8"/>
  <c r="BM216" i="8"/>
  <c r="BM228" i="8"/>
  <c r="BM240" i="8"/>
  <c r="BO15" i="8"/>
  <c r="BO27" i="8"/>
  <c r="BO39" i="8"/>
  <c r="BO51" i="8"/>
  <c r="BO63" i="8"/>
  <c r="BO75" i="8"/>
  <c r="BO87" i="8"/>
  <c r="BO99" i="8"/>
  <c r="BO111" i="8"/>
  <c r="BO123" i="8"/>
  <c r="BO135" i="8"/>
  <c r="BO147" i="8"/>
  <c r="BO159" i="8"/>
  <c r="BO171" i="8"/>
  <c r="BO183" i="8"/>
  <c r="BO195" i="8"/>
  <c r="BO207" i="8"/>
  <c r="BO219"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80"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CE170" i="8"/>
  <c r="CE182" i="8"/>
  <c r="CA121" i="8"/>
  <c r="CA133" i="8"/>
  <c r="CA145" i="8"/>
  <c r="CA157" i="8"/>
  <c r="CA169" i="8"/>
  <c r="CA181" i="8"/>
  <c r="CA193" i="8"/>
  <c r="CA205" i="8"/>
  <c r="CA217" i="8"/>
  <c r="CA229" i="8"/>
  <c r="CA241" i="8"/>
  <c r="CC15" i="8"/>
  <c r="CC27" i="8"/>
  <c r="CC39"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I250" i="8"/>
  <c r="CK12" i="8"/>
  <c r="CK24" i="8"/>
  <c r="CK36" i="8"/>
  <c r="CK48" i="8"/>
  <c r="CK60" i="8"/>
  <c r="CK72" i="8"/>
  <c r="CK84" i="8"/>
  <c r="CK96" i="8"/>
  <c r="CK108" i="8"/>
  <c r="CK120" i="8"/>
  <c r="CK132" i="8"/>
  <c r="CK144" i="8"/>
  <c r="CK156" i="8"/>
  <c r="CK168" i="8"/>
  <c r="CK180"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I121" i="8"/>
  <c r="CI133" i="8"/>
  <c r="CI145" i="8"/>
  <c r="CI157" i="8"/>
  <c r="CI169" i="8"/>
  <c r="CI181" i="8"/>
  <c r="CI193" i="8"/>
  <c r="CI205" i="8"/>
  <c r="CI217" i="8"/>
  <c r="CI229" i="8"/>
  <c r="CI241" i="8"/>
  <c r="CK15" i="8"/>
  <c r="CK27" i="8"/>
  <c r="CK39" i="8"/>
  <c r="CK51" i="8"/>
  <c r="CK63" i="8"/>
  <c r="CK75" i="8"/>
  <c r="CK87" i="8"/>
  <c r="CK99" i="8"/>
  <c r="CK111" i="8"/>
  <c r="CK123" i="8"/>
  <c r="CK135" i="8"/>
  <c r="CI18" i="8"/>
  <c r="CI30" i="8"/>
  <c r="CI42" i="8"/>
  <c r="CI54" i="8"/>
  <c r="CI66" i="8"/>
  <c r="CI78" i="8"/>
  <c r="CI90" i="8"/>
  <c r="CI102" i="8"/>
  <c r="CI114" i="8"/>
  <c r="CI126" i="8"/>
  <c r="CI138" i="8"/>
  <c r="CI150" i="8"/>
  <c r="CI162" i="8"/>
  <c r="CI174" i="8"/>
  <c r="CI186" i="8"/>
  <c r="CI198" i="8"/>
  <c r="CI210"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368">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bk>
      <extLst>
        <ext uri="{3e2802c4-a4d2-4d8b-9148-e3be6c30e623}">
          <xlrd:rvb i="8471"/>
        </ext>
      </extLst>
    </bk>
    <bk>
      <extLst>
        <ext uri="{3e2802c4-a4d2-4d8b-9148-e3be6c30e623}">
          <xlrd:rvb i="8472"/>
        </ext>
      </extLst>
    </bk>
    <bk>
      <extLst>
        <ext uri="{3e2802c4-a4d2-4d8b-9148-e3be6c30e623}">
          <xlrd:rvb i="8473"/>
        </ext>
      </extLst>
    </bk>
    <bk>
      <extLst>
        <ext uri="{3e2802c4-a4d2-4d8b-9148-e3be6c30e623}">
          <xlrd:rvb i="8474"/>
        </ext>
      </extLst>
    </bk>
  </futureMetadata>
  <futureMetadata name="XLDAPR" count="1">
    <bk>
      <extLst>
        <ext uri="{bdbb8cdc-fa1e-496e-a857-3c3f30c029c3}">
          <xda:dynamicArrayProperties fDynamic="1" fCollapsed="0"/>
        </ext>
      </extLst>
    </bk>
  </futureMetadata>
  <cellMetadata count="1">
    <bk>
      <rc t="2" v="0"/>
    </bk>
  </cellMetadata>
  <valueMetadata count="83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bk>
      <rc t="1" v="8333"/>
    </bk>
    <bk>
      <rc t="1" v="8334"/>
    </bk>
    <bk>
      <rc t="1" v="8335"/>
    </bk>
    <bk>
      <rc t="1" v="8336"/>
    </bk>
    <bk>
      <rc t="1" v="8337"/>
    </bk>
    <bk>
      <rc t="1" v="8338"/>
    </bk>
    <bk>
      <rc t="1" v="8339"/>
    </bk>
    <bk>
      <rc t="1" v="8340"/>
    </bk>
    <bk>
      <rc t="1" v="8341"/>
    </bk>
    <bk>
      <rc t="1" v="8342"/>
    </bk>
    <bk>
      <rc t="1" v="8343"/>
    </bk>
    <bk>
      <rc t="1" v="8344"/>
    </bk>
    <bk>
      <rc t="1" v="8345"/>
    </bk>
    <bk>
      <rc t="1" v="8346"/>
    </bk>
    <bk>
      <rc t="1" v="8347"/>
    </bk>
    <bk>
      <rc t="1" v="8348"/>
    </bk>
    <bk>
      <rc t="1" v="8349"/>
    </bk>
    <bk>
      <rc t="1" v="8350"/>
    </bk>
    <bk>
      <rc t="1" v="8351"/>
    </bk>
    <bk>
      <rc t="1" v="8352"/>
    </bk>
    <bk>
      <rc t="1" v="8353"/>
    </bk>
    <bk>
      <rc t="1" v="8354"/>
    </bk>
    <bk>
      <rc t="1" v="8355"/>
    </bk>
    <bk>
      <rc t="1" v="8356"/>
    </bk>
    <bk>
      <rc t="1" v="8357"/>
    </bk>
    <bk>
      <rc t="1" v="8358"/>
    </bk>
    <bk>
      <rc t="1" v="8359"/>
    </bk>
    <bk>
      <rc t="1" v="8360"/>
    </bk>
    <bk>
      <rc t="1" v="8361"/>
    </bk>
    <bk>
      <rc t="1" v="8362"/>
    </bk>
    <bk>
      <rc t="1" v="8363"/>
    </bk>
    <bk>
      <rc t="1" v="8364"/>
    </bk>
    <bk>
      <rc t="1" v="8365"/>
    </bk>
    <bk>
      <rc t="1" v="8366"/>
    </bk>
    <bk>
      <rc t="1" v="8367"/>
    </bk>
  </valueMetadata>
</metadata>
</file>

<file path=xl/sharedStrings.xml><?xml version="1.0" encoding="utf-8"?>
<sst xmlns="http://schemas.openxmlformats.org/spreadsheetml/2006/main" count="729" uniqueCount="96">
  <si>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</si>
  <si>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</si>
  <si>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</si>
  <si>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</si>
  <si>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</si>
  <si>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</si>
  <si>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</si>
  <si>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</si>
  <si>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</si>
  <si>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</si>
  <si>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</si>
  <si>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</si>
  <si>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</si>
  <si>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</si>
  <si>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</si>
  <si>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</si>
  <si>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</si>
  <si>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</si>
  <si>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</si>
  <si>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</si>
  <si>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</si>
  <si>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</si>
  <si>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</si>
  <si>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</si>
  <si>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</si>
  <si>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</si>
  <si>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</si>
  <si>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</si>
  <si>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</si>
  <si>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</si>
  <si>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</si>
  <si>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</si>
  <si>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</si>
  <si>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</si>
  <si>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</si>
  <si>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</si>
  <si>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</si>
  <si>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</si>
  <si>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</si>
  <si>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</si>
  <si>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</si>
  <si>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</si>
  <si>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</si>
  <si>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</si>
  <si>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</si>
  <si>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</si>
  <si>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</si>
  <si>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</si>
  <si>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</si>
  <si>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</si>
  <si>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</si>
  <si>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</si>
  <si>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</si>
  <si>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</si>
  <si>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</si>
  <si>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</si>
  <si>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</si>
  <si>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</si>
  <si>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</si>
  <si>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</si>
  <si>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</si>
  <si>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</si>
  <si>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</si>
  <si>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</si>
  <si>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</si>
  <si>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</si>
  <si>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</si>
  <si>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</si>
  <si>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</si>
  <si>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</si>
  <si>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</si>
  <si>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</si>
  <si>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</si>
  <si>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</si>
  <si>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</si>
  <si>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</si>
  <si>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</si>
  <si>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</si>
  <si>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</si>
  <si>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</si>
  <si>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</si>
  <si>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</si>
  <si>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</si>
  <si>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</si>
  <si>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</si>
  <si>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</si>
  <si>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</si>
  <si>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EUR/USD</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</si>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</sst>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9" x14ac:knownFonts="1">
    <font>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
      <sz val="12"/>
      <color theme="0"/>
      <name val="Aptos Narrow"/>
      <family val="2"/>
      <scheme val="minor"/>
    </font>
    <font>
      <sz val="12"/>
      <color theme="5"/>
      <name val="Aptos Narrow"/>
      <family val="2"/>
      <scheme val="minor"/>
    </font>
    <font>
      <b/>
      <sz val="12"/>
      <color theme="5"/>
      <name val="Aptos Narrow"/>
      <family val="2"/>
      <scheme val="minor"/>
    </font>
    <font>
      <b/>
      <sz val="12"/>
      <color theme="1"/>
      <name val="Aptos Narrow"/>
      <scheme val="minor"/>
    </font>
    <font>
      <sz val="12"/>
      <color rgb="FFE97132"/>
      <name val="Aptos Narrow"/>
      <scheme val="minor"/>
    </font>
  </fonts>
  <fills count="4">
    <fill>
      <patternFill patternType="none"/>
    </fill>
    <fill>
      <patternFill patternType="gray125"/>
    </fill>
    <fill>
      <patternFill patternType="solid">
        <fgColor theme="1"/>
        <bgColor indexed="64"/>
      </patternFill>
    </fill>
    <fill>
      <patternFill patternType="solid">
        <fgColor rgb="FF000000"/>
        <bgColor rgb="FF000000"/>
      </patternFill>
    </fill>
  </fills>
  <borders count="1">
    <border>
      <left/>
      <right/>
      <top/>
      <bottom/>
      <diagonal/>
    </border>
  </borders>
  <cellStyleXfs count="1">
    <xf numFmtId="0" fontId="0" fillId="0" borderId="0"/>
  </cellStyleXfs>
  <cellXfs count="39">
    <xf numFmtId="0" fontId="0" fillId="0" borderId="0" xfId="0"/>
    <xf numFmtId="0" fontId="1" fillId="2" borderId="0" xfId="0" applyFont="1" applyFill="1" applyAlignment="1">
      <alignment horizontal="center" vertical="center"/>
    </xf>
    <xf numFmtId="0" fontId="1" fillId="2" borderId="0" xfId="0" applyFont="1" applyFill="1"/>
    <xf numFmtId="0" fontId="2" fillId="2" borderId="0" xfId="0" applyFont="1" applyFill="1" applyAlignment="1">
      <alignment horizontal="center" vertical="center" wrapText="1"/>
    </xf>
    <xf numFmtId="0" fontId="2" fillId="2" borderId="0" xfId="0" applyFont="1" applyFill="1" applyAlignment="1">
      <alignment vertical="center" wrapText="1"/>
    </xf>
    <xf numFmtId="166" fontId="2" fillId="2" borderId="0" xfId="0" applyNumberFormat="1" applyFont="1" applyFill="1" applyAlignment="1">
      <alignment horizontal="center" vertical="center" wrapText="1"/>
    </xf>
    <xf numFmtId="14" fontId="3" fillId="2" borderId="0" xfId="0" applyNumberFormat="1" applyFont="1" applyFill="1" applyAlignment="1">
      <alignment horizontal="center" vertical="center"/>
    </xf>
    <xf numFmtId="0" fontId="3" fillId="2" borderId="0" xfId="0" applyFont="1" applyFill="1"/>
    <xf numFmtId="0" fontId="0" fillId="2" borderId="0" xfId="0" applyFill="1"/>
    <xf numFmtId="0" fontId="2" fillId="2" borderId="0" xfId="0" applyFont="1" applyFill="1" applyAlignment="1">
      <alignment horizontal="center" vertical="center"/>
    </xf>
    <xf numFmtId="4" fontId="2" fillId="2" borderId="0" xfId="0" applyNumberFormat="1" applyFont="1" applyFill="1" applyAlignment="1">
      <alignment horizontal="center" vertical="center"/>
    </xf>
    <xf numFmtId="0" fontId="4" fillId="2" borderId="0" xfId="0" applyFont="1" applyFill="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4" fillId="2" borderId="0" xfId="0" applyFont="1" applyFill="1" applyAlignment="1">
      <alignment horizontal="center"/>
    </xf>
    <xf numFmtId="22" fontId="4" fillId="2" borderId="0" xfId="0" applyNumberFormat="1" applyFont="1" applyFill="1" applyAlignment="1">
      <alignment horizontal="center"/>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5" fillId="2" borderId="0" xfId="0" applyFont="1" applyFill="1" applyAlignment="1">
      <alignment horizontal="center"/>
    </xf>
    <xf numFmtId="165" fontId="4" fillId="2" borderId="0" xfId="0" applyNumberFormat="1" applyFont="1" applyFill="1"/>
    <xf numFmtId="0" fontId="6" fillId="2" borderId="0" xfId="0" applyFont="1" applyFill="1"/>
    <xf numFmtId="0" fontId="5" fillId="2" borderId="0" xfId="0" applyFont="1" applyFill="1"/>
    <xf numFmtId="22" fontId="3" fillId="2" borderId="0" xfId="0" applyNumberFormat="1" applyFont="1" applyFill="1" applyAlignment="1">
      <alignment horizontal="center"/>
    </xf>
    <xf numFmtId="0" fontId="3" fillId="2" borderId="0" xfId="0" applyFont="1" applyFill="1" applyAlignment="1">
      <alignment horizontal="center"/>
    </xf>
    <xf numFmtId="0" fontId="7" fillId="0" borderId="0" xfId="0" applyFont="1"/>
    <xf numFmtId="9" fontId="0" fillId="0" borderId="0" xfId="0" applyNumberFormat="1"/>
    <xf numFmtId="164" fontId="0" fillId="0" borderId="0" xfId="0" applyNumberFormat="1"/>
    <xf numFmtId="164" fontId="7" fillId="0" borderId="0" xfId="0" applyNumberFormat="1" applyFont="1"/>
    <xf numFmtId="165" fontId="0" fillId="0" borderId="0" xfId="0" applyNumberFormat="1"/>
    <xf numFmtId="165" fontId="7" fillId="0" borderId="0" xfId="0" applyNumberFormat="1" applyFont="1"/>
    <xf numFmtId="0" fontId="8" fillId="3" borderId="0" xfId="0" applyFont="1" applyFill="1"/>
    <xf numFmtId="3" fontId="1" fillId="2" borderId="0" xfId="0" applyNumberFormat="1" applyFont="1" applyFill="1"/>
    <xf numFmtId="2" fontId="1" fillId="2" borderId="0" xfId="0" applyNumberFormat="1" applyFont="1" applyFill="1"/>
  </cellXfs>
  <cellStyles count="1">
    <cellStyle name="Normal" xfId="0" builtinId="0"/>
  </cellStyles>
  <dxfs count="145">
    <dxf>
      <font>
        <color rgb="FF00FF00"/>
      </font>
    </dxf>
    <dxf>
      <font>
        <color rgb="FFFF0000"/>
      </font>
    </dxf>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10</xdr:row>
      <xdr:rowOff>7620</xdr:rowOff>
    </xdr:from>
    <xdr:to>
      <xdr:col>8</xdr:col>
      <xdr:colOff>784860</xdr:colOff>
      <xdr:row>13</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14</xdr:row>
      <xdr:rowOff>111760</xdr:rowOff>
    </xdr:from>
    <xdr:to>
      <xdr:col>9</xdr:col>
      <xdr:colOff>0</xdr:colOff>
      <xdr:row>17</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twoCellAnchor>
    <xdr:from>
      <xdr:col>7</xdr:col>
      <xdr:colOff>292485</xdr:colOff>
      <xdr:row>7</xdr:row>
      <xdr:rowOff>84666</xdr:rowOff>
    </xdr:from>
    <xdr:to>
      <xdr:col>8</xdr:col>
      <xdr:colOff>769697</xdr:colOff>
      <xdr:row>9</xdr:row>
      <xdr:rowOff>15394</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9436485" y="1677939"/>
          <a:ext cx="1385454" cy="508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Remove</a:t>
          </a:r>
          <a:r>
            <a:rPr lang="fr-FR" sz="1100" baseline="0"/>
            <a:t> Portfolio</a:t>
          </a:r>
        </a:p>
        <a:p>
          <a:pPr algn="l"/>
          <a:endParaRPr lang="fr-FR"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50">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0">
    <v>94.45</v>
    <v>94.08</v>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a>
  <a r="1" c="250">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a>
  <a r="1" c="250">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a>
  <a r="1" c="250">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a>
  <a r="1" c="250">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a>
  <a r="1" c="250">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a>
  <a r="1" c="250">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v t="i">364</v>
  </a>
  <a r="1" c="250">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a>
  <a r="1" c="250">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a>
  <a r="1" c="250">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a>
  <a r="1" c="250">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a>
  <a r="1" c="250">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a>
  <a r="1" c="250">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a>
  <a r="1" c="250">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a>
  <a r="1" c="250">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a>
  <a r="1" c="250">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a>
  <a r="1" c="250">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a>
  <a r="1" c="250">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a>
  <a r="1" c="250">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a>
  <a r="1" c="250">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a>
  <a r="1" c="250">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a>
  <a r="1" c="250">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a>
  <a r="1" c="250">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a>
  <a r="1" c="250">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a>
  <a r="1" c="250">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a>
  <a r="1" c="250">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a>
  <a r="1" c="250">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a>
  <a r="1" c="250">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a>
  <a r="1" c="250">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a>
  <a r="1" c="250">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a>
  <a r="1" c="250">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a>
  <a r="1" c="250">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a>
  <a r="1" c="251">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1">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a>
  <a r="1" c="250">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a>
  <a r="1" c="250">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a>
  <a r="1" c="250">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a>
  <a r="1" c="250">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a>
  <a r="1" c="250">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a>
  <a r="1" c="250">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a>
  <a r="1" c="250">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a>
  <a r="1" c="250">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a>
  <a r="1" c="250">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a>
  <a r="1" c="250">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a>
  <a r="1" c="250">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a>
  <a r="1" c="250">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a>
  <a r="1" c="250">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a>
  <a r="1" c="250">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a>
</arrayData>
</file>

<file path=xl/richData/rdrichvalue.xml><?xml version="1.0" encoding="utf-8"?>
<rvData xmlns="http://schemas.microsoft.com/office/spreadsheetml/2017/richdata" count="8522">
  <rv s="0">
    <v>https://www.bing.com/financeapi/forcetrigger?t=a1mou2&amp;q=XNAS%3aAAPL&amp;form=skydnc</v>
    <v>Learn more on Bing</v>
  </rv>
  <rv s="1">
    <v>0</v>
    <v>APPLE INC. (XNAS:AAPL)</v>
    <v>2</v>
    <v>3</v>
    <v>Finance</v>
    <v>4</v>
    <v>en-GB</v>
    <v>a1mou2</v>
    <v>268435456</v>
    <v>1</v>
    <v>Powered by Refinitiv</v>
    <v>260.10000000000002</v>
    <v>169.21010000000001</v>
    <v>1.0837000000000001</v>
    <v>-4.3099999999999996</v>
    <v>-1.6701999999999998E-2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v>
    <v>Computers, Phones &amp; Household Electronics</v>
    <v>Stock</v>
    <v>45939.714269536722</v>
    <v>0</v>
    <v>253.52500000000001</v>
    <v>3765748962500</v>
    <v>APPLE INC.</v>
    <v>APPLE INC.</v>
    <v>257.89999999999998</v>
    <v>34.998600000000003</v>
    <v>258.06</v>
    <v>253.75</v>
    <v>14840390000</v>
    <v>AAPL</v>
    <v>APPLE INC. (XNAS:AAPL)</v>
    <v>18986312</v>
    <v>56345982</v>
    <v>1977</v>
  </rv>
  <rv s="2">
    <v>1</v>
  </rv>
  <rv s="0">
    <v>https://www.bing.com/financeapi/forcetrigger?t=a1yv52&amp;q=XNAS%3aNVDA&amp;form=skydnc</v>
    <v>Learn more on Bing</v>
  </rv>
  <rv s="1">
    <v>0</v>
    <v>NVIDIA CORPORATION (XNAS:NVDA)</v>
    <v>2</v>
    <v>3</v>
    <v>Finance</v>
    <v>4</v>
    <v>en-GB</v>
    <v>a1yv52</v>
    <v>268435456</v>
    <v>1</v>
    <v>Powered by Refinitiv</v>
    <v>195.3</v>
    <v>86.62</v>
    <v>2.1093999999999999</v>
    <v>4.0571000000000002</v>
    <v>2.1454000000000001E-2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195.3</v>
    <v>Semiconductors &amp; Semiconductor Equipment</v>
    <v>Stock</v>
    <v>45939.714336782032</v>
    <v>3</v>
    <v>191.06</v>
    <v>4693960530000</v>
    <v>NVIDIA CORPORATION</v>
    <v>NVIDIA CORPORATION</v>
    <v>192.22</v>
    <v>54.978499999999997</v>
    <v>189.11</v>
    <v>193.1671</v>
    <v>24300000000</v>
    <v>NVDA</v>
    <v>NVIDIA CORPORATION (XNAS:NVDA)</v>
    <v>124190460</v>
    <v>174843530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1.0193000000000001</v>
    <v>-6.21</v>
    <v>-1.1832000000000001E-2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524.32500000000005</v>
    <v>9</v>
    <v>Software &amp; IT Services</v>
    <v>Stock</v>
    <v>45939.7143192125</v>
    <v>10</v>
    <v>517.66</v>
    <v>3855137732880</v>
    <v>MICROSOFT CORPORATION</v>
    <v>MICROSOFT CORPORATION</v>
    <v>522.19000000000005</v>
    <v>38.020400000000002</v>
    <v>524.85</v>
    <v>518.64</v>
    <v>7433167000</v>
    <v>MSFT</v>
    <v>MICROSOFT CORPORATION (XNAS:MSFT)</v>
    <v>8563873</v>
    <v>19915491</v>
    <v>1993</v>
  </rv>
  <rv s="2">
    <v>11</v>
  </rv>
  <rv s="0">
    <v>https://www.bing.com/financeapi/forcetrigger?t=a1slm7&amp;q=XNAS%3aMETA&amp;form=skydnc</v>
    <v>Learn more on Bing</v>
  </rv>
  <rv s="1">
    <v>0</v>
    <v>Meta Platforms, Inc. (XNAS:META)</v>
    <v>2</v>
    <v>3</v>
    <v>Finance</v>
    <v>4</v>
    <v>en-GB</v>
    <v>a1slm7</v>
    <v>268435456</v>
    <v>1</v>
    <v>Powered by Refinitiv</v>
    <v>796.25</v>
    <v>479.8</v>
    <v>1.2139</v>
    <v>8.7660999999999998</v>
    <v>1.2212000000000001E-2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729.24919999999997</v>
    <v>Software &amp; IT Services</v>
    <v>Stock</v>
    <v>45939.714354212498</v>
    <v>13</v>
    <v>712.49</v>
    <v>1803316000000</v>
    <v>Meta Platforms, Inc.</v>
    <v>Meta Platforms, Inc.</v>
    <v>718.41</v>
    <v>26.087</v>
    <v>717.84</v>
    <v>726.60609999999997</v>
    <v>2512141000</v>
    <v>META</v>
    <v>Meta Platforms, Inc. (XNAS:META)</v>
    <v>6997292</v>
    <v>12394981</v>
    <v>2004</v>
  </rv>
  <rv s="2">
    <v>14</v>
  </rv>
  <rv s="0">
    <v>https://www.bing.com/financeapi/forcetrigger?t=a1u3rw&amp;q=XNAS%3aGOOGL&amp;form=skydnc</v>
    <v>Learn more on Bing</v>
  </rv>
  <rv s="1">
    <v>0</v>
    <v>ALPHABET INC. (XNAS:GOOGL)</v>
    <v>2</v>
    <v>3</v>
    <v>Finance</v>
    <v>4</v>
    <v>en-GB</v>
    <v>a1u3rw</v>
    <v>268435456</v>
    <v>1</v>
    <v>Powered by Refinitiv</v>
    <v>256</v>
    <v>140.53</v>
    <v>1.0407</v>
    <v>-3.43</v>
    <v>-1.4022E-2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244.715</v>
    <v>Software &amp; IT Services</v>
    <v>Stock</v>
    <v>45939.71432548594</v>
    <v>16</v>
    <v>239.15</v>
    <v>2962996000000</v>
    <v>ALPHABET INC.</v>
    <v>ALPHABET INC.</v>
    <v>244.46</v>
    <v>25.683399999999999</v>
    <v>244.62</v>
    <v>241.19</v>
    <v>12094000000</v>
    <v>GOOGL</v>
    <v>ALPHABET INC. (XNAS:GOOGL)</v>
    <v>15766048</v>
    <v>33575224</v>
    <v>2015</v>
  </rv>
  <rv s="2">
    <v>17</v>
  </rv>
  <rv s="0">
    <v>https://www.bing.com/financeapi/forcetrigger?t=a23hqh&amp;q=ARCX%3aSPY&amp;form=skydnc</v>
    <v>Learn more on Bing</v>
  </rv>
  <rv s="6">
    <v>10</v>
    <v>SPDR S&amp;P 500 (ARCX:SPY)</v>
    <v>11</v>
    <v>12</v>
    <v>Finance</v>
    <v>13</v>
    <v>en-GB</v>
    <v>a23hqh</v>
    <v>268435456</v>
    <v>1</v>
    <v>Powered by Refinitiv</v>
    <v>673.94</v>
    <v>481.8</v>
    <v>0.99829999999999997</v>
    <v>-3.18</v>
    <v>-4.7239999999999999E-3</v>
    <v>USD</v>
    <v>NYSE Arca</v>
    <v>ARCX</v>
    <v>9.4499999999999998E-4</v>
    <v>673.94</v>
    <v>ETF</v>
    <v>45939.714356342185</v>
    <v>19</v>
    <v>669.46</v>
    <v>672726673351.18994</v>
    <v>SPDR S&amp;P 500</v>
    <v>673.53</v>
    <v>673.11</v>
    <v>669.93</v>
    <v>SPY</v>
    <v>SPDR S&amp;P 500 (ARCX:SPY)</v>
    <v>34833501</v>
    <v>73633021</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-0.15</v>
    <v>-1.681E-3</v>
    <v>USD</v>
    <v>Nasdaq Stock Market</v>
    <v>XNAS</v>
    <v>1.5E-3</v>
    <v>89.29</v>
    <v>ETF</v>
    <v>45939.714329443748</v>
    <v>22</v>
    <v>89.004999999999995</v>
    <v>48818461640.32</v>
    <v>iShares:20+ Trs Bd ETF</v>
    <v>89.17</v>
    <v>89.25</v>
    <v>89.1</v>
    <v>TLT</v>
    <v>iShares:20+ Trs Bd ETF (XNAS:TLT)</v>
    <v>11577557</v>
    <v>35636385</v>
  </rv>
  <rv s="2">
    <v>23</v>
  </rv>
  <rv s="0">
    <v>https://www.bing.com/financeapi/forcetrigger?t=a1twnm&amp;q=ARCX%3aGLD&amp;form=skydnc</v>
    <v>Learn more on Bing</v>
  </rv>
  <rv s="6">
    <v>10</v>
    <v>SPDR Gold (ARCX:GLD)</v>
    <v>11</v>
    <v>12</v>
    <v>Finance</v>
    <v>13</v>
    <v>en-GB</v>
    <v>a1twnm</v>
    <v>268435456</v>
    <v>1</v>
    <v>Powered by Refinitiv</v>
    <v>373.57</v>
    <v>236.1326</v>
    <v>0.81589999999999996</v>
    <v>-7.83</v>
    <v>-2.1031000000000001E-2</v>
    <v>USD</v>
    <v>NYSE Arca</v>
    <v>ARCX</v>
    <v>4.0000000000000001E-3</v>
    <v>373.22</v>
    <v>ETF</v>
    <v>45939.714336017969</v>
    <v>25</v>
    <v>364.24</v>
    <v>82394162386.910004</v>
    <v>SPDR Gold</v>
    <v>373.21</v>
    <v>372.3</v>
    <v>364.47</v>
    <v>GLD</v>
    <v>SPDR Gold (ARCX:GLD)</v>
    <v>20794380</v>
    <v>14914787</v>
  </rv>
  <rv s="2">
    <v>26</v>
  </rv>
  <rv s="0">
    <v>https://www.bing.com/financeapi/forcetrigger?t=a253hw&amp;q=ARCX%3aUSO&amp;form=skydnc</v>
    <v>Learn more on Bing</v>
  </rv>
  <rv s="6">
    <v>10</v>
    <v>United States Oil Fund (ARCX:USO)</v>
    <v>11</v>
    <v>12</v>
    <v>Finance</v>
    <v>13</v>
    <v>en-GB</v>
    <v>a253hw</v>
    <v>268435456</v>
    <v>1</v>
    <v>Powered by Refinitiv</v>
    <v>84.58</v>
    <v>60.67</v>
    <v>1.0219</v>
    <v>-1.05</v>
    <v>-1.4279999999999999E-2</v>
    <v>USD</v>
    <v>NYSE Arca</v>
    <v>ARCX</v>
    <v>8.199999999999999E-3</v>
    <v>73.905000000000001</v>
    <v>ETF</v>
    <v>45939.714248228905</v>
    <v>28</v>
    <v>72.400000000000006</v>
    <v>899405944.95000005</v>
    <v>United States Oil Fund</v>
    <v>73.819999999999993</v>
    <v>73.53</v>
    <v>72.48</v>
    <v>USO</v>
    <v>United States Oil Fund (ARCX:USO)</v>
    <v>2698877</v>
    <v>5114431</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-2.65</v>
    <v>-4.3340000000000002E-3</v>
    <v>USD</v>
    <v>Nasdaq Stock Market</v>
    <v>XNAS</v>
    <v>2E-3</v>
    <v>611.61</v>
    <v>ETF</v>
    <v>45939.71429300859</v>
    <v>31</v>
    <v>608.23</v>
    <v>385755187983.09998</v>
    <v>Invesco QQQ Trust 1</v>
    <v>611.45000000000005</v>
    <v>611.44000000000005</v>
    <v>608.79</v>
    <v>QQQ</v>
    <v>Invesco QQQ Trust 1 (XNAS:QQQ)</v>
    <v>25701874</v>
    <v>52028537</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-0.105</v>
    <v>-1.0889999999999999E-3</v>
    <v>USD</v>
    <v>Nasdaq Stock Market</v>
    <v>XNAS</v>
    <v>1.5E-3</v>
    <v>96.355000000000004</v>
    <v>ETF</v>
    <v>45939.714231006248</v>
    <v>34</v>
    <v>96.225999999999999</v>
    <v>38510844547.139999</v>
    <v>iShares:7-10 Trs Bd</v>
    <v>96.29</v>
    <v>96.38</v>
    <v>96.275000000000006</v>
    <v>IEF</v>
    <v>iShares:7-10 Trs Bd (XNAS:IEF)</v>
    <v>2794489</v>
    <v>8283123</v>
  </rv>
  <rv s="2">
    <v>35</v>
  </rv>
  <rv s="7">
    <v>14</v>
    <v>Bonds Powered Income USD</v>
    <v>15</v>
    <v>16</v>
    <v>Finance</v>
    <v>17</v>
    <v>en-GB</v>
    <v>caxasm</v>
    <v>268435456</v>
    <v>1</v>
    <v>Powered by Refinitiv</v>
    <v>0.18</v>
    <v>2.6650000000000003E-3</v>
    <v>KY</v>
    <v>USD</v>
    <v>Mutual Fund</v>
    <v>45938</v>
    <v>45939.495244056248</v>
    <v>Bonds Powered Income USD</v>
    <v>10533500</v>
    <v>67.540000000000006</v>
    <v>67.72</v>
    <v>0</v>
    <v>2.2200000000000002E-3</v>
    <v>6.0910000000000001E-3</v>
    <v>0.10278900000000001</v>
    <v>7.3432999999999998E-2</v>
    <v>0.11736000000000001</v>
    <v>0</v>
    <v>0.17589500000000002</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-0.98499999999999999</v>
    <v>-1.1070999999999999E-2</v>
    <v>USD</v>
    <v>NYSE Arca</v>
    <v>ARCX</v>
    <v>8.0000000000000004E-4</v>
    <v>89.92</v>
    <v>ETF</v>
    <v>45939.714306284375</v>
    <v>44</v>
    <v>87.915000000000006</v>
    <v>26926057790.77</v>
    <v>Sel Sector:Energy SPDR</v>
    <v>89.22</v>
    <v>88.97</v>
    <v>87.984999999999999</v>
    <v>XLE</v>
    <v>Sel Sector:Energy SPDR (ARCX:XLE)</v>
    <v>6046459</v>
    <v>15739228</v>
  </rv>
  <rv s="2">
    <v>45</v>
  </rv>
  <rv s="0">
    <v>https://www.bing.com/financeapi/forcetrigger?t=a1qsim&amp;q=ARCX%3aDBO&amp;form=skydnc</v>
    <v>Learn more on Bing</v>
  </rv>
  <rv s="6">
    <v>10</v>
    <v>Invesco DB MS Oil (ARCX:DBO)</v>
    <v>11</v>
    <v>12</v>
    <v>Finance</v>
    <v>13</v>
    <v>en-GB</v>
    <v>a1qsim</v>
    <v>268435456</v>
    <v>1</v>
    <v>Powered by Refinitiv</v>
    <v>15.925000000000001</v>
    <v>11.59</v>
    <v>0.94179999999999997</v>
    <v>-0.185</v>
    <v>-1.3795999999999999E-2</v>
    <v>USD</v>
    <v>NYSE Arca</v>
    <v>ARCX</v>
    <v>7.4999999999999997E-3</v>
    <v>13.47</v>
    <v>ETF</v>
    <v>45939.713734617966</v>
    <v>47</v>
    <v>13.215</v>
    <v>219370903.75999999</v>
    <v>Invesco DB MS Oil</v>
    <v>13.47</v>
    <v>13.41</v>
    <v>13.225</v>
    <v>DBO</v>
    <v>Invesco DB MS Oil (ARCX:DBO)</v>
    <v>195059</v>
    <v>433012</v>
  </rv>
  <rv s="2">
    <v>48</v>
  </rv>
  <rv s="0">
    <v>https://www.bing.com/financeapi/forcetrigger?t=b115z2&amp;q=XCNQ%3aOIL&amp;form=skydnc</v>
    <v>Learn more on Bing</v>
  </rv>
  <rv s="10">
    <v>21</v>
    <v>PERMEX PETROLEUM CORPORATION (XCNQ:OIL)</v>
    <v>2</v>
    <v>22</v>
    <v>Finance</v>
    <v>23</v>
    <v>en-GB</v>
    <v>b115z2</v>
    <v>268435456</v>
    <v>1</v>
    <v>Powered by Refinitiv</v>
    <v>16.489999999999998</v>
    <v>2.1</v>
    <v>3.5777000000000001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6</v>
    <v>860</v>
    <v>2017</v>
  </rv>
  <rv s="2">
    <v>51</v>
  </rv>
  <rv s="0">
    <v>https://www.bing.com/financeapi/forcetrigger?t=a233ur&amp;q=ARCX%3aSLV&amp;form=skydnc</v>
    <v>Learn more on Bing</v>
  </rv>
  <rv s="6">
    <v>10</v>
    <v>IShares:Silver Trust (ARCX:SLV)</v>
    <v>11</v>
    <v>12</v>
    <v>Finance</v>
    <v>13</v>
    <v>en-GB</v>
    <v>a233ur</v>
    <v>268435456</v>
    <v>1</v>
    <v>Powered by Refinitiv</v>
    <v>46.35</v>
    <v>26.19</v>
    <v>1.4173</v>
    <v>-1.2848999999999999</v>
    <v>-2.8835000000000003E-2</v>
    <v>USD</v>
    <v>NYSE Arca</v>
    <v>ARCX</v>
    <v>5.0000000000000001E-3</v>
    <v>46.35</v>
    <v>ETF</v>
    <v>45939.714281411718</v>
    <v>53</v>
    <v>43.24</v>
    <v>23276965580.080002</v>
    <v>IShares:Silver Trust</v>
    <v>46.3</v>
    <v>44.56</v>
    <v>43.275100000000002</v>
    <v>SLV</v>
    <v>IShares:Silver Trust (ARCX:SLV)</v>
    <v>68435179</v>
    <v>33629787</v>
  </rv>
  <rv s="2">
    <v>54</v>
  </rv>
  <rv s="0">
    <v>https://www.bing.com/financeapi/forcetrigger?t=a1qr27&amp;q=ARCX%3aDBA&amp;form=skydnc</v>
    <v>Learn more on Bing</v>
  </rv>
  <rv s="6">
    <v>10</v>
    <v>Invesco DB MS Agri (ARCX:DBA)</v>
    <v>11</v>
    <v>12</v>
    <v>Finance</v>
    <v>13</v>
    <v>en-GB</v>
    <v>a1qr27</v>
    <v>268435456</v>
    <v>1</v>
    <v>Powered by Refinitiv</v>
    <v>28.484999999999999</v>
    <v>24.78</v>
    <v>0.68869999999999998</v>
    <v>-0.17</v>
    <v>-6.3810000000000004E-3</v>
    <v>USD</v>
    <v>NYSE Arca</v>
    <v>ARCX</v>
    <v>8.8000000000000005E-3</v>
    <v>26.6</v>
    <v>ETF</v>
    <v>45939.71283188594</v>
    <v>56</v>
    <v>26.465</v>
    <v>791801255.05999994</v>
    <v>Invesco DB MS Agri</v>
    <v>26.545000000000002</v>
    <v>26.64</v>
    <v>26.47</v>
    <v>DBA</v>
    <v>Invesco DB MS Agri (ARCX:DBA)</v>
    <v>75157</v>
    <v>206404</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USD</v>
    <v>NYSE Arca</v>
    <v>ARCX</v>
    <v>3.2000000000000001E-2</v>
    <v>4.13</v>
    <v>ETF</v>
    <v>45939.714027974216</v>
    <v>59</v>
    <v>4.0999999999999996</v>
    <v>117346706.78</v>
    <v>Teucrium:Wheat</v>
    <v>4.1100000000000003</v>
    <v>4.0999999999999996</v>
    <v>4.1050000000000004</v>
    <v>WEAT</v>
    <v>Teucrium:Wheat (ARCX:WEAT)</v>
    <v>388675</v>
    <v>763098</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-1.68</v>
    <v>-2.0975999999999998E-2</v>
    <v>USD</v>
    <v>NYSE Arca</v>
    <v>ARCX</v>
    <v>1E-3</v>
    <v>80.290000000000006</v>
    <v>ETF</v>
    <v>45939.714311053125</v>
    <v>62</v>
    <v>78.37</v>
    <v>20854265334.529999</v>
    <v>SPDR Gold MiniShares Tr</v>
    <v>80.284999999999997</v>
    <v>80.09</v>
    <v>78.41</v>
    <v>GLDM</v>
    <v>SPDR Gold MiniShares Tr (ARCX:GLDM)</v>
    <v>10625825</v>
    <v>5515490</v>
  </rv>
  <rv s="2">
    <v>63</v>
  </rv>
  <rv s="0">
    <v>https://www.bing.com/financeapi/forcetrigger?t=a214yc&amp;q=ARCX%3aPPLT&amp;form=skydnc</v>
    <v>Learn more on Bing</v>
  </rv>
  <rv s="6">
    <v>10</v>
    <v>abrdn:Physical Platinum (ARCX:PPLT)</v>
    <v>11</v>
    <v>12</v>
    <v>Finance</v>
    <v>13</v>
    <v>en-GB</v>
    <v>a214yc</v>
    <v>268435456</v>
    <v>1</v>
    <v>Powered by Refinitiv</v>
    <v>153.54</v>
    <v>82.35</v>
    <v>0.83260000000000001</v>
    <v>-4.4249999999999998</v>
    <v>-2.9073999999999999E-2</v>
    <v>USD</v>
    <v>NYSE Arca</v>
    <v>ARCX</v>
    <v>6.0000000000000001E-3</v>
    <v>153.54</v>
    <v>ETF</v>
    <v>45939.714287522656</v>
    <v>65</v>
    <v>147.72999999999999</v>
    <v>1957887831.98</v>
    <v>abrdn:Physical Platinum</v>
    <v>153.16499999999999</v>
    <v>152.19999999999999</v>
    <v>147.77500000000001</v>
    <v>PPLT</v>
    <v>abrdn:Physical Platinum (ARCX:PPLT)</v>
    <v>491746</v>
    <v>462533</v>
  </rv>
  <rv s="2">
    <v>66</v>
  </rv>
  <rv s="0">
    <v>https://www.bing.com/financeapi/forcetrigger?t=a22mur&amp;q=ARCX%3aSCHP&amp;form=skydnc</v>
    <v>Learn more on Bing</v>
  </rv>
  <rv s="6">
    <v>10</v>
    <v>Schwab Str:US TIPS (ARCX:SCHP)</v>
    <v>11</v>
    <v>12</v>
    <v>Finance</v>
    <v>13</v>
    <v>en-GB</v>
    <v>a22mur</v>
    <v>268435456</v>
    <v>1</v>
    <v>Powered by Refinitiv</v>
    <v>27.19</v>
    <v>25.68</v>
    <v>0.99750000000000005</v>
    <v>-4.4999999999999998E-2</v>
    <v>-1.671E-3</v>
    <v>USD</v>
    <v>NYSE Arca</v>
    <v>ARCX</v>
    <v>2.9999999999999997E-4</v>
    <v>26.92</v>
    <v>ETF</v>
    <v>45939.714263460155</v>
    <v>68</v>
    <v>26.880099999999999</v>
    <v>14430226377.48</v>
    <v>Schwab Str:US TIPS</v>
    <v>26.91</v>
    <v>26.93</v>
    <v>26.885000000000002</v>
    <v>SCHP</v>
    <v>Schwab Str:US TIPS (ARCX:SCHP)</v>
    <v>1053939</v>
    <v>3099793</v>
  </rv>
  <rv s="2">
    <v>69</v>
  </rv>
  <rv s="0">
    <v>https://www.bing.com/financeapi/forcetrigger?t=a1t252&amp;q=BATS%3aFLOT&amp;form=skydnc</v>
    <v>Learn more on Bing</v>
  </rv>
  <rv s="11">
    <v>24</v>
    <v>iShares:Floating Rt Bond (BATS:FLOT)</v>
    <v>11</v>
    <v>25</v>
    <v>Finance</v>
    <v>13</v>
    <v>en-GB</v>
    <v>a1t252</v>
    <v>268435456</v>
    <v>1</v>
    <v>Powered by Refinitiv</v>
    <v>51.34</v>
    <v>49.75</v>
    <v>-2.8999999999999998E-3</v>
    <v>-5.6909999999999996E-5</v>
    <v>USD</v>
    <v>CBOE BZX Exchange</v>
    <v>BATS</v>
    <v>1.5E-3</v>
    <v>50.96</v>
    <v>ETF</v>
    <v>45939.714181666408</v>
    <v>71</v>
    <v>50.95</v>
    <v>8918495068.1599998</v>
    <v>iShares:Floating Rt Bond</v>
    <v>50.96</v>
    <v>50.96</v>
    <v>50.957099999999997</v>
    <v>FLOT</v>
    <v>iShares:Floating Rt Bond (BATS:FLOT)</v>
    <v>687128</v>
    <v>1669778</v>
  </rv>
  <rv s="2">
    <v>72</v>
  </rv>
  <rv s="0">
    <v>https://www.bing.com/financeapi/forcetrigger?t=a23gcw&amp;q=ARCX%3aSPTS&amp;form=skydnc</v>
    <v>Learn more on Bing</v>
  </rv>
  <rv s="6">
    <v>10</v>
    <v>SPDR Ptf ST Treasury (ARCX:SPTS)</v>
    <v>11</v>
    <v>12</v>
    <v>Finance</v>
    <v>13</v>
    <v>en-GB</v>
    <v>a23gcw</v>
    <v>268435456</v>
    <v>1</v>
    <v>Powered by Refinitiv</v>
    <v>29.389900000000001</v>
    <v>28.88</v>
    <v>1.0428999999999999</v>
    <v>-1.8E-3</v>
    <v>-6.1500000000000004E-5</v>
    <v>USD</v>
    <v>NYSE Arca</v>
    <v>ARCX</v>
    <v>2.9999999999999997E-4</v>
    <v>29.27</v>
    <v>ETF</v>
    <v>45939.713793125004</v>
    <v>74</v>
    <v>29.26</v>
    <v>5752414088.4399996</v>
    <v>SPDR Ptf ST Treasury</v>
    <v>29.265000000000001</v>
    <v>29.27</v>
    <v>29.2682</v>
    <v>SPTS</v>
    <v>SPDR Ptf ST Treasury (ARCX:SPTS)</v>
    <v>185385</v>
    <v>1354653</v>
  </rv>
  <rv s="2">
    <v>75</v>
  </rv>
  <rv s="0">
    <v>https://www.bing.com/financeapi/forcetrigger?t=a23g4c&amp;q=ARCX%3aSPTL&amp;form=skydnc</v>
    <v>Learn more on Bing</v>
  </rv>
  <rv s="6">
    <v>10</v>
    <v>SPDR Ptf LT Treasury (ARCX:SPTL)</v>
    <v>11</v>
    <v>12</v>
    <v>Finance</v>
    <v>13</v>
    <v>en-GB</v>
    <v>a23g4c</v>
    <v>268435456</v>
    <v>1</v>
    <v>Powered by Refinitiv</v>
    <v>28.369</v>
    <v>25.170100000000001</v>
    <v>1.0028999999999999</v>
    <v>-3.5000000000000003E-2</v>
    <v>-1.3009999999999999E-3</v>
    <v>USD</v>
    <v>NYSE Arca</v>
    <v>ARCX</v>
    <v>2.9999999999999997E-4</v>
    <v>26.93</v>
    <v>ETF</v>
    <v>45939.714234883591</v>
    <v>77</v>
    <v>26.850100000000001</v>
    <v>11888783730.73</v>
    <v>SPDR Ptf LT Treasury</v>
    <v>26.89</v>
    <v>26.91</v>
    <v>26.875</v>
    <v>SPTL</v>
    <v>SPDR Ptf LT Treasury (ARCX:SPTL)</v>
    <v>8639325</v>
    <v>5833196</v>
  </rv>
  <rv s="2">
    <v>78</v>
  </rv>
  <rv s="0">
    <v>https://www.bing.com/financeapi/forcetrigger?t=a1ohxm&amp;q=ARCX%3aBIL&amp;form=skydnc</v>
    <v>Learn more on Bing</v>
  </rv>
  <rv s="6">
    <v>10</v>
    <v>SPDR Bbg 1-3 Mo T-Bill (ARCX:BIL)</v>
    <v>11</v>
    <v>12</v>
    <v>Finance</v>
    <v>13</v>
    <v>en-GB</v>
    <v>a1ohxm</v>
    <v>268435456</v>
    <v>1</v>
    <v>Powered by Refinitiv</v>
    <v>91.8</v>
    <v>91.29</v>
    <v>0.75639999999999996</v>
    <v>0</v>
    <v>0</v>
    <v>USD</v>
    <v>NYSE Arca</v>
    <v>ARCX</v>
    <v>1.4000000000000002E-3</v>
    <v>91.54</v>
    <v>ETF</v>
    <v>45939.714152800778</v>
    <v>80</v>
    <v>91.53</v>
    <v>42140690455.389999</v>
    <v>SPDR Bbg 1-3 Mo T-Bill</v>
    <v>91.54</v>
    <v>91.53</v>
    <v>91.53</v>
    <v>BIL</v>
    <v>SPDR Bbg 1-3 Mo T-Bill (ARCX:BIL)</v>
    <v>6254997</v>
    <v>8351429</v>
  </rv>
  <rv s="2">
    <v>81</v>
  </rv>
  <rv s="0">
    <v>https://www.bing.com/financeapi/forcetrigger?t=a1otrw&amp;q=XNYS%3aBRK.B&amp;form=skydnc</v>
    <v>Learn more on Bing</v>
  </rv>
  <rv s="1">
    <v>0</v>
    <v>BERKSHIRE HATHAWAY INC. (XNYS:BRK.B)</v>
    <v>2</v>
    <v>3</v>
    <v>Finance</v>
    <v>4</v>
    <v>en-GB</v>
    <v>a1otrw</v>
    <v>268435456</v>
    <v>1</v>
    <v>Powered by Refinitiv</v>
    <v>542.07000000000005</v>
    <v>437.9</v>
    <v>0.75760000000000005</v>
    <v>-4.5250000000000004</v>
    <v>-9.0530000000000003E-3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501.221</v>
    <v>Consumer Goods Conglomerates</v>
    <v>Stock</v>
    <v>45939.714245613279</v>
    <v>83</v>
    <v>495.3</v>
    <v>1078343000000</v>
    <v>BERKSHIRE HATHAWAY INC.</v>
    <v>BERKSHIRE HATHAWAY INC.</v>
    <v>499.83</v>
    <v>16.9803</v>
    <v>499.84</v>
    <v>495.315</v>
    <v>1438220</v>
    <v>BRK.B</v>
    <v>BERKSHIRE HATHAWAY INC. (XNYS:BRK.B)</v>
    <v>1384213</v>
    <v>4068883</v>
    <v>1998</v>
  </rv>
  <rv s="2">
    <v>84</v>
  </rv>
  <rv s="0">
    <v>https://www.bing.com/financeapi/forcetrigger?t=a1waa2&amp;q=XNYS%3aJPM&amp;form=skydnc</v>
    <v>Learn more on Bing</v>
  </rv>
  <rv s="1">
    <v>0</v>
    <v>JPMORGAN CHASE &amp; CO. (XNYS:JPM)</v>
    <v>2</v>
    <v>3</v>
    <v>Finance</v>
    <v>4</v>
    <v>en-GB</v>
    <v>a1waa2</v>
    <v>268435456</v>
    <v>1</v>
    <v>Powered by Refinitiv</v>
    <v>318.01</v>
    <v>202.16</v>
    <v>1.143</v>
    <v>0.3</v>
    <v>9.8669999999999986E-4</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308.03500000000003</v>
    <v>Banking Services</v>
    <v>Stock</v>
    <v>45939.714279305466</v>
    <v>86</v>
    <v>303.3947</v>
    <v>836832634820</v>
    <v>JPMORGAN CHASE &amp; CO.</v>
    <v>JPMORGAN CHASE &amp; CO.</v>
    <v>305.04000000000002</v>
    <v>15.6144</v>
    <v>304.02999999999997</v>
    <v>304.33</v>
    <v>2749754000</v>
    <v>JPM</v>
    <v>JPMORGAN CHASE &amp; CO. (XNYS:JPM)</v>
    <v>3060366</v>
    <v>8561885</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1.3429</v>
    <v>-0.125</v>
    <v>-2.5080000000000002E-3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50.27</v>
    <v>Banking Services</v>
    <v>Stock</v>
    <v>45939.714349166403</v>
    <v>89</v>
    <v>49.664999999999999</v>
    <v>368236370105</v>
    <v>BANK OF AMERICA CORPORATION</v>
    <v>BANK OF AMERICA CORPORATION</v>
    <v>50</v>
    <v>14.842499999999999</v>
    <v>49.84</v>
    <v>49.715000000000003</v>
    <v>7406947000</v>
    <v>BAC</v>
    <v>BANK OF AMERICA CORPORATION (XNYS:BAC)</v>
    <v>9909614</v>
    <v>32468624</v>
    <v>1998</v>
  </rv>
  <rv s="2">
    <v>90</v>
  </rv>
  <rv s="0">
    <v>https://www.bing.com/financeapi/forcetrigger?t=a269ec&amp;q=XNYS%3aXOM&amp;form=skydnc</v>
    <v>Learn more on Bing</v>
  </rv>
  <rv s="1">
    <v>0</v>
    <v>EXXON MOBIL CORPORATION (XNYS:XOM)</v>
    <v>2</v>
    <v>3</v>
    <v>Finance</v>
    <v>4</v>
    <v>en-GB</v>
    <v>a269ec</v>
    <v>268435456</v>
    <v>1</v>
    <v>Powered by Refinitiv</v>
    <v>124.26</v>
    <v>97.8</v>
    <v>0.46629999999999999</v>
    <v>-0.62</v>
    <v>-5.4379999999999993E-3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115.5</v>
    <v>Oil &amp; Gas</v>
    <v>Stock</v>
    <v>45939.714275173435</v>
    <v>92</v>
    <v>113.25</v>
    <v>483452209800</v>
    <v>EXXON MOBIL CORPORATION</v>
    <v>EXXON MOBIL CORPORATION</v>
    <v>114.56</v>
    <v>16.090800000000002</v>
    <v>114.02</v>
    <v>113.4</v>
    <v>4263247000</v>
    <v>XOM</v>
    <v>EXXON MOBIL CORPORATION (XNYS:XOM)</v>
    <v>4565899</v>
    <v>16030713</v>
    <v>1882</v>
  </rv>
  <rv s="2">
    <v>93</v>
  </rv>
  <rv s="0">
    <v>https://www.bing.com/financeapi/forcetrigger?t=a1qlz2&amp;q=XNYS%3aCVX&amp;form=skydnc</v>
    <v>Learn more on Bing</v>
  </rv>
  <rv s="1">
    <v>0</v>
    <v>CHEVRON CORPORATION (XNYS:CVX)</v>
    <v>2</v>
    <v>3</v>
    <v>Finance</v>
    <v>4</v>
    <v>en-GB</v>
    <v>a1qlz2</v>
    <v>268435456</v>
    <v>1</v>
    <v>Powered by Refinitiv</v>
    <v>168.96</v>
    <v>132.04</v>
    <v>0.80779999999999996</v>
    <v>-1.3</v>
    <v>-8.456E-3</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154.93</v>
    <v>Oil &amp; Gas</v>
    <v>Stock</v>
    <v>45939.714271053126</v>
    <v>95</v>
    <v>152.19999999999999</v>
    <v>312104741360</v>
    <v>CHEVRON CORPORATION</v>
    <v>CHEVRON CORPORATION</v>
    <v>153.97</v>
    <v>19.678799999999999</v>
    <v>153.74</v>
    <v>152.44</v>
    <v>2047394000</v>
    <v>CVX</v>
    <v>CHEVRON CORPORATION (XNYS:CVX)</v>
    <v>2530617</v>
    <v>7290844</v>
    <v>1926</v>
  </rv>
  <rv s="2">
    <v>96</v>
  </rv>
  <rv s="0">
    <v>https://www.bing.com/financeapi/forcetrigger?t=a1w8ec&amp;q=XNYS%3aJNJ&amp;form=skydnc</v>
    <v>Learn more on Bing</v>
  </rv>
  <rv s="1">
    <v>0</v>
    <v>JOHNSON &amp; JOHNSON (XNYS:JNJ)</v>
    <v>2</v>
    <v>3</v>
    <v>Finance</v>
    <v>4</v>
    <v>en-GB</v>
    <v>a1w8ec</v>
    <v>268435456</v>
    <v>1</v>
    <v>Powered by Refinitiv</v>
    <v>192.05</v>
    <v>140.68</v>
    <v>0.36870000000000003</v>
    <v>1.32</v>
    <v>6.9589999999999999E-3</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192.05</v>
    <v>Pharmaceuticals</v>
    <v>Stock</v>
    <v>45939.714295763282</v>
    <v>98</v>
    <v>189.73</v>
    <v>460016832390</v>
    <v>JOHNSON &amp; JOHNSON</v>
    <v>JOHNSON &amp; JOHNSON</v>
    <v>190</v>
    <v>20.4313</v>
    <v>189.69</v>
    <v>191.01</v>
    <v>2408339000</v>
    <v>JNJ</v>
    <v>JOHNSON &amp; JOHNSON (XNYS:JNJ)</v>
    <v>2953689</v>
    <v>8577779</v>
    <v>1887</v>
  </rv>
  <rv s="2">
    <v>99</v>
  </rv>
  <rv s="0">
    <v>https://www.bing.com/financeapi/forcetrigger?t=a1wljc&amp;q=XNYS%3aKO&amp;form=skydnc</v>
    <v>Learn more on Bing</v>
  </rv>
  <rv s="1">
    <v>0</v>
    <v>THE COCA-COLA COMPANY (XNYS:KO)</v>
    <v>2</v>
    <v>3</v>
    <v>Finance</v>
    <v>4</v>
    <v>en-GB</v>
    <v>a1wljc</v>
    <v>268435456</v>
    <v>1</v>
    <v>Powered by Refinitiv</v>
    <v>74.38</v>
    <v>60.615000000000002</v>
    <v>0.4194</v>
    <v>0.125</v>
    <v>1.8909999999999999E-3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v>
    <v>Beverages</v>
    <v>Stock</v>
    <v>45939.714348830472</v>
    <v>101</v>
    <v>66.125</v>
    <v>285096420415</v>
    <v>THE COCA-COLA COMPANY</v>
    <v>THE COCA-COLA COMPANY</v>
    <v>66.459999999999994</v>
    <v>26.523499999999999</v>
    <v>66.12</v>
    <v>66.245000000000005</v>
    <v>4303667000</v>
    <v>KO</v>
    <v>THE COCA-COLA COMPANY (XNYS:KO)</v>
    <v>6276437</v>
    <v>16517847</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0.50019999999999998</v>
    <v>0.37</v>
    <v>1.2570000000000001E-3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295.04500000000002</v>
    <v>106</v>
    <v>Hotels &amp; Entertainment Services</v>
    <v>Stock</v>
    <v>45939.714293089841</v>
    <v>107</v>
    <v>292.04000000000002</v>
    <v>210349168988</v>
    <v>MCDONALD'S CORPORATION</v>
    <v>MCDONALD'S CORPORATION</v>
    <v>294.58</v>
    <v>25.248999999999999</v>
    <v>294.39999999999998</v>
    <v>294.77</v>
    <v>713604400</v>
    <v>MCD</v>
    <v>MCDONALD'S CORPORATION (XNYS:MCD)</v>
    <v>1148266</v>
    <v>3034747</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1.5544</v>
    <v>-0.18</v>
    <v>-1.609E-3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v>
    <v>112</v>
    <v>Media &amp; Publishing</v>
    <v>Stock</v>
    <v>45939.714271133591</v>
    <v>113</v>
    <v>111.2</v>
    <v>200847207140</v>
    <v>THE WALT DISNEY COMPANY</v>
    <v>THE WALT DISNEY COMPANY</v>
    <v>112.01</v>
    <v>17.5138</v>
    <v>111.89</v>
    <v>111.71</v>
    <v>1797934000</v>
    <v>DIS</v>
    <v>THE WALT DISNEY COMPANY (XNYS:DIS)</v>
    <v>2929209</v>
    <v>8637248</v>
    <v>2018</v>
  </rv>
  <rv s="2">
    <v>114</v>
  </rv>
  <rv s="0">
    <v>https://www.bing.com/financeapi/forcetrigger?t=a1ygoc&amp;q=XNAS%3aNFLX&amp;form=skydnc</v>
    <v>Learn more on Bing</v>
  </rv>
  <rv s="1">
    <v>0</v>
    <v>NETFLIX, INC. (XNAS:NFLX)</v>
    <v>2</v>
    <v>3</v>
    <v>Finance</v>
    <v>4</v>
    <v>en-GB</v>
    <v>a1ygoc</v>
    <v>268435456</v>
    <v>1</v>
    <v>Powered by Refinitiv</v>
    <v>1341.15</v>
    <v>677.88</v>
    <v>1.5908</v>
    <v>19.350000000000001</v>
    <v>1.5935999999999999E-2</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1235</v>
    <v>Software &amp; IT Services</v>
    <v>Stock</v>
    <v>45939.714291642966</v>
    <v>116</v>
    <v>1212.0001</v>
    <v>524189207039</v>
    <v>NETFLIX, INC.</v>
    <v>NETFLIX, INC.</v>
    <v>1214.25</v>
    <v>52.566800000000001</v>
    <v>1214.25</v>
    <v>1233.5999999999999</v>
    <v>424926400</v>
    <v>NFLX</v>
    <v>NETFLIX, INC. (XNAS:NFLX)</v>
    <v>1560303</v>
    <v>3131359</v>
    <v>1997</v>
  </rv>
  <rv s="2">
    <v>117</v>
  </rv>
  <rv s="0">
    <v>https://www.bing.com/financeapi/forcetrigger?t=a1zsjc&amp;q=XNYS%3aPG&amp;form=skydnc</v>
    <v>Learn more on Bing</v>
  </rv>
  <rv s="1">
    <v>0</v>
    <v>THE PROCTER &amp; GAMBLE COMPANY (XNYS:PG)</v>
    <v>2</v>
    <v>3</v>
    <v>Finance</v>
    <v>4</v>
    <v>en-GB</v>
    <v>a1zsjc</v>
    <v>268435456</v>
    <v>1</v>
    <v>Powered by Refinitiv</v>
    <v>180.43</v>
    <v>149.58000000000001</v>
    <v>0.3639</v>
    <v>-0.24199999999999999</v>
    <v>-1.606E-3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150.84</v>
    <v>Personal &amp; Household Products &amp; Services</v>
    <v>Stock</v>
    <v>45939.714276133593</v>
    <v>119</v>
    <v>149.58000000000001</v>
    <v>352121287280</v>
    <v>THE PROCTER &amp; GAMBLE COMPANY</v>
    <v>THE PROCTER &amp; GAMBLE COMPANY</v>
    <v>150.71</v>
    <v>23.122699999999998</v>
    <v>150.69</v>
    <v>150.44800000000001</v>
    <v>2340485000</v>
    <v>PG</v>
    <v>THE PROCTER &amp; GAMBLE COMPANY (XNYS:PG)</v>
    <v>2291562</v>
    <v>7176128</v>
    <v>1905</v>
  </rv>
  <rv s="2">
    <v>120</v>
  </rv>
  <rv s="0">
    <v>https://www.bing.com/financeapi/forcetrigger?t=axyhnm&amp;q=XNAS%3aPEP&amp;form=skydnc</v>
    <v>Learn more on Bing</v>
  </rv>
  <rv s="1">
    <v>0</v>
    <v>PEPSICO, INC. (XNAS:PEP)</v>
    <v>2</v>
    <v>3</v>
    <v>Finance</v>
    <v>4</v>
    <v>en-GB</v>
    <v>axyhnm</v>
    <v>268435456</v>
    <v>1</v>
    <v>Powered by Refinitiv</v>
    <v>177.5</v>
    <v>127.6</v>
    <v>0.45219999999999999</v>
    <v>4.0999999999999996</v>
    <v>2.9529999999999997E-2</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143.315</v>
    <v>Beverages</v>
    <v>Stock</v>
    <v>45939.714318946091</v>
    <v>122</v>
    <v>138.59</v>
    <v>195695866380</v>
    <v>PEPSICO, INC.</v>
    <v>PEPSICO, INC.</v>
    <v>140.46</v>
    <v>26.0459</v>
    <v>138.84</v>
    <v>142.94</v>
    <v>1369077000</v>
    <v>PEP</v>
    <v>PEPSICO, INC. (XNAS:PEP)</v>
    <v>7732106</v>
    <v>7095562</v>
    <v>1986</v>
  </rv>
  <rv s="2">
    <v>123</v>
  </rv>
  <rv s="0">
    <v>https://www.bing.com/financeapi/forcetrigger?t=a1z5r7&amp;q=ARCX%3aOIH&amp;form=skydnc</v>
    <v>Learn more on Bing</v>
  </rv>
  <rv s="6">
    <v>10</v>
    <v>VanEck:Oil Services (ARCX:OIH)</v>
    <v>11</v>
    <v>12</v>
    <v>Finance</v>
    <v>13</v>
    <v>en-GB</v>
    <v>a1z5r7</v>
    <v>268435456</v>
    <v>1</v>
    <v>Powered by Refinitiv</v>
    <v>311.27999999999997</v>
    <v>191.21</v>
    <v>1.6278999999999999</v>
    <v>-6.43</v>
    <v>-2.4458000000000001E-2</v>
    <v>USD</v>
    <v>NYSE Arca</v>
    <v>ARCX</v>
    <v>3.4999999999999996E-3</v>
    <v>265.74</v>
    <v>ETF</v>
    <v>45939.714004710157</v>
    <v>125</v>
    <v>256.37</v>
    <v>948275137.29999995</v>
    <v>VanEck:Oil Services</v>
    <v>262.83</v>
    <v>262.89999999999998</v>
    <v>256.47000000000003</v>
    <v>OIH</v>
    <v>VanEck:Oil Services (ARCX:OIH)</v>
    <v>168524</v>
    <v>412149</v>
  </rv>
  <rv s="2">
    <v>126</v>
  </rv>
  <rv s="0">
    <v>https://www.bing.com/financeapi/forcetrigger?t=a1vbmw&amp;q=BATS%3aIEO&amp;form=skydnc</v>
    <v>Learn more on Bing</v>
  </rv>
  <rv s="6">
    <v>10</v>
    <v>iShares:US O&amp;G E&amp;P ETF (BATS:IEO)</v>
    <v>11</v>
    <v>12</v>
    <v>Finance</v>
    <v>13</v>
    <v>en-GB</v>
    <v>a1vbmw</v>
    <v>268435456</v>
    <v>1</v>
    <v>Powered by Refinitiv</v>
    <v>102.45</v>
    <v>73.17</v>
    <v>1.1122000000000001</v>
    <v>-1.4359</v>
    <v>-1.5491E-2</v>
    <v>USD</v>
    <v>CBOE BZX Exchange</v>
    <v>BATS</v>
    <v>3.8E-3</v>
    <v>93.55</v>
    <v>ETF</v>
    <v>45939.712853286721</v>
    <v>128</v>
    <v>91.254099999999994</v>
    <v>467763309.89999998</v>
    <v>iShares:US O&amp;G E&amp;P ETF</v>
    <v>92.88</v>
    <v>92.69</v>
    <v>91.254099999999994</v>
    <v>IEO</v>
    <v>iShares:US O&amp;G E&amp;P ETF (BATS:IEO)</v>
    <v>14597</v>
    <v>56716</v>
  </rv>
  <rv s="2">
    <v>129</v>
  </rv>
  <rv s="0">
    <v>https://www.bing.com/financeapi/forcetrigger?t=a21gvh&amp;q=ARCX%3aPXE&amp;form=skydnc</v>
    <v>Learn more on Bing</v>
  </rv>
  <rv s="6">
    <v>10</v>
    <v>Invesco En Explo &amp; Prod (ARCX:PXE)</v>
    <v>11</v>
    <v>12</v>
    <v>Finance</v>
    <v>13</v>
    <v>en-GB</v>
    <v>a21gvh</v>
    <v>268435456</v>
    <v>1</v>
    <v>Powered by Refinitiv</v>
    <v>32.838799999999999</v>
    <v>22.19</v>
    <v>1.1813</v>
    <v>-0.58499999999999996</v>
    <v>-1.9740000000000001E-2</v>
    <v>USD</v>
    <v>NYSE Arca</v>
    <v>ARCX</v>
    <v>6.0999999999999995E-3</v>
    <v>29.959099999999999</v>
    <v>ETF</v>
    <v>45939.708015821096</v>
    <v>131</v>
    <v>29.05</v>
    <v>72341276.459999993</v>
    <v>Invesco En Explo &amp; Prod</v>
    <v>29.18</v>
    <v>29.635000000000002</v>
    <v>29.05</v>
    <v>PXE</v>
    <v>Invesco En Explo &amp; Prod (ARCX:PXE)</v>
    <v>5475</v>
    <v>13763</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26</v>
    <v>MARATHON OIL CORPORATION (XMEX:MRO*)</v>
    <v>7</v>
    <v>27</v>
    <v>Finance</v>
    <v>28</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13</v>
    <v>en-GB</v>
    <v>a1u477</v>
    <v>268435456</v>
    <v>1</v>
    <v>Powered by Refinitiv</v>
    <v>23.34</v>
    <v>22.23</v>
    <v>0.91</v>
    <v>-1.9900000000000001E-2</v>
    <v>-8.6180000000000002E-4</v>
    <v>USD</v>
    <v>CBOE BZX Exchange</v>
    <v>BATS</v>
    <v>5.0000000000000001E-4</v>
    <v>23.09</v>
    <v>ETF</v>
    <v>45939.71403141172</v>
    <v>140</v>
    <v>23.060099999999998</v>
    <v>28781050380.049999</v>
    <v>iShares:US Treasury Bond</v>
    <v>23.07</v>
    <v>23.09</v>
    <v>23.0701</v>
    <v>GOVT</v>
    <v>iShares:US Treasury Bond (BATS:GOVT)</v>
    <v>2527706</v>
    <v>5772197</v>
  </rv>
  <rv s="2">
    <v>141</v>
  </rv>
  <rv s="0">
    <v>https://www.bing.com/financeapi/forcetrigger?t=a25bc7&amp;q=XNAS%3aVGSH&amp;form=skydnc</v>
    <v>Learn more on Bing</v>
  </rv>
  <rv s="6">
    <v>10</v>
    <v>Vanguard ST Trs;ETF (XNAS:VGSH)</v>
    <v>11</v>
    <v>12</v>
    <v>Finance</v>
    <v>13</v>
    <v>en-GB</v>
    <v>a25bc7</v>
    <v>268435456</v>
    <v>1</v>
    <v>Powered by Refinitiv</v>
    <v>58.98</v>
    <v>58</v>
    <v>1.0345</v>
    <v>-5.0000000000000001E-3</v>
    <v>-8.5149999999999996E-5</v>
    <v>USD</v>
    <v>Nasdaq Stock Market</v>
    <v>XNAS</v>
    <v>2.9999999999999997E-4</v>
    <v>58.73</v>
    <v>ETF</v>
    <v>45939.714164421093</v>
    <v>143</v>
    <v>58.71</v>
    <v>23059290073</v>
    <v>Vanguard ST Trs;ETF</v>
    <v>58.73</v>
    <v>58.72</v>
    <v>58.715000000000003</v>
    <v>VGSH</v>
    <v>Vanguard ST Trs;ETF (XNAS:VGSH)</v>
    <v>913160</v>
    <v>2441539</v>
  </rv>
  <rv s="2">
    <v>144</v>
  </rv>
  <rv s="0">
    <v>https://www.bing.com/financeapi/forcetrigger?t=a25aww&amp;q=XNAS%3aVGIT&amp;form=skydnc</v>
    <v>Learn more on Bing</v>
  </rv>
  <rv s="6">
    <v>10</v>
    <v>Vanguard Int Trs;ETF (XNAS:VGIT)</v>
    <v>11</v>
    <v>12</v>
    <v>Finance</v>
    <v>13</v>
    <v>en-GB</v>
    <v>a25aww</v>
    <v>268435456</v>
    <v>1</v>
    <v>Powered by Refinitiv</v>
    <v>60.49</v>
    <v>57.4</v>
    <v>1.3956999999999999</v>
    <v>-2.3800000000000002E-2</v>
    <v>-3.971E-4</v>
    <v>USD</v>
    <v>Nasdaq Stock Market</v>
    <v>XNAS</v>
    <v>2.9999999999999997E-4</v>
    <v>59.94</v>
    <v>ETF</v>
    <v>45939.714225821095</v>
    <v>146</v>
    <v>59.897799999999997</v>
    <v>33811697773</v>
    <v>Vanguard Int Trs;ETF</v>
    <v>59.93</v>
    <v>59.94</v>
    <v>59.916200000000003</v>
    <v>VGIT</v>
    <v>Vanguard Int Trs;ETF (XNAS:VGIT)</v>
    <v>1051420</v>
    <v>2930047</v>
  </rv>
  <rv s="2">
    <v>147</v>
  </rv>
  <rv s="0">
    <v>https://www.bing.com/financeapi/forcetrigger?t=a25b3m&amp;q=XNAS%3aVGLT&amp;form=skydnc</v>
    <v>Learn more on Bing</v>
  </rv>
  <rv s="6">
    <v>10</v>
    <v>Vanguard LT Trs;ETF (XNAS:VGLT)</v>
    <v>11</v>
    <v>12</v>
    <v>Finance</v>
    <v>13</v>
    <v>en-GB</v>
    <v>a25b3m</v>
    <v>268435456</v>
    <v>1</v>
    <v>Powered by Refinitiv</v>
    <v>60.05</v>
    <v>53.174999999999997</v>
    <v>1.0071000000000001</v>
    <v>-8.1799999999999998E-2</v>
    <v>-1.441E-3</v>
    <v>USD</v>
    <v>Nasdaq Stock Market</v>
    <v>XNAS</v>
    <v>2.9999999999999997E-4</v>
    <v>56.8</v>
    <v>ETF</v>
    <v>45939.714263495312</v>
    <v>149</v>
    <v>56.634999999999998</v>
    <v>10020142831</v>
    <v>Vanguard LT Trs;ETF</v>
    <v>56.73</v>
    <v>56.78</v>
    <v>56.6982</v>
    <v>VGLT</v>
    <v>Vanguard LT Trs;ETF (XNAS:VGLT)</v>
    <v>523818</v>
    <v>1953046</v>
  </rv>
  <rv s="2">
    <v>150</v>
  </rv>
  <rv s="0">
    <v>https://www.bing.com/financeapi/forcetrigger?t=a1pam7&amp;q=ARCX%3aSPBO&amp;form=skydnc</v>
    <v>Learn more on Bing</v>
  </rv>
  <rv s="6">
    <v>10</v>
    <v>SPDR Ptf Corp Bd (ARCX:SPBO)</v>
    <v>11</v>
    <v>12</v>
    <v>Finance</v>
    <v>13</v>
    <v>en-GB</v>
    <v>a1pam7</v>
    <v>268435456</v>
    <v>1</v>
    <v>Powered by Refinitiv</v>
    <v>29.855</v>
    <v>27.84</v>
    <v>1.0470999999999999</v>
    <v>-6.5500000000000003E-2</v>
    <v>-2.2160000000000001E-3</v>
    <v>USD</v>
    <v>NYSE Arca</v>
    <v>ARCX</v>
    <v>2.9999999999999997E-4</v>
    <v>29.55</v>
    <v>ETF</v>
    <v>45939.711139988278</v>
    <v>152</v>
    <v>29.494499999999999</v>
    <v>1794311479.9000001</v>
    <v>SPDR Ptf Corp Bd</v>
    <v>29.515000000000001</v>
    <v>29.56</v>
    <v>29.494499999999999</v>
    <v>SPBO</v>
    <v>SPDR Ptf Corp Bd (ARCX:SPBO)</v>
    <v>140872</v>
    <v>968496</v>
  </rv>
  <rv s="2">
    <v>153</v>
  </rv>
  <rv s="13">
    <v>29</v>
    <v>CI Alt InvGr Cr ETF (NEOE:CRED)</v>
    <v>30</v>
    <v>31</v>
    <v>Finance</v>
    <v>32</v>
    <v>en-GB</v>
    <v>cdxec7</v>
    <v>268435456</v>
    <v>1</v>
    <v>Powered by Refinitiv</v>
    <v>20.41</v>
    <v>19.73</v>
    <v>-4.7999999999999996E-3</v>
    <v>0.01</v>
    <v>4.9259999999999994E-4</v>
    <v>CAD</v>
    <v>NEO Exchange</v>
    <v>NEOE</v>
    <v>2.1700000000000001E-2</v>
    <v>20.309999999999999</v>
    <v>ETF</v>
    <v>45939.63403403906</v>
    <v>20.3</v>
    <v>356812297</v>
    <v>CI Alt InvGr Cr ETF</v>
    <v>20.3</v>
    <v>20.3</v>
    <v>20.309999999999999</v>
    <v>CRED</v>
    <v>CI Alt InvGr Cr ETF (NEOE:CRED)</v>
    <v>59700</v>
  </rv>
  <rv s="2">
    <v>155</v>
  </rv>
  <rv s="14">
    <fb>45574</fb>
    <v>33</v>
  </rv>
  <rv s="14">
    <fb>229.54</fb>
    <v>34</v>
  </rv>
  <rv s="14">
    <fb>132.65</fb>
    <v>34</v>
  </rv>
  <rv s="14">
    <fb>417.46</fb>
    <v>34</v>
  </rv>
  <rv s="14">
    <fb>590.51</fb>
    <v>34</v>
  </rv>
  <rv s="14">
    <fb>161.86000000000001</fb>
    <v>34</v>
  </rv>
  <rv s="14">
    <fb>577.14</fb>
    <v>34</v>
  </rv>
  <rv s="14">
    <fb>94.45</fb>
    <v>34</v>
  </rv>
  <rv s="14">
    <fb>241.05</fb>
    <v>34</v>
  </rv>
  <rv s="14">
    <fb>75.25</fb>
    <v>34</v>
  </rv>
  <rv s="14">
    <fb>95.84</fb>
    <v>34</v>
  </rv>
  <rv s="14">
    <fb>48.045000000000002</fb>
    <v>34</v>
  </rv>
  <rv s="14">
    <fb>138.02000000000001</fb>
    <v>34</v>
  </rv>
  <rv s="14">
    <fb>91.62</fb>
    <v>34</v>
  </rv>
  <rv s="14">
    <fb>14.93</fb>
    <v>34</v>
  </rv>
  <rv s="14">
    <fb>3.11</fb>
    <v>35</v>
  </rv>
  <rv s="14">
    <fb>27.86</fb>
    <v>34</v>
  </rv>
  <rv s="14">
    <fb>25.57</fb>
    <v>34</v>
  </rv>
  <rv s="14">
    <fb>5.4</fb>
    <v>34</v>
  </rv>
  <rv s="14">
    <fb>51.7</fb>
    <v>34</v>
  </rv>
  <rv s="14">
    <fb>87.32</fb>
    <v>34</v>
  </rv>
  <rv s="14">
    <fb>26.54</fb>
    <v>34</v>
  </rv>
  <rv s="14">
    <fb>50.9</fb>
    <v>34</v>
  </rv>
  <rv s="14">
    <fb>29.14</fb>
    <v>34</v>
  </rv>
  <rv s="14">
    <fb>28.05</fb>
    <v>34</v>
  </rv>
  <rv s="14">
    <fb>91.54</fb>
    <v>34</v>
  </rv>
  <rv s="14">
    <fb>455.9</fb>
    <v>34</v>
  </rv>
  <rv s="14">
    <fb>213.42</fb>
    <v>34</v>
  </rv>
  <rv s="14">
    <fb>40.19</fb>
    <v>34</v>
  </rv>
  <rv s="14">
    <fb>122.09</fb>
    <v>34</v>
  </rv>
  <rv s="14">
    <fb>149.65</fb>
    <v>34</v>
  </rv>
  <rv s="14">
    <fb>160.65</fb>
    <v>34</v>
  </rv>
  <rv s="14">
    <fb>69.569999999999993</fb>
    <v>34</v>
  </rv>
  <rv s="14">
    <fb>303.83</fb>
    <v>34</v>
  </rv>
  <rv s="14">
    <fb>93.6</fb>
    <v>34</v>
  </rv>
  <rv s="14">
    <fb>727.43</fb>
    <v>34</v>
  </rv>
  <rv s="14">
    <fb>169.27</fb>
    <v>34</v>
  </rv>
  <rv s="14">
    <fb>172.54</fb>
    <v>34</v>
  </rv>
  <rv s="14">
    <fb>292.57</fb>
    <v>34</v>
  </rv>
  <rv s="14">
    <fb>95.71</fb>
    <v>34</v>
  </rv>
  <rv s="14">
    <fb>31.05</fb>
    <v>34</v>
  </rv>
  <rv s="15">
    <fb t="e">#N/A</fb>
    <v>6</v>
    <v>4</v>
  </rv>
  <rv s="14">
    <fb>23.02</fb>
    <v>34</v>
  </rv>
  <rv s="14">
    <fb>58.49</fb>
    <v>34</v>
  </rv>
  <rv s="14">
    <fb>59.34</fb>
    <v>34</v>
  </rv>
  <rv s="14">
    <fb>59.37</fb>
    <v>34</v>
  </rv>
  <rv s="14">
    <fb>29.56</fb>
    <v>34</v>
  </rv>
  <rv s="14">
    <fb>23.25</fb>
    <v>34</v>
  </rv>
  <rv s="14">
    <fb>45575</fb>
    <v>33</v>
  </rv>
  <rv s="14">
    <fb>229.04</fb>
    <v>34</v>
  </rv>
  <rv s="14">
    <fb>134.81</fb>
    <v>34</v>
  </rv>
  <rv s="14">
    <fb>415.84</fb>
    <v>34</v>
  </rv>
  <rv s="14">
    <fb>583.83000000000004</fb>
    <v>34</v>
  </rv>
  <rv s="14">
    <fb>162.08000000000001</fb>
    <v>34</v>
  </rv>
  <rv s="14">
    <fb>576.13</fb>
    <v>34</v>
  </rv>
  <rv s="14">
    <fb>94.08</fb>
    <v>34</v>
  </rv>
  <rv s="14">
    <fb>242.82</fb>
    <v>34</v>
  </rv>
  <rv s="14">
    <fb>77.77</fb>
    <v>34</v>
  </rv>
  <rv s="14">
    <fb>95.83</fb>
    <v>34</v>
  </rv>
  <rv s="14">
    <fb>48.05</fb>
    <v>34</v>
  </rv>
  <rv s="14">
    <fb>137.91999999999999</fb>
    <v>34</v>
  </rv>
  <rv s="14">
    <fb>92.24</fb>
    <v>34</v>
  </rv>
  <rv s="14">
    <fb>15.42</fb>
    <v>34</v>
  </rv>
  <rv s="14">
    <fb>2.8</fb>
    <v>35</v>
  </rv>
  <rv s="14">
    <fb>28.38</fb>
    <v>34</v>
  </rv>
  <rv s="14">
    <fb>25.76</fb>
    <v>34</v>
  </rv>
  <rv s="14">
    <fb>5.43</fb>
    <v>34</v>
  </rv>
  <rv s="14">
    <fb>52.09</fb>
    <v>34</v>
  </rv>
  <rv s="14">
    <fb>89.07</fb>
    <v>34</v>
  </rv>
  <rv s="14">
    <fb>26.594999999999999</fb>
    <v>34</v>
  </rv>
  <rv s="14">
    <fb>50.89</fb>
    <v>34</v>
  </rv>
  <rv s="14">
    <fb>29.17</fb>
    <v>34</v>
  </rv>
  <rv s="14">
    <fb>27.95</fb>
    <v>34</v>
  </rv>
  <rv s="14">
    <fb>91.55</fb>
    <v>34</v>
  </rv>
  <rv s="14">
    <fb>454.93</fb>
    <v>34</v>
  </rv>
  <rv s="14">
    <fb>212.84</fb>
    <v>34</v>
  </rv>
  <rv s="14">
    <fb>39.97</fb>
    <v>34</v>
  </rv>
  <rv s="14">
    <fb>123.14</fb>
    <v>34</v>
  </rv>
  <rv s="14">
    <fb>150.62</fb>
    <v>34</v>
  </rv>
  <rv s="14">
    <fb>160.51</fb>
    <v>34</v>
  </rv>
  <rv s="14">
    <fb>69.25</fb>
    <v>34</v>
  </rv>
  <rv s="14">
    <fb>304.04000000000002</fb>
    <v>34</v>
  </rv>
  <rv s="14">
    <fb>92.99</fb>
    <v>34</v>
  </rv>
  <rv s="14">
    <fb>730.29</fb>
    <v>34</v>
  </rv>
  <rv s="14">
    <fb>168.95</fb>
    <v>34</v>
  </rv>
  <rv s="14">
    <fb>172.99</fb>
    <v>34</v>
  </rv>
  <rv s="14">
    <fb>295</fb>
    <v>34</v>
  </rv>
  <rv s="14">
    <fb>96.73</fb>
    <v>34</v>
  </rv>
  <rv s="14">
    <fb>31.39</fb>
    <v>34</v>
  </rv>
  <rv s="16">
    <fb t="e">#N/A</fb>
    <v>6</v>
    <v>1</v>
  </rv>
  <rv s="14">
    <fb>23.01</fb>
    <v>34</v>
  </rv>
  <rv s="14">
    <fb>58.55</fb>
    <v>34</v>
  </rv>
  <rv s="14">
    <fb>59.16</fb>
    <v>34</v>
  </rv>
  <rv s="14">
    <fb>29.53</fb>
    <v>34</v>
  </rv>
  <rv s="14">
    <fb>23.346399999999999</fb>
    <v>34</v>
  </rv>
  <rv s="14">
    <fb>45576</fb>
    <v>33</v>
  </rv>
  <rv s="14">
    <fb>227.55</fb>
    <v>34</v>
  </rv>
  <rv s="14">
    <fb>134.80000000000001</fb>
    <v>34</v>
  </rv>
  <rv s="14">
    <fb>416.32</fb>
    <v>34</v>
  </rv>
  <rv s="14">
    <fb>589.95000000000005</fb>
    <v>34</v>
  </rv>
  <rv s="14">
    <fb>163.24</fb>
    <v>34</v>
  </rv>
  <rv s="14">
    <fb>579.58000000000004</fb>
    <v>34</v>
  </rv>
  <rv s="14">
    <fb>93.7</fb>
    <v>34</v>
  </rv>
  <rv s="14">
    <fb>245.47</fb>
    <v>34</v>
  </rv>
  <rv s="14">
    <fb>77.489999999999995</fb>
    <v>34</v>
  </rv>
  <rv s="14">
    <fb>95.86</fb>
    <v>34</v>
  </rv>
  <rv s="14">
    <fb>48.08</fb>
    <v>34</v>
  </rv>
  <rv s="14">
    <fb>140.21</fb>
    <v>34</v>
  </rv>
  <rv s="14">
    <fb>92.81</fb>
    <v>34</v>
  </rv>
  <rv s="14">
    <fb>15.35</fb>
    <v>34</v>
  </rv>
  <rv s="14">
    <fb>28.8</fb>
    <v>34</v>
  </rv>
  <rv s="14">
    <fb>25.96</fb>
    <v>34</v>
  </rv>
  <rv s="14">
    <fb>5.38</fb>
    <v>34</v>
  </rv>
  <rv s="14">
    <fb>52.63</fb>
    <v>34</v>
  </rv>
  <rv s="14">
    <fb>90.25</fb>
    <v>34</v>
  </rv>
  <rv s="14">
    <fb>26.6</fb>
    <v>34</v>
  </rv>
  <rv s="14">
    <fb>50.91</fb>
    <v>34</v>
  </rv>
  <rv s="14">
    <fb>29.2</fb>
    <v>34</v>
  </rv>
  <rv s="14">
    <fb>27.87</fb>
    <v>34</v>
  </rv>
  <rv s="14">
    <fb>91.6</fb>
    <v>34</v>
  </rv>
  <rv s="14">
    <fb>460.21</fb>
    <v>34</v>
  </rv>
  <rv s="14">
    <fb>222.29</fb>
    <v>34</v>
  </rv>
  <rv s="14">
    <fb>41.95</fb>
    <v>34</v>
  </rv>
  <rv s="14">
    <fb>123.61</fb>
    <v>34</v>
  </rv>
  <rv s="14">
    <fb>151.41999999999999</fb>
    <v>34</v>
  </rv>
  <rv s="14">
    <fb>161.46</fb>
    <v>34</v>
  </rv>
  <rv s="14">
    <fb>305.04000000000002</fb>
    <v>34</v>
  </rv>
  <rv s="14">
    <fb>94.13</fb>
    <v>34</v>
  </rv>
  <rv s="14">
    <fb>722.79</fb>
    <v>34</v>
  </rv>
  <rv s="14">
    <fb>171.09</fb>
    <v>34</v>
  </rv>
  <rv s="14">
    <fb>174.81</fb>
    <v>34</v>
  </rv>
  <rv s="14">
    <fb>297.61</fb>
    <v>34</v>
  </rv>
  <rv s="14">
    <fb>97.1</fb>
    <v>34</v>
  </rv>
  <rv s="14">
    <fb>31.69</fb>
    <v>34</v>
  </rv>
  <rv s="14">
    <fb>58.6</fb>
    <v>34</v>
  </rv>
  <rv s="14">
    <fb>59.4</fb>
    <v>34</v>
  </rv>
  <rv s="14">
    <fb>59</fb>
    <v>34</v>
  </rv>
  <rv s="14">
    <fb>29.54</fb>
    <v>34</v>
  </rv>
  <rv s="14">
    <fb>23.334199999999999</fb>
    <v>34</v>
  </rv>
  <rv s="14">
    <fb>45579</fb>
    <v>33</v>
  </rv>
  <rv s="14">
    <fb>231.3</fb>
    <v>34</v>
  </rv>
  <rv s="14">
    <fb>138.07</fb>
    <v>34</v>
  </rv>
  <rv s="14">
    <fb>419.14</fb>
    <v>34</v>
  </rv>
  <rv s="14">
    <fb>590.41999999999996</fb>
    <v>34</v>
  </rv>
  <rv s="14">
    <fb>164.96</fb>
    <v>34</v>
  </rv>
  <rv s="14">
    <fb>584.32000000000005</fb>
    <v>34</v>
  </rv>
  <rv s="14">
    <fb>93.765000000000001</fb>
    <v>34</v>
  </rv>
  <rv s="14">
    <fb>245.07</fb>
    <v>34</v>
  </rv>
  <rv s="14">
    <fb>75.930000000000007</fb>
    <v>34</v>
  </rv>
  <rv s="14">
    <fb>95.69</fb>
    <v>34</v>
  </rv>
  <rv s="14">
    <fb>48.02</fb>
    <v>34</v>
  </rv>
  <rv s="14">
    <fb>141.37</fb>
    <v>34</v>
  </rv>
  <rv s="14">
    <fb>92.77</fb>
    <v>34</v>
  </rv>
  <rv s="14">
    <fb>15.08</fb>
    <v>34</v>
  </rv>
  <rv s="14">
    <fb>2.9</fb>
    <v>35</v>
  </rv>
  <rv s="14">
    <fb>28.54</fb>
    <v>34</v>
  </rv>
  <rv s="14">
    <fb>25.81</fb>
    <v>34</v>
  </rv>
  <rv s="14">
    <fb>5.27</fb>
    <v>34</v>
  </rv>
  <rv s="14">
    <fb>52.57</fb>
    <v>34</v>
  </rv>
  <rv s="14">
    <fb>91.35</fb>
    <v>34</v>
  </rv>
  <rv s="14">
    <fb>26.55</fb>
    <v>34</v>
  </rv>
  <rv s="14">
    <fb>91.59</fb>
    <v>34</v>
  </rv>
  <rv s="14">
    <fb>459.98</fb>
    <v>34</v>
  </rv>
  <rv s="14">
    <fb>221.48</fb>
    <v>34</v>
  </rv>
  <rv s="14">
    <fb>41.91</fb>
    <v>34</v>
  </rv>
  <rv s="14">
    <fb>124.08</fb>
    <v>34</v>
  </rv>
  <rv s="14">
    <fb>151.78</fb>
    <v>34</v>
  </rv>
  <rv s="14">
    <fb>161.6</fb>
    <v>34</v>
  </rv>
  <rv s="14">
    <fb>70.34</fb>
    <v>34</v>
  </rv>
  <rv s="14">
    <fb>309.83999999999997</fb>
    <v>34</v>
  </rv>
  <rv s="14">
    <fb>94.97</fb>
    <v>34</v>
  </rv>
  <rv s="14">
    <fb>713</fb>
    <v>34</v>
  </rv>
  <rv s="14">
    <fb>172.51</fb>
    <v>34</v>
  </rv>
  <rv s="14">
    <fb>176.1</fb>
    <v>34</v>
  </rv>
  <rv s="14">
    <fb>295.12</fb>
    <v>34</v>
  </rv>
  <rv s="14">
    <fb>96.03</fb>
    <v>34</v>
  </rv>
  <rv s="14">
    <fb>31.22</fb>
    <v>34</v>
  </rv>
  <rv s="14">
    <fb>23</fb>
    <v>34</v>
  </rv>
  <rv s="14">
    <fb>59.31</fb>
    <v>34</v>
  </rv>
  <rv s="14">
    <fb>58.97</fb>
    <v>34</v>
  </rv>
  <rv s="14">
    <fb>23.549900000000001</fb>
    <v>34</v>
  </rv>
  <rv s="14">
    <fb>45580</fb>
    <v>33</v>
  </rv>
  <rv s="14">
    <fb>233.85</fb>
    <v>34</v>
  </rv>
  <rv s="14">
    <fb>131.6</fb>
    <v>34</v>
  </rv>
  <rv s="14">
    <fb>418.74</fb>
    <v>34</v>
  </rv>
  <rv s="14">
    <fb>586.27</fb>
    <v>34</v>
  </rv>
  <rv s="14">
    <fb>165.46</fb>
    <v>34</v>
  </rv>
  <rv s="14">
    <fb>579.78</fb>
    <v>34</v>
  </rv>
  <rv s="14">
    <fb>94.91</fb>
    <v>34</v>
  </rv>
  <rv s="14">
    <fb>245.92</fb>
    <v>34</v>
  </rv>
  <rv s="14">
    <fb>72.760000000000005</fb>
    <v>34</v>
  </rv>
  <rv s="14">
    <fb>96.18</fb>
    <v>34</v>
  </rv>
  <rv s="14">
    <fb>48.215000000000003</fb>
    <v>34</v>
  </rv>
  <rv s="14">
    <fb>141.55000000000001</fb>
    <v>34</v>
  </rv>
  <rv s="14">
    <fb>89.78</fb>
    <v>34</v>
  </rv>
  <rv s="14">
    <fb>14.47</fb>
    <v>34</v>
  </rv>
  <rv s="14">
    <fb>28.71</fb>
    <v>34</v>
  </rv>
  <rv s="14">
    <fb>25.99</fb>
    <v>34</v>
  </rv>
  <rv s="14">
    <fb>5.2</fb>
    <v>34</v>
  </rv>
  <rv s="14">
    <fb>52.76</fb>
    <v>34</v>
  </rv>
  <rv s="14">
    <fb>90.47</fb>
    <v>34</v>
  </rv>
  <rv s="14">
    <fb>26.59</fb>
    <v>34</v>
  </rv>
  <rv s="14">
    <fb>29.19</fb>
    <v>34</v>
  </rv>
  <rv s="14">
    <fb>28.2</fb>
    <v>34</v>
  </rv>
  <rv s="14">
    <fb>462.68</fb>
    <v>34</v>
  </rv>
  <rv s="14">
    <fb>222.39</fb>
    <v>34</v>
  </rv>
  <rv s="14">
    <fb>42.14</fb>
    <v>34</v>
  </rv>
  <rv s="14">
    <fb>120.35</fb>
    <v>34</v>
  </rv>
  <rv s="14">
    <fb>147.72999999999999</fb>
    <v>34</v>
  </rv>
  <rv s="14">
    <fb>164.1</fb>
    <v>34</v>
  </rv>
  <rv s="14">
    <fb>313.33999999999997</fb>
    <v>34</v>
  </rv>
  <rv s="14">
    <fb>94.22</fb>
    <v>34</v>
  </rv>
  <rv s="14">
    <fb>705.98</fb>
    <v>34</v>
  </rv>
  <rv s="14">
    <fb>173.57</fb>
    <v>34</v>
  </rv>
  <rv s="14">
    <fb>175.9</fb>
    <v>34</v>
  </rv>
  <rv s="14">
    <fb>283.95</fb>
    <v>34</v>
  </rv>
  <rv s="14">
    <fb>92.63</fb>
    <v>34</v>
  </rv>
  <rv s="14">
    <fb>29.99</fb>
    <v>34</v>
  </rv>
  <rv s="14">
    <fb>23.094999999999999</fb>
    <v>34</v>
  </rv>
  <rv s="14">
    <fb>58.58</fb>
    <v>34</v>
  </rv>
  <rv s="14">
    <fb>59.51</fb>
    <v>34</v>
  </rv>
  <rv s="14">
    <fb>59.66</fb>
    <v>34</v>
  </rv>
  <rv s="14">
    <fb>29.64</fb>
    <v>34</v>
  </rv>
  <rv s="14">
    <fb>23.895399999999999</fb>
    <v>34</v>
  </rv>
  <rv s="14">
    <fb>45581</fb>
    <v>33</v>
  </rv>
  <rv s="14">
    <fb>231.78</fb>
    <v>34</v>
  </rv>
  <rv s="14">
    <fb>135.72</fb>
    <v>34</v>
  </rv>
  <rv s="14">
    <fb>416.12</fb>
    <v>34</v>
  </rv>
  <rv s="14">
    <fb>576.79</fb>
    <v>34</v>
  </rv>
  <rv s="14">
    <fb>165.16</fb>
    <v>34</v>
  </rv>
  <rv s="14">
    <fb>582.29999999999995</fb>
    <v>34</v>
  </rv>
  <rv s="14">
    <fb>95.31</fb>
    <v>34</v>
  </rv>
  <rv s="14">
    <fb>247.15</fb>
    <v>34</v>
  </rv>
  <rv s="14">
    <fb>72.400000000000006</fb>
    <v>34</v>
  </rv>
  <rv s="14">
    <fb>96.33</fb>
    <v>34</v>
  </rv>
  <rv s="14">
    <fb>48.255000000000003</fb>
    <v>34</v>
  </rv>
  <rv s="14">
    <fb>142.85</fb>
    <v>34</v>
  </rv>
  <rv s="14">
    <fb>90.21</fb>
    <v>34</v>
  </rv>
  <rv s="14">
    <fb>14.41</fb>
    <v>34</v>
  </rv>
  <rv s="14">
    <fb>28.91</fb>
    <v>34</v>
  </rv>
  <rv s="14">
    <fb>25.73</fb>
    <v>34</v>
  </rv>
  <rv s="14">
    <fb>5.22</fb>
    <v>34</v>
  </rv>
  <rv s="14">
    <fb>53.01</fb>
    <v>34</v>
  </rv>
  <rv s="14">
    <fb>91.28</fb>
    <v>34</v>
  </rv>
  <rv s="14">
    <fb>50.8</fb>
    <v>34</v>
  </rv>
  <rv s="14">
    <fb>28.28</fb>
    <v>34</v>
  </rv>
  <rv s="14">
    <fb>465.69</fb>
    <v>34</v>
  </rv>
  <rv s="14">
    <fb>223.64</fb>
    <v>34</v>
  </rv>
  <rv s="14">
    <fb>42.8</fb>
    <v>34</v>
  </rv>
  <rv s="14">
    <fb>120.66</fb>
    <v>34</v>
  </rv>
  <rv s="14">
    <fb>148.72999999999999</fb>
    <v>34</v>
  </rv>
  <rv s="14">
    <fb>164.28</fb>
    <v>34</v>
  </rv>
  <rv s="14">
    <fb>70.569999999999993</fb>
    <v>34</v>
  </rv>
  <rv s="14">
    <fb>312.92</fb>
    <v>34</v>
  </rv>
  <rv s="14">
    <fb>96.75</fb>
    <v>34</v>
  </rv>
  <rv s="14">
    <fb>702</fb>
    <v>34</v>
  </rv>
  <rv s="14">
    <fb>172.38</fb>
    <v>34</v>
  </rv>
  <rv s="14">
    <fb>174.48</fb>
    <v>34</v>
  </rv>
  <rv s="14">
    <fb>287.29000000000002</fb>
    <v>34</v>
  </rv>
  <rv s="14">
    <fb>92.98</fb>
    <v>34</v>
  </rv>
  <rv s="14">
    <fb>30.29</fb>
    <v>34</v>
  </rv>
  <rv s="14">
    <fb>23.12</fb>
    <v>34</v>
  </rv>
  <rv s="14">
    <fb>58.62</fb>
    <v>34</v>
  </rv>
  <rv s="14">
    <fb>59.57</fb>
    <v>34</v>
  </rv>
  <rv s="14">
    <fb>59.84</fb>
    <v>34</v>
  </rv>
  <rv s="14">
    <fb>29.73</fb>
    <v>34</v>
  </rv>
  <rv s="14">
    <fb>24.066299999999998</fb>
    <v>34</v>
  </rv>
  <rv s="14">
    <fb>45582</fb>
    <v>33</v>
  </rv>
  <rv s="14">
    <fb>232.15</fb>
    <v>34</v>
  </rv>
  <rv s="14">
    <fb>136.93</fb>
    <v>34</v>
  </rv>
  <rv s="14">
    <fb>416.72</fb>
    <v>34</v>
  </rv>
  <rv s="14">
    <fb>576.92999999999995</fb>
    <v>34</v>
  </rv>
  <rv s="14">
    <fb>162.93</fb>
    <v>34</v>
  </rv>
  <rv s="14">
    <fb>582.35</fb>
    <v>34</v>
  </rv>
  <rv s="14">
    <fb>93.8</fb>
    <v>34</v>
  </rv>
  <rv s="14">
    <fb>248.63</fb>
    <v>34</v>
  </rv>
  <rv s="14">
    <fb>72.62</fb>
    <v>34</v>
  </rv>
  <rv s="14">
    <fb>48.034999999999997</fb>
    <v>34</v>
  </rv>
  <rv s="14">
    <fb>145.19</fb>
    <v>34</v>
  </rv>
  <rv s="14">
    <fb>90.64</fb>
    <v>34</v>
  </rv>
  <rv s="14">
    <fb>14.43</fb>
    <v>34</v>
  </rv>
  <rv s="14">
    <fb>2.7</fb>
    <v>35</v>
  </rv>
  <rv s="14">
    <fb>28.89</fb>
    <v>34</v>
  </rv>
  <rv s="14">
    <fb>25.67</fb>
    <v>34</v>
  </rv>
  <rv s="14">
    <fb>5.26</fb>
    <v>34</v>
  </rv>
  <rv s="14">
    <fb>53.34</fb>
    <v>34</v>
  </rv>
  <rv s="14">
    <fb>91.16</fb>
    <v>34</v>
  </rv>
  <rv s="14">
    <fb>26.52</fb>
    <v>34</v>
  </rv>
  <rv s="14">
    <fb>50.94</fb>
    <v>34</v>
  </rv>
  <rv s="14">
    <fb>27.89</fb>
    <v>34</v>
  </rv>
  <rv s="14">
    <fb>91.64</fb>
    <v>34</v>
  </rv>
  <rv s="14">
    <fb>465.85</fb>
    <v>34</v>
  </rv>
  <rv s="14">
    <fb>224.42</fb>
    <v>34</v>
  </rv>
  <rv s="14">
    <fb>42.6</fb>
    <v>34</v>
  </rv>
  <rv s="14">
    <fb>151.19999999999999</fb>
    <v>34</v>
  </rv>
  <rv s="14">
    <fb>164.47</fb>
    <v>34</v>
  </rv>
  <rv s="14">
    <fb>69.900000000000006</fb>
    <v>34</v>
  </rv>
  <rv s="14">
    <fb>314.7</fb>
    <v>34</v>
  </rv>
  <rv s="14">
    <fb>96.54</fb>
    <v>34</v>
  </rv>
  <rv s="14">
    <fb>687.65</fb>
    <v>34</v>
  </rv>
  <rv s="14">
    <fb>172.28</fb>
    <v>34</v>
  </rv>
  <rv s="14">
    <fb>174.67</fb>
    <v>34</v>
  </rv>
  <rv s="14">
    <fb>287.32</fb>
    <v>34</v>
  </rv>
  <rv s="14">
    <fb>93.82</fb>
    <v>34</v>
  </rv>
  <rv s="14">
    <fb>30.55</fb>
    <v>34</v>
  </rv>
  <rv s="14">
    <fb>532.57000000000005</fb>
    <v>36</v>
  </rv>
  <rv s="14">
    <fb>23.015000000000001</fb>
    <v>34</v>
  </rv>
  <rv s="14">
    <fb>59.38</fb>
    <v>34</v>
  </rv>
  <rv s="14">
    <fb>59.02</fb>
    <v>34</v>
  </rv>
  <rv s="14">
    <fb>23.901199999999999</fb>
    <v>34</v>
  </rv>
  <rv s="14">
    <fb>45583</fb>
    <v>33</v>
  </rv>
  <rv s="14">
    <fb>235</fb>
    <v>34</v>
  </rv>
  <rv s="14">
    <fb>138</fb>
    <v>34</v>
  </rv>
  <rv s="14">
    <fb>418.16</fb>
    <v>34</v>
  </rv>
  <rv s="14">
    <fb>576.47</fb>
    <v>34</v>
  </rv>
  <rv s="14">
    <fb>163.41999999999999</fb>
    <v>34</v>
  </rv>
  <rv s="14">
    <fb>584.59</fb>
    <v>34</v>
  </rv>
  <rv s="14">
    <fb>93.87</fb>
    <v>34</v>
  </rv>
  <rv s="14">
    <fb>251.27</fb>
    <v>34</v>
  </rv>
  <rv s="14">
    <fb>71.38</fb>
    <v>34</v>
  </rv>
  <rv s="14">
    <fb>95.94</fb>
    <v>34</v>
  </rv>
  <rv s="14">
    <fb>48.075000000000003</fb>
    <v>34</v>
  </rv>
  <rv s="14">
    <fb>145.01</fb>
    <v>34</v>
  </rv>
  <rv s="14">
    <fb>90.34</fb>
    <v>34</v>
  </rv>
  <rv s="14">
    <fb>14.19</fb>
    <v>34</v>
  </rv>
  <rv s="14">
    <fb>30.64</fb>
    <v>34</v>
  </rv>
  <rv s="14">
    <fb>25.4</fb>
    <v>34</v>
  </rv>
  <rv s="14">
    <fb>5.14</fb>
    <v>34</v>
  </rv>
  <rv s="14">
    <fb>53.9</fb>
    <v>34</v>
  </rv>
  <rv s="14">
    <fb>50.95</fb>
    <v>34</v>
  </rv>
  <rv s="14">
    <fb>27.92</fb>
    <v>34</v>
  </rv>
  <rv s="14">
    <fb>91.67</fb>
    <v>34</v>
  </rv>
  <rv s="14">
    <fb>464.8</fb>
    <v>34</v>
  </rv>
  <rv s="14">
    <fb>225.37</fb>
    <v>34</v>
  </rv>
  <rv s="14">
    <fb>42.32</fb>
    <v>34</v>
  </rv>
  <rv s="14">
    <fb>120.01</fb>
    <v>34</v>
  </rv>
  <rv s="14">
    <fb>150.75</fb>
    <v>34</v>
  </rv>
  <rv s="14">
    <fb>165.12</fb>
    <v>34</v>
  </rv>
  <rv s="14">
    <fb>70.44</fb>
    <v>34</v>
  </rv>
  <rv s="14">
    <fb>316.56</fb>
    <v>34</v>
  </rv>
  <rv s="14">
    <fb>97.28</fb>
    <v>34</v>
  </rv>
  <rv s="14">
    <fb>763.89</fb>
    <v>34</v>
  </rv>
  <rv s="14">
    <fb>171.28</fb>
    <v>34</v>
  </rv>
  <rv s="14">
    <fb>175.06</fb>
    <v>34</v>
  </rv>
  <rv s="14">
    <fb>279.52999999999997</fb>
    <v>34</v>
  </rv>
  <rv s="14">
    <fb>93.38</fb>
    <v>34</v>
  </rv>
  <rv s="14">
    <fb>30.37</fb>
    <v>34</v>
  </rv>
  <rv s="14">
    <fb>23.035</fb>
    <v>34</v>
  </rv>
  <rv s="14">
    <fb>58.63</fb>
    <v>34</v>
  </rv>
  <rv s="14">
    <fb>59.45</fb>
    <v>34</v>
  </rv>
  <rv s="14">
    <fb>59.08</fb>
    <v>34</v>
  </rv>
  <rv s="14">
    <fb>24.13</fb>
    <v>34</v>
  </rv>
  <rv s="14">
    <fb>45586</fb>
    <v>33</v>
  </rv>
  <rv s="14">
    <fb>236.48</fb>
    <v>34</v>
  </rv>
  <rv s="14">
    <fb>143.71</fb>
    <v>34</v>
  </rv>
  <rv s="14">
    <fb>418.78</fb>
    <v>34</v>
  </rv>
  <rv s="14">
    <fb>575.16</fb>
    <v>34</v>
  </rv>
  <rv s="14">
    <fb>164.07</fb>
    <v>34</v>
  </rv>
  <rv s="14">
    <fb>583.63</fb>
    <v>34</v>
  </rv>
  <rv s="14">
    <fb>92.23</fb>
    <v>34</v>
  </rv>
  <rv s="14">
    <fb>251.22</fb>
    <v>34</v>
  </rv>
  <rv s="14">
    <fb>72.260000000000005</fb>
    <v>34</v>
  </rv>
  <rv s="14">
    <fb>95.2</fb>
    <v>34</v>
  </rv>
  <rv s="14">
    <fb>47.75</fb>
    <v>34</v>
  </rv>
  <rv s="14">
    <fb>144.76</fb>
    <v>34</v>
  </rv>
  <rv s="14">
    <fb>90.07</fb>
    <v>34</v>
  </rv>
  <rv s="14">
    <fb>14.37</fb>
    <v>34</v>
  </rv>
  <rv s="14">
    <fb>30.85</fb>
    <v>34</v>
  </rv>
  <rv s="14">
    <fb>25.36</fb>
    <v>34</v>
  </rv>
  <rv s="14">
    <fb>92.27</fb>
    <v>34</v>
  </rv>
  <rv s="14">
    <fb>26.37</fb>
    <v>34</v>
  </rv>
  <rv s="14">
    <fb>50.96</fb>
    <v>34</v>
  </rv>
  <rv s="14">
    <fb>27.47</fb>
    <v>34</v>
  </rv>
  <rv s="14">
    <fb>91.69</fb>
    <v>34</v>
  </rv>
  <rv s="14">
    <fb>464.16</fb>
    <v>34</v>
  </rv>
  <rv s="14">
    <fb>223</fb>
    <v>34</v>
  </rv>
  <rv s="14">
    <fb>41.76</fb>
    <v>34</v>
  </rv>
  <rv s="14">
    <fb>120.08</fb>
    <v>34</v>
  </rv>
  <rv s="14">
    <fb>150.88</fb>
    <v>34</v>
  </rv>
  <rv s="14">
    <fb>162.83000000000001</fb>
    <v>34</v>
  </rv>
  <rv s="14">
    <fb>69.45</fb>
    <v>34</v>
  </rv>
  <rv s="14">
    <fb>314.89</fb>
    <v>34</v>
  </rv>
  <rv s="14">
    <fb>96.62</fb>
    <v>34</v>
  </rv>
  <rv s="14">
    <fb>772.07</fb>
    <v>34</v>
  </rv>
  <rv s="14">
    <fb>169.54</fb>
    <v>34</v>
  </rv>
  <rv s="14">
    <fb>175.01</fb>
    <v>34</v>
  </rv>
  <rv s="14">
    <fb>280.2</fb>
    <v>34</v>
  </rv>
  <rv s="14">
    <fb>30.11</fb>
    <v>34</v>
  </rv>
  <rv s="14">
    <fb>532.5</fb>
    <v>36</v>
  </rv>
  <rv s="14">
    <fb>22.91</fb>
    <v>34</v>
  </rv>
  <rv s="14">
    <fb>59.17</fb>
    <v>34</v>
  </rv>
  <rv s="14">
    <fb>58.14</fb>
    <v>34</v>
  </rv>
  <rv s="14">
    <fb>29.3</fb>
    <v>34</v>
  </rv>
  <rv s="14">
    <fb>23.7256</fb>
    <v>34</v>
  </rv>
  <rv s="14">
    <fb>45587</fb>
    <v>33</v>
  </rv>
  <rv s="14">
    <fb>235.86</fb>
    <v>34</v>
  </rv>
  <rv s="14">
    <fb>143.59</fb>
    <v>34</v>
  </rv>
  <rv s="14">
    <fb>427.51</fb>
    <v>34</v>
  </rv>
  <rv s="14">
    <fb>582.01</fb>
    <v>34</v>
  </rv>
  <rv s="14">
    <fb>165.14</fb>
    <v>34</v>
  </rv>
  <rv s="14">
    <fb>583.32000000000005</fb>
    <v>34</v>
  </rv>
  <rv s="14">
    <fb>92.32</fb>
    <v>34</v>
  </rv>
  <rv s="14">
    <fb>253.93</fb>
    <v>34</v>
  </rv>
  <rv s="14">
    <fb>73.98</fb>
    <v>34</v>
  </rv>
  <rv s="14">
    <fb>95.11</fb>
    <v>34</v>
  </rv>
  <rv s="14">
    <fb>47.76</fb>
    <v>34</v>
  </rv>
  <rv s="14">
    <fb>143.94</fb>
    <v>34</v>
  </rv>
  <rv s="14">
    <fb>90.28</fb>
    <v>34</v>
  </rv>
  <rv s="14">
    <fb>14.7</fb>
    <v>34</v>
  </rv>
  <rv s="14">
    <fb>31.74</fb>
    <v>34</v>
  </rv>
  <rv s="14">
    <fb>25.26</fb>
    <v>34</v>
  </rv>
  <rv s="14">
    <fb>5.16</fb>
    <v>34</v>
  </rv>
  <rv s="14">
    <fb>54.47</fb>
    <v>34</v>
  </rv>
  <rv s="14">
    <fb>94.51</fb>
    <v>34</v>
  </rv>
  <rv s="14">
    <fb>26.41</fb>
    <v>34</v>
  </rv>
  <rv s="14">
    <fb>50.98</fb>
    <v>34</v>
  </rv>
  <rv s="14">
    <fb>27.48</fb>
    <v>34</v>
  </rv>
  <rv s="14">
    <fb>91.7</fb>
    <v>34</v>
  </rv>
  <rv s="14">
    <fb>461.45</fb>
    <v>34</v>
  </rv>
  <rv s="14">
    <fb>224.12</fb>
    <v>34</v>
  </rv>
  <rv s="14">
    <fb>42.3</fb>
    <v>34</v>
  </rv>
  <rv s="14">
    <fb>120.7</fb>
    <v>34</v>
  </rv>
  <rv s="14">
    <fb>150.91999999999999</fb>
    <v>34</v>
  </rv>
  <rv s="14">
    <fb>163.44999999999999</fb>
    <v>34</v>
  </rv>
  <rv s="14">
    <fb>314.69</fb>
    <v>34</v>
  </rv>
  <rv s="14">
    <fb>96.74</fb>
    <v>34</v>
  </rv>
  <rv s="14">
    <fb>764.24</fb>
    <v>34</v>
  </rv>
  <rv s="14">
    <fb>169.7</fb>
    <v>34</v>
  </rv>
  <rv s="14">
    <fb>174.37</fb>
    <v>34</v>
  </rv>
  <rv s="14">
    <fb>278.12</fb>
    <v>34</v>
  </rv>
  <rv s="14">
    <fb>92.84</fb>
    <v>34</v>
  </rv>
  <rv s="14">
    <fb>30.2163</fb>
    <v>34</v>
  </rv>
  <rv s="14">
    <fb>22.9</fb>
    <v>34</v>
  </rv>
  <rv s="14">
    <fb>58.53</fb>
    <v>34</v>
  </rv>
  <rv s="14">
    <fb>59.12</fb>
    <v>34</v>
  </rv>
  <rv s="14">
    <fb>58.17</fb>
    <v>34</v>
  </rv>
  <rv s="14">
    <fb>23.760300000000001</fb>
    <v>34</v>
  </rv>
  <rv s="14">
    <fb>45588</fb>
    <v>33</v>
  </rv>
  <rv s="14">
    <fb>230.76</fb>
    <v>34</v>
  </rv>
  <rv s="14">
    <fb>139.56</fb>
    <v>34</v>
  </rv>
  <rv s="14">
    <fb>424.6</fb>
    <v>34</v>
  </rv>
  <rv s="14">
    <fb>563.69000000000005</fb>
    <v>34</v>
  </rv>
  <rv s="14">
    <fb>162.78</fb>
    <v>34</v>
  </rv>
  <rv s="14">
    <fb>577.99</fb>
    <v>34</v>
  </rv>
  <rv s="14">
    <fb>92.07</fb>
    <v>34</v>
  </rv>
  <rv s="14">
    <fb>250.87</fb>
    <v>34</v>
  </rv>
  <rv s="14">
    <fb>73.55</fb>
    <v>34</v>
  </rv>
  <rv s="14">
    <fb>94.89</fb>
    <v>34</v>
  </rv>
  <rv s="14">
    <fb>47.400599999999997</fb>
    <v>34</v>
  </rv>
  <rv s="14">
    <fb>143.54</fb>
    <v>34</v>
  </rv>
  <rv s="14">
    <fb>89.81</fb>
    <v>34</v>
  </rv>
  <rv s="14">
    <fb>14.6</fb>
    <v>34</v>
  </rv>
  <rv s="14">
    <fb>30.71</fb>
    <v>34</v>
  </rv>
  <rv s="14">
    <fb>25.2</fb>
    <v>34</v>
  </rv>
  <rv s="14">
    <fb>5.18</fb>
    <v>34</v>
  </rv>
  <rv s="14">
    <fb>53.82</fb>
    <v>34</v>
  </rv>
  <rv s="14">
    <fb>93.53</fb>
    <v>34</v>
  </rv>
  <rv s="14">
    <fb>26.34</fb>
    <v>34</v>
  </rv>
  <rv s="14">
    <fb>50.99</fb>
    <v>34</v>
  </rv>
  <rv s="14">
    <fb>27.41</fb>
    <v>34</v>
  </rv>
  <rv s="14">
    <fb>460.61</fb>
    <v>34</v>
  </rv>
  <rv s="14">
    <fb>223.41</fb>
    <v>34</v>
  </rv>
  <rv s="14">
    <fb>42.34</fb>
    <v>34</v>
  </rv>
  <rv s="14">
    <fb>120.27</fb>
    <v>34</v>
  </rv>
  <rv s="14">
    <fb>150.47999999999999</fb>
    <v>34</v>
  </rv>
  <rv s="14">
    <fb>165.86</fb>
    <v>34</v>
  </rv>
  <rv s="14">
    <fb>68.010000000000005</fb>
    <v>34</v>
  </rv>
  <rv s="14">
    <fb>298.57</fb>
    <v>34</v>
  </rv>
  <rv s="14">
    <fb>96.24</fb>
    <v>34</v>
  </rv>
  <rv s="14">
    <fb>749.29</fb>
    <v>34</v>
  </rv>
  <rv s="14">
    <fb>169.58</fb>
    <v>34</v>
  </rv>
  <rv s="14">
    <fb>172.95</fb>
    <v>34</v>
  </rv>
  <rv s="14">
    <fb>276.10000000000002</fb>
    <v>34</v>
  </rv>
  <rv s="14">
    <fb>92</fb>
    <v>34</v>
  </rv>
  <rv s="14">
    <fb>29.83</fb>
    <v>34</v>
  </rv>
  <rv s="14">
    <fb>22.86</fb>
    <v>34</v>
  </rv>
  <rv s="14">
    <fb>58.5</fb>
    <v>34</v>
  </rv>
  <rv s="14">
    <fb>59.01</fb>
    <v>34</v>
  </rv>
  <rv s="14">
    <fb>58</fb>
    <v>34</v>
  </rv>
  <rv s="14">
    <fb>29.22</fb>
    <v>34</v>
  </rv>
  <rv s="14">
    <fb>23.942299999999999</fb>
    <v>34</v>
  </rv>
  <rv s="14">
    <fb>45589</fb>
    <v>33</v>
  </rv>
  <rv s="14">
    <fb>230.57</fb>
    <v>34</v>
  </rv>
  <rv s="14">
    <fb>140.41</fb>
    <v>34</v>
  </rv>
  <rv s="14">
    <fb>424.73</fb>
    <v>34</v>
  </rv>
  <rv s="14">
    <fb>567.78</fb>
    <v>34</v>
  </rv>
  <rv s="14">
    <fb>162.72</fb>
    <v>34</v>
  </rv>
  <rv s="14">
    <fb>579.24</fb>
    <v>34</v>
  </rv>
  <rv s="14">
    <fb>92.66</fb>
    <v>34</v>
  </rv>
  <rv s="14">
    <fb>252.8</fb>
    <v>34</v>
  </rv>
  <rv s="14">
    <fb>73.06</fb>
    <v>34</v>
  </rv>
  <rv s="14">
    <fb>95.1</fb>
    <v>34</v>
  </rv>
  <rv s="14">
    <fb>47.51</fb>
    <v>34</v>
  </rv>
  <rv s="14">
    <fb>146.29</fb>
    <v>34</v>
  </rv>
  <rv s="14">
    <fb>89.8</fb>
    <v>34</v>
  </rv>
  <rv s="14">
    <fb>14.54</fb>
    <v>34</v>
  </rv>
  <rv s="14">
    <fb>30.69</fb>
    <v>34</v>
  </rv>
  <rv s="14">
    <fb>24.81</fb>
    <v>34</v>
  </rv>
  <rv s="14">
    <fb>5.21</fb>
    <v>34</v>
  </rv>
  <rv s="14">
    <fb>54.21</fb>
    <v>34</v>
  </rv>
  <rv s="14">
    <fb>94.25</fb>
    <v>34</v>
  </rv>
  <rv s="14">
    <fb>51.01</fb>
    <v>34</v>
  </rv>
  <rv s="14">
    <fb>27.56</fb>
    <v>34</v>
  </rv>
  <rv s="14">
    <fb>91.71</fb>
    <v>34</v>
  </rv>
  <rv s="14">
    <fb>457.77</fb>
    <v>34</v>
  </rv>
  <rv s="14">
    <fb>224.98</fb>
    <v>34</v>
  </rv>
  <rv s="14">
    <fb>42.65</fb>
    <v>34</v>
  </rv>
  <rv s="14">
    <fb>119.59</fb>
    <v>34</v>
  </rv>
  <rv s="14">
    <fb>150.44999999999999</fb>
    <v>34</v>
  </rv>
  <rv s="14">
    <fb>163.66999999999999</fb>
    <v>34</v>
  </rv>
  <rv s="14">
    <fb>67.3</fb>
    <v>34</v>
  </rv>
  <rv s="14">
    <fb>301.58</fb>
    <v>34</v>
  </rv>
  <rv s="14">
    <fb>95.4</fb>
    <v>34</v>
  </rv>
  <rv s="14">
    <fb>754.55</fb>
    <v>34</v>
  </rv>
  <rv s="14">
    <fb>169.62</fb>
    <v>34</v>
  </rv>
  <rv s="14">
    <fb>172.16</fb>
    <v>34</v>
  </rv>
  <rv s="14">
    <fb>274.92</fb>
    <v>34</v>
  </rv>
  <rv s="14">
    <fb>92.28</fb>
    <v>34</v>
  </rv>
  <rv s="14">
    <fb>22.895</fb>
    <v>34</v>
  </rv>
  <rv s="14">
    <fb>58.51</fb>
    <v>34</v>
  </rv>
  <rv s="14">
    <fb>58.31</fb>
    <v>34</v>
  </rv>
  <rv s="14">
    <fb>29.29</fb>
    <v>34</v>
  </rv>
  <rv s="14">
    <fb>23.9117</fb>
    <v>34</v>
  </rv>
  <rv s="14">
    <fb>45590</fb>
    <v>33</v>
  </rv>
  <rv s="14">
    <fb>231.41</fb>
    <v>34</v>
  </rv>
  <rv s="14">
    <fb>141.54</fb>
    <v>34</v>
  </rv>
  <rv s="14">
    <fb>428.15</fb>
    <v>34</v>
  </rv>
  <rv s="14">
    <fb>573.25</fb>
    <v>34</v>
  </rv>
  <rv s="14">
    <fb>165.27</fb>
    <v>34</v>
  </rv>
  <rv s="14">
    <fb>579.04</fb>
    <v>34</v>
  </rv>
  <rv s="14">
    <fb>92.14</fb>
    <v>34</v>
  </rv>
  <rv s="14">
    <fb>253.32</fb>
    <v>34</v>
  </rv>
  <rv s="14">
    <fb>74.23</fb>
    <v>34</v>
  </rv>
  <rv s="14">
    <fb>47.4</fb>
    <v>34</v>
  </rv>
  <rv s="14">
    <fb>143.09</fb>
    <v>34</v>
  </rv>
  <rv s="14">
    <fb>89.77</fb>
    <v>34</v>
  </rv>
  <rv s="14">
    <fb>14.77</fb>
    <v>34</v>
  </rv>
  <rv s="14">
    <fb>2.4</fb>
    <v>35</v>
  </rv>
  <rv s="14">
    <fb>30.63</fb>
    <v>34</v>
  </rv>
  <rv s="14">
    <fb>24.84</fb>
    <v>34</v>
  </rv>
  <rv s="14">
    <fb>5.1100000000000003</fb>
    <v>34</v>
  </rv>
  <rv s="14">
    <fb>54.35</fb>
    <v>34</v>
  </rv>
  <rv s="14">
    <fb>93.51</fb>
    <v>34</v>
  </rv>
  <rv s="14">
    <fb>26.29</fb>
    <v>34</v>
  </rv>
  <rv s="14">
    <fb>51.06</fb>
    <v>34</v>
  </rv>
  <rv s="14">
    <fb>29.15</fb>
    <v>34</v>
  </rv>
  <rv s="14">
    <fb>27.42</fb>
    <v>34</v>
  </rv>
  <rv s="14">
    <fb>91.75</fb>
    <v>34</v>
  </rv>
  <rv s="14">
    <fb>454.01</fb>
    <v>34</v>
  </rv>
  <rv s="14">
    <fb>222.31</fb>
    <v>34</v>
  </rv>
  <rv s="14">
    <fb>41.89</fb>
    <v>34</v>
  </rv>
  <rv s="14">
    <fb>119.49</fb>
    <v>34</v>
  </rv>
  <rv s="14">
    <fb>150.81</fb>
    <v>34</v>
  </rv>
  <rv s="14">
    <fb>160.88</fb>
    <v>34</v>
  </rv>
  <rv s="14">
    <fb>66.92</fb>
    <v>34</v>
  </rv>
  <rv s="14">
    <fb>292.61</fb>
    <v>34</v>
  </rv>
  <rv s="14">
    <fb>95.03</fb>
    <v>34</v>
  </rv>
  <rv s="14">
    <fb>754.68</fb>
    <v>34</v>
  </rv>
  <rv s="14">
    <fb>168.22</fb>
    <v>34</v>
  </rv>
  <rv s="14">
    <fb>171.79</fb>
    <v>34</v>
  </rv>
  <rv s="14">
    <fb>278.77</fb>
    <v>34</v>
  </rv>
  <rv s="14">
    <fb>30.03</fb>
    <v>34</v>
  </rv>
  <rv s="14">
    <fb>58.04</fb>
    <v>34</v>
  </rv>
  <rv s="14">
    <fb>23.768599999999999</fb>
    <v>34</v>
  </rv>
  <rv s="14">
    <fb>45593</fb>
    <v>33</v>
  </rv>
  <rv s="14">
    <fb>233.4</fb>
    <v>34</v>
  </rv>
  <rv s="14">
    <fb>140.52000000000001</fb>
    <v>34</v>
  </rv>
  <rv s="14">
    <fb>426.59</fb>
    <v>34</v>
  </rv>
  <rv s="14">
    <fb>578.16</fb>
    <v>34</v>
  </rv>
  <rv s="14">
    <fb>166.72</fb>
    <v>34</v>
  </rv>
  <rv s="14">
    <fb>580.83000000000004</fb>
    <v>34</v>
  </rv>
  <rv s="14">
    <fb>91.89</fb>
    <v>34</v>
  </rv>
  <rv s="14">
    <fb>253.33</fb>
    <v>34</v>
  </rv>
  <rv s="14">
    <fb>70.430000000000007</fb>
    <v>34</v>
  </rv>
  <rv s="14">
    <fb>94.67</fb>
    <v>34</v>
  </rv>
  <rv s="14">
    <fb>47.35</fb>
    <v>34</v>
  </rv>
  <rv s="14">
    <fb>144.84</fb>
    <v>34</v>
  </rv>
  <rv s="14">
    <fb>89.2</fb>
    <v>34</v>
  </rv>
  <rv s="14">
    <fb>13.98</fb>
    <v>34</v>
  </rv>
  <rv s="14">
    <fb>30.73</fb>
    <v>34</v>
  </rv>
  <rv s="14">
    <fb>25.04</fb>
    <v>34</v>
  </rv>
  <rv s="14">
    <fb>5.04</fb>
    <v>34</v>
  </rv>
  <rv s="14">
    <fb>94.79</fb>
    <v>34</v>
  </rv>
  <rv s="14">
    <fb>26.26</fb>
    <v>34</v>
  </rv>
  <rv s="14">
    <fb>51.08</fb>
    <v>34</v>
  </rv>
  <rv s="14">
    <fb>27.33</fb>
    <v>34</v>
  </rv>
  <rv s="14">
    <fb>458.49</fb>
    <v>34</v>
  </rv>
  <rv s="14">
    <fb>225.5</fb>
    <v>34</v>
  </rv>
  <rv s="14">
    <fb>42.62</fb>
    <v>34</v>
  </rv>
  <rv s="14">
    <fb>118.9</fb>
    <v>34</v>
  </rv>
  <rv s="14">
    <fb>150.54</fb>
    <v>34</v>
  </rv>
  <rv s="14">
    <fb>66.67</fb>
    <v>34</v>
  </rv>
  <rv s="14">
    <fb>296.79000000000002</fb>
    <v>34</v>
  </rv>
  <rv s="14">
    <fb>96.2</fb>
    <v>34</v>
  </rv>
  <rv s="14">
    <fb>749.12</fb>
    <v>34</v>
  </rv>
  <rv s="14">
    <fb>169.3</fb>
    <v>34</v>
  </rv>
  <rv s="14">
    <fb>169.84</fb>
    <v>34</v>
  </rv>
  <rv s="14">
    <fb>275.92</fb>
    <v>34</v>
  </rv>
  <rv s="14">
    <fb>91.25</fb>
    <v>34</v>
  </rv>
  <rv s="14">
    <fb>522.5</fb>
    <v>36</v>
  </rv>
  <rv s="14">
    <fb>22.83</fb>
    <v>34</v>
  </rv>
  <rv s="14">
    <fb>58.89</fb>
    <v>34</v>
  </rv>
  <rv s="14">
    <fb>57.86</fb>
    <v>34</v>
  </rv>
  <rv s="14">
    <fb>23.882899999999999</fb>
    <v>34</v>
  </rv>
  <rv s="14">
    <fb>45594</fb>
    <v>33</v>
  </rv>
  <rv s="14">
    <fb>233.67</fb>
    <v>34</v>
  </rv>
  <rv s="14">
    <fb>141.25</fb>
    <v>34</v>
  </rv>
  <rv s="14">
    <fb>431.95</fb>
    <v>34</v>
  </rv>
  <rv s="14">
    <fb>593.28</fb>
    <v>34</v>
  </rv>
  <rv s="14">
    <fb>169.68</fb>
    <v>34</v>
  </rv>
  <rv s="14">
    <fb>581.77</fb>
    <v>34</v>
  </rv>
  <rv s="14">
    <fb>92.03</fb>
    <v>34</v>
  </rv>
  <rv s="14">
    <fb>256.08999999999997</fb>
    <v>34</v>
  </rv>
  <rv s="14">
    <fb>69.66</fb>
    <v>34</v>
  </rv>
  <rv s="14">
    <fb>94.71</fb>
    <v>34</v>
  </rv>
  <rv s="14">
    <fb>47.403500000000001</fb>
    <v>34</v>
  </rv>
  <rv s="14">
    <fb>146.02000000000001</fb>
    <v>34</v>
  </rv>
  <rv s="14">
    <fb>87.84</fb>
    <v>34</v>
  </rv>
  <rv s="14">
    <fb>13.85</fb>
    <v>34</v>
  </rv>
  <rv s="14">
    <fb>25.33</fb>
    <v>34</v>
  </rv>
  <rv s="14">
    <fb>5.13</fb>
    <v>34</v>
  </rv>
  <rv s="14">
    <fb>54.94</fb>
    <v>34</v>
  </rv>
  <rv s="14">
    <fb>95.98</fb>
    <v>34</v>
  </rv>
  <rv s="14">
    <fb>51.07</fb>
    <v>34</v>
  </rv>
  <rv s="14">
    <fb>27.35</fb>
    <v>34</v>
  </rv>
  <rv s="14">
    <fb>91.77</fb>
    <v>34</v>
  </rv>
  <rv s="14">
    <fb>454.62</fb>
    <v>34</v>
  </rv>
  <rv s="14">
    <fb>222.9</fb>
    <v>34</v>
  </rv>
  <rv s="14">
    <fb>42.53</fb>
    <v>34</v>
  </rv>
  <rv s="14">
    <fb>117.28</fb>
    <v>34</v>
  </rv>
  <rv s="14">
    <fb>148.52000000000001</fb>
    <v>34</v>
  </rv>
  <rv s="14">
    <fb>160.09</fb>
    <v>34</v>
  </rv>
  <rv s="14">
    <fb>65.56</fb>
    <v>34</v>
  </rv>
  <rv s="14">
    <fb>96.13</fb>
    <v>34</v>
  </rv>
  <rv s="14">
    <fb>759.44</fb>
    <v>34</v>
  </rv>
  <rv s="14">
    <fb>167.17</fb>
    <v>34</v>
  </rv>
  <rv s="14">
    <fb>167.5</fb>
    <v>34</v>
  </rv>
  <rv s="14">
    <fb>272.02999999999997</fb>
    <v>34</v>
  </rv>
  <rv s="14">
    <fb>89.87</fb>
    <v>34</v>
  </rv>
  <rv s="14">
    <fb>28.85</fb>
    <v>34</v>
  </rv>
  <rv s="14">
    <fb>22.835000000000001</fb>
    <v>34</v>
  </rv>
  <rv s="14">
    <fb>58.93</fb>
    <v>34</v>
  </rv>
  <rv s="14">
    <fb>57.92</fb>
    <v>34</v>
  </rv>
  <rv s="14">
    <fb>29.24</fb>
    <v>34</v>
  </rv>
  <rv s="14">
    <fb>23.5748</fb>
    <v>34</v>
  </rv>
  <rv s="14">
    <fb>45595</fb>
    <v>33</v>
  </rv>
  <rv s="14">
    <fb>230.1</fb>
    <v>34</v>
  </rv>
  <rv s="14">
    <fb>139.33500000000001</fb>
    <v>34</v>
  </rv>
  <rv s="14">
    <fb>432.53</fb>
    <v>34</v>
  </rv>
  <rv s="14">
    <fb>591.79999999999995</fb>
    <v>34</v>
  </rv>
  <rv s="14">
    <fb>174.46</fb>
    <v>34</v>
  </rv>
  <rv s="14">
    <fb>580.01</fb>
    <v>34</v>
  </rv>
  <rv s="14">
    <fb>92.3</fb>
    <v>34</v>
  </rv>
  <rv s="14">
    <fb>257.5</fb>
    <v>34</v>
  </rv>
  <rv s="14">
    <fb>71.36</fb>
    <v>34</v>
  </rv>
  <rv s="14">
    <fb>94.57</fb>
    <v>34</v>
  </rv>
  <rv s="14">
    <fb>47.330100000000002</fb>
    <v>34</v>
  </rv>
  <rv s="14">
    <fb>145.86000000000001</fb>
    <v>34</v>
  </rv>
  <rv s="14">
    <fb>88.04</fb>
    <v>34</v>
  </rv>
  <rv s="14">
    <fb>30.81</fb>
    <v>34</v>
  </rv>
  <rv s="14">
    <fb>25.53</fb>
    <v>34</v>
  </rv>
  <rv s="14">
    <fb>5.15</fb>
    <v>34</v>
  </rv>
  <rv s="14">
    <fb>55.23</fb>
    <v>34</v>
  </rv>
  <rv s="14">
    <fb>92.75</fb>
    <v>34</v>
  </rv>
  <rv s="14">
    <fb>51.03</fb>
    <v>34</v>
  </rv>
  <rv s="14">
    <fb>29.13</fb>
    <v>34</v>
  </rv>
  <rv s="14">
    <fb>91.78</fb>
    <v>34</v>
  </rv>
  <rv s="14">
    <fb>454.96</fb>
    <v>34</v>
  </rv>
  <rv s="14">
    <fb>224.41</fb>
    <v>34</v>
  </rv>
  <rv s="14">
    <fb>42.31</fb>
    <v>34</v>
  </rv>
  <rv s="14">
    <fb>116.69</fb>
    <v>34</v>
  </rv>
  <rv s="14">
    <fb>148.05000000000001</fb>
    <v>34</v>
  </rv>
  <rv s="14">
    <fb>160.61000000000001</fb>
    <v>34</v>
  </rv>
  <rv s="14">
    <fb>65.92</fb>
    <v>34</v>
  </rv>
  <rv s="14">
    <fb>291.52</fb>
    <v>34</v>
  </rv>
  <rv s="14">
    <fb>95.08</fb>
    <v>34</v>
  </rv>
  <rv s="14">
    <fb>753.74</fb>
    <v>34</v>
  </rv>
  <rv s="14">
    <fb>166.16</fb>
    <v>34</v>
  </rv>
  <rv s="14">
    <fb>166.21</fb>
    <v>34</v>
  </rv>
  <rv s="14">
    <fb>272.56</fb>
    <v>34</v>
  </rv>
  <rv s="14">
    <fb>90.61</fb>
    <v>34</v>
  </rv>
  <rv s="14">
    <fb>29.04</fb>
    <v>34</v>
  </rv>
  <rv s="14">
    <fb>22.815000000000001</fb>
    <v>34</v>
  </rv>
  <rv s="14">
    <fb>58.45</fb>
    <v>34</v>
  </rv>
  <rv s="14">
    <fb>58.83</fb>
    <v>34</v>
  </rv>
  <rv s="14">
    <fb>29.21</fb>
    <v>34</v>
  </rv>
  <rv s="14">
    <fb>23.6633</fb>
    <v>34</v>
  </rv>
  <rv s="14">
    <fb>45596</fb>
    <v>33</v>
  </rv>
  <rv s="14">
    <fb>225.91</fb>
    <v>34</v>
  </rv>
  <rv s="14">
    <fb>132.76</fb>
    <v>34</v>
  </rv>
  <rv s="14">
    <fb>406.35</fb>
    <v>34</v>
  </rv>
  <rv s="14">
    <fb>567.58000000000004</fb>
    <v>34</v>
  </rv>
  <rv s="14">
    <fb>171.11</fb>
    <v>34</v>
  </rv>
  <rv s="14">
    <fb>568.64</fb>
    <v>34</v>
  </rv>
  <rv s="14">
    <fb>92.45</fb>
    <v>34</v>
  </rv>
  <rv s="14">
    <fb>253.51</fb>
    <v>34</v>
  </rv>
  <rv s="14">
    <fb>73.08</fb>
    <v>34</v>
  </rv>
  <rv s="14">
    <fb>94.52</fb>
    <v>34</v>
  </rv>
  <rv s="14">
    <fb>47.225000000000001</fb>
    <v>34</v>
  </rv>
  <rv s="14">
    <fb>143.26</fb>
    <v>34</v>
  </rv>
  <rv s="14">
    <fb>88.59</fb>
    <v>34</v>
  </rv>
  <rv s="14">
    <fb>14.52</fb>
    <v>34</v>
  </rv>
  <rv s="14">
    <fb>2.2999999999999998</fb>
    <v>35</v>
  </rv>
  <rv s="14">
    <fb>29.81</fb>
    <v>34</v>
  </rv>
  <rv s="14">
    <fb>25.5</fb>
    <v>34</v>
  </rv>
  <rv s="14">
    <fb>54.39</fb>
    <v>34</v>
  </rv>
  <rv s="14">
    <fb>90.96</fb>
    <v>34</v>
  </rv>
  <rv s="14">
    <fb>26.31</fb>
    <v>34</v>
  </rv>
  <rv s="14">
    <fb>29.12</fb>
    <v>34</v>
  </rv>
  <rv s="14">
    <fb>91.8</fb>
    <v>34</v>
  </rv>
  <rv s="14">
    <fb>450.92</fb>
    <v>34</v>
  </rv>
  <rv s="14">
    <fb>221.92</fb>
    <v>34</v>
  </rv>
  <rv s="14">
    <fb>41.82</fb>
    <v>34</v>
  </rv>
  <rv s="14">
    <fb>116.78</fb>
    <v>34</v>
  </rv>
  <rv s="14">
    <fb>148.82</fb>
    <v>34</v>
  </rv>
  <rv s="14">
    <fb>159.86000000000001</fb>
    <v>34</v>
  </rv>
  <rv s="14">
    <fb>65.31</fb>
    <v>34</v>
  </rv>
  <rv s="14">
    <fb>292.11</fb>
    <v>34</v>
  </rv>
  <rv s="14">
    <fb>756.03</fb>
    <v>34</v>
  </rv>
  <rv s="14">
    <fb>165.18</fb>
    <v>34</v>
  </rv>
  <rv s="14">
    <fb>166.08</fb>
    <v>34</v>
  </rv>
  <rv s="14">
    <fb>274.57</fb>
    <v>34</v>
  </rv>
  <rv s="14">
    <fb>91.38</fb>
    <v>34</v>
  </rv>
  <rv s="14">
    <fb>28.72</fb>
    <v>34</v>
  </rv>
  <rv s="14">
    <fb>551.5</fb>
    <v>36</v>
  </rv>
  <rv s="14">
    <fb>22.82</fb>
    <v>34</v>
  </rv>
  <rv s="14">
    <fb>58.48</fb>
    <v>34</v>
  </rv>
  <rv s="14">
    <fb>58.8</fb>
    <v>34</v>
  </rv>
  <rv s="14">
    <fb>58.13</fb>
    <v>34</v>
  </rv>
  <rv s="14">
    <fb>23.323899999999998</fb>
    <v>34</v>
  </rv>
  <rv s="14">
    <fb>45597</fb>
    <v>33</v>
  </rv>
  <rv s="14">
    <fb>222.91</fb>
    <v>34</v>
  </rv>
  <rv s="14">
    <fb>135.4</fb>
    <v>34</v>
  </rv>
  <rv s="14">
    <fb>410.37</fb>
    <v>34</v>
  </rv>
  <rv s="14">
    <fb>567.16</fb>
    <v>34</v>
  </rv>
  <rv s="14">
    <fb>171.29</fb>
    <v>34</v>
  </rv>
  <rv s="14">
    <fb>571.04</fb>
    <v>34</v>
  </rv>
  <rv s="14">
    <fb>90.84</fb>
    <v>34</v>
  </rv>
  <rv s="14">
    <fb>252.47</fb>
    <v>34</v>
  </rv>
  <rv s="14">
    <fb>72.02</fb>
    <v>34</v>
  </rv>
  <rv s="14">
    <fb>93.67</fb>
    <v>34</v>
  </rv>
  <rv s="14">
    <fb>47.083300000000001</fb>
    <v>34</v>
  </rv>
  <rv s="14">
    <fb>141</fb>
    <v>34</v>
  </rv>
  <rv s="14">
    <fb>88.03</fb>
    <v>34</v>
  </rv>
  <rv s="14">
    <fb>14.29</fb>
    <v>34</v>
  </rv>
  <rv s="14">
    <fb>25.32</fb>
    <v>34</v>
  </rv>
  <rv s="14">
    <fb>54.17</fb>
    <v>34</v>
  </rv>
  <rv s="14">
    <fb>26.16</fb>
    <v>34</v>
  </rv>
  <rv s="14">
    <fb>50.85</fb>
    <v>34</v>
  </rv>
  <rv s="14">
    <fb>29.01</fb>
    <v>34</v>
  </rv>
  <rv s="14">
    <fb>27.01</fb>
    <v>34</v>
  </rv>
  <rv s="14">
    <fb>91.48</fb>
    <v>34</v>
  </rv>
  <rv s="14">
    <fb>452.14</fb>
    <v>34</v>
  </rv>
  <rv s="14">
    <fb>222.94</fb>
    <v>34</v>
  </rv>
  <rv s="14">
    <fb>114.95</fb>
    <v>34</v>
  </rv>
  <rv s="14">
    <fb>153.07</fb>
    <v>34</v>
  </rv>
  <rv s="14">
    <fb>160.13</fb>
    <v>34</v>
  </rv>
  <rv s="14">
    <fb>65.010000000000005</fb>
    <v>34</v>
  </rv>
  <rv s="14">
    <fb>295.20999999999998</fb>
    <v>34</v>
  </rv>
  <rv s="14">
    <fb>95.81</fb>
    <v>34</v>
  </rv>
  <rv s="14">
    <fb>756.1</fb>
    <v>34</v>
  </rv>
  <rv s="14">
    <fb>165.1</fb>
    <v>34</v>
  </rv>
  <rv s="14">
    <fb>165.59</fb>
    <v>34</v>
  </rv>
  <rv s="14">
    <fb>271.79000000000002</fb>
    <v>34</v>
  </rv>
  <rv s="14">
    <fb>90.24</fb>
    <v>34</v>
  </rv>
  <rv s="14">
    <fb>28.3523</fb>
    <v>34</v>
  </rv>
  <rv s="14">
    <fb>22.664999999999999</fb>
    <v>34</v>
  </rv>
  <rv s="14">
    <fb>58.23</fb>
    <v>34</v>
  </rv>
  <rv s="14">
    <fb>58.42</fb>
    <v>34</v>
  </rv>
  <rv s="14">
    <fb>57.16</fb>
    <v>34</v>
  </rv>
  <rv s="14">
    <fb>23.016300000000001</fb>
    <v>34</v>
  </rv>
  <rv s="14">
    <fb>45600</fb>
    <v>33</v>
  </rv>
  <rv s="14">
    <fb>222.01</fb>
    <v>34</v>
  </rv>
  <rv s="14">
    <fb>136.05000000000001</fb>
    <v>34</v>
  </rv>
  <rv s="14">
    <fb>408.46</fb>
    <v>34</v>
  </rv>
  <rv s="14">
    <fb>560.67999999999995</fb>
    <v>34</v>
  </rv>
  <rv s="14">
    <fb>169.24</fb>
    <v>34</v>
  </rv>
  <rv s="14">
    <fb>569.80999999999995</fb>
    <v>34</v>
  </rv>
  <rv s="14">
    <fb>92.25</fb>
    <v>34</v>
  </rv>
  <rv s="14">
    <fb>252.83</fb>
    <v>34</v>
  </rv>
  <rv s="14">
    <fb>74.290000000000006</fb>
    <v>34</v>
  </rv>
  <rv s="14">
    <fb>94.17</fb>
    <v>34</v>
  </rv>
  <rv s="14">
    <fb>47.33</fb>
    <v>34</v>
  </rv>
  <rv s="14">
    <fb>139.43</fb>
    <v>34</v>
  </rv>
  <rv s="14">
    <fb>89.57</fb>
    <v>34</v>
  </rv>
  <rv s="14">
    <fb>14.76</fb>
    <v>34</v>
  </rv>
  <rv s="14">
    <fb>29.63</fb>
    <v>34</v>
  </rv>
  <rv s="14">
    <fb>25.34</fb>
    <v>34</v>
  </rv>
  <rv s="14">
    <fb>5.12</fb>
    <v>34</v>
  </rv>
  <rv s="14">
    <fb>54.24</fb>
    <v>34</v>
  </rv>
  <rv s="14">
    <fb>90.06</fb>
    <v>34</v>
  </rv>
  <rv s="14">
    <fb>26.21</fb>
    <v>34</v>
  </rv>
  <rv s="14">
    <fb>50.88</fb>
    <v>34</v>
  </rv>
  <rv s="14">
    <fb>27.39</fb>
    <v>34</v>
  </rv>
  <rv s="14">
    <fb>91.5</fb>
    <v>34</v>
  </rv>
  <rv s="14">
    <fb>442.29</fb>
    <v>34</v>
  </rv>
  <rv s="14">
    <fb>219.78</fb>
    <v>34</v>
  </rv>
  <rv s="14">
    <fb>41.33</fb>
    <v>34</v>
  </rv>
  <rv s="14">
    <fb>118.61</fb>
    <v>34</v>
  </rv>
  <rv s="14">
    <fb>153.97</fb>
    <v>34</v>
  </rv>
  <rv s="14">
    <fb>158.24</fb>
    <v>34</v>
  </rv>
  <rv s="14">
    <fb>65.11</fb>
    <v>34</v>
  </rv>
  <rv s="14">
    <fb>292.85000000000002</fb>
    <v>34</v>
  </rv>
  <rv s="14">
    <fb>95.79</fb>
    <v>34</v>
  </rv>
  <rv s="14">
    <fb>755.51</fb>
    <v>34</v>
  </rv>
  <rv s="14">
    <fb>165.08</fb>
    <v>34</v>
  </rv>
  <rv s="14">
    <fb>166.34</fb>
    <v>34</v>
  </rv>
  <rv s="14">
    <fb>276.01</fb>
    <v>34</v>
  </rv>
  <rv s="14">
    <fb>91.79</fb>
    <v>34</v>
  </rv>
  <rv s="14">
    <fb>28.87</fb>
    <v>34</v>
  </rv>
  <rv s="14">
    <fb>22.77</fb>
    <v>34</v>
  </rv>
  <rv s="14">
    <fb>58.28</fb>
    <v>34</v>
  </rv>
  <rv s="14">
    <fb>58.61</fb>
    <v>34</v>
  </rv>
  <rv s="14">
    <fb>57.95</fb>
    <v>34</v>
  </rv>
  <rv s="14">
    <fb>29.06</fb>
    <v>34</v>
  </rv>
  <rv s="14">
    <fb>23.246600000000001</fb>
    <v>34</v>
  </rv>
  <rv s="14">
    <fb>45601</fb>
    <v>33</v>
  </rv>
  <rv s="14">
    <fb>223.45</fb>
    <v>34</v>
  </rv>
  <rv s="14">
    <fb>139.91</fb>
    <v>34</v>
  </rv>
  <rv s="14">
    <fb>411.46</fb>
    <v>34</v>
  </rv>
  <rv s="14">
    <fb>572.42999999999995</fb>
    <v>34</v>
  </rv>
  <rv s="14">
    <fb>169.74</fb>
    <v>34</v>
  </rv>
  <rv s="14">
    <fb>576.70000000000005</fb>
    <v>34</v>
  </rv>
  <rv s="14">
    <fb>92.74</fb>
    <v>34</v>
  </rv>
  <rv s="14">
    <fb>253.4</fb>
    <v>34</v>
  </rv>
  <rv s="14">
    <fb>74.73</fb>
    <v>34</v>
  </rv>
  <rv s="14">
    <fb>47.41</fb>
    <v>34</v>
  </rv>
  <rv s="14">
    <fb>149.27000000000001</fb>
    <v>34</v>
  </rv>
  <rv s="14">
    <fb>90.17</fb>
    <v>34</v>
  </rv>
  <rv s="14">
    <fb>14.86</fb>
    <v>34</v>
  </rv>
  <rv s="14">
    <fb>2.35</fb>
    <v>35</v>
  </rv>
  <rv s="14">
    <fb>29.75</fb>
    <v>34</v>
  </rv>
  <rv s="14">
    <fb>54.36</fb>
    <v>34</v>
  </rv>
  <rv s="14">
    <fb>26.23</fb>
    <v>34</v>
  </rv>
  <rv s="14">
    <fb>29.02</fb>
    <v>34</v>
  </rv>
  <rv s="14">
    <fb>27.51</fb>
    <v>34</v>
  </rv>
  <rv s="14">
    <fb>445.06</fb>
    <v>34</v>
  </rv>
  <rv s="14">
    <fb>221.49</fb>
    <v>34</v>
  </rv>
  <rv s="14">
    <fb>41.88</fb>
    <v>34</v>
  </rv>
  <rv s="14">
    <fb>118.96</fb>
    <v>34</v>
  </rv>
  <rv s="14">
    <fb>153.41</fb>
    <v>34</v>
  </rv>
  <rv s="14">
    <fb>158.35</fb>
    <v>34</v>
  </rv>
  <rv s="14">
    <fb>65.37</fb>
    <v>34</v>
  </rv>
  <rv s="14">
    <fb>297.32</fb>
    <v>34</v>
  </rv>
  <rv s="14">
    <fb>96.63</fb>
    <v>34</v>
  </rv>
  <rv s="14">
    <fb>763.91</fb>
    <v>34</v>
  </rv>
  <rv s="14">
    <fb>165.76</fb>
    <v>34</v>
  </rv>
  <rv s="14">
    <fb>167.85</fb>
    <v>34</v>
  </rv>
  <rv s="14">
    <fb>279.31</fb>
    <v>34</v>
  </rv>
  <rv s="14">
    <fb>92.4</fb>
    <v>34</v>
  </rv>
  <rv s="14">
    <fb>29.155899999999999</fb>
    <v>34</v>
  </rv>
  <rv s="14">
    <fb>22.785</fb>
    <v>34</v>
  </rv>
  <rv s="14">
    <fb>58.25</fb>
    <v>34</v>
  </rv>
  <rv s="14">
    <fb>58.2</fb>
    <v>34</v>
  </rv>
  <rv s="14">
    <fb>23.512899999999998</fb>
    <v>34</v>
  </rv>
  <rv s="14">
    <fb>45602</fb>
    <v>33</v>
  </rv>
  <rv s="14">
    <fb>222.72</fb>
    <v>34</v>
  </rv>
  <rv s="14">
    <fb>145.61000000000001</fb>
    <v>34</v>
  </rv>
  <rv s="14">
    <fb>420.18</fb>
    <v>34</v>
  </rv>
  <rv s="14">
    <fb>572.04999999999995</fb>
    <v>34</v>
  </rv>
  <rv s="14">
    <fb>176.51</fb>
    <v>34</v>
  </rv>
  <rv s="14">
    <fb>591.04</fb>
    <v>34</v>
  </rv>
  <rv s="14">
    <fb>90.2</fb>
    <v>34</v>
  </rv>
  <rv s="14">
    <fb>245.7</fb>
    <v>34</v>
  </rv>
  <rv s="14">
    <fb>74.540000000000006</fb>
    <v>34</v>
  </rv>
  <rv s="14">
    <fb>93.25</fb>
    <v>34</v>
  </rv>
  <rv s="14">
    <fb>47.14</fb>
    <v>34</v>
  </rv>
  <rv s="14">
    <fb>93.56</fb>
    <v>34</v>
  </rv>
  <rv s="14">
    <fb>14.79</fb>
    <v>34</v>
  </rv>
  <rv s="14">
    <fb>28.43</fb>
    <v>34</v>
  </rv>
  <rv s="14">
    <fb>25.15</fb>
    <v>34</v>
  </rv>
  <rv s="14">
    <fb>52.71</fb>
    <v>34</v>
  </rv>
  <rv s="14">
    <fb>90.74</fb>
    <v>34</v>
  </rv>
  <rv s="14">
    <fb>28.99</fb>
    <v>34</v>
  </rv>
  <rv s="14">
    <fb>26.87</fb>
    <v>34</v>
  </rv>
  <rv s="14">
    <fb>91.52</fb>
    <v>34</v>
  </rv>
  <rv s="14">
    <fb>468.9</fb>
    <v>34</v>
  </rv>
  <rv s="14">
    <fb>247.06</fb>
    <v>34</v>
  </rv>
  <rv s="14">
    <fb>45.41</fb>
    <v>34</v>
  </rv>
  <rv s="14">
    <fb>121</fb>
    <v>34</v>
  </rv>
  <rv s="14">
    <fb>157.72</fb>
    <v>34</v>
  </rv>
  <rv s="14">
    <fb>157.88</fb>
    <v>34</v>
  </rv>
  <rv s="14">
    <fb>63.7</fb>
    <v>34</v>
  </rv>
  <rv s="14">
    <fb>294</fb>
    <v>34</v>
  </rv>
  <rv s="14">
    <fb>98.89</fb>
    <v>34</v>
  </rv>
  <rv s="14">
    <fb>780.21</fb>
    <v>34</v>
  </rv>
  <rv s="14">
    <fb>161.05000000000001</fb>
    <v>34</v>
  </rv>
  <rv s="14">
    <fb>164.71</fb>
    <v>34</v>
  </rv>
  <rv s="14">
    <fb>304.32</fb>
    <v>34</v>
  </rv>
  <rv s="14">
    <fb>96.86</fb>
    <v>34</v>
  </rv>
  <rv s="14">
    <fb>22.6</fb>
    <v>34</v>
  </rv>
  <rv s="14">
    <fb>56.85</fb>
    <v>34</v>
  </rv>
  <rv s="14">
    <fb>28.95</fb>
    <v>34</v>
  </rv>
  <rv s="14">
    <fb>23.0181</fb>
    <v>34</v>
  </rv>
  <rv s="14">
    <fb>45603</fb>
    <v>33</v>
  </rv>
  <rv s="14">
    <fb>227.48</fb>
    <v>34</v>
  </rv>
  <rv s="14">
    <fb>148.88</fb>
    <v>34</v>
  </rv>
  <rv s="14">
    <fb>425.43</fb>
    <v>34</v>
  </rv>
  <rv s="14">
    <fb>591.70000000000005</fb>
    <v>34</v>
  </rv>
  <rv s="14">
    <fb>180.75</fb>
    <v>34</v>
  </rv>
  <rv s="14">
    <fb>595.61</fb>
    <v>34</v>
  </rv>
  <rv s="14">
    <fb>91.33</fb>
    <v>34</v>
  </rv>
  <rv s="14">
    <fb>249.65</fb>
    <v>34</v>
  </rv>
  <rv s="14">
    <fb>74.66</fb>
    <v>34</v>
  </rv>
  <rv s="14">
    <fb>94</fb>
    <v>34</v>
  </rv>
  <rv s="14">
    <fb>47.459499999999998</fb>
    <v>34</v>
  </rv>
  <rv s="14">
    <fb>159.82</fb>
    <v>34</v>
  </rv>
  <rv s="14">
    <fb>93.13</fb>
    <v>34</v>
  </rv>
  <rv s="14">
    <fb>14.83</fb>
    <v>34</v>
  </rv>
  <rv s="14">
    <fb>2.1</fb>
    <v>35</v>
  </rv>
  <rv s="14">
    <fb>29.11</fb>
    <v>34</v>
  </rv>
  <rv s="14">
    <fb>25.71</fb>
    <v>34</v>
  </rv>
  <rv s="14">
    <fb>53.57</fb>
    <v>34</v>
  </rv>
  <rv s="14">
    <fb>91.27</fb>
    <v>34</v>
  </rv>
  <rv s="14">
    <fb>26.3</fb>
    <v>34</v>
  </rv>
  <rv s="14">
    <fb>29.03</fb>
    <v>34</v>
  </rv>
  <rv s="14">
    <fb>27.17</fb>
    <v>34</v>
  </rv>
  <rv s="14">
    <fb>91.53</fb>
    <v>34</v>
  </rv>
  <rv s="14">
    <fb>460.13</fb>
    <v>34</v>
  </rv>
  <rv s="14">
    <fb>236.38</fb>
    <v>34</v>
  </rv>
  <rv s="14">
    <fb>44.77</fb>
    <v>34</v>
  </rv>
  <rv s="14">
    <fb>121.15</fb>
    <v>34</v>
  </rv>
  <rv s="14">
    <fb>156.77000000000001</fb>
    <v>34</v>
  </rv>
  <rv s="14">
    <fb>156.72999999999999</fb>
    <v>34</v>
  </rv>
  <rv s="14">
    <fb>63.66</fb>
    <v>34</v>
  </rv>
  <rv s="14">
    <fb>294.66000000000003</fb>
    <v>34</v>
  </rv>
  <rv s="14">
    <fb>98.93</fb>
    <v>34</v>
  </rv>
  <rv s="14">
    <fb>796.54</fb>
    <v>34</v>
  </rv>
  <rv s="14">
    <fb>163.41</fb>
    <v>34</v>
  </rv>
  <rv s="14">
    <fb>164</fb>
    <v>34</v>
  </rv>
  <rv s="14">
    <fb>301.39999999999998</fb>
    <v>34</v>
  </rv>
  <rv s="14">
    <fb>95.97</fb>
    <v>34</v>
  </rv>
  <rv s="14">
    <fb>30.4956</fb>
    <v>34</v>
  </rv>
  <rv s="14">
    <fb>564</fb>
    <v>36</v>
  </rv>
  <rv s="14">
    <fb>22.72</fb>
    <v>34</v>
  </rv>
  <rv s="14">
    <fb>58.27</fb>
    <v>34</v>
  </rv>
  <rv s="14">
    <fb>57.48</fb>
    <v>34</v>
  </rv>
  <rv s="14">
    <fb>23.207799999999999</fb>
    <v>34</v>
  </rv>
  <rv s="14">
    <fb>45604</fb>
    <v>33</v>
  </rv>
  <rv s="14">
    <fb>226.96</fb>
    <v>34</v>
  </rv>
  <rv s="14">
    <fb>147.63</fb>
    <v>34</v>
  </rv>
  <rv s="14">
    <fb>422.54</fb>
    <v>34</v>
  </rv>
  <rv s="14">
    <fb>589.34</fb>
    <v>34</v>
  </rv>
  <rv s="14">
    <fb>178.35</fb>
    <v>34</v>
  </rv>
  <rv s="14">
    <fb>598.19000000000005</fb>
    <v>34</v>
  </rv>
  <rv s="14">
    <fb>92.49</fb>
    <v>34</v>
  </rv>
  <rv s="14">
    <fb>247.96</fb>
    <v>34</v>
  </rv>
  <rv s="14">
    <fb>73.13</fb>
    <v>34</v>
  </rv>
  <rv s="14">
    <fb>94.2</fb>
    <v>34</v>
  </rv>
  <rv s="14">
    <fb>47.53</fb>
    <v>34</v>
  </rv>
  <rv s="14">
    <fb>162</fb>
    <v>34</v>
  </rv>
  <rv s="14">
    <fb>93.75</fb>
    <v>34</v>
  </rv>
  <rv s="14">
    <fb>28.48</fb>
    <v>34</v>
  </rv>
  <rv s="14">
    <fb>25.47</fb>
    <v>34</v>
  </rv>
  <rv s="14">
    <fb>53.21</fb>
    <v>34</v>
  </rv>
  <rv s="14">
    <fb>88.75</fb>
    <v>34</v>
  </rv>
  <rv s="14">
    <fb>26.35</fb>
    <v>34</v>
  </rv>
  <rv s="14">
    <fb>91.58</fb>
    <v>34</v>
  </rv>
  <rv s="14">
    <fb>463.41</fb>
    <v>34</v>
  </rv>
  <rv s="14">
    <fb>236.98</fb>
    <v>34</v>
  </rv>
  <rv s="14">
    <fb>45.13</fb>
    <v>34</v>
  </rv>
  <rv s="14">
    <fb>121.11</fb>
    <v>34</v>
  </rv>
  <rv s="14">
    <fb>156.93</fb>
    <v>34</v>
  </rv>
  <rv s="14">
    <fb>155.47</fb>
    <v>34</v>
  </rv>
  <rv s="14">
    <fb>63.92</fb>
    <v>34</v>
  </rv>
  <rv s="14">
    <fb>298.97000000000003</fb>
    <v>34</v>
  </rv>
  <rv s="14">
    <fb>99.02</fb>
    <v>34</v>
  </rv>
  <rv s="14">
    <fb>795.04</fb>
    <v>34</v>
  </rv>
  <rv s="14">
    <fb>167.71</fb>
    <v>34</v>
  </rv>
  <rv s="14">
    <fb>165.11</fb>
    <v>34</v>
  </rv>
  <rv s="14">
    <fb>298.17</fb>
    <v>34</v>
  </rv>
  <rv s="14">
    <fb>97.01</fb>
    <v>34</v>
  </rv>
  <rv s="14">
    <fb>30.9</fb>
    <v>34</v>
  </rv>
  <rv s="14">
    <fb>58.24</fb>
    <v>34</v>
  </rv>
  <rv s="14">
    <fb>58.59</fb>
    <v>34</v>
  </rv>
  <rv s="14">
    <fb>58.12</fb>
    <v>34</v>
  </rv>
  <rv s="14">
    <fb>23.496300000000002</fb>
    <v>34</v>
  </rv>
  <rv s="14">
    <fb>45607</fb>
    <v>33</v>
  </rv>
  <rv s="14">
    <fb>224.23</fb>
    <v>34</v>
  </rv>
  <rv s="14">
    <fb>145.26</fb>
    <v>34</v>
  </rv>
  <rv s="14">
    <fb>418.01</fb>
    <v>34</v>
  </rv>
  <rv s="14">
    <fb>583.16999999999996</fb>
    <v>34</v>
  </rv>
  <rv s="14">
    <fb>180.35</fb>
    <v>34</v>
  </rv>
  <rv s="14">
    <fb>598.76</fb>
    <v>34</v>
  </rv>
  <rv s="14">
    <fb>92.04</fb>
    <v>34</v>
  </rv>
  <rv s="14">
    <fb>242.14</fb>
    <v>34</v>
  </rv>
  <rv s="14">
    <fb>70.94</fb>
    <v>34</v>
  </rv>
  <rv s="14">
    <fb>93.94</fb>
    <v>34</v>
  </rv>
  <rv s="14">
    <fb>47.468899999999998</fb>
    <v>34</v>
  </rv>
  <rv s="14">
    <fb>166.75</fb>
    <v>34</v>
  </rv>
  <rv s="14">
    <fb>94.28</fb>
    <v>34</v>
  </rv>
  <rv s="14">
    <fb>14.12</fb>
    <v>34</v>
  </rv>
  <rv s="14">
    <fb>27.97</fb>
    <v>34</v>
  </rv>
  <rv s="14">
    <fb>25.38</fb>
    <v>34</v>
  </rv>
  <rv s="14">
    <fb>51.96</fb>
    <v>34</v>
  </rv>
  <rv s="14">
    <fb>88.23</fb>
    <v>34</v>
  </rv>
  <rv s="14">
    <fb>26.28</fb>
    <v>34</v>
  </rv>
  <rv s="14">
    <fb>50.93</fb>
    <v>34</v>
  </rv>
  <rv s="14">
    <fb>91.57</fb>
    <v>34</v>
  </rv>
  <rv s="14">
    <fb>467.36</fb>
    <v>34</v>
  </rv>
  <rv s="14">
    <fb>239.29</fb>
    <v>34</v>
  </rv>
  <rv s="14">
    <fb>46.08</fb>
    <v>34</v>
  </rv>
  <rv s="14">
    <fb>120.47</fb>
    <v>34</v>
  </rv>
  <rv s="14">
    <fb>156.5</fb>
    <v>34</v>
  </rv>
  <rv s="14">
    <fb>155.04</fb>
    <v>34</v>
  </rv>
  <rv s="14">
    <fb>63.36</fb>
    <v>34</v>
  </rv>
  <rv s="14">
    <fb>301.52999999999997</fb>
    <v>34</v>
  </rv>
  <rv s="14">
    <fb>100.86</fb>
    <v>34</v>
  </rv>
  <rv s="14">
    <fb>805.44</fb>
    <v>34</v>
  </rv>
  <rv s="14">
    <fb>166.03</fb>
    <v>34</v>
  </rv>
  <rv s="14">
    <fb>164.26</fb>
    <v>34</v>
  </rv>
  <rv s="14">
    <fb>304.86</fb>
    <v>34</v>
  </rv>
  <rv s="14">
    <fb>98.1</fb>
    <v>34</v>
  </rv>
  <rv s="14">
    <fb>31.31</fb>
    <v>34</v>
  </rv>
  <rv s="14">
    <fb>22.725000000000001</fb>
    <v>34</v>
  </rv>
  <rv s="14">
    <fb>58.46</fb>
    <v>34</v>
  </rv>
  <rv s="14">
    <fb>57.9</fb>
    <v>34</v>
  </rv>
  <rv s="14">
    <fb>29.26</fb>
    <v>34</v>
  </rv>
  <rv s="14">
    <fb>23.409700000000001</fb>
    <v>34</v>
  </rv>
  <rv s="14">
    <fb>45608</fb>
    <v>33</v>
  </rv>
  <rv s="14">
    <fb>148.29</fb>
    <v>34</v>
  </rv>
  <rv s="14">
    <fb>423.03</fb>
    <v>34</v>
  </rv>
  <rv s="14">
    <fb>584.82000000000005</fb>
    <v>34</v>
  </rv>
  <rv s="14">
    <fb>181.62</fb>
    <v>34</v>
  </rv>
  <rv s="14">
    <fb>596.9</fb>
    <v>34</v>
  </rv>
  <rv s="14">
    <fb>90.66</fb>
    <v>34</v>
  </rv>
  <rv s="14">
    <fb>240.05</fb>
    <v>34</v>
  </rv>
  <rv s="14">
    <fb>70.69</fb>
    <v>34</v>
  </rv>
  <rv s="14">
    <fb>93.35</fb>
    <v>34</v>
  </rv>
  <rv s="14">
    <fb>47.19</fb>
    <v>34</v>
  </rv>
  <rv s="14">
    <fb>163.75</fb>
    <v>34</v>
  </rv>
  <rv s="14">
    <fb>93.78</fb>
    <v>34</v>
  </rv>
  <rv s="14">
    <fb>14.09</fb>
    <v>34</v>
  </rv>
  <rv s="14">
    <fb>28.07</fb>
    <v>34</v>
  </rv>
  <rv s="14">
    <fb>25.59</fb>
    <v>34</v>
  </rv>
  <rv s="14">
    <fb>4.9400000000000004</fb>
    <v>34</v>
  </rv>
  <rv s="14">
    <fb>51.52</fb>
    <v>34</v>
  </rv>
  <rv s="14">
    <fb>86.78</fb>
    <v>34</v>
  </rv>
  <rv s="14">
    <fb>26.14</fb>
    <v>34</v>
  </rv>
  <rv s="14">
    <fb>28.97</fb>
    <v>34</v>
  </rv>
  <rv s="14">
    <fb>26.97</fb>
    <v>34</v>
  </rv>
  <rv s="14">
    <fb>466.29</fb>
    <v>34</v>
  </rv>
  <rv s="14">
    <fb>239.56</fb>
    <v>34</v>
  </rv>
  <rv s="14">
    <fb>45.86</fb>
    <v>34</v>
  </rv>
  <rv s="14">
    <fb>155.29</fb>
    <v>34</v>
  </rv>
  <rv s="14">
    <fb>152.63999999999999</fb>
    <v>34</v>
  </rv>
  <rv s="14">
    <fb>63.2</fb>
    <v>34</v>
  </rv>
  <rv s="14">
    <fb>298.64999999999998</fb>
    <v>34</v>
  </rv>
  <rv s="14">
    <fb>100.99</fb>
    <v>34</v>
  </rv>
  <rv s="14">
    <fb>819.5</fb>
    <v>34</v>
  </rv>
  <rv s="14">
    <fb>165.84</fb>
    <v>34</v>
  </rv>
  <rv s="14">
    <fb>164.34</fb>
    <v>34</v>
  </rv>
  <rv s="14">
    <fb>302.07</fb>
    <v>34</v>
  </rv>
  <rv s="14">
    <fb>97.35</fb>
    <v>34</v>
  </rv>
  <rv s="14">
    <fb>31.0108</fb>
    <v>34</v>
  </rv>
  <rv s="14">
    <fb>22.61</fb>
    <v>34</v>
  </rv>
  <rv s="14">
    <fb>57.08</fb>
    <v>34</v>
  </rv>
  <rv s="14">
    <fb>23.097200000000001</fb>
    <v>34</v>
  </rv>
  <rv s="14">
    <fb>45609</fb>
    <v>33</v>
  </rv>
  <rv s="14">
    <fb>225.12</fb>
    <v>34</v>
  </rv>
  <rv s="14">
    <fb>146.27000000000001</fb>
    <v>34</v>
  </rv>
  <rv s="14">
    <fb>425.2</fb>
    <v>34</v>
  </rv>
  <rv s="14">
    <fb>580</fb>
    <v>34</v>
  </rv>
  <rv s="14">
    <fb>178.88</fb>
    <v>34</v>
  </rv>
  <rv s="14">
    <fb>597.19000000000005</fb>
    <v>34</v>
  </rv>
  <rv s="14">
    <fb>237.63</fb>
    <v>34</v>
  </rv>
  <rv s="14">
    <fb>70.73</fb>
    <v>34</v>
  </rv>
  <rv s="14">
    <fb>93.29</fb>
    <v>34</v>
  </rv>
  <rv s="14">
    <fb>27.61</fb>
    <v>34</v>
  </rv>
  <rv s="14">
    <fb>4.8600000000000003</fb>
    <v>34</v>
  </rv>
  <rv s="14">
    <fb>51</fb>
    <v>34</v>
  </rv>
  <rv s="14">
    <fb>85.71</fb>
    <v>34</v>
  </rv>
  <rv s="14">
    <fb>26.11</fb>
    <v>34</v>
  </rv>
  <rv s="14">
    <fb>26.79</fb>
    <v>34</v>
  </rv>
  <rv s="14">
    <fb>468.1</fb>
    <v>34</v>
  </rv>
  <rv s="14">
    <fb>241.16</fb>
    <v>34</v>
  </rv>
  <rv s="14">
    <fb>45.87</fb>
    <v>34</v>
  </rv>
  <rv s="14">
    <fb>121.47</fb>
    <v>34</v>
  </rv>
  <rv s="14">
    <fb>158.72</fb>
    <v>34</v>
  </rv>
  <rv s="14">
    <fb>153.24</fb>
    <v>34</v>
  </rv>
  <rv s="14">
    <fb>63</fb>
    <v>34</v>
  </rv>
  <rv s="14">
    <fb>297.35000000000002</fb>
    <v>34</v>
  </rv>
  <rv s="14">
    <fb>102.72</fb>
    <v>34</v>
  </rv>
  <rv s="14">
    <fb>830.47</fb>
    <v>34</v>
  </rv>
  <rv s="14">
    <fb>166.58</fb>
    <v>34</v>
  </rv>
  <rv s="14">
    <fb>164.74</fb>
    <v>34</v>
  </rv>
  <rv s="14">
    <fb>297.69</fb>
    <v>34</v>
  </rv>
  <rv s="14">
    <fb>98.13</fb>
    <v>34</v>
  </rv>
  <rv s="14">
    <fb>31.268999999999998</fb>
    <v>34</v>
  </rv>
  <rv s="14">
    <fb>56.68</fb>
    <v>34</v>
  </rv>
  <rv s="14">
    <fb>23.139900000000001</fb>
    <v>34</v>
  </rv>
  <rv s="14">
    <fb>45610</fb>
    <v>33</v>
  </rv>
  <rv s="14">
    <fb>228.22</fb>
    <v>34</v>
  </rv>
  <rv s="14">
    <fb>146.76</fb>
    <v>34</v>
  </rv>
  <rv s="14">
    <fb>426.89</fb>
    <v>34</v>
  </rv>
  <rv s="14">
    <fb>577.16</fb>
    <v>34</v>
  </rv>
  <rv s="14">
    <fb>175.58</fb>
    <v>34</v>
  </rv>
  <rv s="14">
    <fb>593.35</fb>
    <v>34</v>
  </rv>
  <rv s="14">
    <fb>90.32</fb>
    <v>34</v>
  </rv>
  <rv s="14">
    <fb>237.01</fb>
    <v>34</v>
  </rv>
  <rv s="14">
    <fb>71.290000000000006</fb>
    <v>34</v>
  </rv>
  <rv s="14">
    <fb>93.28</fb>
    <v>34</v>
  </rv>
  <rv s="14">
    <fb>47.18</fb>
    <v>34</v>
  </rv>
  <rv s="14">
    <fb>164.31</fb>
    <v>34</v>
  </rv>
  <rv s="14">
    <fb>94.87</fb>
    <v>34</v>
  </rv>
  <rv s="14">
    <fb>14.2</fb>
    <v>34</v>
  </rv>
  <rv s="14">
    <fb>27.81</fb>
    <v>34</v>
  </rv>
  <rv s="14">
    <fb>25.89</fb>
    <v>34</v>
  </rv>
  <rv s="14">
    <fb>4.8</fb>
    <v>34</v>
  </rv>
  <rv s="14">
    <fb>86.04</fb>
    <v>34</v>
  </rv>
  <rv s="14">
    <fb>26.1</fb>
    <v>34</v>
  </rv>
  <rv s="14">
    <fb>26.92</fb>
    <v>34</v>
  </rv>
  <rv s="14">
    <fb>467.7</fb>
    <v>34</v>
  </rv>
  <rv s="14">
    <fb>241.87</fb>
    <v>34</v>
  </rv>
  <rv s="14">
    <fb>45.9</fb>
    <v>34</v>
  </rv>
  <rv s="14">
    <fb>120.56</fb>
    <v>34</v>
  </rv>
  <rv s="14">
    <fb>161.80000000000001</fb>
    <v>34</v>
  </rv>
  <rv s="14">
    <fb>151.87</fb>
    <v>34</v>
  </rv>
  <rv s="14">
    <fb>62.55</fb>
    <v>34</v>
  </rv>
  <rv s="14">
    <fb>298.56</fb>
    <v>34</v>
  </rv>
  <rv s="14">
    <fb>109.12</fb>
    <v>34</v>
  </rv>
  <rv s="14">
    <fb>837.26</fb>
    <v>34</v>
  </rv>
  <rv s="14">
    <fb>167.08</fb>
    <v>34</v>
  </rv>
  <rv s="14">
    <fb>165.15</fb>
    <v>34</v>
  </rv>
  <rv s="14">
    <fb>296.86</fb>
    <v>34</v>
  </rv>
  <rv s="14">
    <fb>98.64</fb>
    <v>34</v>
  </rv>
  <rv s="14">
    <fb>31.51</fb>
    <v>34</v>
  </rv>
  <rv s="14">
    <fb>58.15</fb>
    <v>34</v>
  </rv>
  <rv s="14">
    <fb>58.21</fb>
    <v>34</v>
  </rv>
  <rv s="14">
    <fb>56.96</fb>
    <v>34</v>
  </rv>
  <rv s="14">
    <fb>22.910799999999998</fb>
    <v>34</v>
  </rv>
  <rv s="14">
    <fb>45611</fb>
    <v>33</v>
  </rv>
  <rv s="14">
    <fb>225</fb>
    <v>34</v>
  </rv>
  <rv s="14">
    <fb>141.97999999999999</fb>
    <v>34</v>
  </rv>
  <rv s="14">
    <fb>415</fb>
    <v>34</v>
  </rv>
  <rv s="14">
    <fb>554.08000000000004</fb>
    <v>34</v>
  </rv>
  <rv s="14">
    <fb>172.49</fb>
    <v>34</v>
  </rv>
  <rv s="14">
    <fb>585.75</fb>
    <v>34</v>
  </rv>
  <rv s="14">
    <fb>90.08</fb>
    <v>34</v>
  </rv>
  <rv s="14">
    <fb>236.59</fb>
    <v>34</v>
  </rv>
  <rv s="14">
    <fb>69.75</fb>
    <v>34</v>
  </rv>
  <rv s="14">
    <fb>93.32</fb>
    <v>34</v>
  </rv>
  <rv s="14">
    <fb>47.17</fb>
    <v>34</v>
  </rv>
  <rv s="14">
    <fb>163.63</fb>
    <v>34</v>
  </rv>
  <rv s="14">
    <fb>94.73</fb>
    <v>34</v>
  </rv>
  <rv s="14">
    <fb>13.89</fb>
    <v>34</v>
  </rv>
  <rv s="14">
    <fb>4.3</fb>
    <v>35</v>
  </rv>
  <rv s="14">
    <fb>27.57</fb>
    <v>34</v>
  </rv>
  <rv s="14">
    <fb>26</fb>
    <v>34</v>
  </rv>
  <rv s="14">
    <fb>4.84</fb>
    <v>34</v>
  </rv>
  <rv s="14">
    <fb>50.76</fb>
    <v>34</v>
  </rv>
  <rv s="14">
    <fb>86.08</fb>
    <v>34</v>
  </rv>
  <rv s="14">
    <fb>26.84</fb>
    <v>34</v>
  </rv>
  <rv s="14">
    <fb>91.63</fb>
    <v>34</v>
  </rv>
  <rv s="14">
    <fb>470.28</fb>
    <v>34</v>
  </rv>
  <rv s="14">
    <fb>245.31</fb>
    <v>34</v>
  </rv>
  <rv s="14">
    <fb>46.75</fb>
    <v>34</v>
  </rv>
  <rv s="14">
    <fb>119.31</fb>
    <v>34</v>
  </rv>
  <rv s="14">
    <fb>161.41999999999999</fb>
    <v>34</v>
  </rv>
  <rv s="14">
    <fb>154</fb>
    <v>34</v>
  </rv>
  <rv s="14">
    <fb>61.74</fb>
    <v>34</v>
  </rv>
  <rv s="14">
    <fb>292.63</fb>
    <v>34</v>
  </rv>
  <rv s="14">
    <fb>115.08</fb>
    <v>34</v>
  </rv>
  <rv s="14">
    <fb>823.96</fb>
    <v>34</v>
  </rv>
  <rv s="14">
    <fb>158.62</fb>
    <v>34</v>
  </rv>
  <rv s="14">
    <fb>292.10000000000002</fb>
    <v>34</v>
  </rv>
  <rv s="14">
    <fb>97.96</fb>
    <v>34</v>
  </rv>
  <rv s="14">
    <fb>31.2</fb>
    <v>34</v>
  </rv>
  <rv s="14">
    <fb>22.614999999999998</fb>
    <v>34</v>
  </rv>
  <rv s="14">
    <fb>58.22</fb>
    <v>34</v>
  </rv>
  <rv s="14">
    <fb>58.29</fb>
    <v>34</v>
  </rv>
  <rv s="14">
    <fb>56.82</fb>
    <v>34</v>
  </rv>
  <rv s="14">
    <fb>23.014199999999999</fb>
    <v>34</v>
  </rv>
  <rv s="14">
    <fb>45614</fb>
    <v>33</v>
  </rv>
  <rv s="14">
    <fb>228.02</fb>
    <v>34</v>
  </rv>
  <rv s="14">
    <fb>140.15</fb>
    <v>34</v>
  </rv>
  <rv s="14">
    <fb>415.76</fb>
    <v>34</v>
  </rv>
  <rv s="14">
    <fb>554.4</fb>
    <v>34</v>
  </rv>
  <rv s="14">
    <fb>175.3</fb>
    <v>34</v>
  </rv>
  <rv s="14">
    <fb>588.15</fb>
    <v>34</v>
  </rv>
  <rv s="14">
    <fb>241.09</fb>
    <v>34</v>
  </rv>
  <rv s="14">
    <fb>72.069999999999993</fb>
    <v>34</v>
  </rv>
  <rv s="14">
    <fb>47.215000000000003</fb>
    <v>34</v>
  </rv>
  <rv s="14">
    <fb>95.99</fb>
    <v>34</v>
  </rv>
  <rv s="14">
    <fb>14.36</fb>
    <v>34</v>
  </rv>
  <rv s="14">
    <fb>4.4000000000000004</fb>
    <v>35</v>
  </rv>
  <rv s="14">
    <fb>26.08</fb>
    <v>34</v>
  </rv>
  <rv s="14">
    <fb>4.93</fb>
    <v>34</v>
  </rv>
  <rv s="14">
    <fb>51.72</fb>
    <v>34</v>
  </rv>
  <rv s="14">
    <fb>88.64</fb>
    <v>34</v>
  </rv>
  <rv s="14">
    <fb>26.15</fb>
    <v>34</v>
  </rv>
  <rv s="14">
    <fb>26.9</fb>
    <v>34</v>
  </rv>
  <rv s="14">
    <fb>472.2</fb>
    <v>34</v>
  </rv>
  <rv s="14">
    <fb>245.03</fb>
    <v>34</v>
  </rv>
  <rv s="14">
    <fb>46.72</fb>
    <v>34</v>
  </rv>
  <rv s="14">
    <fb>120.31</fb>
    <v>34</v>
  </rv>
  <rv s="14">
    <fb>160.76</fb>
    <v>34</v>
  </rv>
  <rv s="14">
    <fb>154.77000000000001</fb>
    <v>34</v>
  </rv>
  <rv s="14">
    <fb>61.86</fb>
    <v>34</v>
  </rv>
  <rv s="14">
    <fb>291.10000000000002</fb>
    <v>34</v>
  </rv>
  <rv s="14">
    <fb>113.54</fb>
    <v>34</v>
  </rv>
  <rv s="14">
    <fb>847.05</fb>
    <v>34</v>
  </rv>
  <rv s="14">
    <fb>170.75</fb>
    <v>34</v>
  </rv>
  <rv s="14">
    <fb>158.33000000000001</fb>
    <v>34</v>
  </rv>
  <rv s="14">
    <fb>295.48</fb>
    <v>34</v>
  </rv>
  <rv s="14">
    <fb>99.73</fb>
    <v>34</v>
  </rv>
  <rv s="14">
    <fb>31.880199999999999</fb>
    <v>34</v>
  </rv>
  <rv s="14">
    <fb>22.64</fb>
    <v>34</v>
  </rv>
  <rv s="14">
    <fb>58.37</fb>
    <v>34</v>
  </rv>
  <rv s="14">
    <fb>56.93</fb>
    <v>34</v>
  </rv>
  <rv s="14">
    <fb>23.1599</fb>
    <v>34</v>
  </rv>
  <rv s="14">
    <fb>45615</fb>
    <v>33</v>
  </rv>
  <rv s="14">
    <fb>228.28</fb>
    <v>34</v>
  </rv>
  <rv s="14">
    <fb>147.01</fb>
    <v>34</v>
  </rv>
  <rv s="14">
    <fb>417.79</fb>
    <v>34</v>
  </rv>
  <rv s="14">
    <fb>561.09</fb>
    <v>34</v>
  </rv>
  <rv s="14">
    <fb>178.12</fb>
    <v>34</v>
  </rv>
  <rv s="14">
    <fb>590.29999999999995</fb>
    <v>34</v>
  </rv>
  <rv s="14">
    <fb>90.7</fb>
    <v>34</v>
  </rv>
  <rv s="14">
    <fb>243.25</fb>
    <v>34</v>
  </rv>
  <rv s="14">
    <fb>72.31</fb>
    <v>34</v>
  </rv>
  <rv s="14">
    <fb>93.73</fb>
    <v>34</v>
  </rv>
  <rv s="14">
    <fb>47.28</fb>
    <v>34</v>
  </rv>
  <rv s="14">
    <fb>168.25</fb>
    <v>34</v>
  </rv>
  <rv s="14">
    <fb>95.38</fb>
    <v>34</v>
  </rv>
  <rv s="14">
    <fb>4.8</fb>
    <v>35</v>
  </rv>
  <rv s="14">
    <fb>28.5</fb>
    <v>34</v>
  </rv>
  <rv s="14">
    <fb>26.22</fb>
    <v>34</v>
  </rv>
  <rv s="14">
    <fb>4.95</fb>
    <v>34</v>
  </rv>
  <rv s="14">
    <fb>52.18</fb>
    <v>34</v>
  </rv>
  <rv s="14">
    <fb>89.16</fb>
    <v>34</v>
  </rv>
  <rv s="14">
    <fb>27.02</fb>
    <v>34</v>
  </rv>
  <rv s="14">
    <fb>468.86</fb>
    <v>34</v>
  </rv>
  <rv s="14">
    <fb>243.09</fb>
    <v>34</v>
  </rv>
  <rv s="14">
    <fb>46.41</fb>
    <v>34</v>
  </rv>
  <rv s="14">
    <fb>118.63</fb>
    <v>34</v>
  </rv>
  <rv s="14">
    <fb>159.6</fb>
    <v>34</v>
  </rv>
  <rv s="14">
    <fb>153</fb>
    <v>34</v>
  </rv>
  <rv s="14">
    <fb>62.59</fb>
    <v>34</v>
  </rv>
  <rv s="14">
    <fb>290.73</fb>
    <v>34</v>
  </rv>
  <rv s="14">
    <fb>112.42</fb>
    <v>34</v>
  </rv>
  <rv s="14">
    <fb>871.32</fb>
    <v>34</v>
  </rv>
  <rv s="14">
    <fb>170.76</fb>
    <v>34</v>
  </rv>
  <rv s="14">
    <fb>156.72</fb>
    <v>34</v>
  </rv>
  <rv s="14">
    <fb>293.81</fb>
    <v>34</v>
  </rv>
  <rv s="14">
    <fb>99.08</fb>
    <v>34</v>
  </rv>
  <rv s="14">
    <fb>31.589600000000001</fb>
    <v>34</v>
  </rv>
  <rv s="14">
    <fb>22.68</fb>
    <v>34</v>
  </rv>
  <rv s="14">
    <fb>58.26</fb>
    <v>34</v>
  </rv>
  <rv s="14">
    <fb>58.44</fb>
    <v>34</v>
  </rv>
  <rv s="14">
    <fb>57.18</fb>
    <v>34</v>
  </rv>
  <rv s="14">
    <fb>29.07</fb>
    <v>34</v>
  </rv>
  <rv s="14">
    <fb>23.223299999999998</fb>
    <v>34</v>
  </rv>
  <rv s="14">
    <fb>45616</fb>
    <v>33</v>
  </rv>
  <rv s="14">
    <fb>229</fb>
    <v>34</v>
  </rv>
  <rv s="14">
    <fb>145.88999999999999</fb>
    <v>34</v>
  </rv>
  <rv s="14">
    <fb>415.49</fb>
    <v>34</v>
  </rv>
  <rv s="14">
    <fb>565.52</fb>
    <v>34</v>
  </rv>
  <rv s="14">
    <fb>175.98</fb>
    <v>34</v>
  </rv>
  <rv s="14">
    <fb>590.5</fb>
    <v>34</v>
  </rv>
  <rv s="14">
    <fb>90.41</fb>
    <v>34</v>
  </rv>
  <rv s="14">
    <fb>244.62</fb>
    <v>34</v>
  </rv>
  <rv s="14">
    <fb>93.59</fb>
    <v>34</v>
  </rv>
  <rv s="14">
    <fb>47</fb>
    <v>34</v>
  </rv>
  <rv s="14">
    <fb>162.88999999999999</fb>
    <v>34</v>
  </rv>
  <rv s="14">
    <fb>96.34</fb>
    <v>34</v>
  </rv>
  <rv s="14">
    <fb>14.34</fb>
    <v>34</v>
  </rv>
  <rv s="14">
    <fb>5.15</fb>
    <v>35</v>
  </rv>
  <rv s="14">
    <fb>28.1</fb>
    <v>34</v>
  </rv>
  <rv s="14">
    <fb>26.36</fb>
    <v>34</v>
  </rv>
  <rv s="14">
    <fb>4.99</fb>
    <v>34</v>
  </rv>
  <rv s="14">
    <fb>52.49</fb>
    <v>34</v>
  </rv>
  <rv s="14">
    <fb>26.19</fb>
    <v>34</v>
  </rv>
  <rv s="14">
    <fb>51.02</fb>
    <v>34</v>
  </rv>
  <rv s="14">
    <fb>26.95</fb>
    <v>34</v>
  </rv>
  <rv s="14">
    <fb>91.68</fb>
    <v>34</v>
  </rv>
  <rv s="14">
    <fb>468.83</fb>
    <v>34</v>
  </rv>
  <rv s="14">
    <fb>240.78</fb>
    <v>34</v>
  </rv>
  <rv s="14">
    <fb>46.06</fb>
    <v>34</v>
  </rv>
  <rv s="14">
    <fb>120.32</fb>
    <v>34</v>
  </rv>
  <rv s="14">
    <fb>161.33000000000001</fb>
    <v>34</v>
  </rv>
  <rv s="14">
    <fb>153.11000000000001</fb>
    <v>34</v>
  </rv>
  <rv s="14">
    <fb>62.99</fb>
    <v>34</v>
  </rv>
  <rv s="14">
    <fb>290.91000000000003</fb>
    <v>34</v>
  </rv>
  <rv s="14">
    <fb>114.26</fb>
    <v>34</v>
  </rv>
  <rv s="14">
    <fb>883.85</fb>
    <v>34</v>
  </rv>
  <rv s="14">
    <fb>170.89</fb>
    <v>34</v>
  </rv>
  <rv s="14">
    <fb>158.74</fb>
    <v>34</v>
  </rv>
  <rv s="14">
    <fb>297.64999999999998</fb>
    <v>34</v>
  </rv>
  <rv s="14">
    <fb>100.36</fb>
    <v>34</v>
  </rv>
  <rv s="14">
    <fb>32.031599999999997</fb>
    <v>34</v>
  </rv>
  <rv s="14">
    <fb>22.645</fb>
    <v>34</v>
  </rv>
  <rv s="14">
    <fb>58.38</fb>
    <v>34</v>
  </rv>
  <rv s="14">
    <fb>57.03</fb>
    <v>34</v>
  </rv>
  <rv s="14">
    <fb>29</fb>
    <v>34</v>
  </rv>
  <rv s="14">
    <fb>23.28</fb>
    <v>34</v>
  </rv>
  <rv s="14">
    <fb>45617</fb>
    <v>33</v>
  </rv>
  <rv s="14">
    <fb>228.52</fb>
    <v>34</v>
  </rv>
  <rv s="14">
    <fb>146.66999999999999</fb>
    <v>34</v>
  </rv>
  <rv s="14">
    <fb>412.87</fb>
    <v>34</v>
  </rv>
  <rv s="14">
    <fb>563.09</fb>
    <v>34</v>
  </rv>
  <rv s="14">
    <fb>167.63</fb>
    <v>34</v>
  </rv>
  <rv s="14">
    <fb>593.66999999999996</fb>
    <v>34</v>
  </rv>
  <rv s="14">
    <fb>246.66</fb>
    <v>34</v>
  </rv>
  <rv s="14">
    <fb>73.2</fb>
    <v>34</v>
  </rv>
  <rv s="14">
    <fb>93.54</fb>
    <v>34</v>
  </rv>
  <rv s="14">
    <fb>46.999000000000002</fb>
    <v>34</v>
  </rv>
  <rv s="14">
    <fb>165.02</fb>
    <v>34</v>
  </rv>
  <rv s="14">
    <fb>97.12</fb>
    <v>34</v>
  </rv>
  <rv s="14">
    <fb>14.57</fb>
    <v>34</v>
  </rv>
  <rv s="14">
    <fb>5.5</fb>
    <v>35</v>
  </rv>
  <rv s="14">
    <fb>28.04</fb>
    <v>34</v>
  </rv>
  <rv s="14">
    <fb>4.97</fb>
    <v>34</v>
  </rv>
  <rv s="14">
    <fb>52.93</fb>
    <v>34</v>
  </rv>
  <rv s="14">
    <fb>88.33</fb>
    <v>34</v>
  </rv>
  <rv s="14">
    <fb>26.91</fb>
    <v>34</v>
  </rv>
  <rv s="14">
    <fb>472.06</fb>
    <v>34</v>
  </rv>
  <rv s="14">
    <fb>244.76</fb>
    <v>34</v>
  </rv>
  <rv s="14">
    <fb>46.46</fb>
    <v>34</v>
  </rv>
  <rv s="14">
    <fb>121.93</fb>
    <v>34</v>
  </rv>
  <rv s="14">
    <fb>161.63</fb>
    <v>34</v>
  </rv>
  <rv s="14">
    <fb>155.5</fb>
    <v>34</v>
  </rv>
  <rv s="14">
    <fb>63.76</fb>
    <v>34</v>
  </rv>
  <rv s="14">
    <fb>288.47000000000003</fb>
    <v>34</v>
  </rv>
  <rv s="14">
    <fb>114.72</fb>
    <v>34</v>
  </rv>
  <rv s="14">
    <fb>897.48</fb>
    <v>34</v>
  </rv>
  <rv s="14">
    <fb>172.75</fb>
    <v>34</v>
  </rv>
  <rv s="14">
    <fb>160.34</fb>
    <v>34</v>
  </rv>
  <rv s="14">
    <fb>303.86</fb>
    <v>34</v>
  </rv>
  <rv s="14">
    <fb>100.87260000000001</fb>
    <v>34</v>
  </rv>
  <rv s="14">
    <fb>32.44</fb>
    <v>34</v>
  </rv>
  <rv s="14">
    <fb>22.63</fb>
    <v>34</v>
  </rv>
  <rv s="14">
    <fb>58.34</fb>
    <v>34</v>
  </rv>
  <rv s="14">
    <fb>23.487500000000001</fb>
    <v>34</v>
  </rv>
  <rv s="14">
    <fb>45618</fb>
    <v>33</v>
  </rv>
  <rv s="14">
    <fb>229.87</fb>
    <v>34</v>
  </rv>
  <rv s="14">
    <fb>141.94999999999999</fb>
    <v>34</v>
  </rv>
  <rv s="14">
    <fb>417</fb>
    <v>34</v>
  </rv>
  <rv s="14">
    <fb>559.14</fb>
    <v>34</v>
  </rv>
  <rv s="14">
    <fb>164.76</fb>
    <v>34</v>
  </rv>
  <rv s="14">
    <fb>595.51</fb>
    <v>34</v>
  </rv>
  <rv s="14">
    <fb>90.39</fb>
    <v>34</v>
  </rv>
  <rv s="14">
    <fb>249.84</fb>
    <v>34</v>
  </rv>
  <rv s="14">
    <fb>74.25</fb>
    <v>34</v>
  </rv>
  <rv s="14">
    <fb>47.0655</fb>
    <v>34</v>
  </rv>
  <rv s="14">
    <fb>167.56</fb>
    <v>34</v>
  </rv>
  <rv s="14">
    <fb>97.27</fb>
    <v>34</v>
  </rv>
  <rv s="14">
    <fb>5</fb>
    <v>35</v>
  </rv>
  <rv s="14">
    <fb>28.47</fb>
    <v>34</v>
  </rv>
  <rv s="14">
    <fb>26.51</fb>
    <v>34</v>
  </rv>
  <rv s="14">
    <fb>53.62</fb>
    <v>34</v>
  </rv>
  <rv s="14">
    <fb>88.24</fb>
    <v>34</v>
  </rv>
  <rv s="14">
    <fb>26.17</fb>
    <v>34</v>
  </rv>
  <rv s="14">
    <fb>51.04</fb>
    <v>34</v>
  </rv>
  <rv s="14">
    <fb>26.94</fb>
    <v>34</v>
  </rv>
  <rv s="14">
    <fb>91.72</fb>
    <v>34</v>
  </rv>
  <rv s="14">
    <fb>476.57</fb>
    <v>34</v>
  </rv>
  <rv s="14">
    <fb>248.55</fb>
    <v>34</v>
  </rv>
  <rv s="14">
    <fb>121.79</fb>
    <v>34</v>
  </rv>
  <rv s="14">
    <fb>162.36000000000001</fb>
    <v>34</v>
  </rv>
  <rv s="14">
    <fb>155.16999999999999</fb>
    <v>34</v>
  </rv>
  <rv s="14">
    <fb>290.27999999999997</fb>
    <v>34</v>
  </rv>
  <rv s="14">
    <fb>115.65</fb>
    <v>34</v>
  </rv>
  <rv s="14">
    <fb>897.79</fb>
    <v>34</v>
  </rv>
  <rv s="14">
    <fb>176.28</fb>
    <v>34</v>
  </rv>
  <rv s="14">
    <fb>307.26</fb>
    <v>34</v>
  </rv>
  <rv s="14">
    <fb>101.83</fb>
    <v>34</v>
  </rv>
  <rv s="14">
    <fb>32.700099999999999</fb>
    <v>34</v>
  </rv>
  <rv s="14">
    <fb>58.35</fb>
    <v>34</v>
  </rv>
  <rv s="14">
    <fb>56.97</fb>
    <v>34</v>
  </rv>
  <rv s="14">
    <fb>23.627199999999998</fb>
    <v>34</v>
  </rv>
  <rv s="14">
    <fb>45621</fb>
    <v>33</v>
  </rv>
  <rv s="14">
    <fb>232.87</fb>
    <v>34</v>
  </rv>
  <rv s="14">
    <fb>136.02000000000001</fb>
    <v>34</v>
  </rv>
  <rv s="14">
    <fb>418.79</fb>
    <v>34</v>
  </rv>
  <rv s="14">
    <fb>565.11</fb>
    <v>34</v>
  </rv>
  <rv s="14">
    <fb>167.65</fb>
    <v>34</v>
  </rv>
  <rv s="14">
    <fb>597.53</fb>
    <v>34</v>
  </rv>
  <rv s="14">
    <fb>92.73</fb>
    <v>34</v>
  </rv>
  <rv s="14">
    <fb>242.48</fb>
    <v>34</v>
  </rv>
  <rv s="14">
    <fb>72.099999999999994</fb>
    <v>34</v>
  </rv>
  <rv s="14">
    <fb>94.61</fb>
    <v>34</v>
  </rv>
  <rv s="14">
    <fb>47.44</fb>
    <v>34</v>
  </rv>
  <rv s="14">
    <fb>174.7</fb>
    <v>34</v>
  </rv>
  <rv s="14">
    <fb>95.35</fb>
    <v>34</v>
  </rv>
  <rv s="14">
    <fb>27.63</fb>
    <v>34</v>
  </rv>
  <rv s="14">
    <fb>26.53</fb>
    <v>34</v>
  </rv>
  <rv s="14">
    <fb>52.04</fb>
    <v>34</v>
  </rv>
  <rv s="14">
    <fb>86.01</fb>
    <v>34</v>
  </rv>
  <rv s="14">
    <fb>26.32</fb>
    <v>34</v>
  </rv>
  <rv s="14">
    <fb>29.05</fb>
    <v>34</v>
  </rv>
  <rv s="14">
    <fb>91.73</fb>
    <v>34</v>
  </rv>
  <rv s="14">
    <fb>477.43</fb>
    <v>34</v>
  </rv>
  <rv s="14">
    <fb>250.29</fb>
    <v>34</v>
  </rv>
  <rv s="14">
    <fb>47.5</fb>
    <v>34</v>
  </rv>
  <rv s="14">
    <fb>119.97</fb>
    <v>34</v>
  </rv>
  <rv s="14">
    <fb>160.36000000000001</fb>
    <v>34</v>
  </rv>
  <rv s="14">
    <fb>155.78</fb>
    <v>34</v>
  </rv>
  <rv s="14">
    <fb>64.38</fb>
    <v>34</v>
  </rv>
  <rv s="14">
    <fb>296.19</fb>
    <v>34</v>
  </rv>
  <rv s="14">
    <fb>116</fb>
    <v>34</v>
  </rv>
  <rv s="14">
    <fb>865.59</fb>
    <v>34</v>
  </rv>
  <rv s="14">
    <fb>177.39</fb>
    <v>34</v>
  </rv>
  <rv s="14">
    <fb>163.05000000000001</fb>
    <v>34</v>
  </rv>
  <rv s="14">
    <fb>303.77999999999997</fb>
    <v>34</v>
  </rv>
  <rv s="14">
    <fb>99.17</fb>
    <v>34</v>
  </rv>
  <rv s="14">
    <fb>32.270699999999998</fb>
    <v>34</v>
  </rv>
  <rv s="14">
    <fb>22.84</fb>
    <v>34</v>
  </rv>
  <rv s="14">
    <fb>58.75</fb>
    <v>34</v>
  </rv>
  <rv s="14">
    <fb>23.921199999999999</fb>
    <v>34</v>
  </rv>
  <rv s="14">
    <fb>45622</fb>
    <v>33</v>
  </rv>
  <rv s="14">
    <fb>235.06</fb>
    <v>34</v>
  </rv>
  <rv s="14">
    <fb>136.91999999999999</fb>
    <v>34</v>
  </rv>
  <rv s="14">
    <fb>427.99</fb>
    <v>34</v>
  </rv>
  <rv s="14">
    <fb>573.54</fb>
    <v>34</v>
  </rv>
  <rv s="14">
    <fb>169.12</fb>
    <v>34</v>
  </rv>
  <rv s="14">
    <fb>600.65</fb>
    <v>34</v>
  </rv>
  <rv s="14">
    <fb>92.37</fb>
    <v>34</v>
  </rv>
  <rv s="14">
    <fb>242.95</fb>
    <v>34</v>
  </rv>
  <rv s="14">
    <fb>71.61</fb>
    <v>34</v>
  </rv>
  <rv s="14">
    <fb>94.41</fb>
    <v>34</v>
  </rv>
  <rv s="14">
    <fb>47.369300000000003</fb>
    <v>34</v>
  </rv>
  <rv s="14">
    <fb>175.64</fb>
    <v>34</v>
  </rv>
  <rv s="14">
    <fb>95.22</fb>
    <v>34</v>
  </rv>
  <rv s="14">
    <fb>14.25</fb>
    <v>34</v>
  </rv>
  <rv s="14">
    <fb>27.8</fb>
    <v>34</v>
  </rv>
  <rv s="14">
    <fb>26.77</fb>
    <v>34</v>
  </rv>
  <rv s="14">
    <fb>4.87</fb>
    <v>34</v>
  </rv>
  <rv s="14">
    <fb>52.14</fb>
    <v>34</v>
  </rv>
  <rv s="14">
    <fb>84.95</fb>
    <v>34</v>
  </rv>
  <rv s="14">
    <fb>27.46</fb>
    <v>34</v>
  </rv>
  <rv s="14">
    <fb>478.56</fb>
    <v>34</v>
  </rv>
  <rv s="14">
    <fb>249.97</fb>
    <v>34</v>
  </rv>
  <rv s="14">
    <fb>117.97</fb>
    <v>34</v>
  </rv>
  <rv s="14">
    <fb>162.53</fb>
    <v>34</v>
  </rv>
  <rv s="14">
    <fb>154.52000000000001</fb>
    <v>34</v>
  </rv>
  <rv s="14">
    <fb>64.55</fb>
    <v>34</v>
  </rv>
  <rv s="14">
    <fb>296.33</fb>
    <v>34</v>
  </rv>
  <rv s="14">
    <fb>115.45</fb>
    <v>34</v>
  </rv>
  <rv s="14">
    <fb>872.6</fb>
    <v>34</v>
  </rv>
  <rv s="14">
    <fb>179.31</fb>
    <v>34</v>
  </rv>
  <rv s="14">
    <fb>162.16</fb>
    <v>34</v>
  </rv>
  <rv s="14">
    <fb>300.33</fb>
    <v>34</v>
  </rv>
  <rv s="14">
    <fb>32.054000000000002</fb>
    <v>34</v>
  </rv>
  <rv s="14">
    <fb>22.805</fb>
    <v>34</v>
  </rv>
  <rv s="14">
    <fb>58.69</fb>
    <v>34</v>
  </rv>
  <rv s="14">
    <fb>24.046900000000001</fb>
    <v>34</v>
  </rv>
  <rv s="14">
    <fb>45623</fb>
    <v>33</v>
  </rv>
  <rv s="14">
    <fb>234.93</fb>
    <v>34</v>
  </rv>
  <rv s="14">
    <fb>135.34</fb>
    <v>34</v>
  </rv>
  <rv s="14">
    <fb>422.99</fb>
    <v>34</v>
  </rv>
  <rv s="14">
    <fb>569.20000000000005</fb>
    <v>34</v>
  </rv>
  <rv s="14">
    <fb>169.23</fb>
    <v>34</v>
  </rv>
  <rv s="14">
    <fb>598.83000000000004</fb>
    <v>34</v>
  </rv>
  <rv s="14">
    <fb>93.01</fb>
    <v>34</v>
  </rv>
  <rv s="14">
    <fb>243.49</fb>
    <v>34</v>
  </rv>
  <rv s="14">
    <fb>71.72</fb>
    <v>34</v>
  </rv>
  <rv s="14">
    <fb>47.4754</fb>
    <v>34</v>
  </rv>
  <rv s="14">
    <fb>173.85</fb>
    <v>34</v>
  </rv>
  <rv s="14">
    <fb>95.12</fb>
    <v>34</v>
  </rv>
  <rv s="14">
    <fb>3.4</fb>
    <v>35</v>
  </rv>
  <rv s="14">
    <fb>27.45</fb>
    <v>34</v>
  </rv>
  <rv s="14">
    <fb>26.89</fb>
    <v>34</v>
  </rv>
  <rv s="14">
    <fb>4.79</fb>
    <v>34</v>
  </rv>
  <rv s="14">
    <fb>52.24</fb>
    <v>34</v>
  </rv>
  <rv s="14">
    <fb>85.14</fb>
    <v>34</v>
  </rv>
  <rv s="14">
    <fb>51.05</fb>
    <v>34</v>
  </rv>
  <rv s="14">
    <fb>29.09</fb>
    <v>34</v>
  </rv>
  <rv s="14">
    <fb>27.64</fb>
    <v>34</v>
  </rv>
  <rv s="14">
    <fb>91.76</fb>
    <v>34</v>
  </rv>
  <rv s="14">
    <fb>483.08</fb>
    <v>34</v>
  </rv>
  <rv s="14">
    <fb>249.79</fb>
    <v>34</v>
  </rv>
  <rv s="14">
    <fb>47.77</fb>
    <v>34</v>
  </rv>
  <rv s="14">
    <fb>117.66</fb>
    <v>34</v>
  </rv>
  <rv s="14">
    <fb>162.11000000000001</fb>
    <v>34</v>
  </rv>
  <rv s="14">
    <fb>155.4</fb>
    <v>34</v>
  </rv>
  <rv s="14">
    <fb>64.430000000000007</fb>
    <v>34</v>
  </rv>
  <rv s="14">
    <fb>295.08</fb>
    <v>34</v>
  </rv>
  <rv s="14">
    <fb>117.6</fb>
    <v>34</v>
  </rv>
  <rv s="14">
    <fb>877.34</fb>
    <v>34</v>
  </rv>
  <rv s="14">
    <fb>179.36</fb>
    <v>34</v>
  </rv>
  <rv s="14">
    <fb>301.24</fb>
    <v>34</v>
  </rv>
  <rv s="14">
    <fb>99.03</fb>
    <v>34</v>
  </rv>
  <rv s="14">
    <fb>22.87</fb>
    <v>34</v>
  </rv>
  <rv s="14">
    <fb>58.85</fb>
    <v>34</v>
  </rv>
  <rv s="14">
    <fb>29.33</fb>
    <v>34</v>
  </rv>
  <rv s="14">
    <fb>24.183399999999999</fb>
    <v>34</v>
  </rv>
  <rv s="14">
    <fb>45625</fb>
    <v>33</v>
  </rv>
  <rv s="14">
    <fb>237.33</fb>
    <v>34</v>
  </rv>
  <rv s="14">
    <fb>138.25</fb>
    <v>34</v>
  </rv>
  <rv s="14">
    <fb>423.46</fb>
    <v>34</v>
  </rv>
  <rv s="14">
    <fb>574.32000000000005</fb>
    <v>34</v>
  </rv>
  <rv s="14">
    <fb>602.54999999999995</fb>
    <v>34</v>
  </rv>
  <rv s="14">
    <fb>93.97</fb>
    <v>34</v>
  </rv>
  <rv s="14">
    <fb>245.59</fb>
    <v>34</v>
  </rv>
  <rv s="14">
    <fb>95.19</fb>
    <v>34</v>
  </rv>
  <rv s="14">
    <fb>47.686599999999999</fb>
    <v>34</v>
  </rv>
  <rv s="14">
    <fb>175.03</fb>
    <v>34</v>
  </rv>
  <rv s="14">
    <fb>95.53</fb>
    <v>34</v>
  </rv>
  <rv s="14">
    <fb>14.28</fb>
    <v>34</v>
  </rv>
  <rv s="14">
    <fb>3.3</fb>
    <v>35</v>
  </rv>
  <rv s="14">
    <fb>26.76</fb>
    <v>34</v>
  </rv>
  <rv s="14">
    <fb>52.7</fb>
    <v>34</v>
  </rv>
  <rv s="14">
    <fb>87.06</fb>
    <v>34</v>
  </rv>
  <rv s="14">
    <fb>483.02</fb>
    <v>34</v>
  </rv>
  <rv s="14">
    <fb>249.72</fb>
    <v>34</v>
  </rv>
  <rv s="14">
    <fb>117.96</fb>
    <v>34</v>
  </rv>
  <rv s="14">
    <fb>161.93</fb>
    <v>34</v>
  </rv>
  <rv s="14">
    <fb>155.01</fb>
    <v>34</v>
  </rv>
  <rv s="14">
    <fb>64.08</fb>
    <v>34</v>
  </rv>
  <rv s="14">
    <fb>296.01</fb>
    <v>34</v>
  </rv>
  <rv s="14">
    <fb>117.47</fb>
    <v>34</v>
  </rv>
  <rv s="14">
    <fb>886.81</fb>
    <v>34</v>
  </rv>
  <rv s="14">
    <fb>179.26</fb>
    <v>34</v>
  </rv>
  <rv s="14">
    <fb>303.3</fb>
    <v>34</v>
  </rv>
  <rv s="14">
    <fb>99.44</fb>
    <v>34</v>
  </rv>
  <rv s="14">
    <fb>32.174799999999998</fb>
    <v>34</v>
  </rv>
  <rv s="14">
    <fb>22.945</fb>
    <v>34</v>
  </rv>
  <rv s="14">
    <fb>59.03</fb>
    <v>34</v>
  </rv>
  <rv s="14">
    <fb>29.48</fb>
    <v>34</v>
  </rv>
  <rv s="14">
    <fb>24.187200000000001</fb>
    <v>34</v>
  </rv>
  <rv s="14">
    <fb>45628</fb>
    <v>33</v>
  </rv>
  <rv s="14">
    <fb>239.59</fb>
    <v>34</v>
  </rv>
  <rv s="14">
    <fb>138.63</fb>
    <v>34</v>
  </rv>
  <rv s="14">
    <fb>430.98</fb>
    <v>34</v>
  </rv>
  <rv s="14">
    <fb>592.83000000000004</fb>
    <v>34</v>
  </rv>
  <rv s="14">
    <fb>171.49</fb>
    <v>34</v>
  </rv>
  <rv s="14">
    <fb>603.63</fb>
    <v>34</v>
  </rv>
  <rv s="14">
    <fb>243.44</fb>
    <v>34</v>
  </rv>
  <rv s="14">
    <fb>71.040000000000006</fb>
    <v>34</v>
  </rv>
  <rv s="14">
    <fb>47.704999999999998</fb>
    <v>34</v>
  </rv>
  <rv s="14">
    <fb>172.34</fb>
    <v>34</v>
  </rv>
  <rv s="14">
    <fb>14.15</fb>
    <v>34</v>
  </rv>
  <rv s="14">
    <fb>3.6</fb>
    <v>35</v>
  </rv>
  <rv s="14">
    <fb>27.79</fb>
    <v>34</v>
  </rv>
  <rv s="14">
    <fb>26.56</fb>
    <v>34</v>
  </rv>
  <rv s="14">
    <fb>4.7699999999999996</fb>
    <v>34</v>
  </rv>
  <rv s="14">
    <fb>52.25</fb>
    <v>34</v>
  </rv>
  <rv s="14">
    <fb>86.72</fb>
    <v>34</v>
  </rv>
  <rv s="14">
    <fb>50.86</fb>
    <v>34</v>
  </rv>
  <rv s="14">
    <fb>27.85</fb>
    <v>34</v>
  </rv>
  <rv s="14">
    <fb>91.47</fb>
    <v>34</v>
  </rv>
  <rv s="14">
    <fb>477.33</fb>
    <v>34</v>
  </rv>
  <rv s="14">
    <fb>246.25</fb>
    <v>34</v>
  </rv>
  <rv s="14">
    <fb>47.04</fb>
    <v>34</v>
  </rv>
  <rv s="14">
    <fb>117.85</fb>
    <v>34</v>
  </rv>
  <rv s="14">
    <fb>162.21</fb>
    <v>34</v>
  </rv>
  <rv s="14">
    <fb>154.80000000000001</fb>
    <v>34</v>
  </rv>
  <rv s="14">
    <fb>63.65</fb>
    <v>34</v>
  </rv>
  <rv s="14">
    <fb>292.44</fb>
    <v>34</v>
  </rv>
  <rv s="14">
    <fb>117.16</fb>
    <v>34</v>
  </rv>
  <rv s="14">
    <fb>897.74</fb>
    <v>34</v>
  </rv>
  <rv s="14">
    <fb>179.7</fb>
    <v>34</v>
  </rv>
  <rv s="14">
    <fb>302.39999999999998</fb>
    <v>34</v>
  </rv>
  <rv s="14">
    <fb>98.15</fb>
    <v>34</v>
  </rv>
  <rv s="14">
    <fb>31.978400000000001</fb>
    <v>34</v>
  </rv>
  <rv s="14">
    <fb>58.92</fb>
    <v>34</v>
  </rv>
  <rv s="14">
    <fb>29.38</fb>
    <v>34</v>
  </rv>
  <rv s="14">
    <fb>23.7911</fb>
    <v>34</v>
  </rv>
  <rv s="14">
    <fb>45629</fb>
    <v>33</v>
  </rv>
  <rv s="14">
    <fb>242.65</fb>
    <v>34</v>
  </rv>
  <rv s="14">
    <fb>140.26</fb>
    <v>34</v>
  </rv>
  <rv s="14">
    <fb>431.2</fb>
    <v>34</v>
  </rv>
  <rv s="14">
    <fb>613.65</fb>
    <v>34</v>
  </rv>
  <rv s="14">
    <fb>171.34</fb>
    <v>34</v>
  </rv>
  <rv s="14">
    <fb>603.91</fb>
    <v>34</v>
  </rv>
  <rv s="14">
    <fb>93.06</fb>
    <v>34</v>
  </rv>
  <rv s="14">
    <fb>243.93</fb>
    <v>34</v>
  </rv>
  <rv s="14">
    <fb>73.040000000000006</fb>
    <v>34</v>
  </rv>
  <rv s="14">
    <fb>94.62</fb>
    <v>34</v>
  </rv>
  <rv s="14">
    <fb>47.62</fb>
    <v>34</v>
  </rv>
  <rv s="14">
    <fb>173</fb>
    <v>34</v>
  </rv>
  <rv s="14">
    <fb>14.56</fb>
    <v>34</v>
  </rv>
  <rv s="14">
    <fb>3.7</fb>
    <v>35</v>
  </rv>
  <rv s="14">
    <fb>26.44</fb>
    <v>34</v>
  </rv>
  <rv s="14">
    <fb>4.78</fb>
    <v>34</v>
  </rv>
  <rv s="14">
    <fb>52.34</fb>
    <v>34</v>
  </rv>
  <rv s="14">
    <fb>87.24</fb>
    <v>34</v>
  </rv>
  <rv s="14">
    <fb>27.66</fb>
    <v>34</v>
  </rv>
  <rv s="14">
    <fb>91.49</fb>
    <v>34</v>
  </rv>
  <rv s="14">
    <fb>470.19</fb>
    <v>34</v>
  </rv>
  <rv s="14">
    <fb>244.82</fb>
    <v>34</v>
  </rv>
  <rv s="14">
    <fb>46.82</fb>
    <v>34</v>
  </rv>
  <rv s="14">
    <fb>117.67</fb>
    <v>34</v>
  </rv>
  <rv s="14">
    <fb>161.91999999999999</fb>
    <v>34</v>
  </rv>
  <rv s="14">
    <fb>152.36000000000001</fb>
    <v>34</v>
  </rv>
  <rv s="14">
    <fb>63.52</fb>
    <v>34</v>
  </rv>
  <rv s="14">
    <fb>294.5</fb>
    <v>34</v>
  </rv>
  <rv s="14">
    <fb>116.45</fb>
    <v>34</v>
  </rv>
  <rv s="14">
    <fb>902.17</fb>
    <v>34</v>
  </rv>
  <rv s="14">
    <fb>175.42</fb>
    <v>34</v>
  </rv>
  <rv s="14">
    <fb>161.69999999999999</fb>
    <v>34</v>
  </rv>
  <rv s="14">
    <fb>303.14999999999998</fb>
    <v>34</v>
  </rv>
  <rv s="14">
    <fb>98.2</fb>
    <v>34</v>
  </rv>
  <rv s="14">
    <fb>31.87</fb>
    <v>34</v>
  </rv>
  <rv s="14">
    <fb>22.85</fb>
    <v>34</v>
  </rv>
  <rv s="14">
    <fb>29.31</fb>
    <v>34</v>
  </rv>
  <rv s="14">
    <fb>23.679099999999998</fb>
    <v>34</v>
  </rv>
  <rv s="14">
    <fb>45630</fb>
    <v>33</v>
  </rv>
  <rv s="14">
    <fb>243.01</fb>
    <v>34</v>
  </rv>
  <rv s="14">
    <fb>145.13999999999999</fb>
    <v>34</v>
  </rv>
  <rv s="14">
    <fb>437.42</fb>
    <v>34</v>
  </rv>
  <rv s="14">
    <fb>613.78</fb>
    <v>34</v>
  </rv>
  <rv s="14">
    <fb>607.66</fb>
    <v>34</v>
  </rv>
  <rv s="14">
    <fb>94.06</fb>
    <v>34</v>
  </rv>
  <rv s="14">
    <fb>244.67</fb>
    <v>34</v>
  </rv>
  <rv s="14">
    <fb>71.88</fb>
    <v>34</v>
  </rv>
  <rv s="14">
    <fb>94.98</fb>
    <v>34</v>
  </rv>
  <rv s="14">
    <fb>47.755000000000003</fb>
    <v>34</v>
  </rv>
  <rv s="14">
    <fb>174.73</fb>
    <v>34</v>
  </rv>
  <rv s="14">
    <fb>14.3</fb>
    <v>34</v>
  </rv>
  <rv s="14">
    <fb>3.79</fb>
    <v>35</v>
  </rv>
  <rv s="14">
    <fb>28.53</fb>
    <v>34</v>
  </rv>
  <rv s="14">
    <fb>4.76</fb>
    <v>34</v>
  </rv>
  <rv s="14">
    <fb>52.5</fb>
    <v>34</v>
  </rv>
  <rv s="14">
    <fb>86.21</fb>
    <v>34</v>
  </rv>
  <rv s="14">
    <fb>26.43</fb>
    <v>34</v>
  </rv>
  <rv s="14">
    <fb>27.91</fb>
    <v>34</v>
  </rv>
  <rv s="14">
    <fb>468.32</fb>
    <v>34</v>
  </rv>
  <rv s="14">
    <fb>243.4</fb>
    <v>34</v>
  </rv>
  <rv s="14">
    <fb>46.37</fb>
    <v>34</v>
  </rv>
  <rv s="14">
    <fb>114.28</fb>
    <v>34</v>
  </rv>
  <rv s="14">
    <fb>158.32</fb>
    <v>34</v>
  </rv>
  <rv s="14">
    <fb>150.47</fb>
    <v>34</v>
  </rv>
  <rv s="14">
    <fb>62.21</fb>
    <v>34</v>
  </rv>
  <rv s="14">
    <fb>295.08999999999997</fb>
    <v>34</v>
  </rv>
  <rv s="14">
    <fb>116.99</fb>
    <v>34</v>
  </rv>
  <rv s="14">
    <fb>911.06</fb>
    <v>34</v>
  </rv>
  <rv s="14">
    <fb>175.11</fb>
    <v>34</v>
  </rv>
  <rv s="14">
    <fb>160.18</fb>
    <v>34</v>
  </rv>
  <rv s="14">
    <fb>297.23</fb>
    <v>34</v>
  </rv>
  <rv s="14">
    <fb>30.95</fb>
    <v>34</v>
  </rv>
  <rv s="14">
    <fb>22.925000000000001</fb>
    <v>34</v>
  </rv>
  <rv s="14">
    <fb>58.3</fb>
    <v>34</v>
  </rv>
  <rv s="14">
    <fb>58.91</fb>
    <v>34</v>
  </rv>
  <rv s="14">
    <fb>29.42</fb>
    <v>34</v>
  </rv>
  <rv s="14">
    <fb>23.672899999999998</fb>
    <v>34</v>
  </rv>
  <rv s="14">
    <fb>45631</fb>
    <v>33</v>
  </rv>
  <rv s="14">
    <fb>243.04</fb>
    <v>34</v>
  </rv>
  <rv s="14">
    <fb>145.06</fb>
    <v>34</v>
  </rv>
  <rv s="14">
    <fb>442.62</fb>
    <v>34</v>
  </rv>
  <rv s="14">
    <fb>608.92999999999995</fb>
    <v>34</v>
  </rv>
  <rv s="14">
    <fb>172.64</fb>
    <v>34</v>
  </rv>
  <rv s="14">
    <fb>606.66</fb>
    <v>34</v>
  </rv>
  <rv s="14">
    <fb>242.86</fb>
    <v>34</v>
  </rv>
  <rv s="14">
    <fb>71.47</fb>
    <v>34</v>
  </rv>
  <rv s="14">
    <fb>47.784999999999997</fb>
    <v>34</v>
  </rv>
  <rv s="14">
    <fb>175.73</fb>
    <v>34</v>
  </rv>
  <rv s="14">
    <fb>92.59</fb>
    <v>34</v>
  </rv>
  <rv s="14">
    <fb>28.56</fb>
    <v>34</v>
  </rv>
  <rv s="14">
    <fb>27</fb>
    <v>34</v>
  </rv>
  <rv s="14">
    <fb>4.8499999999999996</fb>
    <v>34</v>
  </rv>
  <rv s="14">
    <fb>52.13</fb>
    <v>34</v>
  </rv>
  <rv s="14">
    <fb>85.84</fb>
    <v>34</v>
  </rv>
  <rv s="14">
    <fb>26.39</fb>
    <v>34</v>
  </rv>
  <rv s="14">
    <fb>91.51</fb>
    <v>34</v>
  </rv>
  <rv s="14">
    <fb>470.57</fb>
    <v>34</v>
  </rv>
  <rv s="14">
    <fb>245.48</fb>
    <v>34</v>
  </rv>
  <rv s="14">
    <fb>114.78</fb>
    <v>34</v>
  </rv>
  <rv s="14">
    <fb>159.33000000000001</fb>
    <v>34</v>
  </rv>
  <rv s="14">
    <fb>149.52000000000001</fb>
    <v>34</v>
  </rv>
  <rv s="14">
    <fb>62.92</fb>
    <v>34</v>
  </rv>
  <rv s="14">
    <fb>299.47000000000003</fb>
    <v>34</v>
  </rv>
  <rv s="14">
    <fb>116.5</fb>
    <v>34</v>
  </rv>
  <rv s="14">
    <fb>917.87</fb>
    <v>34</v>
  </rv>
  <rv s="14">
    <fb>176.03</fb>
    <v>34</v>
  </rv>
  <rv s="14">
    <fb>160.49</fb>
    <v>34</v>
  </rv>
  <rv s="14">
    <fb>295.29000000000002</fb>
    <v>34</v>
  </rv>
  <rv s="14">
    <fb>95.36</fb>
    <v>34</v>
  </rv>
  <rv s="14">
    <fb>30.89</fb>
    <v>34</v>
  </rv>
  <rv s="14">
    <fb>22.93</fb>
    <v>34</v>
  </rv>
  <rv s="14">
    <fb>58.9</fb>
    <v>34</v>
  </rv>
  <rv s="14">
    <fb>59.13</fb>
    <v>34</v>
  </rv>
  <rv s="14">
    <fb>29.43</fb>
    <v>34</v>
  </rv>
  <rv s="14">
    <fb>23.647300000000001</fb>
    <v>34</v>
  </rv>
  <rv s="14">
    <fb>45632</fb>
    <v>33</v>
  </rv>
  <rv s="14">
    <fb>242.84</fb>
    <v>34</v>
  </rv>
  <rv s="14">
    <fb>142.44</fb>
    <v>34</v>
  </rv>
  <rv s="14">
    <fb>443.57</fb>
    <v>34</v>
  </rv>
  <rv s="14">
    <fb>623.77</fb>
    <v>34</v>
  </rv>
  <rv s="14">
    <fb>174.71</fb>
    <v>34</v>
  </rv>
  <rv s="14">
    <fb>607.80999999999995</fb>
    <v>34</v>
  </rv>
  <rv s="14">
    <fb>94.39</fb>
    <v>34</v>
  </rv>
  <rv s="14">
    <fb>70.239999999999995</fb>
    <v>34</v>
  </rv>
  <rv s="14">
    <fb>95.27</fb>
    <v>34</v>
  </rv>
  <rv s="14">
    <fb>47.895000000000003</fb>
    <v>34</v>
  </rv>
  <rv s="14">
    <fb>177.85</fb>
    <v>34</v>
  </rv>
  <rv s="14">
    <fb>91.02</fb>
    <v>34</v>
  </rv>
  <rv s="14">
    <fb>13.99</fb>
    <v>34</v>
  </rv>
  <rv s="14">
    <fb>3.2</fb>
    <v>35</v>
  </rv>
  <rv s="14">
    <fb>28.25</fb>
    <v>34</v>
  </rv>
  <rv s="14">
    <fb>27.25</fb>
    <v>34</v>
  </rv>
  <rv s="14">
    <fb>52.15</fb>
    <v>34</v>
  </rv>
  <rv s="14">
    <fb>85.04</fb>
    <v>34</v>
  </rv>
  <rv s="14">
    <fb>26.4</fb>
    <v>34</v>
  </rv>
  <rv s="14">
    <fb>50.92</fb>
    <v>34</v>
  </rv>
  <rv s="14">
    <fb>29.08</fb>
    <v>34</v>
  </rv>
  <rv s="14">
    <fb>28</fb>
    <v>34</v>
  </rv>
  <rv s="14">
    <fb>470.5</fb>
    <v>34</v>
  </rv>
  <rv s="14">
    <fb>247.36</fb>
    <v>34</v>
  </rv>
  <rv s="14">
    <fb>113.57</fb>
    <v>34</v>
  </rv>
  <rv s="14">
    <fb>155.24</fb>
    <v>34</v>
  </rv>
  <rv s="14">
    <fb>149.31</fb>
    <v>34</v>
  </rv>
  <rv s="14">
    <fb>62.53</fb>
    <v>34</v>
  </rv>
  <rv s="14">
    <fb>298.98</fb>
    <v>34</v>
  </rv>
  <rv s="14">
    <fb>116.73</fb>
    <v>34</v>
  </rv>
  <rv s="14">
    <fb>934.74</fb>
    <v>34</v>
  </rv>
  <rv s="14">
    <fb>173.82</fb>
    <v>34</v>
  </rv>
  <rv s="14">
    <fb>157.79</fb>
    <v>34</v>
  </rv>
  <rv s="14">
    <fb>284.08</fb>
    <v>34</v>
  </rv>
  <rv s="14">
    <fb>93.66</fb>
    <v>34</v>
  </rv>
  <rv s="14">
    <fb>30.218499999999999</fb>
    <v>34</v>
  </rv>
  <rv s="14">
    <fb>22.975000000000001</fb>
    <v>34</v>
  </rv>
  <rv s="14">
    <fb>58.36</fb>
    <v>34</v>
  </rv>
  <rv s="14">
    <fb>59.04</fb>
    <v>34</v>
  </rv>
  <rv s="14">
    <fb>59.23</fb>
    <v>34</v>
  </rv>
  <rv s="14">
    <fb>29.5</fb>
    <v>34</v>
  </rv>
  <rv s="14">
    <fb>23.693000000000001</fb>
    <v>34</v>
  </rv>
  <rv s="14">
    <fb>45635</fb>
    <v>33</v>
  </rv>
  <rv s="14">
    <fb>246.75</fb>
    <v>34</v>
  </rv>
  <rv s="14">
    <fb>138.81</fb>
    <v>34</v>
  </rv>
  <rv s="14">
    <fb>446.02</fb>
    <v>34</v>
  </rv>
  <rv s="14">
    <fb>613.57000000000005</fb>
    <v>34</v>
  </rv>
  <rv s="14">
    <fb>175.37</fb>
    <v>34</v>
  </rv>
  <rv s="14">
    <fb>604.67999999999995</fb>
    <v>34</v>
  </rv>
  <rv s="14">
    <fb>93.52</fb>
    <v>34</v>
  </rv>
  <rv s="14">
    <fb>245.36</fb>
    <v>34</v>
  </rv>
  <rv s="14">
    <fb>71.17</fb>
    <v>34</v>
  </rv>
  <rv s="14">
    <fb>94.94</fb>
    <v>34</v>
  </rv>
  <rv s="14">
    <fb>172.47</fb>
    <v>34</v>
  </rv>
  <rv s="14">
    <fb>90.87</fb>
    <v>34</v>
  </rv>
  <rv s="14">
    <fb>28.98</fb>
    <v>34</v>
  </rv>
  <rv s="14">
    <fb>27.36</fb>
    <v>34</v>
  </rv>
  <rv s="14">
    <fb>52.66</fb>
    <v>34</v>
  </rv>
  <rv s="14">
    <fb>85.91</fb>
    <v>34</v>
  </rv>
  <rv s="14">
    <fb>91.56</fb>
    <v>34</v>
  </rv>
  <rv s="14">
    <fb>463.87</fb>
    <v>34</v>
  </rv>
  <rv s="14">
    <fb>243.81</fb>
    <v>34</v>
  </rv>
  <rv s="14">
    <fb>45.91</fb>
    <v>34</v>
  </rv>
  <rv s="14">
    <fb>112.9</fb>
    <v>34</v>
  </rv>
  <rv s="14">
    <fb>157.08000000000001</fb>
    <v>34</v>
  </rv>
  <rv s="14">
    <fb>149.6</fb>
    <v>34</v>
  </rv>
  <rv s="14">
    <fb>62.6</fb>
    <v>34</v>
  </rv>
  <rv s="14">
    <fb>301.37</fb>
    <v>34</v>
  </rv>
  <rv s="14">
    <fb>114.61</fb>
    <v>34</v>
  </rv>
  <rv s="14">
    <fb>913.69</fb>
    <v>34</v>
  </rv>
  <rv s="14">
    <fb>170.79</fb>
    <v>34</v>
  </rv>
  <rv s="14">
    <fb>159.47</fb>
    <v>34</v>
  </rv>
  <rv s="14">
    <fb>286.10000000000002</fb>
    <v>34</v>
  </rv>
  <rv s="14">
    <fb>94.21</fb>
    <v>34</v>
  </rv>
  <rv s="14">
    <fb>30.61</fb>
    <v>34</v>
  </rv>
  <rv s="14">
    <fb>22.92</fb>
    <v>34</v>
  </rv>
  <rv s="14">
    <fb>58.79</fb>
    <v>34</v>
  </rv>
  <rv s="14">
    <fb>23.7576</fb>
    <v>34</v>
  </rv>
  <rv s="14">
    <fb>45636</fb>
    <v>33</v>
  </rv>
  <rv s="14">
    <fb>247.77</fb>
    <v>34</v>
  </rv>
  <rv s="14">
    <fb>135.07</fb>
    <v>34</v>
  </rv>
  <rv s="14">
    <fb>443.33</fb>
    <v>34</v>
  </rv>
  <rv s="14">
    <fb>619.32000000000005</fb>
    <v>34</v>
  </rv>
  <rv s="14">
    <fb>185.17</fb>
    <v>34</v>
  </rv>
  <rv s="14">
    <fb>602.79999999999995</fb>
    <v>34</v>
  </rv>
  <rv s="14">
    <fb>93.08</fb>
    <v>34</v>
  </rv>
  <rv s="14">
    <fb>248.59</fb>
    <v>34</v>
  </rv>
  <rv s="14">
    <fb>71.400000000000006</fb>
    <v>34</v>
  </rv>
  <rv s="14">
    <fb>94.77</fb>
    <v>34</v>
  </rv>
  <rv s="14">
    <fb>47.72</fb>
    <v>34</v>
  </rv>
  <rv s="14">
    <fb>14.23</fb>
    <v>34</v>
  </rv>
  <rv s="14">
    <fb>27.58</fb>
    <v>34</v>
  </rv>
  <rv s="14">
    <fb>4.9000000000000004</fb>
    <v>34</v>
  </rv>
  <rv s="14">
    <fb>86.2</fb>
    <v>34</v>
  </rv>
  <rv s="14">
    <fb>462.49</fb>
    <v>34</v>
  </rv>
  <rv s="14">
    <fb>45.75</fb>
    <v>34</v>
  </rv>
  <rv s="14">
    <fb>112.67</fb>
    <v>34</v>
  </rv>
  <rv s="14">
    <fb>157</fb>
    <v>34</v>
  </rv>
  <rv s="14">
    <fb>149.22999999999999</fb>
    <v>34</v>
  </rv>
  <rv s="14">
    <fb>62.91</fb>
    <v>34</v>
  </rv>
  <rv s="14">
    <fb>300.70999999999998</fb>
    <v>34</v>
  </rv>
  <rv s="14">
    <fb>114.73</fb>
    <v>34</v>
  </rv>
  <rv s="14">
    <fb>913.35</fb>
    <v>34</v>
  </rv>
  <rv s="14">
    <fb>159.84</fb>
    <v>34</v>
  </rv>
  <rv s="14">
    <fb>286.25</fb>
    <v>34</v>
  </rv>
  <rv s="14">
    <fb>30.300899999999999</fb>
    <v>34</v>
  </rv>
  <rv s="14">
    <fb>58.33</fb>
    <v>34</v>
  </rv>
  <rv s="14">
    <fb>58.52</fb>
    <v>34</v>
  </rv>
  <rv s="14">
    <fb>29.39</fb>
    <v>34</v>
  </rv>
  <rv s="14">
    <fb>23.351800000000001</fb>
    <v>34</v>
  </rv>
  <rv s="14">
    <fb>45637</fb>
    <v>33</v>
  </rv>
  <rv s="14">
    <fb>246.49</fb>
    <v>34</v>
  </rv>
  <rv s="14">
    <fb>139.31</fb>
    <v>34</v>
  </rv>
  <rv s="14">
    <fb>448.99</fb>
    <v>34</v>
  </rv>
  <rv s="14">
    <fb>632.67999999999995</fb>
    <v>34</v>
  </rv>
  <rv s="14">
    <fb>195.4</fb>
    <v>34</v>
  </rv>
  <rv s="14">
    <fb>607.46</fb>
    <v>34</v>
  </rv>
  <rv s="14">
    <fb>92.2</fb>
    <v>34</v>
  </rv>
  <rv s="14">
    <fb>250.96</fb>
    <v>34</v>
  </rv>
  <rv s="14">
    <fb>73.33</fb>
    <v>34</v>
  </rv>
  <rv s="14">
    <fb>94.49</fb>
    <v>34</v>
  </rv>
  <rv s="14">
    <fb>47.609900000000003</fb>
    <v>34</v>
  </rv>
  <rv s="14">
    <fb>178.61</fb>
    <v>34</v>
  </rv>
  <rv s="14">
    <fb>90.4</fb>
    <v>34</v>
  </rv>
  <rv s="14">
    <fb>14.59</fb>
    <v>34</v>
  </rv>
  <rv s="14">
    <fb>27.49</fb>
    <v>34</v>
  </rv>
  <rv s="14">
    <fb>4.91</fb>
    <v>34</v>
  </rv>
  <rv s="14">
    <fb>53.85</fb>
    <v>34</v>
  </rv>
  <rv s="14">
    <fb>26.33</fb>
    <v>34</v>
  </rv>
  <rv s="14">
    <fb>27.44</fb>
    <v>34</v>
  </rv>
  <rv s="14">
    <fb>461.39</fb>
    <v>34</v>
  </rv>
  <rv s="14">
    <fb>243.53</fb>
    <v>34</v>
  </rv>
  <rv s="14">
    <fb>111.92</fb>
    <v>34</v>
  </rv>
  <rv s="14">
    <fb>156.21</fb>
    <v>34</v>
  </rv>
  <rv s="14">
    <fb>146.63999999999999</fb>
    <v>34</v>
  </rv>
  <rv s="14">
    <fb>62.64</fb>
    <v>34</v>
  </rv>
  <rv s="14">
    <fb>296.10000000000002</fb>
    <v>34</v>
  </rv>
  <rv s="14">
    <fb>936.56</fb>
    <v>34</v>
  </rv>
  <rv s="14">
    <fb>170.63</fb>
    <v>34</v>
  </rv>
  <rv s="14">
    <fb>291.62</fb>
    <v>34</v>
  </rv>
  <rv s="14">
    <fb>93.98</fb>
    <v>34</v>
  </rv>
  <rv s="14">
    <fb>30.847100000000001</fb>
    <v>34</v>
  </rv>
  <rv s="14">
    <fb>58.74</fb>
    <v>34</v>
  </rv>
  <rv s="14">
    <fb>23.268699999999999</fb>
    <v>34</v>
  </rv>
  <rv s="14">
    <fb>45638</fb>
    <v>33</v>
  </rv>
  <rv s="14">
    <fb>137.34</fb>
    <v>34</v>
  </rv>
  <rv s="14">
    <fb>449.56</fb>
    <v>34</v>
  </rv>
  <rv s="14">
    <fb>630.79</fb>
    <v>34</v>
  </rv>
  <rv s="14">
    <fb>191.96</fb>
    <v>34</v>
  </rv>
  <rv s="14">
    <fb>604.33000000000004</fb>
    <v>34</v>
  </rv>
  <rv s="14">
    <fb>91.08</fb>
    <v>34</v>
  </rv>
  <rv s="14">
    <fb>247.28</fb>
    <v>34</v>
  </rv>
  <rv s="14">
    <fb>73.209999999999994</fb>
    <v>34</v>
  </rv>
  <rv s="14">
    <fb>176.41</fb>
    <v>34</v>
  </rv>
  <rv s="14">
    <fb>89.67</fb>
    <v>34</v>
  </rv>
  <rv s="14">
    <fb>14.55</fb>
    <v>34</v>
  </rv>
  <rv s="14">
    <fb>3.8</fb>
    <v>35</v>
  </rv>
  <rv s="14">
    <fb>53.1</fb>
    <v>34</v>
  </rv>
  <rv s="14">
    <fb>85.35</fb>
    <v>34</v>
  </rv>
  <rv s="14">
    <fb>27.14</fb>
    <v>34</v>
  </rv>
  <rv s="14">
    <fb>91.61</fb>
    <v>34</v>
  </rv>
  <rv s="14">
    <fb>458.63</fb>
    <v>34</v>
  </rv>
  <rv s="14">
    <fb>241.53</fb>
    <v>34</v>
  </rv>
  <rv s="14">
    <fb>111.82</fb>
    <v>34</v>
  </rv>
  <rv s="14">
    <fb>154.71</fb>
    <v>34</v>
  </rv>
  <rv s="14">
    <fb>146.24</fb>
    <v>34</v>
  </rv>
  <rv s="14">
    <fb>63.84</fb>
    <v>34</v>
  </rv>
  <rv s="14">
    <fb>296.63</fb>
    <v>34</v>
  </rv>
  <rv s="14">
    <fb>114.9</fb>
    <v>34</v>
  </rv>
  <rv s="14">
    <fb>925.55</fb>
    <v>34</v>
  </rv>
  <rv s="14">
    <fb>170.85</fb>
    <v>34</v>
  </rv>
  <rv s="14">
    <fb>158.9</fb>
    <v>34</v>
  </rv>
  <rv s="14">
    <fb>287.06</fb>
    <v>34</v>
  </rv>
  <rv s="14">
    <fb>92.96</fb>
    <v>34</v>
  </rv>
  <rv s="14">
    <fb>30.54</fb>
    <v>34</v>
  </rv>
  <rv s="14">
    <fb>22.734999999999999</fb>
    <v>34</v>
  </rv>
  <rv s="14">
    <fb>57.42</fb>
    <v>34</v>
  </rv>
  <rv s="14">
    <fb>23.258500000000002</fb>
    <v>34</v>
  </rv>
  <rv s="14">
    <fb>45639</fb>
    <v>33</v>
  </rv>
  <rv s="14">
    <fb>248.13</fb>
    <v>34</v>
  </rv>
  <rv s="14">
    <fb>134.25</fb>
    <v>34</v>
  </rv>
  <rv s="14">
    <fb>447.27</fb>
    <v>34</v>
  </rv>
  <rv s="14">
    <fb>620.35</fb>
    <v>34</v>
  </rv>
  <rv s="14">
    <fb>189.82</fb>
    <v>34</v>
  </rv>
  <rv s="14">
    <fb>604.21</fb>
    <v>34</v>
  </rv>
  <rv s="14">
    <fb>90.15</fb>
    <v>34</v>
  </rv>
  <rv s="14">
    <fb>244.29</fb>
    <v>34</v>
  </rv>
  <rv s="14">
    <fb>74.209999999999994</fb>
    <v>34</v>
  </rv>
  <rv s="14">
    <fb>93.69</fb>
    <v>34</v>
  </rv>
  <rv s="14">
    <fb>47.241</fb>
    <v>34</v>
  </rv>
  <rv s="14">
    <fb>176.43</fb>
    <v>34</v>
  </rv>
  <rv s="14">
    <fb>89.22</fb>
    <v>34</v>
  </rv>
  <rv s="14">
    <fb>14.73</fb>
    <v>34</v>
  </rv>
  <rv s="14">
    <fb>27.75</fb>
    <v>34</v>
  </rv>
  <rv s="14">
    <fb>4.82</fb>
    <v>34</v>
  </rv>
  <rv s="14">
    <fb>52.46</fb>
    <v>34</v>
  </rv>
  <rv s="14">
    <fb>84.3</fb>
    <v>34</v>
  </rv>
  <rv s="14">
    <fb>50.97</fb>
    <v>34</v>
  </rv>
  <rv s="14">
    <fb>457.9</fb>
    <v>34</v>
  </rv>
  <rv s="14">
    <fb>239.94</fb>
    <v>34</v>
  </rv>
  <rv s="14">
    <fb>45.67</fb>
    <v>34</v>
  </rv>
  <rv s="14">
    <fb>110.84</fb>
    <v>34</v>
  </rv>
  <rv s="14">
    <fb>153.87</fb>
    <v>34</v>
  </rv>
  <rv s="14">
    <fb>146.62</fb>
    <v>34</v>
  </rv>
  <rv s="14">
    <fb>63.12</fb>
    <v>34</v>
  </rv>
  <rv s="14">
    <fb>296.60000000000002</fb>
    <v>34</v>
  </rv>
  <rv s="14">
    <fb>113.34</fb>
    <v>34</v>
  </rv>
  <rv s="14">
    <fb>918.87</fb>
    <v>34</v>
  </rv>
  <rv s="14">
    <fb>171.06</fb>
    <v>34</v>
  </rv>
  <rv s="14">
    <fb>157.97</fb>
    <v>34</v>
  </rv>
  <rv s="14">
    <fb>283.89</fb>
    <v>34</v>
  </rv>
  <rv s="14">
    <fb>92.54</fb>
    <v>34</v>
  </rv>
  <rv s="14">
    <fb>30.32</fb>
    <v>34</v>
  </rv>
  <rv s="14">
    <fb>22.67</fb>
    <v>34</v>
  </rv>
  <rv s="14">
    <fb>58.43</fb>
    <v>34</v>
  </rv>
  <rv s="14">
    <fb>56.92</fb>
    <v>34</v>
  </rv>
  <rv s="14">
    <fb>23.1645</fb>
    <v>34</v>
  </rv>
  <rv s="14">
    <fb>45642</fb>
    <v>33</v>
  </rv>
  <rv s="14">
    <fb>251.04</fb>
    <v>34</v>
  </rv>
  <rv s="14">
    <fb>132</fb>
    <v>34</v>
  </rv>
  <rv s="14">
    <fb>451.59</fb>
    <v>34</v>
  </rv>
  <rv s="14">
    <fb>624.24</fb>
    <v>34</v>
  </rv>
  <rv s="14">
    <fb>196.66</fb>
    <v>34</v>
  </rv>
  <rv s="14">
    <fb>606.79</fb>
    <v>34</v>
  </rv>
  <rv s="14">
    <fb>90.42</fb>
    <v>34</v>
  </rv>
  <rv s="14">
    <fb>244.88</fb>
    <v>34</v>
  </rv>
  <rv s="14">
    <fb>73.7</fb>
    <v>34</v>
  </rv>
  <rv s="14">
    <fb>93.72</fb>
    <v>34</v>
  </rv>
  <rv s="14">
    <fb>47.265000000000001</fb>
    <v>34</v>
  </rv>
  <rv s="14">
    <fb>178.15</fb>
    <v>34</v>
  </rv>
  <rv s="14">
    <fb>87.26</fb>
    <v>34</v>
  </rv>
  <rv s="14">
    <fb>14.62</fb>
    <v>34</v>
  </rv>
  <rv s="14">
    <fb>27.76</fb>
    <v>34</v>
  </rv>
  <rv s="14">
    <fb>52.56</fb>
    <v>34</v>
  </rv>
  <rv s="14">
    <fb>85.69</fb>
    <v>34</v>
  </rv>
  <rv s="14">
    <fb>26.96</fb>
    <v>34</v>
  </rv>
  <rv s="14">
    <fb>91.65</fb>
    <v>34</v>
  </rv>
  <rv s="14">
    <fb>455.2</fb>
    <v>34</v>
  </rv>
  <rv s="14">
    <fb>239.58</fb>
    <v>34</v>
  </rv>
  <rv s="14">
    <fb>45.47</fb>
    <v>34</v>
  </rv>
  <rv s="14">
    <fb>108.47</fb>
    <v>34</v>
  </rv>
  <rv s="14">
    <fb>149.36000000000001</fb>
    <v>34</v>
  </rv>
  <rv s="14">
    <fb>143.85</fb>
    <v>34</v>
  </rv>
  <rv s="14">
    <fb>297.70999999999998</fb>
    <v>34</v>
  </rv>
  <rv s="14">
    <fb>112.11</fb>
    <v>34</v>
  </rv>
  <rv s="14">
    <fb>921.08</fb>
    <v>34</v>
  </rv>
  <rv s="14">
    <fb>171.14</fb>
    <v>34</v>
  </rv>
  <rv s="14">
    <fb>156.02000000000001</fb>
    <v>34</v>
  </rv>
  <rv s="14">
    <fb>280.35000000000002</fb>
    <v>34</v>
  </rv>
  <rv s="14">
    <fb>90.23</fb>
    <v>34</v>
  </rv>
  <rv s="14">
    <fb>29.51</fb>
    <v>34</v>
  </rv>
  <rv s="14">
    <fb>22.675000000000001</fb>
    <v>34</v>
  </rv>
  <rv s="14">
    <fb>57.01</fb>
    <v>34</v>
  </rv>
  <rv s="14">
    <fb>23.092600000000001</fb>
    <v>34</v>
  </rv>
  <rv s="14">
    <fb>45643</fb>
    <v>33</v>
  </rv>
  <rv s="14">
    <fb>253.48</fb>
    <v>34</v>
  </rv>
  <rv s="14">
    <fb>130.38999999999999</fb>
    <v>34</v>
  </rv>
  <rv s="14">
    <fb>454.46</fb>
    <v>34</v>
  </rv>
  <rv s="14">
    <fb>619.44000000000005</fb>
    <v>34</v>
  </rv>
  <rv s="14">
    <fb>195.42</fb>
    <v>34</v>
  </rv>
  <rv s="14">
    <fb>604.29</fb>
    <v>34</v>
  </rv>
  <rv s="14">
    <fb>243.94</fb>
    <v>34</v>
  </rv>
  <rv s="14">
    <fb>73.3</fb>
    <v>34</v>
  </rv>
  <rv s="14">
    <fb>47.262700000000002</fb>
    <v>34</v>
  </rv>
  <rv s="14">
    <fb>176.32</fb>
    <v>34</v>
  </rv>
  <rv s="14">
    <fb>86.61</fb>
    <v>34</v>
  </rv>
  <rv s="14">
    <fb>3.21</fb>
    <v>35</v>
  </rv>
  <rv s="14">
    <fb>27.71</fb>
    <v>34</v>
  </rv>
  <rv s="14">
    <fb>4.75</fb>
    <v>34</v>
  </rv>
  <rv s="14">
    <fb>52.37</fb>
    <v>34</v>
  </rv>
  <rv s="14">
    <fb>26.12</fb>
    <v>34</v>
  </rv>
  <rv s="14">
    <fb>91.66</fb>
    <v>34</v>
  </rv>
  <rv s="14">
    <fb>455.66</fb>
    <v>34</v>
  </rv>
  <rv s="14">
    <fb>238.36</fb>
    <v>34</v>
  </rv>
  <rv s="14">
    <fb>45.05</fb>
    <v>34</v>
  </rv>
  <rv s="14">
    <fb>108.01</fb>
    <v>34</v>
  </rv>
  <rv s="14">
    <fb>148.11000000000001</fb>
    <v>34</v>
  </rv>
  <rv s="14">
    <fb>146.41</fb>
    <v>34</v>
  </rv>
  <rv s="14">
    <fb>63.4</fb>
    <v>34</v>
  </rv>
  <rv s="14">
    <fb>296.08</fb>
    <v>34</v>
  </rv>
  <rv s="14">
    <fb>113.02</fb>
    <v>34</v>
  </rv>
  <rv s="14">
    <fb>919.13</fb>
    <v>34</v>
  </rv>
  <rv s="14">
    <fb>170.33</fb>
    <v>34</v>
  </rv>
  <rv s="14">
    <fb>156.13999999999999</fb>
    <v>34</v>
  </rv>
  <rv s="14">
    <fb>276.45</fb>
    <v>34</v>
  </rv>
  <rv s="14">
    <fb>88.94</fb>
    <v>34</v>
  </rv>
  <rv s="14">
    <fb>29.275300000000001</fb>
    <v>34</v>
  </rv>
  <rv s="14">
    <fb>22.684999999999999</fb>
    <v>34</v>
  </rv>
  <rv s="14">
    <fb>57.1</fb>
    <v>34</v>
  </rv>
  <rv s="14">
    <fb>22.981400000000001</fb>
    <v>34</v>
  </rv>
  <rv s="14">
    <fb>45644</fb>
    <v>33</v>
  </rv>
  <rv s="14">
    <fb>248.05</fb>
    <v>34</v>
  </rv>
  <rv s="14">
    <fb>128.91</fb>
    <v>34</v>
  </rv>
  <rv s="14">
    <fb>437.39</fb>
    <v>34</v>
  </rv>
  <rv s="14">
    <fb>188.4</fb>
    <v>34</v>
  </rv>
  <rv s="14">
    <fb>586.28</fb>
    <v>34</v>
  </rv>
  <rv s="14">
    <fb>239.26</fb>
    <v>34</v>
  </rv>
  <rv s="14">
    <fb>72.94</fb>
    <v>34</v>
  </rv>
  <rv s="14">
    <fb>92.69</fb>
    <v>34</v>
  </rv>
  <rv s="14">
    <fb>46.863900000000001</fb>
    <v>34</v>
  </rv>
  <rv s="14">
    <fb>167.44</fb>
    <v>34</v>
  </rv>
  <rv s="14">
    <fb>84.05</fb>
    <v>34</v>
  </rv>
  <rv s="14">
    <fb>14.48</fb>
    <v>34</v>
  </rv>
  <rv s="14">
    <fb>26.85</fb>
    <v>34</v>
  </rv>
  <rv s="14">
    <fb>27.83</fb>
    <v>34</v>
  </rv>
  <rv s="14">
    <fb>4.74</fb>
    <v>34</v>
  </rv>
  <rv s="14">
    <fb>51.37</fb>
    <v>34</v>
  </rv>
  <rv s="14">
    <fb>84.27</fb>
    <v>34</v>
  </rv>
  <rv s="14">
    <fb>50.73</fb>
    <v>34</v>
  </rv>
  <rv s="14">
    <fb>26.68</fb>
    <v>34</v>
  </rv>
  <rv s="14">
    <fb>446.59</fb>
    <v>34</v>
  </rv>
  <rv s="14">
    <fb>230.37</fb>
    <v>34</v>
  </rv>
  <rv s="14">
    <fb>43.5</fb>
    <v>34</v>
  </rv>
  <rv s="14">
    <fb>106.42</fb>
    <v>34</v>
  </rv>
  <rv s="14">
    <fb>144.08000000000001</fb>
    <v>34</v>
  </rv>
  <rv s="14">
    <fb>144.75</fb>
    <v>34</v>
  </rv>
  <rv s="14">
    <fb>62.85</fb>
    <v>34</v>
  </rv>
  <rv s="14">
    <fb>290.88</fb>
    <v>34</v>
  </rv>
  <rv s="14">
    <fb>111.35</fb>
    <v>34</v>
  </rv>
  <rv s="14">
    <fb>889.55</fb>
    <v>34</v>
  </rv>
  <rv s="14">
    <fb>169.08</fb>
    <v>34</v>
  </rv>
  <rv s="14">
    <fb>154.43</fb>
    <v>34</v>
  </rv>
  <rv s="14">
    <fb>266.48</fb>
    <v>34</v>
  </rv>
  <rv s="14">
    <fb>86.12</fb>
    <v>34</v>
  </rv>
  <rv s="14">
    <fb>28.37</fb>
    <v>34</v>
  </rv>
  <rv s="14">
    <fb>22.484999999999999</fb>
    <v>34</v>
  </rv>
  <rv s="14">
    <fb>58.18</fb>
    <v>34</v>
  </rv>
  <rv s="14">
    <fb>58.08</fb>
    <v>34</v>
  </rv>
  <rv s="14">
    <fb>56.43</fb>
    <v>34</v>
  </rv>
  <rv s="14">
    <fb>28.79</fb>
    <v>34</v>
  </rv>
  <rv s="14">
    <fb>21.4711</fb>
    <v>34</v>
  </rv>
  <rv s="14">
    <fb>45645</fb>
    <v>33</v>
  </rv>
  <rv s="14">
    <fb>130.68</fb>
    <v>34</v>
  </rv>
  <rv s="14">
    <fb>437.03</fb>
    <v>34</v>
  </rv>
  <rv s="14">
    <fb>595.57000000000005</fb>
    <v>34</v>
  </rv>
  <rv s="14">
    <fb>188.51</fb>
    <v>34</v>
  </rv>
  <rv s="14">
    <fb>586.1</fb>
    <v>34</v>
  </rv>
  <rv s="14">
    <fb>87.81</fb>
    <v>34</v>
  </rv>
  <rv s="14">
    <fb>239.6</fb>
    <v>34</v>
  </rv>
  <rv s="14">
    <fb>72.61</fb>
    <v>34</v>
  </rv>
  <rv s="14">
    <fb>46.722999999999999</fb>
    <v>34</v>
  </rv>
  <rv s="14">
    <fb>169.63</fb>
    <v>34</v>
  </rv>
  <rv s="14">
    <fb>83.32</fb>
    <v>34</v>
  </rv>
  <rv s="14">
    <fb>4.67</fb>
    <v>34</v>
  </rv>
  <rv s="14">
    <fb>51.44</fb>
    <v>34</v>
  </rv>
  <rv s="14">
    <fb>84.63</fb>
    <v>34</v>
  </rv>
  <rv s="14">
    <fb>25.83</fb>
    <v>34</v>
  </rv>
  <rv s="14">
    <fb>50.75</fb>
    <v>34</v>
  </rv>
  <rv s="14">
    <fb>28.88</fb>
    <v>34</v>
  </rv>
  <rv s="14">
    <fb>91.29</fb>
    <v>34</v>
  </rv>
  <rv s="14">
    <fb>449.34</fb>
    <v>34</v>
  </rv>
  <rv s="14">
    <fb>232.96</fb>
    <v>34</v>
  </rv>
  <rv s="14">
    <fb>43.38</fb>
    <v>34</v>
  </rv>
  <rv s="14">
    <fb>105.51</fb>
    <v>34</v>
  </rv>
  <rv s="14">
    <fb>141.15</fb>
    <v>34</v>
  </rv>
  <rv s="14">
    <fb>143.58000000000001</fb>
    <v>34</v>
  </rv>
  <rv s="14">
    <fb>62.45</fb>
    <v>34</v>
  </rv>
  <rv s="14">
    <fb>290.23</fb>
    <v>34</v>
  </rv>
  <rv s="14">
    <fb>111.37</fb>
    <v>34</v>
  </rv>
  <rv s="14">
    <fb>902.04</fb>
    <v>34</v>
  </rv>
  <rv s="14">
    <fb>169.19</fb>
    <v>34</v>
  </rv>
  <rv s="14">
    <fb>151.47</fb>
    <v>34</v>
  </rv>
  <rv s="14">
    <fb>263.91000000000003</fb>
    <v>34</v>
  </rv>
  <rv s="14">
    <fb>85.22</fb>
    <v>34</v>
  </rv>
  <rv s="14">
    <fb>28.09</fb>
    <v>34</v>
  </rv>
  <rv s="14">
    <fb>22.43</fb>
    <v>34</v>
  </rv>
  <rv s="14">
    <fb>55.75</fb>
    <v>34</v>
  </rv>
  <rv s="14">
    <fb>21.165099999999999</fb>
    <v>34</v>
  </rv>
  <rv s="14">
    <fb>45646</fb>
    <v>33</v>
  </rv>
  <rv s="14">
    <fb>254.49</fb>
    <v>34</v>
  </rv>
  <rv s="14">
    <fb>134.69999999999999</fb>
    <v>34</v>
  </rv>
  <rv s="14">
    <fb>436.6</fb>
    <v>34</v>
  </rv>
  <rv s="14">
    <fb>585.25</fb>
    <v>34</v>
  </rv>
  <rv s="14">
    <fb>191.41</fb>
    <v>34</v>
  </rv>
  <rv s="14">
    <fb>591.15</fb>
    <v>34</v>
  </rv>
  <rv s="14">
    <fb>88.31</fb>
    <v>34</v>
  </rv>
  <rv s="14">
    <fb>242.1</fb>
    <v>34</v>
  </rv>
  <rv s="14">
    <fb>73.099999999999994</fb>
    <v>34</v>
  </rv>
  <rv s="14">
    <fb>92.61</fb>
    <v>34</v>
  </rv>
  <rv s="14">
    <fb>46.904899999999998</fb>
    <v>34</v>
  </rv>
  <rv s="14">
    <fb>171.03</fb>
    <v>34</v>
  </rv>
  <rv s="14">
    <fb>84.14</fb>
    <v>34</v>
  </rv>
  <rv s="14">
    <fb>27.6</fb>
    <v>34</v>
  </rv>
  <rv s="14">
    <fb>4.66</fb>
    <v>34</v>
  </rv>
  <rv s="14">
    <fb>51.98</fb>
    <v>34</v>
  </rv>
  <rv s="14">
    <fb>84.92</fb>
    <v>34</v>
  </rv>
  <rv s="14">
    <fb>25.79</fb>
    <v>34</v>
  </rv>
  <rv s="14">
    <fb>28.9</fb>
    <v>34</v>
  </rv>
  <rv s="14">
    <fb>453.2</fb>
    <v>34</v>
  </rv>
  <rv s="14">
    <fb>237.6</fb>
    <v>34</v>
  </rv>
  <rv s="14">
    <fb>44.17</fb>
    <v>34</v>
  </rv>
  <rv s="14">
    <fb>105.87</fb>
    <v>34</v>
  </rv>
  <rv s="14">
    <fb>144.47</fb>
    <v>34</v>
  </rv>
  <rv s="14">
    <fb>292.68</fb>
    <v>34</v>
  </rv>
  <rv s="14">
    <fb>112.03</fb>
    <v>34</v>
  </rv>
  <rv s="14">
    <fb>909.05</fb>
    <v>34</v>
  </rv>
  <rv s="14">
    <fb>168.06</fb>
    <v>34</v>
  </rv>
  <rv s="14">
    <fb>152.79</fb>
    <v>34</v>
  </rv>
  <rv s="14">
    <fb>264.85000000000002</fb>
    <v>34</v>
  </rv>
  <rv s="14">
    <fb>85.62</fb>
    <v>34</v>
  </rv>
  <rv s="14">
    <fb>28.3</fb>
    <v>34</v>
  </rv>
  <rv s="14">
    <fb>22.465</fb>
    <v>34</v>
  </rv>
  <rv s="14">
    <fb>55.97</fb>
    <v>34</v>
  </rv>
  <rv s="14">
    <fb>28.66</fb>
    <v>34</v>
  </rv>
  <rv s="14">
    <fb>21.500599999999999</fb>
    <v>34</v>
  </rv>
  <rv s="14">
    <fb>45649</fb>
    <v>33</v>
  </rv>
  <rv s="14">
    <fb>255.27</fb>
    <v>34</v>
  </rv>
  <rv s="14">
    <fb>139.66999999999999</fb>
    <v>34</v>
  </rv>
  <rv s="14">
    <fb>435.25</fb>
    <v>34</v>
  </rv>
  <rv s="14">
    <fb>599.85</fb>
    <v>34</v>
  </rv>
  <rv s="14">
    <fb>194.63</fb>
    <v>34</v>
  </rv>
  <rv s="14">
    <fb>594.69000000000005</fb>
    <v>34</v>
  </rv>
  <rv s="14">
    <fb>87.5</fb>
    <v>34</v>
  </rv>
  <rv s="14">
    <fb>240.96</fb>
    <v>34</v>
  </rv>
  <rv s="14">
    <fb>46.7592</fb>
    <v>34</v>
  </rv>
  <rv s="14">
    <fb>171.63</fb>
    <v>34</v>
  </rv>
  <rv s="14">
    <fb>83.93</fb>
    <v>34</v>
  </rv>
  <rv s="14">
    <fb>13.84</fb>
    <v>34</v>
  </rv>
  <rv s="14">
    <fb>26.99</fb>
    <v>34</v>
  </rv>
  <rv s="14">
    <fb>4.7300000000000004</fb>
    <v>34</v>
  </rv>
  <rv s="14">
    <fb>51.73</fb>
    <v>34</v>
  </rv>
  <rv s="14">
    <fb>85.83</fb>
    <v>34</v>
  </rv>
  <rv s="14">
    <fb>25.75</fb>
    <v>34</v>
  </rv>
  <rv s="14">
    <fb>50.82</fb>
    <v>34</v>
  </rv>
  <rv s="14">
    <fb>26.18</fb>
    <v>34</v>
  </rv>
  <rv s="14">
    <fb>454.35</fb>
    <v>34</v>
  </rv>
  <rv s="14">
    <fb>238.39</fb>
    <v>34</v>
  </rv>
  <rv s="14">
    <fb>43.89</fb>
    <v>34</v>
  </rv>
  <rv s="14">
    <fb>106.3</fb>
    <v>34</v>
  </rv>
  <rv s="14">
    <fb>142.97</fb>
    <v>34</v>
  </rv>
  <rv s="14">
    <fb>145.27000000000001</fb>
    <v>34</v>
  </rv>
  <rv s="14">
    <fb>62.38</fb>
    <v>34</v>
  </rv>
  <rv s="14">
    <fb>291.29000000000002</fb>
    <v>34</v>
  </rv>
  <rv s="14">
    <fb>111.4</fb>
    <v>34</v>
  </rv>
  <rv s="14">
    <fb>911.45</fb>
    <v>34</v>
  </rv>
  <rv s="14">
    <fb>168.11</fb>
    <v>34</v>
  </rv>
  <rv s="14">
    <fb>151.29</fb>
    <v>34</v>
  </rv>
  <rv s="14">
    <fb>260.95999999999998</fb>
    <v>34</v>
  </rv>
  <rv s="14">
    <fb>86.48</fb>
    <v>34</v>
  </rv>
  <rv s="14">
    <fb>28.36</fb>
    <v>34</v>
  </rv>
  <rv s="14">
    <fb>22.405000000000001</fb>
    <v>34</v>
  </rv>
  <rv s="14">
    <fb>57.97</fb>
    <v>34</v>
  </rv>
  <rv s="14">
    <fb>55.54</fb>
    <v>34</v>
  </rv>
  <rv s="14">
    <fb>28.59</fb>
    <v>34</v>
  </rv>
  <rv s="14">
    <fb>21.524100000000001</fb>
    <v>34</v>
  </rv>
  <rv s="14">
    <fb>45650</fb>
    <v>33</v>
  </rv>
  <rv s="14">
    <fb>258.2</fb>
    <v>34</v>
  </rv>
  <rv s="14">
    <fb>140.22</fb>
    <v>34</v>
  </rv>
  <rv s="14">
    <fb>439.33</fb>
    <v>34</v>
  </rv>
  <rv s="14">
    <fb>607.75</fb>
    <v>34</v>
  </rv>
  <rv s="14">
    <fb>196.11</fb>
    <v>34</v>
  </rv>
  <rv s="14">
    <fb>601.29999999999995</fb>
    <v>34</v>
  </rv>
  <rv s="14">
    <fb>87.87</fb>
    <v>34</v>
  </rv>
  <rv s="14">
    <fb>241.44</fb>
    <v>34</v>
  </rv>
  <rv s="14">
    <fb>73.650000000000006</fb>
    <v>34</v>
  </rv>
  <rv s="14">
    <fb>46.586199999999998</fb>
    <v>34</v>
  </rv>
  <rv s="14">
    <fb>174.85</fb>
    <v>34</v>
  </rv>
  <rv s="14">
    <fb>84.64</fb>
    <v>34</v>
  </rv>
  <rv s="14">
    <fb>13.95</fb>
    <v>34</v>
  </rv>
  <rv s="14">
    <fb>4.7</fb>
    <v>34</v>
  </rv>
  <rv s="14">
    <fb>51.84</fb>
    <v>34</v>
  </rv>
  <rv s="14">
    <fb>86.32</fb>
    <v>34</v>
  </rv>
  <rv s="14">
    <fb>25.8</fb>
    <v>34</v>
  </rv>
  <rv s="14">
    <fb>50.84</fb>
    <v>34</v>
  </rv>
  <rv s="14">
    <fb>458.66</fb>
    <v>34</v>
  </rv>
  <rv s="14">
    <fb>242.31</fb>
    <v>34</v>
  </rv>
  <rv s="14">
    <fb>44.38</fb>
    <v>34</v>
  </rv>
  <rv s="14">
    <fb>106.4</fb>
    <v>34</v>
  </rv>
  <rv s="14">
    <fb>143.84</fb>
    <v>34</v>
  </rv>
  <rv s="14">
    <fb>145.85</fb>
    <v>34</v>
  </rv>
  <rv s="14">
    <fb>62.84</fb>
    <v>34</v>
  </rv>
  <rv s="14">
    <fb>293.99</fb>
    <v>34</v>
  </rv>
  <rv s="14">
    <fb>112.56</fb>
    <v>34</v>
  </rv>
  <rv s="14">
    <fb>932.12</fb>
    <v>34</v>
  </rv>
  <rv s="14">
    <fb>168.94</fb>
    <v>34</v>
  </rv>
  <rv s="14">
    <fb>152.81</fb>
    <v>34</v>
  </rv>
  <rv s="14">
    <fb>263.64</fb>
    <v>34</v>
  </rv>
  <rv s="14">
    <fb>87.47</fb>
    <v>34</v>
  </rv>
  <rv s="14">
    <fb>22.42</fb>
    <v>34</v>
  </rv>
  <rv s="14">
    <fb>58.02</fb>
    <v>34</v>
  </rv>
  <rv s="14">
    <fb>57.81</fb>
    <v>34</v>
  </rv>
  <rv s="14">
    <fb>55.51</fb>
    <v>34</v>
  </rv>
  <rv s="14">
    <fb>21.706299999999999</fb>
    <v>34</v>
  </rv>
  <rv s="14">
    <fb>45652</fb>
    <v>33</v>
  </rv>
  <rv s="14">
    <fb>259.02</fb>
    <v>34</v>
  </rv>
  <rv s="14">
    <fb>139.93</fb>
    <v>34</v>
  </rv>
  <rv s="14">
    <fb>438.11</fb>
    <v>34</v>
  </rv>
  <rv s="14">
    <fb>603.35</fb>
    <v>34</v>
  </rv>
  <rv s="14">
    <fb>195.6</fb>
    <v>34</v>
  </rv>
  <rv s="14">
    <fb>601.34</fb>
    <v>34</v>
  </rv>
  <rv s="14">
    <fb>87.82</fb>
    <v>34</v>
  </rv>
  <rv s="14">
    <fb>243.07</fb>
    <v>34</v>
  </rv>
  <rv s="14">
    <fb>46.626300000000001</fb>
    <v>34</v>
  </rv>
  <rv s="14">
    <fb>84.57</fb>
    <v>34</v>
  </rv>
  <rv s="14">
    <fb>13.86</fb>
    <v>34</v>
  </rv>
  <rv s="14">
    <fb>26.25</fb>
    <v>34</v>
  </rv>
  <rv s="14">
    <fb>52.19</fb>
    <v>34</v>
  </rv>
  <rv s="14">
    <fb>85.85</fb>
    <v>34</v>
  </rv>
  <rv s="14">
    <fb>91.37</fb>
    <v>34</v>
  </rv>
  <rv s="14">
    <fb>459.08</fb>
    <v>34</v>
  </rv>
  <rv s="14">
    <fb>243.14</fb>
    <v>34</v>
  </rv>
  <rv s="14">
    <fb>44.55</fb>
    <v>34</v>
  </rv>
  <rv s="14">
    <fb>106.49</fb>
    <v>34</v>
  </rv>
  <rv s="14">
    <fb>143.97999999999999</fb>
    <v>34</v>
  </rv>
  <rv s="14">
    <fb>145.58000000000001</fb>
    <v>34</v>
  </rv>
  <rv s="14">
    <fb>62.57</fb>
    <v>34</v>
  </rv>
  <rv s="14">
    <fb>294.8</fb>
    <v>34</v>
  </rv>
  <rv s="14">
    <fb>112.55</fb>
    <v>34</v>
  </rv>
  <rv s="14">
    <fb>924.14</fb>
    <v>34</v>
  </rv>
  <rv s="14">
    <fb>170.16</fb>
    <v>34</v>
  </rv>
  <rv s="14">
    <fb>152.44</fb>
    <v>34</v>
  </rv>
  <rv s="14">
    <fb>265.02999999999997</fb>
    <v>34</v>
  </rv>
  <rv s="14">
    <fb>87.31</fb>
    <v>34</v>
  </rv>
  <rv s="14">
    <fb>28.67</fb>
    <v>34</v>
  </rv>
  <rv s="14">
    <fb>22.434999999999999</fb>
    <v>34</v>
  </rv>
  <rv s="14">
    <fb>58.045000000000002</fb>
    <v>34</v>
  </rv>
  <rv s="14">
    <fb>57.85</fb>
    <v>34</v>
  </rv>
  <rv s="14">
    <fb>55.49</fb>
    <v>34</v>
  </rv>
  <rv s="14">
    <fb>28.68</fb>
    <v>34</v>
  </rv>
  <rv s="14">
    <fb>21.7471</fb>
    <v>34</v>
  </rv>
  <rv s="14">
    <fb>45653</fb>
    <v>33</v>
  </rv>
  <rv s="14">
    <fb>255.59</fb>
    <v>34</v>
  </rv>
  <rv s="14">
    <fb>137.01</fb>
    <v>34</v>
  </rv>
  <rv s="14">
    <fb>430.53</fb>
    <v>34</v>
  </rv>
  <rv s="14">
    <fb>599.80999999999995</fb>
    <v>34</v>
  </rv>
  <rv s="14">
    <fb>192.76</fb>
    <v>34</v>
  </rv>
  <rv s="14">
    <fb>595.01</fb>
    <v>34</v>
  </rv>
  <rv s="14">
    <fb>87.1</fb>
    <v>34</v>
  </rv>
  <rv s="14">
    <fb>241.4</fb>
    <v>34</v>
  </rv>
  <rv s="14">
    <fb>73.849999999999994</fb>
    <v>34</v>
  </rv>
  <rv s="14">
    <fb>92.08</fb>
    <v>34</v>
  </rv>
  <rv s="14">
    <fb>46.545000000000002</fb>
    <v>34</v>
  </rv>
  <rv s="14">
    <fb>170.28</fb>
    <v>34</v>
  </rv>
  <rv s="14">
    <fb>84.56</fb>
    <v>34</v>
  </rv>
  <rv s="14">
    <fb>25.85</fb>
    <v>34</v>
  </rv>
  <rv s="14">
    <fb>51.81</fb>
    <v>34</v>
  </rv>
  <rv s="14">
    <fb>84.22</fb>
    <v>34</v>
  </rv>
  <rv s="14">
    <fb>25.74</fb>
    <v>34</v>
  </rv>
  <rv s="14">
    <fb>50.87</fb>
    <v>34</v>
  </rv>
  <rv s="14">
    <fb>28.92</fb>
    <v>34</v>
  </rv>
  <rv s="14">
    <fb>26.05</fb>
    <v>34</v>
  </rv>
  <rv s="14">
    <fb>91.41</fb>
    <v>34</v>
  </rv>
  <rv s="14">
    <fb>456.51</fb>
    <v>34</v>
  </rv>
  <rv s="14">
    <fb>241.17</fb>
    <v>34</v>
  </rv>
  <rv s="14">
    <fb>44.34</fb>
    <v>34</v>
  </rv>
  <rv s="14">
    <fb>106.48</fb>
    <v>34</v>
  </rv>
  <rv s="14">
    <fb>144</fb>
    <v>34</v>
  </rv>
  <rv s="14">
    <fb>145.05000000000001</fb>
    <v>34</v>
  </rv>
  <rv s="14">
    <fb>293.62</fb>
    <v>34</v>
  </rv>
  <rv s="14">
    <fb>111.55</fb>
    <v>34</v>
  </rv>
  <rv s="14">
    <fb>907.55</fb>
    <v>34</v>
  </rv>
  <rv s="14">
    <fb>169.53</fb>
    <v>34</v>
  </rv>
  <rv s="14">
    <fb>152.88999999999999</fb>
    <v>34</v>
  </rv>
  <rv s="14">
    <fb>264.94</fb>
    <v>34</v>
  </rv>
  <rv s="14">
    <fb>87.39</fb>
    <v>34</v>
  </rv>
  <rv s="14">
    <fb>28.695699999999999</fb>
    <v>34</v>
  </rv>
  <rv s="14">
    <fb>22.39</fb>
    <v>34</v>
  </rv>
  <rv s="14">
    <fb>58.07</fb>
    <v>34</v>
  </rv>
  <rv s="14">
    <fb>57.78</fb>
    <v>34</v>
  </rv>
  <rv s="14">
    <fb>55.1</fb>
    <v>34</v>
  </rv>
  <rv s="14">
    <fb>21.4862</fb>
    <v>34</v>
  </rv>
  <rv s="14">
    <fb>45656</fb>
    <v>33</v>
  </rv>
  <rv s="14">
    <fb>252.2</fb>
    <v>34</v>
  </rv>
  <rv s="14">
    <fb>137.49</fb>
    <v>34</v>
  </rv>
  <rv s="14">
    <fb>424.83</fb>
    <v>34</v>
  </rv>
  <rv s="14">
    <fb>591.24</fb>
    <v>34</v>
  </rv>
  <rv s="14">
    <fb>191.24</fb>
    <v>34</v>
  </rv>
  <rv s="14">
    <fb>588.22</fb>
    <v>34</v>
  </rv>
  <rv s="14">
    <fb>87.8</fb>
    <v>34</v>
  </rv>
  <rv s="14">
    <fb>240.63</fb>
    <v>34</v>
  </rv>
  <rv s="14">
    <fb>74.819999999999993</fb>
    <v>34</v>
  </rv>
  <rv s="14">
    <fb>92.62</fb>
    <v>34</v>
  </rv>
  <rv s="14">
    <fb>46.7149</fb>
    <v>34</v>
  </rv>
  <rv s="14">
    <fb>166.51</fb>
    <v>34</v>
  </rv>
  <rv s="14">
    <fb>84.55</fb>
    <v>34</v>
  </rv>
  <rv s="14">
    <fb>4</fb>
    <v>35</v>
  </rv>
  <rv s="14">
    <fb>26.27</fb>
    <v>34</v>
  </rv>
  <rv s="14">
    <fb>4.8099999999999996</fb>
    <v>34</v>
  </rv>
  <rv s="14">
    <fb>51.65</fb>
    <v>34</v>
  </rv>
  <rv s="14">
    <fb>82.66</fb>
    <v>34</v>
  </rv>
  <rv s="14">
    <fb>28.96</fb>
    <v>34</v>
  </rv>
  <rv s="14">
    <fb>452.16</fb>
    <v>34</v>
  </rv>
  <rv s="14">
    <fb>239.32</fb>
    <v>34</v>
  </rv>
  <rv s="14">
    <fb>43.91</fb>
    <v>34</v>
  </rv>
  <rv s="14">
    <fb>105.76</fb>
    <v>34</v>
  </rv>
  <rv s="14">
    <fb>143.07</fb>
    <v>34</v>
  </rv>
  <rv s="14">
    <fb>143.34</fb>
    <v>34</v>
  </rv>
  <rv s="14">
    <fb>62.03</fb>
    <v>34</v>
  </rv>
  <rv s="14">
    <fb>289.60000000000002</fb>
    <v>34</v>
  </rv>
  <rv s="14">
    <fb>110.8</fb>
    <v>34</v>
  </rv>
  <rv s="14">
    <fb>900.43</fb>
    <v>34</v>
  </rv>
  <rv s="14">
    <fb>167.09</fb>
    <v>34</v>
  </rv>
  <rv s="14">
    <fb>151.72</fb>
    <v>34</v>
  </rv>
  <rv s="14">
    <fb>267.56</fb>
    <v>34</v>
  </rv>
  <rv s="14">
    <fb>88.35</fb>
    <v>34</v>
  </rv>
  <rv s="14">
    <fb>29.18</fb>
    <v>34</v>
  </rv>
  <rv s="14">
    <fb>22.475000000000001</fb>
    <v>34</v>
  </rv>
  <rv s="14">
    <fb>55.55</fb>
    <v>34</v>
  </rv>
  <rv s="14">
    <fb>28.69</fb>
    <v>34</v>
  </rv>
  <rv s="14">
    <fb>21.431100000000001</fb>
    <v>34</v>
  </rv>
  <rv s="14">
    <fb>45657</fb>
    <v>33</v>
  </rv>
  <rv s="14">
    <fb>250.42</fb>
    <v>34</v>
  </rv>
  <rv s="14">
    <fb>134.29</fb>
    <v>34</v>
  </rv>
  <rv s="14">
    <fb>421.5</fb>
    <v>34</v>
  </rv>
  <rv s="14">
    <fb>585.51</fb>
    <v>34</v>
  </rv>
  <rv s="14">
    <fb>189.3</fb>
    <v>34</v>
  </rv>
  <rv s="14">
    <fb>586.08000000000004</fb>
    <v>34</v>
  </rv>
  <rv s="14">
    <fb>87.33</fb>
    <v>34</v>
  </rv>
  <rv s="14">
    <fb>242.13</fb>
    <v>34</v>
  </rv>
  <rv s="14">
    <fb>75.55</fb>
    <v>34</v>
  </rv>
  <rv s="14">
    <fb>46.655000000000001</fb>
    <v>34</v>
  </rv>
  <rv s="14">
    <fb>85.66</fb>
    <v>34</v>
  </rv>
  <rv s="14">
    <fb>14.31</fb>
    <v>34</v>
  </rv>
  <rv s="14">
    <fb>51.99</fb>
    <v>34</v>
  </rv>
  <rv s="14">
    <fb>83.05</fb>
    <v>34</v>
  </rv>
  <rv s="14">
    <fb>91.43</fb>
    <v>34</v>
  </rv>
  <rv s="14">
    <fb>453.28</fb>
    <v>34</v>
  </rv>
  <rv s="14">
    <fb>239.71</fb>
    <v>34</v>
  </rv>
  <rv s="14">
    <fb>43.95</fb>
    <v>34</v>
  </rv>
  <rv s="14">
    <fb>107.57</fb>
    <v>34</v>
  </rv>
  <rv s="14">
    <fb>144.62</fb>
    <v>34</v>
  </rv>
  <rv s="14">
    <fb>62.26</fb>
    <v>34</v>
  </rv>
  <rv s="14">
    <fb>289.89</fb>
    <v>34</v>
  </rv>
  <rv s="14">
    <fb>891.32</fb>
    <v>34</v>
  </rv>
  <rv s="14">
    <fb>152.06</fb>
    <v>34</v>
  </rv>
  <rv s="14">
    <fb>271.23</fb>
    <v>34</v>
  </rv>
  <rv s="14">
    <fb>89.63</fb>
    <v>34</v>
  </rv>
  <rv s="14">
    <fb>29.6</fb>
    <v>34</v>
  </rv>
  <rv s="14">
    <fb>22.98</fb>
    <v>34</v>
  </rv>
  <rv s="14">
    <fb>55.35</fb>
    <v>34</v>
  </rv>
  <rv s="14">
    <fb>28.64</fb>
    <v>34</v>
  </rv>
  <rv s="14">
    <fb>21.627500000000001</fb>
    <v>34</v>
  </rv>
  <rv s="14">
    <fb>45659</fb>
    <v>33</v>
  </rv>
  <rv s="14">
    <fb>243.85</fb>
    <v>34</v>
  </rv>
  <rv s="14">
    <fb>138.31</fb>
    <v>34</v>
  </rv>
  <rv s="14">
    <fb>418.58</fb>
    <v>34</v>
  </rv>
  <rv s="14">
    <fb>599.24</fb>
    <v>34</v>
  </rv>
  <rv s="14">
    <fb>189.43</fb>
    <v>34</v>
  </rv>
  <rv s="14">
    <fb>584.64</fb>
    <v>34</v>
  </rv>
  <rv s="14">
    <fb>87.57</fb>
    <v>34</v>
  </rv>
  <rv s="14">
    <fb>245.42</fb>
    <v>34</v>
  </rv>
  <rv s="14">
    <fb>76.930000000000007</fb>
    <v>34</v>
  </rv>
  <rv s="14">
    <fb>92.5</fb>
    <v>34</v>
  </rv>
  <rv s="14">
    <fb>46.6539</fb>
    <v>34</v>
  </rv>
  <rv s="14">
    <fb>86.66</fb>
    <v>34</v>
  </rv>
  <rv s="14">
    <fb>26.93</fb>
    <v>34</v>
  </rv>
  <rv s="14">
    <fb>26.62</fb>
    <v>34</v>
  </rv>
  <rv s="14">
    <fb>52.69</fb>
    <v>34</v>
  </rv>
  <rv s="14">
    <fb>84.59</fb>
    <v>34</v>
  </rv>
  <rv s="14">
    <fb>26.2</fb>
    <v>34</v>
  </rv>
  <rv s="14">
    <fb>91.45</fb>
    <v>34</v>
  </rv>
  <rv s="14">
    <fb>451.1</fb>
    <v>34</v>
  </rv>
  <rv s="14">
    <fb>240</fb>
    <v>34</v>
  </rv>
  <rv s="14">
    <fb>44.29</fb>
    <v>34</v>
  </rv>
  <rv s="14">
    <fb>107.31</fb>
    <v>34</v>
  </rv>
  <rv s="14">
    <fb>146.71</fb>
    <v>34</v>
  </rv>
  <rv s="14">
    <fb>144.02000000000001</fb>
    <v>34</v>
  </rv>
  <rv s="14">
    <fb>61.84</fb>
    <v>34</v>
  </rv>
  <rv s="14">
    <fb>292.51</fb>
    <v>34</v>
  </rv>
  <rv s="14">
    <fb>110.82</fb>
    <v>34</v>
  </rv>
  <rv s="14">
    <fb>886.73</fb>
    <v>34</v>
  </rv>
  <rv s="14">
    <fb>165.98</fb>
    <v>34</v>
  </rv>
  <rv s="14">
    <fb>150.21</fb>
    <v>34</v>
  </rv>
  <rv s="14">
    <fb>276.18</fb>
    <v>34</v>
  </rv>
  <rv s="14">
    <fb>91.15</fb>
    <v>34</v>
  </rv>
  <rv s="14">
    <fb>30.0852</fb>
    <v>34</v>
  </rv>
  <rv s="14">
    <fb>58.01</fb>
    <v>34</v>
  </rv>
  <rv s="14">
    <fb>55.41</fb>
    <v>34</v>
  </rv>
  <rv s="14">
    <fb>28.63</fb>
    <v>34</v>
  </rv>
  <rv s="14">
    <fb>21.4297</fb>
    <v>34</v>
  </rv>
  <rv s="14">
    <fb>45660</fb>
    <v>33</v>
  </rv>
  <rv s="14">
    <fb>243.36</fb>
    <v>34</v>
  </rv>
  <rv s="14">
    <fb>423.35</fb>
    <v>34</v>
  </rv>
  <rv s="14">
    <fb>604.63</fb>
    <v>34</v>
  </rv>
  <rv s="14">
    <fb>191.79</fb>
    <v>34</v>
  </rv>
  <rv s="14">
    <fb>591.95000000000005</fb>
    <v>34</v>
  </rv>
  <rv s="14">
    <fb>87.29</fb>
    <v>34</v>
  </rv>
  <rv s="14">
    <fb>77.92</fb>
    <v>34</v>
  </rv>
  <rv s="14">
    <fb>92.35</fb>
    <v>34</v>
  </rv>
  <rv s="14">
    <fb>46.614199999999997</fb>
    <v>34</v>
  </rv>
  <rv s="14">
    <fb>169.06</fb>
    <v>34</v>
  </rv>
  <rv s="14">
    <fb>14.69</fb>
    <v>34</v>
  </rv>
  <rv s="14">
    <fb>26.98</fb>
    <v>34</v>
  </rv>
  <rv s="14">
    <fb>26.49</fb>
    <v>34</v>
  </rv>
  <rv s="14">
    <fb>52.28</fb>
    <v>34</v>
  </rv>
  <rv s="14">
    <fb>85.7</fb>
    <v>34</v>
  </rv>
  <rv s="14">
    <fb>25.77</fb>
    <v>34</v>
  </rv>
  <rv s="14">
    <fb>91.46</fb>
    <v>34</v>
  </rv>
  <rv s="14">
    <fb>453.56</fb>
    <v>34</v>
  </rv>
  <rv s="14">
    <fb>243.28</fb>
    <v>34</v>
  </rv>
  <rv s="14">
    <fb>44.81</fb>
    <v>34</v>
  </rv>
  <rv s="14">
    <fb>107.86</fb>
    <v>34</v>
  </rv>
  <rv s="14">
    <fb>147.85</fb>
    <v>34</v>
  </rv>
  <rv s="14">
    <fb>144.19</fb>
    <v>34</v>
  </rv>
  <rv s="14">
    <fb>61.75</fb>
    <v>34</v>
  </rv>
  <rv s="14">
    <fb>294.77999999999997</fb>
    <v>34</v>
  </rv>
  <rv s="14">
    <fb>111.16</fb>
    <v>34</v>
  </rv>
  <rv s="14">
    <fb>881.05</fb>
    <v>34</v>
  </rv>
  <rv s="14">
    <fb>165.13</fb>
    <v>34</v>
  </rv>
  <rv s="14">
    <fb>91.93</fb>
    <v>34</v>
  </rv>
  <rv s="14">
    <fb>30.25</fb>
    <v>34</v>
  </rv>
  <rv s="14">
    <fb>22.44</fb>
    <v>34</v>
  </rv>
  <rv s="14">
    <fb>58.16</fb>
    <v>34</v>
  </rv>
  <rv s="14">
    <fb>55.25</fb>
    <v>34</v>
  </rv>
  <rv s="14">
    <fb>21.73</fb>
    <v>34</v>
  </rv>
  <rv s="14">
    <fb>45663</fb>
    <v>33</v>
  </rv>
  <rv s="14">
    <fb>245</fb>
    <v>34</v>
  </rv>
  <rv s="14">
    <fb>149.43</fb>
    <v>34</v>
  </rv>
  <rv s="14">
    <fb>427.85</fb>
    <v>34</v>
  </rv>
  <rv s="14">
    <fb>630.20000000000005</fb>
    <v>34</v>
  </rv>
  <rv s="14">
    <fb>196.87</fb>
    <v>34</v>
  </rv>
  <rv s="14">
    <fb>595.36</fb>
    <v>34</v>
  </rv>
  <rv s="14">
    <fb>86.9</fb>
    <v>34</v>
  </rv>
  <rv s="14">
    <fb>243.19</fb>
    <v>34</v>
  </rv>
  <rv s="14">
    <fb>77.3</fb>
    <v>34</v>
  </rv>
  <rv s="14">
    <fb>92.26</fb>
    <v>34</v>
  </rv>
  <rv s="14">
    <fb>46.555</fb>
    <v>34</v>
  </rv>
  <rv s="14">
    <fb>169.1</fb>
    <v>34</v>
  </rv>
  <rv s="14">
    <fb>87.07</fb>
    <v>34</v>
  </rv>
  <rv s="14">
    <fb>4.0999999999999996</fb>
    <v>35</v>
  </rv>
  <rv s="14">
    <fb>27.24</fb>
    <v>34</v>
  </rv>
  <rv s="14">
    <fb>85.55</fb>
    <v>34</v>
  </rv>
  <rv s="14">
    <fb>25.78</fb>
    <v>34</v>
  </rv>
  <rv s="14">
    <fb>451.41</fb>
    <v>34</v>
  </rv>
  <rv s="14">
    <fb>240.85</fb>
    <v>34</v>
  </rv>
  <rv s="14">
    <fb>45.4</fb>
    <v>34</v>
  </rv>
  <rv s="14">
    <fb>107.74</fb>
    <v>34</v>
  </rv>
  <rv s="14">
    <fb>147.26</fb>
    <v>34</v>
  </rv>
  <rv s="14">
    <fb>143.66</fb>
    <v>34</v>
  </rv>
  <rv s="14">
    <fb>60.81</fb>
    <v>34</v>
  </rv>
  <rv s="14">
    <fb>292.18</fb>
    <v>34</v>
  </rv>
  <rv s="14">
    <fb>111.05</fb>
    <v>34</v>
  </rv>
  <rv s="14">
    <fb>881.79</fb>
    <v>34</v>
  </rv>
  <rv s="14">
    <fb>160.6</fb>
    <v>34</v>
  </rv>
  <rv s="14">
    <fb>279.74</fb>
    <v>34</v>
  </rv>
  <rv s="14">
    <fb>30.1</fb>
    <v>34</v>
  </rv>
  <rv s="14">
    <fb>57.93</fb>
    <v>34</v>
  </rv>
  <rv s="14">
    <fb>55.05</fb>
    <v>34</v>
  </rv>
  <rv s="14">
    <fb>21.3658</fb>
    <v>34</v>
  </rv>
  <rv s="14">
    <fb>45664</fb>
    <v>33</v>
  </rv>
  <rv s="14">
    <fb>242.21</fb>
    <v>34</v>
  </rv>
  <rv s="14">
    <fb>140.13999999999999</fb>
    <v>34</v>
  </rv>
  <rv s="14">
    <fb>422.37</fb>
    <v>34</v>
  </rv>
  <rv s="14">
    <fb>617.89</fb>
    <v>34</v>
  </rv>
  <rv s="14">
    <fb>195.49</fb>
    <v>34</v>
  </rv>
  <rv s="14">
    <fb>588.63</fb>
    <v>34</v>
  </rv>
  <rv s="14">
    <fb>85.92</fb>
    <v>34</v>
  </rv>
  <rv s="14">
    <fb>244.56</fb>
    <v>34</v>
  </rv>
  <rv s="14">
    <fb>78.17</fb>
    <v>34</v>
  </rv>
  <rv s="14">
    <fb>91.84</fb>
    <v>34</v>
  </rv>
  <rv s="14">
    <fb>46.396900000000002</fb>
    <v>34</v>
  </rv>
  <rv s="14">
    <fb>162.44999999999999</fb>
    <v>34</v>
  </rv>
  <rv s="14">
    <fb>87.94</fb>
    <v>34</v>
  </rv>
  <rv s="14">
    <fb>14.75</fb>
    <v>34</v>
  </rv>
  <rv s="14">
    <fb>26.5</fb>
    <v>34</v>
  </rv>
  <rv s="14">
    <fb>87.15</fb>
    <v>34</v>
  </rv>
  <rv s="14">
    <fb>452.92</fb>
    <v>34</v>
  </rv>
  <rv s="14">
    <fb>243.17</fb>
    <v>34</v>
  </rv>
  <rv s="14">
    <fb>108.75</fb>
    <v>34</v>
  </rv>
  <rv s="14">
    <fb>149.59</fb>
    <v>34</v>
  </rv>
  <rv s="14">
    <fb>146.22999999999999</fb>
    <v>34</v>
  </rv>
  <rv s="14">
    <fb>60.84</fb>
    <v>34</v>
  </rv>
  <rv s="14">
    <fb>289.33999999999997</fb>
    <v>34</v>
  </rv>
  <rv s="14">
    <fb>111.39</fb>
    <v>34</v>
  </rv>
  <rv s="14">
    <fb>879.19</fb>
    <v>34</v>
  </rv>
  <rv s="14">
    <fb>161.30000000000001</fb>
    <v>34</v>
  </rv>
  <rv s="14">
    <fb>145.4</fb>
    <v>34</v>
  </rv>
  <rv s="14">
    <fb>283.85000000000002</fb>
    <v>34</v>
  </rv>
  <rv s="14">
    <fb>92.76</fb>
    <v>34</v>
  </rv>
  <rv s="14">
    <fb>30.4</fb>
    <v>34</v>
  </rv>
  <rv s="14">
    <fb>22.35</fb>
    <v>34</v>
  </rv>
  <rv s="14">
    <fb>57.76</fb>
    <v>34</v>
  </rv>
  <rv s="14">
    <fb>54.48</fb>
    <v>34</v>
  </rv>
  <rv s="14">
    <fb>28.44</fb>
    <v>34</v>
  </rv>
  <rv s="14">
    <fb>21.138000000000002</fb>
    <v>34</v>
  </rv>
  <rv s="14">
    <fb>45665</fb>
    <v>33</v>
  </rv>
  <rv s="14">
    <fb>242.7</fb>
    <v>34</v>
  </rv>
  <rv s="14">
    <fb>140.11000000000001</fb>
    <v>34</v>
  </rv>
  <rv s="14">
    <fb>424.56</fb>
    <v>34</v>
  </rv>
  <rv s="14">
    <fb>610.72</fb>
    <v>34</v>
  </rv>
  <rv s="14">
    <fb>193.95</fb>
    <v>34</v>
  </rv>
  <rv s="14">
    <fb>589.49</fb>
    <v>34</v>
  </rv>
  <rv s="14">
    <fb>86.03</fb>
    <v>34</v>
  </rv>
  <rv s="14">
    <fb>245.86</fb>
    <v>34</v>
  </rv>
  <rv s="14">
    <fb>46.455800000000004</fb>
    <v>34</v>
  </rv>
  <rv s="14">
    <fb>161.97999999999999</fb>
    <v>34</v>
  </rv>
  <rv s="14">
    <fb>14.58</fb>
    <v>34</v>
  </rv>
  <rv s="14">
    <fb>27.4</fb>
    <v>34</v>
  </rv>
  <rv s="14">
    <fb>4.72</fb>
    <v>34</v>
  </rv>
  <rv s="14">
    <fb>52.78</fb>
    <v>34</v>
  </rv>
  <rv s="14">
    <fb>87.62</fb>
    <v>34</v>
  </rv>
  <rv s="14">
    <fb>451.84</fb>
    <v>34</v>
  </rv>
  <rv s="14">
    <fb>243.13</fb>
    <v>34</v>
  </rv>
  <rv s="14">
    <fb>46.21</fb>
    <v>34</v>
  </rv>
  <rv s="14">
    <fb>106.93</fb>
    <v>34</v>
  </rv>
  <rv s="14">
    <fb>150.30000000000001</fb>
    <v>34</v>
  </rv>
  <rv s="14">
    <fb>142.27000000000001</fb>
    <v>34</v>
  </rv>
  <rv s="14">
    <fb>61.71</fb>
    <v>34</v>
  </rv>
  <rv s="14">
    <fb>286.89999999999998</fb>
    <v>34</v>
  </rv>
  <rv s="14">
    <fb>109.76</fb>
    <v>34</v>
  </rv>
  <rv s="14">
    <fb>875</fb>
    <v>34</v>
  </rv>
  <rv s="14">
    <fb>162.1</fb>
    <v>34</v>
  </rv>
  <rv s="14">
    <fb>146.54</fb>
    <v>34</v>
  </rv>
  <rv s="14">
    <fb>279.8</fb>
    <v>34</v>
  </rv>
  <rv s="14">
    <fb>93.39</fb>
    <v>34</v>
  </rv>
  <rv s="14">
    <fb>30.62</fb>
    <v>34</v>
  </rv>
  <rv s="14">
    <fb>22.375</fb>
    <v>34</v>
  </rv>
  <rv s="14">
    <fb>57.84</fb>
    <v>34</v>
  </rv>
  <rv s="14">
    <fb>54.56</fb>
    <v>34</v>
  </rv>
  <rv s="14">
    <fb>21.215</fb>
    <v>34</v>
  </rv>
  <rv s="14">
    <fb>45667</fb>
    <v>33</v>
  </rv>
  <rv s="14">
    <fb>236.85</fb>
    <v>34</v>
  </rv>
  <rv s="14">
    <fb>135.91</fb>
    <v>34</v>
  </rv>
  <rv s="14">
    <fb>418.95</fb>
    <v>34</v>
  </rv>
  <rv s="14">
    <fb>615.86</fb>
    <v>34</v>
  </rv>
  <rv s="14">
    <fb>192.04</fb>
    <v>34</v>
  </rv>
  <rv s="14">
    <fb>580.49</fb>
    <v>34</v>
  </rv>
  <rv s="14">
    <fb>85.46</fb>
    <v>34</v>
  </rv>
  <rv s="14">
    <fb>248.21</fb>
    <v>34</v>
  </rv>
  <rv s="14">
    <fb>80.64</fb>
    <v>34</v>
  </rv>
  <rv s="14">
    <fb>46.172899999999998</fb>
    <v>34</v>
  </rv>
  <rv s="14">
    <fb>155.38999999999999</fb>
    <v>34</v>
  </rv>
  <rv s="14">
    <fb>88.39</fb>
    <v>34</v>
  </rv>
  <rv s="14">
    <fb>15.2</fb>
    <v>34</v>
  </rv>
  <rv s="14">
    <fb>4.2</fb>
    <v>35</v>
  </rv>
  <rv s="14">
    <fb>26.45</fb>
    <v>34</v>
  </rv>
  <rv s="14">
    <fb>4.71</fb>
    <v>34</v>
  </rv>
  <rv s="14">
    <fb>53.7</fb>
    <v>34</v>
  </rv>
  <rv s="14">
    <fb>87.78</fb>
    <v>34</v>
  </rv>
  <rv s="14">
    <fb>25.69</fb>
    <v>34</v>
  </rv>
  <rv s="14">
    <fb>28.94</fb>
    <v>34</v>
  </rv>
  <rv s="14">
    <fb>25.63</fb>
    <v>34</v>
  </rv>
  <rv s="14">
    <fb>442.66</fb>
    <v>34</v>
  </rv>
  <rv s="14">
    <fb>239.87</fb>
    <v>34</v>
  </rv>
  <rv s="14">
    <fb>45.11</fb>
    <v>34</v>
  </rv>
  <rv s="14">
    <fb>106.54</fb>
    <v>34</v>
  </rv>
  <rv s="14">
    <fb>153.13999999999999</fb>
    <v>34</v>
  </rv>
  <rv s="14">
    <fb>142.06</fb>
    <v>34</v>
  </rv>
  <rv s="14">
    <fb>61.07</fb>
    <v>34</v>
  </rv>
  <rv s="14">
    <fb>282.31</fb>
    <v>34</v>
  </rv>
  <rv s="14">
    <fb>108.65</fb>
    <v>34</v>
  </rv>
  <rv s="14">
    <fb>837.69</fb>
    <v>34</v>
  </rv>
  <rv s="14">
    <fb>158.56</fb>
    <v>34</v>
  </rv>
  <rv s="14">
    <fb>142.63999999999999</fb>
    <v>34</v>
  </rv>
  <rv s="14">
    <fb>278.95</fb>
    <v>34</v>
  </rv>
  <rv s="14">
    <fb>31</fb>
    <v>34</v>
  </rv>
  <rv s="14">
    <fb>22.27</fb>
    <v>34</v>
  </rv>
  <rv s="14">
    <fb>58.09</fb>
    <v>34</v>
  </rv>
  <rv s="14">
    <fb>57.51</fb>
    <v>34</v>
  </rv>
  <rv s="14">
    <fb>28.33</fb>
    <v>34</v>
  </rv>
  <rv s="14">
    <fb>20.689399999999999</fb>
    <v>34</v>
  </rv>
  <rv s="14">
    <fb>45670</fb>
    <v>33</v>
  </rv>
  <rv s="14">
    <fb>234.4</fb>
    <v>34</v>
  </rv>
  <rv s="14">
    <fb>133.22999999999999</fb>
    <v>34</v>
  </rv>
  <rv s="14">
    <fb>417.19</fb>
    <v>34</v>
  </rv>
  <rv s="14">
    <fb>608.33000000000004</fb>
    <v>34</v>
  </rv>
  <rv s="14">
    <fb>191.01</fb>
    <v>34</v>
  </rv>
  <rv s="14">
    <fb>581.39</fb>
    <v>34</v>
  </rv>
  <rv s="14">
    <fb>85.43</fb>
    <v>34</v>
  </rv>
  <rv s="14">
    <fb>245.74</fb>
    <v>34</v>
  </rv>
  <rv s="14">
    <fb>82.23</fb>
    <v>34</v>
  </rv>
  <rv s="14">
    <fb>91.17</fb>
    <v>34</v>
  </rv>
  <rv s="14">
    <fb>46.111699999999999</fb>
    <v>34</v>
  </rv>
  <rv s="14">
    <fb>15.46</fb>
    <v>34</v>
  </rv>
  <rv s="14">
    <fb>4.3499999999999996</fb>
    <v>35</v>
  </rv>
  <rv s="14">
    <fb>26.75</fb>
    <v>34</v>
  </rv>
  <rv s="14">
    <fb>52.73</fb>
    <v>34</v>
  </rv>
  <rv s="14">
    <fb>25.72</fb>
    <v>34</v>
  </rv>
  <rv s="14">
    <fb>25.58</fb>
    <v>34</v>
  </rv>
  <rv s="14">
    <fb>443.91</fb>
    <v>34</v>
  </rv>
  <rv s="14">
    <fb>244.21</fb>
    <v>34</v>
  </rv>
  <rv s="14">
    <fb>45.06</fb>
    <v>34</v>
  </rv>
  <rv s="14">
    <fb>109.29</fb>
    <v>34</v>
  </rv>
  <rv s="14">
    <fb>155.35</fb>
    <v>34</v>
  </rv>
  <rv s="14">
    <fb>61.65</fb>
    <v>34</v>
  </rv>
  <rv s="14">
    <fb>283.63</fb>
    <v>34</v>
  </rv>
  <rv s="14">
    <fb>108.08</fb>
    <v>34</v>
  </rv>
  <rv s="14">
    <fb>840.29</fb>
    <v>34</v>
  </rv>
  <rv s="14">
    <fb>158.84</fb>
    <v>34</v>
  </rv>
  <rv s="14">
    <fb>144.5</fb>
    <v>34</v>
  </rv>
  <rv s="14">
    <fb>284.70999999999998</fb>
    <v>34</v>
  </rv>
  <rv s="14">
    <fb>31.67</fb>
    <v>34</v>
  </rv>
  <rv s="14">
    <fb>22.254999999999999</fb>
    <v>34</v>
  </rv>
  <rv s="14">
    <fb>57.44</fb>
    <v>34</v>
  </rv>
  <rv s="14">
    <fb>54.07</fb>
    <v>34</v>
  </rv>
  <rv s="14">
    <fb>28.27</fb>
    <v>34</v>
  </rv>
  <rv s="14">
    <fb>20.9664</fb>
    <v>34</v>
  </rv>
  <rv s="14">
    <fb>45671</fb>
    <v>33</v>
  </rv>
  <rv s="14">
    <fb>233.28</fb>
    <v>34</v>
  </rv>
  <rv s="14">
    <fb>131.76</fb>
    <v>34</v>
  </rv>
  <rv s="14">
    <fb>415.67</fb>
    <v>34</v>
  </rv>
  <rv s="14">
    <fb>594.25</fb>
    <v>34</v>
  </rv>
  <rv s="14">
    <fb>189.66</fb>
    <v>34</v>
  </rv>
  <rv s="14">
    <fb>582.19000000000005</fb>
    <v>34</v>
  </rv>
  <rv s="14">
    <fb>85.29</fb>
    <v>34</v>
  </rv>
  <rv s="14">
    <fb>247.03</fb>
    <v>34</v>
  </rv>
  <rv s="14">
    <fb>81.67</fb>
    <v>34</v>
  </rv>
  <rv s="14">
    <fb>91.2</fb>
    <v>34</v>
  </rv>
  <rv s="14">
    <fb>46.1404</fb>
    <v>34</v>
  </rv>
  <rv s="14">
    <fb>91.22</fb>
    <v>34</v>
  </rv>
  <rv s="14">
    <fb>15.37</fb>
    <v>34</v>
  </rv>
  <rv s="14">
    <fb>27.2</fb>
    <v>34</v>
  </rv>
  <rv s="14">
    <fb>26.66</fb>
    <v>34</v>
  </rv>
  <rv s="14">
    <fb>4.83</fb>
    <v>34</v>
  </rv>
  <rv s="14">
    <fb>53.03</fb>
    <v>34</v>
  </rv>
  <rv s="14">
    <fb>86.1</fb>
    <v>34</v>
  </rv>
  <rv s="14">
    <fb>25.54</fb>
    <v>34</v>
  </rv>
  <rv s="14">
    <fb>450.03</fb>
    <v>34</v>
  </rv>
  <rv s="14">
    <fb>247.47</fb>
    <v>34</v>
  </rv>
  <rv s="14">
    <fb>45.78</fb>
    <v>34</v>
  </rv>
  <rv s="14">
    <fb>109.72</fb>
    <v>34</v>
  </rv>
  <rv s="14">
    <fb>156.9</fb>
    <v>34</v>
  </rv>
  <rv s="14">
    <fb>62.04</fb>
    <v>34</v>
  </rv>
  <rv s="14">
    <fb>281.58</fb>
    <v>34</v>
  </rv>
  <rv s="14">
    <fb>108.12</fb>
    <v>34</v>
  </rv>
  <rv s="14">
    <fb>828.4</fb>
    <v>34</v>
  </rv>
  <rv s="14">
    <fb>159.74</fb>
    <v>34</v>
  </rv>
  <rv s="14">
    <fb>144.94999999999999</fb>
    <v>34</v>
  </rv>
  <rv s="14">
    <fb>287.23</fb>
    <v>34</v>
  </rv>
  <rv s="14">
    <fb>97.06</fb>
    <v>34</v>
  </rv>
  <rv s="14">
    <fb>31.96</fb>
    <v>34</v>
  </rv>
  <rv s="14">
    <fb>22.25</fb>
    <v>34</v>
  </rv>
  <rv s="14">
    <fb>58.1</fb>
    <v>34</v>
  </rv>
  <rv s="14">
    <fb>57.47</fb>
    <v>34</v>
  </rv>
  <rv s="14">
    <fb>53.99</fb>
    <v>34</v>
  </rv>
  <rv s="14">
    <fb>28.29</fb>
    <v>34</v>
  </rv>
  <rv s="14">
    <fb>21.07</fb>
    <v>34</v>
  </rv>
  <rv s="14">
    <fb>45672</fb>
    <v>33</v>
  </rv>
  <rv s="14">
    <fb>237.87</fb>
    <v>34</v>
  </rv>
  <rv s="14">
    <fb>136.24</fb>
    <v>34</v>
  </rv>
  <rv s="14">
    <fb>426.31</fb>
    <v>34</v>
  </rv>
  <rv s="14">
    <fb>617.12</fb>
    <v>34</v>
  </rv>
  <rv s="14">
    <fb>195.55</fb>
    <v>34</v>
  </rv>
  <rv s="14">
    <fb>592.78</fb>
    <v>34</v>
  </rv>
  <rv s="14">
    <fb>86.76</fb>
    <v>34</v>
  </rv>
  <rv s="14">
    <fb>248.88</fb>
    <v>34</v>
  </rv>
  <rv s="14">
    <fb>84.34</fb>
    <v>34</v>
  </rv>
  <rv s="14">
    <fb>92.16</fb>
    <v>34</v>
  </rv>
  <rv s="14">
    <fb>46.573900000000002</fb>
    <v>34</v>
  </rv>
  <rv s="14">
    <fb>164.85</fb>
    <v>34</v>
  </rv>
  <rv s="14">
    <fb>92.57</fb>
    <v>34</v>
  </rv>
  <rv s="14">
    <fb>15.88</fb>
    <v>34</v>
  </rv>
  <rv s="14">
    <fb>27.96</fb>
    <v>34</v>
  </rv>
  <rv s="14">
    <fb>26.73</fb>
    <v>34</v>
  </rv>
  <rv s="14">
    <fb>53.43</fb>
    <v>34</v>
  </rv>
  <rv s="14">
    <fb>25.9</fb>
    <v>34</v>
  </rv>
  <rv s="14">
    <fb>25.97</fb>
    <v>34</v>
  </rv>
  <rv s="14">
    <fb>458.51</fb>
    <v>34</v>
  </rv>
  <rv s="14">
    <fb>252.35</fb>
    <v>34</v>
  </rv>
  <rv s="14">
    <fb>47.1</fb>
    <v>34</v>
  </rv>
  <rv s="14">
    <fb>111.51</fb>
    <v>34</v>
  </rv>
  <rv s="14">
    <fb>144.97</fb>
    <v>34</v>
  </rv>
  <rv s="14">
    <fb>61.77</fb>
    <v>34</v>
  </rv>
  <rv s="14">
    <fb>282.3</fb>
    <v>34</v>
  </rv>
  <rv s="14">
    <fb>108.18</fb>
    <v>34</v>
  </rv>
  <rv s="14">
    <fb>848.26</fb>
    <v>34</v>
  </rv>
  <rv s="14">
    <fb>159.65</fb>
    <v>34</v>
  </rv>
  <rv s="14">
    <fb>144.78</fb>
    <v>34</v>
  </rv>
  <rv s="14">
    <fb>293.64999999999998</fb>
    <v>34</v>
  </rv>
  <rv s="14">
    <fb>98.66</fb>
    <v>34</v>
  </rv>
  <rv s="14">
    <fb>22.41</fb>
    <v>34</v>
  </rv>
  <rv s="14">
    <fb>57.89</fb>
    <v>34</v>
  </rv>
  <rv s="14">
    <fb>54.88</fb>
    <v>34</v>
  </rv>
  <rv s="14">
    <fb>21.186399999999999</fb>
    <v>34</v>
  </rv>
  <rv s="14">
    <fb>45673</fb>
    <v>33</v>
  </rv>
  <rv s="14">
    <fb>228.26</fb>
    <v>34</v>
  </rv>
  <rv s="14">
    <fb>133.57</fb>
    <v>34</v>
  </rv>
  <rv s="14">
    <fb>424.58</fb>
    <v>34</v>
  </rv>
  <rv s="14">
    <fb>611.29999999999995</fb>
    <v>34</v>
  </rv>
  <rv s="14">
    <fb>192.91</fb>
    <v>34</v>
  </rv>
  <rv s="14">
    <fb>591.64</fb>
    <v>34</v>
  </rv>
  <rv s="14">
    <fb>87.04</fb>
    <v>34</v>
  </rv>
  <rv s="14">
    <fb>250.6</fb>
    <v>34</v>
  </rv>
  <rv s="14">
    <fb>82.94</fb>
    <v>34</v>
  </rv>
  <rv s="14">
    <fb>92.38</fb>
    <v>34</v>
  </rv>
  <rv s="14">
    <fb>46.672899999999998</fb>
    <v>34</v>
  </rv>
  <rv s="14">
    <fb>165.92</fb>
    <v>34</v>
  </rv>
  <rv s="14">
    <fb>93.24</fb>
    <v>34</v>
  </rv>
  <rv s="14">
    <fb>15.61</fb>
    <v>34</v>
  </rv>
  <rv s="14">
    <fb>53.79</fb>
    <v>34</v>
  </rv>
  <rv s="14">
    <fb>85.54</fb>
    <v>34</v>
  </rv>
  <rv s="14">
    <fb>25.93</fb>
    <v>34</v>
  </rv>
  <rv s="14">
    <fb>26.06</fb>
    <v>34</v>
  </rv>
  <rv s="14">
    <fb>462.81</fb>
    <v>34</v>
  </rv>
  <rv s="14">
    <fb>254.27</fb>
    <v>34</v>
  </rv>
  <rv s="14">
    <fb>46.64</fb>
    <v>34</v>
  </rv>
  <rv s="14">
    <fb>111.32</fb>
    <v>34</v>
  </rv>
  <rv s="14">
    <fb>159.38</fb>
    <v>34</v>
  </rv>
  <rv s="14">
    <fb>147.77000000000001</fb>
    <v>34</v>
  </rv>
  <rv s="14">
    <fb>62.25</fb>
    <v>34</v>
  </rv>
  <rv s="14">
    <fb>106.46</fb>
    <v>34</v>
  </rv>
  <rv s="14">
    <fb>842.37</fb>
    <v>34</v>
  </rv>
  <rv s="14">
    <fb>160.5</fb>
    <v>34</v>
  </rv>
  <rv s="14">
    <fb>99.13</fb>
    <v>34</v>
  </rv>
  <rv s="14">
    <fb>32.520000000000003</fb>
    <v>34</v>
  </rv>
  <rv s="14">
    <fb>22.454999999999998</fb>
    <v>34</v>
  </rv>
  <rv s="14">
    <fb>58.03</fb>
    <v>34</v>
  </rv>
  <rv s="14">
    <fb>55.09</fb>
    <v>34</v>
  </rv>
  <rv s="14">
    <fb>28.6</fb>
    <v>34</v>
  </rv>
  <rv s="14">
    <fb>21.6479</fb>
    <v>34</v>
  </rv>
  <rv s="14">
    <fb>45674</fb>
    <v>33</v>
  </rv>
  <rv s="14">
    <fb>229.98</fb>
    <v>34</v>
  </rv>
  <rv s="14">
    <fb>137.71</fb>
    <v>34</v>
  </rv>
  <rv s="14">
    <fb>429.03</fb>
    <v>34</v>
  </rv>
  <rv s="14">
    <fb>612.77</fb>
    <v>34</v>
  </rv>
  <rv s="14">
    <fb>196</fb>
    <v>34</v>
  </rv>
  <rv s="14">
    <fb>597.58000000000004</fb>
    <v>34</v>
  </rv>
  <rv s="14">
    <fb>87.19</fb>
    <v>34</v>
  </rv>
  <rv s="14">
    <fb>249.27</fb>
    <v>34</v>
  </rv>
  <rv s="14">
    <fb>82.52</fb>
    <v>34</v>
  </rv>
  <rv s="14">
    <fb>46.692399999999999</fb>
    <v>34</v>
  </rv>
  <rv s="14">
    <fb>166.99</fb>
    <v>34</v>
  </rv>
  <rv s="14">
    <fb>93.96</fb>
    <v>34</v>
  </rv>
  <rv s="14">
    <fb>15.54</fb>
    <v>34</v>
  </rv>
  <rv s="14">
    <fb>53.53</fb>
    <v>34</v>
  </rv>
  <rv s="14">
    <fb>25.95</fb>
    <v>34</v>
  </rv>
  <rv s="14">
    <fb>467.95</fb>
    <v>34</v>
  </rv>
  <rv s="14">
    <fb>259.16000000000003</fb>
    <v>34</v>
  </rv>
  <rv s="14">
    <fb>46.53</fb>
    <v>34</v>
  </rv>
  <rv s="14">
    <fb>112.32</fb>
    <v>34</v>
  </rv>
  <rv s="14">
    <fb>161.47</fb>
    <v>34</v>
  </rv>
  <rv s="14">
    <fb>147.03</fb>
    <v>34</v>
  </rv>
  <rv s="14">
    <fb>62.71</fb>
    <v>34</v>
  </rv>
  <rv s="14">
    <fb>280.95</fb>
    <v>34</v>
  </rv>
  <rv s="14">
    <fb>107.02</fb>
    <v>34</v>
  </rv>
  <rv s="14">
    <fb>858.1</fb>
    <v>34</v>
  </rv>
  <rv s="14">
    <fb>161.13</fb>
    <v>34</v>
  </rv>
  <rv s="14">
    <fb>148.25</fb>
    <v>34</v>
  </rv>
  <rv s="14">
    <fb>299.51</fb>
    <v>34</v>
  </rv>
  <rv s="14">
    <fb>99.12</fb>
    <v>34</v>
  </rv>
  <rv s="14">
    <fb>32.4285</fb>
    <v>34</v>
  </rv>
  <rv s="14">
    <fb>55.16</fb>
    <v>34</v>
  </rv>
  <rv s="14">
    <fb>21.710599999999999</fb>
    <v>34</v>
  </rv>
  <rv s="14">
    <fb>45678</fb>
    <v>33</v>
  </rv>
  <rv s="14">
    <fb>222.64</fb>
    <v>34</v>
  </rv>
  <rv s="14">
    <fb>140.83000000000001</fb>
    <v>34</v>
  </rv>
  <rv s="14">
    <fb>428.5</fb>
    <v>34</v>
  </rv>
  <rv s="14">
    <fb>616.46</fb>
    <v>34</v>
  </rv>
  <rv s="14">
    <fb>198.05</fb>
    <v>34</v>
  </rv>
  <rv s="14">
    <fb>603.04999999999995</fb>
    <v>34</v>
  </rv>
  <rv s="14">
    <fb>87.97</fb>
    <v>34</v>
  </rv>
  <rv s="14">
    <fb>253.13</fb>
    <v>34</v>
  </rv>
  <rv s="14">
    <fb>81.11</fb>
    <v>34</v>
  </rv>
  <rv s="14">
    <fb>46.835000000000001</fb>
    <v>34</v>
  </rv>
  <rv s="14">
    <fb>93.48</fb>
    <v>34</v>
  </rv>
  <rv s="14">
    <fb>15.26</fb>
    <v>34</v>
  </rv>
  <rv s="14">
    <fb>54.34</fb>
    <v>34</v>
  </rv>
  <rv s="14">
    <fb>86.5</fb>
    <v>34</v>
  </rv>
  <rv s="14">
    <fb>468.57</fb>
    <v>34</v>
  </rv>
  <rv s="14">
    <fb>263.02999999999997</fb>
    <v>34</v>
  </rv>
  <rv s="14">
    <fb>46.66</fb>
    <v>34</v>
  </rv>
  <rv s="14">
    <fb>111.47</fb>
    <v>34</v>
  </rv>
  <rv s="14">
    <fb>148.15</fb>
    <v>34</v>
  </rv>
  <rv s="14">
    <fb>62.42</fb>
    <v>34</v>
  </rv>
  <rv s="14">
    <fb>282.61</fb>
    <v>34</v>
  </rv>
  <rv s="14">
    <fb>108.7</fb>
    <v>34</v>
  </rv>
  <rv s="14">
    <fb>869.68</fb>
    <v>34</v>
  </rv>
  <rv s="14">
    <fb>161.72</fb>
    <v>34</v>
  </rv>
  <rv s="14">
    <fb>148.55000000000001</fb>
    <v>34</v>
  </rv>
  <rv s="14">
    <fb>299.62</fb>
    <v>34</v>
  </rv>
  <rv s="14">
    <fb>32.01</fb>
    <v>34</v>
  </rv>
  <rv s="14">
    <fb>22.515000000000001</fb>
    <v>34</v>
  </rv>
  <rv s="14">
    <fb>55.6</fb>
    <v>34</v>
  </rv>
  <rv s="14">
    <fb>28.77</fb>
    <v>34</v>
  </rv>
  <rv s="14">
    <fb>21.94</fb>
    <v>34</v>
  </rv>
  <rv s="14">
    <fb>45679</fb>
    <v>33</v>
  </rv>
  <rv s="14">
    <fb>223.83</fb>
    <v>34</v>
  </rv>
  <rv s="14">
    <fb>147.07</fb>
    <v>34</v>
  </rv>
  <rv s="14">
    <fb>446.2</fb>
    <v>34</v>
  </rv>
  <rv s="14">
    <fb>623.5</fb>
    <v>34</v>
  </rv>
  <rv s="14">
    <fb>198.37</fb>
    <v>34</v>
  </rv>
  <rv s="14">
    <fb>606.44000000000005</fb>
    <v>34</v>
  </rv>
  <rv s="14">
    <fb>87.51</fb>
    <v>34</v>
  </rv>
  <rv s="14">
    <fb>254.43</fb>
    <v>34</v>
  </rv>
  <rv s="14">
    <fb>80.430000000000007</fb>
    <v>34</v>
  </rv>
  <rv s="14">
    <fb>92.52</fb>
    <v>34</v>
  </rv>
  <rv s="14">
    <fb>46.5139</fb>
    <v>34</v>
  </rv>
  <rv s="14">
    <fb>168.9</fb>
    <v>34</v>
  </rv>
  <rv s="14">
    <fb>15.14</fb>
    <v>34</v>
  </rv>
  <rv s="14">
    <fb>27.22</fb>
    <v>34</v>
  </rv>
  <rv s="14">
    <fb>54.62</fb>
    <v>34</v>
  </rv>
  <rv s="14">
    <fb>86.79</fb>
    <v>34</v>
  </rv>
  <rv s="14">
    <fb>25.94</fb>
    <v>34</v>
  </rv>
  <rv s="14">
    <fb>460.51</fb>
    <v>34</v>
  </rv>
  <rv s="14">
    <fb>262.83999999999997</fb>
    <v>34</v>
  </rv>
  <rv s="14">
    <fb>45.79</fb>
    <v>34</v>
  </rv>
  <rv s="14">
    <fb>109.53</fb>
    <v>34</v>
  </rv>
  <rv s="14">
    <fb>156.41</fb>
    <v>34</v>
  </rv>
  <rv s="14">
    <fb>61.78</fb>
    <v>34</v>
  </rv>
  <rv s="14">
    <fb>281.35000000000002</fb>
    <v>34</v>
  </rv>
  <rv s="14">
    <fb>108.81</fb>
    <v>34</v>
  </rv>
  <rv s="14">
    <fb>953.99</fb>
    <v>34</v>
  </rv>
  <rv s="14">
    <fb>148.09</fb>
    <v>34</v>
  </rv>
  <rv s="14">
    <fb>290.99</fb>
    <v>34</v>
  </rv>
  <rv s="14">
    <fb>97.16</fb>
    <v>34</v>
  </rv>
  <rv s="14">
    <fb>22.48</fb>
    <v>34</v>
  </rv>
  <rv s="14">
    <fb>55.36</fb>
    <v>34</v>
  </rv>
  <rv s="14">
    <fb>21.475300000000001</fb>
    <v>34</v>
  </rv>
  <rv s="14">
    <fb>45680</fb>
    <v>33</v>
  </rv>
  <rv s="14">
    <fb>223.66</fb>
    <v>34</v>
  </rv>
  <rv s="14">
    <fb>147.22</fb>
    <v>34</v>
  </rv>
  <rv s="14">
    <fb>446.71</fb>
    <v>34</v>
  </rv>
  <rv s="14">
    <fb>636.45000000000005</fb>
    <v>34</v>
  </rv>
  <rv s="14">
    <fb>197.98</fb>
    <v>34</v>
  </rv>
  <rv s="14">
    <fb>609.75</fb>
    <v>34</v>
  </rv>
  <rv s="14">
    <fb>86.83</fb>
    <v>34</v>
  </rv>
  <rv s="14">
    <fb>254.07</fb>
    <v>34</v>
  </rv>
  <rv s="14">
    <fb>79.209999999999994</fb>
    <v>34</v>
  </rv>
  <rv s="14">
    <fb>46.434699999999999</fb>
    <v>34</v>
  </rv>
  <rv s="14">
    <fb>169.75</fb>
    <v>34</v>
  </rv>
  <rv s="14">
    <fb>14.91</fb>
    <v>34</v>
  </rv>
  <rv s="14">
    <fb>4.5</fb>
    <v>35</v>
  </rv>
  <rv s="14">
    <fb>27.77</fb>
    <v>34</v>
  </rv>
  <rv s="14">
    <fb>27.26</fb>
    <v>34</v>
  </rv>
  <rv s="14">
    <fb>54.55</fb>
    <v>34</v>
  </rv>
  <rv s="14">
    <fb>26.02</fb>
    <v>34</v>
  </rv>
  <rv s="14">
    <fb>459.83</fb>
    <v>34</v>
  </rv>
  <rv s="14">
    <fb>265.95</fb>
    <v>34</v>
  </rv>
  <rv s="14">
    <fb>46.39</fb>
    <v>34</v>
  </rv>
  <rv s="14">
    <fb>110.15</fb>
    <v>34</v>
  </rv>
  <rv s="14">
    <fb>156.01</fb>
    <v>34</v>
  </rv>
  <rv s="14">
    <fb>61.53</fb>
    <v>34</v>
  </rv>
  <rv s="14">
    <fb>284.43</fb>
    <v>34</v>
  </rv>
  <rv s="14">
    <fb>111.04</fb>
    <v>34</v>
  </rv>
  <rv s="14">
    <fb>984.86</fb>
    <v>34</v>
  </rv>
  <rv s="14">
    <fb>166.15</fb>
    <v>34</v>
  </rv>
  <rv s="14">
    <fb>148.62</fb>
    <v>34</v>
  </rv>
  <rv s="14">
    <fb>97.79</fb>
    <v>34</v>
  </rv>
  <rv s="14">
    <fb>31.86</fb>
    <v>34</v>
  </rv>
  <rv s="14">
    <fb>57.94</fb>
    <v>34</v>
  </rv>
  <rv s="14">
    <fb>54.99</fb>
    <v>34</v>
  </rv>
  <rv s="14">
    <fb>21.597899999999999</fb>
    <v>34</v>
  </rv>
  <rv s="14">
    <fb>45681</fb>
    <v>33</v>
  </rv>
  <rv s="14">
    <fb>222.78</fb>
    <v>34</v>
  </rv>
  <rv s="14">
    <fb>142.62</fb>
    <v>34</v>
  </rv>
  <rv s="14">
    <fb>444.06</fb>
    <v>34</v>
  </rv>
  <rv s="14">
    <fb>647.49</fb>
    <v>34</v>
  </rv>
  <rv s="14">
    <fb>200.21</fb>
    <v>34</v>
  </rv>
  <rv s="14">
    <fb>607.97</fb>
    <v>34</v>
  </rv>
  <rv s="14">
    <fb>87.22</fb>
    <v>34</v>
  </rv>
  <rv s="14">
    <fb>255.65</fb>
    <v>34</v>
  </rv>
  <rv s="14">
    <fb>79.599999999999994</fb>
    <v>34</v>
  </rv>
  <rv s="14">
    <fb>92.47</fb>
    <v>34</v>
  </rv>
  <rv s="14">
    <fb>46.515900000000002</fb>
    <v>34</v>
  </rv>
  <rv s="14">
    <fb>172.06</fb>
    <v>34</v>
  </rv>
  <rv s="14">
    <fb>91.31</fb>
    <v>34</v>
  </rv>
  <rv s="14">
    <fb>14.98</fb>
    <v>34</v>
  </rv>
  <rv s="14">
    <fb>4.5999999999999996</fb>
    <v>35</v>
  </rv>
  <rv s="14">
    <fb>54.91</fb>
    <v>34</v>
  </rv>
  <rv s="14">
    <fb>86.88</fb>
    <v>34</v>
  </rv>
  <rv s="14">
    <fb>463.19</fb>
    <v>34</v>
  </rv>
  <rv s="14">
    <fb>264.83999999999997</fb>
    <v>34</v>
  </rv>
  <rv s="14">
    <fb>46.52</fb>
    <v>34</v>
  </rv>
  <rv s="14">
    <fb>108.66</fb>
    <v>34</v>
  </rv>
  <rv s="14">
    <fb>155.65</fb>
    <v>34</v>
  </rv>
  <rv s="14">
    <fb>146.82</fb>
    <v>34</v>
  </rv>
  <rv s="14">
    <fb>61.92</fb>
    <v>34</v>
  </rv>
  <rv s="14">
    <fb>285.45999999999998</fb>
    <v>34</v>
  </rv>
  <rv s="14">
    <fb>112.16</fb>
    <v>34</v>
  </rv>
  <rv s="14">
    <fb>977.59</fb>
    <v>34</v>
  </rv>
  <rv s="14">
    <fb>164.12</fb>
    <v>34</v>
  </rv>
  <rv s="14">
    <fb>149.12</fb>
    <v>34</v>
  </rv>
  <rv s="14">
    <fb>290.18</fb>
    <v>34</v>
  </rv>
  <rv s="14">
    <fb>96.46</fb>
    <v>34</v>
  </rv>
  <rv s="14">
    <fb>31.41</fb>
    <v>34</v>
  </rv>
  <rv s="14">
    <fb>58.06</fb>
    <v>34</v>
  </rv>
  <rv s="14">
    <fb>55.2</fb>
    <v>34</v>
  </rv>
  <rv s="14">
    <fb>21.584099999999999</fb>
    <v>34</v>
  </rv>
  <rv s="14">
    <fb>45684</fb>
    <v>33</v>
  </rv>
  <rv s="14">
    <fb>229.86</fb>
    <v>34</v>
  </rv>
  <rv s="14">
    <fb>118.42</fb>
    <v>34</v>
  </rv>
  <rv s="14">
    <fb>434.56</fb>
    <v>34</v>
  </rv>
  <rv s="14">
    <fb>659.88</fb>
    <v>34</v>
  </rv>
  <rv s="14">
    <fb>191.81</fb>
    <v>34</v>
  </rv>
  <rv s="14">
    <fb>599.37</fb>
    <v>34</v>
  </rv>
  <rv s="14">
    <fb>88.25</fb>
    <v>34</v>
  </rv>
  <rv s="14">
    <fb>252.99</fb>
    <v>34</v>
  </rv>
  <rv s="14">
    <fb>77.930000000000007</fb>
    <v>34</v>
  </rv>
  <rv s="14">
    <fb>93.07</fb>
    <v>34</v>
  </rv>
  <rv s="14">
    <fb>46.73</fb>
    <v>34</v>
  </rv>
  <rv s="14">
    <fb>167.26</fb>
    <v>34</v>
  </rv>
  <rv s="14">
    <fb>90.36</fb>
    <v>34</v>
  </rv>
  <rv s="14">
    <fb>14.67</fb>
    <v>34</v>
  </rv>
  <rv s="14">
    <fb>27.32</fb>
    <v>34</v>
  </rv>
  <rv s="14">
    <fb>54.32</fb>
    <v>34</v>
  </rv>
  <rv s="14">
    <fb>86.75</fb>
    <v>34</v>
  </rv>
  <rv s="14">
    <fb>474.7</fb>
    <v>34</v>
  </rv>
  <rv s="14">
    <fb>265.85000000000002</fb>
    <v>34</v>
  </rv>
  <rv s="14">
    <fb>47.09</fb>
    <v>34</v>
  </rv>
  <rv s="14">
    <fb>110.17</fb>
    <v>34</v>
  </rv>
  <rv s="14">
    <fb>157.22999999999999</fb>
    <v>34</v>
  </rv>
  <rv s="14">
    <fb>63.87</fb>
    <v>34</v>
  </rv>
  <rv s="14">
    <fb>293.08999999999997</fb>
    <v>34</v>
  </rv>
  <rv s="14">
    <fb>971.89</fb>
    <v>34</v>
  </rv>
  <rv s="14">
    <fb>169.66</fb>
    <v>34</v>
  </rv>
  <rv s="14">
    <fb>154.61000000000001</fb>
    <v>34</v>
  </rv>
  <rv s="14">
    <fb>284.95999999999998</fb>
    <v>34</v>
  </rv>
  <rv s="14">
    <fb>30.98</fb>
    <v>34</v>
  </rv>
  <rv s="14">
    <fb>22.59</fb>
    <v>34</v>
  </rv>
  <rv s="14">
    <fb>58.39</fb>
    <v>34</v>
  </rv>
  <rv s="14">
    <fb>55.87</fb>
    <v>34</v>
  </rv>
  <rv s="14">
    <fb>21.702200000000001</fb>
    <v>34</v>
  </rv>
  <rv s="14">
    <fb>45685</fb>
    <v>33</v>
  </rv>
  <rv s="14">
    <fb>238.26</fb>
    <v>34</v>
  </rv>
  <rv s="14">
    <fb>128.99</fb>
    <v>34</v>
  </rv>
  <rv s="14">
    <fb>447.2</fb>
    <v>34</v>
  </rv>
  <rv s="14">
    <fb>674.33</fb>
    <v>34</v>
  </rv>
  <rv s="14">
    <fb>195.3</fb>
    <v>34</v>
  </rv>
  <rv s="14">
    <fb>604.52</fb>
    <v>34</v>
  </rv>
  <rv s="14">
    <fb>88.19</fb>
    <v>34</v>
  </rv>
  <rv s="14">
    <fb>255.18</fb>
    <v>34</v>
  </rv>
  <rv s="14">
    <fb>78.86</fb>
    <v>34</v>
  </rv>
  <rv s="14">
    <fb>46.741799999999998</fb>
    <v>34</v>
  </rv>
  <rv s="14">
    <fb>169.31</fb>
    <v>34</v>
  </rv>
  <rv s="14">
    <fb>89.5</fb>
    <v>34</v>
  </rv>
  <rv s="14">
    <fb>14.85</fb>
    <v>34</v>
  </rv>
  <rv s="14">
    <fb>54.77</fb>
    <v>34</v>
  </rv>
  <rv s="14">
    <fb>86.19</fb>
    <v>34</v>
  </rv>
  <rv s="14">
    <fb>26.13</fb>
    <v>34</v>
  </rv>
  <rv s="14">
    <fb>26.38</fb>
    <v>34</v>
  </rv>
  <rv s="14">
    <fb>469.97</fb>
    <v>34</v>
  </rv>
  <rv s="14">
    <fb>267.14</fb>
    <v>34</v>
  </rv>
  <rv s="14">
    <fb>46.84</fb>
    <v>34</v>
  </rv>
  <rv s="14">
    <fb>108.04</fb>
    <v>34</v>
  </rv>
  <rv s="14">
    <fb>150.38</fb>
    <v>34</v>
  </rv>
  <rv s="14">
    <fb>62.36</fb>
    <v>34</v>
  </rv>
  <rv s="14">
    <fb>291.14999999999998</fb>
    <v>34</v>
  </rv>
  <rv s="14">
    <fb>112.14</fb>
    <v>34</v>
  </rv>
  <rv s="14">
    <fb>971.83</fb>
    <v>34</v>
  </rv>
  <rv s="14">
    <fb>166.19</fb>
    <v>34</v>
  </rv>
  <rv s="14">
    <fb>150.25</fb>
    <v>34</v>
  </rv>
  <rv s="14">
    <fb>279.98</fb>
    <v>34</v>
  </rv>
  <rv s="14">
    <fb>94.37</fb>
    <v>34</v>
  </rv>
  <rv s="14">
    <fb>30.784400000000002</fb>
    <v>34</v>
  </rv>
  <rv s="14">
    <fb>22.585000000000001</fb>
    <v>34</v>
  </rv>
  <rv s="14">
    <fb>58.32</fb>
    <v>34</v>
  </rv>
  <rv s="14">
    <fb>55.78</fb>
    <v>34</v>
  </rv>
  <rv s="14">
    <fb>28.84</fb>
    <v>34</v>
  </rv>
  <rv s="14">
    <fb>21.515599999999999</fb>
    <v>34</v>
  </rv>
  <rv s="14">
    <fb>45686</fb>
    <v>33</v>
  </rv>
  <rv s="14">
    <fb>239.36</fb>
    <v>34</v>
  </rv>
  <rv s="14">
    <fb>123.7</fb>
    <v>34</v>
  </rv>
  <rv s="14">
    <fb>442.33</fb>
    <v>34</v>
  </rv>
  <rv s="14">
    <fb>676.49</fb>
    <v>34</v>
  </rv>
  <rv s="14">
    <fb>195.41</fb>
    <v>34</v>
  </rv>
  <rv s="14">
    <fb>601.80999999999995</fb>
    <v>34</v>
  </rv>
  <rv s="14">
    <fb>88.01</fb>
    <v>34</v>
  </rv>
  <rv s="14">
    <fb>254.2</fb>
    <v>34</v>
  </rv>
  <rv s="14">
    <fb>77.78</fb>
    <v>34</v>
  </rv>
  <rv s="14">
    <fb>92.97</fb>
    <v>34</v>
  </rv>
  <rv s="14">
    <fb>46.729700000000001</fb>
    <v>34</v>
  </rv>
  <rv s="14">
    <fb>171.1</fb>
    <v>34</v>
  </rv>
  <rv s="14">
    <fb>89.7</fb>
    <v>34</v>
  </rv>
  <rv s="14">
    <fb>14.66</fb>
    <v>34</v>
  </rv>
  <rv s="14">
    <fb>4.9800000000000004</fb>
    <v>34</v>
  </rv>
  <rv s="14">
    <fb>54.58</fb>
    <v>34</v>
  </rv>
  <rv s="14">
    <fb>469.26</fb>
    <v>34</v>
  </rv>
  <rv s="14">
    <fb>266.58</fb>
    <v>34</v>
  </rv>
  <rv s="14">
    <fb>108.67</fb>
    <v>34</v>
  </rv>
  <rv s="14">
    <fb>155.69</fb>
    <v>34</v>
  </rv>
  <rv s="14">
    <fb>151.15</fb>
    <v>34</v>
  </rv>
  <rv s="14">
    <fb>62.83</fb>
    <v>34</v>
  </rv>
  <rv s="14">
    <fb>290.11</fb>
    <v>34</v>
  </rv>
  <rv s="14">
    <fb>113.19</fb>
    <v>34</v>
  </rv>
  <rv s="14">
    <fb>978.15</fb>
    <v>34</v>
  </rv>
  <rv s="14">
    <fb>166.23</fb>
    <v>34</v>
  </rv>
  <rv s="14">
    <fb>150.37</fb>
    <v>34</v>
  </rv>
  <rv s="14">
    <fb>278.27</fb>
    <v>34</v>
  </rv>
  <rv s="14">
    <fb>30.8643</fb>
    <v>34</v>
  </rv>
  <rv s="14">
    <fb>22.56</fb>
    <v>34</v>
  </rv>
  <rv s="14">
    <fb>55.7</fb>
    <v>34</v>
  </rv>
  <rv s="14">
    <fb>28.81</fb>
    <v>34</v>
  </rv>
  <rv s="14">
    <fb>21.222100000000001</fb>
    <v>34</v>
  </rv>
  <rv s="14">
    <fb>45687</fb>
    <v>33</v>
  </rv>
  <rv s="14">
    <fb>237.59</fb>
    <v>34</v>
  </rv>
  <rv s="14">
    <fb>124.65</fb>
    <v>34</v>
  </rv>
  <rv s="14">
    <fb>414.99</fb>
    <v>34</v>
  </rv>
  <rv s="14">
    <fb>687</fb>
    <v>34</v>
  </rv>
  <rv s="14">
    <fb>200.87</fb>
    <v>34</v>
  </rv>
  <rv s="14">
    <fb>605.04</fb>
    <v>34</v>
  </rv>
  <rv s="14">
    <fb>88.34</fb>
    <v>34</v>
  </rv>
  <rv s="14">
    <fb>258.05</fb>
    <v>34</v>
  </rv>
  <rv s="14">
    <fb>77.75</fb>
    <v>34</v>
  </rv>
  <rv s="14">
    <fb>93.17</fb>
    <v>34</v>
  </rv>
  <rv s="14">
    <fb>46.798200000000001</fb>
    <v>34</v>
  </rv>
  <rv s="14">
    <fb>171.76</fb>
    <v>34</v>
  </rv>
  <rv s="14">
    <fb>90.16</fb>
    <v>34</v>
  </rv>
  <rv s="14">
    <fb>14.64</fb>
    <v>34</v>
  </rv>
  <rv s="14">
    <fb>27.72</fb>
    <v>34</v>
  </rv>
  <rv s="14">
    <fb>55.39</fb>
    <v>34</v>
  </rv>
  <rv s="14">
    <fb>88.76</fb>
    <v>34</v>
  </rv>
  <rv s="14">
    <fb>51.09</fb>
    <v>34</v>
  </rv>
  <rv s="14">
    <fb>472.35</fb>
    <v>34</v>
  </rv>
  <rv s="14">
    <fb>268.23</fb>
    <v>34</v>
  </rv>
  <rv s="14">
    <fb>109.57</fb>
    <v>34</v>
  </rv>
  <rv s="14">
    <fb>156.32</fb>
    <v>34</v>
  </rv>
  <rv s="14">
    <fb>152.87</fb>
    <v>34</v>
  </rv>
  <rv s="14">
    <fb>64.05</fb>
    <v>34</v>
  </rv>
  <rv s="14">
    <fb>290.32</fb>
    <v>34</v>
  </rv>
  <rv s="14">
    <fb>113.43</fb>
    <v>34</v>
  </rv>
  <rv s="14">
    <fb>973.24</fb>
    <v>34</v>
  </rv>
  <rv s="14">
    <fb>167.41</fb>
    <v>34</v>
  </rv>
  <rv s="14">
    <fb>151.9</fb>
    <v>34</v>
  </rv>
  <rv s="14">
    <fb>279.36</fb>
    <v>34</v>
  </rv>
  <rv s="14">
    <fb>30.700099999999999</fb>
    <v>34</v>
  </rv>
  <rv s="14">
    <fb>58.4</fb>
    <v>34</v>
  </rv>
  <rv s="14">
    <fb>55.92</fb>
    <v>34</v>
  </rv>
  <rv s="14">
    <fb>28.86</fb>
    <v>34</v>
  </rv>
  <rv s="14">
    <fb>21.499099999999999</fb>
    <v>34</v>
  </rv>
  <rv s="14">
    <fb>45688</fb>
    <v>33</v>
  </rv>
  <rv s="14">
    <fb>236</fb>
    <v>34</v>
  </rv>
  <rv s="14">
    <fb>120.07</fb>
    <v>34</v>
  </rv>
  <rv s="14">
    <fb>415.06</fb>
    <v>34</v>
  </rv>
  <rv s="14">
    <fb>689.18</fb>
    <v>34</v>
  </rv>
  <rv s="14">
    <fb>204.02</fb>
    <v>34</v>
  </rv>
  <rv s="14">
    <fb>601.82000000000005</fb>
    <v>34</v>
  </rv>
  <rv s="14">
    <fb>87.76</fb>
    <v>34</v>
  </rv>
  <rv s="14">
    <fb>258.56</fb>
    <v>34</v>
  </rv>
  <rv s="14">
    <fb>78.02</fb>
    <v>34</v>
  </rv>
  <rv s="14">
    <fb>93.02</fb>
    <v>34</v>
  </rv>
  <rv s="14">
    <fb>46.669699999999999</fb>
    <v>34</v>
  </rv>
  <rv s="14">
    <fb>170.98</fb>
    <v>34</v>
  </rv>
  <rv s="14">
    <fb>87.64</fb>
    <v>34</v>
  </rv>
  <rv s="14">
    <fb>14.72</fb>
    <v>34</v>
  </rv>
  <rv s="14">
    <fb>28.51</fb>
    <v>34</v>
  </rv>
  <rv s="14">
    <fb>55.48</fb>
    <v>34</v>
  </rv>
  <rv s="14">
    <fb>89.79</fb>
    <v>34</v>
  </rv>
  <rv s="14">
    <fb>29.1</fb>
    <v>34</v>
  </rv>
  <rv s="14">
    <fb>468.67</fb>
    <v>34</v>
  </rv>
  <rv s="14">
    <fb>267.3</fb>
    <v>34</v>
  </rv>
  <rv s="14">
    <fb>46.3</fb>
    <v>34</v>
  </rv>
  <rv s="14">
    <fb>106.83</fb>
    <v>34</v>
  </rv>
  <rv s="14">
    <fb>149.19</fb>
    <v>34</v>
  </rv>
  <rv s="14">
    <fb>152.15</fb>
    <v>34</v>
  </rv>
  <rv s="14">
    <fb>63.48</fb>
    <v>34</v>
  </rv>
  <rv s="14">
    <fb>288.7</fb>
    <v>34</v>
  </rv>
  <rv s="14">
    <fb>113.06</fb>
    <v>34</v>
  </rv>
  <rv s="14">
    <fb>976.76</fb>
    <v>34</v>
  </rv>
  <rv s="14">
    <fb>165.99</fb>
    <v>34</v>
  </rv>
  <rv s="14">
    <fb>150.69</fb>
    <v>34</v>
  </rv>
  <rv s="14">
    <fb>276.95999999999998</fb>
    <v>34</v>
  </rv>
  <rv s="14">
    <fb>29.91</fb>
    <v>34</v>
  </rv>
  <rv s="14">
    <fb>22.58</fb>
    <v>34</v>
  </rv>
  <rv s="14">
    <fb>58.41</fb>
    <v>34</v>
  </rv>
  <rv s="14">
    <fb>55.67</fb>
    <v>34</v>
  </rv>
  <rv s="14">
    <fb>21.472300000000001</fb>
    <v>34</v>
  </rv>
  <rv s="14">
    <fb>45691</fb>
    <v>33</v>
  </rv>
  <rv s="14">
    <fb>228.01</fb>
    <v>34</v>
  </rv>
  <rv s="14">
    <fb>116.66</fb>
    <v>34</v>
  </rv>
  <rv s="14">
    <fb>410.92</fb>
    <v>34</v>
  </rv>
  <rv s="14">
    <fb>697.46</fb>
    <v>34</v>
  </rv>
  <rv s="14">
    <fb>201.23</fb>
    <v>34</v>
  </rv>
  <rv s="14">
    <fb>597.77</fb>
    <v>34</v>
  </rv>
  <rv s="14">
    <fb>88.16</fb>
    <v>34</v>
  </rv>
  <rv s="14">
    <fb>259.94</fb>
    <v>34</v>
  </rv>
  <rv s="14">
    <fb>77.819999999999993</fb>
    <v>34</v>
  </rv>
  <rv s="14">
    <fb>92.79</fb>
    <v>34</v>
  </rv>
  <rv s="14">
    <fb>167.12</fb>
    <v>34</v>
  </rv>
  <rv s="14">
    <fb>5</fb>
    <v>34</v>
  </rv>
  <rv s="14">
    <fb>55.81</fb>
    <v>34</v>
  </rv>
  <rv s="14">
    <fb>464.61</fb>
    <v>34</v>
  </rv>
  <rv s="14">
    <fb>266.81</fb>
    <v>34</v>
  </rv>
  <rv s="14">
    <fb>107.09</fb>
    <v>34</v>
  </rv>
  <rv s="14">
    <fb>149.34</fb>
    <v>34</v>
  </rv>
  <rv s="14">
    <fb>63.35</fb>
    <v>34</v>
  </rv>
  <rv s="14">
    <fb>290.05</fb>
    <v>34</v>
  </rv>
  <rv s="14">
    <fb>114</fb>
    <v>34</v>
  </rv>
  <rv s="14">
    <fb>978.94</fb>
    <v>34</v>
  </rv>
  <rv s="14">
    <fb>168.76</fb>
    <v>34</v>
  </rv>
  <rv s="14">
    <fb>150.27000000000001</fb>
    <v>34</v>
  </rv>
  <rv s="14">
    <fb>275.94</fb>
    <v>34</v>
  </rv>
  <rv s="14">
    <fb>22.53</fb>
    <v>34</v>
  </rv>
  <rv s="14">
    <fb>55.77</fb>
    <v>34</v>
  </rv>
  <rv s="14">
    <fb>28.7</fb>
    <v>34</v>
  </rv>
  <rv s="14">
    <fb>21.387899999999998</fb>
    <v>34</v>
  </rv>
  <rv s="14">
    <fb>45692</fb>
    <v>33</v>
  </rv>
  <rv s="14">
    <fb>232.8</fb>
    <v>34</v>
  </rv>
  <rv s="14">
    <fb>118.65</fb>
    <v>34</v>
  </rv>
  <rv s="14">
    <fb>412.37</fb>
    <v>34</v>
  </rv>
  <rv s="14">
    <fb>704.19</fb>
    <v>34</v>
  </rv>
  <rv s="14">
    <fb>206.38</fb>
    <v>34</v>
  </rv>
  <rv s="14">
    <fb>601.78</fb>
    <v>34</v>
  </rv>
  <rv s="14">
    <fb>88.43</fb>
    <v>34</v>
  </rv>
  <rv s="14">
    <fb>262.5</fb>
    <v>34</v>
  </rv>
  <rv s="14">
    <fb>77.510000000000005</fb>
    <v>34</v>
  </rv>
  <rv s="14">
    <fb>46.83</fb>
    <v>34</v>
  </rv>
  <rv s="14">
    <fb>162.59</fb>
    <v>34</v>
  </rv>
  <rv s="14">
    <fb>90.04</fb>
    <v>34</v>
  </rv>
  <rv s="14">
    <fb>27.73</fb>
    <v>34</v>
  </rv>
  <rv s="14">
    <fb>5.09</fb>
    <v>34</v>
  </rv>
  <rv s="14">
    <fb>56.36</fb>
    <v>34</v>
  </rv>
  <rv s="14">
    <fb>88.5</fb>
    <v>34</v>
  </rv>
  <rv s="14">
    <fb>26.24</fb>
    <v>34</v>
  </rv>
  <rv s="14">
    <fb>467.49</fb>
    <v>34</v>
  </rv>
  <rv s="14">
    <fb>267.94</fb>
    <v>34</v>
  </rv>
  <rv s="14">
    <fb>46.71</fb>
    <v>34</v>
  </rv>
  <rv s="14">
    <fb>109.96</fb>
    <v>34</v>
  </rv>
  <rv s="14">
    <fb>153.22</fb>
    <v>34</v>
  </rv>
  <rv s="14">
    <fb>153.49</fb>
    <v>34</v>
  </rv>
  <rv s="14">
    <fb>62.67</fb>
    <v>34</v>
  </rv>
  <rv s="14">
    <fb>289.77</fb>
    <v>34</v>
  </rv>
  <rv s="14">
    <fb>113.3</fb>
    <v>34</v>
  </rv>
  <rv s="14">
    <fb>994.87</fb>
    <v>34</v>
  </rv>
  <rv s="14">
    <fb>168.13</fb>
    <v>34</v>
  </rv>
  <rv s="14">
    <fb>143.49</fb>
    <v>34</v>
  </rv>
  <rv s="14">
    <fb>283.08</fb>
    <v>34</v>
  </rv>
  <rv s="14">
    <fb>94.93</fb>
    <v>34</v>
  </rv>
  <rv s="14">
    <fb>22.565000000000001</fb>
    <v>34</v>
  </rv>
  <rv s="14">
    <fb>55.94</fb>
    <v>34</v>
  </rv>
  <rv s="14">
    <fb>28.75</fb>
    <v>34</v>
  </rv>
  <rv s="14">
    <fb>21.623100000000001</fb>
    <v>34</v>
  </rv>
  <rv s="14">
    <fb>45693</fb>
    <v>33</v>
  </rv>
  <rv s="14">
    <fb>232.47</fb>
    <v>34</v>
  </rv>
  <rv s="14">
    <fb>124.83</fb>
    <v>34</v>
  </rv>
  <rv s="14">
    <fb>413.29</fb>
    <v>34</v>
  </rv>
  <rv s="14">
    <fb>704.87</fb>
    <v>34</v>
  </rv>
  <rv s="14">
    <fb>191.33</fb>
    <v>34</v>
  </rv>
  <rv s="14">
    <fb>604.22</fb>
    <v>34</v>
  </rv>
  <rv s="14">
    <fb>89.89</fb>
    <v>34</v>
  </rv>
  <rv s="14">
    <fb>264.13</fb>
    <v>34</v>
  </rv>
  <rv s="14">
    <fb>76.09</fb>
    <v>34</v>
  </rv>
  <rv s="14">
    <fb>47.094999999999999</fb>
    <v>34</v>
  </rv>
  <rv s="14">
    <fb>165.75</fb>
    <v>34</v>
  </rv>
  <rv s="14">
    <fb>29.35</fb>
    <v>34</v>
  </rv>
  <rv s="14">
    <fb>5.05</fb>
    <v>34</v>
  </rv>
  <rv s="14">
    <fb>56.73</fb>
    <v>34</v>
  </rv>
  <rv s="14">
    <fb>89.84</fb>
    <v>34</v>
  </rv>
  <rv s="14">
    <fb>26.86</fb>
    <v>34</v>
  </rv>
  <rv s="14">
    <fb>473.73</fb>
    <v>34</v>
  </rv>
  <rv s="14">
    <fb>270.43</fb>
    <v>34</v>
  </rv>
  <rv s="14">
    <fb>47.11</fb>
    <v>34</v>
  </rv>
  <rv s="14">
    <fb>109.88</fb>
    <v>34</v>
  </rv>
  <rv s="14">
    <fb>152.99</fb>
    <v>34</v>
  </rv>
  <rv s="14">
    <fb>154.69</fb>
    <v>34</v>
  </rv>
  <rv s="14">
    <fb>288.83</fb>
    <v>34</v>
  </rv>
  <rv s="14">
    <fb>110.54</fb>
    <v>34</v>
  </rv>
  <rv s="14">
    <fb>1011.11</fb>
    <v>34</v>
  </rv>
  <rv s="14">
    <fb>169.01</fb>
    <v>34</v>
  </rv>
  <rv s="14">
    <fb>145.66</fb>
    <v>34</v>
  </rv>
  <rv s="14">
    <fb>285.29000000000002</fb>
    <v>34</v>
  </rv>
  <rv s="14">
    <fb>94.83</fb>
    <v>34</v>
  </rv>
  <rv s="14">
    <fb>30.48</fb>
    <v>34</v>
  </rv>
  <rv s="14">
    <fb>56.76</fb>
    <v>34</v>
  </rv>
  <rv s="14">
    <fb>21.67</fb>
    <v>34</v>
  </rv>
  <rv s="14">
    <fb>45694</fb>
    <v>33</v>
  </rv>
  <rv s="14">
    <fb>233.22</fb>
    <v>34</v>
  </rv>
  <rv s="14">
    <fb>128.68</fb>
    <v>34</v>
  </rv>
  <rv s="14">
    <fb>415.82</fb>
    <v>34</v>
  </rv>
  <rv s="14">
    <fb>711.99</fb>
    <v>34</v>
  </rv>
  <rv s="14">
    <fb>191.6</fb>
    <v>34</v>
  </rv>
  <rv s="14">
    <fb>606.32000000000005</fb>
    <v>34</v>
  </rv>
  <rv s="14">
    <fb>89.85</fb>
    <v>34</v>
  </rv>
  <rv s="14">
    <fb>263.43</fb>
    <v>34</v>
  </rv>
  <rv s="14">
    <fb>75.45</fb>
    <v>34</v>
  </rv>
  <rv s="14">
    <fb>93.45</fb>
    <v>34</v>
  </rv>
  <rv s="14">
    <fb>47.055</fb>
    <v>34</v>
  </rv>
  <rv s="14">
    <fb>164.88</fb>
    <v>34</v>
  </rv>
  <rv s="14">
    <fb>88.57</fb>
    <v>34</v>
  </rv>
  <rv s="14">
    <fb>14.22</fb>
    <v>34</v>
  </rv>
  <rv s="14">
    <fb>27.68</fb>
    <v>34</v>
  </rv>
  <rv s="14">
    <fb>5.17</fb>
    <v>34</v>
  </rv>
  <rv s="14">
    <fb>56.57</fb>
    <v>34</v>
  </rv>
  <rv s="14">
    <fb>90.73</fb>
    <v>34</v>
  </rv>
  <rv s="14">
    <fb>477.22</fb>
    <v>34</v>
  </rv>
  <rv s="14">
    <fb>276.89999999999998</fb>
    <v>34</v>
  </rv>
  <rv s="14">
    <fb>47.74</fb>
    <v>34</v>
  </rv>
  <rv s="14">
    <fb>108.43</fb>
    <v>34</v>
  </rv>
  <rv s="14">
    <fb>153.51</fb>
    <v>34</v>
  </rv>
  <rv s="14">
    <fb>294.36</fb>
    <v>34</v>
  </rv>
  <rv s="14">
    <fb>112.09</fb>
    <v>34</v>
  </rv>
  <rv s="14">
    <fb>1015.68</fb>
    <v>34</v>
  </rv>
  <rv s="14">
    <fb>168.88</fb>
    <v>34</v>
  </rv>
  <rv s="14">
    <fb>145.35</fb>
    <v>34</v>
  </rv>
  <rv s="14">
    <fb>93.03</fb>
    <v>34</v>
  </rv>
  <rv s="14">
    <fb>29.77</fb>
    <v>34</v>
  </rv>
  <rv s="14">
    <fb>22.66</fb>
    <v>34</v>
  </rv>
  <rv s="14">
    <fb>56.77</fb>
    <v>34</v>
  </rv>
  <rv s="14">
    <fb>21.774100000000001</fb>
    <v>34</v>
  </rv>
  <rv s="14">
    <fb>45695</fb>
    <v>33</v>
  </rv>
  <rv s="14">
    <fb>227.63</fb>
    <v>34</v>
  </rv>
  <rv s="14">
    <fb>129.84</fb>
    <v>34</v>
  </rv>
  <rv s="14">
    <fb>409.75</fb>
    <v>34</v>
  </rv>
  <rv s="14">
    <fb>714.52</fb>
    <v>34</v>
  </rv>
  <rv s="14">
    <fb>185.34</fb>
    <v>34</v>
  </rv>
  <rv s="14">
    <fb>600.77</fb>
    <v>34</v>
  </rv>
  <rv s="14">
    <fb>89.27</fb>
    <v>34</v>
  </rv>
  <rv s="14">
    <fb>263.89999999999998</fb>
    <v>34</v>
  </rv>
  <rv s="14">
    <fb>75.86</fb>
    <v>34</v>
  </rv>
  <rv s="14">
    <fb>93.14</fb>
    <v>34</v>
  </rv>
  <rv s="14">
    <fb>46.908999999999999</fb>
    <v>34</v>
  </rv>
  <rv s="14">
    <fb>88.56</fb>
    <v>34</v>
  </rv>
  <rv s="14">
    <fb>56.69</fb>
    <v>34</v>
  </rv>
  <rv s="14">
    <fb>88.97</fb>
    <v>34</v>
  </rv>
  <rv s="14">
    <fb>26.7</fb>
    <v>34</v>
  </rv>
  <rv s="14">
    <fb>472.74</fb>
    <v>34</v>
  </rv>
  <rv s="14">
    <fb>275.8</fb>
    <v>34</v>
  </rv>
  <rv s="14">
    <fb>108.89</fb>
    <v>34</v>
  </rv>
  <rv s="14">
    <fb>152.62</fb>
    <v>34</v>
  </rv>
  <rv s="14">
    <fb>153.12</fb>
    <v>34</v>
  </rv>
  <rv s="14">
    <fb>294.3</fb>
    <v>34</v>
  </rv>
  <rv s="14">
    <fb>110.86</fb>
    <v>34</v>
  </rv>
  <rv s="14">
    <fb>1013.93</fb>
    <v>34</v>
  </rv>
  <rv s="14">
    <fb>167.97</fb>
    <v>34</v>
  </rv>
  <rv s="14">
    <fb>144.58000000000001</fb>
    <v>34</v>
  </rv>
  <rv s="14">
    <fb>275.44</fb>
    <v>34</v>
  </rv>
  <rv s="14">
    <fb>92.39</fb>
    <v>34</v>
  </rv>
  <rv s="14">
    <fb>29.7</fb>
    <v>34</v>
  </rv>
  <rv s="14">
    <fb>56.44</fb>
    <v>34</v>
  </rv>
  <rv s="14">
    <fb>28.78</fb>
    <v>34</v>
  </rv>
  <rv s="14">
    <fb>45698</fb>
    <v>33</v>
  </rv>
  <rv s="14">
    <fb>227.65</fb>
    <v>34</v>
  </rv>
  <rv s="14">
    <fb>412.22</fb>
    <v>34</v>
  </rv>
  <rv s="14">
    <fb>717.4</fb>
    <v>34</v>
  </rv>
  <rv s="14">
    <fb>186.47</fb>
    <v>34</v>
  </rv>
  <rv s="14">
    <fb>604.85</fb>
    <v>34</v>
  </rv>
  <rv s="14">
    <fb>89</fb>
    <v>34</v>
  </rv>
  <rv s="14">
    <fb>268.37</fb>
    <v>34</v>
  </rv>
  <rv s="14">
    <fb>77.400000000000006</fb>
    <v>34</v>
  </rv>
  <rv s="14">
    <fb>93.12</fb>
    <v>34</v>
  </rv>
  <rv s="14">
    <fb>46.884999999999998</fb>
    <v>34</v>
  </rv>
  <rv s="14">
    <fb>162.16999999999999</fb>
    <v>34</v>
  </rv>
  <rv s="14">
    <fb>90.51</fb>
    <v>34</v>
  </rv>
  <rv s="14">
    <fb>5.0999999999999996</fb>
    <v>34</v>
  </rv>
  <rv s="14">
    <fb>57.61</fb>
    <v>34</v>
  </rv>
  <rv s="14">
    <fb>90.53</fb>
    <v>34</v>
  </rv>
  <rv s="14">
    <fb>26.63</fb>
    <v>34</v>
  </rv>
  <rv s="14">
    <fb>470.17</fb>
    <v>34</v>
  </rv>
  <rv s="14">
    <fb>271.04000000000002</fb>
    <v>34</v>
  </rv>
  <rv s="14">
    <fb>46.67</fb>
    <v>34</v>
  </rv>
  <rv s="14">
    <fb>110.97</fb>
    <v>34</v>
  </rv>
  <rv s="14">
    <fb>155.77000000000001</fb>
    <v>34</v>
  </rv>
  <rv s="14">
    <fb>154.24</fb>
    <v>34</v>
  </rv>
  <rv s="14">
    <fb>308.42</fb>
    <v>34</v>
  </rv>
  <rv s="14">
    <fb>109.28</fb>
    <v>34</v>
  </rv>
  <rv s="14">
    <fb>1027.5999999999999</fb>
    <v>34</v>
  </rv>
  <rv s="14">
    <fb>167.53</fb>
    <v>34</v>
  </rv>
  <rv s="14">
    <fb>144.35</fb>
    <v>34</v>
  </rv>
  <rv s="14">
    <fb>283.39999999999998</fb>
    <v>34</v>
  </rv>
  <rv s="14">
    <fb>95.16</fb>
    <v>34</v>
  </rv>
  <rv s="14">
    <fb>56.31</fb>
    <v>34</v>
  </rv>
  <rv s="14">
    <fb>21.658200000000001</fb>
    <v>34</v>
  </rv>
  <rv s="14">
    <fb>45699</fb>
    <v>33</v>
  </rv>
  <rv s="14">
    <fb>232.62</fb>
    <v>34</v>
  </rv>
  <rv s="14">
    <fb>132.80000000000001</fb>
    <v>34</v>
  </rv>
  <rv s="14">
    <fb>411.44</fb>
    <v>34</v>
  </rv>
  <rv s="14">
    <fb>719.8</fb>
    <v>34</v>
  </rv>
  <rv s="14">
    <fb>185.32</fb>
    <v>34</v>
  </rv>
  <rv s="14">
    <fb>605.30999999999995</fb>
    <v>34</v>
  </rv>
  <rv s="14">
    <fb>267.39</fb>
    <v>34</v>
  </rv>
  <rv s="14">
    <fb>78.27</fb>
    <v>34</v>
  </rv>
  <rv s="14">
    <fb>92.88</fb>
    <v>34</v>
  </rv>
  <rv s="14">
    <fb>46.814999999999998</fb>
    <v>34</v>
  </rv>
  <rv s="14">
    <fb>158.08000000000001</fb>
    <v>34</v>
  </rv>
  <rv s="14">
    <fb>91.24</fb>
    <v>34</v>
  </rv>
  <rv s="14">
    <fb>14.744999999999999</fb>
    <v>34</v>
  </rv>
  <rv s="14">
    <fb>57.41</fb>
    <v>34</v>
  </rv>
  <rv s="14">
    <fb>26.48</fb>
    <v>34</v>
  </rv>
  <rv s="14">
    <fb>472.61</fb>
    <v>34</v>
  </rv>
  <rv s="14">
    <fb>274.99</fb>
    <v>34</v>
  </rv>
  <rv s="14">
    <fb>46.79</fb>
    <v>34</v>
  </rv>
  <rv s="14">
    <fb>111.67</fb>
    <v>34</v>
  </rv>
  <rv s="14">
    <fb>157.44</fb>
    <v>34</v>
  </rv>
  <rv s="14">
    <fb>156.13</fb>
    <v>34</v>
  </rv>
  <rv s="14">
    <fb>67.599999999999994</fb>
    <v>34</v>
  </rv>
  <rv s="14">
    <fb>310.20999999999998</fb>
    <v>34</v>
  </rv>
  <rv s="14">
    <fb>109.02</fb>
    <v>34</v>
  </rv>
  <rv s="14">
    <fb>1008.08</fb>
    <v>34</v>
  </rv>
  <rv s="14">
    <fb>169.43</fb>
    <v>34</v>
  </rv>
  <rv s="14">
    <fb>145.63999999999999</fb>
    <v>34</v>
  </rv>
  <rv s="14">
    <fb>285.13</fb>
    <v>34</v>
  </rv>
  <rv s="14">
    <fb>96.39</fb>
    <v>34</v>
  </rv>
  <rv s="14">
    <fb>31.079899999999999</fb>
    <v>34</v>
  </rv>
  <rv s="14">
    <fb>22.55</fb>
    <v>34</v>
  </rv>
  <rv s="14">
    <fb>58.19</fb>
    <v>34</v>
  </rv>
  <rv s="14">
    <fb>55.98</fb>
    <v>34</v>
  </rv>
  <rv s="14">
    <fb>21.699100000000001</fb>
    <v>34</v>
  </rv>
  <rv s="14">
    <fb>45700</fb>
    <v>33</v>
  </rv>
  <rv s="14">
    <fb>236.87</fb>
    <v>34</v>
  </rv>
  <rv s="14">
    <fb>131.13999999999999</fb>
    <v>34</v>
  </rv>
  <rv s="14">
    <fb>409.04</fb>
    <v>34</v>
  </rv>
  <rv s="14">
    <fb>725.38</fb>
    <v>34</v>
  </rv>
  <rv s="14">
    <fb>183.61</fb>
    <v>34</v>
  </rv>
  <rv s="14">
    <fb>603.36</fb>
    <v>34</v>
  </rv>
  <rv s="14">
    <fb>87.23</fb>
    <v>34</v>
  </rv>
  <rv s="14">
    <fb>267.67</fb>
    <v>34</v>
  </rv>
  <rv s="14">
    <fb>76.319999999999993</fb>
    <v>34</v>
  </rv>
  <rv s="14">
    <fb>46.578600000000002</fb>
    <v>34</v>
  </rv>
  <rv s="14">
    <fb>89.04</fb>
    <v>34</v>
  </rv>
  <rv s="14">
    <fb>4.1500000000000004</fb>
    <v>35</v>
  </rv>
  <rv s="14">
    <fb>29.34</fb>
    <v>34</v>
  </rv>
  <rv s="14">
    <fb>5.07</fb>
    <v>34</v>
  </rv>
  <rv s="14">
    <fb>90.85</fb>
    <v>34</v>
  </rv>
  <rv s="14">
    <fb>471.73</fb>
    <v>34</v>
  </rv>
  <rv s="14">
    <fb>275.45</fb>
    <v>34</v>
  </rv>
  <rv s="14">
    <fb>107.35</fb>
    <v>34</v>
  </rv>
  <rv s="14">
    <fb>154.9</fb>
    <v>34</v>
  </rv>
  <rv s="14">
    <fb>155.26</fb>
    <v>34</v>
  </rv>
  <rv s="14">
    <fb>68.709999999999994</fb>
    <v>34</v>
  </rv>
  <rv s="14">
    <fb>307.60000000000002</fb>
    <v>34</v>
  </rv>
  <rv s="14">
    <fb>109.23</fb>
    <v>34</v>
  </rv>
  <rv s="14">
    <fb>1027.31</fb>
    <v>34</v>
  </rv>
  <rv s="14">
    <fb>143.99</fb>
    <v>34</v>
  </rv>
  <rv s="14">
    <fb>279.76</fb>
    <v>34</v>
  </rv>
  <rv s="14">
    <fb>30.01</fb>
    <v>34</v>
  </rv>
  <rv s="14">
    <fb>58.11</fb>
    <v>34</v>
  </rv>
  <rv s="14">
    <fb>55.26</fb>
    <v>34</v>
  </rv>
  <rv s="14">
    <fb>21.530100000000001</fb>
    <v>34</v>
  </rv>
  <rv s="14">
    <fb>45701</fb>
    <v>33</v>
  </rv>
  <rv s="14">
    <fb>135.29</fb>
    <v>34</v>
  </rv>
  <rv s="14">
    <fb>410.54</fb>
    <v>34</v>
  </rv>
  <rv s="14">
    <fb>728.56</fb>
    <v>34</v>
  </rv>
  <rv s="14">
    <fb>186.14</fb>
    <v>34</v>
  </rv>
  <rv s="14">
    <fb>609.73</fb>
    <v>34</v>
  </rv>
  <rv s="14">
    <fb>88.68</fb>
    <v>34</v>
  </rv>
  <rv s="14">
    <fb>270.31</fb>
    <v>34</v>
  </rv>
  <rv s="14">
    <fb>76.39</fb>
    <v>34</v>
  </rv>
  <rv s="14">
    <fb>92.93</fb>
    <v>34</v>
  </rv>
  <rv s="14">
    <fb>46.87</fb>
    <v>34</v>
  </rv>
  <rv s="14">
    <fb>157.91999999999999</fb>
    <v>34</v>
  </rv>
  <rv s="14">
    <fb>89.71</fb>
    <v>34</v>
  </rv>
  <rv s="14">
    <fb>29.46</fb>
    <v>34</v>
  </rv>
  <rv s="14">
    <fb>28.19</fb>
    <v>34</v>
  </rv>
  <rv s="14">
    <fb>480.49</fb>
    <v>34</v>
  </rv>
  <rv s="14">
    <fb>276.32</fb>
    <v>34</v>
  </rv>
  <rv s="14">
    <fb>46.33</fb>
    <v>34</v>
  </rv>
  <rv s="14">
    <fb>108.13</fb>
    <v>34</v>
  </rv>
  <rv s="14">
    <fb>155.88</fb>
    <v>34</v>
  </rv>
  <rv s="14">
    <fb>157.25</fb>
    <v>34</v>
  </rv>
  <rv s="14">
    <fb>69.5</fb>
    <v>34</v>
  </rv>
  <rv s="14">
    <fb>310.02</fb>
    <v>34</v>
  </rv>
  <rv s="14">
    <fb>109.59</fb>
    <v>34</v>
  </rv>
  <rv s="14">
    <fb>1043.69</fb>
    <v>34</v>
  </rv>
  <rv s="14">
    <fb>171.02</fb>
    <v>34</v>
  </rv>
  <rv s="14">
    <fb>282.05</fb>
    <v>34</v>
  </rv>
  <rv s="14">
    <fb>93.62</fb>
    <v>34</v>
  </rv>
  <rv s="14">
    <fb>30.17</fb>
    <v>34</v>
  </rv>
  <rv s="14">
    <fb>22.555</fb>
    <v>34</v>
  </rv>
  <rv s="14">
    <fb>56.08</fb>
    <v>34</v>
  </rv>
  <rv s="14">
    <fb>21.662099999999999</fb>
    <v>34</v>
  </rv>
  <rv s="14">
    <fb>45702</fb>
    <v>33</v>
  </rv>
  <rv s="14">
    <fb>244.6</fb>
    <v>34</v>
  </rv>
  <rv s="14">
    <fb>138.85</fb>
    <v>34</v>
  </rv>
  <rv s="14">
    <fb>408.43</fb>
    <v>34</v>
  </rv>
  <rv s="14">
    <fb>736.67</fb>
    <v>34</v>
  </rv>
  <rv s="14">
    <fb>185.23</fb>
    <v>34</v>
  </rv>
  <rv s="14">
    <fb>609.70000000000005</fb>
    <v>34</v>
  </rv>
  <rv s="14">
    <fb>89.15</fb>
    <v>34</v>
  </rv>
  <rv s="14">
    <fb>266.29000000000002</fb>
    <v>34</v>
  </rv>
  <rv s="14">
    <fb>75.819999999999993</fb>
    <v>34</v>
  </rv>
  <rv s="14">
    <fb>47.015000000000001</fb>
    <v>34</v>
  </rv>
  <rv s="14">
    <fb>162.81</fb>
    <v>34</v>
  </rv>
  <rv s="14">
    <fb>28.17</fb>
    <v>34</v>
  </rv>
  <rv s="14">
    <fb>5.3</fb>
    <v>34</v>
  </rv>
  <rv s="14">
    <fb>57.17</fb>
    <v>34</v>
  </rv>
  <rv s="14">
    <fb>89.61</fb>
    <v>34</v>
  </rv>
  <rv s="14">
    <fb>26.69</fb>
    <v>34</v>
  </rv>
  <rv s="14">
    <fb>479.59</fb>
    <v>34</v>
  </rv>
  <rv s="14">
    <fb>276.58999999999997</fb>
    <v>34</v>
  </rv>
  <rv s="14">
    <fb>46.96</fb>
    <v>34</v>
  </rv>
  <rv s="14">
    <fb>108.24</fb>
    <v>34</v>
  </rv>
  <rv s="14">
    <fb>155.34</fb>
    <v>34</v>
  </rv>
  <rv s="14">
    <fb>156.15</fb>
    <v>34</v>
  </rv>
  <rv s="14">
    <fb>68.87</fb>
    <v>34</v>
  </rv>
  <rv s="14">
    <fb>308.55</fb>
    <v>34</v>
  </rv>
  <rv s="14">
    <fb>110.38</fb>
    <v>34</v>
  </rv>
  <rv s="14">
    <fb>1058.5999999999999</fb>
    <v>34</v>
  </rv>
  <rv s="14">
    <fb>143.38999999999999</fb>
    <v>34</v>
  </rv>
  <rv s="14">
    <fb>280.02</fb>
    <v>34</v>
  </rv>
  <rv s="14">
    <fb>94.3</fb>
    <v>34</v>
  </rv>
  <rv s="14">
    <fb>30.51</fb>
    <v>34</v>
  </rv>
  <rv s="14">
    <fb>22.625</fb>
    <v>34</v>
  </rv>
  <rv s="14">
    <fb>56.42</fb>
    <v>34</v>
  </rv>
  <rv s="14">
    <fb>21.603999999999999</fb>
    <v>34</v>
  </rv>
  <rv s="14">
    <fb>45706</fb>
    <v>33</v>
  </rv>
  <rv s="14">
    <fb>244.47</fb>
    <v>34</v>
  </rv>
  <rv s="14">
    <fb>139.4</fb>
    <v>34</v>
  </rv>
  <rv s="14">
    <fb>409.64</fb>
    <v>34</v>
  </rv>
  <rv s="14">
    <fb>716.37</fb>
    <v>34</v>
  </rv>
  <rv s="14">
    <fb>183.77</fb>
    <v>34</v>
  </rv>
  <rv s="14">
    <fb>611.49</fb>
    <v>34</v>
  </rv>
  <rv s="14">
    <fb>88.1</fb>
    <v>34</v>
  </rv>
  <rv s="14">
    <fb>270.7</fb>
    <v>34</v>
  </rv>
  <rv s="14">
    <fb>76.959999999999994</fb>
    <v>34</v>
  </rv>
  <rv s="14">
    <fb>92.82</fb>
    <v>34</v>
  </rv>
  <rv s="14">
    <fb>46.8444</fb>
    <v>34</v>
  </rv>
  <rv s="14">
    <fb>162.06</fb>
    <v>34</v>
  </rv>
  <rv s="14">
    <fb>91.3</fb>
    <v>34</v>
  </rv>
  <rv s="14">
    <fb>4.09</fb>
    <v>35</v>
  </rv>
  <rv s="14">
    <fb>5.33</fb>
    <v>34</v>
  </rv>
  <rv s="14">
    <fb>90.02</fb>
    <v>34</v>
  </rv>
  <rv s="14">
    <fb>482.82</fb>
    <v>34</v>
  </rv>
  <rv s="14">
    <fb>279.95</fb>
    <v>34</v>
  </rv>
  <rv s="14">
    <fb>110.14</fb>
    <v>34</v>
  </rv>
  <rv s="14">
    <fb>156.16</fb>
    <v>34</v>
  </rv>
  <rv s="14">
    <fb>154.99</fb>
    <v>34</v>
  </rv>
  <rv s="14">
    <fb>69.05</fb>
    <v>34</v>
  </rv>
  <rv s="14">
    <fb>304.83</fb>
    <v>34</v>
  </rv>
  <rv s="14">
    <fb>109.56</fb>
    <v>34</v>
  </rv>
  <rv s="14">
    <fb>1035.8499999999999</fb>
    <v>34</v>
  </rv>
  <rv s="14">
    <fb>165.43</fb>
    <v>34</v>
  </rv>
  <rv s="14">
    <fb>144.1</fb>
    <v>34</v>
  </rv>
  <rv s="14">
    <fb>284.68</fb>
    <v>34</v>
  </rv>
  <rv s="14">
    <fb>95.48</fb>
    <v>34</v>
  </rv>
  <rv s="14">
    <fb>30.84</fb>
    <v>34</v>
  </rv>
  <rv s="14">
    <fb>22.535</fb>
    <v>34</v>
  </rv>
  <rv s="14">
    <fb>55.82</fb>
    <v>34</v>
  </rv>
  <rv s="14">
    <fb>21.692799999999998</fb>
    <v>34</v>
  </rv>
  <rv s="14">
    <fb>45707</fb>
    <v>33</v>
  </rv>
  <rv s="14">
    <fb>244.87</fb>
    <v>34</v>
  </rv>
  <rv s="14">
    <fb>139.22999999999999</fb>
    <v>34</v>
  </rv>
  <rv s="14">
    <fb>414.77</fb>
    <v>34</v>
  </rv>
  <rv s="14">
    <fb>703.77</fb>
    <v>34</v>
  </rv>
  <rv s="14">
    <fb>185.27</fb>
    <v>34</v>
  </rv>
  <rv s="14">
    <fb>612.92999999999995</fb>
    <v>34</v>
  </rv>
  <rv s="14">
    <fb>88.21</fb>
    <v>34</v>
  </rv>
  <rv s="14">
    <fb>270.85000000000002</fb>
    <v>34</v>
  </rv>
  <rv s="14">
    <fb>77.45</fb>
    <v>34</v>
  </rv>
  <rv s="14">
    <fb>46.933799999999998</fb>
    <v>34</v>
  </rv>
  <rv s="14">
    <fb>160.27000000000001</fb>
    <v>34</v>
  </rv>
  <rv s="14">
    <fb>92.02</fb>
    <v>34</v>
  </rv>
  <rv s="14">
    <fb>14.61</fb>
    <v>34</v>
  </rv>
  <rv s="14">
    <fb>4.21</fb>
    <v>35</v>
  </rv>
  <rv s="14">
    <fb>28.22</fb>
    <v>34</v>
  </rv>
  <rv s="14">
    <fb>5.24</fb>
    <v>34</v>
  </rv>
  <rv s="14">
    <fb>89.4</fb>
    <v>34</v>
  </rv>
  <rv s="14">
    <fb>483.77</fb>
    <v>34</v>
  </rv>
  <rv s="14">
    <fb>279.25</fb>
    <v>34</v>
  </rv>
  <rv s="14">
    <fb>46.01</fb>
    <v>34</v>
  </rv>
  <rv s="14">
    <fb>110.3</fb>
    <v>34</v>
  </rv>
  <rv s="14">
    <fb>157.88999999999999</fb>
    <v>34</v>
  </rv>
  <rv s="14">
    <fb>70.069999999999993</fb>
    <v>34</v>
  </rv>
  <rv s="14">
    <fb>301.94</fb>
    <v>34</v>
  </rv>
  <rv s="14">
    <fb>1043.33</fb>
    <v>34</v>
  </rv>
  <rv s="14">
    <fb>166.49</fb>
    <v>34</v>
  </rv>
  <rv s="14">
    <fb>145.81</fb>
    <v>34</v>
  </rv>
  <rv s="14">
    <fb>280.37</fb>
    <v>34</v>
  </rv>
  <rv s="14">
    <fb>96.9</fb>
    <v>34</v>
  </rv>
  <rv s="14">
    <fb>31.32</fb>
    <v>34</v>
  </rv>
  <rv s="14">
    <fb>21.6739</fb>
    <v>34</v>
  </rv>
  <rv s="14">
    <fb>45708</fb>
    <v>33</v>
  </rv>
  <rv s="14">
    <fb>245.83</fb>
    <v>34</v>
  </rv>
  <rv s="14">
    <fb>416.13</fb>
    <v>34</v>
  </rv>
  <rv s="14">
    <fb>694.84</fb>
    <v>34</v>
  </rv>
  <rv s="14">
    <fb>184.56</fb>
    <v>34</v>
  </rv>
  <rv s="14">
    <fb>610.38</fb>
    <v>34</v>
  </rv>
  <rv s="14">
    <fb>88.54</fb>
    <v>34</v>
  </rv>
  <rv s="14">
    <fb>270.99</fb>
    <v>34</v>
  </rv>
  <rv s="14">
    <fb>77.760000000000005</fb>
    <v>34</v>
  </rv>
  <rv s="14">
    <fb>93.16</fb>
    <v>34</v>
  </rv>
  <rv s="14">
    <fb>46.979900000000001</fb>
    <v>34</v>
  </rv>
  <rv s="14">
    <fb>156.79</fb>
    <v>34</v>
  </rv>
  <rv s="14">
    <fb>92.86</fb>
    <v>34</v>
  </rv>
  <rv s="14">
    <fb>29.95</fb>
    <v>34</v>
  </rv>
  <rv s="14">
    <fb>89.62</fb>
    <v>34</v>
  </rv>
  <rv s="14">
    <fb>481.8</fb>
    <v>34</v>
  </rv>
  <rv s="14">
    <fb>266.8</fb>
    <v>34</v>
  </rv>
  <rv s="14">
    <fb>45.3</fb>
    <v>34</v>
  </rv>
  <rv s="14">
    <fb>112</fb>
    <v>34</v>
  </rv>
  <rv s="14">
    <fb>158.79</fb>
    <v>34</v>
  </rv>
  <rv s="14">
    <fb>159.68</fb>
    <v>34</v>
  </rv>
  <rv s="14">
    <fb>70.040000000000006</fb>
    <v>34</v>
  </rv>
  <rv s="14">
    <fb>303.05</fb>
    <v>34</v>
  </rv>
  <rv s="14">
    <fb>110.55</fb>
    <v>34</v>
  </rv>
  <rv s="14">
    <fb>1024.54</fb>
    <v>34</v>
  </rv>
  <rv s="14">
    <fb>167.21</fb>
    <v>34</v>
  </rv>
  <rv s="14">
    <fb>149.1</fb>
    <v>34</v>
  </rv>
  <rv s="14">
    <fb>281.10000000000002</fb>
    <v>34</v>
  </rv>
  <rv s="14">
    <fb>97.51</fb>
    <v>34</v>
  </rv>
  <rv s="14">
    <fb>31.3</fb>
    <v>34</v>
  </rv>
  <rv s="14">
    <fb>22.594999999999999</fb>
    <v>34</v>
  </rv>
  <rv s="14">
    <fb>56.05</fb>
    <v>34</v>
  </rv>
  <rv s="14">
    <fb>21.835000000000001</fb>
    <v>34</v>
  </rv>
  <rv s="14">
    <fb>45709</fb>
    <v>33</v>
  </rv>
  <rv s="14">
    <fb>245.55</fb>
    <v>34</v>
  </rv>
  <rv s="14">
    <fb>134.43</fb>
    <v>34</v>
  </rv>
  <rv s="14">
    <fb>408.21</fb>
    <v>34</v>
  </rv>
  <rv s="14">
    <fb>683.55</fb>
    <v>34</v>
  </rv>
  <rv s="14">
    <fb>179.66</fb>
    <v>34</v>
  </rv>
  <rv s="14">
    <fb>599.94000000000005</fb>
    <v>34</v>
  </rv>
  <rv s="14">
    <fb>270.74</fb>
    <v>34</v>
  </rv>
  <rv s="14">
    <fb>75.349999999999994</fb>
    <v>34</v>
  </rv>
  <rv s="14">
    <fb>93.71</fb>
    <v>34</v>
  </rv>
  <rv s="14">
    <fb>47.144300000000001</fb>
    <v>34</v>
  </rv>
  <rv s="14">
    <fb>150.55000000000001</fb>
    <v>34</v>
  </rv>
  <rv s="14">
    <fb>90.93</fb>
    <v>34</v>
  </rv>
  <rv s="14">
    <fb>29.59</fb>
    <v>34</v>
  </rv>
  <rv s="14">
    <fb>27.55</fb>
    <v>34</v>
  </rv>
  <rv s="14">
    <fb>5.23</fb>
    <v>34</v>
  </rv>
  <rv s="14">
    <fb>88.69</fb>
    <v>34</v>
  </rv>
  <rv s="14">
    <fb>26.82</fb>
    <v>34</v>
  </rv>
  <rv s="14">
    <fb>478.74</fb>
    <v>34</v>
  </rv>
  <rv s="14">
    <fb>264.24</fb>
    <v>34</v>
  </rv>
  <rv s="14">
    <fb>110.69</fb>
    <v>34</v>
  </rv>
  <rv s="14">
    <fb>156.91999999999999</fb>
    <v>34</v>
  </rv>
  <rv s="14">
    <fb>162.30000000000001</fb>
    <v>34</v>
  </rv>
  <rv s="14">
    <fb>71.349999999999994</fb>
    <v>34</v>
  </rv>
  <rv s="14">
    <fb>304.81</fb>
    <v>34</v>
  </rv>
  <rv s="14">
    <fb>1003.15</fb>
    <v>34</v>
  </rv>
  <rv s="14">
    <fb>170.23</fb>
    <v>34</v>
  </rv>
  <rv s="14">
    <fb>153.5</fb>
    <v>34</v>
  </rv>
  <rv s="14">
    <fb>272.83</fb>
    <v>34</v>
  </rv>
  <rv s="14">
    <fb>94.44</fb>
    <v>34</v>
  </rv>
  <rv s="14">
    <fb>30.367699999999999</fb>
    <v>34</v>
  </rv>
  <rv s="14">
    <fb>22.695</fb>
    <v>34</v>
  </rv>
  <rv s="14">
    <fb>21.630099999999999</fb>
    <v>34</v>
  </rv>
  <rv s="14">
    <fb>45712</fb>
    <v>33</v>
  </rv>
  <rv s="14">
    <fb>247.1</fb>
    <v>34</v>
  </rv>
  <rv s="14">
    <fb>130.28</fb>
    <v>34</v>
  </rv>
  <rv s="14">
    <fb>404</fb>
    <v>34</v>
  </rv>
  <rv s="14">
    <fb>668.13</fb>
    <v>34</v>
  </rv>
  <rv s="14">
    <fb>179.25</fb>
    <v>34</v>
  </rv>
  <rv s="14">
    <fb>597.21</fb>
    <v>34</v>
  </rv>
  <rv s="14">
    <fb>272.20999999999998</fb>
    <v>34</v>
  </rv>
  <rv s="14">
    <fb>75.97</fb>
    <v>34</v>
  </rv>
  <rv s="14">
    <fb>93.91</fb>
    <v>34</v>
  </rv>
  <rv s="14">
    <fb>47.21</fb>
    <v>34</v>
  </rv>
  <rv s="14">
    <fb>147.87</fb>
    <v>34</v>
  </rv>
  <rv s="14">
    <fb>90.95</fb>
    <v>34</v>
  </rv>
  <rv s="14">
    <fb>14.33</fb>
    <v>34</v>
  </rv>
  <rv s="14">
    <fb>29.44</fb>
    <v>34</v>
  </rv>
  <rv s="14">
    <fb>27.03</fb>
    <v>34</v>
  </rv>
  <rv s="14">
    <fb>88.2</fb>
    <v>34</v>
  </rv>
  <rv s="14">
    <fb>26.42</fb>
    <v>34</v>
  </rv>
  <rv s="14">
    <fb>498.42</fb>
    <v>34</v>
  </rv>
  <rv s="14">
    <fb>261.33999999999997</fb>
    <v>34</v>
  </rv>
  <rv s="14">
    <fb>44.46</fb>
    <v>34</v>
  </rv>
  <rv s="14">
    <fb>111.27</fb>
    <v>34</v>
  </rv>
  <rv s="14">
    <fb>163.74</fb>
    <v>34</v>
  </rv>
  <rv s="14">
    <fb>70.59</fb>
    <v>34</v>
  </rv>
  <rv s="14">
    <fb>307.57</fb>
    <v>34</v>
  </rv>
  <rv s="14">
    <fb>111.2</fb>
    <v>34</v>
  </rv>
  <rv s="14">
    <fb>988.47</fb>
    <v>34</v>
  </rv>
  <rv s="14">
    <fb>170.54</fb>
    <v>34</v>
  </rv>
  <rv s="14">
    <fb>153.85</fb>
    <v>34</v>
  </rv>
  <rv s="14">
    <fb>271.51</fb>
    <v>34</v>
  </rv>
  <rv s="14">
    <fb>94.31</fb>
    <v>34</v>
  </rv>
  <rv s="14">
    <fb>30.3</fb>
    <v>34</v>
  </rv>
  <rv s="14">
    <fb>56.83</fb>
    <v>34</v>
  </rv>
  <rv s="14">
    <fb>21.6495</fb>
    <v>34</v>
  </rv>
  <rv s="14">
    <fb>45713</fb>
    <v>33</v>
  </rv>
  <rv s="14">
    <fb>247.04</fb>
    <v>34</v>
  </rv>
  <rv s="14">
    <fb>126.63</fb>
    <v>34</v>
  </rv>
  <rv s="14">
    <fb>397.9</fb>
    <v>34</v>
  </rv>
  <rv s="14">
    <fb>657.5</fb>
    <v>34</v>
  </rv>
  <rv s="14">
    <fb>594.24</fb>
    <v>34</v>
  </rv>
  <rv s="14">
    <fb>91.42</fb>
    <v>34</v>
  </rv>
  <rv s="14">
    <fb>268.62</fb>
    <v>34</v>
  </rv>
  <rv s="14">
    <fb>74.13</fb>
    <v>34</v>
  </rv>
  <rv s="14">
    <fb>94.65</fb>
    <v>34</v>
  </rv>
  <rv s="14">
    <fb>47.465000000000003</fb>
    <v>34</v>
  </rv>
  <rv s="14">
    <fb>145.30000000000001</fb>
    <v>34</v>
  </rv>
  <rv s="14">
    <fb>89.64</fb>
    <v>34</v>
  </rv>
  <rv s="14">
    <fb>28.83</fb>
    <v>34</v>
  </rv>
  <rv s="14">
    <fb>27.06</fb>
    <v>34</v>
  </rv>
  <rv s="14">
    <fb>57.69</fb>
    <v>34</v>
  </rv>
  <rv s="14">
    <fb>27.29</fb>
    <v>34</v>
  </rv>
  <rv s="14">
    <fb>499.82</fb>
    <v>34</v>
  </rv>
  <rv s="14">
    <fb>257.39999999999998</fb>
    <v>34</v>
  </rv>
  <rv s="14">
    <fb>43.94</fb>
    <v>34</v>
  </rv>
  <rv s="14">
    <fb>109.73</fb>
    <v>34</v>
  </rv>
  <rv s="14">
    <fb>156.41999999999999</fb>
    <v>34</v>
  </rv>
  <rv s="14">
    <fb>166.09</fb>
    <v>34</v>
  </rv>
  <rv s="14">
    <fb>71.489999999999995</fb>
    <v>34</v>
  </rv>
  <rv s="14">
    <fb>310.72000000000003</fb>
    <v>34</v>
  </rv>
  <rv s="14">
    <fb>110.53</fb>
    <v>34</v>
  </rv>
  <rv s="14">
    <fb>977.24</fb>
    <v>34</v>
  </rv>
  <rv s="14">
    <fb>172.65</fb>
    <v>34</v>
  </rv>
  <rv s="14">
    <fb>267.01</fb>
    <v>34</v>
  </rv>
  <rv s="14">
    <fb>92.56</fb>
    <v>34</v>
  </rv>
  <rv s="14">
    <fb>22.864999999999998</fb>
    <v>34</v>
  </rv>
  <rv s="14">
    <fb>57.7</fb>
    <v>34</v>
  </rv>
  <rv s="14">
    <fb>21.895099999999999</fb>
    <v>34</v>
  </rv>
  <rv s="14">
    <fb>45714</fb>
    <v>33</v>
  </rv>
  <rv s="14">
    <fb>240.36</fb>
    <v>34</v>
  </rv>
  <rv s="14">
    <fb>131.28</fb>
    <v>34</v>
  </rv>
  <rv s="14">
    <fb>399.73</fb>
    <v>34</v>
  </rv>
  <rv s="14">
    <fb>673.7</fb>
    <v>34</v>
  </rv>
  <rv s="14">
    <fb>172.73</fb>
    <v>34</v>
  </rv>
  <rv s="14">
    <fb>594.54</fb>
    <v>34</v>
  </rv>
  <rv s="14">
    <fb>91.96</fb>
    <v>34</v>
  </rv>
  <rv s="14">
    <fb>269.02999999999997</fb>
    <v>34</v>
  </rv>
  <rv s="14">
    <fb>147.65</fb>
    <v>34</v>
  </rv>
  <rv s="14">
    <fb>89.13</fb>
    <v>34</v>
  </rv>
  <rv s="14">
    <fb>13.93</fb>
    <v>34</v>
  </rv>
  <rv s="14">
    <fb>27.12</fb>
    <v>34</v>
  </rv>
  <rv s="14">
    <fb>5.03</fb>
    <v>34</v>
  </rv>
  <rv s="14">
    <fb>88.45</fb>
    <v>34</v>
  </rv>
  <rv s="14">
    <fb>494.1</fb>
    <v>34</v>
  </rv>
  <rv s="14">
    <fb>258.79000000000002</fb>
    <v>34</v>
  </rv>
  <rv s="14">
    <fb>109.46</fb>
    <v>34</v>
  </rv>
  <rv s="14">
    <fb>155.13999999999999</fb>
    <v>34</v>
  </rv>
  <rv s="14">
    <fb>163.08000000000001</fb>
    <v>34</v>
  </rv>
  <rv s="14">
    <fb>70.8</fb>
    <v>34</v>
  </rv>
  <rv s="14">
    <fb>304.27</fb>
    <v>34</v>
  </rv>
  <rv s="14">
    <fb>111.83</fb>
    <v>34</v>
  </rv>
  <rv s="14">
    <fb>990.06</fb>
    <v>34</v>
  </rv>
  <rv s="14">
    <fb>171.3</fb>
    <v>34</v>
  </rv>
  <rv s="14">
    <fb>151.51</fb>
    <v>34</v>
  </rv>
  <rv s="14">
    <fb>263.83999999999997</fb>
    <v>34</v>
  </rv>
  <rv s="14">
    <fb>91.86</fb>
    <v>34</v>
  </rv>
  <rv s="14">
    <fb>29.25</fb>
    <v>34</v>
  </rv>
  <rv s="14">
    <fb>21.784199999999998</fb>
    <v>34</v>
  </rv>
  <rv s="14">
    <fb>45715</fb>
    <v>33</v>
  </rv>
  <rv s="14">
    <fb>237.3</fb>
    <v>34</v>
  </rv>
  <rv s="14">
    <fb>120.15</fb>
    <v>34</v>
  </rv>
  <rv s="14">
    <fb>392.53</fb>
    <v>34</v>
  </rv>
  <rv s="14">
    <fb>658.24</fb>
    <v>34</v>
  </rv>
  <rv s="14">
    <fb>168.5</fb>
    <v>34</v>
  </rv>
  <rv s="14">
    <fb>585.04999999999995</fb>
    <v>34</v>
  </rv>
  <rv s="14">
    <fb>264.93</fb>
    <v>34</v>
  </rv>
  <rv s="14">
    <fb>75.28</fb>
    <v>34</v>
  </rv>
  <rv s="14">
    <fb>94.8</fb>
    <v>34</v>
  </rv>
  <rv s="14">
    <fb>47.22</fb>
    <v>34</v>
  </rv>
  <rv s="14">
    <fb>147.44</fb>
    <v>34</v>
  </rv>
  <rv s="14">
    <fb>14.21</fb>
    <v>34</v>
  </rv>
  <rv s="14">
    <fb>28.4</fb>
    <v>34</v>
  </rv>
  <rv s="14">
    <fb>26.81</fb>
    <v>34</v>
  </rv>
  <rv s="14">
    <fb>56.91</fb>
    <v>34</v>
  </rv>
  <rv s="14">
    <fb>29.16</fb>
    <v>34</v>
  </rv>
  <rv s="14">
    <fb>502.41</fb>
    <v>34</v>
  </rv>
  <rv s="14">
    <fb>259.05</fb>
    <v>34</v>
  </rv>
  <rv s="14">
    <fb>44.12</fb>
    <v>34</v>
  </rv>
  <rv s="14">
    <fb>156.66999999999999</fb>
    <v>34</v>
  </rv>
  <rv s="14">
    <fb>163.72999999999999</fb>
    <v>34</v>
  </rv>
  <rv s="14">
    <fb>70.87</fb>
    <v>34</v>
  </rv>
  <rv s="14">
    <fb>309.95</fb>
    <v>34</v>
  </rv>
  <rv s="14">
    <fb>111.31</fb>
    <v>34</v>
  </rv>
  <rv s="14">
    <fb>963.07</fb>
    <v>34</v>
  </rv>
  <rv s="14">
    <fb>171.97</fb>
    <v>34</v>
  </rv>
  <rv s="14">
    <fb>152.02000000000001</fb>
    <v>34</v>
  </rv>
  <rv s="14">
    <fb>264.19</fb>
    <v>34</v>
  </rv>
  <rv s="14">
    <fb>57.68</fb>
    <v>34</v>
  </rv>
  <rv s="14">
    <fb>21.939599999999999</fb>
    <v>34</v>
  </rv>
  <rv s="14">
    <fb>45716</fb>
    <v>33</v>
  </rv>
  <rv s="14">
    <fb>241.84</fb>
    <v>34</v>
  </rv>
  <rv s="14">
    <fb>124.92</fb>
    <v>34</v>
  </rv>
  <rv s="14">
    <fb>396.99</fb>
    <v>34</v>
  </rv>
  <rv s="14">
    <fb>668.2</fb>
    <v>34</v>
  </rv>
  <rv s="14">
    <fb>594.17999999999995</fb>
    <v>34</v>
  </rv>
  <rv s="14">
    <fb>92.43</fb>
    <v>34</v>
  </rv>
  <rv s="14">
    <fb>263.27</fb>
    <v>34</v>
  </rv>
  <rv s="14">
    <fb>75.22</fb>
    <v>34</v>
  </rv>
  <rv s="14">
    <fb>95.32</fb>
    <v>34</v>
  </rv>
  <rv s="14">
    <fb>47.356099999999998</fb>
    <v>34</v>
  </rv>
  <rv s="14">
    <fb>91</fb>
    <v>34</v>
  </rv>
  <rv s="14">
    <fb>3.9</fb>
    <v>35</v>
  </rv>
  <rv s="14">
    <fb>28.31</fb>
    <v>34</v>
  </rv>
  <rv s="14">
    <fb>56.54</fb>
    <v>34</v>
  </rv>
  <rv s="14">
    <fb>86.39</fb>
    <v>34</v>
  </rv>
  <rv s="14">
    <fb>26.71</fb>
    <v>34</v>
  </rv>
  <rv s="14">
    <fb>27.59</fb>
    <v>34</v>
  </rv>
  <rv s="14">
    <fb>513.83000000000004</fb>
    <v>34</v>
  </rv>
  <rv s="14">
    <fb>264.64999999999998</fb>
    <v>34</v>
  </rv>
  <rv s="14">
    <fb>46.1</fb>
    <v>34</v>
  </rv>
  <rv s="14">
    <fb>111.33</fb>
    <v>34</v>
  </rv>
  <rv s="14">
    <fb>71.209999999999994</fb>
    <v>34</v>
  </rv>
  <rv s="14">
    <fb>308.33</fb>
    <v>34</v>
  </rv>
  <rv s="14">
    <fb>113.8</fb>
    <v>34</v>
  </rv>
  <rv s="14">
    <fb>980.56</fb>
    <v>34</v>
  </rv>
  <rv s="14">
    <fb>173.84</fb>
    <v>34</v>
  </rv>
  <rv s="14">
    <fb>153.47</fb>
    <v>34</v>
  </rv>
  <rv s="14">
    <fb>266.38</fb>
    <v>34</v>
  </rv>
  <rv s="14">
    <fb>92.91</fb>
    <v>34</v>
  </rv>
  <rv s="14">
    <fb>59.25</fb>
    <v>34</v>
  </rv>
  <rv s="14">
    <fb>29.28</fb>
    <v>34</v>
  </rv>
  <rv s="14">
    <fb>22.1065</fb>
    <v>34</v>
  </rv>
  <rv s="14">
    <fb>45719</fb>
    <v>33</v>
  </rv>
  <rv s="14">
    <fb>238.03</fb>
    <v>34</v>
  </rv>
  <rv s="14">
    <fb>114.06</fb>
    <v>34</v>
  </rv>
  <rv s="14">
    <fb>388.49</fb>
    <v>34</v>
  </rv>
  <rv s="14">
    <fb>655.04999999999995</fb>
    <v>34</v>
  </rv>
  <rv s="14">
    <fb>167.01</fb>
    <v>34</v>
  </rv>
  <rv s="14">
    <fb>583.77</fb>
    <v>34</v>
  </rv>
  <rv s="14">
    <fb>266.74</fb>
    <v>34</v>
  </rv>
  <rv s="14">
    <fb>73.319999999999993</fb>
    <v>34</v>
  </rv>
  <rv s="14">
    <fb>95.39</fb>
    <v>34</v>
  </rv>
  <rv s="14">
    <fb>47.4696</fb>
    <v>34</v>
  </rv>
  <rv s="14">
    <fb>13.83</fb>
    <v>34</v>
  </rv>
  <rv s="14">
    <fb>57.27</fb>
    <v>34</v>
  </rv>
  <rv s="14">
    <fb>87.18</fb>
    <v>34</v>
  </rv>
  <rv s="14">
    <fb>510.08</fb>
    <v>34</v>
  </rv>
  <rv s="14">
    <fb>260.62</fb>
    <v>34</v>
  </rv>
  <rv s="14">
    <fb>45.56</fb>
    <v>34</v>
  </rv>
  <rv s="14">
    <fb>107.76</fb>
    <v>34</v>
  </rv>
  <rv s="14">
    <fb>153.09</fb>
    <v>34</v>
  </rv>
  <rv s="14">
    <fb>167.28</fb>
    <v>34</v>
  </rv>
  <rv s="14">
    <fb>72.319999999999993</fb>
    <v>34</v>
  </rv>
  <rv s="14">
    <fb>304.29000000000002</fb>
    <v>34</v>
  </rv>
  <rv s="14">
    <fb>112.79</fb>
    <v>34</v>
  </rv>
  <rv s="14">
    <fb>973.7</fb>
    <v>34</v>
  </rv>
  <rv s="14">
    <fb>175.59</fb>
    <v>34</v>
  </rv>
  <rv s="14">
    <fb>155.99</fb>
    <v>34</v>
  </rv>
  <rv s="14">
    <fb>22.984999999999999</fb>
    <v>34</v>
  </rv>
  <rv s="14">
    <fb>59.22</fb>
    <v>34</v>
  </rv>
  <rv s="14">
    <fb>22.251200000000001</fb>
    <v>34</v>
  </rv>
  <rv s="14">
    <fb>45720</fb>
    <v>33</v>
  </rv>
  <rv s="14">
    <fb>235.93</fb>
    <v>34</v>
  </rv>
  <rv s="14">
    <fb>115.99</fb>
    <v>34</v>
  </rv>
  <rv s="14">
    <fb>388.61</fb>
    <v>34</v>
  </rv>
  <rv s="14">
    <fb>640</fb>
    <v>34</v>
  </rv>
  <rv s="14">
    <fb>170.92</fb>
    <v>34</v>
  </rv>
  <rv s="14">
    <fb>576.86</fb>
    <v>34</v>
  </rv>
  <rv s="14">
    <fb>269.06</fb>
    <v>34</v>
  </rv>
  <rv s="14">
    <fb>73.31</fb>
    <v>34</v>
  </rv>
  <rv s="14">
    <fb>95.09</fb>
    <v>34</v>
  </rv>
  <rv s="14">
    <fb>47.377499999999998</fb>
    <v>34</v>
  </rv>
  <rv s="14">
    <fb>86.97</fb>
    <v>34</v>
  </rv>
  <rv s="14">
    <fb>57.79</fb>
    <v>34</v>
  </rv>
  <rv s="14">
    <fb>87.75</fb>
    <v>34</v>
  </rv>
  <rv s="14">
    <fb>495.86</fb>
    <v>34</v>
  </rv>
  <rv s="14">
    <fb>250.25</fb>
    <v>34</v>
  </rv>
  <rv s="14">
    <fb>42.67</fb>
    <v>34</v>
  </rv>
  <rv s="14">
    <fb>107.54</fb>
    <v>34</v>
  </rv>
  <rv s="14">
    <fb>152</fb>
    <v>34</v>
  </rv>
  <rv s="14">
    <fb>165.42</fb>
    <v>34</v>
  </rv>
  <rv s="14">
    <fb>70.19</fb>
    <v>34</v>
  </rv>
  <rv s="14">
    <fb>305.77</fb>
    <v>34</v>
  </rv>
  <rv s="14">
    <fb>109.01</fb>
    <v>34</v>
  </rv>
  <rv s="14">
    <fb>972.58</fb>
    <v>34</v>
  </rv>
  <rv s="14">
    <fb>173.18</fb>
    <v>34</v>
  </rv>
  <rv s="14">
    <fb>154.19</fb>
    <v>34</v>
  </rv>
  <rv s="14">
    <fb>247.98</fb>
    <v>34</v>
  </rv>
  <rv s="14">
    <fb>88.02</fb>
    <v>34</v>
  </rv>
  <rv s="14">
    <fb>27.5</fb>
    <v>34</v>
  </rv>
  <rv s="14">
    <fb>59.14</fb>
    <v>34</v>
  </rv>
  <rv s="14">
    <fb>57.82</fb>
    <v>34</v>
  </rv>
  <rv s="14">
    <fb>22.0092</fb>
    <v>34</v>
  </rv>
  <rv s="14">
    <fb>45721</fb>
    <v>33</v>
  </rv>
  <rv s="14">
    <fb>235.74</fb>
    <v>34</v>
  </rv>
  <rv s="14">
    <fb>117.3</fb>
    <v>34</v>
  </rv>
  <rv s="14">
    <fb>401.02</fb>
    <v>34</v>
  </rv>
  <rv s="14">
    <fb>656.47</fb>
    <v>34</v>
  </rv>
  <rv s="14">
    <fb>173.02</fb>
    <v>34</v>
  </rv>
  <rv s="14">
    <fb>583.05999999999995</fb>
    <v>34</v>
  </rv>
  <rv s="14">
    <fb>269.62</fb>
    <v>34</v>
  </rv>
  <rv s="14">
    <fb>71.42</fb>
    <v>34</v>
  </rv>
  <rv s="14">
    <fb>94.56</fb>
    <v>34</v>
  </rv>
  <rv s="14">
    <fb>47.25</fb>
    <v>34</v>
  </rv>
  <rv s="14">
    <fb>140.53</fb>
    <v>34</v>
  </rv>
  <rv s="14">
    <fb>13.49</fb>
    <v>34</v>
  </rv>
  <rv s="14">
    <fb>3.99</fb>
    <v>35</v>
  </rv>
  <rv s="14">
    <fb>88.47</fb>
    <v>34</v>
  </rv>
  <rv s="14">
    <fb>27.15</fb>
    <v>34</v>
  </rv>
  <rv s="14">
    <fb>498.5</fb>
    <v>34</v>
  </rv>
  <rv s="14">
    <fb>251.53</fb>
    <v>34</v>
  </rv>
  <rv s="14">
    <fb>42.29</fb>
    <v>34</v>
  </rv>
  <rv s="14">
    <fb>105.44</fb>
    <v>34</v>
  </rv>
  <rv s="14">
    <fb>70.08</fb>
    <v>34</v>
  </rv>
  <rv s="14">
    <fb>307.45</fb>
    <v>34</v>
  </rv>
  <rv s="14">
    <fb>109.31</fb>
    <v>34</v>
  </rv>
  <rv s="14">
    <fb>990.92</fb>
    <v>34</v>
  </rv>
  <rv s="14">
    <fb>174.61</fb>
    <v>34</v>
  </rv>
  <rv s="14">
    <fb>153.88</fb>
    <v>34</v>
  </rv>
  <rv s="14">
    <fb>247.88</fb>
    <v>34</v>
  </rv>
  <rv s="14">
    <fb>86.68</fb>
    <v>34</v>
  </rv>
  <rv s="14">
    <fb>27.07</fb>
    <v>34</v>
  </rv>
  <rv s="14">
    <fb>57.34</fb>
    <v>34</v>
  </rv>
  <rv s="14">
    <fb>22.1785</fb>
    <v>34</v>
  </rv>
  <rv s="14">
    <fb>45722</fb>
    <v>33</v>
  </rv>
  <rv s="14">
    <fb>235.33</fb>
    <v>34</v>
  </rv>
  <rv s="14">
    <fb>110.57</fb>
    <v>34</v>
  </rv>
  <rv s="14">
    <fb>396.89</fb>
    <v>34</v>
  </rv>
  <rv s="14">
    <fb>627.92999999999995</fb>
    <v>34</v>
  </rv>
  <rv s="14">
    <fb>172.35</fb>
    <v>34</v>
  </rv>
  <rv s="14">
    <fb>572.71</fb>
    <v>34</v>
  </rv>
  <rv s="14">
    <fb>268.25</fb>
    <v>34</v>
  </rv>
  <rv s="14">
    <fb>71.13</fb>
    <v>34</v>
  </rv>
  <rv s="14">
    <fb>47.085900000000002</fb>
    <v>34</v>
  </rv>
  <rv s="14">
    <fb>134.78</fb>
    <v>34</v>
  </rv>
  <rv s="14">
    <fb>85.96</fb>
    <v>34</v>
  </rv>
  <rv s="14">
    <fb>13.44</fb>
    <v>34</v>
  </rv>
  <rv s="14">
    <fb>3.69</fb>
    <v>35</v>
  </rv>
  <rv s="14">
    <fb>29.69</fb>
    <v>34</v>
  </rv>
  <rv s="14">
    <fb>57.62</fb>
    <v>34</v>
  </rv>
  <rv s="14">
    <fb>27.08</fb>
    <v>34</v>
  </rv>
  <rv s="14">
    <fb>497.84</fb>
    <v>34</v>
  </rv>
  <rv s="14">
    <fb>246.54</fb>
    <v>34</v>
  </rv>
  <rv s="14">
    <fb>41.46</fb>
    <v>34</v>
  </rv>
  <rv s="14">
    <fb>107.62</fb>
    <v>34</v>
  </rv>
  <rv s="14">
    <fb>152.94999999999999</fb>
    <v>34</v>
  </rv>
  <rv s="14">
    <fb>165.83</fb>
    <v>34</v>
  </rv>
  <rv s="14">
    <fb>70.459999999999994</fb>
    <v>34</v>
  </rv>
  <rv s="14">
    <fb>310.37</fb>
    <v>34</v>
  </rv>
  <rv s="14">
    <fb>105.43</fb>
    <v>34</v>
  </rv>
  <rv s="14">
    <fb>906.36</fb>
    <v>34</v>
  </rv>
  <rv s="14">
    <fb>174.66</fb>
    <v>34</v>
  </rv>
  <rv s="14">
    <fb>247.62</fb>
    <v>34</v>
  </rv>
  <rv s="14">
    <fb>86.02</fb>
    <v>34</v>
  </rv>
  <rv s="14">
    <fb>58.47</fb>
    <v>34</v>
  </rv>
  <rv s="14">
    <fb>57.19</fb>
    <v>34</v>
  </rv>
  <rv s="14">
    <fb>21.667899999999999</fb>
    <v>34</v>
  </rv>
  <rv s="14">
    <fb>45723</fb>
    <v>33</v>
  </rv>
  <rv s="14">
    <fb>239.07</fb>
    <v>34</v>
  </rv>
  <rv s="14">
    <fb>112.69</fb>
    <v>34</v>
  </rv>
  <rv s="14">
    <fb>393.31</fb>
    <v>34</v>
  </rv>
  <rv s="14">
    <fb>625.66</fb>
    <v>34</v>
  </rv>
  <rv s="14">
    <fb>173.86</fb>
    <v>34</v>
  </rv>
  <rv s="14">
    <fb>575.91999999999996</fb>
    <v>34</v>
  </rv>
  <rv s="14">
    <fb>90.11</fb>
    <v>34</v>
  </rv>
  <rv s="14">
    <fb>268.39</fb>
    <v>34</v>
  </rv>
  <rv s="14">
    <fb>72.09</fb>
    <v>34</v>
  </rv>
  <rv s="14">
    <fb>47.060400000000001</fb>
    <v>34</v>
  </rv>
  <rv s="14">
    <fb>132.4</fb>
    <v>34</v>
  </rv>
  <rv s="14">
    <fb>87.43</fb>
    <v>34</v>
  </rv>
  <rv s="14">
    <fb>13.61</fb>
    <v>34</v>
  </rv>
  <rv s="14">
    <fb>57.65</fb>
    <v>34</v>
  </rv>
  <rv s="14">
    <fb>495.62</fb>
    <v>34</v>
  </rv>
  <rv s="14">
    <fb>242.28</fb>
    <v>34</v>
  </rv>
  <rv s="14">
    <fb>41.4</fb>
    <v>34</v>
  </rv>
  <rv s="14">
    <fb>156.34</fb>
    <v>34</v>
  </rv>
  <rv s="14">
    <fb>166.69</fb>
    <v>34</v>
  </rv>
  <rv s="14">
    <fb>71.430000000000007</fb>
    <v>34</v>
  </rv>
  <rv s="14">
    <fb>321.29000000000002</fb>
    <v>34</v>
  </rv>
  <rv s="14">
    <fb>891.11</fb>
    <v>34</v>
  </rv>
  <rv s="14">
    <fb>175.95</fb>
    <v>34</v>
  </rv>
  <rv s="14">
    <fb>154.44</fb>
    <v>34</v>
  </rv>
  <rv s="14">
    <fb>255.91</fb>
    <v>34</v>
  </rv>
  <rv s="14">
    <fb>27.18</fb>
    <v>34</v>
  </rv>
  <rv s="14">
    <fb>58.88</fb>
    <v>34</v>
  </rv>
  <rv s="14">
    <fb>57.02</fb>
    <v>34</v>
  </rv>
  <rv s="14">
    <fb>21.886199999999999</fb>
    <v>34</v>
  </rv>
  <rv s="14">
    <fb>45726</fb>
    <v>33</v>
  </rv>
  <rv s="14">
    <fb>106.98</fb>
    <v>34</v>
  </rv>
  <rv s="14">
    <fb>380.16</fb>
    <v>34</v>
  </rv>
  <rv s="14">
    <fb>597.99</fb>
    <v>34</v>
  </rv>
  <rv s="14">
    <fb>165.87</fb>
    <v>34</v>
  </rv>
  <rv s="14">
    <fb>560.58000000000004</fb>
    <v>34</v>
  </rv>
  <rv s="14">
    <fb>91.05</fb>
    <v>34</v>
  </rv>
  <rv s="14">
    <fb>266.04000000000002</fb>
    <v>34</v>
  </rv>
  <rv s="14">
    <fb>70.89</fb>
    <v>34</v>
  </rv>
  <rv s="14">
    <fb>95.05</fb>
    <v>34</v>
  </rv>
  <rv s="14">
    <fb>47.171999999999997</fb>
    <v>34</v>
  </rv>
  <rv s="14">
    <fb>126.01</fb>
    <v>34</v>
  </rv>
  <rv s="14">
    <fb>88.08</fb>
    <v>34</v>
  </rv>
  <rv s="14">
    <fb>13.36</fb>
    <v>34</v>
  </rv>
  <rv s="14">
    <fb>87.55</fb>
    <v>34</v>
  </rv>
  <rv s="14">
    <fb>497.1</fb>
    <v>34</v>
  </rv>
  <rv s="14">
    <fb>232.22</fb>
    <v>34</v>
  </rv>
  <rv s="14">
    <fb>39.83</fb>
    <v>34</v>
  </rv>
  <rv s="14">
    <fb>111.8</fb>
    <v>34</v>
  </rv>
  <rv s="14">
    <fb>157.57</fb>
    <v>34</v>
  </rv>
  <rv s="14">
    <fb>167.7</fb>
    <v>34</v>
  </rv>
  <rv s="14">
    <fb>71.45</fb>
    <v>34</v>
  </rv>
  <rv s="14">
    <fb>317.25</fb>
    <v>34</v>
  </rv>
  <rv s="14">
    <fb>103.08</fb>
    <v>34</v>
  </rv>
  <rv s="14">
    <fb>866.68</fb>
    <v>34</v>
  </rv>
  <rv s="14">
    <fb>176.26</fb>
    <v>34</v>
  </rv>
  <rv s="14">
    <fb>156.25</fb>
    <v>34</v>
  </rv>
  <rv s="14">
    <fb>249.42</fb>
    <v>34</v>
  </rv>
  <rv s="14">
    <fb>88.11</fb>
    <v>34</v>
  </rv>
  <rv s="14">
    <fb>27.16</fb>
    <v>34</v>
  </rv>
  <rv s="14">
    <fb>58.57</fb>
    <v>34</v>
  </rv>
  <rv s="14">
    <fb>59.18</fb>
    <v>34</v>
  </rv>
  <rv s="14">
    <fb>57.6</fb>
    <v>34</v>
  </rv>
  <rv s="14">
    <fb>21.698699999999999</fb>
    <v>34</v>
  </rv>
  <rv s="14">
    <fb>45727</fb>
    <v>33</v>
  </rv>
  <rv s="14">
    <fb>220.84</fb>
    <v>34</v>
  </rv>
  <rv s="14">
    <fb>108.76</fb>
    <v>34</v>
  </rv>
  <rv s="14">
    <fb>380.45</fb>
    <v>34</v>
  </rv>
  <rv s="14">
    <fb>605.71</fb>
    <v>34</v>
  </rv>
  <rv s="14">
    <fb>164.04</fb>
    <v>34</v>
  </rv>
  <rv s="14">
    <fb>555.91999999999996</fb>
    <v>34</v>
  </rv>
  <rv s="14">
    <fb>269.16000000000003</fb>
    <v>34</v>
  </rv>
  <rv s="14">
    <fb>46.969700000000003</fb>
    <v>34</v>
  </rv>
  <rv s="14">
    <fb>130.41999999999999</fb>
    <v>34</v>
  </rv>
  <rv s="14">
    <fb>87.38</fb>
    <v>34</v>
  </rv>
  <rv s="14">
    <fb>13.46</fb>
    <v>34</v>
  </rv>
  <rv s="14">
    <fb>3.38</fb>
    <v>35</v>
  </rv>
  <rv s="14">
    <fb>29.96</fb>
    <v>34</v>
  </rv>
  <rv s="14">
    <fb>26.64</fb>
    <v>34</v>
  </rv>
  <rv s="14">
    <fb>89.93</fb>
    <v>34</v>
  </rv>
  <rv s="14">
    <fb>27.05</fb>
    <v>34</v>
  </rv>
  <rv s="14">
    <fb>496.25</fb>
    <v>34</v>
  </rv>
  <rv s="14">
    <fb>229.14</fb>
    <v>34</v>
  </rv>
  <rv s="14">
    <fb>39.61</fb>
    <v>34</v>
  </rv>
  <rv s="14">
    <fb>109.16</fb>
    <v>34</v>
  </rv>
  <rv s="14">
    <fb>154.08000000000001</fb>
    <v>34</v>
  </rv>
  <rv s="14">
    <fb>306.76</fb>
    <v>34</v>
  </rv>
  <rv s="14">
    <fb>97.9</fb>
    <v>34</v>
  </rv>
  <rv s="14">
    <fb>895.1</fb>
    <v>34</v>
  </rv>
  <rv s="14">
    <fb>173.12</fb>
    <v>34</v>
  </rv>
  <rv s="14">
    <fb>152.33000000000001</fb>
    <v>34</v>
  </rv>
  <rv s="14">
    <fb>248.61</fb>
    <v>34</v>
  </rv>
  <rv s="14">
    <fb>88.63</fb>
    <v>34</v>
  </rv>
  <rv s="14">
    <fb>27.31</fb>
    <v>34</v>
  </rv>
  <rv s="14">
    <fb>57.22</fb>
    <v>34</v>
  </rv>
  <rv s="14">
    <fb>21.4223</fb>
    <v>34</v>
  </rv>
  <rv s="14">
    <fb>45728</fb>
    <v>33</v>
  </rv>
  <rv s="14">
    <fb>216.98</fb>
    <v>34</v>
  </rv>
  <rv s="14">
    <fb>115.74</fb>
    <v>34</v>
  </rv>
  <rv s="14">
    <fb>383.27</fb>
    <v>34</v>
  </rv>
  <rv s="14">
    <fb>619.55999999999995</fb>
    <v>34</v>
  </rv>
  <rv s="14">
    <fb>167.11</fb>
    <v>34</v>
  </rv>
  <rv s="14">
    <fb>558.87</fb>
    <v>34</v>
  </rv>
  <rv s="14">
    <fb>89.86</fb>
    <v>34</v>
  </rv>
  <rv s="14">
    <fb>270.33</fb>
    <v>34</v>
  </rv>
  <rv s="14">
    <fb>72.8</fb>
    <v>34</v>
  </rv>
  <rv s="14">
    <fb>94.43</fb>
    <v>34</v>
  </rv>
  <rv s="14">
    <fb>46.874600000000001</fb>
    <v>34</v>
  </rv>
  <rv s="14">
    <fb>134.91999999999999</fb>
    <v>34</v>
  </rv>
  <rv s="14">
    <fb>13.7</fb>
    <v>34</v>
  </rv>
  <rv s="14">
    <fb>30.22</fb>
    <v>34</v>
  </rv>
  <rv s="14">
    <fb>26.58</fb>
    <v>34</v>
  </rv>
  <rv s="14">
    <fb>495.94</fb>
    <v>34</v>
  </rv>
  <rv s="14">
    <fb>227.9</fb>
    <v>34</v>
  </rv>
  <rv s="14">
    <fb>39.909999999999997</fb>
    <v>34</v>
  </rv>
  <rv s="14">
    <fb>109.13</fb>
    <v>34</v>
  </rv>
  <rv s="14">
    <fb>152.66999999999999</fb>
    <v>34</v>
  </rv>
  <rv s="14">
    <fb>162.85</fb>
    <v>34</v>
  </rv>
  <rv s="14">
    <fb>69.94</fb>
    <v>34</v>
  </rv>
  <rv s="14">
    <fb>299.39999999999998</fb>
    <v>34</v>
  </rv>
  <rv s="14">
    <fb>98.76</fb>
    <v>34</v>
  </rv>
  <rv s="14">
    <fb>919.68</fb>
    <v>34</v>
  </rv>
  <rv s="14">
    <fb>168.37</fb>
    <v>34</v>
  </rv>
  <rv s="14">
    <fb>148.16999999999999</fb>
    <v>34</v>
  </rv>
  <rv s="14">
    <fb>249.48</fb>
    <v>34</v>
  </rv>
  <rv s="14">
    <fb>56.89</fb>
    <v>34</v>
  </rv>
  <rv s="14">
    <fb>21.3521</fb>
    <v>34</v>
  </rv>
  <rv s="14">
    <fb>45729</fb>
    <v>33</v>
  </rv>
  <rv s="14">
    <fb>209.68</fb>
    <v>34</v>
  </rv>
  <rv s="14">
    <fb>115.58</fb>
    <v>34</v>
  </rv>
  <rv s="14">
    <fb>378.77</fb>
    <v>34</v>
  </rv>
  <rv s="14">
    <fb>590.64</fb>
    <v>34</v>
  </rv>
  <rv s="14">
    <fb>162.76</fb>
    <v>34</v>
  </rv>
  <rv s="14">
    <fb>551.41999999999996</fb>
    <v>34</v>
  </rv>
  <rv s="14">
    <fb>90.65</fb>
    <v>34</v>
  </rv>
  <rv s="14">
    <fb>275.13</fb>
    <v>34</v>
  </rv>
  <rv s="14">
    <fb>71.62</fb>
    <v>34</v>
  </rv>
  <rv s="14">
    <fb>94.81</fb>
    <v>34</v>
  </rv>
  <rv s="14">
    <fb>46.951900000000002</fb>
    <v>34</v>
  </rv>
  <rv s="14">
    <fb>130.24</fb>
    <v>34</v>
  </rv>
  <rv s="14">
    <fb>30.74</fb>
    <v>34</v>
  </rv>
  <rv s="14">
    <fb>27.13</fb>
    <v>34</v>
  </rv>
  <rv s="14">
    <fb>504.25</fb>
    <v>34</v>
  </rv>
  <rv s="14">
    <fb>225.19</fb>
    <v>34</v>
  </rv>
  <rv s="14">
    <fb>39.67</fb>
    <v>34</v>
  </rv>
  <rv s="14">
    <fb>153.61000000000001</fb>
    <v>34</v>
  </rv>
  <rv s="14">
    <fb>162.99</fb>
    <v>34</v>
  </rv>
  <rv s="14">
    <fb>69.62</fb>
    <v>34</v>
  </rv>
  <rv s="14">
    <fb>297.5</fb>
    <v>34</v>
  </rv>
  <rv s="14">
    <fb>96.87</fb>
    <v>34</v>
  </rv>
  <rv s="14">
    <fb>890.17</fb>
    <v>34</v>
  </rv>
  <rv s="14">
    <fb>168.59</fb>
    <v>34</v>
  </rv>
  <rv s="14">
    <fb>148.34</fb>
    <v>34</v>
  </rv>
  <rv s="14">
    <fb>246.39</fb>
    <v>34</v>
  </rv>
  <rv s="14">
    <fb>88.3</fb>
    <v>34</v>
  </rv>
  <rv s="14">
    <fb>22.88</fb>
    <v>34</v>
  </rv>
  <rv s="14">
    <fb>59.09</fb>
    <v>34</v>
  </rv>
  <rv s="14">
    <fb>57.35</fb>
    <v>34</v>
  </rv>
  <rv s="14">
    <fb>20.995899999999999</fb>
    <v>34</v>
  </rv>
  <rv s="14">
    <fb>45730</fb>
    <v>33</v>
  </rv>
  <rv s="14">
    <fb>213.49</fb>
    <v>34</v>
  </rv>
  <rv s="14">
    <fb>121.67</fb>
    <v>34</v>
  </rv>
  <rv s="14">
    <fb>388.56</fb>
    <v>34</v>
  </rv>
  <rv s="14">
    <fb>607.6</fb>
    <v>34</v>
  </rv>
  <rv s="14">
    <fb>165.49</fb>
    <v>34</v>
  </rv>
  <rv s="14">
    <fb>562.80999999999995</fb>
    <v>34</v>
  </rv>
  <rv s="14">
    <fb>275.24</fb>
    <v>34</v>
  </rv>
  <rv s="14">
    <fb>72.28</fb>
    <v>34</v>
  </rv>
  <rv s="14">
    <fb>94.48</fb>
    <v>34</v>
  </rv>
  <rv s="14">
    <fb>46.957599999999999</fb>
    <v>34</v>
  </rv>
  <rv s="14">
    <fb>134.32</fb>
    <v>34</v>
  </rv>
  <rv s="14">
    <fb>89.76</fb>
    <v>34</v>
  </rv>
  <rv s="14">
    <fb>3.1</fb>
    <v>35</v>
  </rv>
  <rv s="14">
    <fb>26.46</fb>
    <v>34</v>
  </rv>
  <rv s="14">
    <fb>4.8899999999999997</fb>
    <v>34</v>
  </rv>
  <rv s="14">
    <fb>90.92</fb>
    <v>34</v>
  </rv>
  <rv s="14">
    <fb>514.6</fb>
    <v>34</v>
  </rv>
  <rv s="14">
    <fb>232.44</fb>
    <v>34</v>
  </rv>
  <rv s="14">
    <fb>40.89</fb>
    <v>34</v>
  </rv>
  <rv s="14">
    <fb>111.9</fb>
    <v>34</v>
  </rv>
  <rv s="14">
    <fb>157.02000000000001</fb>
    <v>34</v>
  </rv>
  <rv s="14">
    <fb>69.16</fb>
    <v>34</v>
  </rv>
  <rv s="14">
    <fb>299.83</fb>
    <v>34</v>
  </rv>
  <rv s="14">
    <fb>918</fb>
    <v>34</v>
  </rv>
  <rv s="14">
    <fb>148.59</fb>
    <v>34</v>
  </rv>
  <rv s="14">
    <fb>254.12</fb>
    <v>34</v>
  </rv>
  <rv s="14">
    <fb>91.04</fb>
    <v>34</v>
  </rv>
  <rv s="14">
    <fb>57.06</fb>
    <v>34</v>
  </rv>
  <rv s="14">
    <fb>21.476500000000001</fb>
    <v>34</v>
  </rv>
  <rv s="14">
    <fb>45733</fb>
    <v>33</v>
  </rv>
  <rv s="14">
    <fb>214</fb>
    <v>34</v>
  </rv>
  <rv s="14">
    <fb>119.53</fb>
    <v>34</v>
  </rv>
  <rv s="14">
    <fb>388.7</fb>
    <v>34</v>
  </rv>
  <rv s="14">
    <fb>604.9</fb>
    <v>34</v>
  </rv>
  <rv s="14">
    <fb>164.29</fb>
    <v>34</v>
  </rv>
  <rv s="14">
    <fb>567.15</fb>
    <v>34</v>
  </rv>
  <rv s="14">
    <fb>90.62</fb>
    <v>34</v>
  </rv>
  <rv s="14">
    <fb>276.73</fb>
    <v>34</v>
  </rv>
  <rv s="14">
    <fb>72.709999999999994</fb>
    <v>34</v>
  </rv>
  <rv s="14">
    <fb>47.034999999999997</fb>
    <v>34</v>
  </rv>
  <rv s="14">
    <fb>138.69999999999999</fb>
    <v>34</v>
  </rv>
  <rv s="14">
    <fb>91.19</fb>
    <v>34</v>
  </rv>
  <rv s="14">
    <fb>13.72</fb>
    <v>34</v>
  </rv>
  <rv s="14">
    <fb>59.44</fb>
    <v>34</v>
  </rv>
  <rv s="14">
    <fb>523.01</fb>
    <v>34</v>
  </rv>
  <rv s="14">
    <fb>233.93</fb>
    <v>34</v>
  </rv>
  <rv s="14">
    <fb>41.44</fb>
    <v>34</v>
  </rv>
  <rv s="14">
    <fb>113.76</fb>
    <v>34</v>
  </rv>
  <rv s="14">
    <fb>162.84</fb>
    <v>34</v>
  </rv>
  <rv s="14">
    <fb>70.12</fb>
    <v>34</v>
  </rv>
  <rv s="14">
    <fb>303.97000000000003</fb>
    <v>34</v>
  </rv>
  <rv s="14">
    <fb>99.36</fb>
    <v>34</v>
  </rv>
  <rv s="14">
    <fb>950.02</fb>
    <v>34</v>
  </rv>
  <rv s="14">
    <fb>169.76</fb>
    <v>34</v>
  </rv>
  <rv s="14">
    <fb>151.34</fb>
    <v>34</v>
  </rv>
  <rv s="14">
    <fb>257.75</fb>
    <v>34</v>
  </rv>
  <rv s="14">
    <fb>28.76</fb>
    <v>34</v>
  </rv>
  <rv s="14">
    <fb>57.28</fb>
    <v>34</v>
  </rv>
  <rv s="14">
    <fb>21.8429</fb>
    <v>34</v>
  </rv>
  <rv s="14">
    <fb>45734</fb>
    <v>33</v>
  </rv>
  <rv s="14">
    <fb>212.69</fb>
    <v>34</v>
  </rv>
  <rv s="14">
    <fb>115.43</fb>
    <v>34</v>
  </rv>
  <rv s="14">
    <fb>383.52</fb>
    <v>34</v>
  </rv>
  <rv s="14">
    <fb>582.36</fb>
    <v>34</v>
  </rv>
  <rv s="14">
    <fb>160.66999999999999</fb>
    <v>34</v>
  </rv>
  <rv s="14">
    <fb>561.02</fb>
    <v>34</v>
  </rv>
  <rv s="14">
    <fb>90.71</fb>
    <v>34</v>
  </rv>
  <rv s="14">
    <fb>279.95999999999998</fb>
    <v>34</v>
  </rv>
  <rv s="14">
    <fb>72.209999999999994</fb>
    <v>34</v>
  </rv>
  <rv s="14">
    <fb>47.087899999999998</fb>
    <v>34</v>
  </rv>
  <rv s="14">
    <fb>137.44</fb>
    <v>34</v>
  </rv>
  <rv s="14">
    <fb>91.34</fb>
    <v>34</v>
  </rv>
  <rv s="14">
    <fb>13.66</fb>
    <v>34</v>
  </rv>
  <rv s="14">
    <fb>60.17</fb>
    <v>34</v>
  </rv>
  <rv s="14">
    <fb>523.14</fb>
    <v>34</v>
  </rv>
  <rv s="14">
    <fb>234.97</fb>
    <v>34</v>
  </rv>
  <rv s="14">
    <fb>41.65</fb>
    <v>34</v>
  </rv>
  <rv s="14">
    <fb>113.64</fb>
    <v>34</v>
  </rv>
  <rv s="14">
    <fb>160.81</fb>
    <v>34</v>
  </rv>
  <rv s="14">
    <fb>164.25</fb>
    <v>34</v>
  </rv>
  <rv s="14">
    <fb>69.38</fb>
    <v>34</v>
  </rv>
  <rv s="14">
    <fb>303.60000000000002</fb>
    <v>34</v>
  </rv>
  <rv s="14">
    <fb>99.35</fb>
    <v>34</v>
  </rv>
  <rv s="14">
    <fb>929.98</fb>
    <v>34</v>
  </rv>
  <rv s="14">
    <fb>148.99</fb>
    <v>34</v>
  </rv>
  <rv s="14">
    <fb>257.93</fb>
    <v>34</v>
  </rv>
  <rv s="14">
    <fb>58.98</fb>
    <v>34</v>
  </rv>
  <rv s="14">
    <fb>57.38</fb>
    <v>34</v>
  </rv>
  <rv s="14">
    <fb>21.769300000000001</fb>
    <v>34</v>
  </rv>
  <rv s="14">
    <fb>45735</fb>
    <v>33</v>
  </rv>
  <rv s="14">
    <fb>215.24</fb>
    <v>34</v>
  </rv>
  <rv s="14">
    <fb>117.52</fb>
    <v>34</v>
  </rv>
  <rv s="14">
    <fb>387.82</fb>
    <v>34</v>
  </rv>
  <rv s="14">
    <fb>584.05999999999995</fb>
    <v>34</v>
  </rv>
  <rv s="14">
    <fb>163.89</fb>
    <v>34</v>
  </rv>
  <rv s="14">
    <fb>567.13</fb>
    <v>34</v>
  </rv>
  <rv s="14">
    <fb>91.18</fb>
    <v>34</v>
  </rv>
  <rv s="14">
    <fb>281.11</fb>
    <v>34</v>
  </rv>
  <rv s="14">
    <fb>72.42</fb>
    <v>34</v>
  </rv>
  <rv s="14">
    <fb>94.96</fb>
    <v>34</v>
  </rv>
  <rv s="14">
    <fb>47.26</fb>
    <v>34</v>
  </rv>
  <rv s="14">
    <fb>143.4</fb>
    <v>34</v>
  </rv>
  <rv s="14">
    <fb>92.83</fb>
    <v>34</v>
  </rv>
  <rv s="14">
    <fb>13.69</fb>
    <v>34</v>
  </rv>
  <rv s="14">
    <fb>30.75</fb>
    <v>34</v>
  </rv>
  <rv s="14">
    <fb>60.4</fb>
    <v>34</v>
  </rv>
  <rv s="14">
    <fb>26.65</fb>
    <v>34</v>
  </rv>
  <rv s="14">
    <fb>27.27</fb>
    <v>34</v>
  </rv>
  <rv s="14">
    <fb>525.27</fb>
    <v>34</v>
  </rv>
  <rv s="14">
    <fb>239.11</fb>
    <v>34</v>
  </rv>
  <rv s="14">
    <fb>42.21</fb>
    <v>34</v>
  </rv>
  <rv s="14">
    <fb>115.41</fb>
    <v>34</v>
  </rv>
  <rv s="14">
    <fb>164.05</fb>
    <v>34</v>
  </rv>
  <rv s="14">
    <fb>69.28</fb>
    <v>34</v>
  </rv>
  <rv s="14">
    <fb>306.92</fb>
    <v>34</v>
  </rv>
  <rv s="14">
    <fb>100.29</fb>
    <v>34</v>
  </rv>
  <rv s="14">
    <fb>959.49</fb>
    <v>34</v>
  </rv>
  <rv s="14">
    <fb>168.57</fb>
    <v>34</v>
  </rv>
  <rv s="14">
    <fb>260.88</fb>
    <v>34</v>
  </rv>
  <rv s="14">
    <fb>94.23</fb>
    <v>34</v>
  </rv>
  <rv s="14">
    <fb>29.61</fb>
    <v>34</v>
  </rv>
  <rv s="14">
    <fb>22.914999999999999</fb>
    <v>34</v>
  </rv>
  <rv s="14">
    <fb>58.54</fb>
    <v>34</v>
  </rv>
  <rv s="14">
    <fb>21.792200000000001</fb>
    <v>34</v>
  </rv>
  <rv s="14">
    <fb>45736</fb>
    <v>33</v>
  </rv>
  <rv s="14">
    <fb>214.1</fb>
    <v>34</v>
  </rv>
  <rv s="14">
    <fb>118.53</fb>
    <v>34</v>
  </rv>
  <rv s="14">
    <fb>386.84</fb>
    <v>34</v>
  </rv>
  <rv s="14">
    <fb>586</fb>
    <v>34</v>
  </rv>
  <rv s="14">
    <fb>162.80000000000001</fb>
    <v>34</v>
  </rv>
  <rv s="14">
    <fb>565.49</fb>
    <v>34</v>
  </rv>
  <rv s="14">
    <fb>280.75</fb>
    <v>34</v>
  </rv>
  <rv s="14">
    <fb>73.73</fb>
    <v>34</v>
  </rv>
  <rv s="14">
    <fb>47.27</fb>
    <v>34</v>
  </rv>
  <rv s="14">
    <fb>144.77000000000001</fb>
    <v>34</v>
  </rv>
  <rv s="14">
    <fb>30.5</fb>
    <v>34</v>
  </rv>
  <rv s="14">
    <fb>60.31</fb>
    <v>34</v>
  </rv>
  <rv s="14">
    <fb>90.09</fb>
    <v>34</v>
  </rv>
  <rv s="14">
    <fb>528.73</fb>
    <v>34</v>
  </rv>
  <rv s="14">
    <fb>239.01</fb>
    <v>34</v>
  </rv>
  <rv s="14">
    <fb>42.48</fb>
    <v>34</v>
  </rv>
  <rv s="14">
    <fb>115.9</fb>
    <v>34</v>
  </rv>
  <rv s="14">
    <fb>164.77</fb>
    <v>34</v>
  </rv>
  <rv s="14">
    <fb>163.02000000000001</fb>
    <v>34</v>
  </rv>
  <rv s="14">
    <fb>69.709999999999994</fb>
    <v>34</v>
  </rv>
  <rv s="14">
    <fb>307</fb>
    <v>34</v>
  </rv>
  <rv s="14">
    <fb>98.86</fb>
    <v>34</v>
  </rv>
  <rv s="14">
    <fb>950.84</fb>
    <v>34</v>
  </rv>
  <rv s="14">
    <fb>167.55</fb>
    <v>34</v>
  </rv>
  <rv s="14">
    <fb>147.15</fb>
    <v>34</v>
  </rv>
  <rv s="14">
    <fb>261.74</fb>
    <v>34</v>
  </rv>
  <rv s="14">
    <fb>22.934999999999999</fb>
    <v>34</v>
  </rv>
  <rv s="14">
    <fb>59.19</fb>
    <v>34</v>
  </rv>
  <rv s="14">
    <fb>57.73</fb>
    <v>34</v>
  </rv>
  <rv s="14">
    <fb>21.802199999999999</fb>
    <v>34</v>
  </rv>
  <rv s="14">
    <fb>45737</fb>
    <v>33</v>
  </rv>
  <rv s="14">
    <fb>218.27</fb>
    <v>34</v>
  </rv>
  <rv s="14">
    <fb>117.7</fb>
    <v>34</v>
  </rv>
  <rv s="14">
    <fb>391.26</fb>
    <v>34</v>
  </rv>
  <rv s="14">
    <fb>596.25</fb>
    <v>34</v>
  </rv>
  <rv s="14">
    <fb>163.99</fb>
    <v>34</v>
  </rv>
  <rv s="14">
    <fb>563.98</fb>
    <v>34</v>
  </rv>
  <rv s="14">
    <fb>278.49</fb>
    <v>34</v>
  </rv>
  <rv s="14">
    <fb>73.790000000000006</fb>
    <v>34</v>
  </rv>
  <rv s="14">
    <fb>95.02</fb>
    <v>34</v>
  </rv>
  <rv s="14">
    <fb>47.233600000000003</fb>
    <v>34</v>
  </rv>
  <rv s="14">
    <fb>143.41</fb>
    <v>34</v>
  </rv>
  <rv s="14">
    <fb>13.87</fb>
    <v>34</v>
  </rv>
  <rv s="14">
    <fb>30.02</fb>
    <v>34</v>
  </rv>
  <rv s="14">
    <fb>26.74</fb>
    <v>34</v>
  </rv>
  <rv s="14">
    <fb>59.83</fb>
    <v>34</v>
  </rv>
  <rv s="14">
    <fb>521.91</fb>
    <v>34</v>
  </rv>
  <rv s="14">
    <fb>241.63</fb>
    <v>34</v>
  </rv>
  <rv s="14">
    <fb>42.47</fb>
    <v>34</v>
  </rv>
  <rv s="14">
    <fb>115.5</fb>
    <v>34</v>
  </rv>
  <rv s="14">
    <fb>164.75</fb>
    <v>34</v>
  </rv>
  <rv s="14">
    <fb>68.67</fb>
    <v>34</v>
  </rv>
  <rv s="14">
    <fb>305.44</fb>
    <v>34</v>
  </rv>
  <rv s="14">
    <fb>99.46</fb>
    <v>34</v>
  </rv>
  <rv s="14">
    <fb>960.29</fb>
    <v>34</v>
  </rv>
  <rv s="14">
    <fb>145.44999999999999</fb>
    <v>34</v>
  </rv>
  <rv s="14">
    <fb>259</fb>
    <v>34</v>
  </rv>
  <rv s="14">
    <fb>29.23</fb>
    <v>34</v>
  </rv>
  <rv s="14">
    <fb>57.43</fb>
    <v>34</v>
  </rv>
  <rv s="14">
    <fb>21.628900000000002</fb>
    <v>34</v>
  </rv>
  <rv s="14">
    <fb>45740</fb>
    <v>33</v>
  </rv>
  <rv s="14">
    <fb>220.73</fb>
    <v>34</v>
  </rv>
  <rv s="14">
    <fb>121.41</fb>
    <v>34</v>
  </rv>
  <rv s="14">
    <fb>393.08</fb>
    <v>34</v>
  </rv>
  <rv s="14">
    <fb>618.85</fb>
    <v>34</v>
  </rv>
  <rv s="14">
    <fb>167.68</fb>
    <v>34</v>
  </rv>
  <rv s="14">
    <fb>574.08000000000004</fb>
    <v>34</v>
  </rv>
  <rv s="14">
    <fb>277.25</fb>
    <v>34</v>
  </rv>
  <rv s="14">
    <fb>74.88</fb>
    <v>34</v>
  </rv>
  <rv s="14">
    <fb>94.47</fb>
    <v>34</v>
  </rv>
  <rv s="14">
    <fb>47.052999999999997</fb>
    <v>34</v>
  </rv>
  <rv s="14">
    <fb>148.4</fb>
    <v>34</v>
  </rv>
  <rv s="14">
    <fb>92.85</fb>
    <v>34</v>
  </rv>
  <rv s="14">
    <fb>14.14</fb>
    <v>34</v>
  </rv>
  <rv s="14">
    <fb>59.55</fb>
    <v>34</v>
  </rv>
  <rv s="14">
    <fb>88.88</fb>
    <v>34</v>
  </rv>
  <rv s="14">
    <fb>525.85</fb>
    <v>34</v>
  </rv>
  <rv s="14">
    <fb>248.06</fb>
    <v>34</v>
  </rv>
  <rv s="14">
    <fb>43.07</fb>
    <v>34</v>
  </rv>
  <rv s="14">
    <fb>115.8</fb>
    <v>34</v>
  </rv>
  <rv s="14">
    <fb>163.29</fb>
    <v>34</v>
  </rv>
  <rv s="14">
    <fb>68.95</fb>
    <v>34</v>
  </rv>
  <rv s="14">
    <fb>305.67</fb>
    <v>34</v>
  </rv>
  <rv s="14">
    <fb>100.18</fb>
    <v>34</v>
  </rv>
  <rv s="14">
    <fb>971.99</fb>
    <v>34</v>
  </rv>
  <rv s="14">
    <fb>165.65</fb>
    <v>34</v>
  </rv>
  <rv s="14">
    <fb>146.44999999999999</fb>
    <v>34</v>
  </rv>
  <rv s="14">
    <fb>263.7</fb>
    <v>34</v>
  </rv>
  <rv s="14">
    <fb>58.94</fb>
    <v>34</v>
  </rv>
  <rv s="14">
    <fb>21.863800000000001</fb>
    <v>34</v>
  </rv>
  <rv s="14">
    <fb>45741</fb>
    <v>33</v>
  </rv>
  <rv s="14">
    <fb>223.75</fb>
    <v>34</v>
  </rv>
  <rv s="14">
    <fb>120.69</fb>
    <v>34</v>
  </rv>
  <rv s="14">
    <fb>395.16</fb>
    <v>34</v>
  </rv>
  <rv s="14">
    <fb>626.30999999999995</fb>
    <v>34</v>
  </rv>
  <rv s="14">
    <fb>170.56</fb>
    <v>34</v>
  </rv>
  <rv s="14">
    <fb>575.46</fb>
    <v>34</v>
  </rv>
  <rv s="14">
    <fb>278.47000000000003</fb>
    <v>34</v>
  </rv>
  <rv s="14">
    <fb>94.63</fb>
    <v>34</v>
  </rv>
  <rv s="14">
    <fb>47.138399999999997</fb>
    <v>34</v>
  </rv>
  <rv s="14">
    <fb>147.9</fb>
    <v>34</v>
  </rv>
  <rv s="14">
    <fb>93.23</fb>
    <v>34</v>
  </rv>
  <rv s="14">
    <fb>14.03</fb>
    <v>34</v>
  </rv>
  <rv s="14">
    <fb>3.5</fb>
    <v>35</v>
  </rv>
  <rv s="14">
    <fb>30.58</fb>
    <v>34</v>
  </rv>
  <rv s="14">
    <fb>89.47</fb>
    <v>34</v>
  </rv>
  <rv s="14">
    <fb>528.87</fb>
    <v>34</v>
  </rv>
  <rv s="14">
    <fb>251.13</fb>
    <v>34</v>
  </rv>
  <rv s="14">
    <fb>43.28</fb>
    <v>34</v>
  </rv>
  <rv s="14">
    <fb>116.59</fb>
    <v>34</v>
  </rv>
  <rv s="14">
    <fb>165.94</fb>
    <v>34</v>
  </rv>
  <rv s="14">
    <fb>161.02000000000001</fb>
    <v>34</v>
  </rv>
  <rv s="14">
    <fb>68.81</fb>
    <v>34</v>
  </rv>
  <rv s="14">
    <fb>101.61</fb>
    <v>34</v>
  </rv>
  <rv s="14">
    <fb>997.28</fb>
    <v>34</v>
  </rv>
  <rv s="14">
    <fb>145.54</fb>
    <v>34</v>
  </rv>
  <rv s="14">
    <fb>265.86</fb>
    <v>34</v>
  </rv>
  <rv s="14">
    <fb>94.59</fb>
    <v>34</v>
  </rv>
  <rv s="14">
    <fb>29.45</fb>
    <v>34</v>
  </rv>
  <rv s="14">
    <fb>21.439599999999999</fb>
    <v>34</v>
  </rv>
  <rv s="14">
    <fb>45742</fb>
    <v>33</v>
  </rv>
  <rv s="14">
    <fb>221.53</fb>
    <v>34</v>
  </rv>
  <rv s="14">
    <fb>389.97</fb>
    <v>34</v>
  </rv>
  <rv s="14">
    <fb>610.98</fb>
    <v>34</v>
  </rv>
  <rv s="14">
    <fb>165.06</fb>
    <v>34</v>
  </rv>
  <rv s="14">
    <fb>568.59</fb>
    <v>34</v>
  </rv>
  <rv s="14">
    <fb>89.17</fb>
    <v>34</v>
  </rv>
  <rv s="14">
    <fb>278.24</fb>
    <v>34</v>
  </rv>
  <rv s="14">
    <fb>75.42</fb>
    <v>34</v>
  </rv>
  <rv s="14">
    <fb>46.789200000000001</fb>
    <v>34</v>
  </rv>
  <rv s="14">
    <fb>144.63999999999999</fb>
    <v>34</v>
  </rv>
  <rv s="14">
    <fb>14.11</fb>
    <v>34</v>
  </rv>
  <rv s="14">
    <fb>30.53</fb>
    <v>34</v>
  </rv>
  <rv s="14">
    <fb>26.57</fb>
    <v>34</v>
  </rv>
  <rv s="14">
    <fb>4.6900000000000004</fb>
    <v>34</v>
  </rv>
  <rv s="14">
    <fb>59.78</fb>
    <v>34</v>
  </rv>
  <rv s="14">
    <fb>89.34</fb>
    <v>34</v>
  </rv>
  <rv s="14">
    <fb>533.21</fb>
    <v>34</v>
  </rv>
  <rv s="14">
    <fb>251.03</fb>
    <v>34</v>
  </rv>
  <rv s="14">
    <fb>42.82</fb>
    <v>34</v>
  </rv>
  <rv s="14">
    <fb>118.27</fb>
    <v>34</v>
  </rv>
  <rv s="14">
    <fb>70.02</fb>
    <v>34</v>
  </rv>
  <rv s="14">
    <fb>313.58</fb>
    <v>34</v>
  </rv>
  <rv s="14">
    <fb>100.78</fb>
    <v>34</v>
  </rv>
  <rv s="14">
    <fb>970.65</fb>
    <v>34</v>
  </rv>
  <rv s="14">
    <fb>148.63999999999999</fb>
    <v>34</v>
  </rv>
  <rv s="14">
    <fb>95.06</fb>
    <v>34</v>
  </rv>
  <rv s="14">
    <fb>29.55</fb>
    <v>34</v>
  </rv>
  <rv s="14">
    <fb>22.795000000000002</fb>
    <v>34</v>
  </rv>
  <rv s="14">
    <fb>21.52</fb>
    <v>34</v>
  </rv>
  <rv s="14">
    <fb>45743</fb>
    <v>33</v>
  </rv>
  <rv s="14">
    <fb>223.85</fb>
    <v>34</v>
  </rv>
  <rv s="14">
    <fb>111.43</fb>
    <v>34</v>
  </rv>
  <rv s="14">
    <fb>390.58</fb>
    <v>34</v>
  </rv>
  <rv s="14">
    <fb>602.58000000000004</fb>
    <v>34</v>
  </rv>
  <rv s="14">
    <fb>162.24</fb>
    <v>34</v>
  </rv>
  <rv s="14">
    <fb>567.08000000000004</fb>
    <v>34</v>
  </rv>
  <rv s="14">
    <fb>88.91</fb>
    <v>34</v>
  </rv>
  <rv s="14">
    <fb>281.97000000000003</fb>
    <v>34</v>
  </rv>
  <rv s="14">
    <fb>75.48</fb>
    <v>34</v>
  </rv>
  <rv s="14">
    <fb>94.33</fb>
    <v>34</v>
  </rv>
  <rv s="14">
    <fb>46.755200000000002</fb>
    <v>34</v>
  </rv>
  <rv s="14">
    <fb>142.03</fb>
    <v>34</v>
  </rv>
  <rv s="14">
    <fb>92.87</fb>
    <v>34</v>
  </rv>
  <rv s="14">
    <fb>14.13</fb>
    <v>34</v>
  </rv>
  <rv s="14">
    <fb>60.56</fb>
    <v>34</v>
  </rv>
  <rv s="14">
    <fb>534.52</fb>
    <v>34</v>
  </rv>
  <rv s="14">
    <fb>248.12</fb>
    <v>34</v>
  </rv>
  <rv s="14">
    <fb>42.56</fb>
    <v>34</v>
  </rv>
  <rv s="14">
    <fb>117.89</fb>
    <v>34</v>
  </rv>
  <rv s="14">
    <fb>166.65</fb>
    <v>34</v>
  </rv>
  <rv s="14">
    <fb>163.13</fb>
    <v>34</v>
  </rv>
  <rv s="14">
    <fb>70.739999999999995</fb>
    <v>34</v>
  </rv>
  <rv s="14">
    <fb>312.69</fb>
    <v>34</v>
  </rv>
  <rv s="14">
    <fb>100.45</fb>
    <v>34</v>
  </rv>
  <rv s="14">
    <fb>976.72</fb>
    <v>34</v>
  </rv>
  <rv s="14">
    <fb>168.71</fb>
    <v>34</v>
  </rv>
  <rv s="14">
    <fb>149.66999999999999</fb>
    <v>34</v>
  </rv>
  <rv s="14">
    <fb>264.81</fb>
    <v>34</v>
  </rv>
  <rv s="14">
    <fb>22.79</fb>
    <v>34</v>
  </rv>
  <rv s="14">
    <fb>58.56</fb>
    <v>34</v>
  </rv>
  <rv s="14">
    <fb>58.96</fb>
    <v>34</v>
  </rv>
  <rv s="14">
    <fb>56.4</fb>
    <v>34</v>
  </rv>
  <rv s="14">
    <fb>21.485399999999998</fb>
    <v>34</v>
  </rv>
  <rv s="14">
    <fb>45744</fb>
    <v>33</v>
  </rv>
  <rv s="14">
    <fb>217.9</fb>
    <v>34</v>
  </rv>
  <rv s="14">
    <fb>109.67</fb>
    <v>34</v>
  </rv>
  <rv s="14">
    <fb>378.8</fb>
    <v>34</v>
  </rv>
  <rv s="14">
    <fb>576.74</fb>
    <v>34</v>
  </rv>
  <rv s="14">
    <fb>154.33000000000001</fb>
    <v>34</v>
  </rv>
  <rv s="14">
    <fb>555.66</fb>
    <v>34</v>
  </rv>
  <rv s="14">
    <fb>90.14</fb>
    <v>34</v>
  </rv>
  <rv s="14">
    <fb>284.06</fb>
    <v>34</v>
  </rv>
  <rv s="14">
    <fb>74.77</fb>
    <v>34</v>
  </rv>
  <rv s="14">
    <fb>46.884799999999998</fb>
    <v>34</v>
  </rv>
  <rv s="14">
    <fb>136.96</fb>
    <v>34</v>
  </rv>
  <rv s="14">
    <fb>13.97</fb>
    <v>34</v>
  </rv>
  <rv s="14">
    <fb>26.47</fb>
    <v>34</v>
  </rv>
  <rv s="14">
    <fb>4.62</fb>
    <v>34</v>
  </rv>
  <rv s="14">
    <fb>61.03</fb>
    <v>34</v>
  </rv>
  <rv s="14">
    <fb>89.96</fb>
    <v>34</v>
  </rv>
  <rv s="14">
    <fb>26.78</fb>
    <v>34</v>
  </rv>
  <rv s="14">
    <fb>27.04</fb>
    <v>34</v>
  </rv>
  <rv s="14">
    <fb>526.30999999999995</fb>
    <v>34</v>
  </rv>
  <rv s="14">
    <fb>242.85</fb>
    <v>34</v>
  </rv>
  <rv s="14">
    <fb>41.25</fb>
    <v>34</v>
  </rv>
  <rv s="14">
    <fb>117.73</fb>
    <v>34</v>
  </rv>
  <rv s="14">
    <fb>163.71</fb>
    <v>34</v>
  </rv>
  <rv s="14">
    <fb>70.37</fb>
    <v>34</v>
  </rv>
  <rv s="14">
    <fb>307.08999999999997</fb>
    <v>34</v>
  </rv>
  <rv s="14">
    <fb>98.07</fb>
    <v>34</v>
  </rv>
  <rv s="14">
    <fb>933.85</fb>
    <v>34</v>
  </rv>
  <rv s="14">
    <fb>168.03</fb>
    <v>34</v>
  </rv>
  <rv s="14">
    <fb>261.36</fb>
    <v>34</v>
  </rv>
  <rv s="14">
    <fb>58.68</fb>
    <v>34</v>
  </rv>
  <rv s="14">
    <fb>59.3</fb>
    <v>34</v>
  </rv>
  <rv s="14">
    <fb>21.401499999999999</fb>
    <v>34</v>
  </rv>
  <rv s="14">
    <fb>45747</fb>
    <v>33</v>
  </rv>
  <rv s="14">
    <fb>222.13</fb>
    <v>34</v>
  </rv>
  <rv s="14">
    <fb>108.38</fb>
    <v>34</v>
  </rv>
  <rv s="14">
    <fb>375.39</fb>
    <v>34</v>
  </rv>
  <rv s="14">
    <fb>576.36</fb>
    <v>34</v>
  </rv>
  <rv s="14">
    <fb>154.63999999999999</fb>
    <v>34</v>
  </rv>
  <rv s="14">
    <fb>559.39</fb>
    <v>34</v>
  </rv>
  <rv s="14">
    <fb>91.03</fb>
    <v>34</v>
  </rv>
  <rv s="14">
    <fb>288.14</fb>
    <v>34</v>
  </rv>
  <rv s="14">
    <fb>77.33</fb>
    <v>34</v>
  </rv>
  <rv s="14">
    <fb>95.37</fb>
    <v>34</v>
  </rv>
  <rv s="14">
    <fb>47.104999999999997</fb>
    <v>34</v>
  </rv>
  <rv s="14">
    <fb>136.94</fb>
    <v>34</v>
  </rv>
  <rv s="14">
    <fb>3.97</fb>
    <v>35</v>
  </rv>
  <rv s="14">
    <fb>30.99</fb>
    <v>34</v>
  </rv>
  <rv s="14">
    <fb>4.68</fb>
    <v>34</v>
  </rv>
  <rv s="14">
    <fb>61.89</fb>
    <v>34</v>
  </rv>
  <rv s="14">
    <fb>532.58000000000004</fb>
    <v>34</v>
  </rv>
  <rv s="14">
    <fb>245.3</fb>
    <v>34</v>
  </rv>
  <rv s="14">
    <fb>41.73</fb>
    <v>34</v>
  </rv>
  <rv s="14">
    <fb>118.93</fb>
    <v>34</v>
  </rv>
  <rv s="14">
    <fb>167.29</fb>
    <v>34</v>
  </rv>
  <rv s="14">
    <fb>312.37</fb>
    <v>34</v>
  </rv>
  <rv s="14">
    <fb>98.7</fb>
    <v>34</v>
  </rv>
  <rv s="14">
    <fb>932.53</fb>
    <v>34</v>
  </rv>
  <rv s="14">
    <fb>170.42</fb>
    <v>34</v>
  </rv>
  <rv s="14">
    <fb>149.94</fb>
    <v>34</v>
  </rv>
  <rv s="14">
    <fb>262.12</fb>
    <v>34</v>
  </rv>
  <rv s="14">
    <fb>94.58</fb>
    <v>34</v>
  </rv>
  <rv s="14">
    <fb>21.64</fb>
    <v>34</v>
  </rv>
  <rv s="14">
    <fb>45748</fb>
    <v>33</v>
  </rv>
  <rv s="14">
    <fb>223.19</fb>
    <v>34</v>
  </rv>
  <rv s="14">
    <fb>382.19</fb>
    <v>34</v>
  </rv>
  <rv s="14">
    <fb>157.07</fb>
    <v>34</v>
  </rv>
  <rv s="14">
    <fb>560.97</fb>
    <v>34</v>
  </rv>
  <rv s="14">
    <fb>287.57</fb>
    <v>34</v>
  </rv>
  <rv s="14">
    <fb>77.08</fb>
    <v>34</v>
  </rv>
  <rv s="14">
    <fb>47.205199999999998</fb>
    <v>34</v>
  </rv>
  <rv s="14">
    <fb>138.37</fb>
    <v>34</v>
  </rv>
  <rv s="14">
    <fb>61.79</fb>
    <v>34</v>
  </rv>
  <rv s="14">
    <fb>26.8</fb>
    <v>34</v>
  </rv>
  <rv s="14">
    <fb>532.99</fb>
    <v>34</v>
  </rv>
  <rv s="14">
    <fb>243.66</fb>
    <v>34</v>
  </rv>
  <rv s="14">
    <fb>41.49</fb>
    <v>34</v>
  </rv>
  <rv s="14">
    <fb>119.04</fb>
    <v>34</v>
  </rv>
  <rv s="14">
    <fb>168.51</fb>
    <v>34</v>
  </rv>
  <rv s="14">
    <fb>153.25</fb>
    <v>34</v>
  </rv>
  <rv s="14">
    <fb>71.87</fb>
    <v>34</v>
  </rv>
  <rv s="14">
    <fb>313.63</fb>
    <v>34</v>
  </rv>
  <rv s="14">
    <fb>97.68</fb>
    <v>34</v>
  </rv>
  <rv s="14">
    <fb>928.38</fb>
    <v>34</v>
  </rv>
  <rv s="14">
    <fb>266.11</fb>
    <v>34</v>
  </rv>
  <rv s="14">
    <fb>95.18</fb>
    <v>34</v>
  </rv>
  <rv s="14">
    <fb>22.97</fb>
    <v>34</v>
  </rv>
  <rv s="14">
    <fb>59.33</fb>
    <v>34</v>
  </rv>
  <rv s="14">
    <fb>21.668700000000001</fb>
    <v>34</v>
  </rv>
  <rv s="14">
    <fb>45749</fb>
    <v>33</v>
  </rv>
  <rv s="14">
    <fb>223.89</fb>
    <v>34</v>
  </rv>
  <rv s="14">
    <fb>110.42</fb>
    <v>34</v>
  </rv>
  <rv s="14">
    <fb>382.14</fb>
    <v>34</v>
  </rv>
  <rv s="14">
    <fb>583.92999999999995</fb>
    <v>34</v>
  </rv>
  <rv s="14">
    <fb>157.04</fb>
    <v>34</v>
  </rv>
  <rv s="14">
    <fb>564.52</fb>
    <v>34</v>
  </rv>
  <rv s="14">
    <fb>288.16000000000003</fb>
    <v>34</v>
  </rv>
  <rv s="14">
    <fb>77.739999999999995</fb>
    <v>34</v>
  </rv>
  <rv s="14">
    <fb>47.201599999999999</fb>
    <v>34</v>
  </rv>
  <rv s="14">
    <fb>141.52000000000001</fb>
    <v>34</v>
  </rv>
  <rv s="14">
    <fb>14.42</fb>
    <v>34</v>
  </rv>
  <rv s="14">
    <fb>30.76</fb>
    <v>34</v>
  </rv>
  <rv s="14">
    <fb>61.87</fb>
    <v>34</v>
  </rv>
  <rv s="14">
    <fb>88.78</fb>
    <v>34</v>
  </rv>
  <rv s="14">
    <fb>91.44</fb>
    <v>34</v>
  </rv>
  <rv s="14">
    <fb>537.72</fb>
    <v>34</v>
  </rv>
  <rv s="14">
    <fb>245.82</fb>
    <v>34</v>
  </rv>
  <rv s="14">
    <fb>41.85</fb>
    <v>34</v>
  </rv>
  <rv s="14">
    <fb>118.67</fb>
    <v>34</v>
  </rv>
  <rv s="14">
    <fb>166.47</fb>
    <v>34</v>
  </rv>
  <rv s="14">
    <fb>155.36000000000001</fb>
    <v>34</v>
  </rv>
  <rv s="14">
    <fb>71.33</fb>
    <v>34</v>
  </rv>
  <rv s="14">
    <fb>311.58</fb>
    <v>34</v>
  </rv>
  <rv s="14">
    <fb>97.88</fb>
    <v>34</v>
  </rv>
  <rv s="14">
    <fb>935.52</fb>
    <v>34</v>
  </rv>
  <rv s="14">
    <fb>169.5</fb>
    <v>34</v>
  </rv>
  <rv s="14">
    <fb>266.32</fb>
    <v>34</v>
  </rv>
  <rv s="14">
    <fb>95.92</fb>
    <v>34</v>
  </rv>
  <rv s="14">
    <fb>29.724499999999999</fb>
    <v>34</v>
  </rv>
  <rv s="14">
    <fb>22.95</fb>
    <v>34</v>
  </rv>
  <rv s="14">
    <fb>59.27</fb>
    <v>34</v>
  </rv>
  <rv s="14">
    <fb>21.785299999999999</fb>
    <v>34</v>
  </rv>
  <rv s="14">
    <fb>45750</fb>
    <v>33</v>
  </rv>
  <rv s="14">
    <fb>203.19</fb>
    <v>34</v>
  </rv>
  <rv s="14">
    <fb>101.8</fb>
    <v>34</v>
  </rv>
  <rv s="14">
    <fb>373.11</fb>
    <v>34</v>
  </rv>
  <rv s="14">
    <fb>531.62</fb>
    <v>34</v>
  </rv>
  <rv s="14">
    <fb>150.72</fb>
    <v>34</v>
  </rv>
  <rv s="14">
    <fb>536.70000000000005</fb>
    <v>34</v>
  </rv>
  <rv s="14">
    <fb>91.85</fb>
    <v>34</v>
  </rv>
  <rv s="14">
    <fb>286.42</fb>
    <v>34</v>
  </rv>
  <rv s="14">
    <fb>72.25</fb>
    <v>34</v>
  </rv>
  <rv s="14">
    <fb>96.29</fb>
    <v>34</v>
  </rv>
  <rv s="14">
    <fb>47.255200000000002</fb>
    <v>34</v>
  </rv>
  <rv s="14">
    <fb>123.45</fb>
    <v>34</v>
  </rv>
  <rv s="14">
    <fb>86.74</fb>
    <v>34</v>
  </rv>
  <rv s="14">
    <fb>13.48</fb>
    <v>34</v>
  </rv>
  <rv s="14">
    <fb>61.54</fb>
    <v>34</v>
  </rv>
  <rv s="14">
    <fb>86.54</fb>
    <v>34</v>
  </rv>
  <rv s="14">
    <fb>50.83</fb>
    <v>34</v>
  </rv>
  <rv s="14">
    <fb>27.52</fb>
    <v>34</v>
  </rv>
  <rv s="14">
    <fb>530.16</fb>
    <v>34</v>
  </rv>
  <rv s="14">
    <fb>228.69</fb>
    <v>34</v>
  </rv>
  <rv s="14">
    <fb>37.22</fb>
    <v>34</v>
  </rv>
  <rv s="14">
    <fb>112.43</fb>
    <v>34</v>
  </rv>
  <rv s="14">
    <fb>156.12</fb>
    <v>34</v>
  </rv>
  <rv s="14">
    <fb>73.180000000000007</fb>
    <v>34</v>
  </rv>
  <rv s="14">
    <fb>318.27</fb>
    <v>34</v>
  </rv>
  <rv s="14">
    <fb>88.84</fb>
    <v>34</v>
  </rv>
  <rv s="14">
    <fb>917.05</fb>
    <v>34</v>
  </rv>
  <rv s="14">
    <fb>172.39</fb>
    <v>34</v>
  </rv>
  <rv s="14">
    <fb>151.37</fb>
    <v>34</v>
  </rv>
  <rv s="14">
    <fb>236.83</fb>
    <v>34</v>
  </rv>
  <rv s="14">
    <fb>86.15</fb>
    <v>34</v>
  </rv>
  <rv s="14">
    <fb>58.71</fb>
    <v>34</v>
  </rv>
  <rv s="14">
    <fb>59.81</fb>
    <v>34</v>
  </rv>
  <rv s="14">
    <fb>21.1812</fb>
    <v>34</v>
  </rv>
  <rv s="14">
    <fb>45751</fb>
    <v>33</v>
  </rv>
  <rv s="14">
    <fb>188.38</fb>
    <v>34</v>
  </rv>
  <rv s="14">
    <fb>359.84</fb>
    <v>34</v>
  </rv>
  <rv s="14">
    <fb>504.73</fb>
    <v>34</v>
  </rv>
  <rv s="14">
    <fb>145.6</fb>
    <v>34</v>
  </rv>
  <rv s="14">
    <fb>505.28</fb>
    <v>34</v>
  </rv>
  <rv s="14">
    <fb>279.72000000000003</fb>
    <v>34</v>
  </rv>
  <rv s="14">
    <fb>67.92</fb>
    <v>34</v>
  </rv>
  <rv s="14">
    <fb>96.56</fb>
    <v>34</v>
  </rv>
  <rv s="14">
    <fb>46.7</fb>
    <v>34</v>
  </rv>
  <rv s="14">
    <fb>108.68</fb>
    <v>34</v>
  </rv>
  <rv s="14">
    <fb>78.760000000000005</fb>
    <v>34</v>
  </rv>
  <rv s="14">
    <fb>12.81</fb>
    <v>34</v>
  </rv>
  <rv s="14">
    <fb>60.15</fb>
    <v>34</v>
  </rv>
  <rv s="14">
    <fb>83.9</fb>
    <v>34</v>
  </rv>
  <rv s="14">
    <fb>50.1</fb>
    <v>34</v>
  </rv>
  <rv s="14">
    <fb>27.78</fb>
    <v>34</v>
  </rv>
  <rv s="14">
    <fb>493.54</fb>
    <v>34</v>
  </rv>
  <rv s="14">
    <fb>210.28</fb>
    <v>34</v>
  </rv>
  <rv s="14">
    <fb>34.39</fb>
    <v>34</v>
  </rv>
  <rv s="14">
    <fb>104.34</fb>
    <v>34</v>
  </rv>
  <rv s="14">
    <fb>143.28</fb>
    <v>34</v>
  </rv>
  <rv s="14">
    <fb>69.930000000000007</fb>
    <v>34</v>
  </rv>
  <rv s="14">
    <fb>300.11</fb>
    <v>34</v>
  </rv>
  <rv s="14">
    <fb>83.53</fb>
    <v>34</v>
  </rv>
  <rv s="14">
    <fb>855.86</fb>
    <v>34</v>
  </rv>
  <rv s="14">
    <fb>146.61000000000001</fb>
    <v>34</v>
  </rv>
  <rv s="14">
    <fb>207.77</fb>
    <v>34</v>
  </rv>
  <rv s="14">
    <fb>77.599999999999994</fb>
    <v>34</v>
  </rv>
  <rv s="14">
    <fb>23.67</fb>
    <v>34</v>
  </rv>
  <rv s="14">
    <fb>23.17</fb>
    <v>34</v>
  </rv>
  <rv s="14">
    <fb>59.9</fb>
    <v>34</v>
  </rv>
  <rv s="14">
    <fb>20.422799999999999</fb>
    <v>34</v>
  </rv>
  <rv s="14">
    <fb>45754</fb>
    <v>33</v>
  </rv>
  <rv s="14">
    <fb>181.46</fb>
    <v>34</v>
  </rv>
  <rv s="14">
    <fb>97.64</fb>
    <v>34</v>
  </rv>
  <rv s="14">
    <fb>357.86</fb>
    <v>34</v>
  </rv>
  <rv s="14">
    <fb>516.25</fb>
    <v>34</v>
  </rv>
  <rv s="14">
    <fb>146.75</fb>
    <v>34</v>
  </rv>
  <rv s="14">
    <fb>504.38</fb>
    <v>34</v>
  </rv>
  <rv s="14">
    <fb>90.05</fb>
    <v>34</v>
  </rv>
  <rv s="14">
    <fb>273.70999999999998</fb>
    <v>34</v>
  </rv>
  <rv s="14">
    <fb>65.98</fb>
    <v>34</v>
  </rv>
  <rv s="14">
    <fb>95.41</fb>
    <v>34</v>
  </rv>
  <rv s="14">
    <fb>46.147100000000002</fb>
    <v>34</v>
  </rv>
  <rv s="14">
    <fb>112.36</fb>
    <v>34</v>
  </rv>
  <rv s="14">
    <fb>78.25</fb>
    <v>34</v>
  </rv>
  <rv s="14">
    <fb>12.6</fb>
    <v>34</v>
  </rv>
  <rv s="14">
    <fb>83.41</fb>
    <v>34</v>
  </rv>
  <rv s="14">
    <fb>50.31</fb>
    <v>34</v>
  </rv>
  <rv s="14">
    <fb>490.38</fb>
    <v>34</v>
  </rv>
  <rv s="14">
    <fb>214.44</fb>
    <v>34</v>
  </rv>
  <rv s="14">
    <fb>35.58</fb>
    <v>34</v>
  </rv>
  <rv s="14">
    <fb>102.94</fb>
    <v>34</v>
  </rv>
  <rv s="14">
    <fb>68.37</fb>
    <v>34</v>
  </rv>
  <rv s="14">
    <fb>299.89</fb>
    <v>34</v>
  </rv>
  <rv s="14">
    <fb>83.3</fb>
    <v>34</v>
  </rv>
  <rv s="14">
    <fb>867.83</fb>
    <v>34</v>
  </rv>
  <rv s="14">
    <fb>160.22999999999999</fb>
    <v>34</v>
  </rv>
  <rv s="14">
    <fb>143.19</fb>
    <v>34</v>
  </rv>
  <rv s="14">
    <fb>206.09</fb>
    <v>34</v>
  </rv>
  <rv s="14">
    <fb>77.53</fb>
    <v>34</v>
  </rv>
  <rv s="14">
    <fb>23.55</fb>
    <v>34</v>
  </rv>
  <rv s="14">
    <fb>58.7</fb>
    <v>34</v>
  </rv>
  <rv s="14">
    <fb>59.47</fb>
    <v>34</v>
  </rv>
  <rv s="14">
    <fb>28.49</fb>
    <v>34</v>
  </rv>
  <rv s="14">
    <fb>19.789200000000001</fb>
    <v>34</v>
  </rv>
  <rv s="14">
    <fb>45755</fb>
    <v>33</v>
  </rv>
  <rv s="14">
    <fb>172.42</fb>
    <v>34</v>
  </rv>
  <rv s="14">
    <fb>96.3</fb>
    <v>34</v>
  </rv>
  <rv s="14">
    <fb>354.56</fb>
    <v>34</v>
  </rv>
  <rv s="14">
    <fb>510.45</fb>
    <v>34</v>
  </rv>
  <rv s="14">
    <fb>144.69999999999999</fb>
    <v>34</v>
  </rv>
  <rv s="14">
    <fb>496.48</fb>
    <v>34</v>
  </rv>
  <rv s="14">
    <fb>275.2</fb>
    <v>34</v>
  </rv>
  <rv s="14">
    <fb>63.34</fb>
    <v>34</v>
  </rv>
  <rv s="14">
    <fb>45.660600000000002</fb>
    <v>34</v>
  </rv>
  <rv s="14">
    <fb>110.41</fb>
    <v>34</v>
  </rv>
  <rv s="14">
    <fb>76.44</fb>
    <v>34</v>
  </rv>
  <rv s="14">
    <fb>12.09</fb>
    <v>34</v>
  </rv>
  <rv s="14">
    <fb>25.27</fb>
    <v>34</v>
  </rv>
  <rv s="14">
    <fb>59.11</fb>
    <v>34</v>
  </rv>
  <rv s="14">
    <fb>83.89</fb>
    <v>34</v>
  </rv>
  <rv s="14">
    <fb>50.17</fb>
    <v>34</v>
  </rv>
  <rv s="14">
    <fb>492.64</fb>
    <v>34</v>
  </rv>
  <rv s="14">
    <fb>216.87</fb>
    <v>34</v>
  </rv>
  <rv s="14">
    <fb>35.03</fb>
    <v>34</v>
  </rv>
  <rv s="14">
    <fb>100.77</fb>
    <v>34</v>
  </rv>
  <rv s="14">
    <fb>150</fb>
    <v>34</v>
  </rv>
  <rv s="14">
    <fb>68.42</fb>
    <v>34</v>
  </rv>
  <rv s="14">
    <fb>81.72</fb>
    <v>34</v>
  </rv>
  <rv s="14">
    <fb>870.4</fb>
    <v>34</v>
  </rv>
  <rv s="14">
    <fb>158.38999999999999</fb>
    <v>34</v>
  </rv>
  <rv s="14">
    <fb>140.30000000000001</fb>
    <v>34</v>
  </rv>
  <rv s="14">
    <fb>196.72</fb>
    <v>34</v>
  </rv>
  <rv s="14">
    <fb>74.87</fb>
    <v>34</v>
  </rv>
  <rv s="14">
    <fb>22.69</fb>
    <v>34</v>
  </rv>
  <rv s="14">
    <fb>28.23</fb>
    <v>34</v>
  </rv>
  <rv s="14">
    <fb>19.311499999999999</fb>
    <v>34</v>
  </rv>
  <rv s="14">
    <fb>45756</fb>
    <v>33</v>
  </rv>
  <rv s="14">
    <fb>198.85</fb>
    <v>34</v>
  </rv>
  <rv s="14">
    <fb>114.33</fb>
    <v>34</v>
  </rv>
  <rv s="14">
    <fb>390.49</fb>
    <v>34</v>
  </rv>
  <rv s="14">
    <fb>585.77</fb>
    <v>34</v>
  </rv>
  <rv s="14">
    <fb>158.71</fb>
    <v>34</v>
  </rv>
  <rv s="14">
    <fb>548.62</fb>
    <v>34</v>
  </rv>
  <rv s="14">
    <fb>88.87</fb>
    <v>34</v>
  </rv>
  <rv s="14">
    <fb>285.38</fb>
    <v>34</v>
  </rv>
  <rv s="14">
    <fb>67.58</fb>
    <v>34</v>
  </rv>
  <rv s="14">
    <fb>46.060400000000001</fb>
    <v>34</v>
  </rv>
  <rv s="14">
    <fb>128.44999999999999</fb>
    <v>34</v>
  </rv>
  <rv s="14">
    <fb>82.36</fb>
    <v>34</v>
  </rv>
  <rv s="14">
    <fb>13.32</fb>
    <v>34</v>
  </rv>
  <rv s="14">
    <fb>3.46</fb>
    <v>35</v>
  </rv>
  <rv s="14">
    <fb>28.06</fb>
    <v>34</v>
  </rv>
  <rv s="14">
    <fb>61.26</fb>
    <v>34</v>
  </rv>
  <rv s="14">
    <fb>85.07</fb>
    <v>34</v>
  </rv>
  <rv s="14">
    <fb>50.64</fb>
    <v>34</v>
  </rv>
  <rv s="14">
    <fb>521.41</fb>
    <v>34</v>
  </rv>
  <rv s="14">
    <fb>234.34</fb>
    <v>34</v>
  </rv>
  <rv s="14">
    <fb>37.15</fb>
    <v>34</v>
  </rv>
  <rv s="14">
    <fb>105.8</fb>
    <v>34</v>
  </rv>
  <rv s="14">
    <fb>146.03</fb>
    <v>34</v>
  </rv>
  <rv s="14">
    <fb>150.97</fb>
    <v>34</v>
  </rv>
  <rv s="14">
    <fb>69.95</fb>
    <v>34</v>
  </rv>
  <rv s="14">
    <fb>303.95999999999998</fb>
    <v>34</v>
  </rv>
  <rv s="14">
    <fb>945.47</fb>
    <v>34</v>
  </rv>
  <rv s="14">
    <fb>162.32</fb>
    <v>34</v>
  </rv>
  <rv s="14">
    <fb>145.59</fb>
    <v>34</v>
  </rv>
  <rv s="14">
    <fb>222.17</fb>
    <v>34</v>
  </rv>
  <rv s="14">
    <fb>82.58</fb>
    <v>34</v>
  </rv>
  <rv s="14">
    <fb>25.25</fb>
    <v>34</v>
  </rv>
  <rv s="14">
    <fb>59.07</fb>
    <v>34</v>
  </rv>
  <rv s="14">
    <fb>56.26</fb>
    <v>34</v>
  </rv>
  <rv s="14">
    <fb>28.62</fb>
    <v>34</v>
  </rv>
  <rv s="14">
    <fb>20.3916</fb>
    <v>34</v>
  </rv>
  <rv s="14">
    <fb>45757</fb>
    <v>33</v>
  </rv>
  <rv s="14">
    <fb>190.42</fb>
    <v>34</v>
  </rv>
  <rv s="14">
    <fb>381.35</fb>
    <v>34</v>
  </rv>
  <rv s="14">
    <fb>546.29</fb>
    <v>34</v>
  </rv>
  <rv s="14">
    <fb>152.82</fb>
    <v>34</v>
  </rv>
  <rv s="14">
    <fb>524.58000000000004</fb>
    <v>34</v>
  </rv>
  <rv s="14">
    <fb>86.42</fb>
    <v>34</v>
  </rv>
  <rv s="14">
    <fb>292.35000000000002</fb>
    <v>34</v>
  </rv>
  <rv s="14">
    <fb>65.319999999999993</fb>
    <v>34</v>
  </rv>
  <rv s="14">
    <fb>94.04</fb>
    <v>34</v>
  </rv>
  <rv s="14">
    <fb>45.923400000000001</fb>
    <v>34</v>
  </rv>
  <rv s="14">
    <fb>123.93</fb>
    <v>34</v>
  </rv>
  <rv s="14">
    <fb>76.98</fb>
    <v>34</v>
  </rv>
  <rv s="14">
    <fb>12.38</fb>
    <v>34</v>
  </rv>
  <rv s="14">
    <fb>62.8</fb>
    <v>34</v>
  </rv>
  <rv s="14">
    <fb>85.26</fb>
    <v>34</v>
  </rv>
  <rv s="14">
    <fb>26.04</fb>
    <v>34</v>
  </rv>
  <rv s="14">
    <fb>515.80999999999995</fb>
    <v>34</v>
  </rv>
  <rv s="14">
    <fb>227.11</fb>
    <v>34</v>
  </rv>
  <rv s="14">
    <fb>35.85</fb>
    <v>34</v>
  </rv>
  <rv s="14">
    <fb>99.93</fb>
    <v>34</v>
  </rv>
  <rv s="14">
    <fb>134.97999999999999</fb>
    <v>34</v>
  </rv>
  <rv s="14">
    <fb>148.69</fb>
    <v>34</v>
  </rv>
  <rv s="14">
    <fb>70.760000000000005</fb>
    <v>34</v>
  </rv>
  <rv s="14">
    <fb>306.77999999999997</fb>
    <v>34</v>
  </rv>
  <rv s="14">
    <fb>85.23</fb>
    <v>34</v>
  </rv>
  <rv s="14">
    <fb>921.17</fb>
    <v>34</v>
  </rv>
  <rv s="14">
    <fb>163.56</fb>
    <v>34</v>
  </rv>
  <rv s="14">
    <fb>144.13999999999999</fb>
    <v>34</v>
  </rv>
  <rv s="14">
    <fb>202.68</fb>
    <v>34</v>
  </rv>
  <rv s="14">
    <fb>76.28</fb>
    <v>34</v>
  </rv>
  <rv s="14">
    <fb>23.24</fb>
    <v>34</v>
  </rv>
  <rv s="14">
    <fb>58.95</fb>
    <v>34</v>
  </rv>
  <rv s="14">
    <fb>55</fb>
    <v>34</v>
  </rv>
  <rv s="14">
    <fb>28.18</fb>
    <v>34</v>
  </rv>
  <rv s="14">
    <fb>19.937000000000001</fb>
    <v>34</v>
  </rv>
  <rv s="14">
    <fb>45758</fb>
    <v>33</v>
  </rv>
  <rv s="14">
    <fb>198.15</fb>
    <v>34</v>
  </rv>
  <rv s="14">
    <fb>110.93</fb>
    <v>34</v>
  </rv>
  <rv s="14">
    <fb>388.45</fb>
    <v>34</v>
  </rv>
  <rv s="14">
    <fb>543.57000000000005</fb>
    <v>34</v>
  </rv>
  <rv s="14">
    <fb>157.13999999999999</fb>
    <v>34</v>
  </rv>
  <rv s="14">
    <fb>533.94000000000005</fb>
    <v>34</v>
  </rv>
  <rv s="14">
    <fb>86.89</fb>
    <v>34</v>
  </rv>
  <rv s="14">
    <fb>297.93</fb>
    <v>34</v>
  </rv>
  <rv s="14">
    <fb>66.459999999999994</fb>
    <v>34</v>
  </rv>
  <rv s="14">
    <fb>45.939100000000003</fb>
    <v>34</v>
  </rv>
  <rv s="14">
    <fb>125.92</fb>
    <v>34</v>
  </rv>
  <rv s="14">
    <fb>78.89</fb>
    <v>34</v>
  </rv>
  <rv s="14">
    <fb>12.49</fb>
    <v>34</v>
  </rv>
  <rv s="14">
    <fb>64.010000000000005</fb>
    <v>34</v>
  </rv>
  <rv s="14">
    <fb>86.4</fb>
    <v>34</v>
  </rv>
  <rv s="14">
    <fb>50.35</fb>
    <v>34</v>
  </rv>
  <rv s="14">
    <fb>524.11</fb>
    <v>34</v>
  </rv>
  <rv s="14">
    <fb>236.2</fb>
    <v>34</v>
  </rv>
  <rv s="14">
    <fb>35.950000000000003</fb>
    <v>34</v>
  </rv>
  <rv s="14">
    <fb>103.14</fb>
    <v>34</v>
  </rv>
  <rv s="14">
    <fb>135.63</fb>
    <v>34</v>
  </rv>
  <rv s="14">
    <fb>151.72999999999999</fb>
    <v>34</v>
  </rv>
  <rv s="14">
    <fb>309.89999999999998</fb>
    <v>34</v>
  </rv>
  <rv s="14">
    <fb>84.89</fb>
    <v>34</v>
  </rv>
  <rv s="14">
    <fb>918.29</fb>
    <v>34</v>
  </rv>
  <rv s="14">
    <fb>166.91</fb>
    <v>34</v>
  </rv>
  <rv s="14">
    <fb>144.43</fb>
    <v>34</v>
  </rv>
  <rv s="14">
    <fb>210.29</fb>
    <v>34</v>
  </rv>
  <rv s="14">
    <fb>78.53</fb>
    <v>34</v>
  </rv>
  <rv s="14">
    <fb>23.99</fb>
    <v>34</v>
  </rv>
  <rv s="14">
    <fb>58.66</fb>
    <v>34</v>
  </rv>
  <rv s="14">
    <fb>55.13</fb>
    <v>34</v>
  </rv>
  <rv s="14">
    <fb>28.21</fb>
    <v>34</v>
  </rv>
  <rv s="14">
    <fb>20.2743</fb>
    <v>34</v>
  </rv>
  <rv s="14">
    <fb>45761</fb>
    <v>33</v>
  </rv>
  <rv s="14">
    <fb>202.52</fb>
    <v>34</v>
  </rv>
  <rv s="14">
    <fb>110.71</fb>
    <v>34</v>
  </rv>
  <rv s="14">
    <fb>387.81</fb>
    <v>34</v>
  </rv>
  <rv s="14">
    <fb>531.48</fb>
    <v>34</v>
  </rv>
  <rv s="14">
    <fb>159.07</fb>
    <v>34</v>
  </rv>
  <rv s="14">
    <fb>539.12</fb>
    <v>34</v>
  </rv>
  <rv s="14">
    <fb>296.23</fb>
    <v>34</v>
  </rv>
  <rv s="14">
    <fb>66.66</fb>
    <v>34</v>
  </rv>
  <rv s="14">
    <fb>94.26</fb>
    <v>34</v>
  </rv>
  <rv s="14">
    <fb>46.2669</fb>
    <v>34</v>
  </rv>
  <rv s="14">
    <fb>125.52</fb>
    <v>34</v>
  </rv>
  <rv s="14">
    <fb>79.17</fb>
    <v>34</v>
  </rv>
  <rv s="14">
    <fb>12.56</fb>
    <v>34</v>
  </rv>
  <rv s="14">
    <fb>63.63</fb>
    <v>34</v>
  </rv>
  <rv s="14">
    <fb>50.54</fb>
    <v>34</v>
  </rv>
  <rv s="14">
    <fb>529.52</fb>
    <v>34</v>
  </rv>
  <rv s="14">
    <fb>234.72</fb>
    <v>34</v>
  </rv>
  <rv s="14">
    <fb>36.67</fb>
    <v>34</v>
  </rv>
  <rv s="14">
    <fb>103.39</fb>
    <v>34</v>
  </rv>
  <rv s="14">
    <fb>135.32</fb>
    <v>34</v>
  </rv>
  <rv s="14">
    <fb>154.36000000000001</fb>
    <v>34</v>
  </rv>
  <rv s="14">
    <fb>72.45</fb>
    <v>34</v>
  </rv>
  <rv s="14">
    <fb>316.07</fb>
    <v>34</v>
  </rv>
  <rv s="14">
    <fb>84.66</fb>
    <v>34</v>
  </rv>
  <rv s="14">
    <fb>931.28</fb>
    <v>34</v>
  </rv>
  <rv s="14">
    <fb>169.13</fb>
    <v>34</v>
  </rv>
  <rv s="14">
    <fb>210.6</fb>
    <v>34</v>
  </rv>
  <rv s="14">
    <fb>78.56</fb>
    <v>34</v>
  </rv>
  <rv s="14">
    <fb>23.98</fb>
    <v>34</v>
  </rv>
  <rv s="14">
    <fb>22.75</fb>
    <v>34</v>
  </rv>
  <rv s="14">
    <fb>55.57</fb>
    <v>34</v>
  </rv>
  <rv s="14">
    <fb>20.670100000000001</fb>
    <v>34</v>
  </rv>
  <rv s="14">
    <fb>45762</fb>
    <v>33</v>
  </rv>
  <rv s="14">
    <fb>202.14</fb>
    <v>34</v>
  </rv>
  <rv s="14">
    <fb>112.2</fb>
    <v>34</v>
  </rv>
  <rv s="14">
    <fb>385.73</fb>
    <v>34</v>
  </rv>
  <rv s="14">
    <fb>521.52</fb>
    <v>34</v>
  </rv>
  <rv s="14">
    <fb>156.31</fb>
    <v>34</v>
  </rv>
  <rv s="14">
    <fb>537.61</fb>
    <v>34</v>
  </rv>
  <rv s="14">
    <fb>297.77999999999997</fb>
    <v>34</v>
  </rv>
  <rv s="14">
    <fb>66.48</fb>
    <v>34</v>
  </rv>
  <rv s="14">
    <fb>94.54</fb>
    <v>34</v>
  </rv>
  <rv s="14">
    <fb>46.3536</fb>
    <v>34</v>
  </rv>
  <rv s="14">
    <fb>127.84</fb>
    <v>34</v>
  </rv>
  <rv s="14">
    <fb>79.05</fb>
    <v>34</v>
  </rv>
  <rv s="14">
    <fb>12.51</fb>
    <v>34</v>
  </rv>
  <rv s="14">
    <fb>29.41</fb>
    <v>34</v>
  </rv>
  <rv s="14">
    <fb>64</fb>
    <v>34</v>
  </rv>
  <rv s="14">
    <fb>87.96</fb>
    <v>34</v>
  </rv>
  <rv s="14">
    <fb>50.69</fb>
    <v>34</v>
  </rv>
  <rv s="14">
    <fb>528.16999999999996</fb>
    <v>34</v>
  </rv>
  <rv s="14">
    <fb>233.13</fb>
    <v>34</v>
  </rv>
  <rv s="14">
    <fb>37.99</fb>
    <v>34</v>
  </rv>
  <rv s="14">
    <fb>103.1</fb>
    <v>34</v>
  </rv>
  <rv s="14">
    <fb>134.54</fb>
    <v>34</v>
  </rv>
  <rv s="14">
    <fb>153.62</fb>
    <v>34</v>
  </rv>
  <rv s="14">
    <fb>71.86</fb>
    <v>34</v>
  </rv>
  <rv s="14">
    <fb>312.48</fb>
    <v>34</v>
  </rv>
  <rv s="14">
    <fb>85.01</fb>
    <v>34</v>
  </rv>
  <rv s="14">
    <fb>976.28</fb>
    <v>34</v>
  </rv>
  <rv s="14">
    <fb>168.47</fb>
    <v>34</v>
  </rv>
  <rv s="14">
    <fb>142.84</fb>
    <v>34</v>
  </rv>
  <rv s="14">
    <fb>78.13</fb>
    <v>34</v>
  </rv>
  <rv s="14">
    <fb>23.89</fb>
    <v>34</v>
  </rv>
  <rv s="14">
    <fb>20.730399999999999</fb>
    <v>34</v>
  </rv>
  <rv s="14">
    <fb>45763</fb>
    <v>33</v>
  </rv>
  <rv s="14">
    <fb>194.27</fb>
    <v>34</v>
  </rv>
  <rv s="14">
    <fb>104.49</fb>
    <v>34</v>
  </rv>
  <rv s="14">
    <fb>371.61</fb>
    <v>34</v>
  </rv>
  <rv s="14">
    <fb>502.31</fb>
    <v>34</v>
  </rv>
  <rv s="14">
    <fb>153.33000000000001</fb>
    <v>34</v>
  </rv>
  <rv s="14">
    <fb>525.66</fb>
    <v>34</v>
  </rv>
  <rv s="14">
    <fb>307.47000000000003</fb>
    <v>34</v>
  </rv>
  <rv s="14">
    <fb>67.75</fb>
    <v>34</v>
  </rv>
  <rv s="14">
    <fb>94.95</fb>
    <v>34</v>
  </rv>
  <rv s="14">
    <fb>46.458100000000002</fb>
    <v>34</v>
  </rv>
  <rv s="14">
    <fb>125.21</fb>
    <v>34</v>
  </rv>
  <rv s="14">
    <fb>79.7</fb>
    <v>34</v>
  </rv>
  <rv s="14">
    <fb>12.69</fb>
    <v>34</v>
  </rv>
  <rv s="14">
    <fb>3.36</fb>
    <v>35</v>
  </rv>
  <rv s="14">
    <fb>29.76</fb>
    <v>34</v>
  </rv>
  <rv s="14">
    <fb>66.08</fb>
    <v>34</v>
  </rv>
  <rv s="14">
    <fb>88.6</fb>
    <v>34</v>
  </rv>
  <rv s="14">
    <fb>516.45000000000005</fb>
    <v>34</v>
  </rv>
  <rv s="14">
    <fb>229.61</fb>
    <v>34</v>
  </rv>
  <rv s="14">
    <fb>37.33</fb>
    <v>34</v>
  </rv>
  <rv s="14">
    <fb>104.19</fb>
    <v>34</v>
  </rv>
  <rv s="14">
    <fb>135.36000000000001</fb>
    <v>34</v>
  </rv>
  <rv s="14">
    <fb>153.91</fb>
    <v>34</v>
  </rv>
  <rv s="14">
    <fb>71.680000000000007</fb>
    <v>34</v>
  </rv>
  <rv s="14">
    <fb>309.10000000000002</fb>
    <v>34</v>
  </rv>
  <rv s="14">
    <fb>82.77</fb>
    <v>34</v>
  </rv>
  <rv s="14">
    <fb>961.63</fb>
    <v>34</v>
  </rv>
  <rv s="14">
    <fb>166.39</fb>
    <v>34</v>
  </rv>
  <rv s="14">
    <fb>140.09</fb>
    <v>34</v>
  </rv>
  <rv s="14">
    <fb>211.31</fb>
    <v>34</v>
  </rv>
  <rv s="14">
    <fb>79.19</fb>
    <v>34</v>
  </rv>
  <rv s="14">
    <fb>24.29</fb>
    <v>34</v>
  </rv>
  <rv s="14">
    <fb>59.36</fb>
    <v>34</v>
  </rv>
  <rv s="14">
    <fb>56.07</fb>
    <v>34</v>
  </rv>
  <rv s="14">
    <fb>28.58</fb>
    <v>34</v>
  </rv>
  <rv s="14">
    <fb>20.706499999999998</fb>
    <v>34</v>
  </rv>
  <rv s="14">
    <fb>45764</fb>
    <v>33</v>
  </rv>
  <rv s="14">
    <fb>196.98</fb>
    <v>34</v>
  </rv>
  <rv s="14">
    <fb>101.49</fb>
    <v>34</v>
  </rv>
  <rv s="14">
    <fb>367.78</fb>
    <v>34</v>
  </rv>
  <rv s="14">
    <fb>501.48</fb>
    <v>34</v>
  </rv>
  <rv s="14">
    <fb>151.16</fb>
    <v>34</v>
  </rv>
  <rv s="14">
    <fb>526.41</fb>
    <v>34</v>
  </rv>
  <rv s="14">
    <fb>87.53</fb>
    <v>34</v>
  </rv>
  <rv s="14">
    <fb>306.12</fb>
    <v>34</v>
  </rv>
  <rv s="14">
    <fb>69.48</fb>
    <v>34</v>
  </rv>
  <rv s="14">
    <fb>94.68</fb>
    <v>34</v>
  </rv>
  <rv s="14">
    <fb>46.395000000000003</fb>
    <v>34</v>
  </rv>
  <rv s="14">
    <fb>126.78</fb>
    <v>34</v>
  </rv>
  <rv s="14">
    <fb>81.5</fb>
    <v>34</v>
  </rv>
  <rv s="14">
    <fb>12.97</fb>
    <v>34</v>
  </rv>
  <rv s="14">
    <fb>3.35</fb>
    <v>35</v>
  </rv>
  <rv s="14">
    <fb>65.78</fb>
    <v>34</v>
  </rv>
  <rv s="14">
    <fb>88.48</fb>
    <v>34</v>
  </rv>
  <rv s="14">
    <fb>518.21</fb>
    <v>34</v>
  </rv>
  <rv s="14">
    <fb>231.96</fb>
    <v>34</v>
  </rv>
  <rv s="14">
    <fb>37.409999999999997</fb>
    <v>34</v>
  </rv>
  <rv s="14">
    <fb>106.92</fb>
    <v>34</v>
  </rv>
  <rv s="14">
    <fb>137.87</fb>
    <v>34</v>
  </rv>
  <rv s="14">
    <fb>157.47</fb>
    <v>34</v>
  </rv>
  <rv s="14">
    <fb>73</fb>
    <v>34</v>
  </rv>
  <rv s="14">
    <fb>311.3</fb>
    <v>34</v>
  </rv>
  <rv s="14">
    <fb>84.81</fb>
    <v>34</v>
  </rv>
  <rv s="14">
    <fb>973.03</fb>
    <v>34</v>
  </rv>
  <rv s="14">
    <fb>218.84</fb>
    <v>34</v>
  </rv>
  <rv s="14">
    <fb>81.23</fb>
    <v>34</v>
  </rv>
  <rv s="14">
    <fb>24.91</fb>
    <v>34</v>
  </rv>
  <rv s="14">
    <fb>22.81</fb>
    <v>34</v>
  </rv>
  <rv s="14">
    <fb>59.29</fb>
    <v>34</v>
  </rv>
  <rv s="14">
    <fb>55.62</fb>
    <v>34</v>
  </rv>
  <rv s="14">
    <fb>21.0412</fb>
    <v>34</v>
  </rv>
  <rv s="14">
    <fb>45768</fb>
    <v>33</v>
  </rv>
  <rv s="14">
    <fb>193.16</fb>
    <v>34</v>
  </rv>
  <rv s="14">
    <fb>96.91</fb>
    <v>34</v>
  </rv>
  <rv s="14">
    <fb>359.12</fb>
    <v>34</v>
  </rv>
  <rv s="14">
    <fb>484.66</fb>
    <v>34</v>
  </rv>
  <rv s="14">
    <fb>147.66999999999999</fb>
    <v>34</v>
  </rv>
  <rv s="14">
    <fb>513.88</fb>
    <v>34</v>
  </rv>
  <rv s="14">
    <fb>86</fb>
    <v>34</v>
  </rv>
  <rv s="14">
    <fb>315.58999999999997</fb>
    <v>34</v>
  </rv>
  <rv s="14">
    <fb>68.62</fb>
    <v>34</v>
  </rv>
  <rv s="14">
    <fb>45.982300000000002</fb>
    <v>34</v>
  </rv>
  <rv s="14">
    <fb>119.63</fb>
    <v>34</v>
  </rv>
  <rv s="14">
    <fb>79.37</fb>
    <v>34</v>
  </rv>
  <rv s="14">
    <fb>12.77</fb>
    <v>34</v>
  </rv>
  <rv s="14">
    <fb>29.79</fb>
    <v>34</v>
  </rv>
  <rv s="14">
    <fb>67.819999999999993</fb>
    <v>34</v>
  </rv>
  <rv s="14">
    <fb>50.68</fb>
    <v>34</v>
  </rv>
  <rv s="14">
    <fb>25.91</fb>
    <v>34</v>
  </rv>
  <rv s="14">
    <fb>506.92</fb>
    <v>34</v>
  </rv>
  <rv s="14">
    <fb>228.99</fb>
    <v>34</v>
  </rv>
  <rv s="14">
    <fb>36.92</fb>
    <v>34</v>
  </rv>
  <rv s="14">
    <fb>105.35</fb>
    <v>34</v>
  </rv>
  <rv s="14">
    <fb>133.72999999999999</fb>
    <v>34</v>
  </rv>
  <rv s="14">
    <fb>72.77</fb>
    <v>34</v>
  </rv>
  <rv s="14">
    <fb>308.72000000000003</fb>
    <v>34</v>
  </rv>
  <rv s="14">
    <fb>84</fb>
    <v>34</v>
  </rv>
  <rv s="14">
    <fb>987.91</fb>
    <v>34</v>
  </rv>
  <rv s="14">
    <fb>141.72999999999999</fb>
    <v>34</v>
  </rv>
  <rv s="14">
    <fb>212.98</fb>
    <v>34</v>
  </rv>
  <rv s="14">
    <fb>79.040000000000006</fb>
    <v>34</v>
  </rv>
  <rv s="14">
    <fb>24.15</fb>
    <v>34</v>
  </rv>
  <rv s="14">
    <fb>22.715</fb>
    <v>34</v>
  </rv>
  <rv s="14">
    <fb>59.15</fb>
    <v>34</v>
  </rv>
  <rv s="14">
    <fb>54.71</fb>
    <v>34</v>
  </rv>
  <rv s="14">
    <fb>20.645600000000002</fb>
    <v>34</v>
  </rv>
  <rv s="14">
    <fb>45769</fb>
    <v>33</v>
  </rv>
  <rv s="14">
    <fb>199.74</fb>
    <v>34</v>
  </rv>
  <rv s="14">
    <fb>366.82</fb>
    <v>34</v>
  </rv>
  <rv s="14">
    <fb>500.28</fb>
    <v>34</v>
  </rv>
  <rv s="14">
    <fb>527.25</fb>
    <v>34</v>
  </rv>
  <rv s="14">
    <fb>311.11</fb>
    <v>34</v>
  </rv>
  <rv s="14">
    <fb>69.37</fb>
    <v>34</v>
  </rv>
  <rv s="14">
    <fb>94.24</fb>
    <v>34</v>
  </rv>
  <rv s="14">
    <fb>46.25</fb>
    <v>34</v>
  </rv>
  <rv s="14">
    <fb>123.71</fb>
    <v>34</v>
  </rv>
  <rv s="14">
    <fb>81.39</fb>
    <v>34</v>
  </rv>
  <rv s="14">
    <fb>12.89</fb>
    <v>34</v>
  </rv>
  <rv s="14">
    <fb>3.23</fb>
    <v>35</v>
  </rv>
  <rv s="14">
    <fb>66.849999999999994</fb>
    <v>34</v>
  </rv>
  <rv s="14">
    <fb>87.61</fb>
    <v>34</v>
  </rv>
  <rv s="14">
    <fb>520.79</fb>
    <v>34</v>
  </rv>
  <rv s="14">
    <fb>235.59</fb>
    <v>34</v>
  </rv>
  <rv s="14">
    <fb>38.32</fb>
    <v>34</v>
  </rv>
  <rv s="14">
    <fb>108.3</fb>
    <v>34</v>
  </rv>
  <rv s="14">
    <fb>137.30000000000001</fb>
    <v>34</v>
  </rv>
  <rv s="14">
    <fb>157.75</fb>
    <v>34</v>
  </rv>
  <rv s="14">
    <fb>73.900000000000006</fb>
    <v>34</v>
  </rv>
  <rv s="14">
    <fb>319.08</fb>
    <v>34</v>
  </rv>
  <rv s="14">
    <fb>86.09</fb>
    <v>34</v>
  </rv>
  <rv s="14">
    <fb>1040.3399999999999</fb>
    <v>34</v>
  </rv>
  <rv s="14">
    <fb>167.88</fb>
    <v>34</v>
  </rv>
  <rv s="14">
    <fb>143.46</fb>
    <v>34</v>
  </rv>
  <rv s="14">
    <fb>213.62</fb>
    <v>34</v>
  </rv>
  <rv s="14">
    <fb>81.2</fb>
    <v>34</v>
  </rv>
  <rv s="14">
    <fb>24.71</fb>
    <v>34</v>
  </rv>
  <rv s="14">
    <fb>22.74</fb>
    <v>34</v>
  </rv>
  <rv s="14">
    <fb>55.01</fb>
    <v>34</v>
  </rv>
  <rv s="14">
    <fb>28.39</fb>
    <v>34</v>
  </rv>
  <rv s="14">
    <fb>21.058499999999999</fb>
    <v>34</v>
  </rv>
  <rv s="14">
    <fb>45770</fb>
    <v>33</v>
  </rv>
  <rv s="14">
    <fb>204.6</fb>
    <v>34</v>
  </rv>
  <rv s="14">
    <fb>102.71</fb>
    <v>34</v>
  </rv>
  <rv s="14">
    <fb>374.39</fb>
    <v>34</v>
  </rv>
  <rv s="14">
    <fb>520.27</fb>
    <v>34</v>
  </rv>
  <rv s="14">
    <fb>535.41999999999996</fb>
    <v>34</v>
  </rv>
  <rv s="14">
    <fb>303.64999999999998</fb>
    <v>34</v>
  </rv>
  <rv s="14">
    <fb>68.05</fb>
    <v>34</v>
  </rv>
  <rv s="14">
    <fb>94.34</fb>
    <v>34</v>
  </rv>
  <rv s="14">
    <fb>46.195</fb>
    <v>34</v>
  </rv>
  <rv s="14">
    <fb>126.55</fb>
    <v>34</v>
  </rv>
  <rv s="14">
    <fb>81.239999999999995</fb>
    <v>34</v>
  </rv>
  <rv s="14">
    <fb>12.23</fb>
    <v>34</v>
  </rv>
  <rv s="14">
    <fb>30.56</fb>
    <v>34</v>
  </rv>
  <rv s="14">
    <fb>4.63</fb>
    <v>34</v>
  </rv>
  <rv s="14">
    <fb>65.260000000000005</fb>
    <v>34</v>
  </rv>
  <rv s="14">
    <fb>88.44</fb>
    <v>34</v>
  </rv>
  <rv s="14">
    <fb>526.80999999999995</fb>
    <v>34</v>
  </rv>
  <rv s="14">
    <fb>240.88</fb>
    <v>34</v>
  </rv>
  <rv s="14">
    <fb>38.75</fb>
    <v>34</v>
  </rv>
  <rv s="14">
    <fb>107.37</fb>
    <v>34</v>
  </rv>
  <rv s="14">
    <fb>136.68</fb>
    <v>34</v>
  </rv>
  <rv s="14">
    <fb>155.38</fb>
    <v>34</v>
  </rv>
  <rv s="14">
    <fb>318.48</fb>
    <v>34</v>
  </rv>
  <rv s="14">
    <fb>1049.5899999999999</fb>
    <v>34</v>
  </rv>
  <rv s="14">
    <fb>165.73</fb>
    <v>34</v>
  </rv>
  <rv s="14">
    <fb>142.26</fb>
    <v>34</v>
  </rv>
  <rv s="14">
    <fb>209.72</fb>
    <v>34</v>
  </rv>
  <rv s="14">
    <fb>81.680000000000007</fb>
    <v>34</v>
  </rv>
  <rv s="14">
    <fb>24.79</fb>
    <v>34</v>
  </rv>
  <rv s="14">
    <fb>58.655000000000001</fb>
    <v>34</v>
  </rv>
  <rv s="14">
    <fb>21.013999999999999</fb>
    <v>34</v>
  </rv>
  <rv s="14">
    <fb>45771</fb>
    <v>33</v>
  </rv>
  <rv s="14">
    <fb>208.37</fb>
    <v>34</v>
  </rv>
  <rv s="14">
    <fb>106.43</fb>
    <v>34</v>
  </rv>
  <rv s="14">
    <fb>387.3</fb>
    <v>34</v>
  </rv>
  <rv s="14">
    <fb>533.15</fb>
    <v>34</v>
  </rv>
  <rv s="14">
    <fb>159.28</fb>
    <v>34</v>
  </rv>
  <rv s="14">
    <fb>546.69000000000005</fb>
    <v>34</v>
  </rv>
  <rv s="14">
    <fb>308.07</fb>
    <v>34</v>
  </rv>
  <rv s="14">
    <fb>68.459999999999994</fb>
    <v>34</v>
  </rv>
  <rv s="14">
    <fb>94.85</fb>
    <v>34</v>
  </rv>
  <rv s="14">
    <fb>46.4651</fb>
    <v>34</v>
  </rv>
  <rv s="14">
    <fb>133.32</fb>
    <v>34</v>
  </rv>
  <rv s="14">
    <fb>82.54</fb>
    <v>34</v>
  </rv>
  <rv s="14">
    <fb>12.82</fb>
    <v>34</v>
  </rv>
  <rv s="14">
    <fb>66.19</fb>
    <v>34</v>
  </rv>
  <rv s="14">
    <fb>89.02</fb>
    <v>34</v>
  </rv>
  <rv s="14">
    <fb>531.64</fb>
    <v>34</v>
  </rv>
  <rv s="14">
    <fb>244.64</fb>
    <v>34</v>
  </rv>
  <rv s="14">
    <fb>39.58</fb>
    <v>34</v>
  </rv>
  <rv s="14">
    <fb>108.63</fb>
    <v>34</v>
  </rv>
  <rv s="14">
    <fb>139.07</fb>
    <v>34</v>
  </rv>
  <rv s="14">
    <fb>154.93</fb>
    <v>34</v>
  </rv>
  <rv s="14">
    <fb>72.52</fb>
    <v>34</v>
  </rv>
  <rv s="14">
    <fb>316.22000000000003</fb>
    <v>34</v>
  </rv>
  <rv s="14">
    <fb>90.01</fb>
    <v>34</v>
  </rv>
  <rv s="14">
    <fb>1096.8699999999999</fb>
    <v>34</v>
  </rv>
  <rv s="14">
    <fb>159.53</fb>
    <v>34</v>
  </rv>
  <rv s="14">
    <fb>135.31</fb>
    <v>34</v>
  </rv>
  <rv s="14">
    <fb>215.95</fb>
    <v>34</v>
  </rv>
  <rv s="14">
    <fb>25.01</fb>
    <v>34</v>
  </rv>
  <rv s="14">
    <fb>58.73</fb>
    <v>34</v>
  </rv>
  <rv s="14">
    <fb>59.35</fb>
    <v>34</v>
  </rv>
  <rv s="14">
    <fb>56.04</fb>
    <v>34</v>
  </rv>
  <rv s="14">
    <fb>21.040500000000002</fb>
    <v>34</v>
  </rv>
  <rv s="14">
    <fb>45772</fb>
    <v>33</v>
  </rv>
  <rv s="14">
    <fb>209.28</fb>
    <v>34</v>
  </rv>
  <rv s="14">
    <fb>111.01</fb>
    <v>34</v>
  </rv>
  <rv s="14">
    <fb>391.85</fb>
    <v>34</v>
  </rv>
  <rv s="14">
    <fb>547.27</fb>
    <v>34</v>
  </rv>
  <rv s="14">
    <fb>161.96</fb>
    <v>34</v>
  </rv>
  <rv s="14">
    <fb>550.64</fb>
    <v>34</v>
  </rv>
  <rv s="14">
    <fb>88.89</fb>
    <v>34</v>
  </rv>
  <rv s="14">
    <fb>304.73</fb>
    <v>34</v>
  </rv>
  <rv s="14">
    <fb>69.03</fb>
    <v>34</v>
  </rv>
  <rv s="14">
    <fb>95.21</fb>
    <v>34</v>
  </rv>
  <rv s="14">
    <fb>46.660600000000002</fb>
    <v>34</v>
  </rv>
  <rv s="14">
    <fb>133.4</fb>
    <v>34</v>
  </rv>
  <rv s="14">
    <fb>82.39</fb>
    <v>34</v>
  </rv>
  <rv s="14">
    <fb>12.93</fb>
    <v>34</v>
  </rv>
  <rv s="14">
    <fb>3.64</fb>
    <v>35</v>
  </rv>
  <rv s="14">
    <fb>30.05</fb>
    <v>34</v>
  </rv>
  <rv s="14">
    <fb>4.6399999999999997</fb>
    <v>34</v>
  </rv>
  <rv s="14">
    <fb>65.44</fb>
    <v>34</v>
  </rv>
  <rv s="14">
    <fb>530.96</fb>
    <v>34</v>
  </rv>
  <rv s="14">
    <fb>243.55</fb>
    <v>34</v>
  </rv>
  <rv s="14">
    <fb>39.69</fb>
    <v>34</v>
  </rv>
  <rv s="14">
    <fb>108.57</fb>
    <v>34</v>
  </rv>
  <rv s="14">
    <fb>138.72999999999999</fb>
    <v>34</v>
  </rv>
  <rv s="14">
    <fb>154.58000000000001</fb>
    <v>34</v>
  </rv>
  <rv s="14">
    <fb>71.91</fb>
    <v>34</v>
  </rv>
  <rv s="14">
    <fb>316.74</fb>
    <v>34</v>
  </rv>
  <rv s="14">
    <fb>1101.53</fb>
    <v>34</v>
  </rv>
  <rv s="14">
    <fb>133.38</fb>
    <v>34</v>
  </rv>
  <rv s="14">
    <fb>216.28</fb>
    <v>34</v>
  </rv>
  <rv s="14">
    <fb>83.02</fb>
    <v>34</v>
  </rv>
  <rv s="14">
    <fb>25.14</fb>
    <v>34</v>
  </rv>
  <rv s="14">
    <fb>58.78</fb>
    <v>34</v>
  </rv>
  <rv s="14">
    <fb>59.5</fb>
    <v>34</v>
  </rv>
  <rv s="14">
    <fb>56.41</fb>
    <v>34</v>
  </rv>
  <rv s="14">
    <fb>21.0242</fb>
    <v>34</v>
  </rv>
  <rv s="14">
    <fb>45775</fb>
    <v>33</v>
  </rv>
  <rv s="14">
    <fb>210.14</fb>
    <v>34</v>
  </rv>
  <rv s="14">
    <fb>108.73</fb>
    <v>34</v>
  </rv>
  <rv s="14">
    <fb>391.16</fb>
    <v>34</v>
  </rv>
  <rv s="14">
    <fb>549.74</fb>
    <v>34</v>
  </rv>
  <rv s="14">
    <fb>550.85</fb>
    <v>34</v>
  </rv>
  <rv s="14">
    <fb>89.45</fb>
    <v>34</v>
  </rv>
  <rv s="14">
    <fb>309.07</fb>
    <v>34</v>
  </rv>
  <rv s="14">
    <fb>67.760000000000005</fb>
    <v>34</v>
  </rv>
  <rv s="14">
    <fb>95.59</fb>
    <v>34</v>
  </rv>
  <rv s="14">
    <fb>46.9</fb>
    <v>34</v>
  </rv>
  <rv s="14">
    <fb>136.36000000000001</fb>
    <v>34</v>
  </rv>
  <rv s="14">
    <fb>82.97</fb>
    <v>34</v>
  </rv>
  <rv s="14">
    <fb>12.73</fb>
    <v>34</v>
  </rv>
  <rv s="14">
    <fb>30.19</fb>
    <v>34</v>
  </rv>
  <rv s="14">
    <fb>4.53</fb>
    <v>34</v>
  </rv>
  <rv s="14">
    <fb>66.38</fb>
    <v>34</v>
  </rv>
  <rv s="14">
    <fb>90.56</fb>
    <v>34</v>
  </rv>
  <rv s="14">
    <fb>26.72</fb>
    <v>34</v>
  </rv>
  <rv s="14">
    <fb>29.32</fb>
    <v>34</v>
  </rv>
  <rv s="14">
    <fb>530.94000000000005</fb>
    <v>34</v>
  </rv>
  <rv s="14">
    <fb>243.22</fb>
    <v>34</v>
  </rv>
  <rv s="14">
    <fb>39.78</fb>
    <v>34</v>
  </rv>
  <rv s="14">
    <fb>140.1</fb>
    <v>34</v>
  </rv>
  <rv s="14">
    <fb>71.790000000000006</fb>
    <v>34</v>
  </rv>
  <rv s="14">
    <fb>316.81</fb>
    <v>34</v>
  </rv>
  <rv s="14">
    <fb>1110.3800000000001</fb>
    <v>34</v>
  </rv>
  <rv s="14">
    <fb>161.85</fb>
    <v>34</v>
  </rv>
  <rv s="14">
    <fb>133.76</fb>
    <v>34</v>
  </rv>
  <rv s="14">
    <fb>214.76</fb>
    <v>34</v>
  </rv>
  <rv s="14">
    <fb>84.01</fb>
    <v>34</v>
  </rv>
  <rv s="14">
    <fb>25.39</fb>
    <v>34</v>
  </rv>
  <rv s="14">
    <fb>22.99</fb>
    <v>34</v>
  </rv>
  <rv s="14">
    <fb>58.86</fb>
    <v>34</v>
  </rv>
  <rv s="14">
    <fb>59.69</fb>
    <v>34</v>
  </rv>
  <rv s="14">
    <fb>56.72</fb>
    <v>34</v>
  </rv>
  <rv s="14">
    <fb>21.121700000000001</fb>
    <v>34</v>
  </rv>
  <rv s="14">
    <fb>45776</fb>
    <v>33</v>
  </rv>
  <rv s="14">
    <fb>211.21</fb>
    <v>34</v>
  </rv>
  <rv s="14">
    <fb>394.04</fb>
    <v>34</v>
  </rv>
  <rv s="14">
    <fb>554.44000000000005</fb>
    <v>34</v>
  </rv>
  <rv s="14">
    <fb>160.16</fb>
    <v>34</v>
  </rv>
  <rv s="14">
    <fb>554.32000000000005</fb>
    <v>34</v>
  </rv>
  <rv s="14">
    <fb>306.06</fb>
    <v>34</v>
  </rv>
  <rv s="14">
    <fb>65.849999999999994</fb>
    <v>34</v>
  </rv>
  <rv s="14">
    <fb>46.945</fb>
    <v>34</v>
  </rv>
  <rv s="14">
    <fb>137.55000000000001</fb>
    <v>34</v>
  </rv>
  <rv s="14">
    <fb>82.73</fb>
    <v>34</v>
  </rv>
  <rv s="14">
    <fb>12.45</fb>
    <v>34</v>
  </rv>
  <rv s="14">
    <fb>3.63</fb>
    <v>35</v>
  </rv>
  <rv s="14">
    <fb>4.4800000000000004</fb>
    <v>34</v>
  </rv>
  <rv s="14">
    <fb>65.77</fb>
    <v>34</v>
  </rv>
  <rv s="14">
    <fb>534.57000000000005</fb>
    <v>34</v>
  </rv>
  <rv s="14">
    <fb>39.99</fb>
    <v>34</v>
  </rv>
  <rv s="14">
    <fb>108.36</fb>
    <v>34</v>
  </rv>
  <rv s="14">
    <fb>139.30000000000001</fb>
    <v>34</v>
  </rv>
  <rv s="14">
    <fb>155.91</fb>
    <v>34</v>
  </rv>
  <rv s="14">
    <fb>72.349999999999994</fb>
    <v>34</v>
  </rv>
  <rv s="14">
    <fb>314.5</fb>
    <v>34</v>
  </rv>
  <rv s="14">
    <fb>1125.6400000000001</fb>
    <v>34</v>
  </rv>
  <rv s="14">
    <fb>162.26</fb>
    <v>34</v>
  </rv>
  <rv s="14">
    <fb>134.31</fb>
    <v>34</v>
  </rv>
  <rv s="14">
    <fb>215.43</fb>
    <v>34</v>
  </rv>
  <rv s="14">
    <fb>83.42</fb>
    <v>34</v>
  </rv>
  <rv s="14">
    <fb>23.06</fb>
    <v>34</v>
  </rv>
  <rv s="14">
    <fb>21.290800000000001</fb>
    <v>34</v>
  </rv>
  <rv s="14">
    <fb>45777</fb>
    <v>33</v>
  </rv>
  <rv s="14">
    <fb>212.5</fb>
    <v>34</v>
  </rv>
  <rv s="14">
    <fb>108.92</fb>
    <v>34</v>
  </rv>
  <rv s="14">
    <fb>395.26</fb>
    <v>34</v>
  </rv>
  <rv s="14">
    <fb>549</fb>
    <v>34</v>
  </rv>
  <rv s="14">
    <fb>158.80000000000001</fb>
    <v>34</v>
  </rv>
  <rv s="14">
    <fb>554.54</fb>
    <v>34</v>
  </rv>
  <rv s="14">
    <fb>303.77</fb>
    <v>34</v>
  </rv>
  <rv s="14">
    <fb>63.56</fb>
    <v>34</v>
  </rv>
  <rv s="14">
    <fb>96.07</fb>
    <v>34</v>
  </rv>
  <rv s="14">
    <fb>46.975000000000001</fb>
    <v>34</v>
  </rv>
  <rv s="14">
    <fb>136.47999999999999</fb>
    <v>34</v>
  </rv>
  <rv s="14">
    <fb>80.5</fb>
    <v>34</v>
  </rv>
  <rv s="14">
    <fb>12.01</fb>
    <v>34</v>
  </rv>
  <rv s="14">
    <fb>4.5199999999999996</fb>
    <v>34</v>
  </rv>
  <rv s="14">
    <fb>88.49</fb>
    <v>34</v>
  </rv>
  <rv s="14">
    <fb>26.83</fb>
    <v>34</v>
  </rv>
  <rv s="14">
    <fb>533.25</fb>
    <v>34</v>
  </rv>
  <rv s="14">
    <fb>39.880000000000003</fb>
    <v>34</v>
  </rv>
  <rv s="14">
    <fb>105.63</fb>
    <v>34</v>
  </rv>
  <rv s="14">
    <fb>136.06</fb>
    <v>34</v>
  </rv>
  <rv s="14">
    <fb>72.55</fb>
    <v>34</v>
  </rv>
  <rv s="14">
    <fb>319.64999999999998</fb>
    <v>34</v>
  </rv>
  <rv s="14">
    <fb>1131.72</fb>
    <v>34</v>
  </rv>
  <rv s="14">
    <fb>162.57</fb>
    <v>34</v>
  </rv>
  <rv s="14">
    <fb>135.58000000000001</fb>
    <v>34</v>
  </rv>
  <rv s="14">
    <fb>209.06</fb>
    <v>34</v>
  </rv>
  <rv s="14">
    <fb>81.19</fb>
    <v>34</v>
  </rv>
  <rv s="14">
    <fb>24.44</fb>
    <v>34</v>
  </rv>
  <rv s="14">
    <fb>23.08</fb>
    <v>34</v>
  </rv>
  <rv s="14">
    <fb>59.97</fb>
    <v>34</v>
  </rv>
  <rv s="14">
    <fb>56.84</fb>
    <v>34</v>
  </rv>
  <rv s="14">
    <fb>21.5181</fb>
    <v>34</v>
  </rv>
  <rv s="14">
    <fb>45778</fb>
    <v>33</v>
  </rv>
  <rv s="14">
    <fb>213.32</fb>
    <v>34</v>
  </rv>
  <rv s="14">
    <fb>111.61</fb>
    <v>34</v>
  </rv>
  <rv s="14">
    <fb>425.4</fb>
    <v>34</v>
  </rv>
  <rv s="14">
    <fb>572.21</fb>
    <v>34</v>
  </rv>
  <rv s="14">
    <fb>558.47</fb>
    <v>34</v>
  </rv>
  <rv s="14">
    <fb>297.45999999999998</fb>
    <v>34</v>
  </rv>
  <rv s="14">
    <fb>64.52</fb>
    <v>34</v>
  </rv>
  <rv s="14">
    <fb>95.34</fb>
    <v>34</v>
  </rv>
  <rv s="14">
    <fb>46.8307</fb>
    <v>34</v>
  </rv>
  <rv s="14">
    <fb>137.88999999999999</fb>
    <v>34</v>
  </rv>
  <rv s="14">
    <fb>80.8</fb>
    <v>34</v>
  </rv>
  <rv s="14">
    <fb>12.18</fb>
    <v>34</v>
  </rv>
  <rv s="14">
    <fb>88.28</fb>
    <v>34</v>
  </rv>
  <rv s="14">
    <fb>26.61</fb>
    <v>34</v>
  </rv>
  <rv s="14">
    <fb>50.7</fb>
    <v>34</v>
  </rv>
  <rv s="14">
    <fb>530.23</fb>
    <v>34</v>
  </rv>
  <rv s="14">
    <fb>246.89</fb>
    <v>34</v>
  </rv>
  <rv s="14">
    <fb>40.17</fb>
    <v>34</v>
  </rv>
  <rv s="14">
    <fb>105.78</fb>
    <v>34</v>
  </rv>
  <rv s="14">
    <fb>136.26</fb>
    <v>34</v>
  </rv>
  <rv s="14">
    <fb>154.46</fb>
    <v>34</v>
  </rv>
  <rv s="14">
    <fb>313.64</fb>
    <v>34</v>
  </rv>
  <rv s="14">
    <fb>90.81</fb>
    <v>34</v>
  </rv>
  <rv s="14">
    <fb>1133.47</fb>
    <v>34</v>
  </rv>
  <rv s="14">
    <fb>159.97999999999999</fb>
    <v>34</v>
  </rv>
  <rv s="14">
    <fb>133.55000000000001</fb>
    <v>34</v>
  </rv>
  <rv s="14">
    <fb>214.78</fb>
    <v>34</v>
  </rv>
  <rv s="14">
    <fb>82.32</fb>
    <v>34</v>
  </rv>
  <rv s="14">
    <fb>24.93</fb>
    <v>34</v>
  </rv>
  <rv s="14">
    <fb>59.54</fb>
    <v>34</v>
  </rv>
  <rv s="14">
    <fb>56.3</fb>
    <v>34</v>
  </rv>
  <rv s="14">
    <fb>21.552099999999999</fb>
    <v>34</v>
  </rv>
  <rv s="14">
    <fb>45779</fb>
    <v>33</v>
  </rv>
  <rv s="14">
    <fb>205.35</fb>
    <v>34</v>
  </rv>
  <rv s="14">
    <fb>114.5</fb>
    <v>34</v>
  </rv>
  <rv s="14">
    <fb>435.28</fb>
    <v>34</v>
  </rv>
  <rv s="14">
    <fb>597.02</fb>
    <v>34</v>
  </rv>
  <rv s="14">
    <fb>164.03</fb>
    <v>34</v>
  </rv>
  <rv s="14">
    <fb>566.76</fb>
    <v>34</v>
  </rv>
  <rv s="14">
    <fb>87.73</fb>
    <v>34</v>
  </rv>
  <rv s="14">
    <fb>297.98</fb>
    <v>34</v>
  </rv>
  <rv s="14">
    <fb>94.7</fb>
    <v>34</v>
  </rv>
  <rv s="14">
    <fb>46.671100000000003</fb>
    <v>34</v>
  </rv>
  <rv s="14">
    <fb>135.37</fb>
    <v>34</v>
  </rv>
  <rv s="14">
    <fb>81.98</fb>
    <v>34</v>
  </rv>
  <rv s="14">
    <fb>12.16</fb>
    <v>34</v>
  </rv>
  <rv s="14">
    <fb>4.6100000000000003</fb>
    <v>34</v>
  </rv>
  <rv s="14">
    <fb>50.74</fb>
    <v>34</v>
  </rv>
  <rv s="14">
    <fb>539.79999999999995</fb>
    <v>34</v>
  </rv>
  <rv s="14">
    <fb>252.51</fb>
    <v>34</v>
  </rv>
  <rv s="14">
    <fb>41.07</fb>
    <v>34</v>
  </rv>
  <rv s="14">
    <fb>106.21</fb>
    <v>34</v>
  </rv>
  <rv s="14">
    <fb>138.5</fb>
    <v>34</v>
  </rv>
  <rv s="14">
    <fb>71.650000000000006</fb>
    <v>34</v>
  </rv>
  <rv s="14">
    <fb>311.95999999999998</fb>
    <v>34</v>
  </rv>
  <rv s="14">
    <fb>1156.49</fb>
    <v>34</v>
  </rv>
  <rv s="14">
    <fb>160.52000000000001</fb>
    <v>34</v>
  </rv>
  <rv s="14">
    <fb>133.75</fb>
    <v>34</v>
  </rv>
  <rv s="14">
    <fb>220.36</fb>
    <v>34</v>
  </rv>
  <rv s="14">
    <fb>83.78</fb>
    <v>34</v>
  </rv>
  <rv s="14">
    <fb>25.51</fb>
    <v>34</v>
  </rv>
  <rv s="14">
    <fb>55.74</fb>
    <v>34</v>
  </rv>
  <rv s="14">
    <fb>21.768999999999998</fb>
    <v>34</v>
  </rv>
  <rv s="14">
    <fb>45782</fb>
    <v>33</v>
  </rv>
  <rv s="14">
    <fb>198.89</fb>
    <v>34</v>
  </rv>
  <rv s="14">
    <fb>113.82</fb>
    <v>34</v>
  </rv>
  <rv s="14">
    <fb>436.17</fb>
    <v>34</v>
  </rv>
  <rv s="14">
    <fb>599.27</fb>
    <v>34</v>
  </rv>
  <rv s="14">
    <fb>164.21</fb>
    <v>34</v>
  </rv>
  <rv s="14">
    <fb>563.51</fb>
    <v>34</v>
  </rv>
  <rv s="14">
    <fb>306.88</fb>
    <v>34</v>
  </rv>
  <rv s="14">
    <fb>62.37</fb>
    <v>34</v>
  </rv>
  <rv s="14">
    <fb>94.53</fb>
    <v>34</v>
  </rv>
  <rv s="14">
    <fb>46.574199999999998</fb>
    <v>34</v>
  </rv>
  <rv s="14">
    <fb>133.97999999999999</fb>
    <v>34</v>
  </rv>
  <rv s="14">
    <fb>11.91</fb>
    <v>34</v>
  </rv>
  <rv s="14">
    <fb>512.15</fb>
    <v>34</v>
  </rv>
  <rv s="14">
    <fb>252.56</fb>
    <v>34</v>
  </rv>
  <rv s="14">
    <fb>41.12</fb>
    <v>34</v>
  </rv>
  <rv s="14">
    <fb>103.27</fb>
    <v>34</v>
  </rv>
  <rv s="14">
    <fb>135.5</fb>
    <v>34</v>
  </rv>
  <rv s="14">
    <fb>155</fb>
    <v>34</v>
  </rv>
  <rv s="14">
    <fb>71.7</fb>
    <v>34</v>
  </rv>
  <rv s="14">
    <fb>315.72000000000003</fb>
    <v>34</v>
  </rv>
  <rv s="14">
    <fb>92.11</fb>
    <v>34</v>
  </rv>
  <rv s="14">
    <fb>1134.06</fb>
    <v>34</v>
  </rv>
  <rv s="14">
    <fb>158.83000000000001</fb>
    <v>34</v>
  </rv>
  <rv s="14">
    <fb>131.99</fb>
    <v>34</v>
  </rv>
  <rv s="14">
    <fb>215.06</fb>
    <v>34</v>
  </rv>
  <rv s="14">
    <fb>82.45</fb>
    <v>34</v>
  </rv>
  <rv s="14">
    <fb>25.07</fb>
    <v>34</v>
  </rv>
  <rv s="14">
    <fb>21.7348</fb>
    <v>34</v>
  </rv>
  <rv s="14">
    <fb>45783</fb>
    <v>33</v>
  </rv>
  <rv s="14">
    <fb>198.51</fb>
    <v>34</v>
  </rv>
  <rv s="14">
    <fb>433.31</fb>
    <v>34</v>
  </rv>
  <rv s="14">
    <fb>587.30999999999995</fb>
    <v>34</v>
  </rv>
  <rv s="14">
    <fb>163.22999999999999</fb>
    <v>34</v>
  </rv>
  <rv s="14">
    <fb>558.79999999999995</fb>
    <v>34</v>
  </rv>
  <rv s="14">
    <fb>315.48</fb>
    <v>34</v>
  </rv>
  <rv s="14">
    <fb>64.599999999999994</fb>
    <v>34</v>
  </rv>
  <rv s="14">
    <fb>129.31</fb>
    <v>34</v>
  </rv>
  <rv s="14">
    <fb>80.52</fb>
    <v>34</v>
  </rv>
  <rv s="14">
    <fb>12.29</fb>
    <v>34</v>
  </rv>
  <rv s="14">
    <fb>26.88</fb>
    <v>34</v>
  </rv>
  <rv s="14">
    <fb>4.54</fb>
    <v>34</v>
  </rv>
  <rv s="14">
    <fb>67.81</fb>
    <v>34</v>
  </rv>
  <rv s="14">
    <fb>90.31</fb>
    <v>34</v>
  </rv>
  <rv s="14">
    <fb>512.33000000000004</fb>
    <v>34</v>
  </rv>
  <rv s="14">
    <fb>249.25</fb>
    <v>34</v>
  </rv>
  <rv s="14">
    <fb>40.840000000000003</fb>
    <v>34</v>
  </rv>
  <rv s="14">
    <fb>104.71</fb>
    <v>34</v>
  </rv>
  <rv s="14">
    <fb>135.6</fb>
    <v>34</v>
  </rv>
  <rv s="14">
    <fb>154.47</fb>
    <v>34</v>
  </rv>
  <rv s="14">
    <fb>316.79000000000002</fb>
    <v>34</v>
  </rv>
  <rv s="14">
    <fb>92.17</fb>
    <v>34</v>
  </rv>
  <rv s="14">
    <fb>1137.69</fb>
    <v>34</v>
  </rv>
  <rv s="14">
    <fb>159.25</fb>
    <v>34</v>
  </rv>
  <rv s="14">
    <fb>130.74</fb>
    <v>34</v>
  </rv>
  <rv s="14">
    <fb>215.04</fb>
    <v>34</v>
  </rv>
  <rv s="14">
    <fb>82.17</fb>
    <v>34</v>
  </rv>
  <rv s="14">
    <fb>25.09</fb>
    <v>34</v>
  </rv>
  <rv s="14">
    <fb>59.32</fb>
    <v>34</v>
  </rv>
  <rv s="14">
    <fb>21.637499999999999</fb>
    <v>34</v>
  </rv>
  <rv s="14">
    <fb>45784</fb>
    <v>33</v>
  </rv>
  <rv s="14">
    <fb>196.25</fb>
    <v>34</v>
  </rv>
  <rv s="14">
    <fb>117.06</fb>
    <v>34</v>
  </rv>
  <rv s="14">
    <fb>433.35</fb>
    <v>34</v>
  </rv>
  <rv s="14">
    <fb>596.80999999999995</fb>
    <v>34</v>
  </rv>
  <rv s="14">
    <fb>151.38</fb>
    <v>34</v>
  </rv>
  <rv s="14">
    <fb>561.15</fb>
    <v>34</v>
  </rv>
  <rv s="14">
    <fb>87.9</fb>
    <v>34</v>
  </rv>
  <rv s="14">
    <fb>310.75</fb>
    <v>34</v>
  </rv>
  <rv s="14">
    <fb>63.51</fb>
    <v>34</v>
  </rv>
  <rv s="14">
    <fb>46.7575</fb>
    <v>34</v>
  </rv>
  <rv s="14">
    <fb>129.34</fb>
    <v>34</v>
  </rv>
  <rv s="14">
    <fb>80.55</fb>
    <v>34</v>
  </rv>
  <rv s="14">
    <fb>12.08</fb>
    <v>34</v>
  </rv>
  <rv s="14">
    <fb>29.49</fb>
    <v>34</v>
  </rv>
  <rv s="14">
    <fb>4.55</fb>
    <v>34</v>
  </rv>
  <rv s="14">
    <fb>66.8</fb>
    <v>34</v>
  </rv>
  <rv s="14">
    <fb>89.33</fb>
    <v>34</v>
  </rv>
  <rv s="14">
    <fb>518.22</fb>
    <v>34</v>
  </rv>
  <rv s="14">
    <fb>249.39</fb>
    <v>34</v>
  </rv>
  <rv s="14">
    <fb>40.93</fb>
    <v>34</v>
  </rv>
  <rv s="14">
    <fb>104.61</fb>
    <v>34</v>
  </rv>
  <rv s="14">
    <fb>135.79</fb>
    <v>34</v>
  </rv>
  <rv s="14">
    <fb>157.30000000000001</fb>
    <v>34</v>
  </rv>
  <rv s="14">
    <fb>318.13</fb>
    <v>34</v>
  </rv>
  <rv s="14">
    <fb>102.09</fb>
    <v>34</v>
  </rv>
  <rv s="14">
    <fb>1155.4100000000001</fb>
    <v>34</v>
  </rv>
  <rv s="14">
    <fb>159.29</fb>
    <v>34</v>
  </rv>
  <rv s="14">
    <fb>131.91499999999999</fb>
    <v>34</v>
  </rv>
  <rv s="14">
    <fb>213.19</fb>
    <v>34</v>
  </rv>
  <rv s="14">
    <fb>82.19</fb>
    <v>34</v>
  </rv>
  <rv s="14">
    <fb>22.844999999999999</fb>
    <v>34</v>
  </rv>
  <rv s="14">
    <fb>55.86</fb>
    <v>34</v>
  </rv>
  <rv s="14">
    <fb>28.65</fb>
    <v>34</v>
  </rv>
  <rv s="14">
    <fb>21.596499999999999</fb>
    <v>34</v>
  </rv>
  <rv s="14">
    <fb>45785</fb>
    <v>33</v>
  </rv>
  <rv s="14">
    <fb>197.49</fb>
    <v>34</v>
  </rv>
  <rv s="14">
    <fb>117.37</fb>
    <v>34</v>
  </rv>
  <rv s="14">
    <fb>438.17</fb>
    <v>34</v>
  </rv>
  <rv s="14">
    <fb>598.01</fb>
    <v>34</v>
  </rv>
  <rv s="14">
    <fb>154.28</fb>
    <v>34</v>
  </rv>
  <rv s="14">
    <fb>565.05999999999995</fb>
    <v>34</v>
  </rv>
  <rv s="14">
    <fb>86.92</fb>
    <v>34</v>
  </rv>
  <rv s="14">
    <fb>304.63</fb>
    <v>34</v>
  </rv>
  <rv s="14">
    <fb>65.599999999999994</fb>
    <v>34</v>
  </rv>
  <rv s="14">
    <fb>46.571199999999997</fb>
    <v>34</v>
  </rv>
  <rv s="14">
    <fb>133.19</fb>
    <v>34</v>
  </rv>
  <rv s="14">
    <fb>81.61</fb>
    <v>34</v>
  </rv>
  <rv s="14">
    <fb>12.41</fb>
    <v>34</v>
  </rv>
  <rv s="14">
    <fb>4.51</fb>
    <v>34</v>
  </rv>
  <rv s="14">
    <fb>65.48</fb>
    <v>34</v>
  </rv>
  <rv s="14">
    <fb>513.25</fb>
    <v>34</v>
  </rv>
  <rv s="14">
    <fb>253.47</fb>
    <v>34</v>
  </rv>
  <rv s="14">
    <fb>41.6</fb>
    <v>34</v>
  </rv>
  <rv s="14">
    <fb>106.07</fb>
    <v>34</v>
  </rv>
  <rv s="14">
    <fb>137.04</fb>
    <v>34</v>
  </rv>
  <rv s="14">
    <fb>155.66</fb>
    <v>34</v>
  </rv>
  <rv s="14">
    <fb>313.49</fb>
    <v>34</v>
  </rv>
  <rv s="14">
    <fb>105.12</fb>
    <v>34</v>
  </rv>
  <rv s="14">
    <fb>1144.43</fb>
    <v>34</v>
  </rv>
  <rv s="14">
    <fb>158.65</fb>
    <v>34</v>
  </rv>
  <rv s="14">
    <fb>131.43</fb>
    <v>34</v>
  </rv>
  <rv s="14">
    <fb>219.35</fb>
    <v>34</v>
  </rv>
  <rv s="14">
    <fb>59.06</fb>
    <v>34</v>
  </rv>
  <rv s="14">
    <fb>55.27</fb>
    <v>34</v>
  </rv>
  <rv s="14">
    <fb>21.5014</fb>
    <v>34</v>
  </rv>
  <rv s="14">
    <fb>45786</fb>
    <v>33</v>
  </rv>
  <rv s="14">
    <fb>198.53</fb>
    <v>34</v>
  </rv>
  <rv s="14">
    <fb>116.65</fb>
    <v>34</v>
  </rv>
  <rv s="14">
    <fb>438.73</fb>
    <v>34</v>
  </rv>
  <rv s="14">
    <fb>592.49</fb>
    <v>34</v>
  </rv>
  <rv s="14">
    <fb>152.75</fb>
    <v>34</v>
  </rv>
  <rv s="14">
    <fb>564.34</fb>
    <v>34</v>
  </rv>
  <rv s="14">
    <fb>87.05</fb>
    <v>34</v>
  </rv>
  <rv s="14">
    <fb>306.83999999999997</fb>
    <v>34</v>
  </rv>
  <rv s="14">
    <fb>66.61</fb>
    <v>34</v>
  </rv>
  <rv s="14">
    <fb>94.35</fb>
    <v>34</v>
  </rv>
  <rv s="14">
    <fb>46.59</fb>
    <v>34</v>
  </rv>
  <rv s="14">
    <fb>132.46</fb>
    <v>34</v>
  </rv>
  <rv s="14">
    <fb>82.43</fb>
    <v>34</v>
  </rv>
  <rv s="14">
    <fb>12.55</fb>
    <v>34</v>
  </rv>
  <rv s="14">
    <fb>29.8</fb>
    <v>34</v>
  </rv>
  <rv s="14">
    <fb>4.4400000000000004</fb>
    <v>34</v>
  </rv>
  <rv s="14">
    <fb>65.930000000000007</fb>
    <v>34</v>
  </rv>
  <rv s="14">
    <fb>513.74</fb>
    <v>34</v>
  </rv>
  <rv s="14">
    <fb>253.08</fb>
    <v>34</v>
  </rv>
  <rv s="14">
    <fb>41.79</fb>
    <v>34</v>
  </rv>
  <rv s="14">
    <fb>138.49</fb>
    <v>34</v>
  </rv>
  <rv s="14">
    <fb>154.22</fb>
    <v>34</v>
  </rv>
  <rv s="14">
    <fb>70.52</fb>
    <v>34</v>
  </rv>
  <rv s="14">
    <fb>313.68</fb>
    <v>34</v>
  </rv>
  <rv s="14">
    <fb>105.94</fb>
    <v>34</v>
  </rv>
  <rv s="14">
    <fb>1140.22</fb>
    <v>34</v>
  </rv>
  <rv s="14">
    <fb>157.66</fb>
    <v>34</v>
  </rv>
  <rv s="14">
    <fb>130.44</fb>
    <v>34</v>
  </rv>
  <rv s="14">
    <fb>221.87</fb>
    <v>34</v>
  </rv>
  <rv s="14">
    <fb>85.1</fb>
    <v>34</v>
  </rv>
  <rv s="14">
    <fb>21.6525</fb>
    <v>34</v>
  </rv>
  <rv s="14">
    <fb>45789</fb>
    <v>33</v>
  </rv>
  <rv s="14">
    <fb>210.79</fb>
    <v>34</v>
  </rv>
  <rv s="14">
    <fb>123</fb>
    <v>34</v>
  </rv>
  <rv s="14">
    <fb>449.26</fb>
    <v>34</v>
  </rv>
  <rv s="14">
    <fb>639.42999999999995</fb>
    <v>34</v>
  </rv>
  <rv s="14">
    <fb>158.46</fb>
    <v>34</v>
  </rv>
  <rv s="14">
    <fb>582.99</fb>
    <v>34</v>
  </rv>
  <rv s="14">
    <fb>86.24</fb>
    <v>34</v>
  </rv>
  <rv s="14">
    <fb>298.19</fb>
    <v>34</v>
  </rv>
  <rv s="14">
    <fb>46.48</fb>
    <v>34</v>
  </rv>
  <rv s="14">
    <fb>143.44999999999999</fb>
    <v>34</v>
  </rv>
  <rv s="14">
    <fb>84.58</fb>
    <v>34</v>
  </rv>
  <rv s="14">
    <fb>12.76</fb>
    <v>34</v>
  </rv>
  <rv s="14">
    <fb>4.3899999999999997</fb>
    <v>34</v>
  </rv>
  <rv s="14">
    <fb>64.069999999999993</fb>
    <v>34</v>
  </rv>
  <rv s="14">
    <fb>89.59</fb>
    <v>34</v>
  </rv>
  <rv s="14">
    <fb>25.98</fb>
    <v>34</v>
  </rv>
  <rv s="14">
    <fb>514.29999999999995</fb>
    <v>34</v>
  </rv>
  <rv s="14">
    <fb>260.05</fb>
    <v>34</v>
  </rv>
  <rv s="14">
    <fb>43.36</fb>
    <v>34</v>
  </rv>
  <rv s="14">
    <fb>141.62</fb>
    <v>34</v>
  </rv>
  <rv s="14">
    <fb>154.13999999999999</fb>
    <v>34</v>
  </rv>
  <rv s="14">
    <fb>69.53</fb>
    <v>34</v>
  </rv>
  <rv s="14">
    <fb>311.92</fb>
    <v>34</v>
  </rv>
  <rv s="14">
    <fb>110.49</fb>
    <v>34</v>
  </rv>
  <rv s="14">
    <fb>1110</fb>
    <v>34</v>
  </rv>
  <rv s="14">
    <fb>160.9</fb>
    <v>34</v>
  </rv>
  <rv s="14">
    <fb>131.68</fb>
    <v>34</v>
  </rv>
  <rv s="14">
    <fb>230.61</fb>
    <v>34</v>
  </rv>
  <rv s="14">
    <fb>27.43</fb>
    <v>34</v>
  </rv>
  <rv s="14">
    <fb>54.87</fb>
    <v>34</v>
  </rv>
  <rv s="14">
    <fb>28.52</fb>
    <v>34</v>
  </rv>
  <rv s="14">
    <fb>21.590599999999998</fb>
    <v>34</v>
  </rv>
  <rv s="14">
    <fb>45790</fb>
    <v>33</v>
  </rv>
  <rv s="14">
    <fb>212.93</fb>
    <v>34</v>
  </rv>
  <rv s="14">
    <fb>129.93</fb>
    <v>34</v>
  </rv>
  <rv s="14">
    <fb>449.14</fb>
    <v>34</v>
  </rv>
  <rv s="14">
    <fb>656.03</fb>
    <v>34</v>
  </rv>
  <rv s="14">
    <fb>586.84</fb>
    <v>34</v>
  </rv>
  <rv s="14">
    <fb>85.89</fb>
    <v>34</v>
  </rv>
  <rv s="14">
    <fb>299.45999999999998</fb>
    <v>34</v>
  </rv>
  <rv s="14">
    <fb>69.59</fb>
    <v>34</v>
  </rv>
  <rv s="14">
    <fb>93.68</fb>
    <v>34</v>
  </rv>
  <rv s="14">
    <fb>46.448999999999998</fb>
    <v>34</v>
  </rv>
  <rv s="14">
    <fb>145.07</fb>
    <v>34</v>
  </rv>
  <rv s="14">
    <fb>85.77</fb>
    <v>34</v>
  </rv>
  <rv s="14">
    <fb>13.06</fb>
    <v>34</v>
  </rv>
  <rv s="14">
    <fb>3.44</fb>
    <v>35</v>
  </rv>
  <rv s="14">
    <fb>29.93</fb>
    <v>34</v>
  </rv>
  <rv s="14">
    <fb>27.38</fb>
    <v>34</v>
  </rv>
  <rv s="14">
    <fb>4.41</fb>
    <v>34</v>
  </rv>
  <rv s="14">
    <fb>64.34</fb>
    <v>34</v>
  </rv>
  <rv s="14">
    <fb>90.6</fb>
    <v>34</v>
  </rv>
  <rv s="14">
    <fb>25.87</fb>
    <v>34</v>
  </rv>
  <rv s="14">
    <fb>511.88</fb>
    <v>34</v>
  </rv>
  <rv s="14">
    <fb>263.01</fb>
    <v>34</v>
  </rv>
  <rv s="14">
    <fb>44.28</fb>
    <v>34</v>
  </rv>
  <rv s="14">
    <fb>142.35</fb>
    <v>34</v>
  </rv>
  <rv s="14">
    <fb>148.44</fb>
    <v>34</v>
  </rv>
  <rv s="14">
    <fb>68.959999999999994</fb>
    <v>34</v>
  </rv>
  <rv s="14">
    <fb>308.69</fb>
    <v>34</v>
  </rv>
  <rv s="14">
    <fb>111.38</fb>
    <v>34</v>
  </rv>
  <rv s="14">
    <fb>1138.44</fb>
    <v>34</v>
  </rv>
  <rv s="14">
    <fb>158.72999999999999</fb>
    <v>34</v>
  </rv>
  <rv s="14">
    <fb>130.31</fb>
    <v>34</v>
  </rv>
  <rv s="14">
    <fb>231.5</fb>
    <v>34</v>
  </rv>
  <rv s="14">
    <fb>22.605</fb>
    <v>34</v>
  </rv>
  <rv s="14">
    <fb>58.77</fb>
    <v>34</v>
  </rv>
  <rv s="14">
    <fb>54.64</fb>
    <v>34</v>
  </rv>
  <rv s="14">
    <fb>21.3367</fb>
    <v>34</v>
  </rv>
  <rv s="14">
    <fb>45791</fb>
    <v>33</v>
  </rv>
  <rv s="14">
    <fb>212.33</fb>
    <v>34</v>
  </rv>
  <rv s="14">
    <fb>452.94</fb>
    <v>34</v>
  </rv>
  <rv s="14">
    <fb>659.36</fb>
    <v>34</v>
  </rv>
  <rv s="14">
    <fb>165.37</fb>
    <v>34</v>
  </rv>
  <rv s="14">
    <fb>587.59</fb>
    <v>34</v>
  </rv>
  <rv s="14">
    <fb>85.32</fb>
    <v>34</v>
  </rv>
  <rv s="14">
    <fb>293.16000000000003</fb>
    <v>34</v>
  </rv>
  <rv s="14">
    <fb>68.73</fb>
    <v>34</v>
  </rv>
  <rv s="14">
    <fb>93.33</fb>
    <v>34</v>
  </rv>
  <rv s="14">
    <fb>46.311100000000003</fb>
    <v>34</v>
  </rv>
  <rv s="14">
    <fb>144.24</fb>
    <v>34</v>
  </rv>
  <rv s="14">
    <fb>85.25</fb>
    <v>34</v>
  </rv>
  <rv s="14">
    <fb>12.9</fb>
    <v>34</v>
  </rv>
  <rv s="14">
    <fb>27.23</fb>
    <v>34</v>
  </rv>
  <rv s="14">
    <fb>4.45</fb>
    <v>34</v>
  </rv>
  <rv s="14">
    <fb>89.56</fb>
    <v>34</v>
  </rv>
  <rv s="14">
    <fb>503.4</fb>
    <v>34</v>
  </rv>
  <rv s="14">
    <fb>265.64</fb>
    <v>34</v>
  </rv>
  <rv s="14">
    <fb>44.74</fb>
    <v>34</v>
  </rv>
  <rv s="14">
    <fb>108.48</fb>
    <v>34</v>
  </rv>
  <rv s="14">
    <fb>141.66999999999999</fb>
    <v>34</v>
  </rv>
  <rv s="14">
    <fb>146.36000000000001</fb>
    <v>34</v>
  </rv>
  <rv s="14">
    <fb>307.5</fb>
    <v>34</v>
  </rv>
  <rv s="14">
    <fb>112.94</fb>
    <v>34</v>
  </rv>
  <rv s="14">
    <fb>1150.99</fb>
    <v>34</v>
  </rv>
  <rv s="14">
    <fb>158.02000000000001</fb>
    <v>34</v>
  </rv>
  <rv s="14">
    <fb>231.86</fb>
    <v>34</v>
  </rv>
  <rv s="14">
    <fb>28.16</fb>
    <v>34</v>
  </rv>
  <rv s="14">
    <fb>22.54</fb>
    <v>34</v>
  </rv>
  <rv s="14">
    <fb>54.33</fb>
    <v>34</v>
  </rv>
  <rv s="14">
    <fb>28.41</fb>
    <v>34</v>
  </rv>
  <rv s="14">
    <fb>21.188300000000002</fb>
    <v>34</v>
  </rv>
  <rv s="14">
    <fb>45792</fb>
    <v>33</v>
  </rv>
  <rv s="14">
    <fb>211.45</fb>
    <v>34</v>
  </rv>
  <rv s="14">
    <fb>134.83000000000001</fb>
    <v>34</v>
  </rv>
  <rv s="14">
    <fb>453.13</fb>
    <v>34</v>
  </rv>
  <rv s="14">
    <fb>643.88</fb>
    <v>34</v>
  </rv>
  <rv s="14">
    <fb>163.96</fb>
    <v>34</v>
  </rv>
  <rv s="14">
    <fb>590.46</fb>
    <v>34</v>
  </rv>
  <rv s="14">
    <fb>86.07</fb>
    <v>34</v>
  </rv>
  <rv s="14">
    <fb>297.83999999999997</fb>
    <v>34</v>
  </rv>
  <rv s="14">
    <fb>67.59</fb>
    <v>34</v>
  </rv>
  <rv s="14">
    <fb>46.554099999999998</fb>
    <v>34</v>
  </rv>
  <rv s="14">
    <fb>85.61</fb>
    <v>34</v>
  </rv>
  <rv s="14">
    <fb>12.7</fb>
    <v>34</v>
  </rv>
  <rv s="14">
    <fb>507.33</fb>
    <v>34</v>
  </rv>
  <rv s="14">
    <fb>267.49</fb>
    <v>34</v>
  </rv>
  <rv s="14">
    <fb>108.58</fb>
    <v>34</v>
  </rv>
  <rv s="14">
    <fb>149.61000000000001</fb>
    <v>34</v>
  </rv>
  <rv s="14">
    <fb>314.48</fb>
    <v>34</v>
  </rv>
  <rv s="14">
    <fb>112.22</fb>
    <v>34</v>
  </rv>
  <rv s="14">
    <fb>1177.98</fb>
    <v>34</v>
  </rv>
  <rv s="14">
    <fb>162.41</fb>
    <v>34</v>
  </rv>
  <rv s="14">
    <fb>131.5</fb>
    <v>34</v>
  </rv>
  <rv s="14">
    <fb>229.05</fb>
    <v>34</v>
  </rv>
  <rv s="14">
    <fb>27.88</fb>
    <v>34</v>
  </rv>
  <rv s="14">
    <fb>22.655000000000001</fb>
    <v>34</v>
  </rv>
  <rv s="14">
    <fb>54.8</fb>
    <v>34</v>
  </rv>
  <rv s="14">
    <fb>21.554300000000001</fb>
    <v>34</v>
  </rv>
  <rv s="14">
    <fb>45793</fb>
    <v>33</v>
  </rv>
  <rv s="14">
    <fb>211.26</fb>
    <v>34</v>
  </rv>
  <rv s="14">
    <fb>454.27</fb>
    <v>34</v>
  </rv>
  <rv s="14">
    <fb>640.34</fb>
    <v>34</v>
  </rv>
  <rv s="14">
    <fb>594.20000000000005</fb>
    <v>34</v>
  </rv>
  <rv s="14">
    <fb>86.3</fb>
    <v>34</v>
  </rv>
  <rv s="14">
    <fb>294.24</fb>
    <v>34</v>
  </rv>
  <rv s="14">
    <fb>68.099999999999994</fb>
    <v>34</v>
  </rv>
  <rv s="14">
    <fb>46.620100000000001</fb>
    <v>34</v>
  </rv>
  <rv s="14">
    <fb>85.48</fb>
    <v>34</v>
  </rv>
  <rv s="14">
    <fb>3.24</fb>
    <v>35</v>
  </rv>
  <rv s="14">
    <fb>27.34</fb>
    <v>34</v>
  </rv>
  <rv s="14">
    <fb>4.47</fb>
    <v>34</v>
  </rv>
  <rv s="14">
    <fb>63.24</fb>
    <v>34</v>
  </rv>
  <rv s="14">
    <fb>26.01</fb>
    <v>34</v>
  </rv>
  <rv s="14">
    <fb>514.30999999999995</fb>
    <v>34</v>
  </rv>
  <rv s="14">
    <fb>44.69</fb>
    <v>34</v>
  </rv>
  <rv s="14">
    <fb>108.19</fb>
    <v>34</v>
  </rv>
  <rv s="14">
    <fb>142.1</fb>
    <v>34</v>
  </rv>
  <rv s="14">
    <fb>151.33000000000001</fb>
    <v>34</v>
  </rv>
  <rv s="14">
    <fb>72</fb>
    <v>34</v>
  </rv>
  <rv s="14">
    <fb>318.61</fb>
    <v>34</v>
  </rv>
  <rv s="14">
    <fb>113.42</fb>
    <v>34</v>
  </rv>
  <rv s="14">
    <fb>1191.53</fb>
    <v>34</v>
  </rv>
  <rv s="14">
    <fb>163.28</fb>
    <v>34</v>
  </rv>
  <rv s="14">
    <fb>131.97999999999999</fb>
    <v>34</v>
  </rv>
  <rv s="14">
    <fb>89.75</fb>
    <v>34</v>
  </rv>
  <rv s="14">
    <fb>54.9</fb>
    <v>34</v>
  </rv>
  <rv s="14">
    <fb>21.822600000000001</fb>
    <v>34</v>
  </rv>
  <rv s="14">
    <fb>45796</fb>
    <v>33</v>
  </rv>
  <rv s="14">
    <fb>208.78</fb>
    <v>34</v>
  </rv>
  <rv s="14">
    <fb>135.57</fb>
    <v>34</v>
  </rv>
  <rv s="14">
    <fb>458.87</fb>
    <v>34</v>
  </rv>
  <rv s="14">
    <fb>640.42999999999995</fb>
    <v>34</v>
  </rv>
  <rv s="14">
    <fb>166.54</fb>
    <v>34</v>
  </rv>
  <rv s="14">
    <fb>594.85</fb>
    <v>34</v>
  </rv>
  <rv s="14">
    <fb>86.05</fb>
    <v>34</v>
  </rv>
  <rv s="14">
    <fb>298.02999999999997</fb>
    <v>34</v>
  </rv>
  <rv s="14">
    <fb>68.510000000000005</fb>
    <v>34</v>
  </rv>
  <rv s="14">
    <fb>93.92</fb>
    <v>34</v>
  </rv>
  <rv s="14">
    <fb>46.575299999999999</fb>
    <v>34</v>
  </rv>
  <rv s="14">
    <fb>142.61000000000001</fb>
    <v>34</v>
  </rv>
  <rv s="14">
    <fb>84.37</fb>
    <v>34</v>
  </rv>
  <rv s="14">
    <fb>12.78</fb>
    <v>34</v>
  </rv>
  <rv s="14">
    <fb>4.5</fb>
    <v>34</v>
  </rv>
  <rv s="14">
    <fb>64.02</fb>
    <v>34</v>
  </rv>
  <rv s="14">
    <fb>512.39</fb>
    <v>34</v>
  </rv>
  <rv s="14">
    <fb>264.88</fb>
    <v>34</v>
  </rv>
  <rv s="14">
    <fb>106.47</fb>
    <v>34</v>
  </rv>
  <rv s="14">
    <fb>152.49</fb>
    <v>34</v>
  </rv>
  <rv s="14">
    <fb>71.930000000000007</fb>
    <v>34</v>
  </rv>
  <rv s="14">
    <fb>321.23</fb>
    <v>34</v>
  </rv>
  <rv s="14">
    <fb>112.66</fb>
    <v>34</v>
  </rv>
  <rv s="14">
    <fb>1191.6400000000001</fb>
    <v>34</v>
  </rv>
  <rv s="14">
    <fb>131.79</fb>
    <v>34</v>
  </rv>
  <rv s="14">
    <fb>224.9</fb>
    <v>34</v>
  </rv>
  <rv s="14">
    <fb>88.71</fb>
    <v>34</v>
  </rv>
  <rv s="14">
    <fb>27.7</fb>
    <v>34</v>
  </rv>
  <rv s="14">
    <fb>54.74</fb>
    <v>34</v>
  </rv>
  <rv s="14">
    <fb>21.85</fb>
    <v>34</v>
  </rv>
  <rv s="14">
    <fb>45797</fb>
    <v>33</v>
  </rv>
  <rv s="14">
    <fb>206.86</fb>
    <v>34</v>
  </rv>
  <rv s="14">
    <fb>134.38</fb>
    <v>34</v>
  </rv>
  <rv s="14">
    <fb>458.17</fb>
    <v>34</v>
  </rv>
  <rv s="14">
    <fb>637.1</fb>
    <v>34</v>
  </rv>
  <rv s="14">
    <fb>163.98</fb>
    <v>34</v>
  </rv>
  <rv s="14">
    <fb>592.85</fb>
    <v>34</v>
  </rv>
  <rv s="14">
    <fb>303.58</fb>
    <v>34</v>
  </rv>
  <rv s="14">
    <fb>68.66</fb>
    <v>34</v>
  </rv>
  <rv s="14">
    <fb>46.5379</fb>
    <v>34</v>
  </rv>
  <rv s="14">
    <fb>139.29</fb>
    <v>34</v>
  </rv>
  <rv s="14">
    <fb>83.59</fb>
    <v>34</v>
  </rv>
  <rv s="14">
    <fb>12.84</fb>
    <v>34</v>
  </rv>
  <rv s="14">
    <fb>30.13</fb>
    <v>34</v>
  </rv>
  <rv s="14">
    <fb>27.65</fb>
    <v>34</v>
  </rv>
  <rv s="14">
    <fb>65.239999999999995</fb>
    <v>34</v>
  </rv>
  <rv s="14">
    <fb>508.74</fb>
    <v>34</v>
  </rv>
  <rv s="14">
    <fb>265.68</fb>
    <v>34</v>
  </rv>
  <rv s="14">
    <fb>104.95</fb>
    <v>34</v>
  </rv>
  <rv s="14">
    <fb>137.27000000000001</fb>
    <v>34</v>
  </rv>
  <rv s="14">
    <fb>153.66</fb>
    <v>34</v>
  </rv>
  <rv s="14">
    <fb>71.69</fb>
    <v>34</v>
  </rv>
  <rv s="14">
    <fb>319.8</fb>
    <v>34</v>
  </rv>
  <rv s="14">
    <fb>1192.02</fb>
    <v>34</v>
  </rv>
  <rv s="14">
    <fb>165.64</fb>
    <v>34</v>
  </rv>
  <rv s="14">
    <fb>131.80000000000001</fb>
    <v>34</v>
  </rv>
  <rv s="14">
    <fb>222.69</fb>
    <v>34</v>
  </rv>
  <rv s="14">
    <fb>88.22</fb>
    <v>34</v>
  </rv>
  <rv s="14">
    <fb>54.38</fb>
    <v>34</v>
  </rv>
  <rv s="14">
    <fb>45798</fb>
    <v>33</v>
  </rv>
  <rv s="14">
    <fb>202.09</fb>
    <v>34</v>
  </rv>
  <rv s="14">
    <fb>452.57</fb>
    <v>34</v>
  </rv>
  <rv s="14">
    <fb>635.5</fb>
    <v>34</v>
  </rv>
  <rv s="14">
    <fb>168.56</fb>
    <v>34</v>
  </rv>
  <rv s="14">
    <fb>582.86</fb>
    <v>34</v>
  </rv>
  <rv s="14">
    <fb>83.97</fb>
    <v>34</v>
  </rv>
  <rv s="14">
    <fb>305.82</fb>
    <v>34</v>
  </rv>
  <rv s="14">
    <fb>93.15</fb>
    <v>34</v>
  </rv>
  <rv s="14">
    <fb>46</fb>
    <v>34</v>
  </rv>
  <rv s="14">
    <fb>82.05</fb>
    <v>34</v>
  </rv>
  <rv s="14">
    <fb>65.72</fb>
    <v>34</v>
  </rv>
  <rv s="14">
    <fb>25.35</fb>
    <v>34</v>
  </rv>
  <rv s="14">
    <fb>507.03</fb>
    <v>34</v>
  </rv>
  <rv s="14">
    <fb>261.04000000000002</fb>
    <v>34</v>
  </rv>
  <rv s="14">
    <fb>43.25</fb>
    <v>34</v>
  </rv>
  <rv s="14">
    <fb>103.66</fb>
    <v>34</v>
  </rv>
  <rv s="14">
    <fb>135.56</fb>
    <v>34</v>
  </rv>
  <rv s="14">
    <fb>153.18</fb>
    <v>34</v>
  </rv>
  <rv s="14">
    <fb>71.849999999999994</fb>
    <v>34</v>
  </rv>
  <rv s="14">
    <fb>316.44</fb>
    <v>34</v>
  </rv>
  <rv s="14">
    <fb>110.46</fb>
    <v>34</v>
  </rv>
  <rv s="14">
    <fb>1194.6300000000001</fb>
    <v>34</v>
  </rv>
  <rv s="14">
    <fb>130.15</fb>
    <v>34</v>
  </rv>
  <rv s="14">
    <fb>216.23</fb>
    <v>34</v>
  </rv>
  <rv s="14">
    <fb>86.11</fb>
    <v>34</v>
  </rv>
  <rv s="14">
    <fb>22.51</fb>
    <v>34</v>
  </rv>
  <rv s="14">
    <fb>53.54</fb>
    <v>34</v>
  </rv>
  <rv s="14">
    <fb>28.34</fb>
    <v>34</v>
  </rv>
  <rv s="14">
    <fb>21.26</fb>
    <v>34</v>
  </rv>
  <rv s="14">
    <fb>45799</fb>
    <v>33</v>
  </rv>
  <rv s="14">
    <fb>201.36</fb>
    <v>34</v>
  </rv>
  <rv s="14">
    <fb>132.83000000000001</fb>
    <v>34</v>
  </rv>
  <rv s="14">
    <fb>454.86</fb>
    <v>34</v>
  </rv>
  <rv s="14">
    <fb>636.57000000000005</fb>
    <v>34</v>
  </rv>
  <rv s="14">
    <fb>170.87</fb>
    <v>34</v>
  </rv>
  <rv s="14">
    <fb>583.09</fb>
    <v>34</v>
  </rv>
  <rv s="14">
    <fb>84.41</fb>
    <v>34</v>
  </rv>
  <rv s="14">
    <fb>303.11</fb>
    <v>34</v>
  </rv>
  <rv s="14">
    <fb>67.14</fb>
    <v>34</v>
  </rv>
  <rv s="14">
    <fb>93.5</fb>
    <v>34</v>
  </rv>
  <rv s="14">
    <fb>46.115000000000002</fb>
    <v>34</v>
  </rv>
  <rv s="14">
    <fb>130.81</fb>
    <v>34</v>
  </rv>
  <rv s="14">
    <fb>81.73</fb>
    <v>34</v>
  </rv>
  <rv s="14">
    <fb>12.59</fb>
    <v>34</v>
  </rv>
  <rv s="14">
    <fb>65.150000000000006</fb>
    <v>34</v>
  </rv>
  <rv s="14">
    <fb>98.6</fb>
    <v>34</v>
  </rv>
  <rv s="14">
    <fb>25.48</fb>
    <v>34</v>
  </rv>
  <rv s="14">
    <fb>503.57</fb>
    <v>34</v>
  </rv>
  <rv s="14">
    <fb>260.67</fb>
    <v>34</v>
  </rv>
  <rv s="14">
    <fb>43.31</fb>
    <v>34</v>
  </rv>
  <rv s="14">
    <fb>102.97</fb>
    <v>34</v>
  </rv>
  <rv s="14">
    <fb>152.61000000000001</fb>
    <v>34</v>
  </rv>
  <rv s="14">
    <fb>71.14</fb>
    <v>34</v>
  </rv>
  <rv s="14">
    <fb>314.31</fb>
    <v>34</v>
  </rv>
  <rv s="14">
    <fb>111.13</fb>
    <v>34</v>
  </rv>
  <rv s="14">
    <fb>1187.97</fb>
    <v>34</v>
  </rv>
  <rv s="14">
    <fb>165.03</fb>
    <v>34</v>
  </rv>
  <rv s="14">
    <fb>130.12</fb>
    <v>34</v>
  </rv>
  <rv s="14">
    <fb>216.08</fb>
    <v>34</v>
  </rv>
  <rv s="14">
    <fb>85.72</fb>
    <v>34</v>
  </rv>
  <rv s="14">
    <fb>58.81</fb>
    <v>34</v>
  </rv>
  <rv s="14">
    <fb>53.81</fb>
    <v>34</v>
  </rv>
  <rv s="14">
    <fb>28.45</fb>
    <v>34</v>
  </rv>
  <rv s="14">
    <fb>21.125</fb>
    <v>34</v>
  </rv>
  <rv s="14">
    <fb>45800</fb>
    <v>33</v>
  </rv>
  <rv s="14">
    <fb>195.27</fb>
    <v>34</v>
  </rv>
  <rv s="14">
    <fb>131.29</fb>
    <v>34</v>
  </rv>
  <rv s="14">
    <fb>450.18</fb>
    <v>34</v>
  </rv>
  <rv s="14">
    <fb>627.05999999999995</fb>
    <v>34</v>
  </rv>
  <rv s="14">
    <fb>579.11</fb>
    <v>34</v>
  </rv>
  <rv s="14">
    <fb>309.75</fb>
    <v>34</v>
  </rv>
  <rv s="14">
    <fb>67.989999999999995</fb>
    <v>34</v>
  </rv>
  <rv s="14">
    <fb>93.77</fb>
    <v>34</v>
  </rv>
  <rv s="14">
    <fb>46.179000000000002</fb>
    <v>34</v>
  </rv>
  <rv s="14">
    <fb>130.87</fb>
    <v>34</v>
  </rv>
  <rv s="14">
    <fb>81.99</fb>
    <v>34</v>
  </rv>
  <rv s="14">
    <fb>12.71</fb>
    <v>34</v>
  </rv>
  <rv s="14">
    <fb>30.45</fb>
    <v>34</v>
  </rv>
  <rv s="14">
    <fb>66.569999999999993</fb>
    <v>34</v>
  </rv>
  <rv s="14">
    <fb>100.15</fb>
    <v>34</v>
  </rv>
  <rv s="14">
    <fb>25.55</fb>
    <v>34</v>
  </rv>
  <rv s="14">
    <fb>503.46</fb>
    <v>34</v>
  </rv>
  <rv s="14">
    <fb>260.70999999999998</fb>
    <v>34</v>
  </rv>
  <rv s="14">
    <fb>43.2</fb>
    <v>34</v>
  </rv>
  <rv s="14">
    <fb>103.03</fb>
    <v>34</v>
  </rv>
  <rv s="14">
    <fb>136.54</fb>
    <v>34</v>
  </rv>
  <rv s="14">
    <fb>152.94</fb>
    <v>34</v>
  </rv>
  <rv s="14">
    <fb>71.77</fb>
    <v>34</v>
  </rv>
  <rv s="14">
    <fb>314.57</fb>
    <v>34</v>
  </rv>
  <rv s="14">
    <fb>1185.3900000000001</fb>
    <v>34</v>
  </rv>
  <rv s="14">
    <fb>216.26</fb>
    <v>34</v>
  </rv>
  <rv s="14">
    <fb>85.64</fb>
    <v>34</v>
  </rv>
  <rv s="14">
    <fb>53.94</fb>
    <v>34</v>
  </rv>
  <rv s="14">
    <fb>28.46</fb>
    <v>34</v>
  </rv>
  <rv s="14">
    <fb>21.148</fb>
    <v>34</v>
  </rv>
  <rv s="14">
    <fb>45804</fb>
    <v>33</v>
  </rv>
  <rv s="14">
    <fb>460.69</fb>
    <v>34</v>
  </rv>
  <rv s="14">
    <fb>642.32000000000005</fb>
    <v>34</v>
  </rv>
  <rv s="14">
    <fb>172.9</fb>
    <v>34</v>
  </rv>
  <rv s="14">
    <fb>85.73</fb>
    <v>34</v>
  </rv>
  <rv s="14">
    <fb>304.5</fb>
    <v>34</v>
  </rv>
  <rv s="14">
    <fb>67.28</fb>
    <v>34</v>
  </rv>
  <rv s="14">
    <fb>94.16</fb>
    <v>34</v>
  </rv>
  <rv s="14">
    <fb>46.445300000000003</fb>
    <v>34</v>
  </rv>
  <rv s="14">
    <fb>133.16999999999999</fb>
    <v>34</v>
  </rv>
  <rv s="14">
    <fb>82.7</fb>
    <v>34</v>
  </rv>
  <rv s="14">
    <fb>12.62</fb>
    <v>34</v>
  </rv>
  <rv s="14">
    <fb>30.23</fb>
    <v>34</v>
  </rv>
  <rv s="14">
    <fb>65.45</fb>
    <v>34</v>
  </rv>
  <rv s="14">
    <fb>99.05</fb>
    <v>34</v>
  </rv>
  <rv s="14">
    <fb>25.86</fb>
    <v>34</v>
  </rv>
  <rv s="14">
    <fb>509.16</fb>
    <v>34</v>
  </rv>
  <rv s="14">
    <fb>265.29000000000002</fb>
    <v>34</v>
  </rv>
  <rv s="14">
    <fb>44.22</fb>
    <v>34</v>
  </rv>
  <rv s="14">
    <fb>103.52</fb>
    <v>34</v>
  </rv>
  <rv s="14">
    <fb>137.83000000000001</fb>
    <v>34</v>
  </rv>
  <rv s="14">
    <fb>71.78</fb>
    <v>34</v>
  </rv>
  <rv s="14">
    <fb>314.95</fb>
    <v>34</v>
  </rv>
  <rv s="14">
    <fb>1211.57</fb>
    <v>34</v>
  </rv>
  <rv s="14">
    <fb>167.76</fb>
    <v>34</v>
  </rv>
  <rv s="14">
    <fb>131.37</fb>
    <v>34</v>
  </rv>
  <rv s="14">
    <fb>219.99</fb>
    <v>34</v>
  </rv>
  <rv s="14">
    <fb>86.51</fb>
    <v>34</v>
  </rv>
  <rv s="14">
    <fb>54.61</fb>
    <v>34</v>
  </rv>
  <rv s="14">
    <fb>21.42</fb>
    <v>34</v>
  </rv>
  <rv s="14">
    <fb>45805</fb>
    <v>33</v>
  </rv>
  <rv s="14">
    <fb>200.42</fb>
    <v>34</v>
  </rv>
  <rv s="14">
    <fb>457.36</fb>
    <v>34</v>
  </rv>
  <rv s="14">
    <fb>643.58000000000004</fb>
    <v>34</v>
  </rv>
  <rv s="14">
    <fb>172.36</fb>
    <v>34</v>
  </rv>
  <rv s="14">
    <fb>587.73</fb>
    <v>34</v>
  </rv>
  <rv s="14">
    <fb>85.36</fb>
    <v>34</v>
  </rv>
  <rv s="14">
    <fb>303.81</fb>
    <v>34</v>
  </rv>
  <rv s="14">
    <fb>67.89</fb>
    <v>34</v>
  </rv>
  <rv s="14">
    <fb>93.9</fb>
    <v>34</v>
  </rv>
  <rv s="14">
    <fb>46.36</fb>
    <v>34</v>
  </rv>
  <rv s="14">
    <fb>131.51</fb>
    <v>34</v>
  </rv>
  <rv s="14">
    <fb>81.650000000000006</fb>
    <v>34</v>
  </rv>
  <rv s="14">
    <fb>29.98</fb>
    <v>34</v>
  </rv>
  <rv s="14">
    <fb>98.92</fb>
    <v>34</v>
  </rv>
  <rv s="14">
    <fb>503.11</fb>
    <v>34</v>
  </rv>
  <rv s="14">
    <fb>263.49</fb>
    <v>34</v>
  </rv>
  <rv s="14">
    <fb>44.06</fb>
    <v>34</v>
  </rv>
  <rv s="14">
    <fb>102.11</fb>
    <v>34</v>
  </rv>
  <rv s="14">
    <fb>152.43</fb>
    <v>34</v>
  </rv>
  <rv s="14">
    <fb>71.150000000000006</fb>
    <v>34</v>
  </rv>
  <rv s="14">
    <fb>312.83999999999997</fb>
    <v>34</v>
  </rv>
  <rv s="14">
    <fb>111.52</fb>
    <v>34</v>
  </rv>
  <rv s="14">
    <fb>1208.55</fb>
    <v>34</v>
  </rv>
  <rv s="14">
    <fb>167.36</fb>
    <v>34</v>
  </rv>
  <rv s="14">
    <fb>130.66999999999999</fb>
    <v>34</v>
  </rv>
  <rv s="14">
    <fb>218.77</fb>
    <v>34</v>
  </rv>
  <rv s="14">
    <fb>85.27</fb>
    <v>34</v>
  </rv>
  <rv s="14">
    <fb>28.61</fb>
    <v>34</v>
  </rv>
  <rv s="14">
    <fb>21.4467</fb>
    <v>34</v>
  </rv>
  <rv s="14">
    <fb>45806</fb>
    <v>33</v>
  </rv>
  <rv s="14">
    <fb>199.95</fb>
    <v>34</v>
  </rv>
  <rv s="14">
    <fb>139.19</fb>
    <v>34</v>
  </rv>
  <rv s="14">
    <fb>458.68</fb>
    <v>34</v>
  </rv>
  <rv s="14">
    <fb>645.04999999999995</fb>
    <v>34</v>
  </rv>
  <rv s="14">
    <fb>171.86</fb>
    <v>34</v>
  </rv>
  <rv s="14">
    <fb>590.04999999999995</fb>
    <v>34</v>
  </rv>
  <rv s="14">
    <fb>305.61</fb>
    <v>34</v>
  </rv>
  <rv s="14">
    <fb>67.19</fb>
    <v>34</v>
  </rv>
  <rv s="14">
    <fb>94.29</fb>
    <v>34</v>
  </rv>
  <rv s="14">
    <fb>131.69999999999999</fb>
    <v>34</v>
  </rv>
  <rv s="14">
    <fb>82.26</fb>
    <v>34</v>
  </rv>
  <rv s="14">
    <fb>4.5599999999999996</fb>
    <v>34</v>
  </rv>
  <rv s="14">
    <fb>65.67</fb>
    <v>34</v>
  </rv>
  <rv s="14">
    <fb>506.18</fb>
    <v>34</v>
  </rv>
  <rv s="14">
    <fb>264.37</fb>
    <v>34</v>
  </rv>
  <rv s="14">
    <fb>44.24</fb>
    <v>34</v>
  </rv>
  <rv s="14">
    <fb>102.69</fb>
    <v>34</v>
  </rv>
  <rv s="14">
    <fb>137.91</fb>
    <v>34</v>
  </rv>
  <rv s="14">
    <fb>153.58000000000001</fb>
    <v>34</v>
  </rv>
  <rv s="14">
    <fb>311.86</fb>
    <v>34</v>
  </rv>
  <rv s="14">
    <fb>112.02</fb>
    <v>34</v>
  </rv>
  <rv s="14">
    <fb>1184.8599999999999</fb>
    <v>34</v>
  </rv>
  <rv s="14">
    <fb>131.91999999999999</fb>
    <v>34</v>
  </rv>
  <rv s="14">
    <fb>221.26</fb>
    <v>34</v>
  </rv>
  <rv s="14">
    <fb>54.82</fb>
    <v>34</v>
  </rv>
  <rv s="14">
    <fb>21.722999999999999</fb>
    <v>34</v>
  </rv>
  <rv s="14">
    <fb>45807</fb>
    <v>33</v>
  </rv>
  <rv s="14">
    <fb>200.85</fb>
    <v>34</v>
  </rv>
  <rv s="14">
    <fb>135.13</fb>
    <v>34</v>
  </rv>
  <rv s="14">
    <fb>460.36</fb>
    <v>34</v>
  </rv>
  <rv s="14">
    <fb>171.74</fb>
    <v>34</v>
  </rv>
  <rv s="14">
    <fb>589.39</fb>
    <v>34</v>
  </rv>
  <rv s="14">
    <fb>86.28</fb>
    <v>34</v>
  </rv>
  <rv s="14">
    <fb>67.150000000000006</fb>
    <v>34</v>
  </rv>
  <rv s="14">
    <fb>46.600200000000001</fb>
    <v>34</v>
  </rv>
  <rv s="14">
    <fb>130.69</fb>
    <v>34</v>
  </rv>
  <rv s="14">
    <fb>81.53</fb>
    <v>34</v>
  </rv>
  <rv s="14">
    <fb>12.4</fb>
    <v>34</v>
  </rv>
  <rv s="14">
    <fb>3</fb>
    <v>35</v>
  </rv>
  <rv s="14">
    <fb>30</fb>
    <v>34</v>
  </rv>
  <rv s="14">
    <fb>91.74</fb>
    <v>34</v>
  </rv>
  <rv s="14">
    <fb>503.96</fb>
    <v>34</v>
  </rv>
  <rv s="14">
    <fb>264</fb>
    <v>34</v>
  </rv>
  <rv s="14">
    <fb>44.13</fb>
    <v>34</v>
  </rv>
  <rv s="14">
    <fb>102.3</fb>
    <v>34</v>
  </rv>
  <rv s="14">
    <fb>136.69999999999999</fb>
    <v>34</v>
  </rv>
  <rv s="14">
    <fb>155.21</fb>
    <v>34</v>
  </rv>
  <rv s="14">
    <fb>313.85000000000002</fb>
    <v>34</v>
  </rv>
  <rv s="14">
    <fb>113.04</fb>
    <v>34</v>
  </rv>
  <rv s="14">
    <fb>1207.23</fb>
    <v>34</v>
  </rv>
  <rv s="14">
    <fb>169.89</fb>
    <v>34</v>
  </rv>
  <rv s="14">
    <fb>131.44999999999999</fb>
    <v>34</v>
  </rv>
  <rv s="14">
    <fb>216.64</fb>
    <v>34</v>
  </rv>
  <rv s="14">
    <fb>84.77</fb>
    <v>34</v>
  </rv>
  <rv s="14">
    <fb>22.76</fb>
    <v>34</v>
  </rv>
  <rv s="14">
    <fb>58.64</fb>
    <v>34</v>
  </rv>
  <rv s="14">
    <fb>54.97</fb>
    <v>34</v>
  </rv>
  <rv s="14">
    <fb>21.681100000000001</fb>
    <v>34</v>
  </rv>
  <rv s="14">
    <fb>45810</fb>
    <v>33</v>
  </rv>
  <rv s="14">
    <fb>201.7</fb>
    <v>34</v>
  </rv>
  <rv s="14">
    <fb>137.38</fb>
    <v>34</v>
  </rv>
  <rv s="14">
    <fb>461.97</fb>
    <v>34</v>
  </rv>
  <rv s="14">
    <fb>670.9</fb>
    <v>34</v>
  </rv>
  <rv s="14">
    <fb>169.03</fb>
    <v>34</v>
  </rv>
  <rv s="14">
    <fb>592.71</fb>
    <v>34</v>
  </rv>
  <rv s="14">
    <fb>85.16</fb>
    <v>34</v>
  </rv>
  <rv s="14">
    <fb>311.67</fb>
    <v>34</v>
  </rv>
  <rv s="14">
    <fb>69.55</fb>
    <v>34</v>
  </rv>
  <rv s="14">
    <fb>46.515700000000002</fb>
    <v>34</v>
  </rv>
  <rv s="14">
    <fb>130.52000000000001</fb>
    <v>34</v>
  </rv>
  <rv s="14">
    <fb>82.6</fb>
    <v>34</v>
  </rv>
  <rv s="14">
    <fb>31.59</fb>
    <v>34</v>
  </rv>
  <rv s="14">
    <fb>4.57</fb>
    <v>34</v>
  </rv>
  <rv s="14">
    <fb>66.98</fb>
    <v>34</v>
  </rv>
  <rv s="14">
    <fb>50.79</fb>
    <v>34</v>
  </rv>
  <rv s="14">
    <fb>25.7</fb>
    <v>34</v>
  </rv>
  <rv s="14">
    <fb>502.81</fb>
    <v>34</v>
  </rv>
  <rv s="14">
    <fb>264.66000000000003</fb>
    <v>34</v>
  </rv>
  <rv s="14">
    <fb>44.08</fb>
    <v>34</v>
  </rv>
  <rv s="14">
    <fb>103.05</fb>
    <v>34</v>
  </rv>
  <rv s="14">
    <fb>137.84</fb>
    <v>34</v>
  </rv>
  <rv s="14">
    <fb>312.68</fb>
    <v>34</v>
  </rv>
  <rv s="14">
    <fb>112.95</fb>
    <v>34</v>
  </rv>
  <rv s="14">
    <fb>1218.98</fb>
    <v>34</v>
  </rv>
  <rv s="14">
    <fb>167.78</fb>
    <v>34</v>
  </rv>
  <rv s="14">
    <fb>130.91</fb>
    <v>34</v>
  </rv>
  <rv s="14">
    <fb>220.31</fb>
    <v>34</v>
  </rv>
  <rv s="14">
    <fb>85.97</fb>
    <v>34</v>
  </rv>
  <rv s="14">
    <fb>22.62</fb>
    <v>34</v>
  </rv>
  <rv s="14">
    <fb>54.26</fb>
    <v>34</v>
  </rv>
  <rv s="14">
    <fb>45811</fb>
    <v>33</v>
  </rv>
  <rv s="14">
    <fb>203.27</fb>
    <v>34</v>
  </rv>
  <rv s="14">
    <fb>141.22</fb>
    <v>34</v>
  </rv>
  <rv s="14">
    <fb>462.97</fb>
    <v>34</v>
  </rv>
  <rv s="14">
    <fb>666.85</fb>
    <v>34</v>
  </rv>
  <rv s="14">
    <fb>166.18</fb>
    <v>34</v>
  </rv>
  <rv s="14">
    <fb>596.09</fb>
    <v>34</v>
  </rv>
  <rv s="14">
    <fb>308.91000000000003</fb>
    <v>34</v>
  </rv>
  <rv s="14">
    <fb>69.89</fb>
    <v>34</v>
  </rv>
  <rv s="14">
    <fb>93.85</fb>
    <v>34</v>
  </rv>
  <rv s="14">
    <fb>46.55</fb>
    <v>34</v>
  </rv>
  <rv s="14">
    <fb>131.1</fb>
    <v>34</v>
  </rv>
  <rv s="14">
    <fb>83.58</fb>
    <v>34</v>
  </rv>
  <rv s="14">
    <fb>12.95</fb>
    <v>34</v>
  </rv>
  <rv s="14">
    <fb>31.44</fb>
    <v>34</v>
  </rv>
  <rv s="14">
    <fb>66.400000000000006</fb>
    <v>34</v>
  </rv>
  <rv s="14">
    <fb>98.45</fb>
    <v>34</v>
  </rv>
  <rv s="14">
    <fb>50.81</fb>
    <v>34</v>
  </rv>
  <rv s="14">
    <fb>497.83</fb>
    <v>34</v>
  </rv>
  <rv s="14">
    <fb>266.27</fb>
    <v>34</v>
  </rv>
  <rv s="14">
    <fb>44.65</fb>
    <v>34</v>
  </rv>
  <rv s="14">
    <fb>103.8</fb>
    <v>34</v>
  </rv>
  <rv s="14">
    <fb>139.55000000000001</fb>
    <v>34</v>
  </rv>
  <rv s="14">
    <fb>154.41999999999999</fb>
    <v>34</v>
  </rv>
  <rv s="14">
    <fb>71.16</fb>
    <v>34</v>
  </rv>
  <rv s="14">
    <fb>312.39</fb>
    <v>34</v>
  </rv>
  <rv s="14">
    <fb>113.6</fb>
    <v>34</v>
  </rv>
  <rv s="14">
    <fb>1217.94</fb>
    <v>34</v>
  </rv>
  <rv s="14">
    <fb>166.85</fb>
    <v>34</v>
  </rv>
  <rv s="14">
    <fb>131.85</fb>
    <v>34</v>
  </rv>
  <rv s="14">
    <fb>227.36</fb>
    <v>34</v>
  </rv>
  <rv s="14">
    <fb>87.44</fb>
    <v>34</v>
  </rv>
  <rv s="14">
    <fb>54.19</fb>
    <v>34</v>
  </rv>
  <rv s="14">
    <fb>21.628</fb>
    <v>34</v>
  </rv>
  <rv s="14">
    <fb>45812</fb>
    <v>33</v>
  </rv>
  <rv s="14">
    <fb>202.82</fb>
    <v>34</v>
  </rv>
  <rv s="14">
    <fb>141.91999999999999</fb>
    <v>34</v>
  </rv>
  <rv s="14">
    <fb>687.95</fb>
    <v>34</v>
  </rv>
  <rv s="14">
    <fb>168.05</fb>
    <v>34</v>
  </rv>
  <rv s="14">
    <fb>595.92999999999995</fb>
    <v>34</v>
  </rv>
  <rv s="14">
    <fb>310.89999999999998</fb>
    <v>34</v>
  </rv>
  <rv s="14">
    <fb>69.34</fb>
    <v>34</v>
  </rv>
  <rv s="14">
    <fb>46.78</fb>
    <v>34</v>
  </rv>
  <rv s="14">
    <fb>130.30000000000001</fb>
    <v>34</v>
  </rv>
  <rv s="14">
    <fb>81.95</fb>
    <v>34</v>
  </rv>
  <rv s="14">
    <fb>31.34</fb>
    <v>34</v>
  </rv>
  <rv s="14">
    <fb>66.819999999999993</fb>
    <v>34</v>
  </rv>
  <rv s="14">
    <fb>100.51</fb>
    <v>34</v>
  </rv>
  <rv s="14">
    <fb>491</fb>
    <v>34</v>
  </rv>
  <rv s="14">
    <fb>264.22000000000003</fb>
    <v>34</v>
  </rv>
  <rv s="14">
    <fb>44.36</fb>
    <v>34</v>
  </rv>
  <rv s="14">
    <fb>137.37</fb>
    <v>34</v>
  </rv>
  <rv s="14">
    <fb>71.37</fb>
    <v>34</v>
  </rv>
  <rv s="14">
    <fb>311.57</fb>
    <v>34</v>
  </rv>
  <rv s="14">
    <fb>113.49</fb>
    <v>34</v>
  </rv>
  <rv s="14">
    <fb>1239.6600000000001</fb>
    <v>34</v>
  </rv>
  <rv s="14">
    <fb>165.95</fb>
    <v>34</v>
  </rv>
  <rv s="14">
    <fb>131.74</fb>
    <v>34</v>
  </rv>
  <rv s="14">
    <fb>224.38</fb>
    <v>34</v>
  </rv>
  <rv s="14">
    <fb>85.41</fb>
    <v>34</v>
  </rv>
  <rv s="14">
    <fb>55.02</fb>
    <v>34</v>
  </rv>
  <rv s="14">
    <fb>21.69</fb>
    <v>34</v>
  </rv>
  <rv s="14">
    <fb>45813</fb>
    <v>33</v>
  </rv>
  <rv s="14">
    <fb>200.63</fb>
    <v>34</v>
  </rv>
  <rv s="14">
    <fb>139.99</fb>
    <v>34</v>
  </rv>
  <rv s="14">
    <fb>467.68</fb>
    <v>34</v>
  </rv>
  <rv s="14">
    <fb>684.62</fb>
    <v>34</v>
  </rv>
  <rv s="14">
    <fb>168.21</fb>
    <v>34</v>
  </rv>
  <rv s="14">
    <fb>593.04999999999995</fb>
    <v>34</v>
  </rv>
  <rv s="14">
    <fb>86.45</fb>
    <v>34</v>
  </rv>
  <rv s="14">
    <fb>309.33</fb>
    <v>34</v>
  </rv>
  <rv s="14">
    <fb>46.704999999999998</fb>
    <v>34</v>
  </rv>
  <rv s="14">
    <fb>81.87</fb>
    <v>34</v>
  </rv>
  <rv s="14">
    <fb>12.92</fb>
    <v>34</v>
  </rv>
  <rv s="14">
    <fb>32.450000000000003</fb>
    <v>34</v>
  </rv>
  <rv s="14">
    <fb>104.38</fb>
    <v>34</v>
  </rv>
  <rv s="14">
    <fb>488.74</fb>
    <v>34</v>
  </rv>
  <rv s="14">
    <fb>261.95</fb>
    <v>34</v>
  </rv>
  <rv s="14">
    <fb>136.9</fb>
    <v>34</v>
  </rv>
  <rv s="14">
    <fb>70.91</fb>
    <v>34</v>
  </rv>
  <rv s="14">
    <fb>308.98</fb>
    <v>34</v>
  </rv>
  <rv s="14">
    <fb>112.53</fb>
    <v>34</v>
  </rv>
  <rv s="14">
    <fb>1250.52</fb>
    <v>34</v>
  </rv>
  <rv s="14">
    <fb>131.11000000000001</fb>
    <v>34</v>
  </rv>
  <rv s="14">
    <fb>224.36</fb>
    <v>34</v>
  </rv>
  <rv s="14">
    <fb>85.18</fb>
    <v>34</v>
  </rv>
  <rv s="14">
    <fb>22.7</fb>
    <v>34</v>
  </rv>
  <rv s="14">
    <fb>59.05</fb>
    <v>34</v>
  </rv>
  <rv s="14">
    <fb>28.73</fb>
    <v>34</v>
  </rv>
  <rv s="14">
    <fb>21.637</fb>
    <v>34</v>
  </rv>
  <rv s="14">
    <fb>45814</fb>
    <v>33</v>
  </rv>
  <rv s="14">
    <fb>203.92</fb>
    <v>34</v>
  </rv>
  <rv s="14">
    <fb>141.72</fb>
    <v>34</v>
  </rv>
  <rv s="14">
    <fb>470.38</fb>
    <v>34</v>
  </rv>
  <rv s="14">
    <fb>697.71</fb>
    <v>34</v>
  </rv>
  <rv s="14">
    <fb>173.68</fb>
    <v>34</v>
  </rv>
  <rv s="14">
    <fb>599.14</fb>
    <v>34</v>
  </rv>
  <rv s="14">
    <fb>305.18</fb>
    <v>34</v>
  </rv>
  <rv s="14">
    <fb>133.44999999999999</fb>
    <v>34</v>
  </rv>
  <rv s="14">
    <fb>13.1</fb>
    <v>34</v>
  </rv>
  <rv s="14">
    <fb>32.69</fb>
    <v>34</v>
  </rv>
  <rv s="14">
    <fb>65.59</fb>
    <v>34</v>
  </rv>
  <rv s="14">
    <fb>107</fb>
    <v>34</v>
  </rv>
  <rv s="14">
    <fb>493.53</fb>
    <v>34</v>
  </rv>
  <rv s="14">
    <fb>265.73</fb>
    <v>34</v>
  </rv>
  <rv s="14">
    <fb>44.97</fb>
    <v>34</v>
  </rv>
  <rv s="14">
    <fb>104.27</fb>
    <v>34</v>
  </rv>
  <rv s="14">
    <fb>155.03</fb>
    <v>34</v>
  </rv>
  <rv s="14">
    <fb>307.36</fb>
    <v>34</v>
  </rv>
  <rv s="14">
    <fb>113.9</fb>
    <v>34</v>
  </rv>
  <rv s="14">
    <fb>1241.4749999999999</fb>
    <v>34</v>
  </rv>
  <rv s="14">
    <fb>164.02</fb>
    <v>34</v>
  </rv>
  <rv s="14">
    <fb>130.03</fb>
    <v>34</v>
  </rv>
  <rv s="14">
    <fb>229.88</fb>
    <v>34</v>
  </rv>
  <rv s="14">
    <fb>21.719899999999999</fb>
    <v>34</v>
  </rv>
  <rv s="14">
    <fb>45817</fb>
    <v>33</v>
  </rv>
  <rv s="14">
    <fb>201.45</fb>
    <v>34</v>
  </rv>
  <rv s="14">
    <fb>142.63</fb>
    <v>34</v>
  </rv>
  <rv s="14">
    <fb>472.75</fb>
    <v>34</v>
  </rv>
  <rv s="14">
    <fb>694.06</fb>
    <v>34</v>
  </rv>
  <rv s="14">
    <fb>176.09</fb>
    <v>34</v>
  </rv>
  <rv s="14">
    <fb>599.67999999999995</fb>
    <v>34</v>
  </rv>
  <rv s="14">
    <fb>85.44</fb>
    <v>34</v>
  </rv>
  <rv s="14">
    <fb>306.62</fb>
    <v>34</v>
  </rv>
  <rv s="14">
    <fb>72.05</fb>
    <v>34</v>
  </rv>
  <rv s="14">
    <fb>46.550699999999999</fb>
    <v>34</v>
  </rv>
  <rv s="14">
    <fb>133.51</fb>
    <v>34</v>
  </rv>
  <rv s="14">
    <fb>83.57</fb>
    <v>34</v>
  </rv>
  <rv s="14">
    <fb>13.11</fb>
    <v>34</v>
  </rv>
  <rv s="14">
    <fb>33.39</fb>
    <v>34</v>
  </rv>
  <rv s="14">
    <fb>65.900000000000006</fb>
    <v>34</v>
  </rv>
  <rv s="14">
    <fb>111.1</fb>
    <v>34</v>
  </rv>
  <rv s="14">
    <fb>493.33</fb>
    <v>34</v>
  </rv>
  <rv s="14">
    <fb>44.87</fb>
    <v>34</v>
  </rv>
  <rv s="14">
    <fb>104.97</fb>
    <v>34</v>
  </rv>
  <rv s="14">
    <fb>140.76</fb>
    <v>34</v>
  </rv>
  <rv s="14">
    <fb>155.22999999999999</fb>
    <v>34</v>
  </rv>
  <rv s="14">
    <fb>304.77999999999997</fb>
    <v>34</v>
  </rv>
  <rv s="14">
    <fb>115.66</fb>
    <v>34</v>
  </rv>
  <rv s="14">
    <fb>1224.46</fb>
    <v>34</v>
  </rv>
  <rv s="14">
    <fb>162.56</fb>
    <v>34</v>
  </rv>
  <rv s="14">
    <fb>129.96</fb>
    <v>34</v>
  </rv>
  <rv s="14">
    <fb>233.5</fb>
    <v>34</v>
  </rv>
  <rv s="14">
    <fb>87.46</fb>
    <v>34</v>
  </rv>
  <rv s="14">
    <fb>28.0304</fb>
    <v>34</v>
  </rv>
  <rv s="14">
    <fb>54.42</fb>
    <v>34</v>
  </rv>
  <rv s="14">
    <fb>21.7685</fb>
    <v>34</v>
  </rv>
  <rv s="14">
    <fb>45818</fb>
    <v>33</v>
  </rv>
  <rv s="14">
    <fb>202.67</fb>
    <v>34</v>
  </rv>
  <rv s="14">
    <fb>143.96</fb>
    <v>34</v>
  </rv>
  <rv s="14">
    <fb>470.92</fb>
    <v>34</v>
  </rv>
  <rv s="14">
    <fb>702.4</fb>
    <v>34</v>
  </rv>
  <rv s="14">
    <fb>178.6</fb>
    <v>34</v>
  </rv>
  <rv s="14">
    <fb>603.08000000000004</fb>
    <v>34</v>
  </rv>
  <rv s="14">
    <fb>85.88</fb>
    <v>34</v>
  </rv>
  <rv s="14">
    <fb>306.70999999999998</fb>
    <v>34</v>
  </rv>
  <rv s="14">
    <fb>71.599999999999994</fb>
    <v>34</v>
  </rv>
  <rv s="14">
    <fb>93.84</fb>
    <v>34</v>
  </rv>
  <rv s="14">
    <fb>46.62</fb>
    <v>34</v>
  </rv>
  <rv s="14">
    <fb>135.62</fb>
    <v>34</v>
  </rv>
  <rv s="14">
    <fb>85.06</fb>
    <v>34</v>
  </rv>
  <rv s="14">
    <fb>33.229999999999997</fb>
    <v>34</v>
  </rv>
  <rv s="14">
    <fb>111.21</fb>
    <v>34</v>
  </rv>
  <rv s="14">
    <fb>491.13</fb>
    <v>34</v>
  </rv>
  <rv s="14">
    <fb>268.60000000000002</fb>
    <v>34</v>
  </rv>
  <rv s="14">
    <fb>45.09</fb>
    <v>34</v>
  </rv>
  <rv s="14">
    <fb>107.22</fb>
    <v>34</v>
  </rv>
  <rv s="14">
    <fb>143.35</fb>
    <v>34</v>
  </rv>
  <rv s="14">
    <fb>156.44999999999999</fb>
    <v>34</v>
  </rv>
  <rv s="14">
    <fb>300.43</fb>
    <v>34</v>
  </rv>
  <rv s="14">
    <fb>118.73</fb>
    <v>34</v>
  </rv>
  <rv s="14">
    <fb>1203.6199999999999</fb>
    <v>34</v>
  </rv>
  <rv s="14">
    <fb>131.83000000000001</fb>
    <v>34</v>
  </rv>
  <rv s="14">
    <fb>241.42</fb>
    <v>34</v>
  </rv>
  <rv s="14">
    <fb>88.98</fb>
    <v>34</v>
  </rv>
  <rv s="14">
    <fb>54.65</fb>
    <v>34</v>
  </rv>
  <rv s="14">
    <fb>21.845600000000001</fb>
    <v>34</v>
  </rv>
  <rv s="14">
    <fb>45819</fb>
    <v>33</v>
  </rv>
  <rv s="14">
    <fb>198.78</fb>
    <v>34</v>
  </rv>
  <rv s="14">
    <fb>142.83000000000001</fb>
    <v>34</v>
  </rv>
  <rv s="14">
    <fb>472.62</fb>
    <v>34</v>
  </rv>
  <rv s="14">
    <fb>694.14</fb>
    <v>34</v>
  </rv>
  <rv s="14">
    <fb>177.35</fb>
    <v>34</v>
  </rv>
  <rv s="14">
    <fb>601.36</fb>
    <v>34</v>
  </rv>
  <rv s="14">
    <fb>86.14</fb>
    <v>34</v>
  </rv>
  <rv s="14">
    <fb>308.37</fb>
    <v>34</v>
  </rv>
  <rv s="14">
    <fb>46.754600000000003</fb>
    <v>34</v>
  </rv>
  <rv s="14">
    <fb>138.03</fb>
    <v>34</v>
  </rv>
  <rv s="14">
    <fb>86.29</fb>
    <v>34</v>
  </rv>
  <rv s="14">
    <fb>3.19</fb>
    <v>35</v>
  </rv>
  <rv s="14">
    <fb>32.950000000000003</fb>
    <v>34</v>
  </rv>
  <rv s="14">
    <fb>66.27</fb>
    <v>34</v>
  </rv>
  <rv s="14">
    <fb>114.71</fb>
    <v>34</v>
  </rv>
  <rv s="14">
    <fb>488.14</fb>
    <v>34</v>
  </rv>
  <rv s="14">
    <fb>268.14999999999998</fb>
    <v>34</v>
  </rv>
  <rv s="14">
    <fb>44.73</fb>
    <v>34</v>
  </rv>
  <rv s="14">
    <fb>301.72000000000003</fb>
    <v>34</v>
  </rv>
  <rv s="14">
    <fb>119.52</fb>
    <v>34</v>
  </rv>
  <rv s="14">
    <fb>1219.8800000000001</fb>
    <v>34</v>
  </rv>
  <rv s="14">
    <fb>129.9</fb>
    <v>34</v>
  </rv>
  <rv s="14">
    <fb>90.49</fb>
    <v>34</v>
  </rv>
  <rv s="14">
    <fb>54.85</fb>
    <v>34</v>
  </rv>
  <rv s="14">
    <fb>21.758500000000002</fb>
    <v>34</v>
  </rv>
  <rv s="14">
    <fb>45820</fb>
    <v>33</v>
  </rv>
  <rv s="14">
    <fb>199.2</fb>
    <v>34</v>
  </rv>
  <rv s="14">
    <fb>145</fb>
    <v>34</v>
  </rv>
  <rv s="14">
    <fb>478.87</fb>
    <v>34</v>
  </rv>
  <rv s="14">
    <fb>693.36</fb>
    <v>34</v>
  </rv>
  <rv s="14">
    <fb>175.7</fb>
    <v>34</v>
  </rv>
  <rv s="14">
    <fb>603.75</fb>
    <v>34</v>
  </rv>
  <rv s="14">
    <fb>87.17</fb>
    <v>34</v>
  </rv>
  <rv s="14">
    <fb>312.2</fb>
    <v>34</v>
  </rv>
  <rv s="14">
    <fb>75.05</fb>
    <v>34</v>
  </rv>
  <rv s="14">
    <fb>94.64</fb>
    <v>34</v>
  </rv>
  <rv s="14">
    <fb>46.965000000000003</fb>
    <v>34</v>
  </rv>
  <rv s="14">
    <fb>138.11000000000001</fb>
    <v>34</v>
  </rv>
  <rv s="14">
    <fb>86.59</fb>
    <v>34</v>
  </rv>
  <rv s="14">
    <fb>13.6</fb>
    <v>34</v>
  </rv>
  <rv s="14">
    <fb>33.06</fb>
    <v>34</v>
  </rv>
  <rv s="14">
    <fb>4.49</fb>
    <v>34</v>
  </rv>
  <rv s="14">
    <fb>67.099999999999994</fb>
    <v>34</v>
  </rv>
  <rv s="14">
    <fb>117.86</fb>
    <v>34</v>
  </rv>
  <rv s="14">
    <fb>490.34</fb>
    <v>34</v>
  </rv>
  <rv s="14">
    <fb>268.24</fb>
    <v>34</v>
  </rv>
  <rv s="14">
    <fb>44.62</fb>
    <v>34</v>
  </rv>
  <rv s="14">
    <fb>156.66</fb>
    <v>34</v>
  </rv>
  <rv s="14">
    <fb>72.239999999999995</fb>
    <v>34</v>
  </rv>
  <rv s="14">
    <fb>303.16000000000003</fb>
    <v>34</v>
  </rv>
  <rv s="14">
    <fb>1215.03</fb>
    <v>34</v>
  </rv>
  <rv s="14">
    <fb>163.18</fb>
    <v>34</v>
  </rv>
  <rv s="14">
    <fb>132.30000000000001</fb>
    <v>34</v>
  </rv>
  <rv s="14">
    <fb>243.7</fb>
    <v>34</v>
  </rv>
  <rv s="14">
    <fb>59.21</fb>
    <v>34</v>
  </rv>
  <rv s="14">
    <fb>55.46</fb>
    <v>34</v>
  </rv>
  <rv s="14">
    <fb>21.83</fb>
    <v>34</v>
  </rv>
  <rv s="14">
    <fb>45821</fb>
    <v>33</v>
  </rv>
  <rv s="14">
    <fb>196.45</fb>
    <v>34</v>
  </rv>
  <rv s="14">
    <fb>141.97</fb>
    <v>34</v>
  </rv>
  <rv s="14">
    <fb>474.96</fb>
    <v>34</v>
  </rv>
  <rv s="14">
    <fb>682.87</fb>
    <v>34</v>
  </rv>
  <rv s="14">
    <fb>597</fb>
    <v>34</v>
  </rv>
  <rv s="14">
    <fb>86.33</fb>
    <v>34</v>
  </rv>
  <rv s="14">
    <fb>316.29000000000002</fb>
    <v>34</v>
  </rv>
  <rv s="14">
    <fb>80.22</fb>
    <v>34</v>
  </rv>
  <rv s="14">
    <fb>132.11000000000001</fb>
    <v>34</v>
  </rv>
  <rv s="14">
    <fb>14.32</fb>
    <v>34</v>
  </rv>
  <rv s="14">
    <fb>32.97</fb>
    <v>34</v>
  </rv>
  <rv s="14">
    <fb>67.97</fb>
    <v>34</v>
  </rv>
  <rv s="14">
    <fb>112.01</fb>
    <v>34</v>
  </rv>
  <rv s="14">
    <fb>487.54</fb>
    <v>34</v>
  </rv>
  <rv s="14">
    <fb>264.95</fb>
    <v>34</v>
  </rv>
  <rv s="14">
    <fb>44.09</fb>
    <v>34</v>
  </rv>
  <rv s="14">
    <fb>112.12</fb>
    <v>34</v>
  </rv>
  <rv s="14">
    <fb>145.91</fb>
    <v>34</v>
  </rv>
  <rv s="14">
    <fb>157.1</fb>
    <v>34</v>
  </rv>
  <rv s="14">
    <fb>71.02</fb>
    <v>34</v>
  </rv>
  <rv s="14">
    <fb>301.91000000000003</fb>
    <v>34</v>
  </rv>
  <rv s="14">
    <fb>117.94</fb>
    <v>34</v>
  </rv>
  <rv s="14">
    <fb>1212.1500000000001</fb>
    <v>34</v>
  </rv>
  <rv s="14">
    <fb>160.28</fb>
    <v>34</v>
  </rv>
  <rv s="14">
    <fb>130.85</fb>
    <v>34</v>
  </rv>
  <rv s="14">
    <fb>247.39</fb>
    <v>34</v>
  </rv>
  <rv s="14">
    <fb>93.36</fb>
    <v>34</v>
  </rv>
  <rv s="14">
    <fb>21.631499999999999</fb>
    <v>34</v>
  </rv>
  <rv s="14">
    <fb>45824</fb>
    <v>33</v>
  </rv>
  <rv s="14">
    <fb>198.42</fb>
    <v>34</v>
  </rv>
  <rv s="14">
    <fb>144.69</fb>
    <v>34</v>
  </rv>
  <rv s="14">
    <fb>479.14</fb>
    <v>34</v>
  </rv>
  <rv s="14">
    <fb>702.12</fb>
    <v>34</v>
  </rv>
  <rv s="14">
    <fb>176.77</fb>
    <v>34</v>
  </rv>
  <rv s="14">
    <fb>602.67999999999995</fb>
    <v>34</v>
  </rv>
  <rv s="14">
    <fb>311.77999999999997</fb>
    <v>34</v>
  </rv>
  <rv s="14">
    <fb>78.59</fb>
    <v>34</v>
  </rv>
  <rv s="14">
    <fb>94.02</fb>
    <v>34</v>
  </rv>
  <rv s="14">
    <fb>46.694899999999997</fb>
    <v>34</v>
  </rv>
  <rv s="14">
    <fb>134.1</fb>
    <v>34</v>
  </rv>
  <rv s="14">
    <fb>33.03</fb>
    <v>34</v>
  </rv>
  <rv s="14">
    <fb>67.02</fb>
    <v>34</v>
  </rv>
  <rv s="14">
    <fb>113.75</fb>
    <v>34</v>
  </rv>
  <rv s="14">
    <fb>490.23</fb>
    <v>34</v>
  </rv>
  <rv s="14">
    <fb>270.36</fb>
    <v>34</v>
  </rv>
  <rv s="14">
    <fb>44.41</fb>
    <v>34</v>
  </rv>
  <rv s="14">
    <fb>112.48</fb>
    <v>34</v>
  </rv>
  <rv s="14">
    <fb>155.22</fb>
    <v>34</v>
  </rv>
  <rv s="14">
    <fb>296.29000000000002</fb>
    <v>34</v>
  </rv>
  <rv s="14">
    <fb>119.48</fb>
    <v>34</v>
  </rv>
  <rv s="14">
    <fb>1225.3499999999999</fb>
    <v>34</v>
  </rv>
  <rv s="14">
    <fb>131.41</fb>
    <v>34</v>
  </rv>
  <rv s="14">
    <fb>245.73</fb>
    <v>34</v>
  </rv>
  <rv s="14">
    <fb>92.51</fb>
    <v>34</v>
  </rv>
  <rv s="14">
    <fb>29.84</fb>
    <v>34</v>
  </rv>
  <rv s="14">
    <fb>22.65</fb>
    <v>34</v>
  </rv>
  <rv s="14">
    <fb>58.99</fb>
    <v>34</v>
  </rv>
  <rv s="14">
    <fb>54.49</fb>
    <v>34</v>
  </rv>
  <rv s="14">
    <fb>21.696000000000002</fb>
    <v>34</v>
  </rv>
  <rv s="14">
    <fb>45825</fb>
    <v>33</v>
  </rv>
  <rv s="14">
    <fb>195.64</fb>
    <v>34</v>
  </rv>
  <rv s="14">
    <fb>144.12</fb>
    <v>34</v>
  </rv>
  <rv s="14">
    <fb>478.04</fb>
    <v>34</v>
  </rv>
  <rv s="14">
    <fb>697.23</fb>
    <v>34</v>
  </rv>
  <rv s="14">
    <fb>311.94</fb>
    <v>34</v>
  </rv>
  <rv s="14">
    <fb>82.3</fb>
    <v>34</v>
  </rv>
  <rv s="14">
    <fb>132.36000000000001</fb>
    <v>34</v>
  </rv>
  <rv s="14">
    <fb>88.66</fb>
    <v>34</v>
  </rv>
  <rv s="14">
    <fb>4.38</fb>
    <v>35</v>
  </rv>
  <rv s="14">
    <fb>33.74</fb>
    <v>34</v>
  </rv>
  <rv s="14">
    <fb>67.05</fb>
    <v>34</v>
  </rv>
  <rv s="14">
    <fb>115.4</fb>
    <v>34</v>
  </rv>
  <rv s="14">
    <fb>50.905000000000001</fb>
    <v>34</v>
  </rv>
  <rv s="14">
    <fb>26.09</fb>
    <v>34</v>
  </rv>
  <rv s="14">
    <fb>483.48</fb>
    <v>34</v>
  </rv>
  <rv s="14">
    <fb>269.52</fb>
    <v>34</v>
  </rv>
  <rv s="14">
    <fb>44.23</fb>
    <v>34</v>
  </rv>
  <rv s="14">
    <fb>148.85</fb>
    <v>34</v>
  </rv>
  <rv s="14">
    <fb>152.38</fb>
    <v>34</v>
  </rv>
  <rv s="14">
    <fb>292.31</fb>
    <v>34</v>
  </rv>
  <rv s="14">
    <fb>118.13</fb>
    <v>34</v>
  </rv>
  <rv s="14">
    <fb>1220.67</fb>
    <v>34</v>
  </rv>
  <rv s="14">
    <fb>158.52000000000001</fb>
    <v>34</v>
  </rv>
  <rv s="14">
    <fb>129.29</fb>
    <v>34</v>
  </rv>
  <rv s="14">
    <fb>247.54</fb>
    <v>34</v>
  </rv>
  <rv s="14">
    <fb>30.2</fb>
    <v>34</v>
  </rv>
  <rv s="14">
    <fb>22.73</fb>
    <v>34</v>
  </rv>
  <rv s="14">
    <fb>21.686399999999999</fb>
    <v>34</v>
  </rv>
  <rv s="14">
    <fb>45826</fb>
    <v>33</v>
  </rv>
  <rv s="14">
    <fb>196.58</fb>
    <v>34</v>
  </rv>
  <rv s="14">
    <fb>145.47999999999999</fb>
    <v>34</v>
  </rv>
  <rv s="14">
    <fb>480.24</fb>
    <v>34</v>
  </rv>
  <rv s="14">
    <fb>695.77</fb>
    <v>34</v>
  </rv>
  <rv s="14">
    <fb>173.32</fb>
    <v>34</v>
  </rv>
  <rv s="14">
    <fb>597.44000000000005</fb>
    <v>34</v>
  </rv>
  <rv s="14">
    <fb>86.65</fb>
    <v>34</v>
  </rv>
  <rv s="14">
    <fb>310.26</fb>
    <v>34</v>
  </rv>
  <rv s="14">
    <fb>82.27</fb>
    <v>34</v>
  </rv>
  <rv s="14">
    <fb>46.907499999999999</fb>
    <v>34</v>
  </rv>
  <rv s="14">
    <fb>133.09</fb>
    <v>34</v>
  </rv>
  <rv s="14">
    <fb>14.71</fb>
    <v>34</v>
  </rv>
  <rv s="14">
    <fb>5.51</fb>
    <v>35</v>
  </rv>
  <rv s="14">
    <fb>33.270000000000003</fb>
    <v>34</v>
  </rv>
  <rv s="14">
    <fb>66.69</fb>
    <v>34</v>
  </rv>
  <rv s="14">
    <fb>120.54</fb>
    <v>34</v>
  </rv>
  <rv s="14">
    <fb>485.14</fb>
    <v>34</v>
  </rv>
  <rv s="14">
    <fb>273.95999999999998</fb>
    <v>34</v>
  </rv>
  <rv s="14">
    <fb>148.19</fb>
    <v>34</v>
  </rv>
  <rv s="14">
    <fb>150.72999999999999</fb>
    <v>34</v>
  </rv>
  <rv s="14">
    <fb>69.209999999999994</fb>
    <v>34</v>
  </rv>
  <rv s="14">
    <fb>289.63</fb>
    <v>34</v>
  </rv>
  <rv s="14">
    <fb>1222.29</fb>
    <v>34</v>
  </rv>
  <rv s="14">
    <fb>129.07</fb>
    <v>34</v>
  </rv>
  <rv s="14">
    <fb>244.69</fb>
    <v>34</v>
  </rv>
  <rv s="14">
    <fb>55.15</fb>
    <v>34</v>
  </rv>
  <rv s="14">
    <fb>21.759399999999999</fb>
    <v>34</v>
  </rv>
  <rv s="14">
    <fb>45828</fb>
    <v>33</v>
  </rv>
  <rv s="14">
    <fb>201</fb>
    <v>34</v>
  </rv>
  <rv s="14">
    <fb>477.4</fb>
    <v>34</v>
  </rv>
  <rv s="14">
    <fb>682.35</fb>
    <v>34</v>
  </rv>
  <rv s="14">
    <fb>166.64</fb>
    <v>34</v>
  </rv>
  <rv s="14">
    <fb>594.28</fb>
    <v>34</v>
  </rv>
  <rv s="14">
    <fb>86.49</fb>
    <v>34</v>
  </rv>
  <rv s="14">
    <fb>310.13</fb>
    <v>34</v>
  </rv>
  <rv s="14">
    <fb>83.12</fb>
    <v>34</v>
  </rv>
  <rv s="14">
    <fb>94.6</fb>
    <v>34</v>
  </rv>
  <rv s="14">
    <fb>46.898299999999999</fb>
    <v>34</v>
  </rv>
  <rv s="14">
    <fb>134.52000000000001</fb>
    <v>34</v>
  </rv>
  <rv s="14">
    <fb>7.2</fb>
    <v>35</v>
  </rv>
  <rv s="14">
    <fb>32.72</fb>
    <v>34</v>
  </rv>
  <rv s="14">
    <fb>115.37</fb>
    <v>34</v>
  </rv>
  <rv s="14">
    <fb>26.07</fb>
    <v>34</v>
  </rv>
  <rv s="14">
    <fb>484.85</fb>
    <v>34</v>
  </rv>
  <rv s="14">
    <fb>275</fb>
    <v>34</v>
  </rv>
  <rv s="14">
    <fb>45.5</fb>
    <v>34</v>
  </rv>
  <rv s="14">
    <fb>114.7</fb>
    <v>34</v>
  </rv>
  <rv s="14">
    <fb>149.55000000000001</fb>
    <v>34</v>
  </rv>
  <rv s="14">
    <fb>149.79</fb>
    <v>34</v>
  </rv>
  <rv s="14">
    <fb>68.84</fb>
    <v>34</v>
  </rv>
  <rv s="14">
    <fb>287.45999999999998</fb>
    <v>34</v>
  </rv>
  <rv s="14">
    <fb>117.63</fb>
    <v>34</v>
  </rv>
  <rv s="14">
    <fb>1231.4100000000001</fb>
    <v>34</v>
  </rv>
  <rv s="14">
    <fb>159.08000000000001</fb>
    <v>34</v>
  </rv>
  <rv s="14">
    <fb>242.87</fb>
    <v>34</v>
  </rv>
  <rv s="14">
    <fb>30.18</fb>
    <v>34</v>
  </rv>
  <rv s="14">
    <fb>22.754999999999999</fb>
    <v>34</v>
  </rv>
  <rv s="14">
    <fb>55.08</fb>
    <v>34</v>
  </rv>
  <rv s="14">
    <fb>21.768799999999999</fb>
    <v>34</v>
  </rv>
  <rv s="14">
    <fb>45831</fb>
    <v>33</v>
  </rv>
  <rv s="14">
    <fb>201.5</fb>
    <v>34</v>
  </rv>
  <rv s="14">
    <fb>144.16999999999999</fb>
    <v>34</v>
  </rv>
  <rv s="14">
    <fb>486</fb>
    <v>34</v>
  </rv>
  <rv s="14">
    <fb>698.53</fb>
    <v>34</v>
  </rv>
  <rv s="14">
    <fb>165.19</fb>
    <v>34</v>
  </rv>
  <rv s="14">
    <fb>600.15</fb>
    <v>34</v>
  </rv>
  <rv s="14">
    <fb>86.77</fb>
    <v>34</v>
  </rv>
  <rv s="14">
    <fb>311.08</fb>
    <v>34</v>
  </rv>
  <rv s="14">
    <fb>76.41</fb>
    <v>34</v>
  </rv>
  <rv s="14">
    <fb>47.03</fb>
    <v>34</v>
  </rv>
  <rv s="14">
    <fb>134.03</fb>
    <v>34</v>
  </rv>
  <rv s="14">
    <fb>13.92</fb>
    <v>34</v>
  </rv>
  <rv s="14">
    <fb>7.8</fb>
    <v>35</v>
  </rv>
  <rv s="14">
    <fb>32.96</fb>
    <v>34</v>
  </rv>
  <rv s="14">
    <fb>66.86</fb>
    <v>34</v>
  </rv>
  <rv s="14">
    <fb>487.77</fb>
    <v>34</v>
  </rv>
  <rv s="14">
    <fb>111.74</fb>
    <v>34</v>
  </rv>
  <rv s="14">
    <fb>146.86000000000001</fb>
    <v>34</v>
  </rv>
  <rv s="14">
    <fb>151.32</fb>
    <v>34</v>
  </rv>
  <rv s="14">
    <fb>69.739999999999995</fb>
    <v>34</v>
  </rv>
  <rv s="14">
    <fb>289.52</fb>
    <v>34</v>
  </rv>
  <rv s="14">
    <fb>117.75</fb>
    <v>34</v>
  </rv>
  <rv s="14">
    <fb>1253.54</fb>
    <v>34</v>
  </rv>
  <rv s="14">
    <fb>161.03</fb>
    <v>34</v>
  </rv>
  <rv s="14">
    <fb>129.09</fb>
    <v>34</v>
  </rv>
  <rv s="14">
    <fb>231.97</fb>
    <v>34</v>
  </rv>
  <rv s="14">
    <fb>59.41</fb>
    <v>34</v>
  </rv>
  <rv s="14">
    <fb>55.29</fb>
    <v>34</v>
  </rv>
  <rv s="14">
    <fb>22.0398</fb>
    <v>34</v>
  </rv>
  <rv s="14">
    <fb>45832</fb>
    <v>33</v>
  </rv>
  <rv s="14">
    <fb>200.3</fb>
    <v>34</v>
  </rv>
  <rv s="14">
    <fb>490.11</fb>
    <v>34</v>
  </rv>
  <rv s="14">
    <fb>712.2</fb>
    <v>34</v>
  </rv>
  <rv s="14">
    <fb>166.77</fb>
    <v>34</v>
  </rv>
  <rv s="14">
    <fb>606.78</fb>
    <v>34</v>
  </rv>
  <rv s="14">
    <fb>87.4</fb>
    <v>34</v>
  </rv>
  <rv s="14">
    <fb>306.19</fb>
    <v>34</v>
  </rv>
  <rv s="14">
    <fb>95.26</fb>
    <v>34</v>
  </rv>
  <rv s="14">
    <fb>47.212299999999999</fb>
    <v>34</v>
  </rv>
  <rv s="14">
    <fb>84.91</fb>
    <v>34</v>
  </rv>
  <rv s="14">
    <fb>13.25</fb>
    <v>34</v>
  </rv>
  <rv s="14">
    <fb>8.82</fb>
    <v>35</v>
  </rv>
  <rv s="14">
    <fb>32.61</fb>
    <v>34</v>
  </rv>
  <rv s="14">
    <fb>65.819999999999993</fb>
    <v>34</v>
  </rv>
  <rv s="14">
    <fb>119.87</fb>
    <v>34</v>
  </rv>
  <rv s="14">
    <fb>493.48</fb>
    <v>34</v>
  </rv>
  <rv s="14">
    <fb>281.26</fb>
    <v>34</v>
  </rv>
  <rv s="14">
    <fb>108.34</fb>
    <v>34</v>
  </rv>
  <rv s="14">
    <fb>143.55000000000001</fb>
    <v>34</v>
  </rv>
  <rv s="14">
    <fb>152.19</fb>
    <v>34</v>
  </rv>
  <rv s="14">
    <fb>70.209999999999994</fb>
    <v>34</v>
  </rv>
  <rv s="14">
    <fb>291.47000000000003</fb>
    <v>34</v>
  </rv>
  <rv s="14">
    <fb>1279.1099999999999</fb>
    <v>34</v>
  </rv>
  <rv s="14">
    <fb>131.05000000000001</fb>
    <v>34</v>
  </rv>
  <rv s="14">
    <fb>230.81</fb>
    <v>34</v>
  </rv>
  <rv s="14">
    <fb>89.72</fb>
    <v>34</v>
  </rv>
  <rv s="14">
    <fb>59.56</fb>
    <v>34</v>
  </rv>
  <rv s="14">
    <fb>55.65</fb>
    <v>34</v>
  </rv>
  <rv s="14">
    <fb>21.96</fb>
    <v>34</v>
  </rv>
  <rv s="14">
    <fb>45833</fb>
    <v>33</v>
  </rv>
  <rv s="14">
    <fb>201.56</fb>
    <v>34</v>
  </rv>
  <rv s="14">
    <fb>154.31</fb>
    <v>34</v>
  </rv>
  <rv s="14">
    <fb>492.27</fb>
    <v>34</v>
  </rv>
  <rv s="14">
    <fb>708.68</fb>
    <v>34</v>
  </rv>
  <rv s="14">
    <fb>170.68</fb>
    <v>34</v>
  </rv>
  <rv s="14">
    <fb>607.12</fb>
    <v>34</v>
  </rv>
  <rv s="14">
    <fb>307.12</fb>
    <v>34</v>
  </rv>
  <rv s="14">
    <fb>95.3</fb>
    <v>34</v>
  </rv>
  <rv s="14">
    <fb>46.985900000000001</fb>
    <v>34</v>
  </rv>
  <rv s="14">
    <fb>137.72999999999999</fb>
    <v>34</v>
  </rv>
  <rv s="14">
    <fb>84.54</fb>
    <v>34</v>
  </rv>
  <rv s="14">
    <fb>13.2</fb>
    <v>34</v>
  </rv>
  <rv s="14">
    <fb>12</fb>
    <v>35</v>
  </rv>
  <rv s="14">
    <fb>33.01</fb>
    <v>34</v>
  </rv>
  <rv s="14">
    <fb>66.03</fb>
    <v>34</v>
  </rv>
  <rv s="14">
    <fb>124.05</fb>
    <v>34</v>
  </rv>
  <rv s="14">
    <fb>486.21</fb>
    <v>34</v>
  </rv>
  <rv s="14">
    <fb>46.85</fb>
    <v>34</v>
  </rv>
  <rv s="14">
    <fb>108.37</fb>
    <v>34</v>
  </rv>
  <rv s="14">
    <fb>143.22999999999999</fb>
    <v>34</v>
  </rv>
  <rv s="14">
    <fb>152.28</fb>
    <v>34</v>
  </rv>
  <rv s="14">
    <fb>69.63</fb>
    <v>34</v>
  </rv>
  <rv s="14">
    <fb>285.55</fb>
    <v>34</v>
  </rv>
  <rv s="14">
    <fb>119.42</fb>
    <v>34</v>
  </rv>
  <rv s="14">
    <fb>1275.25</fb>
    <v>34</v>
  </rv>
  <rv s="14">
    <fb>158.97</fb>
    <v>34</v>
  </rv>
  <rv s="14">
    <fb>128.02000000000001</fb>
    <v>34</v>
  </rv>
  <rv s="14">
    <fb>88.72</fb>
    <v>34</v>
  </rv>
  <rv s="14">
    <fb>28.12</fb>
    <v>34</v>
  </rv>
  <rv s="14">
    <fb>22.89</fb>
    <v>34</v>
  </rv>
  <rv s="14">
    <fb>59.6</fb>
    <v>34</v>
  </rv>
  <rv s="14">
    <fb>55.68</fb>
    <v>34</v>
  </rv>
  <rv s="14">
    <fb>21.395800000000001</fb>
    <v>34</v>
  </rv>
  <rv s="14">
    <fb>45834</fb>
    <v>33</v>
  </rv>
  <rv s="14">
    <fb>155.02000000000001</fb>
    <v>34</v>
  </rv>
  <rv s="14">
    <fb>497.45</fb>
    <v>34</v>
  </rv>
  <rv s="14">
    <fb>726.09</fb>
    <v>34</v>
  </rv>
  <rv s="14">
    <fb>173.54</fb>
    <v>34</v>
  </rv>
  <rv s="14">
    <fb>611.87</fb>
    <v>34</v>
  </rv>
  <rv s="14">
    <fb>87.95</fb>
    <v>34</v>
  </rv>
  <rv s="14">
    <fb>73.59</fb>
    <v>34</v>
  </rv>
  <rv s="14">
    <fb>95.64</fb>
    <v>34</v>
  </rv>
  <rv s="14">
    <fb>47.113</fb>
    <v>34</v>
  </rv>
  <rv s="14">
    <fb>139.35</fb>
    <v>34</v>
  </rv>
  <rv s="14">
    <fb>85.75</fb>
    <v>34</v>
  </rv>
  <rv s="14">
    <fb>13.28</fb>
    <v>34</v>
  </rv>
  <rv s="14">
    <fb>6.75</fb>
    <v>35</v>
  </rv>
  <rv s="14">
    <fb>33.340000000000003</fb>
    <v>34</v>
  </rv>
  <rv s="14">
    <fb>65.959999999999994</fb>
    <v>34</v>
  </rv>
  <rv s="14">
    <fb>128.86000000000001</fb>
    <v>34</v>
  </rv>
  <rv s="14">
    <fb>485.05</fb>
    <v>34</v>
  </rv>
  <rv s="14">
    <fb>288.75</fb>
    <v>34</v>
  </rv>
  <rv s="14">
    <fb>47.46</fb>
    <v>34</v>
  </rv>
  <rv s="14">
    <fb>109.99</fb>
    <v>34</v>
  </rv>
  <rv s="14">
    <fb>144.44</fb>
    <v>34</v>
  </rv>
  <rv s="14">
    <fb>152.01</fb>
    <v>34</v>
  </rv>
  <rv s="14">
    <fb>69.47</fb>
    <v>34</v>
  </rv>
  <rv s="14">
    <fb>285.63</fb>
    <v>34</v>
  </rv>
  <rv s="14">
    <fb>121.46</fb>
    <v>34</v>
  </rv>
  <rv s="14">
    <fb>1306.67</fb>
    <v>34</v>
  </rv>
  <rv s="14">
    <fb>158.63</fb>
    <v>34</v>
  </rv>
  <rv s="14">
    <fb>128.22</fb>
    <v>34</v>
  </rv>
  <rv s="14">
    <fb>231.62</fb>
    <v>34</v>
  </rv>
  <rv s="14">
    <fb>59.75</fb>
    <v>34</v>
  </rv>
  <rv s="14">
    <fb>21.286799999999999</fb>
    <v>34</v>
  </rv>
  <rv s="14">
    <fb>45835</fb>
    <v>33</v>
  </rv>
  <rv s="14">
    <fb>201.08</fb>
    <v>34</v>
  </rv>
  <rv s="14">
    <fb>733.63</fb>
    <v>34</v>
  </rv>
  <rv s="14">
    <fb>178.53</fb>
    <v>34</v>
  </rv>
  <rv s="14">
    <fb>614.91</fb>
    <v>34</v>
  </rv>
  <rv s="14">
    <fb>301.22000000000003</fb>
    <v>34</v>
  </rv>
  <rv s="14">
    <fb>73.28</fb>
    <v>34</v>
  </rv>
  <rv s="14">
    <fb>47.009099999999997</fb>
    <v>34</v>
  </rv>
  <rv s="14">
    <fb>142.91999999999999</fb>
    <v>34</v>
  </rv>
  <rv s="14">
    <fb>85.3</fb>
    <v>34</v>
  </rv>
  <rv s="14">
    <fb>6.24</fb>
    <v>35</v>
  </rv>
  <rv s="14">
    <fb>32.619999999999997</fb>
    <v>34</v>
  </rv>
  <rv s="14">
    <fb>64.77</fb>
    <v>34</v>
  </rv>
  <rv s="14">
    <fb>122.01</fb>
    <v>34</v>
  </rv>
  <rv s="14">
    <fb>29.27</fb>
    <v>34</v>
  </rv>
  <rv s="14">
    <fb>485.68</fb>
    <v>34</v>
  </rv>
  <rv s="14">
    <fb>287.11</fb>
    <v>34</v>
  </rv>
  <rv s="14">
    <fb>47.12</fb>
    <v>34</v>
  </rv>
  <rv s="14">
    <fb>109.38</fb>
    <v>34</v>
  </rv>
  <rv s="14">
    <fb>143.79</fb>
    <v>34</v>
  </rv>
  <rv s="14">
    <fb>152.41</fb>
    <v>34</v>
  </rv>
  <rv s="14">
    <fb>70.33</fb>
    <v>34</v>
  </rv>
  <rv s="14">
    <fb>291.55</fb>
    <v>34</v>
  </rv>
  <rv s="14">
    <fb>122.34</fb>
    <v>34</v>
  </rv>
  <rv s="14">
    <fb>1323.12</fb>
    <v>34</v>
  </rv>
  <rv s="14">
    <fb>131.04</fb>
    <v>34</v>
  </rv>
  <rv s="14">
    <fb>231.17</fb>
    <v>34</v>
  </rv>
  <rv s="14">
    <fb>89.31</fb>
    <v>34</v>
  </rv>
  <rv s="14">
    <fb>28.35</fb>
    <v>34</v>
  </rv>
  <rv s="14">
    <fb>59.65</fb>
    <v>34</v>
  </rv>
  <rv s="14">
    <fb>55.61</fb>
    <v>34</v>
  </rv>
  <rv s="14">
    <fb>21.374400000000001</fb>
    <v>34</v>
  </rv>
  <rv s="14">
    <fb>45838</fb>
    <v>33</v>
  </rv>
  <rv s="14">
    <fb>205.17</fb>
    <v>34</v>
  </rv>
  <rv s="14">
    <fb>157.99</fb>
    <v>34</v>
  </rv>
  <rv s="14">
    <fb>497.41</fb>
    <v>34</v>
  </rv>
  <rv s="14">
    <fb>738.09</fb>
    <v>34</v>
  </rv>
  <rv s="14">
    <fb>176.23</fb>
    <v>34</v>
  </rv>
  <rv s="14">
    <fb>617.85</fb>
    <v>34</v>
  </rv>
  <rv s="14">
    <fb>73.11</fb>
    <v>34</v>
  </rv>
  <rv s="14">
    <fb>95.77</fb>
    <v>34</v>
  </rv>
  <rv s="14">
    <fb>47.331699999999998</fb>
    <v>34</v>
  </rv>
  <rv s="14">
    <fb>141.87</fb>
    <v>34</v>
  </rv>
  <rv s="14">
    <fb>13.22</fb>
    <v>34</v>
  </rv>
  <rv s="14">
    <fb>6.35</fb>
    <v>35</v>
  </rv>
  <rv s="14">
    <fb>32.81</fb>
    <v>34</v>
  </rv>
  <rv s="14">
    <fb>65.52</fb>
    <v>34</v>
  </rv>
  <rv s="14">
    <fb>122.87</fb>
    <v>34</v>
  </rv>
  <rv s="14">
    <fb>485.77</fb>
    <v>34</v>
  </rv>
  <rv s="14">
    <fb>289.91000000000003</fb>
    <v>34</v>
  </rv>
  <rv s="14">
    <fb>47.32</fb>
    <v>34</v>
  </rv>
  <rv s="14">
    <fb>107.8</fb>
    <v>34</v>
  </rv>
  <rv s="14">
    <fb>70.75</fb>
    <v>34</v>
  </rv>
  <rv s="14">
    <fb>292.17</fb>
    <v>34</v>
  </rv>
  <rv s="14">
    <fb>124.01</fb>
    <v>34</v>
  </rv>
  <rv s="14">
    <fb>1339.13</fb>
    <v>34</v>
  </rv>
  <rv s="14">
    <fb>159.32</fb>
    <v>34</v>
  </rv>
  <rv s="14">
    <fb>132.04</fb>
    <v>34</v>
  </rv>
  <rv s="14">
    <fb>230.29</fb>
    <v>34</v>
  </rv>
  <rv s="14">
    <fb>27.99</fb>
    <v>34</v>
  </rv>
  <rv s="14">
    <fb>56.12</fb>
    <v>34</v>
  </rv>
  <rv s="14">
    <fb>21.39</fb>
    <v>34</v>
  </rv>
  <rv s="14">
    <fb>45839</fb>
    <v>33</v>
  </rv>
  <rv s="14">
    <fb>207.82</fb>
    <v>34</v>
  </rv>
  <rv s="14">
    <fb>153.30000000000001</fb>
    <v>34</v>
  </rv>
  <rv s="14">
    <fb>492.05</fb>
    <v>34</v>
  </rv>
  <rv s="14">
    <fb>719.22</fb>
    <v>34</v>
  </rv>
  <rv s="14">
    <fb>175.84</fb>
    <v>34</v>
  </rv>
  <rv s="14">
    <fb>617.65</fb>
    <v>34</v>
  </rv>
  <rv s="14">
    <fb>88.14</fb>
    <v>34</v>
  </rv>
  <rv s="14">
    <fb>307.55</fb>
    <v>34</v>
  </rv>
  <rv s="14">
    <fb>73.930000000000007</fb>
    <v>34</v>
  </rv>
  <rv s="14">
    <fb>95.29</fb>
    <v>34</v>
  </rv>
  <rv s="14">
    <fb>47.167900000000003</fb>
    <v>34</v>
  </rv>
  <rv s="14">
    <fb>141.63</fb>
    <v>34</v>
  </rv>
  <rv s="14">
    <fb>5.3</fb>
    <v>35</v>
  </rv>
  <rv s="14">
    <fb>32.729999999999997</fb>
    <v>34</v>
  </rv>
  <rv s="14">
    <fb>25.65</fb>
    <v>34</v>
  </rv>
  <rv s="14">
    <fb>66.09</fb>
    <v>34</v>
  </rv>
  <rv s="14">
    <fb>123.52</fb>
    <v>34</v>
  </rv>
  <rv s="14">
    <fb>489.61</fb>
    <v>34</v>
  </rv>
  <rv s="14">
    <fb>290.41000000000003</fb>
    <v>34</v>
  </rv>
  <rv s="14">
    <fb>48.15</fb>
    <v>34</v>
  </rv>
  <rv s="14">
    <fb>109.24</fb>
    <v>34</v>
  </rv>
  <rv s="14">
    <fb>145.57</fb>
    <v>34</v>
  </rv>
  <rv s="14">
    <fb>155.91999999999999</fb>
    <v>34</v>
  </rv>
  <rv s="14">
    <fb>71.67</fb>
    <v>34</v>
  </rv>
  <rv s="14">
    <fb>297.49</fb>
    <v>34</v>
  </rv>
  <rv s="14">
    <fb>123.49</fb>
    <v>34</v>
  </rv>
  <rv s="14">
    <fb>1293.5999999999999</fb>
    <v>34</v>
  </rv>
  <rv s="14">
    <fb>161.22</fb>
    <v>34</v>
  </rv>
  <rv s="14">
    <fb>135.26</fb>
    <v>34</v>
  </rv>
  <rv s="14">
    <fb>236.94</fb>
    <v>34</v>
  </rv>
  <rv s="14">
    <fb>89.58</fb>
    <v>34</v>
  </rv>
  <rv s="14">
    <fb>22.885000000000002</fb>
    <v>34</v>
  </rv>
  <rv s="14">
    <fb>59.49</fb>
    <v>34</v>
  </rv>
  <rv s="14">
    <fb>21.6891</fb>
    <v>34</v>
  </rv>
  <rv s="14">
    <fb>45840</fb>
    <v>33</v>
  </rv>
  <rv s="14">
    <fb>212.44</fb>
    <v>34</v>
  </rv>
  <rv s="14">
    <fb>491.09</fb>
    <v>34</v>
  </rv>
  <rv s="14">
    <fb>713.57</fb>
    <v>34</v>
  </rv>
  <rv s="14">
    <fb>178.64</fb>
    <v>34</v>
  </rv>
  <rv s="14">
    <fb>620.45000000000005</fb>
    <v>34</v>
  </rv>
  <rv s="14">
    <fb>87.58</fb>
    <v>34</v>
  </rv>
  <rv s="14">
    <fb>309.25</fb>
    <v>34</v>
  </rv>
  <rv s="14">
    <fb>75.59</fb>
    <v>34</v>
  </rv>
  <rv s="14">
    <fb>47.165199999999999</fb>
    <v>34</v>
  </rv>
  <rv s="14">
    <fb>142.78</fb>
    <v>34</v>
  </rv>
  <rv s="14">
    <fb>86.93</fb>
    <v>34</v>
  </rv>
  <rv s="14">
    <fb>13.57</fb>
    <v>34</v>
  </rv>
  <rv s="14">
    <fb>5.07</fb>
    <v>35</v>
  </rv>
  <rv s="14">
    <fb>33.24</fb>
    <v>34</v>
  </rv>
  <rv s="14">
    <fb>66.47</fb>
    <v>34</v>
  </rv>
  <rv s="14">
    <fb>130.16</fb>
    <v>34</v>
  </rv>
  <rv s="14">
    <fb>480.48</fb>
    <v>34</v>
  </rv>
  <rv s="14">
    <fb>292</fb>
    <v>34</v>
  </rv>
  <rv s="14">
    <fb>48.71</fb>
    <v>34</v>
  </rv>
  <rv s="14">
    <fb>147.97999999999999</fb>
    <v>34</v>
  </rv>
  <rv s="14">
    <fb>155.56</fb>
    <v>34</v>
  </rv>
  <rv s="14">
    <fb>294.63</fb>
    <v>34</v>
  </rv>
  <rv s="14">
    <fb>122.98</fb>
    <v>34</v>
  </rv>
  <rv s="14">
    <fb>1284.8599999999999</fb>
    <v>34</v>
  </rv>
  <rv s="14">
    <fb>161.19999999999999</fb>
    <v>34</v>
  </rv>
  <rv s="14">
    <fb>242.97</fb>
    <v>34</v>
  </rv>
  <rv s="14">
    <fb>91.23</fb>
    <v>34</v>
  </rv>
  <rv s="14">
    <fb>55.66</fb>
    <v>34</v>
  </rv>
  <rv s="14">
    <fb>21.765999999999998</fb>
    <v>34</v>
  </rv>
  <rv s="14">
    <fb>45841</fb>
    <v>33</v>
  </rv>
  <rv s="14">
    <fb>213.55</fb>
    <v>34</v>
  </rv>
  <rv s="14">
    <fb>159.34</fb>
    <v>34</v>
  </rv>
  <rv s="14">
    <fb>498.84</fb>
    <v>34</v>
  </rv>
  <rv s="14">
    <fb>719.01</fb>
    <v>34</v>
  </rv>
  <rv s="14">
    <fb>179.53</fb>
    <v>34</v>
  </rv>
  <rv s="14">
    <fb>625.34</fb>
    <v>34</v>
  </rv>
  <rv s="14">
    <fb>307.14</fb>
    <v>34</v>
  </rv>
  <rv s="14">
    <fb>75.19</fb>
    <v>34</v>
  </rv>
  <rv s="14">
    <fb>94.76</fb>
    <v>34</v>
  </rv>
  <rv s="14">
    <fb>47.024999999999999</fb>
    <v>34</v>
  </rv>
  <rv s="14">
    <fb>87.03</fb>
    <v>34</v>
  </rv>
  <rv s="14">
    <fb>13.51</fb>
    <v>34</v>
  </rv>
  <rv s="14">
    <fb>4.9000000000000004</fb>
    <v>35</v>
  </rv>
  <rv s="14">
    <fb>33.51</fb>
    <v>34</v>
  </rv>
  <rv s="14">
    <fb>66.040000000000006</fb>
    <v>34</v>
  </rv>
  <rv s="14">
    <fb>125.14</fb>
    <v>34</v>
  </rv>
  <rv s="14">
    <fb>485</fb>
    <v>34</v>
  </rv>
  <rv s="14">
    <fb>296</fb>
    <v>34</v>
  </rv>
  <rv s="14">
    <fb>48.93</fb>
    <v>34</v>
  </rv>
  <rv s="14">
    <fb>148.37</fb>
    <v>34</v>
  </rv>
  <rv s="14">
    <fb>294.08</fb>
    <v>34</v>
  </rv>
  <rv s="14">
    <fb>124</fb>
    <v>34</v>
  </rv>
  <rv s="14">
    <fb>1297.18</fb>
    <v>34</v>
  </rv>
  <rv s="14">
    <fb>160.83000000000001</fb>
    <v>34</v>
  </rv>
  <rv s="14">
    <fb>135.38</fb>
    <v>34</v>
  </rv>
  <rv s="14">
    <fb>241.58</fb>
    <v>34</v>
  </rv>
  <rv s="14">
    <fb>91.14</fb>
    <v>34</v>
  </rv>
  <rv s="14">
    <fb>28.880700000000001</fb>
    <v>34</v>
  </rv>
  <rv s="14">
    <fb>22.78</fb>
    <v>34</v>
  </rv>
  <rv s="14">
    <fb>21.771100000000001</fb>
    <v>34</v>
  </rv>
  <rv s="14">
    <fb>45845</fb>
    <v>33</v>
  </rv>
  <rv s="14">
    <fb>209.95</fb>
    <v>34</v>
  </rv>
  <rv s="14">
    <fb>497.72</fb>
    <v>34</v>
  </rv>
  <rv s="14">
    <fb>718.35</fb>
    <v>34</v>
  </rv>
  <rv s="14">
    <fb>176.79</fb>
    <v>34</v>
  </rv>
  <rv s="14">
    <fb>620.67999999999995</fb>
    <v>34</v>
  </rv>
  <rv s="14">
    <fb>307.37</fb>
    <v>34</v>
  </rv>
  <rv s="14">
    <fb>76.48</fb>
    <v>34</v>
  </rv>
  <rv s="14">
    <fb>94.46</fb>
    <v>34</v>
  </rv>
  <rv s="14">
    <fb>46.854999999999997</fb>
    <v>34</v>
  </rv>
  <rv s="14">
    <fb>141.53</fb>
    <v>34</v>
  </rv>
  <rv s="14">
    <fb>13.73</fb>
    <v>34</v>
  </rv>
  <rv s="14">
    <fb>4.99</fb>
    <v>35</v>
  </rv>
  <rv s="14">
    <fb>33.43</fb>
    <v>34</v>
  </rv>
  <rv s="14">
    <fb>125.16</fb>
    <v>34</v>
  </rv>
  <rv s="14">
    <fb>478.03</fb>
    <v>34</v>
  </rv>
  <rv s="14">
    <fb>291.97000000000003</fb>
    <v>34</v>
  </rv>
  <rv s="14">
    <fb>48.66</fb>
    <v>34</v>
  </rv>
  <rv s="14">
    <fb>111.11</fb>
    <v>34</v>
  </rv>
  <rv s="14">
    <fb>147.4</fb>
    <v>34</v>
  </rv>
  <rv s="14">
    <fb>155.27000000000001</fb>
    <v>34</v>
  </rv>
  <rv s="14">
    <fb>71.010000000000005</fb>
    <v>34</v>
  </rv>
  <rv s="14">
    <fb>293.52999999999997</fb>
    <v>34</v>
  </rv>
  <rv s="14">
    <fb>123.16</fb>
    <v>34</v>
  </rv>
  <rv s="14">
    <fb>1289.6199999999999</fb>
    <v>34</v>
  </rv>
  <rv s="14">
    <fb>134.44999999999999</fb>
    <v>34</v>
  </rv>
  <rv s="14">
    <fb>90.1</fb>
    <v>34</v>
  </rv>
  <rv s="14">
    <fb>54.86</fb>
    <v>34</v>
  </rv>
  <rv s="14">
    <fb>28.93</fb>
    <v>34</v>
  </rv>
  <rv s="14">
    <fb>21.552299999999999</fb>
    <v>34</v>
  </rv>
  <rv s="14">
    <fb>45846</fb>
    <v>33</v>
  </rv>
  <rv s="14">
    <fb>210.01</fb>
    <v>34</v>
  </rv>
  <rv s="14">
    <fb>160</fb>
    <v>34</v>
  </rv>
  <rv s="14">
    <fb>496.62</fb>
    <v>34</v>
  </rv>
  <rv s="14">
    <fb>720.67</fb>
    <v>34</v>
  </rv>
  <rv s="14">
    <fb>174.36</fb>
    <v>34</v>
  </rv>
  <rv s="14">
    <fb>620.34</fb>
    <v>34</v>
  </rv>
  <rv s="14">
    <fb>304.16000000000003</fb>
    <v>34</v>
  </rv>
  <rv s="14">
    <fb>94.32</fb>
    <v>34</v>
  </rv>
  <rv s="14">
    <fb>46.833500000000001</fb>
    <v>34</v>
  </rv>
  <rv s="14">
    <fb>88.51</fb>
    <v>34</v>
  </rv>
  <rv s="14">
    <fb>13.81</fb>
    <v>34</v>
  </rv>
  <rv s="14">
    <fb>5.0999999999999996</fb>
    <v>35</v>
  </rv>
  <rv s="14">
    <fb>33.29</fb>
    <v>34</v>
  </rv>
  <rv s="14">
    <fb>65.400000000000006</fb>
    <v>34</v>
  </rv>
  <rv s="14">
    <fb>124.74</fb>
    <v>34</v>
  </rv>
  <rv s="14">
    <fb>477.47</fb>
    <v>34</v>
  </rv>
  <rv s="14">
    <fb>282.77999999999997</fb>
    <v>34</v>
  </rv>
  <rv s="14">
    <fb>47.15</fb>
    <v>34</v>
  </rv>
  <rv s="14">
    <fb>114.19</fb>
    <v>34</v>
  </rv>
  <rv s="14">
    <fb>155.79</fb>
    <v>34</v>
  </rv>
  <rv s="14">
    <fb>291.67</fb>
    <v>34</v>
  </rv>
  <rv s="14">
    <fb>121.82</fb>
    <v>34</v>
  </rv>
  <rv s="14">
    <fb>1275.31</fb>
    <v>34</v>
  </rv>
  <rv s="14">
    <fb>135.04</fb>
    <v>34</v>
  </rv>
  <rv s="14">
    <fb>249.83</fb>
    <v>34</v>
  </rv>
  <rv s="14">
    <fb>92.67</fb>
    <v>34</v>
  </rv>
  <rv s="14">
    <fb>22.704999999999998</fb>
    <v>34</v>
  </rv>
  <rv s="14">
    <fb>54.78</fb>
    <v>34</v>
  </rv>
  <rv s="14">
    <fb>21.55</fb>
    <v>34</v>
  </rv>
  <rv s="14">
    <fb>45847</fb>
    <v>33</v>
  </rv>
  <rv s="14">
    <fb>211.14</fb>
    <v>34</v>
  </rv>
  <rv s="14">
    <fb>162.88</fb>
    <v>34</v>
  </rv>
  <rv s="14">
    <fb>503.51</fb>
    <v>34</v>
  </rv>
  <rv s="14">
    <fb>732.78</fb>
    <v>34</v>
  </rv>
  <rv s="14">
    <fb>176.62</fb>
    <v>34</v>
  </rv>
  <rv s="14">
    <fb>624.05999999999995</fb>
    <v>34</v>
  </rv>
  <rv s="14">
    <fb>305.52</fb>
    <v>34</v>
  </rv>
  <rv s="14">
    <fb>146.65</fb>
    <v>34</v>
  </rv>
  <rv s="14">
    <fb>88.06</fb>
    <v>34</v>
  </rv>
  <rv s="14">
    <fb>13.79</fb>
    <v>34</v>
  </rv>
  <rv s="14">
    <fb>33</fb>
    <v>34</v>
  </rv>
  <rv s="14">
    <fb>65.650000000000006</fb>
    <v>34</v>
  </rv>
  <rv s="14">
    <fb>122.86</fb>
    <v>34</v>
  </rv>
  <rv s="14">
    <fb>478.91</fb>
    <v>34</v>
  </rv>
  <rv s="14">
    <fb>283.16000000000003</fb>
    <v>34</v>
  </rv>
  <rv s="14">
    <fb>153.02000000000001</fb>
    <v>34</v>
  </rv>
  <rv s="14">
    <fb>156.28</fb>
    <v>34</v>
  </rv>
  <rv s="14">
    <fb>293.02</fb>
    <v>34</v>
  </rv>
  <rv s="14">
    <fb>120.61</fb>
    <v>34</v>
  </rv>
  <rv s="14">
    <fb>1288.28</fb>
    <v>34</v>
  </rv>
  <rv s="14">
    <fb>157.52000000000001</fb>
    <v>34</v>
  </rv>
  <rv s="14">
    <fb>134.47999999999999</fb>
    <v>34</v>
  </rv>
  <rv s="14">
    <fb>247.93</fb>
    <v>34</v>
  </rv>
  <rv s="14">
    <fb>91.92</fb>
    <v>34</v>
  </rv>
  <rv s="14">
    <fb>22.8</fb>
    <v>34</v>
  </rv>
  <rv s="14">
    <fb>55.31</fb>
    <v>34</v>
  </rv>
  <rv s="14">
    <fb>21.591699999999999</fb>
    <v>34</v>
  </rv>
  <rv s="14">
    <fb>45848</fb>
    <v>33</v>
  </rv>
  <rv s="14">
    <fb>212.41</fb>
    <v>34</v>
  </rv>
  <rv s="14">
    <fb>727.24</fb>
    <v>34</v>
  </rv>
  <rv s="14">
    <fb>177.62</fb>
    <v>34</v>
  </rv>
  <rv s="14">
    <fb>625.82000000000005</fb>
    <v>34</v>
  </rv>
  <rv s="14">
    <fb>86.99</fb>
    <v>34</v>
  </rv>
  <rv s="14">
    <fb>306.2</fb>
    <v>34</v>
  </rv>
  <rv s="14">
    <fb>75.39</fb>
    <v>34</v>
  </rv>
  <rv s="14">
    <fb>148.21</fb>
    <v>34</v>
  </rv>
  <rv s="14">
    <fb>88.73</fb>
    <v>34</v>
  </rv>
  <rv s="14">
    <fb>13.58</fb>
    <v>34</v>
  </rv>
  <rv s="14">
    <fb>4.83</fb>
    <v>35</v>
  </rv>
  <rv s="14">
    <fb>33.75</fb>
    <v>34</v>
  </rv>
  <rv s="14">
    <fb>4.58</fb>
    <v>34</v>
  </rv>
  <rv s="14">
    <fb>65.83</fb>
    <v>34</v>
  </rv>
  <rv s="14">
    <fb>478.27</fb>
    <v>34</v>
  </rv>
  <rv s="14">
    <fb>288.19</fb>
    <v>34</v>
  </rv>
  <rv s="14">
    <fb>46.97</fb>
    <v>34</v>
  </rv>
  <rv s="14">
    <fb>114.93</fb>
    <v>34</v>
  </rv>
  <rv s="14">
    <fb>154.16999999999999</fb>
    <v>34</v>
  </rv>
  <rv s="14">
    <fb>157.69</fb>
    <v>34</v>
  </rv>
  <rv s="14">
    <fb>69.77</fb>
    <v>34</v>
  </rv>
  <rv s="14">
    <fb>298.39</fb>
    <v>34</v>
  </rv>
  <rv s="14">
    <fb>121.56</fb>
    <v>34</v>
  </rv>
  <rv s="14">
    <fb>1250.5899999999999</fb>
    <v>34</v>
  </rv>
  <rv s="14">
    <fb>158.49</fb>
    <v>34</v>
  </rv>
  <rv s="14">
    <fb>136.08000000000001</fb>
    <v>34</v>
  </rv>
  <rv s="14">
    <fb>249.99</fb>
    <v>34</v>
  </rv>
  <rv s="14">
    <fb>29.569199999999999</fb>
    <v>34</v>
  </rv>
  <rv s="14">
    <fb>21.676600000000001</fb>
    <v>34</v>
  </rv>
  <rv s="14">
    <fb>45849</fb>
    <v>33</v>
  </rv>
  <rv s="14">
    <fb>211.16</fb>
    <v>34</v>
  </rv>
  <rv s="14">
    <fb>164.92</fb>
    <v>34</v>
  </rv>
  <rv s="14">
    <fb>503.32</fb>
    <v>34</v>
  </rv>
  <rv s="14">
    <fb>717.51</fb>
    <v>34</v>
  </rv>
  <rv s="14">
    <fb>180.19</fb>
    <v>34</v>
  </rv>
  <rv s="14">
    <fb>623.62</fb>
    <v>34</v>
  </rv>
  <rv s="14">
    <fb>85.79</fb>
    <v>34</v>
  </rv>
  <rv s="14">
    <fb>309.14</fb>
    <v>34</v>
  </rv>
  <rv s="14">
    <fb>77.290000000000006</fb>
    <v>34</v>
  </rv>
  <rv s="14">
    <fb>46.792000000000002</fb>
    <v>34</v>
  </rv>
  <rv s="14">
    <fb>147.18</fb>
    <v>34</v>
  </rv>
  <rv s="14">
    <fb>4.78</fb>
    <v>35</v>
  </rv>
  <rv s="14">
    <fb>128.19999999999999</fb>
    <v>34</v>
  </rv>
  <rv s="14">
    <fb>50.945</fb>
    <v>34</v>
  </rv>
  <rv s="14">
    <fb>25.88</fb>
    <v>34</v>
  </rv>
  <rv s="14">
    <fb>475.86</fb>
    <v>34</v>
  </rv>
  <rv s="14">
    <fb>286.86</fb>
    <v>34</v>
  </rv>
  <rv s="14">
    <fb>155.31</fb>
    <v>34</v>
  </rv>
  <rv s="14">
    <fb>69.87</fb>
    <v>34</v>
  </rv>
  <rv s="14">
    <fb>299.91000000000003</fb>
    <v>34</v>
  </rv>
  <rv s="14">
    <fb>1245.1099999999999</fb>
    <v>34</v>
  </rv>
  <rv s="14">
    <fb>157.05000000000001</fb>
    <v>34</v>
  </rv>
  <rv s="14">
    <fb>252.23</fb>
    <v>34</v>
  </rv>
  <rv s="14">
    <fb>29.68</fb>
    <v>34</v>
  </rv>
  <rv s="14">
    <fb>22.71</fb>
    <v>34</v>
  </rv>
  <rv s="14">
    <fb>54.66</fb>
    <v>34</v>
  </rv>
  <rv s="14">
    <fb>21.6022</fb>
    <v>34</v>
  </rv>
  <rv s="14">
    <fb>45852</fb>
    <v>33</v>
  </rv>
  <rv s="14">
    <fb>208.62</fb>
    <v>34</v>
  </rv>
  <rv s="14">
    <fb>503.02</fb>
    <v>34</v>
  </rv>
  <rv s="14">
    <fb>720.92</fb>
    <v>34</v>
  </rv>
  <rv s="14">
    <fb>181.56</fb>
    <v>34</v>
  </rv>
  <rv s="14">
    <fb>624.80999999999995</fb>
    <v>34</v>
  </rv>
  <rv s="14">
    <fb>308.01</fb>
    <v>34</v>
  </rv>
  <rv s="14">
    <fb>75.62</fb>
    <v>34</v>
  </rv>
  <rv s="14">
    <fb>148.53</fb>
    <v>34</v>
  </rv>
  <rv s="14">
    <fb>88.15</fb>
    <v>34</v>
  </rv>
  <rv s="14">
    <fb>13.68</fb>
    <v>34</v>
  </rv>
  <rv s="14">
    <fb>34.630000000000003</fb>
    <v>34</v>
  </rv>
  <rv s="14">
    <fb>66.23</fb>
    <v>34</v>
  </rv>
  <rv s="14">
    <fb>124.28</fb>
    <v>34</v>
  </rv>
  <rv s="14">
    <fb>476.31</fb>
    <v>34</v>
  </rv>
  <rv s="14">
    <fb>47.07</fb>
    <v>34</v>
  </rv>
  <rv s="14">
    <fb>113.92</fb>
    <v>34</v>
  </rv>
  <rv s="14">
    <fb>151.65</fb>
    <v>34</v>
  </rv>
  <rv s="14">
    <fb>156.82</fb>
    <v>34</v>
  </rv>
  <rv s="14">
    <fb>301.88</fb>
    <v>34</v>
  </rv>
  <rv s="14">
    <fb>1261.95</fb>
    <v>34</v>
  </rv>
  <rv s="14">
    <fb>153.76</fb>
    <v>34</v>
  </rv>
  <rv s="14">
    <fb>244.61</fb>
    <v>34</v>
  </rv>
  <rv s="14">
    <fb>29.310099999999998</fb>
    <v>34</v>
  </rv>
  <rv s="14">
    <fb>58.484999999999999</fb>
    <v>34</v>
  </rv>
  <rv s="14">
    <fb>21.682300000000001</fb>
    <v>34</v>
  </rv>
  <rv s="14">
    <fb>45853</fb>
    <v>33</v>
  </rv>
  <rv s="14">
    <fb>209.11</fb>
    <v>34</v>
  </rv>
  <rv s="14">
    <fb>170.7</fb>
    <v>34</v>
  </rv>
  <rv s="14">
    <fb>505.82</fb>
    <v>34</v>
  </rv>
  <rv s="14">
    <fb>710.39</fb>
    <v>34</v>
  </rv>
  <rv s="14">
    <fb>182</fb>
    <v>34</v>
  </rv>
  <rv s="14">
    <fb>622.14</fb>
    <v>34</v>
  </rv>
  <rv s="14">
    <fb>306.73</fb>
    <v>34</v>
  </rv>
  <rv s="14">
    <fb>75.260000000000005</fb>
    <v>34</v>
  </rv>
  <rv s="14">
    <fb>46.695</fb>
    <v>34</v>
  </rv>
  <rv s="14">
    <fb>145.72</fb>
    <v>34</v>
  </rv>
  <rv s="14">
    <fb>13.63</fb>
    <v>34</v>
  </rv>
  <rv s="14">
    <fb>34.26</fb>
    <v>34</v>
  </rv>
  <rv s="14">
    <fb>25.62</fb>
    <v>34</v>
  </rv>
  <rv s="14">
    <fb>4.46</fb>
    <v>34</v>
  </rv>
  <rv s="14">
    <fb>65.95</fb>
    <v>34</v>
  </rv>
  <rv s="14">
    <fb>124.23</fb>
    <v>34</v>
  </rv>
  <rv s="14">
    <fb>50.954999999999998</fb>
    <v>34</v>
  </rv>
  <rv s="14">
    <fb>470.13</fb>
    <v>34</v>
  </rv>
  <rv s="14">
    <fb>286.55</fb>
    <v>34</v>
  </rv>
  <rv s="14">
    <fb>46.15</fb>
    <v>34</v>
  </rv>
  <rv s="14">
    <fb>112.91</fb>
    <v>34</v>
  </rv>
  <rv s="14">
    <fb>69.36</fb>
    <v>34</v>
  </rv>
  <rv s="14">
    <fb>118.98</fb>
    <v>34</v>
  </rv>
  <rv s="14">
    <fb>1260.27</fb>
    <v>34</v>
  </rv>
  <rv s="14">
    <fb>152.68</fb>
    <v>34</v>
  </rv>
  <rv s="14">
    <fb>133.81</fb>
    <v>34</v>
  </rv>
  <rv s="14">
    <fb>236.82</fb>
    <v>34</v>
  </rv>
  <rv s="14">
    <fb>22.635000000000002</fb>
    <v>34</v>
  </rv>
  <rv s="14">
    <fb>45854</fb>
    <v>33</v>
  </rv>
  <rv s="14">
    <fb>210.16</fb>
    <v>34</v>
  </rv>
  <rv s="14">
    <fb>171.37</fb>
    <v>34</v>
  </rv>
  <rv s="14">
    <fb>505.62</fb>
    <v>34</v>
  </rv>
  <rv s="14">
    <fb>702.91</fb>
    <v>34</v>
  </rv>
  <rv s="14">
    <fb>182.97</fb>
    <v>34</v>
  </rv>
  <rv s="14">
    <fb>624.22</fb>
    <v>34</v>
  </rv>
  <rv s="14">
    <fb>85.13</fb>
    <v>34</v>
  </rv>
  <rv s="14">
    <fb>308.26</fb>
    <v>34</v>
  </rv>
  <rv s="14">
    <fb>46.775100000000002</fb>
    <v>34</v>
  </rv>
  <rv s="14">
    <fb>152.71</fb>
    <v>34</v>
  </rv>
  <rv s="14">
    <fb>86.13</fb>
    <v>34</v>
  </rv>
  <rv s="14">
    <fb>13.59</fb>
    <v>34</v>
  </rv>
  <rv s="14">
    <fb>4.41</fb>
    <v>35</v>
  </rv>
  <rv s="14">
    <fb>34.409999999999997</fb>
    <v>34</v>
  </rv>
  <rv s="14">
    <fb>66.28</fb>
    <v>34</v>
  </rv>
  <rv s="14">
    <fb>129</fb>
    <v>34</v>
  </rv>
  <rv s="14">
    <fb>50.965000000000003</fb>
    <v>34</v>
  </rv>
  <rv s="14">
    <fb>471.31</fb>
    <v>34</v>
  </rv>
  <rv s="14">
    <fb>285.82</fb>
    <v>34</v>
  </rv>
  <rv s="14">
    <fb>46.03</fb>
    <v>34</v>
  </rv>
  <rv s="14">
    <fb>112.23</fb>
    <v>34</v>
  </rv>
  <rv s="14">
    <fb>149.91999999999999</fb>
    <v>34</v>
  </rv>
  <rv s="14">
    <fb>164.78</fb>
    <v>34</v>
  </rv>
  <rv s="14">
    <fb>69.27</fb>
    <v>34</v>
  </rv>
  <rv s="14">
    <fb>298.89999999999998</fb>
    <v>34</v>
  </rv>
  <rv s="14">
    <fb>119.82</fb>
    <v>34</v>
  </rv>
  <rv s="14">
    <fb>1250.31</fb>
    <v>34</v>
  </rv>
  <rv s="14">
    <fb>153.72999999999999</fb>
    <v>34</v>
  </rv>
  <rv s="14">
    <fb>135.35</fb>
    <v>34</v>
  </rv>
  <rv s="14">
    <fb>233</fb>
    <v>34</v>
  </rv>
  <rv s="14">
    <fb>54.31</fb>
    <v>34</v>
  </rv>
  <rv s="14">
    <fb>21.605399999999999</fb>
    <v>34</v>
  </rv>
  <rv s="14">
    <fb>45855</fb>
    <v>33</v>
  </rv>
  <rv s="14">
    <fb>210.02</fb>
    <v>34</v>
  </rv>
  <rv s="14">
    <fb>511.7</fb>
    <v>34</v>
  </rv>
  <rv s="14">
    <fb>701.41</fb>
    <v>34</v>
  </rv>
  <rv s="14">
    <fb>183.58</fb>
    <v>34</v>
  </rv>
  <rv s="14">
    <fb>628.04</fb>
    <v>34</v>
  </rv>
  <rv s="14">
    <fb>85.11</fb>
    <v>34</v>
  </rv>
  <rv s="14">
    <fb>307.58999999999997</fb>
    <v>34</v>
  </rv>
  <rv s="14">
    <fb>76.16</fb>
    <v>34</v>
  </rv>
  <rv s="14">
    <fb>94.14</fb>
    <v>34</v>
  </rv>
  <rv s="14">
    <fb>46.784999999999997</fb>
    <v>34</v>
  </rv>
  <rv s="14">
    <fb>156.05000000000001</fb>
    <v>34</v>
  </rv>
  <rv s="14">
    <fb>34.65</fb>
    <v>34</v>
  </rv>
  <rv s="14">
    <fb>4.42</fb>
    <v>34</v>
  </rv>
  <rv s="14">
    <fb>66.11</fb>
    <v>34</v>
  </rv>
  <rv s="14">
    <fb>132.94</fb>
    <v>34</v>
  </rv>
  <rv s="14">
    <fb>473.4</fb>
    <v>34</v>
  </rv>
  <rv s="14">
    <fb>289.89999999999998</fb>
    <v>34</v>
  </rv>
  <rv s="14">
    <fb>47.02</fb>
    <v>34</v>
  </rv>
  <rv s="14">
    <fb>111.66</fb>
    <v>34</v>
  </rv>
  <rv s="14">
    <fb>162.97999999999999</fb>
    <v>34</v>
  </rv>
  <rv s="14">
    <fb>300.37</fb>
    <v>34</v>
  </rv>
  <rv s="14">
    <fb>122.21</fb>
    <v>34</v>
  </rv>
  <rv s="14">
    <fb>1274.17</fb>
    <v>34</v>
  </rv>
  <rv s="14">
    <fb>155.62</fb>
    <v>34</v>
  </rv>
  <rv s="14">
    <fb>145.44</fb>
    <v>34</v>
  </rv>
  <rv s="14">
    <fb>236.03</fb>
    <v>34</v>
  </rv>
  <rv s="14">
    <fb>90.48</fb>
    <v>34</v>
  </rv>
  <rv s="14">
    <fb>59.1</fb>
    <v>34</v>
  </rv>
  <rv s="14">
    <fb>54.29</fb>
    <v>34</v>
  </rv>
  <rv s="14">
    <fb>21.657</fb>
    <v>34</v>
  </rv>
  <rv s="14">
    <fb>45856</fb>
    <v>33</v>
  </rv>
  <rv s="14">
    <fb>211.18</fb>
    <v>34</v>
  </rv>
  <rv s="14">
    <fb>172.41</fb>
    <v>34</v>
  </rv>
  <rv s="14">
    <fb>510.05</fb>
    <v>34</v>
  </rv>
  <rv s="14">
    <fb>704.28</fb>
    <v>34</v>
  </rv>
  <rv s="14">
    <fb>185.06</fb>
    <v>34</v>
  </rv>
  <rv s="14">
    <fb>627.58000000000004</fb>
    <v>34</v>
  </rv>
  <rv s="14">
    <fb>85.24</fb>
    <v>34</v>
  </rv>
  <rv s="14">
    <fb>308.39</fb>
    <v>34</v>
  </rv>
  <rv s="14">
    <fb>94.4</fb>
    <v>34</v>
  </rv>
  <rv s="14">
    <fb>46.887900000000002</fb>
    <v>34</v>
  </rv>
  <rv s="14">
    <fb>13.75</fb>
    <v>34</v>
  </rv>
  <rv s="14">
    <fb>34.61</fb>
    <v>34</v>
  </rv>
  <rv s="14">
    <fb>26.03</fb>
    <v>34</v>
  </rv>
  <rv s="14">
    <fb>66.31</fb>
    <v>34</v>
  </rv>
  <rv s="14">
    <fb>129.88999999999999</fb>
    <v>34</v>
  </rv>
  <rv s="14">
    <fb>473.8</fb>
    <v>34</v>
  </rv>
  <rv s="14">
    <fb>291.27</fb>
    <v>34</v>
  </rv>
  <rv s="14">
    <fb>107.77</fb>
    <v>34</v>
  </rv>
  <rv s="14">
    <fb>150.04</fb>
    <v>34</v>
  </rv>
  <rv s="14">
    <fb>163.69999999999999</fb>
    <v>34</v>
  </rv>
  <rv s="14">
    <fb>69.849999999999994</fb>
    <v>34</v>
  </rv>
  <rv s="14">
    <fb>297.07</fb>
    <v>34</v>
  </rv>
  <rv s="14">
    <fb>121.42</fb>
    <v>34</v>
  </rv>
  <rv s="14">
    <fb>1209.24</fb>
    <v>34</v>
  </rv>
  <rv s="14">
    <fb>155.1</fb>
    <v>34</v>
  </rv>
  <rv s="14">
    <fb>143.24</fb>
    <v>34</v>
  </rv>
  <rv s="14">
    <fb>233.38</fb>
    <v>34</v>
  </rv>
  <rv s="14">
    <fb>90.52</fb>
    <v>34</v>
  </rv>
  <rv s="14">
    <fb>28.689399999999999</fb>
    <v>34</v>
  </rv>
  <rv s="14">
    <fb>54.41</fb>
    <v>34</v>
  </rv>
  <rv s="14">
    <fb>21.6873</fb>
    <v>34</v>
  </rv>
  <rv s="14">
    <fb>45859</fb>
    <v>33</v>
  </rv>
  <rv s="14">
    <fb>212.48</fb>
    <v>34</v>
  </rv>
  <rv s="14">
    <fb>171.38</fb>
    <v>34</v>
  </rv>
  <rv s="14">
    <fb>510.06</fb>
    <v>34</v>
  </rv>
  <rv s="14">
    <fb>712.96500000000003</fb>
    <v>34</v>
  </rv>
  <rv s="14">
    <fb>190.1</fb>
    <v>34</v>
  </rv>
  <rv s="14">
    <fb>628.77</fb>
    <v>34</v>
  </rv>
  <rv s="14">
    <fb>313.13</fb>
    <v>34</v>
  </rv>
  <rv s="14">
    <fb>47.049100000000003</fb>
    <v>34</v>
  </rv>
  <rv s="14">
    <fb>13.71</fb>
    <v>34</v>
  </rv>
  <rv s="14">
    <fb>4.7</fb>
    <v>35</v>
  </rv>
  <rv s="14">
    <fb>35.35</fb>
    <v>34</v>
  </rv>
  <rv s="14">
    <fb>67.31</fb>
    <v>34</v>
  </rv>
  <rv s="14">
    <fb>474.41</fb>
    <v>34</v>
  </rv>
  <rv s="14">
    <fb>290.97000000000003</fb>
    <v>34</v>
  </rv>
  <rv s="14">
    <fb>47.48</fb>
    <v>34</v>
  </rv>
  <rv s="14">
    <fb>108.05</fb>
    <v>34</v>
  </rv>
  <rv s="14">
    <fb>149.68</fb>
    <v>34</v>
  </rv>
  <rv s="14">
    <fb>164.36</fb>
    <v>34</v>
  </rv>
  <rv s="14">
    <fb>295.74</fb>
    <v>34</v>
  </rv>
  <rv s="14">
    <fb>120.84</fb>
    <v>34</v>
  </rv>
  <rv s="14">
    <fb>1233.27</fb>
    <v>34</v>
  </rv>
  <rv s="14">
    <fb>141.69999999999999</fb>
    <v>34</v>
  </rv>
  <rv s="14">
    <fb>232.86</fb>
    <v>34</v>
  </rv>
  <rv s="14">
    <fb>27.94</fb>
    <v>34</v>
  </rv>
  <rv s="14">
    <fb>59.354999999999997</fb>
    <v>34</v>
  </rv>
  <rv s="14">
    <fb>54.84</fb>
    <v>34</v>
  </rv>
  <rv s="14">
    <fb>21.754999999999999</fb>
    <v>34</v>
  </rv>
  <rv s="14">
    <fb>45860</fb>
    <v>33</v>
  </rv>
  <rv s="14">
    <fb>214.4</fb>
    <v>34</v>
  </rv>
  <rv s="14">
    <fb>167.03</fb>
    <v>34</v>
  </rv>
  <rv s="14">
    <fb>505.27</fb>
    <v>34</v>
  </rv>
  <rv s="14">
    <fb>704.81</fb>
    <v>34</v>
  </rv>
  <rv s="14">
    <fb>191.34</fb>
    <v>34</v>
  </rv>
  <rv s="14">
    <fb>628.86</fb>
    <v>34</v>
  </rv>
  <rv s="14">
    <fb>86.52</fb>
    <v>34</v>
  </rv>
  <rv s="14">
    <fb>316.10000000000002</fb>
    <v>34</v>
  </rv>
  <rv s="14">
    <fb>95</fb>
    <v>34</v>
  </rv>
  <rv s="14">
    <fb>47.099699999999999</fb>
    <v>34</v>
  </rv>
  <rv s="14">
    <fb>85.47</fb>
    <v>34</v>
  </rv>
  <rv s="14">
    <fb>13.67</fb>
    <v>34</v>
  </rv>
  <rv s="14">
    <fb>35.72</fb>
    <v>34</v>
  </rv>
  <rv s="14">
    <fb>67.959999999999994</fb>
    <v>34</v>
  </rv>
  <rv s="14">
    <fb>131.08000000000001</fb>
    <v>34</v>
  </rv>
  <rv s="14">
    <fb>478.13</fb>
    <v>34</v>
  </rv>
  <rv s="14">
    <fb>291.43</fb>
    <v>34</v>
  </rv>
  <rv s="14">
    <fb>108.54</fb>
    <v>34</v>
  </rv>
  <rv s="14">
    <fb>167.93</fb>
    <v>34</v>
  </rv>
  <rv s="14">
    <fb>299.17</fb>
    <v>34</v>
  </rv>
  <rv s="14">
    <fb>121.06</fb>
    <v>34</v>
  </rv>
  <rv s="14">
    <fb>1190.08</fb>
    <v>34</v>
  </rv>
  <rv s="14">
    <fb>146.04</fb>
    <v>34</v>
  </rv>
  <rv s="14">
    <fb>238.1</fb>
    <v>34</v>
  </rv>
  <rv s="14">
    <fb>89.54</fb>
    <v>34</v>
  </rv>
  <rv s="14">
    <fb>55.14</fb>
    <v>34</v>
  </rv>
  <rv s="14">
    <fb>22.1477</fb>
    <v>34</v>
  </rv>
  <rv s="14">
    <fb>45861</fb>
    <v>33</v>
  </rv>
  <rv s="14">
    <fb>214.15</fb>
    <v>34</v>
  </rv>
  <rv s="14">
    <fb>170.78</fb>
    <v>34</v>
  </rv>
  <rv s="14">
    <fb>505.87</fb>
    <v>34</v>
  </rv>
  <rv s="14">
    <fb>713.58</fb>
    <v>34</v>
  </rv>
  <rv s="14">
    <fb>190.23</fb>
    <v>34</v>
  </rv>
  <rv s="14">
    <fb>634.21</fb>
    <v>34</v>
  </rv>
  <rv s="14">
    <fb>312.18</fb>
    <v>34</v>
  </rv>
  <rv s="14">
    <fb>94.66</fb>
    <v>34</v>
  </rv>
  <rv s="14">
    <fb>151.85</fb>
    <v>34</v>
  </rv>
  <rv s="14">
    <fb>86.81</fb>
    <v>34</v>
  </rv>
  <rv s="14">
    <fb>35.69</fb>
    <v>34</v>
  </rv>
  <rv s="14">
    <fb>67.13</fb>
    <v>34</v>
  </rv>
  <rv s="14">
    <fb>128.81</fb>
    <v>34</v>
  </rv>
  <rv s="14">
    <fb>482.63</fb>
    <v>34</v>
  </rv>
  <rv s="14">
    <fb>296.76</fb>
    <v>34</v>
  </rv>
  <rv s="14">
    <fb>48.14</fb>
    <v>34</v>
  </rv>
  <rv s="14">
    <fb>109.93</fb>
    <v>34</v>
  </rv>
  <rv s="14">
    <fb>298.12</fb>
    <v>34</v>
  </rv>
  <rv s="14">
    <fb>122.94</fb>
    <v>34</v>
  </rv>
  <rv s="14">
    <fb>1176.78</fb>
    <v>34</v>
  </rv>
  <rv s="14">
    <fb>158.28</fb>
    <v>34</v>
  </rv>
  <rv s="14">
    <fb>250.92</fb>
    <v>34</v>
  </rv>
  <rv s="14">
    <fb>22.765000000000001</fb>
    <v>34</v>
  </rv>
  <rv s="14">
    <fb>22.129799999999999</fb>
    <v>34</v>
  </rv>
  <rv s="14">
    <fb>45862</fb>
    <v>33</v>
  </rv>
  <rv s="14">
    <fb>213.76</fb>
    <v>34</v>
  </rv>
  <rv s="14">
    <fb>173.74</fb>
    <v>34</v>
  </rv>
  <rv s="14">
    <fb>510.88</fb>
    <v>34</v>
  </rv>
  <rv s="14">
    <fb>714.8</fb>
    <v>34</v>
  </rv>
  <rv s="14">
    <fb>192.17</fb>
    <v>34</v>
  </rv>
  <rv s="14">
    <fb>634.41999999999996</fb>
    <v>34</v>
  </rv>
  <rv s="14">
    <fb>310.27</fb>
    <v>34</v>
  </rv>
  <rv s="14">
    <fb>46.7254</fb>
    <v>34</v>
  </rv>
  <rv s="14">
    <fb>151.63999999999999</fb>
    <v>34</v>
  </rv>
  <rv s="14">
    <fb>5.49</fb>
    <v>35</v>
  </rv>
  <rv s="14">
    <fb>35.49</fb>
    <v>34</v>
  </rv>
  <rv s="14">
    <fb>66.72</fb>
    <v>34</v>
  </rv>
  <rv s="14">
    <fb>128.28</fb>
    <v>34</v>
  </rv>
  <rv s="14">
    <fb>480.6</fb>
    <v>34</v>
  </rv>
  <rv s="14">
    <fb>296.55</fb>
    <v>34</v>
  </rv>
  <rv s="14">
    <fb>48.39</fb>
    <v>34</v>
  </rv>
  <rv s="14">
    <fb>110.79</fb>
    <v>34</v>
  </rv>
  <rv s="14">
    <fb>155.83000000000001</fb>
    <v>34</v>
  </rv>
  <rv s="14">
    <fb>169.56</fb>
    <v>34</v>
  </rv>
  <rv s="14">
    <fb>69.099999999999994</fb>
    <v>34</v>
  </rv>
  <rv s="14">
    <fb>294.48</fb>
    <v>34</v>
  </rv>
  <rv s="14">
    <fb>121.95</fb>
    <v>34</v>
  </rv>
  <rv s="14">
    <fb>1180.76</fb>
    <v>34</v>
  </rv>
  <rv s="14">
    <fb>158.81</fb>
    <v>34</v>
  </rv>
  <rv s="14">
    <fb>144.51</fb>
    <v>34</v>
  </rv>
  <rv s="14">
    <fb>253.04</fb>
    <v>34</v>
  </rv>
  <rv s="14">
    <fb>54.79</fb>
    <v>34</v>
  </rv>
  <rv s="14">
    <fb>22.0884</fb>
    <v>34</v>
  </rv>
  <rv s="14">
    <fb>45863</fb>
    <v>33</v>
  </rv>
  <rv s="14">
    <fb>213.88</fb>
    <v>34</v>
  </rv>
  <rv s="14">
    <fb>173.5</fb>
    <v>34</v>
  </rv>
  <rv s="14">
    <fb>513.71</fb>
    <v>34</v>
  </rv>
  <rv s="14">
    <fb>712.68</fb>
    <v>34</v>
  </rv>
  <rv s="14">
    <fb>193.18</fb>
    <v>34</v>
  </rv>
  <rv s="14">
    <fb>86.43</fb>
    <v>34</v>
  </rv>
  <rv s="14">
    <fb>307.39999999999998</fb>
    <v>34</v>
  </rv>
  <rv s="14">
    <fb>74.849999999999994</fb>
    <v>34</v>
  </rv>
  <rv s="14">
    <fb>94.74</fb>
    <v>34</v>
  </rv>
  <rv s="14">
    <fb>151.13</fb>
    <v>34</v>
  </rv>
  <rv s="14">
    <fb>5.46</fb>
    <v>35</v>
  </rv>
  <rv s="14">
    <fb>34.659999999999997</fb>
    <v>34</v>
  </rv>
  <rv s="14">
    <fb>127.62</fb>
    <v>34</v>
  </rv>
  <rv s="14">
    <fb>51.064999999999998</fb>
    <v>34</v>
  </rv>
  <rv s="14">
    <fb>484.07</fb>
    <v>34</v>
  </rv>
  <rv s="14">
    <fb>298.62</fb>
    <v>34</v>
  </rv>
  <rv s="14">
    <fb>48.45</fb>
    <v>34</v>
  </rv>
  <rv s="14">
    <fb>110.4</fb>
    <v>34</v>
  </rv>
  <rv s="14">
    <fb>154.84</fb>
    <v>34</v>
  </rv>
  <rv s="14">
    <fb>168.3</fb>
    <v>34</v>
  </rv>
  <rv s="14">
    <fb>69.17</fb>
    <v>34</v>
  </rv>
  <rv s="14">
    <fb>298.47000000000003</fb>
    <v>34</v>
  </rv>
  <rv s="14">
    <fb>1180.49</fb>
    <v>34</v>
  </rv>
  <rv s="14">
    <fb>158.30000000000001</fb>
    <v>34</v>
  </rv>
  <rv s="14">
    <fb>252.18</fb>
    <v>34</v>
  </rv>
  <rv s="14">
    <fb>21.997499999999999</fb>
    <v>34</v>
  </rv>
  <rv s="14">
    <fb>45866</fb>
    <v>33</v>
  </rv>
  <rv s="14">
    <fb>214.05</fb>
    <v>34</v>
  </rv>
  <rv s="14">
    <fb>176.75</fb>
    <v>34</v>
  </rv>
  <rv s="14">
    <fb>512.5</fb>
    <v>34</v>
  </rv>
  <rv s="14">
    <fb>717.63</fb>
    <v>34</v>
  </rv>
  <rv s="14">
    <fb>192.58</fb>
    <v>34</v>
  </rv>
  <rv s="14">
    <fb>636.94000000000005</fb>
    <v>34</v>
  </rv>
  <rv s="14">
    <fb>85.87</fb>
    <v>34</v>
  </rv>
  <rv s="14">
    <fb>305.41000000000003</fb>
    <v>34</v>
  </rv>
  <rv s="14">
    <fb>77.17</fb>
    <v>34</v>
  </rv>
  <rv s="14">
    <fb>46.77</fb>
    <v>34</v>
  </rv>
  <rv s="14">
    <fb>148.69999999999999</fb>
    <v>34</v>
  </rv>
  <rv s="14">
    <fb>88.09</fb>
    <v>34</v>
  </rv>
  <rv s="14">
    <fb>14.02</fb>
    <v>34</v>
  </rv>
  <rv s="14">
    <fb>5.4</fb>
    <v>35</v>
  </rv>
  <rv s="14">
    <fb>34.64</fb>
    <v>34</v>
  </rv>
  <rv s="14">
    <fb>65.69</fb>
    <v>34</v>
  </rv>
  <rv s="14">
    <fb>125.78</fb>
    <v>34</v>
  </rv>
  <rv s="14">
    <fb>51.075000000000003</fb>
    <v>34</v>
  </rv>
  <rv s="14">
    <fb>481.7</fb>
    <v>34</v>
  </rv>
  <rv s="14">
    <fb>298.27999999999997</fb>
    <v>34</v>
  </rv>
  <rv s="14">
    <fb>48.23</fb>
    <v>34</v>
  </rv>
  <rv s="14">
    <fb>111.44</fb>
    <v>34</v>
  </rv>
  <rv s="14">
    <fb>166.22</fb>
    <v>34</v>
  </rv>
  <rv s="14">
    <fb>68.09</fb>
    <v>34</v>
  </rv>
  <rv s="14">
    <fb>299.22000000000003</fb>
    <v>34</v>
  </rv>
  <rv s="14">
    <fb>120.37</fb>
    <v>34</v>
  </rv>
  <rv s="14">
    <fb>1174.5999999999999</fb>
    <v>34</v>
  </rv>
  <rv s="14">
    <fb>157.11000000000001</fb>
    <v>34</v>
  </rv>
  <rv s="14">
    <fb>141.57</fb>
    <v>34</v>
  </rv>
  <rv s="14">
    <fb>256.64</fb>
    <v>34</v>
  </rv>
  <rv s="14">
    <fb>22.745000000000001</fb>
    <v>34</v>
  </rv>
  <rv s="14">
    <fb>21.743500000000001</fb>
    <v>34</v>
  </rv>
  <rv s="14">
    <fb>45867</fb>
    <v>33</v>
  </rv>
  <rv s="14">
    <fb>211.27</fb>
    <v>34</v>
  </rv>
  <rv s="14">
    <fb>175.51</fb>
    <v>34</v>
  </rv>
  <rv s="14">
    <fb>512.57000000000005</fb>
    <v>34</v>
  </rv>
  <rv s="14">
    <fb>700</fb>
    <v>34</v>
  </rv>
  <rv s="14">
    <fb>195.75</fb>
    <v>34</v>
  </rv>
  <rv s="14">
    <fb>635.26</fb>
    <v>34</v>
  </rv>
  <rv s="14">
    <fb>306.25</fb>
    <v>34</v>
  </rv>
  <rv s="14">
    <fb>79.8</fb>
    <v>34</v>
  </rv>
  <rv s="14">
    <fb>95.15</fb>
    <v>34</v>
  </rv>
  <rv s="14">
    <fb>46.994999999999997</fb>
    <v>34</v>
  </rv>
  <rv s="14">
    <fb>147.82</fb>
    <v>34</v>
  </rv>
  <rv s="14">
    <fb>88.95</fb>
    <v>34</v>
  </rv>
  <rv s="14">
    <fb>14.46</fb>
    <v>34</v>
  </rv>
  <rv s="14">
    <fb>127.4</fb>
    <v>34</v>
  </rv>
  <rv s="14">
    <fb>476.56</fb>
    <v>34</v>
  </rv>
  <rv s="14">
    <fb>297.04000000000002</fb>
    <v>34</v>
  </rv>
  <rv s="14">
    <fb>47.95</fb>
    <v>34</v>
  </rv>
  <rv s="14">
    <fb>112.88</fb>
    <v>34</v>
  </rv>
  <rv s="14">
    <fb>157.03</fb>
    <v>34</v>
  </rv>
  <rv s="14">
    <fb>302.67</fb>
    <v>34</v>
  </rv>
  <rv s="14">
    <fb>119.91</fb>
    <v>34</v>
  </rv>
  <rv s="14">
    <fb>1168.74</fb>
    <v>34</v>
  </rv>
  <rv s="14">
    <fb>156.61000000000001</fb>
    <v>34</v>
  </rv>
  <rv s="14">
    <fb>143.88999999999999</fb>
    <v>34</v>
  </rv>
  <rv s="14">
    <fb>255.61</fb>
    <v>34</v>
  </rv>
  <rv s="14">
    <fb>29.47</fb>
    <v>34</v>
  </rv>
  <rv s="14">
    <fb>21.9</fb>
    <v>34</v>
  </rv>
  <rv s="14">
    <fb>45868</fb>
    <v>33</v>
  </rv>
  <rv s="14">
    <fb>209.05</fb>
    <v>34</v>
  </rv>
  <rv s="14">
    <fb>179.27</fb>
    <v>34</v>
  </rv>
  <rv s="14">
    <fb>513.24</fb>
    <v>34</v>
  </rv>
  <rv s="14">
    <fb>695.21</fb>
    <v>34</v>
  </rv>
  <rv s="14">
    <fb>196.53</fb>
    <v>34</v>
  </rv>
  <rv s="14">
    <fb>634.46</fb>
    <v>34</v>
  </rv>
  <rv s="14">
    <fb>86.87</fb>
    <v>34</v>
  </rv>
  <rv s="14">
    <fb>300.95999999999998</fb>
    <v>34</v>
  </rv>
  <rv s="14">
    <fb>81.040000000000006</fb>
    <v>34</v>
  </rv>
  <rv s="14">
    <fb>94.82</fb>
    <v>34</v>
  </rv>
  <rv s="14">
    <fb>145.46</fb>
    <v>34</v>
  </rv>
  <rv s="14">
    <fb>87.68</fb>
    <v>34</v>
  </rv>
  <rv s="14">
    <fb>4.3600000000000003</fb>
    <v>34</v>
  </rv>
  <rv s="14">
    <fb>64.73</fb>
    <v>34</v>
  </rv>
  <rv s="14">
    <fb>118.76</fb>
    <v>34</v>
  </rv>
  <rv s="14">
    <fb>476</fb>
    <v>34</v>
  </rv>
  <rv s="14">
    <fb>299.63</fb>
    <v>34</v>
  </rv>
  <rv s="14">
    <fb>47.96</fb>
    <v>34</v>
  </rv>
  <rv s="14">
    <fb>153.56</fb>
    <v>34</v>
  </rv>
  <rv s="14">
    <fb>68.75</fb>
    <v>34</v>
  </rv>
  <rv s="14">
    <fb>303.61</fb>
    <v>34</v>
  </rv>
  <rv s="14">
    <fb>119.54</fb>
    <v>34</v>
  </rv>
  <rv s="14">
    <fb>1184.2</fb>
    <v>34</v>
  </rv>
  <rv s="14">
    <fb>152.88</fb>
    <v>34</v>
  </rv>
  <rv s="14">
    <fb>142.86000000000001</fb>
    <v>34</v>
  </rv>
  <rv s="14">
    <fb>248.34</fb>
    <v>34</v>
  </rv>
  <rv s="14">
    <fb>91.11</fb>
    <v>34</v>
  </rv>
  <rv s="14">
    <fb>55.32</fb>
    <v>34</v>
  </rv>
  <rv s="14">
    <fb>21.500399999999999</fb>
    <v>34</v>
  </rv>
  <rv s="14">
    <fb>45869</fb>
    <v>33</v>
  </rv>
  <rv s="14">
    <fb>207.57</fb>
    <v>34</v>
  </rv>
  <rv s="14">
    <fb>177.87</fb>
    <v>34</v>
  </rv>
  <rv s="14">
    <fb>533.5</fb>
    <v>34</v>
  </rv>
  <rv s="14">
    <fb>773.44</fb>
    <v>34</v>
  </rv>
  <rv s="14">
    <fb>191.9</fb>
    <v>34</v>
  </rv>
  <rv s="14">
    <fb>632.08000000000004</fb>
    <v>34</v>
  </rv>
  <rv s="14">
    <fb>302.95999999999998</fb>
    <v>34</v>
  </rv>
  <rv s="14">
    <fb>79.59</fb>
    <v>34</v>
  </rv>
  <rv s="14">
    <fb>94.9</fb>
    <v>34</v>
  </rv>
  <rv s="14">
    <fb>46.887999999999998</fb>
    <v>34</v>
  </rv>
  <rv s="14">
    <fb>145.32</fb>
    <v>34</v>
  </rv>
  <rv s="14">
    <fb>87.21</fb>
    <v>34</v>
  </rv>
  <rv s="14">
    <fb>14.35</fb>
    <v>34</v>
  </rv>
  <rv s="14">
    <fb>33.32</fb>
    <v>34</v>
  </rv>
  <rv s="14">
    <fb>4.3499999999999996</fb>
    <v>34</v>
  </rv>
  <rv s="14">
    <fb>117.81</fb>
    <v>34</v>
  </rv>
  <rv s="14">
    <fb>471.88</fb>
    <v>34</v>
  </rv>
  <rv s="14">
    <fb>296.24</fb>
    <v>34</v>
  </rv>
  <rv s="14">
    <fb>111.64</fb>
    <v>34</v>
  </rv>
  <rv s="14">
    <fb>300.07</fb>
    <v>34</v>
  </rv>
  <rv s="14">
    <fb>119.11</fb>
    <v>34</v>
  </rv>
  <rv s="14">
    <fb>1159.4000000000001</fb>
    <v>34</v>
  </rv>
  <rv s="14">
    <fb>243.72</fb>
    <v>34</v>
  </rv>
  <rv s="14">
    <fb>90.29</fb>
    <v>34</v>
  </rv>
  <rv s="14">
    <fb>21.2193</fb>
    <v>34</v>
  </rv>
  <rv s="14">
    <fb>45870</fb>
    <v>33</v>
  </rv>
  <rv s="14">
    <fb>202.38</fb>
    <v>34</v>
  </rv>
  <rv s="14">
    <fb>173.72</fb>
    <v>34</v>
  </rv>
  <rv s="14">
    <fb>750.01</fb>
    <v>34</v>
  </rv>
  <rv s="14">
    <fb>189.13</fb>
    <v>34</v>
  </rv>
  <rv s="14">
    <fb>621.72</fb>
    <v>34</v>
  </rv>
  <rv s="14">
    <fb>309.11</fb>
    <v>34</v>
  </rv>
  <rv s="14">
    <fb>77.459999999999994</fb>
    <v>34</v>
  </rv>
  <rv s="14">
    <fb>95.68</fb>
    <v>34</v>
  </rv>
  <rv s="14">
    <fb>138.29</fb>
    <v>34</v>
  </rv>
  <rv s="14">
    <fb>85.59</fb>
    <v>34</v>
  </rv>
  <rv s="14">
    <fb>13.91</fb>
    <v>34</v>
  </rv>
  <rv s="14">
    <fb>33.590000000000003</fb>
    <v>34</v>
  </rv>
  <rv s="14">
    <fb>4.3</fb>
    <v>34</v>
  </rv>
  <rv s="14">
    <fb>120.05</fb>
    <v>34</v>
  </rv>
  <rv s="14">
    <fb>26.67</fb>
    <v>34</v>
  </rv>
  <rv s="14">
    <fb>472.84</fb>
    <v>34</v>
  </rv>
  <rv s="14">
    <fb>289.37</fb>
    <v>34</v>
  </rv>
  <rv s="14">
    <fb>45.66</fb>
    <v>34</v>
  </rv>
  <rv s="14">
    <fb>109.64</fb>
    <v>34</v>
  </rv>
  <rv s="14">
    <fb>151.4</fb>
    <v>34</v>
  </rv>
  <rv s="14">
    <fb>167.33</fb>
    <v>34</v>
  </rv>
  <rv s="14">
    <fb>68.86</fb>
    <v>34</v>
  </rv>
  <rv s="14">
    <fb>302.89</fb>
    <v>34</v>
  </rv>
  <rv s="14">
    <fb>1158.5999999999999</fb>
    <v>34</v>
  </rv>
  <rv s="14">
    <fb>150.65</fb>
    <v>34</v>
  </rv>
  <rv s="14">
    <fb>139.28</fb>
    <v>34</v>
  </rv>
  <rv s="14">
    <fb>235.02</fb>
    <v>34</v>
  </rv>
  <rv s="14">
    <fb>55.93</fb>
    <v>34</v>
  </rv>
  <rv s="14">
    <fb>21.1783</fb>
    <v>34</v>
  </rv>
  <rv s="14">
    <fb>45873</fb>
    <v>33</v>
  </rv>
  <rv s="14">
    <fb>203.35</fb>
    <v>34</v>
  </rv>
  <rv s="14">
    <fb>180</fb>
    <v>34</v>
  </rv>
  <rv s="14">
    <fb>535.64</fb>
    <v>34</v>
  </rv>
  <rv s="14">
    <fb>776.37</fb>
    <v>34</v>
  </rv>
  <rv s="14">
    <fb>195.04</fb>
    <v>34</v>
  </rv>
  <rv s="14">
    <fb>631.16999999999996</fb>
    <v>34</v>
  </rv>
  <rv s="14">
    <fb>310.91000000000003</fb>
    <v>34</v>
  </rv>
  <rv s="14">
    <fb>76.11</fb>
    <v>34</v>
  </rv>
  <rv s="14">
    <fb>47.314999999999998</fb>
    <v>34</v>
  </rv>
  <rv s="14">
    <fb>142.02000000000001</fb>
    <v>34</v>
  </rv>
  <rv s="14">
    <fb>85.4</fb>
    <v>34</v>
  </rv>
  <rv s="14">
    <fb>13.77</fb>
    <v>34</v>
  </rv>
  <rv s="14">
    <fb>33.979999999999997</fb>
    <v>34</v>
  </rv>
  <rv s="14">
    <fb>4.3099999999999996</fb>
    <v>34</v>
  </rv>
  <rv s="14">
    <fb>121.07</fb>
    <v>34</v>
  </rv>
  <rv s="14">
    <fb>459.11</fb>
    <v>34</v>
  </rv>
  <rv s="14">
    <fb>294.26</fb>
    <v>34</v>
  </rv>
  <rv s="14">
    <fb>45.85</fb>
    <v>34</v>
  </rv>
  <rv s="14">
    <fb>151.04</fb>
    <v>34</v>
  </rv>
  <rv s="14">
    <fb>171.04</fb>
    <v>34</v>
  </rv>
  <rv s="14">
    <fb>304.23</fb>
    <v>34</v>
  </rv>
  <rv s="14">
    <fb>119.35</fb>
    <v>34</v>
  </rv>
  <rv s="14">
    <fb>1170.99</fb>
    <v>34</v>
  </rv>
  <rv s="14">
    <fb>150.76</fb>
    <v>34</v>
  </rv>
  <rv s="14">
    <fb>235.81</fb>
    <v>34</v>
  </rv>
  <rv s="14">
    <fb>22.965</fb>
    <v>34</v>
  </rv>
  <rv s="14">
    <fb>21.302499999999998</fb>
    <v>34</v>
  </rv>
  <rv s="14">
    <fb>45874</fb>
    <v>33</v>
  </rv>
  <rv s="14">
    <fb>202.92</fb>
    <v>34</v>
  </rv>
  <rv s="14">
    <fb>178.26</fb>
    <v>34</v>
  </rv>
  <rv s="14">
    <fb>527.75</fb>
    <v>34</v>
  </rv>
  <rv s="14">
    <fb>763.46</fb>
    <v>34</v>
  </rv>
  <rv s="14">
    <fb>194.67</fb>
    <v>34</v>
  </rv>
  <rv s="14">
    <fb>627.97</fb>
    <v>34</v>
  </rv>
  <rv s="14">
    <fb>311.16000000000003</fb>
    <v>34</v>
  </rv>
  <rv s="14">
    <fb>75.02</fb>
    <v>34</v>
  </rv>
  <rv s="14">
    <fb>95.74</fb>
    <v>34</v>
  </rv>
  <rv s="14">
    <fb>47.334299999999999</fb>
    <v>34</v>
  </rv>
  <rv s="14">
    <fb>85.51</fb>
    <v>34</v>
  </rv>
  <rv s="14">
    <fb>34.35</fb>
    <v>34</v>
  </rv>
  <rv s="14">
    <fb>25.92</fb>
    <v>34</v>
  </rv>
  <rv s="14">
    <fb>4.25</fb>
    <v>34</v>
  </rv>
  <rv s="14">
    <fb>66.91</fb>
    <v>34</v>
  </rv>
  <rv s="14">
    <fb>119.93</fb>
    <v>34</v>
  </rv>
  <rv s="14">
    <fb>464.19</fb>
    <v>34</v>
  </rv>
  <rv s="14">
    <fb>291.37</fb>
    <v>34</v>
  </rv>
  <rv s="14">
    <fb>107.24</fb>
    <v>34</v>
  </rv>
  <rv s="14">
    <fb>153.04</fb>
    <v>34</v>
  </rv>
  <rv s="14">
    <fb>170.74</fb>
    <v>34</v>
  </rv>
  <rv s="14">
    <fb>298.77</fb>
    <v>34</v>
  </rv>
  <rv s="14">
    <fb>118.32</fb>
    <v>34</v>
  </rv>
  <rv s="14">
    <fb>1147.8699999999999</fb>
    <v>34</v>
  </rv>
  <rv s="14">
    <fb>150.51</fb>
    <v>34</v>
  </rv>
  <rv s="14">
    <fb>139.44999999999999</fb>
    <v>34</v>
  </rv>
  <rv s="14">
    <fb>241.99</fb>
    <v>34</v>
  </rv>
  <rv s="14">
    <fb>59.73</fb>
    <v>34</v>
  </rv>
  <rv s="14">
    <fb>56.22</fb>
    <v>34</v>
  </rv>
  <rv s="14">
    <fb>21.363900000000001</fb>
    <v>34</v>
  </rv>
  <rv s="14">
    <fb>45875</fb>
    <v>33</v>
  </rv>
  <rv s="14">
    <fb>213.25</fb>
    <v>34</v>
  </rv>
  <rv s="14">
    <fb>179.42</fb>
    <v>34</v>
  </rv>
  <rv s="14">
    <fb>524.94000000000005</fb>
    <v>34</v>
  </rv>
  <rv s="14">
    <fb>771.99</fb>
    <v>34</v>
  </rv>
  <rv s="14">
    <fb>196.09</fb>
    <v>34</v>
  </rv>
  <rv s="14">
    <fb>632.78</fb>
    <v>34</v>
  </rv>
  <rv s="14">
    <fb>310.5</fb>
    <v>34</v>
  </rv>
  <rv s="14">
    <fb>95.67</fb>
    <v>34</v>
  </rv>
  <rv s="14">
    <fb>47.325000000000003</fb>
    <v>34</v>
  </rv>
  <rv s="14">
    <fb>145.87</fb>
    <v>34</v>
  </rv>
  <rv s="14">
    <fb>84.72</fb>
    <v>34</v>
  </rv>
  <rv s="14">
    <fb>13.4</fb>
    <v>34</v>
  </rv>
  <rv s="14">
    <fb>66.77</fb>
    <v>34</v>
  </rv>
  <rv s="14">
    <fb>121.9</fb>
    <v>34</v>
  </rv>
  <rv s="14">
    <fb>468.91</fb>
    <v>34</v>
  </rv>
  <rv s="14">
    <fb>291.35000000000002</fb>
    <v>34</v>
  </rv>
  <rv s="14">
    <fb>45.42</fb>
    <v>34</v>
  </rv>
  <rv s="14">
    <fb>106.51</fb>
    <v>34</v>
  </rv>
  <rv s="14">
    <fb>152.78</fb>
    <v>34</v>
  </rv>
  <rv s="14">
    <fb>170.59</fb>
    <v>34</v>
  </rv>
  <rv s="14">
    <fb>69.510000000000005</fb>
    <v>34</v>
  </rv>
  <rv s="14">
    <fb>307.66000000000003</fb>
    <v>34</v>
  </rv>
  <rv s="14">
    <fb>115.17</fb>
    <v>34</v>
  </rv>
  <rv s="14">
    <fb>1178.48</fb>
    <v>34</v>
  </rv>
  <rv s="14">
    <fb>152.86000000000001</fb>
    <v>34</v>
  </rv>
  <rv s="14">
    <fb>140.80000000000001</fb>
    <v>34</v>
  </rv>
  <rv s="14">
    <fb>238.95</fb>
    <v>34</v>
  </rv>
  <rv s="14">
    <fb>27.680099999999999</fb>
    <v>34</v>
  </rv>
  <rv s="14">
    <fb>21.192499999999999</fb>
    <v>34</v>
  </rv>
  <rv s="14">
    <fb>45876</fb>
    <v>33</v>
  </rv>
  <rv s="14">
    <fb>220.03</fb>
    <v>34</v>
  </rv>
  <rv s="14">
    <fb>180.77</fb>
    <v>34</v>
  </rv>
  <rv s="14">
    <fb>520.84</fb>
    <v>34</v>
  </rv>
  <rv s="14">
    <fb>761.83</fb>
    <v>34</v>
  </rv>
  <rv s="14">
    <fb>196.52</fb>
    <v>34</v>
  </rv>
  <rv s="14">
    <fb>632.25</fb>
    <v>34</v>
  </rv>
  <rv s="14">
    <fb>87.67</fb>
    <v>34</v>
  </rv>
  <rv s="14">
    <fb>313.12</fb>
    <v>34</v>
  </rv>
  <rv s="14">
    <fb>73.42</fb>
    <v>34</v>
  </rv>
  <rv s="14">
    <fb>95.6</fb>
    <v>34</v>
  </rv>
  <rv s="14">
    <fb>47.344999999999999</fb>
    <v>34</v>
  </rv>
  <rv s="14">
    <fb>141.11000000000001</fb>
    <v>34</v>
  </rv>
  <rv s="14">
    <fb>84.39</fb>
    <v>34</v>
  </rv>
  <rv s="14">
    <fb>13.39</fb>
    <v>34</v>
  </rv>
  <rv s="14">
    <fb>34.76</fb>
    <v>34</v>
  </rv>
  <rv s="14">
    <fb>4.33</fb>
    <v>34</v>
  </rv>
  <rv s="14">
    <fb>121.89</fb>
    <v>34</v>
  </rv>
  <rv s="14">
    <fb>461.47</fb>
    <v>34</v>
  </rv>
  <rv s="14">
    <fb>286.94</fb>
    <v>34</v>
  </rv>
  <rv s="14">
    <fb>44.92</fb>
    <v>34</v>
  </rv>
  <rv s="14">
    <fb>105.95</fb>
    <v>34</v>
  </rv>
  <rv s="14">
    <fb>153.16</fb>
    <v>34</v>
  </rv>
  <rv s="14">
    <fb>171.53</fb>
    <v>34</v>
  </rv>
  <rv s="14">
    <fb>307.91000000000003</fb>
    <v>34</v>
  </rv>
  <rv s="14">
    <fb>1180.3699999999999</fb>
    <v>34</v>
  </rv>
  <rv s="14">
    <fb>143.91999999999999</fb>
    <v>34</v>
  </rv>
  <rv s="14">
    <fb>235.79</fb>
    <v>34</v>
  </rv>
  <rv s="14">
    <fb>86.63</fb>
    <v>34</v>
  </rv>
  <rv s="14">
    <fb>27.482800000000001</fb>
    <v>34</v>
  </rv>
  <rv s="14">
    <fb>59.7</fb>
    <v>34</v>
  </rv>
  <rv s="14">
    <fb>55.85</fb>
    <v>34</v>
  </rv>
  <rv s="14">
    <fb>21.240500000000001</fb>
    <v>34</v>
  </rv>
  <rv s="14">
    <fb>45877</fb>
    <v>33</v>
  </rv>
  <rv s="14">
    <fb>229.35</fb>
    <v>34</v>
  </rv>
  <rv s="14">
    <fb>182.7</fb>
    <v>34</v>
  </rv>
  <rv s="14">
    <fb>522.04</fb>
    <v>34</v>
  </rv>
  <rv s="14">
    <fb>769.3</fb>
    <v>34</v>
  </rv>
  <rv s="14">
    <fb>201.42</fb>
    <v>34</v>
  </rv>
  <rv s="14">
    <fb>637.17999999999995</fb>
    <v>34</v>
  </rv>
  <rv s="14">
    <fb>313.05</fb>
    <v>34</v>
  </rv>
  <rv s="14">
    <fb>84.93</fb>
    <v>34</v>
  </rv>
  <rv s="14">
    <fb>34.880000000000003</fb>
    <v>34</v>
  </rv>
  <rv s="14">
    <fb>121.13</fb>
    <v>34</v>
  </rv>
  <rv s="14">
    <fb>465.4</fb>
    <v>34</v>
  </rv>
  <rv s="14">
    <fb>288.76</fb>
    <v>34</v>
  </rv>
  <rv s="14">
    <fb>106.8</fb>
    <v>34</v>
  </rv>
  <rv s="14">
    <fb>173.33</fb>
    <v>34</v>
  </rv>
  <rv s="14">
    <fb>305.45</fb>
    <v>34</v>
  </rv>
  <rv s="14">
    <fb>1211.6400000000001</fb>
    <v>34</v>
  </rv>
  <rv s="14">
    <fb>145.21</fb>
    <v>34</v>
  </rv>
  <rv s="14">
    <fb>237.51</fb>
    <v>34</v>
  </rv>
  <rv s="14">
    <fb>59.59</fb>
    <v>34</v>
  </rv>
  <rv s="14">
    <fb>55.64</fb>
    <v>34</v>
  </rv>
  <rv s="14">
    <fb>21.043500000000002</fb>
    <v>34</v>
  </rv>
  <rv s="14">
    <fb>45880</fb>
    <v>33</v>
  </rv>
  <rv s="14">
    <fb>227.18</fb>
    <v>34</v>
  </rv>
  <rv s="14">
    <fb>182.06</fb>
    <v>34</v>
  </rv>
  <rv s="14">
    <fb>521.77</fb>
    <v>34</v>
  </rv>
  <rv s="14">
    <fb>765.87</fb>
    <v>34</v>
  </rv>
  <rv s="14">
    <fb>635.91999999999996</fb>
    <v>34</v>
  </rv>
  <rv s="14">
    <fb>73.8</fb>
    <v>34</v>
  </rv>
  <rv s="14">
    <fb>47.269199999999998</fb>
    <v>34</v>
  </rv>
  <rv s="14">
    <fb>142.12</fb>
    <v>34</v>
  </rv>
  <rv s="14">
    <fb>84.25</fb>
    <v>34</v>
  </rv>
  <rv s="14">
    <fb>4.58</fb>
    <v>35</v>
  </rv>
  <rv s="14">
    <fb>34.18</fb>
    <v>34</v>
  </rv>
  <rv s="14">
    <fb>4.29</fb>
    <v>34</v>
  </rv>
  <rv s="14">
    <fb>66.37</fb>
    <v>34</v>
  </rv>
  <rv s="14">
    <fb>120.98</fb>
    <v>34</v>
  </rv>
  <rv s="14">
    <fb>464.73</fb>
    <v>34</v>
  </rv>
  <rv s="14">
    <fb>289.56</fb>
    <v>34</v>
  </rv>
  <rv s="14">
    <fb>46.16</fb>
    <v>34</v>
  </rv>
  <rv s="14">
    <fb>105.83</fb>
    <v>34</v>
  </rv>
  <rv s="14">
    <fb>153.44999999999999</fb>
    <v>34</v>
  </rv>
  <rv s="14">
    <fb>304.36</fb>
    <v>34</v>
  </rv>
  <rv s="14">
    <fb>1218.31</fb>
    <v>34</v>
  </rv>
  <rv s="14">
    <fb>154.97999999999999</fb>
    <v>34</v>
  </rv>
  <rv s="14">
    <fb>144.87</fb>
    <v>34</v>
  </rv>
  <rv s="14">
    <fb>233.61</fb>
    <v>34</v>
  </rv>
  <rv s="14">
    <fb>86.38</fb>
    <v>34</v>
  </rv>
  <rv s="14">
    <fb>21.004999999999999</fb>
    <v>34</v>
  </rv>
  <rv s="14">
    <fb>45881</fb>
    <v>33</v>
  </rv>
  <rv s="14">
    <fb>229.65</fb>
    <v>34</v>
  </rv>
  <rv s="14">
    <fb>183.16</fb>
    <v>34</v>
  </rv>
  <rv s="14">
    <fb>529.24</fb>
    <v>34</v>
  </rv>
  <rv s="14">
    <fb>790</fb>
    <v>34</v>
  </rv>
  <rv s="14">
    <fb>203.34</fb>
    <v>34</v>
  </rv>
  <rv s="14">
    <fb>642.69000000000005</fb>
    <v>34</v>
  </rv>
  <rv s="14">
    <fb>86.95</fb>
    <v>34</v>
  </rv>
  <rv s="14">
    <fb>308.27</fb>
    <v>34</v>
  </rv>
  <rv s="14">
    <fb>72.95</fb>
    <v>34</v>
  </rv>
  <rv s="14">
    <fb>47.266800000000003</fb>
    <v>34</v>
  </rv>
  <rv s="14">
    <fb>144.6</fb>
    <v>34</v>
  </rv>
  <rv s="14">
    <fb>13.27</fb>
    <v>34</v>
  </rv>
  <rv s="14">
    <fb>4.22</fb>
    <v>34</v>
  </rv>
  <rv s="14">
    <fb>121.98</fb>
    <v>34</v>
  </rv>
  <rv s="14">
    <fb>470.39</fb>
    <v>34</v>
  </rv>
  <rv s="14">
    <fb>106.13</fb>
    <v>34</v>
  </rv>
  <rv s="14">
    <fb>172.78</fb>
    <v>34</v>
  </rv>
  <rv s="14">
    <fb>70.709999999999994</fb>
    <v>34</v>
  </rv>
  <rv s="14">
    <fb>301.64</fb>
    <v>34</v>
  </rv>
  <rv s="14">
    <fb>113.72</fb>
    <v>34</v>
  </rv>
  <rv s="14">
    <fb>1225.28</fb>
    <v>34</v>
  </rv>
  <rv s="14">
    <fb>155.09</fb>
    <v>34</v>
  </rv>
  <rv s="14">
    <fb>146.87</fb>
    <v>34</v>
  </rv>
  <rv s="14">
    <fb>237.22</fb>
    <v>34</v>
  </rv>
  <rv s="14">
    <fb>87.16</fb>
    <v>34</v>
  </rv>
  <rv s="14">
    <fb>59.61</fb>
    <v>34</v>
  </rv>
  <rv s="14">
    <fb>55.44</fb>
    <v>34</v>
  </rv>
  <rv s="14">
    <fb>21.141400000000001</fb>
    <v>34</v>
  </rv>
  <rv s="14">
    <fb>45882</fb>
    <v>33</v>
  </rv>
  <rv s="14">
    <fb>233.33</fb>
    <v>34</v>
  </rv>
  <rv s="14">
    <fb>181.59</fb>
    <v>34</v>
  </rv>
  <rv s="14">
    <fb>520.58000000000004</fb>
    <v>34</v>
  </rv>
  <rv s="14">
    <fb>780.08</fb>
    <v>34</v>
  </rv>
  <rv s="14">
    <fb>201.96</fb>
    <v>34</v>
  </rv>
  <rv s="14">
    <fb>644.89</fb>
    <v>34</v>
  </rv>
  <rv s="14">
    <fb>309.20999999999998</fb>
    <v>34</v>
  </rv>
  <rv s="14">
    <fb>72.459999999999994</fb>
    <v>34</v>
  </rv>
  <rv s="14">
    <fb>95.73</fb>
    <v>34</v>
  </rv>
  <rv s="14">
    <fb>47.4328</fb>
    <v>34</v>
  </rv>
  <rv s="14">
    <fb>140.94999999999999</fb>
    <v>34</v>
  </rv>
  <rv s="14">
    <fb>35</fb>
    <v>34</v>
  </rv>
  <rv s="14">
    <fb>4.24</fb>
    <v>34</v>
  </rv>
  <rv s="14">
    <fb>66.489999999999995</fb>
    <v>34</v>
  </rv>
  <rv s="14">
    <fb>122.16</fb>
    <v>34</v>
  </rv>
  <rv s="14">
    <fb>477.31</fb>
    <v>34</v>
  </rv>
  <rv s="14">
    <fb>290.52999999999997</fb>
    <v>34</v>
  </rv>
  <rv s="14">
    <fb>47.24</fb>
    <v>34</v>
  </rv>
  <rv s="14">
    <fb>107.6</fb>
    <v>34</v>
  </rv>
  <rv s="14">
    <fb>155.87</fb>
    <v>34</v>
  </rv>
  <rv s="14">
    <fb>174.42</fb>
    <v>34</v>
  </rv>
  <rv s="14">
    <fb>305.07</fb>
    <v>34</v>
  </rv>
  <rv s="14">
    <fb>116.64</fb>
    <v>34</v>
  </rv>
  <rv s="14">
    <fb>1204.44</fb>
    <v>34</v>
  </rv>
  <rv s="14">
    <fb>155.41</fb>
    <v>34</v>
  </rv>
  <rv s="14">
    <fb>149.35</fb>
    <v>34</v>
  </rv>
  <rv s="14">
    <fb>28.0441</fb>
    <v>34</v>
  </rv>
  <rv s="14">
    <fb>22.954999999999998</fb>
    <v>34</v>
  </rv>
  <rv s="14">
    <fb>59.77</fb>
    <v>34</v>
  </rv>
  <rv s="14">
    <fb>21.341899999999999</fb>
    <v>34</v>
  </rv>
  <rv s="14">
    <fb>45883</fb>
    <v>33</v>
  </rv>
  <rv s="14">
    <fb>232.78</fb>
    <v>34</v>
  </rv>
  <rv s="14">
    <fb>182.02</fb>
    <v>34</v>
  </rv>
  <rv s="14">
    <fb>522.48</fb>
    <v>34</v>
  </rv>
  <rv s="14">
    <fb>782.13</fb>
    <v>34</v>
  </rv>
  <rv s="14">
    <fb>202.94</fb>
    <v>34</v>
  </rv>
  <rv s="14">
    <fb>644.95000000000005</fb>
    <v>34</v>
  </rv>
  <rv s="14">
    <fb>87.02</fb>
    <v>34</v>
  </rv>
  <rv s="14">
    <fb>307.25</fb>
    <v>34</v>
  </rv>
  <rv s="14">
    <fb>73.739999999999995</fb>
    <v>34</v>
  </rv>
  <rv s="14">
    <fb>95.42</fb>
    <v>34</v>
  </rv>
  <rv s="14">
    <fb>47.31</fb>
    <v>34</v>
  </rv>
  <rv s="14">
    <fb>140.68</fb>
    <v>34</v>
  </rv>
  <rv s="14">
    <fb>85.56</fb>
    <v>34</v>
  </rv>
  <rv s="14">
    <fb>13.41</fb>
    <v>34</v>
  </rv>
  <rv s="14">
    <fb>34.5</fb>
    <v>34</v>
  </rv>
  <rv s="14">
    <fb>4.2</fb>
    <v>34</v>
  </rv>
  <rv s="14">
    <fb>123.78</fb>
    <v>34</v>
  </rv>
  <rv s="14">
    <fb>479.22</fb>
    <v>34</v>
  </rv>
  <rv s="14">
    <fb>294.16000000000003</fb>
    <v>34</v>
  </rv>
  <rv s="14">
    <fb>47.71</fb>
    <v>34</v>
  </rv>
  <rv s="14">
    <fb>107.38</fb>
    <v>34</v>
  </rv>
  <rv s="14">
    <fb>155.16</fb>
    <v>34</v>
  </rv>
  <rv s="14">
    <fb>174.72</fb>
    <v>34</v>
  </rv>
  <rv s="14">
    <fb>308.95</fb>
    <v>34</v>
  </rv>
  <rv s="14">
    <fb>116.31</fb>
    <v>34</v>
  </rv>
  <rv s="14">
    <fb>1230.56</fb>
    <v>34</v>
  </rv>
  <rv s="14">
    <fb>153.74</fb>
    <v>34</v>
  </rv>
  <rv s="14">
    <fb>239.63</fb>
    <v>34</v>
  </rv>
  <rv s="14">
    <fb>28.08</fb>
    <v>34</v>
  </rv>
  <rv s="14">
    <fb>58.65</fb>
    <v>34</v>
  </rv>
  <rv s="14">
    <fb>59.64</fb>
    <v>34</v>
  </rv>
  <rv s="14">
    <fb>21.150400000000001</fb>
    <v>34</v>
  </rv>
  <rv s="14">
    <fb>45884</fb>
    <v>33</v>
  </rv>
  <rv s="14">
    <fb>231.59</fb>
    <v>34</v>
  </rv>
  <rv s="14">
    <fb>180.45</fb>
    <v>34</v>
  </rv>
  <rv s="14">
    <fb>520.16999999999996</fb>
    <v>34</v>
  </rv>
  <rv s="14">
    <fb>785.23</fb>
    <v>34</v>
  </rv>
  <rv s="14">
    <fb>203.9</fb>
    <v>34</v>
  </rv>
  <rv s="14">
    <fb>643.44000000000005</fb>
    <v>34</v>
  </rv>
  <rv s="14">
    <fb>307.43</fb>
    <v>34</v>
  </rv>
  <rv s="14">
    <fb>95.23</fb>
    <v>34</v>
  </rv>
  <rv s="14">
    <fb>139.38999999999999</fb>
    <v>34</v>
  </rv>
  <rv s="14">
    <fb>13.24</fb>
    <v>34</v>
  </rv>
  <rv s="14">
    <fb>66.13</fb>
    <v>34</v>
  </rv>
  <rv s="14">
    <fb>477.2</fb>
    <v>34</v>
  </rv>
  <rv s="14">
    <fb>290.49</fb>
    <v>34</v>
  </rv>
  <rv s="14">
    <fb>46.94</fb>
    <v>34</v>
  </rv>
  <rv s="14">
    <fb>156.55000000000001</fb>
    <v>34</v>
  </rv>
  <rv s="14">
    <fb>176.64</fb>
    <v>34</v>
  </rv>
  <rv s="14">
    <fb>69.92</fb>
    <v>34</v>
  </rv>
  <rv s="14">
    <fb>308.93</fb>
    <v>34</v>
  </rv>
  <rv s="14">
    <fb>115.39</fb>
    <v>34</v>
  </rv>
  <rv s="14">
    <fb>1238.95</fb>
    <v>34</v>
  </rv>
  <rv s="14">
    <fb>150.4</fb>
    <v>34</v>
  </rv>
  <rv s="14">
    <fb>236.66</fb>
    <v>34</v>
  </rv>
  <rv s="14">
    <fb>27.963999999999999</fb>
    <v>34</v>
  </rv>
  <rv s="14">
    <fb>22.855</fb>
    <v>34</v>
  </rv>
  <rv s="14">
    <fb>59.58</fb>
    <v>34</v>
  </rv>
  <rv s="14">
    <fb>21.254999999999999</fb>
    <v>34</v>
  </rv>
  <rv s="14">
    <fb>45887</fb>
    <v>33</v>
  </rv>
  <rv s="14">
    <fb>230.89</fb>
    <v>34</v>
  </rv>
  <rv s="14">
    <fb>182.01</fb>
    <v>34</v>
  </rv>
  <rv s="14">
    <fb>517.1</fb>
    <v>34</v>
  </rv>
  <rv s="14">
    <fb>767.37</fb>
    <v>34</v>
  </rv>
  <rv s="14">
    <fb>203.5</fb>
    <v>34</v>
  </rv>
  <rv s="14">
    <fb>643.29999999999995</fb>
    <v>34</v>
  </rv>
  <rv s="14">
    <fb>306.95</fb>
    <v>34</v>
  </rv>
  <rv s="14">
    <fb>73.17</fb>
    <v>34</v>
  </rv>
  <rv s="14">
    <fb>95.14</fb>
    <v>34</v>
  </rv>
  <rv s="14">
    <fb>85.05</fb>
    <v>34</v>
  </rv>
  <rv s="14">
    <fb>34.549999999999997</fb>
    <v>34</v>
  </rv>
  <rv s="14">
    <fb>4.21</fb>
    <v>34</v>
  </rv>
  <rv s="14">
    <fb>66.010000000000005</fb>
    <v>34</v>
  </rv>
  <rv s="14">
    <fb>121.48</fb>
    <v>34</v>
  </rv>
  <rv s="14">
    <fb>478.52</fb>
    <v>34</v>
  </rv>
  <rv s="14">
    <fb>291.52999999999997</fb>
    <v>34</v>
  </rv>
  <rv s="14">
    <fb>47.92</fb>
    <v>34</v>
  </rv>
  <rv s="14">
    <fb>106.72</fb>
    <v>34</v>
  </rv>
  <rv s="14">
    <fb>155.32</fb>
    <v>34</v>
  </rv>
  <rv s="14">
    <fb>176.25</fb>
    <v>34</v>
  </rv>
  <rv s="14">
    <fb>69.13</fb>
    <v>34</v>
  </rv>
  <rv s="14">
    <fb>308.7</fb>
    <v>34</v>
  </rv>
  <rv s="14">
    <fb>116.55</fb>
    <v>34</v>
  </rv>
  <rv s="14">
    <fb>1245.0899999999999</fb>
    <v>34</v>
  </rv>
  <rv s="14">
    <fb>155.72</fb>
    <v>34</v>
  </rv>
  <rv s="14">
    <fb>239.02</fb>
    <v>34</v>
  </rv>
  <rv s="14">
    <fb>87.42</fb>
    <v>34</v>
  </rv>
  <rv s="14">
    <fb>27.6858</fb>
    <v>34</v>
  </rv>
  <rv s="14">
    <fb>45888</fb>
    <v>33</v>
  </rv>
  <rv s="14">
    <fb>230.56</fb>
    <v>34</v>
  </rv>
  <rv s="14">
    <fb>509.77</fb>
    <v>34</v>
  </rv>
  <rv s="14">
    <fb>751.48</fb>
    <v>34</v>
  </rv>
  <rv s="14">
    <fb>201.57</fb>
    <v>34</v>
  </rv>
  <rv s="14">
    <fb>639.80999999999995</fb>
    <v>34</v>
  </rv>
  <rv s="14">
    <fb>305.27</fb>
    <v>34</v>
  </rv>
  <rv s="14">
    <fb>72.3</fb>
    <v>34</v>
  </rv>
  <rv s="14">
    <fb>47.288200000000003</fb>
    <v>34</v>
  </rv>
  <rv s="14">
    <fb>137.08000000000001</fb>
    <v>34</v>
  </rv>
  <rv s="14">
    <fb>85.08</fb>
    <v>34</v>
  </rv>
  <rv s="14">
    <fb>13.18</fb>
    <v>34</v>
  </rv>
  <rv s="14">
    <fb>5.2</fb>
    <v>35</v>
  </rv>
  <rv s="14">
    <fb>33.869999999999997</fb>
    <v>34</v>
  </rv>
  <rv s="14">
    <fb>4.1900000000000004</fb>
    <v>34</v>
  </rv>
  <rv s="14">
    <fb>119.46</fb>
    <v>34</v>
  </rv>
  <rv s="14">
    <fb>485.31</fb>
    <v>34</v>
  </rv>
  <rv s="14">
    <fb>290.66000000000003</fb>
    <v>34</v>
  </rv>
  <rv s="14">
    <fb>107.42</fb>
    <v>34</v>
  </rv>
  <rv s="14">
    <fb>177.8</fb>
    <v>34</v>
  </rv>
  <rv s="14">
    <fb>70.13</fb>
    <v>34</v>
  </rv>
  <rv s="14">
    <fb>310.93</fb>
    <v>34</v>
  </rv>
  <rv s="14">
    <fb>116.27</fb>
    <v>34</v>
  </rv>
  <rv s="14">
    <fb>1214.1500000000001</fb>
    <v>34</v>
  </rv>
  <rv s="14">
    <fb>158.4</fb>
    <v>34</v>
  </rv>
  <rv s="14">
    <fb>152.16</fb>
    <v>34</v>
  </rv>
  <rv s="14">
    <fb>237.65</fb>
    <v>34</v>
  </rv>
  <rv s="14">
    <fb>87.34</fb>
    <v>34</v>
  </rv>
  <rv s="14">
    <fb>55.3</fb>
    <v>34</v>
  </rv>
  <rv s="14">
    <fb>21.375699999999998</fb>
    <v>34</v>
  </rv>
  <rv s="14">
    <fb>45889</fb>
    <v>33</v>
  </rv>
  <rv s="14">
    <fb>226.01</fb>
    <v>34</v>
  </rv>
  <rv s="14">
    <fb>175.4</fb>
    <v>34</v>
  </rv>
  <rv s="14">
    <fb>505.72</fb>
    <v>34</v>
  </rv>
  <rv s="14">
    <fb>747.72</fb>
    <v>34</v>
  </rv>
  <rv s="14">
    <fb>199.32</fb>
    <v>34</v>
  </rv>
  <rv s="14">
    <fb>638.11</fb>
    <v>34</v>
  </rv>
  <rv s="14">
    <fb>86.84</fb>
    <v>34</v>
  </rv>
  <rv s="14">
    <fb>308.36</fb>
    <v>34</v>
  </rv>
  <rv s="14">
    <fb>73.52</fb>
    <v>34</v>
  </rv>
  <rv s="14">
    <fb>95.52</fb>
    <v>34</v>
  </rv>
  <rv s="14">
    <fb>47.102699999999999</fb>
    <v>34</v>
  </rv>
  <rv s="14">
    <fb>34.43</fb>
    <v>34</v>
  </rv>
  <rv s="14">
    <fb>4.2300000000000004</fb>
    <v>34</v>
  </rv>
  <rv s="14">
    <fb>66.319999999999993</fb>
    <v>34</v>
  </rv>
  <rv s="14">
    <fb>122.2</fb>
    <v>34</v>
  </rv>
  <rv s="14">
    <fb>488.68</fb>
    <v>34</v>
  </rv>
  <rv s="14">
    <fb>292.24</fb>
    <v>34</v>
  </rv>
  <rv s="14">
    <fb>48.35</fb>
    <v>34</v>
  </rv>
  <rv s="14">
    <fb>108.53</fb>
    <v>34</v>
  </rv>
  <rv s="14">
    <fb>178.84</fb>
    <v>34</v>
  </rv>
  <rv s="14">
    <fb>70.7</fb>
    <v>34</v>
  </rv>
  <rv s="14">
    <fb>313.08</fb>
    <v>34</v>
  </rv>
  <rv s="14">
    <fb>117.04</fb>
    <v>34</v>
  </rv>
  <rv s="14">
    <fb>1213.8599999999999</fb>
    <v>34</v>
  </rv>
  <rv s="14">
    <fb>159.51</fb>
    <v>34</v>
  </rv>
  <rv s="14">
    <fb>236.51</fb>
    <v>34</v>
  </rv>
  <rv s="14">
    <fb>27.751799999999999</fb>
    <v>34</v>
  </rv>
  <rv s="14">
    <fb>22.905000000000001</fb>
    <v>34</v>
  </rv>
  <rv s="14">
    <fb>59.71</fb>
    <v>34</v>
  </rv>
  <rv s="14">
    <fb>21.506</fb>
    <v>34</v>
  </rv>
  <rv s="14">
    <fb>45890</fb>
    <v>33</v>
  </rv>
  <rv s="14">
    <fb>174.98</fb>
    <v>34</v>
  </rv>
  <rv s="14">
    <fb>504.24</fb>
    <v>34</v>
  </rv>
  <rv s="14">
    <fb>739.1</fb>
    <v>34</v>
  </rv>
  <rv s="14">
    <fb>199.75</fb>
    <v>34</v>
  </rv>
  <rv s="14">
    <fb>635.54999999999995</fb>
    <v>34</v>
  </rv>
  <rv s="14">
    <fb>86.41</fb>
    <v>34</v>
  </rv>
  <rv s="14">
    <fb>307.29000000000002</fb>
    <v>34</v>
  </rv>
  <rv s="14">
    <fb>95.24</fb>
    <v>34</v>
  </rv>
  <rv s="14">
    <fb>46.984999999999999</fb>
    <v>34</v>
  </rv>
  <rv s="14">
    <fb>134.01</fb>
    <v>34</v>
  </rv>
  <rv s="14">
    <fb>13.5</fb>
    <v>34</v>
  </rv>
  <rv s="14">
    <fb>27.28</fb>
    <v>34</v>
  </rv>
  <rv s="14">
    <fb>66.099999999999994</fb>
    <v>34</v>
  </rv>
  <rv s="14">
    <fb>488.59</fb>
    <v>34</v>
  </rv>
  <rv s="14">
    <fb>48.26</fb>
    <v>34</v>
  </rv>
  <rv s="14">
    <fb>155.55000000000001</fb>
    <v>34</v>
  </rv>
  <rv s="14">
    <fb>178.93</fb>
    <v>34</v>
  </rv>
  <rv s="14">
    <fb>70.66</fb>
    <v>34</v>
  </rv>
  <rv s="14">
    <fb>313.22000000000003</fb>
    <v>34</v>
  </rv>
  <rv s="14">
    <fb>116.21</fb>
    <v>34</v>
  </rv>
  <rv s="14">
    <fb>1206.21</fb>
    <v>34</v>
  </rv>
  <rv s="14">
    <fb>148.97999999999999</fb>
    <v>34</v>
  </rv>
  <rv s="14">
    <fb>240.14</fb>
    <v>34</v>
  </rv>
  <rv s="14">
    <fb>21.4544</fb>
    <v>34</v>
  </rv>
  <rv s="14">
    <fb>45891</fb>
    <v>33</v>
  </rv>
  <rv s="14">
    <fb>227.76</fb>
    <v>34</v>
  </rv>
  <rv s="14">
    <fb>177.99</fb>
    <v>34</v>
  </rv>
  <rv s="14">
    <fb>507.23</fb>
    <v>34</v>
  </rv>
  <rv s="14">
    <fb>754.79</fb>
    <v>34</v>
  </rv>
  <rv s="14">
    <fb>645.30999999999995</fb>
    <v>34</v>
  </rv>
  <rv s="14">
    <fb>310.58</fb>
    <v>34</v>
  </rv>
  <rv s="14">
    <fb>74.64</fb>
    <v>34</v>
  </rv>
  <rv s="14">
    <fb>47.244999999999997</fb>
    <v>34</v>
  </rv>
  <rv s="14">
    <fb>134.19999999999999</fb>
    <v>34</v>
  </rv>
  <rv s="14">
    <fb>35.340000000000003</fb>
    <v>34</v>
  </rv>
  <rv s="14">
    <fb>66.790000000000006</fb>
    <v>34</v>
  </rv>
  <rv s="14">
    <fb>123.98</fb>
    <v>34</v>
  </rv>
  <rv s="14">
    <fb>489</fb>
    <v>34</v>
  </rv>
  <rv s="14">
    <fb>49.48</fb>
    <v>34</v>
  </rv>
  <rv s="14">
    <fb>111.28</fb>
    <v>34</v>
  </rv>
  <rv s="14">
    <fb>158.18</fb>
    <v>34</v>
  </rv>
  <rv s="14">
    <fb>179.29</fb>
    <v>34</v>
  </rv>
  <rv s="14">
    <fb>314.07</fb>
    <v>34</v>
  </rv>
  <rv s="14">
    <fb>118.86</fb>
    <v>34</v>
  </rv>
  <rv s="14">
    <fb>1204.6500000000001</fb>
    <v>34</v>
  </rv>
  <rv s="14">
    <fb>158.66999999999999</fb>
    <v>34</v>
  </rv>
  <rv s="14">
    <fb>149.63999999999999</fb>
    <v>34</v>
  </rv>
  <rv s="14">
    <fb>252.19</fb>
    <v>34</v>
  </rv>
  <rv s="14">
    <fb>90.89</fb>
    <v>34</v>
  </rv>
  <rv s="14">
    <fb>55.53</fb>
    <v>34</v>
  </rv>
  <rv s="14">
    <fb>21.816700000000001</fb>
    <v>34</v>
  </rv>
  <rv s="14">
    <fb>45894</fb>
    <v>33</v>
  </rv>
  <rv s="14">
    <fb>227.16</fb>
    <v>34</v>
  </rv>
  <rv s="14">
    <fb>179.81</fb>
    <v>34</v>
  </rv>
  <rv s="14">
    <fb>504.26</fb>
    <v>34</v>
  </rv>
  <rv s="14">
    <fb>753.3</fb>
    <v>34</v>
  </rv>
  <rv s="14">
    <fb>208.49</fb>
    <v>34</v>
  </rv>
  <rv s="14">
    <fb>642.47</fb>
    <v>34</v>
  </rv>
  <rv s="14">
    <fb>86.8</fb>
    <v>34</v>
  </rv>
  <rv s="14">
    <fb>309.83</fb>
    <v>34</v>
  </rv>
  <rv s="14">
    <fb>75.75</fb>
    <v>34</v>
  </rv>
  <rv s="14">
    <fb>95.58</fb>
    <v>34</v>
  </rv>
  <rv s="14">
    <fb>47.195</fb>
    <v>34</v>
  </rv>
  <rv s="14">
    <fb>133.88999999999999</fb>
    <v>34</v>
  </rv>
  <rv s="14">
    <fb>88.37</fb>
    <v>34</v>
  </rv>
  <rv s="14">
    <fb>13.8</fb>
    <v>34</v>
  </rv>
  <rv s="14">
    <fb>4.79</fb>
    <v>35</v>
  </rv>
  <rv s="14">
    <fb>35.020000000000003</fb>
    <v>34</v>
  </rv>
  <rv s="14">
    <fb>66.64</fb>
    <v>34</v>
  </rv>
  <rv s="14">
    <fb>122.25</fb>
    <v>34</v>
  </rv>
  <rv s="14">
    <fb>486.18</fb>
    <v>34</v>
  </rv>
  <rv s="14">
    <fb>294.89999999999998</fb>
    <v>34</v>
  </rv>
  <rv s="14">
    <fb>158.19999999999999</fb>
    <v>34</v>
  </rv>
  <rv s="14">
    <fb>178.41</fb>
    <v>34</v>
  </rv>
  <rv s="14">
    <fb>68.930000000000007</fb>
    <v>34</v>
  </rv>
  <rv s="14">
    <fb>313.44</fb>
    <v>34</v>
  </rv>
  <rv s="14">
    <fb>117.71</fb>
    <v>34</v>
  </rv>
  <rv s="14">
    <fb>1218.07</fb>
    <v>34</v>
  </rv>
  <rv s="14">
    <fb>148.19999999999999</fb>
    <v>34</v>
  </rv>
  <rv s="14">
    <fb>251.9</fb>
    <v>34</v>
  </rv>
  <rv s="14">
    <fb>58.72</fb>
    <v>34</v>
  </rv>
  <rv s="14">
    <fb>59.76</fb>
    <v>34</v>
  </rv>
  <rv s="14">
    <fb>21.6632</fb>
    <v>34</v>
  </rv>
  <rv s="14">
    <fb>45895</fb>
    <v>33</v>
  </rv>
  <rv s="14">
    <fb>229.31</fb>
    <v>34</v>
  </rv>
  <rv s="14">
    <fb>181.77</fb>
    <v>34</v>
  </rv>
  <rv s="14">
    <fb>502.04</fb>
    <v>34</v>
  </rv>
  <rv s="14">
    <fb>754.1</fb>
    <v>34</v>
  </rv>
  <rv s="14">
    <fb>207.14</fb>
    <v>34</v>
  </rv>
  <rv s="14">
    <fb>645.16</fb>
    <v>34</v>
  </rv>
  <rv s="14">
    <fb>312.08</fb>
    <v>34</v>
  </rv>
  <rv s="14">
    <fb>74.05</fb>
    <v>34</v>
  </rv>
  <rv s="14">
    <fb>47.36</fb>
    <v>34</v>
  </rv>
  <rv s="14">
    <fb>134.4</fb>
    <v>34</v>
  </rv>
  <rv s="14">
    <fb>67.12</fb>
    <v>34</v>
  </rv>
  <rv s="14">
    <fb>123.22</fb>
    <v>34</v>
  </rv>
  <rv s="14">
    <fb>492.21</fb>
    <v>34</v>
  </rv>
  <rv s="14">
    <fb>50.25</fb>
    <v>34</v>
  </rv>
  <rv s="14">
    <fb>111.49</fb>
    <v>34</v>
  </rv>
  <rv s="14">
    <fb>157.36000000000001</fb>
    <v>34</v>
  </rv>
  <rv s="14">
    <fb>176.49</fb>
    <v>34</v>
  </rv>
  <rv s="14">
    <fb>312.94</fb>
    <v>34</v>
  </rv>
  <rv s="14">
    <fb>117.65</fb>
    <v>34</v>
  </rv>
  <rv s="14">
    <fb>1226.0899999999999</fb>
    <v>34</v>
  </rv>
  <rv s="14">
    <fb>155.97</fb>
    <v>34</v>
  </rv>
  <rv s="14">
    <fb>147</fb>
    <v>34</v>
  </rv>
  <rv s="14">
    <fb>249.13</fb>
    <v>34</v>
  </rv>
  <rv s="14">
    <fb>55.4</fb>
    <v>34</v>
  </rv>
  <rv s="14">
    <fb>21.565300000000001</fb>
    <v>34</v>
  </rv>
  <rv s="14">
    <fb>45896</fb>
    <v>33</v>
  </rv>
  <rv s="14">
    <fb>230.49</fb>
    <v>34</v>
  </rv>
  <rv s="14">
    <fb>181.6</fb>
    <v>34</v>
  </rv>
  <rv s="14">
    <fb>506.74</fb>
    <v>34</v>
  </rv>
  <rv s="14">
    <fb>747.38</fb>
    <v>34</v>
  </rv>
  <rv s="14">
    <fb>207.48</fb>
    <v>34</v>
  </rv>
  <rv s="14">
    <fb>646.63</fb>
    <v>34</v>
  </rv>
  <rv s="14">
    <fb>312.70999999999998</fb>
    <v>34</v>
  </rv>
  <rv s="14">
    <fb>74.680000000000007</fb>
    <v>34</v>
  </rv>
  <rv s="14">
    <fb>96.01</fb>
    <v>34</v>
  </rv>
  <rv s="14">
    <fb>47.284999999999997</fb>
    <v>34</v>
  </rv>
  <rv s="14">
    <fb>34.99</fb>
    <v>34</v>
  </rv>
  <rv s="14">
    <fb>67.25</fb>
    <v>34</v>
  </rv>
  <rv s="14">
    <fb>495.72</fb>
    <v>34</v>
  </rv>
  <rv s="14">
    <fb>299.27999999999997</fb>
    <v>34</v>
  </rv>
  <rv s="14">
    <fb>50.38</fb>
    <v>34</v>
  </rv>
  <rv s="14">
    <fb>112.75</fb>
    <v>34</v>
  </rv>
  <rv s="14">
    <fb>159.24</fb>
    <v>34</v>
  </rv>
  <rv s="14">
    <fb>68.83</fb>
    <v>34</v>
  </rv>
  <rv s="14">
    <fb>311.43</fb>
    <v>34</v>
  </rv>
  <rv s="14">
    <fb>118.09</fb>
    <v>34</v>
  </rv>
  <rv s="14">
    <fb>1223.5</fb>
    <v>34</v>
  </rv>
  <rv s="14">
    <fb>156.96</fb>
    <v>34</v>
  </rv>
  <rv s="14">
    <fb>147.63999999999999</fb>
    <v>34</v>
  </rv>
  <rv s="14">
    <fb>92.55</fb>
    <v>34</v>
  </rv>
  <rv s="14">
    <fb>60</fb>
    <v>34</v>
  </rv>
  <rv s="14">
    <fb>21.726700000000001</fb>
    <v>34</v>
  </rv>
  <rv s="14">
    <fb>45897</fb>
    <v>33</v>
  </rv>
  <rv s="14">
    <fb>232.56</fb>
    <v>34</v>
  </rv>
  <rv s="14">
    <fb>180.17</fb>
    <v>34</v>
  </rv>
  <rv s="14">
    <fb>509.64</fb>
    <v>34</v>
  </rv>
  <rv s="14">
    <fb>751.11</fb>
    <v>34</v>
  </rv>
  <rv s="14">
    <fb>211.64</fb>
    <v>34</v>
  </rv>
  <rv s="14">
    <fb>648.91999999999996</fb>
    <v>34</v>
  </rv>
  <rv s="14">
    <fb>315.02999999999997</fb>
    <v>34</v>
  </rv>
  <rv s="14">
    <fb>75.239999999999995</fb>
    <v>34</v>
  </rv>
  <rv s="14">
    <fb>96.23</fb>
    <v>34</v>
  </rv>
  <rv s="14">
    <fb>47.336199999999998</fb>
    <v>34</v>
  </rv>
  <rv s="14">
    <fb>136.38999999999999</fb>
    <v>34</v>
  </rv>
  <rv s="14">
    <fb>89.9</fb>
    <v>34</v>
  </rv>
  <rv s="14">
    <fb>35.520000000000003</fb>
    <v>34</v>
  </rv>
  <rv s="14">
    <fb>67.739999999999995</fb>
    <v>34</v>
  </rv>
  <rv s="14">
    <fb>499.86</fb>
    <v>34</v>
  </rv>
  <rv s="14">
    <fb>301.07</fb>
    <v>34</v>
  </rv>
  <rv s="14">
    <fb>50.49</fb>
    <v>34</v>
  </rv>
  <rv s="14">
    <fb>113.35</fb>
    <v>34</v>
  </rv>
  <rv s="14">
    <fb>175.45</fb>
    <v>34</v>
  </rv>
  <rv s="14">
    <fb>68.36</fb>
    <v>34</v>
  </rv>
  <rv s="14">
    <fb>312.22000000000003</fb>
    <v>34</v>
  </rv>
  <rv s="14">
    <fb>117.64</fb>
    <v>34</v>
  </rv>
  <rv s="14">
    <fb>1231.45</fb>
    <v>34</v>
  </rv>
  <rv s="14">
    <fb>146.97999999999999</fb>
    <v>34</v>
  </rv>
  <rv s="14">
    <fb>256.11</fb>
    <v>34</v>
  </rv>
  <rv s="14">
    <fb>29.776700000000002</fb>
    <v>34</v>
  </rv>
  <rv s="14">
    <fb>23.004999999999999</fb>
    <v>34</v>
  </rv>
  <rv s="14">
    <fb>60.06</fb>
    <v>34</v>
  </rv>
  <rv s="14">
    <fb>21.633900000000001</fb>
    <v>34</v>
  </rv>
  <rv s="14">
    <fb>45898</fb>
    <v>33</v>
  </rv>
  <rv s="14">
    <fb>232.14</fb>
    <v>34</v>
  </rv>
  <rv s="14">
    <fb>174.18</fb>
    <v>34</v>
  </rv>
  <rv s="14">
    <fb>506.69</fb>
    <v>34</v>
  </rv>
  <rv s="14">
    <fb>738.7</fb>
    <v>34</v>
  </rv>
  <rv s="14">
    <fb>212.91</fb>
    <v>34</v>
  </rv>
  <rv s="14">
    <fb>86.6</fb>
    <v>34</v>
  </rv>
  <rv s="14">
    <fb>318.07</fb>
    <v>34</v>
  </rv>
  <rv s="14">
    <fb>74.84</fb>
    <v>34</v>
  </rv>
  <rv s="14">
    <fb>96.15</fb>
    <v>34</v>
  </rv>
  <rv s="14">
    <fb>47.293700000000001</fb>
    <v>34</v>
  </rv>
  <rv s="14">
    <fb>136.22999999999999</fb>
    <v>34</v>
  </rv>
  <rv s="14">
    <fb>13.62</fb>
    <v>34</v>
  </rv>
  <rv s="14">
    <fb>36.19</fb>
    <v>34</v>
  </rv>
  <rv s="14">
    <fb>4.28</fb>
    <v>34</v>
  </rv>
  <rv s="14">
    <fb>68.400000000000006</fb>
    <v>34</v>
  </rv>
  <rv s="14">
    <fb>125.22</fb>
    <v>34</v>
  </rv>
  <rv s="14">
    <fb>502.98</fb>
    <v>34</v>
  </rv>
  <rv s="14">
    <fb>301.42</fb>
    <v>34</v>
  </rv>
  <rv s="14">
    <fb>114.29</fb>
    <v>34</v>
  </rv>
  <rv s="14">
    <fb>177.17</fb>
    <v>34</v>
  </rv>
  <rv s="14">
    <fb>68.989999999999995</fb>
    <v>34</v>
  </rv>
  <rv s="14">
    <fb>313.54000000000002</fb>
    <v>34</v>
  </rv>
  <rv s="14">
    <fb>118.38</fb>
    <v>34</v>
  </rv>
  <rv s="14">
    <fb>1208.25</fb>
    <v>34</v>
  </rv>
  <rv s="14">
    <fb>148.65</fb>
    <v>34</v>
  </rv>
  <rv s="14">
    <fb>256.85000000000002</fb>
    <v>34</v>
  </rv>
  <rv s="14">
    <fb>29.78</fb>
    <v>34</v>
  </rv>
  <rv s="14">
    <fb>58.87</fb>
    <v>34</v>
  </rv>
  <rv s="14">
    <fb>60.08</fb>
    <v>34</v>
  </rv>
  <rv s="14">
    <fb>21.747</fb>
    <v>34</v>
  </rv>
  <rv s="14">
    <fb>45902</fb>
    <v>33</v>
  </rv>
  <rv s="14">
    <fb>229.72</fb>
    <v>34</v>
  </rv>
  <rv s="14">
    <fb>505.12</fb>
    <v>34</v>
  </rv>
  <rv s="14">
    <fb>735.11</fb>
    <v>34</v>
  </rv>
  <rv s="14">
    <fb>211.35</fb>
    <v>34</v>
  </rv>
  <rv s="14">
    <fb>640.27</fb>
    <v>34</v>
  </rv>
  <rv s="14">
    <fb>85.63</fb>
    <v>34</v>
  </rv>
  <rv s="14">
    <fb>325.58999999999997</fb>
    <v>34</v>
  </rv>
  <rv s="14">
    <fb>76.760000000000005</fb>
    <v>34</v>
  </rv>
  <rv s="14">
    <fb>95.55</fb>
    <v>34</v>
  </rv>
  <rv s="14">
    <fb>135.84</fb>
    <v>34</v>
  </rv>
  <rv s="14">
    <fb>70.05</fb>
    <v>34</v>
  </rv>
  <rv s="14">
    <fb>128.08000000000001</fb>
    <v>34</v>
  </rv>
  <rv s="14">
    <fb>501.14</fb>
    <v>34</v>
  </rv>
  <rv s="14">
    <fb>299.7</fb>
    <v>34</v>
  </rv>
  <rv s="14">
    <fb>50.42</fb>
    <v>34</v>
  </rv>
  <rv s="14">
    <fb>114.69</fb>
    <v>34</v>
  </rv>
  <rv s="14">
    <fb>161.83000000000001</fb>
    <v>34</v>
  </rv>
  <rv s="14">
    <fb>178.06</fb>
    <v>34</v>
  </rv>
  <rv s="14">
    <fb>69.06</fb>
    <v>34</v>
  </rv>
  <rv s="14">
    <fb>315.76</fb>
    <v>34</v>
  </rv>
  <rv s="14">
    <fb>1214.1099999999999</fb>
    <v>34</v>
  </rv>
  <rv s="14">
    <fb>150.28</fb>
    <v>34</v>
  </rv>
  <rv s="14">
    <fb>254.73</fb>
    <v>34</v>
  </rv>
  <rv s="14">
    <fb>94.5</fb>
    <v>34</v>
  </rv>
  <rv s="14">
    <fb>30.16</fb>
    <v>34</v>
  </rv>
  <rv s="14">
    <fb>54.81</fb>
    <v>34</v>
  </rv>
  <rv s="14">
    <fb>21.47</fb>
    <v>34</v>
  </rv>
  <rv s="14">
    <fb>45903</fb>
    <v>33</v>
  </rv>
  <rv s="14">
    <fb>238.47</fb>
    <v>34</v>
  </rv>
  <rv s="14">
    <fb>170.62</fb>
    <v>34</v>
  </rv>
  <rv s="14">
    <fb>505.35</fb>
    <v>34</v>
  </rv>
  <rv s="14">
    <fb>737.05</fb>
    <v>34</v>
  </rv>
  <rv s="14">
    <fb>230.66</fb>
    <v>34</v>
  </rv>
  <rv s="14">
    <fb>643.74</fb>
    <v>34</v>
  </rv>
  <rv s="14">
    <fb>86.57</fb>
    <v>34</v>
  </rv>
  <rv s="14">
    <fb>328.14</fb>
    <v>34</v>
  </rv>
  <rv s="14">
    <fb>74.83</fb>
    <v>34</v>
  </rv>
  <rv s="14">
    <fb>95.88</fb>
    <v>34</v>
  </rv>
  <rv s="14">
    <fb>47.335000000000001</fb>
    <v>34</v>
  </rv>
  <rv s="14">
    <fb>132.63</fb>
    <v>34</v>
  </rv>
  <rv s="14">
    <fb>37.340000000000003</fb>
    <v>34</v>
  </rv>
  <rv s="14">
    <fb>4.17</fb>
    <v>34</v>
  </rv>
  <rv s="14">
    <fb>70.58</fb>
    <v>34</v>
  </rv>
  <rv s="14">
    <fb>129.63</fb>
    <v>34</v>
  </rv>
  <rv s="14">
    <fb>501.49</fb>
    <v>34</v>
  </rv>
  <rv s="14">
    <fb>50.06</fb>
    <v>34</v>
  </rv>
  <rv s="14">
    <fb>111.91</fb>
    <v>34</v>
  </rv>
  <rv s="14">
    <fb>158.06</fb>
    <v>34</v>
  </rv>
  <rv s="14">
    <fb>178</fb>
    <v>34</v>
  </rv>
  <rv s="14">
    <fb>316.39</fb>
    <v>34</v>
  </rv>
  <rv s="14">
    <fb>117.38</fb>
    <v>34</v>
  </rv>
  <rv s="14">
    <fb>1226.18</fb>
    <v>34</v>
  </rv>
  <rv s="14">
    <fb>158.16999999999999</fb>
    <v>34</v>
  </rv>
  <rv s="14">
    <fb>29.303000000000001</fb>
    <v>34</v>
  </rv>
  <rv s="14">
    <fb>59.89</fb>
    <v>34</v>
  </rv>
  <rv s="14">
    <fb>55.33</fb>
    <v>34</v>
  </rv>
  <rv s="14">
    <fb>21.3978</fb>
    <v>34</v>
  </rv>
  <rv s="14">
    <fb>45904</fb>
    <v>33</v>
  </rv>
  <rv s="14">
    <fb>239.78</fb>
    <v>34</v>
  </rv>
  <rv s="14">
    <fb>171.66</fb>
    <v>34</v>
  </rv>
  <rv s="14">
    <fb>507.97</fb>
    <v>34</v>
  </rv>
  <rv s="14">
    <fb>748.65</fb>
    <v>34</v>
  </rv>
  <rv s="14">
    <fb>232.3</fb>
    <v>34</v>
  </rv>
  <rv s="14">
    <fb>649.12</fb>
    <v>34</v>
  </rv>
  <rv s="14">
    <fb>326.69</fb>
    <v>34</v>
  </rv>
  <rv s="14">
    <fb>74.180000000000007</fb>
    <v>34</v>
  </rv>
  <rv s="14">
    <fb>96.31</fb>
    <v>34</v>
  </rv>
  <rv s="14">
    <fb>47.535499999999999</fb>
    <v>34</v>
  </rv>
  <rv s="14">
    <fb>134.76</fb>
    <v>34</v>
  </rv>
  <rv s="14">
    <fb>89.08</fb>
    <v>34</v>
  </rv>
  <rv s="14">
    <fb>13.47</fb>
    <v>34</v>
  </rv>
  <rv s="14">
    <fb>4.8499999999999996</fb>
    <v>35</v>
  </rv>
  <rv s="14">
    <fb>36.93</fb>
    <v>34</v>
  </rv>
  <rv s="14">
    <fb>70.27</fb>
    <v>34</v>
  </rv>
  <rv s="14">
    <fb>125.33</fb>
    <v>34</v>
  </rv>
  <rv s="14">
    <fb>506.91</fb>
    <v>34</v>
  </rv>
  <rv s="14">
    <fb>303.82</fb>
    <v>34</v>
  </rv>
  <rv s="14">
    <fb>50.62</fb>
    <v>34</v>
  </rv>
  <rv s="14">
    <fb>112.4</fb>
    <v>34</v>
  </rv>
  <rv s="14">
    <fb>178.76</fb>
    <v>34</v>
  </rv>
  <rv s="14">
    <fb>68.25</fb>
    <v>34</v>
  </rv>
  <rv s="14">
    <fb>316.99</fb>
    <v>34</v>
  </rv>
  <rv s="14">
    <fb>118.81</fb>
    <v>34</v>
  </rv>
  <rv s="14">
    <fb>1257.48</fb>
    <v>34</v>
  </rv>
  <rv s="14">
    <fb>159.19</fb>
    <v>34</v>
  </rv>
  <rv s="14">
    <fb>146.88999999999999</fb>
    <v>34</v>
  </rv>
  <rv s="14">
    <fb>257.83999999999997</fb>
    <v>34</v>
  </rv>
  <rv s="14">
    <fb>92.58</fb>
    <v>34</v>
  </rv>
  <rv s="14">
    <fb>29.636800000000001</fb>
    <v>34</v>
  </rv>
  <rv s="14">
    <fb>60.05</fb>
    <v>34</v>
  </rv>
  <rv s="14">
    <fb>55.69</fb>
    <v>34</v>
  </rv>
  <rv s="14">
    <fb>21.465199999999999</fb>
    <v>34</v>
  </rv>
  <rv s="14">
    <fb>45905</fb>
    <v>33</v>
  </rv>
  <rv s="14">
    <fb>239.69</fb>
    <v>34</v>
  </rv>
  <rv s="14">
    <fb>167.02</fb>
    <v>34</v>
  </rv>
  <rv s="14">
    <fb>495</fb>
    <v>34</v>
  </rv>
  <rv s="14">
    <fb>752.45</fb>
    <v>34</v>
  </rv>
  <rv s="14">
    <fb>647.24</fb>
    <v>34</v>
  </rv>
  <rv s="14">
    <fb>331.05</fb>
    <v>34</v>
  </rv>
  <rv s="14">
    <fb>72.63</fb>
    <v>34</v>
  </rv>
  <rv s="14">
    <fb>96.78</fb>
    <v>34</v>
  </rv>
  <rv s="14">
    <fb>47.87</fb>
    <v>34</v>
  </rv>
  <rv s="14">
    <fb>131.55000000000001</fb>
    <v>34</v>
  </rv>
  <rv s="14">
    <fb>87.36</fb>
    <v>34</v>
  </rv>
  <rv s="14">
    <fb>37.21</fb>
    <v>34</v>
  </rv>
  <rv s="14">
    <fb>71.180000000000007</fb>
    <v>34</v>
  </rv>
  <rv s="14">
    <fb>499.77</fb>
    <v>34</v>
  </rv>
  <rv s="14">
    <fb>294.38</fb>
    <v>34</v>
  </rv>
  <rv s="14">
    <fb>49.77</fb>
    <v>34</v>
  </rv>
  <rv s="14">
    <fb>178.43</fb>
    <v>34</v>
  </rv>
  <rv s="14">
    <fb>314.38</fb>
    <v>34</v>
  </rv>
  <rv s="14">
    <fb>117.91</fb>
    <v>34</v>
  </rv>
  <rv s="14">
    <fb>1243.82</fb>
    <v>34</v>
  </rv>
  <rv s="14">
    <fb>160.02000000000001</fb>
    <v>34</v>
  </rv>
  <rv s="14">
    <fb>146.38999999999999</fb>
    <v>34</v>
  </rv>
  <rv s="14">
    <fb>255.13</fb>
    <v>34</v>
  </rv>
  <rv s="14">
    <fb>90.97</fb>
    <v>34</v>
  </rv>
  <rv s="14">
    <fb>23.105</fb>
    <v>34</v>
  </rv>
  <rv s="14">
    <fb>60.24</fb>
    <v>34</v>
  </rv>
  <rv s="14">
    <fb>56.45</fb>
    <v>34</v>
  </rv>
  <rv s="14">
    <fb>21.659800000000001</fb>
    <v>34</v>
  </rv>
  <rv s="14">
    <fb>45908</fb>
    <v>33</v>
  </rv>
  <rv s="14">
    <fb>237.88</fb>
    <v>34</v>
  </rv>
  <rv s="14">
    <fb>168.31</fb>
    <v>34</v>
  </rv>
  <rv s="14">
    <fb>498.2</fb>
    <v>34</v>
  </rv>
  <rv s="14">
    <fb>752.3</fb>
    <v>34</v>
  </rv>
  <rv s="14">
    <fb>234.04</fb>
    <v>34</v>
  </rv>
  <rv s="14">
    <fb>648.83000000000004</fb>
    <v>34</v>
  </rv>
  <rv s="14">
    <fb>89.74</fb>
    <v>34</v>
  </rv>
  <rv s="14">
    <fb>334.82</fb>
    <v>34</v>
  </rv>
  <rv s="14">
    <fb>97.08</fb>
    <v>34</v>
  </rv>
  <rv s="14">
    <fb>47.905000000000001</fb>
    <v>34</v>
  </rv>
  <rv s="14">
    <fb>134.44</fb>
    <v>34</v>
  </rv>
  <rv s="14">
    <fb>13.33</fb>
    <v>34</v>
  </rv>
  <rv s="14">
    <fb>37.51</fb>
    <v>34</v>
  </rv>
  <rv s="14">
    <fb>72.010000000000005</fb>
    <v>34</v>
  </rv>
  <rv s="14">
    <fb>126.16</fb>
    <v>34</v>
  </rv>
  <rv s="14">
    <fb>493.78</fb>
    <v>34</v>
  </rv>
  <rv s="14">
    <fb>292.91000000000003</fb>
    <v>34</v>
  </rv>
  <rv s="14">
    <fb>49.46</fb>
    <v>34</v>
  </rv>
  <rv s="14">
    <fb>109.85</fb>
    <v>34</v>
  </rv>
  <rv s="14">
    <fb>178.13</fb>
    <v>34</v>
  </rv>
  <rv s="14">
    <fb>67.430000000000007</fb>
    <v>34</v>
  </rv>
  <rv s="14">
    <fb>312.8</fb>
    <v>34</v>
  </rv>
  <rv s="14">
    <fb>118.84</fb>
    <v>34</v>
  </rv>
  <rv s="14">
    <fb>1244.76</fb>
    <v>34</v>
  </rv>
  <rv s="14">
    <fb>159.01</fb>
    <v>34</v>
  </rv>
  <rv s="14">
    <fb>141.71</fb>
    <v>34</v>
  </rv>
  <rv s="14">
    <fb>255.28</fb>
    <v>34</v>
  </rv>
  <rv s="14">
    <fb>90.26</fb>
    <v>34</v>
  </rv>
  <rv s="14">
    <fb>23.184999999999999</fb>
    <v>34</v>
  </rv>
  <rv s="14">
    <fb>60.33</fb>
    <v>34</v>
  </rv>
  <rv s="14">
    <fb>29.62</fb>
    <v>34</v>
  </rv>
  <rv s="14">
    <fb>21.485800000000001</fb>
    <v>34</v>
  </rv>
  <rv s="14">
    <fb>45909</fb>
    <v>33</v>
  </rv>
  <rv s="14">
    <fb>234.35</fb>
    <v>34</v>
  </rv>
  <rv s="14">
    <fb>498.41</fb>
    <v>34</v>
  </rv>
  <rv s="14">
    <fb>765.7</fb>
    <v>34</v>
  </rv>
  <rv s="14">
    <fb>650.33000000000004</fb>
    <v>34</v>
  </rv>
  <rv s="14">
    <fb>89.23</fb>
    <v>34</v>
  </rv>
  <rv s="14">
    <fb>334.06</fb>
    <v>34</v>
  </rv>
  <rv s="14">
    <fb>73.39</fb>
    <v>34</v>
  </rv>
  <rv s="14">
    <fb>96.85</fb>
    <v>34</v>
  </rv>
  <rv s="14">
    <fb>47.820300000000003</fb>
    <v>34</v>
  </rv>
  <rv s="14">
    <fb>134.41999999999999</fb>
    <v>34</v>
  </rv>
  <rv s="14">
    <fb>37.18</fb>
    <v>34</v>
  </rv>
  <rv s="14">
    <fb>27.1</fb>
    <v>34</v>
  </rv>
  <rv s="14">
    <fb>4.16</fb>
    <v>34</v>
  </rv>
  <rv s="14">
    <fb>125</fb>
    <v>34</v>
  </rv>
  <rv s="14">
    <fb>492.72</fb>
    <v>34</v>
  </rv>
  <rv s="14">
    <fb>297.85000000000002</fb>
    <v>34</v>
  </rv>
  <rv s="14">
    <fb>50.29</fb>
    <v>34</v>
  </rv>
  <rv s="14">
    <fb>110.65</fb>
    <v>34</v>
  </rv>
  <rv s="14">
    <fb>154.85</fb>
    <v>34</v>
  </rv>
  <rv s="14">
    <fb>176.96</fb>
    <v>34</v>
  </rv>
  <rv s="14">
    <fb>67.86</fb>
    <v>34</v>
  </rv>
  <rv s="14">
    <fb>312.52</fb>
    <v>34</v>
  </rv>
  <rv s="14">
    <fb>1263.25</fb>
    <v>34</v>
  </rv>
  <rv s="14">
    <fb>159.46</fb>
    <v>34</v>
  </rv>
  <rv s="14">
    <fb>143.1</fb>
    <v>34</v>
  </rv>
  <rv s="14">
    <fb>254.01</fb>
    <v>34</v>
  </rv>
  <rv s="14">
    <fb>23.135000000000002</fb>
    <v>34</v>
  </rv>
  <rv s="14">
    <fb>29.58</fb>
    <v>34</v>
  </rv>
  <rv s="14">
    <fb>21.500299999999999</fb>
    <v>34</v>
  </rv>
  <rv s="14">
    <fb>45910</fb>
    <v>33</v>
  </rv>
  <rv s="14">
    <fb>226.79</fb>
    <v>34</v>
  </rv>
  <rv s="14">
    <fb>177.33</fb>
    <v>34</v>
  </rv>
  <rv s="14">
    <fb>500.37</fb>
    <v>34</v>
  </rv>
  <rv s="14">
    <fb>751.98</fb>
    <v>34</v>
  </rv>
  <rv s="14">
    <fb>239.17</fb>
    <v>34</v>
  </rv>
  <rv s="14">
    <fb>652.21</fb>
    <v>34</v>
  </rv>
  <rv s="14">
    <fb>335.26</fb>
    <v>34</v>
  </rv>
  <rv s="14">
    <fb>74.709999999999994</fb>
    <v>34</v>
  </rv>
  <rv s="14">
    <fb>97.11</fb>
    <v>34</v>
  </rv>
  <rv s="14">
    <fb>47.9</fb>
    <v>34</v>
  </rv>
  <rv s="14">
    <fb>133.63999999999999</fb>
    <v>34</v>
  </rv>
  <rv s="14">
    <fb>89.11</fb>
    <v>34</v>
  </rv>
  <rv s="14">
    <fb>27.21</fb>
    <v>34</v>
  </rv>
  <rv s="14">
    <fb>4.1399999999999997</fb>
    <v>34</v>
  </rv>
  <rv s="14">
    <fb>72.12</fb>
    <v>34</v>
  </rv>
  <rv s="14">
    <fb>126.57</fb>
    <v>34</v>
  </rv>
  <rv s="14">
    <fb>50.914999999999999</fb>
    <v>34</v>
  </rv>
  <rv s="14">
    <fb>490.08</fb>
    <v>34</v>
  </rv>
  <rv s="14">
    <fb>300.54000000000002</fb>
    <v>34</v>
  </rv>
  <rv s="14">
    <fb>50.13</fb>
    <v>34</v>
  </rv>
  <rv s="14">
    <fb>112.5</fb>
    <v>34</v>
  </rv>
  <rv s="14">
    <fb>175.79</fb>
    <v>34</v>
  </rv>
  <rv s="14">
    <fb>305.94</fb>
    <v>34</v>
  </rv>
  <rv s="14">
    <fb>115.79</fb>
    <v>34</v>
  </rv>
  <rv s="14">
    <fb>1247.71</fb>
    <v>34</v>
  </rv>
  <rv s="14">
    <fb>157.35</fb>
    <v>34</v>
  </rv>
  <rv s="14">
    <fb>142.66</fb>
    <v>34</v>
  </rv>
  <rv s="14">
    <fb>260.07</fb>
    <v>34</v>
  </rv>
  <rv s="14">
    <fb>23.175000000000001</fb>
    <v>34</v>
  </rv>
  <rv s="14">
    <fb>60.3</fb>
    <v>34</v>
  </rv>
  <rv s="14">
    <fb>57.11</fb>
    <v>34</v>
  </rv>
  <rv s="14">
    <fb>29.65</fb>
    <v>34</v>
  </rv>
  <rv s="14">
    <fb>21.54</fb>
    <v>34</v>
  </rv>
  <rv s="14">
    <fb>45911</fb>
    <v>33</v>
  </rv>
  <rv s="14">
    <fb>230.03</fb>
    <v>34</v>
  </rv>
  <rv s="14">
    <fb>501.01</fb>
    <v>34</v>
  </rv>
  <rv s="14">
    <fb>750.9</fb>
    <v>34</v>
  </rv>
  <rv s="14">
    <fb>240.37</fb>
    <v>34</v>
  </rv>
  <rv s="14">
    <fb>657.63</fb>
    <v>34</v>
  </rv>
  <rv s="14">
    <fb>334.76</fb>
    <v>34</v>
  </rv>
  <rv s="14">
    <fb>97.26</fb>
    <v>34</v>
  </rv>
  <rv s="14">
    <fb>48.024999999999999</fb>
    <v>34</v>
  </rv>
  <rv s="14">
    <fb>136.4</fb>
    <v>34</v>
  </rv>
  <rv s="14">
    <fb>13.29</fb>
    <v>34</v>
  </rv>
  <rv s="14">
    <fb>37.79</fb>
    <v>34</v>
  </rv>
  <rv s="14">
    <fb>4.18</fb>
    <v>34</v>
  </rv>
  <rv s="14">
    <fb>126.29</fb>
    <v>34</v>
  </rv>
  <rv s="14">
    <fb>27.09</fb>
    <v>34</v>
  </rv>
  <rv s="14">
    <fb>496.91</fb>
    <v>34</v>
  </rv>
  <rv s="14">
    <fb>305.56</fb>
    <v>34</v>
  </rv>
  <rv s="14">
    <fb>158.25</fb>
    <v>34</v>
  </rv>
  <rv s="14">
    <fb>178.5</fb>
    <v>34</v>
  </rv>
  <rv s="14">
    <fb>67.62</fb>
    <v>34</v>
  </rv>
  <rv s="14">
    <fb>308.43</fb>
    <v>34</v>
  </rv>
  <rv s="14">
    <fb>117.08</fb>
    <v>34</v>
  </rv>
  <rv s="14">
    <fb>1203.5</fb>
    <v>34</v>
  </rv>
  <rv s="14">
    <fb>144.22999999999999</fb>
    <v>34</v>
  </rv>
  <rv s="14">
    <fb>260.17</fb>
    <v>34</v>
  </rv>
  <rv s="14">
    <fb>29.355</fb>
    <v>34</v>
  </rv>
  <rv s="14">
    <fb>23.204999999999998</fb>
    <v>34</v>
  </rv>
  <rv s="14">
    <fb>58.82</fb>
    <v>34</v>
  </rv>
  <rv s="14">
    <fb>60.34</fb>
    <v>34</v>
  </rv>
  <rv s="14">
    <fb>21.846299999999999</fb>
    <v>34</v>
  </rv>
  <rv s="14">
    <fb>45912</fb>
    <v>33</v>
  </rv>
  <rv s="14">
    <fb>234.07</fb>
    <v>34</v>
  </rv>
  <rv s="14">
    <fb>177.82</fb>
    <v>34</v>
  </rv>
  <rv s="14">
    <fb>509.9</fb>
    <v>34</v>
  </rv>
  <rv s="14">
    <fb>755.59</fb>
    <v>34</v>
  </rv>
  <rv s="14">
    <fb>240.8</fb>
    <v>34</v>
  </rv>
  <rv s="14">
    <fb>657.41</fb>
    <v>34</v>
  </rv>
  <rv s="14">
    <fb>89.95</fb>
    <v>34</v>
  </rv>
  <rv s="14">
    <fb>335.42</fb>
    <v>34</v>
  </rv>
  <rv s="14">
    <fb>96.98</fb>
    <v>34</v>
  </rv>
  <rv s="14">
    <fb>47.935000000000002</fb>
    <v>34</v>
  </rv>
  <rv s="14">
    <fb>38.340000000000003</fb>
    <v>34</v>
  </rv>
  <rv s="14">
    <fb>72.16</fb>
    <v>34</v>
  </rv>
  <rv s="14">
    <fb>127.53</fb>
    <v>34</v>
  </rv>
  <rv s="14">
    <fb>493.74</fb>
    <v>34</v>
  </rv>
  <rv s="14">
    <fb>306.91000000000003</fb>
    <v>34</v>
  </rv>
  <rv s="14">
    <fb>50.58</fb>
    <v>34</v>
  </rv>
  <rv s="14">
    <fb>67.010000000000005</fb>
    <v>34</v>
  </rv>
  <rv s="14">
    <fb>305.39999999999998</fb>
    <v>34</v>
  </rv>
  <rv s="14">
    <fb>115.96</fb>
    <v>34</v>
  </rv>
  <rv s="14">
    <fb>1188.44</fb>
    <v>34</v>
  </rv>
  <rv s="14">
    <fb>157.9</fb>
    <v>34</v>
  </rv>
  <rv s="14">
    <fb>143.53</fb>
    <v>34</v>
  </rv>
  <rv s="14">
    <fb>257.62</fb>
    <v>34</v>
  </rv>
  <rv s="14">
    <fb>29.72</fb>
    <v>34</v>
  </rv>
  <rv s="14">
    <fb>21.766300000000001</fb>
    <v>34</v>
  </rv>
  <rv s="14">
    <fb>45915</fb>
    <v>33</v>
  </rv>
  <rv s="14">
    <fb>236.7</fb>
    <v>34</v>
  </rv>
  <rv s="14">
    <fb>177.75</fb>
    <v>34</v>
  </rv>
  <rv s="14">
    <fb>515.36</fb>
    <v>34</v>
  </rv>
  <rv s="14">
    <fb>764.7</fb>
    <v>34</v>
  </rv>
  <rv s="14">
    <fb>251.61</fb>
    <v>34</v>
  </rv>
  <rv s="14">
    <fb>660.91</fb>
    <v>34</v>
  </rv>
  <rv s="14">
    <fb>338.91</fb>
    <v>34</v>
  </rv>
  <rv s="14">
    <fb>97.14</fb>
    <v>34</v>
  </rv>
  <rv s="14">
    <fb>138.47999999999999</fb>
    <v>34</v>
  </rv>
  <rv s="14">
    <fb>13.55</fb>
    <v>34</v>
  </rv>
  <rv s="14">
    <fb>38.76</fb>
    <v>34</v>
  </rv>
  <rv s="14">
    <fb>72.89</fb>
    <v>34</v>
  </rv>
  <rv s="14">
    <fb>128.15</fb>
    <v>34</v>
  </rv>
  <rv s="14">
    <fb>491.54</fb>
    <v>34</v>
  </rv>
  <rv s="14">
    <fb>308.89999999999998</fb>
    <v>34</v>
  </rv>
  <rv s="14">
    <fb>50.59</fb>
    <v>34</v>
  </rv>
  <rv s="14">
    <fb>112.35</fb>
    <v>34</v>
  </rv>
  <rv s="14">
    <fb>157.31</fb>
    <v>34</v>
  </rv>
  <rv s="14">
    <fb>177.4</fb>
    <v>34</v>
  </rv>
  <rv s="14">
    <fb>66.209999999999994</fb>
    <v>34</v>
  </rv>
  <rv s="14">
    <fb>115.62</fb>
    <v>34</v>
  </rv>
  <rv s="14">
    <fb>1202.26</fb>
    <v>34</v>
  </rv>
  <rv s="14">
    <fb>156.83000000000001</fb>
    <v>34</v>
  </rv>
  <rv s="14">
    <fb>140.63999999999999</fb>
    <v>34</v>
  </rv>
  <rv s="14">
    <fb>255.03</fb>
    <v>34</v>
  </rv>
  <rv s="14">
    <fb>23.195</fb>
    <v>34</v>
  </rv>
  <rv s="14">
    <fb>58.84</fb>
    <v>34</v>
  </rv>
  <rv s="14">
    <fb>57.33</fb>
    <v>34</v>
  </rv>
  <rv s="14">
    <fb>21.724299999999999</fb>
    <v>34</v>
  </rv>
  <rv s="14">
    <fb>45916</fb>
    <v>33</v>
  </rv>
  <rv s="14">
    <fb>238.15</fb>
    <v>34</v>
  </rv>
  <rv s="14">
    <fb>174.88</fb>
    <v>34</v>
  </rv>
  <rv s="14">
    <fb>509.04</fb>
    <v>34</v>
  </rv>
  <rv s="14">
    <fb>779</fb>
    <v>34</v>
  </rv>
  <rv s="14">
    <fb>251.16</fb>
    <v>34</v>
  </rv>
  <rv s="14">
    <fb>660</fb>
    <v>34</v>
  </rv>
  <rv s="14">
    <fb>90.35</fb>
    <v>34</v>
  </rv>
  <rv s="14">
    <fb>339.59</fb>
    <v>34</v>
  </rv>
  <rv s="14">
    <fb>75.67</fb>
    <v>34</v>
  </rv>
  <rv s="14">
    <fb>97.2</fb>
    <v>34</v>
  </rv>
  <rv s="14">
    <fb>48.07</fb>
    <v>34</v>
  </rv>
  <rv s="14">
    <fb>140.05000000000001</fb>
    <v>34</v>
  </rv>
  <rv s="14">
    <fb>38.6</fb>
    <v>34</v>
  </rv>
  <rv s="14">
    <fb>73.069999999999993</fb>
    <v>34</v>
  </rv>
  <rv s="14">
    <fb>126.86</fb>
    <v>34</v>
  </rv>
  <rv s="14">
    <fb>490.99</fb>
    <v>34</v>
  </rv>
  <rv s="14">
    <fb>309.19</fb>
    <v>34</v>
  </rv>
  <rv s="14">
    <fb>50.66</fb>
    <v>34</v>
  </rv>
  <rv s="14">
    <fb>114.68</fb>
    <v>34</v>
  </rv>
  <rv s="14">
    <fb>159.54</fb>
    <v>34</v>
  </rv>
  <rv s="14">
    <fb>176.46</fb>
    <v>34</v>
  </rv>
  <rv s="14">
    <fb>66.239999999999995</fb>
    <v>34</v>
  </rv>
  <rv s="14">
    <fb>303.29000000000002</fb>
    <v>34</v>
  </rv>
  <rv s="14">
    <fb>115.23</fb>
    <v>34</v>
  </rv>
  <rv s="14">
    <fb>1200.51</fb>
    <v>34</v>
  </rv>
  <rv s="14">
    <fb>158.05000000000001</fb>
    <v>34</v>
  </rv>
  <rv s="14">
    <fb>140.03</fb>
    <v>34</v>
  </rv>
  <rv s="14">
    <fb>260.20999999999998</fb>
    <v>34</v>
  </rv>
  <rv s="14">
    <fb>29.763000000000002</fb>
    <v>34</v>
  </rv>
  <rv s="14">
    <fb>23.22</fb>
    <v>34</v>
  </rv>
  <rv s="14">
    <fb>60.36</fb>
    <v>34</v>
  </rv>
  <rv s="14">
    <fb>21.614599999999999</fb>
    <v>34</v>
  </rv>
  <rv s="14">
    <fb>45917</fb>
    <v>33</v>
  </rv>
  <rv s="14">
    <fb>238.99</fb>
    <v>34</v>
  </rv>
  <rv s="14">
    <fb>170.29</fb>
    <v>34</v>
  </rv>
  <rv s="14">
    <fb>510.02</fb>
    <v>34</v>
  </rv>
  <rv s="14">
    <fb>775.71500000000003</fb>
    <v>34</v>
  </rv>
  <rv s="14">
    <fb>249.53</fb>
    <v>34</v>
  </rv>
  <rv s="14">
    <fb>659.18</fb>
    <v>34</v>
  </rv>
  <rv s="14">
    <fb>90.12</fb>
    <v>34</v>
  </rv>
  <rv s="14">
    <fb>336.97</fb>
    <v>34</v>
  </rv>
  <rv s="14">
    <fb>74.97</fb>
    <v>34</v>
  </rv>
  <rv s="14">
    <fb>96.99</fb>
    <v>34</v>
  </rv>
  <rv s="14">
    <fb>47.979399999999998</fb>
    <v>34</v>
  </rv>
  <rv s="14">
    <fb>138.82</fb>
    <v>34</v>
  </rv>
  <rv s="14">
    <fb>89.99</fb>
    <v>34</v>
  </rv>
  <rv s="14">
    <fb>13.65</fb>
    <v>34</v>
  </rv>
  <rv s="14">
    <fb>72.489999999999995</fb>
    <v>34</v>
  </rv>
  <rv s="14">
    <fb>123.85</fb>
    <v>34</v>
  </rv>
  <rv s="14">
    <fb>492.33</fb>
    <v>34</v>
  </rv>
  <rv s="14">
    <fb>311.75</fb>
    <v>34</v>
  </rv>
  <rv s="14">
    <fb>51.4</fb>
    <v>34</v>
  </rv>
  <rv s="14">
    <fb>115.29</fb>
    <v>34</v>
  </rv>
  <rv s="14">
    <fb>177.2</fb>
    <v>34</v>
  </rv>
  <rv s="14">
    <fb>67.040000000000006</fb>
    <v>34</v>
  </rv>
  <rv s="14">
    <fb>304.97000000000003</fb>
    <v>34</v>
  </rv>
  <rv s="14">
    <fb>116.1</fb>
    <v>34</v>
  </rv>
  <rv s="14">
    <fb>1228.5</fb>
    <v>34</v>
  </rv>
  <rv s="14">
    <fb>160.33000000000001</fb>
    <v>34</v>
  </rv>
  <rv s="14">
    <fb>141.22999999999999</fb>
    <v>34</v>
  </rv>
  <rv s="14">
    <fb>256.41000000000003</fb>
    <v>34</v>
  </rv>
  <rv s="14">
    <fb>92.01</fb>
    <v>34</v>
  </rv>
  <rv s="14">
    <fb>29.672000000000001</fb>
    <v>34</v>
  </rv>
  <rv s="14">
    <fb>23.18</fb>
    <v>34</v>
  </rv>
  <rv s="14">
    <fb>21.613399999999999</fb>
    <v>34</v>
  </rv>
  <rv s="14">
    <fb>45918</fb>
    <v>33</v>
  </rv>
  <rv s="14">
    <fb>176.24</fb>
    <v>34</v>
  </rv>
  <rv s="14">
    <fb>508.45</fb>
    <v>34</v>
  </rv>
  <rv s="14">
    <fb>780.25</fb>
    <v>34</v>
  </rv>
  <rv s="14">
    <fb>252.03</fb>
    <v>34</v>
  </rv>
  <rv s="14">
    <fb>662.26</fb>
    <v>34</v>
  </rv>
  <rv s="14">
    <fb>89.19</fb>
    <v>34</v>
  </rv>
  <rv s="14">
    <fb>335.62</fb>
    <v>34</v>
  </rv>
  <rv s="14">
    <fb>74.69</fb>
    <v>34</v>
  </rv>
  <rv s="14">
    <fb>96.67</fb>
    <v>34</v>
  </rv>
  <rv s="14">
    <fb>47.854999999999997</fb>
    <v>34</v>
  </rv>
  <rv s="14">
    <fb>72.2</fb>
    <v>34</v>
  </rv>
  <rv s="14">
    <fb>126.15</fb>
    <v>34</v>
  </rv>
  <rv s="14">
    <fb>490.5</fb>
    <v>34</v>
  </rv>
  <rv s="14">
    <fb>313.23</fb>
    <v>34</v>
  </rv>
  <rv s="14">
    <fb>113.93</fb>
    <v>34</v>
  </rv>
  <rv s="14">
    <fb>174.16</fb>
    <v>34</v>
  </rv>
  <rv s="14">
    <fb>301.14</fb>
    <v>34</v>
  </rv>
  <rv s="14">
    <fb>114.86</fb>
    <v>34</v>
  </rv>
  <rv s="14">
    <fb>1207.78</fb>
    <v>34</v>
  </rv>
  <rv s="14">
    <fb>157.32</fb>
    <v>34</v>
  </rv>
  <rv s="14">
    <fb>140.72999999999999</fb>
    <v>34</v>
  </rv>
  <rv s="14">
    <fb>258.37</fb>
    <v>34</v>
  </rv>
  <rv s="14">
    <fb>29.52</fb>
    <v>34</v>
  </rv>
  <rv s="14">
    <fb>23.11</fb>
    <v>34</v>
  </rv>
  <rv s="14">
    <fb>60.13</fb>
    <v>34</v>
  </rv>
  <rv s="14">
    <fb>21.5517</fb>
    <v>34</v>
  </rv>
  <rv s="14">
    <fb>45919</fb>
    <v>33</v>
  </rv>
  <rv s="14">
    <fb>245.5</fb>
    <v>34</v>
  </rv>
  <rv s="14">
    <fb>176.67</fb>
    <v>34</v>
  </rv>
  <rv s="14">
    <fb>517.92999999999995</fb>
    <v>34</v>
  </rv>
  <rv s="14">
    <fb>778.38</fb>
    <v>34</v>
  </rv>
  <rv s="14">
    <fb>254.72</fb>
    <v>34</v>
  </rv>
  <rv s="14">
    <fb>663.7</fb>
    <v>34</v>
  </rv>
  <rv s="14">
    <fb>339.18</fb>
    <v>34</v>
  </rv>
  <rv s="14">
    <fb>47.877000000000002</fb>
    <v>34</v>
  </rv>
  <rv s="14">
    <fb>88.52</fb>
    <v>34</v>
  </rv>
  <rv s="14">
    <fb>39.04</fb>
    <v>34</v>
  </rv>
  <rv s="14">
    <fb>128.46</fb>
    <v>34</v>
  </rv>
  <rv s="14">
    <fb>492.85</fb>
    <v>34</v>
  </rv>
  <rv s="14">
    <fb>314.77999999999997</fb>
    <v>34</v>
  </rv>
  <rv s="14">
    <fb>112.82</fb>
    <v>34</v>
  </rv>
  <rv s="14">
    <fb>176.19</fb>
    <v>34</v>
  </rv>
  <rv s="14">
    <fb>66.430000000000007</fb>
    <v>34</v>
  </rv>
  <rv s="14">
    <fb>302.38</fb>
    <v>34</v>
  </rv>
  <rv s="14">
    <fb>1226.97</fb>
    <v>34</v>
  </rv>
  <rv s="14">
    <fb>156.04</fb>
    <v>34</v>
  </rv>
  <rv s="14">
    <fb>141.76</fb>
    <v>34</v>
  </rv>
  <rv s="14">
    <fb>254.52</fb>
    <v>34</v>
  </rv>
  <rv s="14">
    <fb>28.795300000000001</fb>
    <v>34</v>
  </rv>
  <rv s="14">
    <fb>23.114999999999998</fb>
    <v>34</v>
  </rv>
  <rv s="14">
    <fb>21.552199999999999</fb>
    <v>34</v>
  </rv>
  <rv s="14">
    <fb>45922</fb>
    <v>33</v>
  </rv>
  <rv s="14">
    <fb>256.08</fb>
    <v>34</v>
  </rv>
  <rv s="14">
    <fb>514.45000000000005</fb>
    <v>34</v>
  </rv>
  <rv s="14">
    <fb>765.16</fb>
    <v>34</v>
  </rv>
  <rv s="14">
    <fb>252.53</fb>
    <v>34</v>
  </rv>
  <rv s="14">
    <fb>666.84</fb>
    <v>34</v>
  </rv>
  <rv s="14">
    <fb>88.7</fb>
    <v>34</v>
  </rv>
  <rv s="14">
    <fb>345.05</fb>
    <v>34</v>
  </rv>
  <rv s="14">
    <fb>73.45</fb>
    <v>34</v>
  </rv>
  <rv s="14">
    <fb>96.47</fb>
    <v>34</v>
  </rv>
  <rv s="14">
    <fb>47.804699999999997</fb>
    <v>34</v>
  </rv>
  <rv s="14">
    <fb>40.04</fb>
    <v>34</v>
  </rv>
  <rv s="14">
    <fb>4.12</fb>
    <v>34</v>
  </rv>
  <rv s="14">
    <fb>129.77000000000001</fb>
    <v>34</v>
  </rv>
  <rv s="14">
    <fb>493.71</fb>
    <v>34</v>
  </rv>
  <rv s="14">
    <fb>312.44</fb>
    <v>34</v>
  </rv>
  <rv s="14">
    <fb>51.92</fb>
    <v>34</v>
  </rv>
  <rv s="14">
    <fb>174.21</fb>
    <v>34</v>
  </rv>
  <rv s="14">
    <fb>302.99</fb>
    <v>34</v>
  </rv>
  <rv s="14">
    <fb>1227.3699999999999</fb>
    <v>34</v>
  </rv>
  <rv s="14">
    <fb>141.03</fb>
    <v>34</v>
  </rv>
  <rv s="14">
    <fb>254.82</fb>
    <v>34</v>
  </rv>
  <rv s="14">
    <fb>28.8035</fb>
    <v>34</v>
  </rv>
  <rv s="14">
    <fb>56.5</fb>
    <v>34</v>
  </rv>
  <rv s="14">
    <fb>21.530799999999999</fb>
    <v>34</v>
  </rv>
  <rv s="14">
    <fb>45923</fb>
    <v>33</v>
  </rv>
  <rv s="14">
    <fb>509.23</fb>
    <v>34</v>
  </rv>
  <rv s="14">
    <fb>755.4</fb>
    <v>34</v>
  </rv>
  <rv s="14">
    <fb>251.66</fb>
    <v>34</v>
  </rv>
  <rv s="14">
    <fb>663.21</fb>
    <v>34</v>
  </rv>
  <rv s="14">
    <fb>89.32</fb>
    <v>34</v>
  </rv>
  <rv s="14">
    <fb>346.46</fb>
    <v>34</v>
  </rv>
  <rv s="14">
    <fb>47.875599999999999</fb>
    <v>34</v>
  </rv>
  <rv s="14">
    <fb>144.88999999999999</fb>
    <v>34</v>
  </rv>
  <rv s="14">
    <fb>89.18</fb>
    <v>34</v>
  </rv>
  <rv s="14">
    <fb>39.96</fb>
    <v>34</v>
  </rv>
  <rv s="14">
    <fb>134.75</fb>
    <v>34</v>
  </rv>
  <rv s="14">
    <fb>312.74</fb>
    <v>34</v>
  </rv>
  <rv s="14">
    <fb>113.95</fb>
    <v>34</v>
  </rv>
  <rv s="14">
    <fb>157.41999999999999</fb>
    <v>34</v>
  </rv>
  <rv s="14">
    <fb>176.58</fb>
    <v>34</v>
  </rv>
  <rv s="14">
    <fb>66.709999999999994</fb>
    <v>34</v>
  </rv>
  <rv s="14">
    <fb>303.19</fb>
    <v>34</v>
  </rv>
  <rv s="14">
    <fb>112.25</fb>
    <v>34</v>
  </rv>
  <rv s="14">
    <fb>1218.47</fb>
    <v>34</v>
  </rv>
  <rv s="14">
    <fb>152.5</fb>
    <v>34</v>
  </rv>
  <rv s="14">
    <fb>141.9</fb>
    <v>34</v>
  </rv>
  <rv s="14">
    <fb>261.77999999999997</fb>
    <v>34</v>
  </rv>
  <rv s="14">
    <fb>92.19</fb>
    <v>34</v>
  </rv>
  <rv s="14">
    <fb>56.87</fb>
    <v>34</v>
  </rv>
  <rv s="14">
    <fb>29.66</fb>
    <v>34</v>
  </rv>
  <rv s="14">
    <fb>21.6752</fb>
    <v>34</v>
  </rv>
  <rv s="14">
    <fb>45924</fb>
    <v>33</v>
  </rv>
  <rv s="14">
    <fb>252.31</fb>
    <v>34</v>
  </rv>
  <rv s="14">
    <fb>176.97</fb>
    <v>34</v>
  </rv>
  <rv s="14">
    <fb>510.15</fb>
    <v>34</v>
  </rv>
  <rv s="14">
    <fb>760.66</fb>
    <v>34</v>
  </rv>
  <rv s="14">
    <fb>247.14</fb>
    <v>34</v>
  </rv>
  <rv s="14">
    <fb>661.1</fb>
    <v>34</v>
  </rv>
  <rv s="14">
    <fb>343.32</fb>
    <v>34</v>
  </rv>
  <rv s="14">
    <fb>96.48</fb>
    <v>34</v>
  </rv>
  <rv s="14">
    <fb>47.5884</fb>
    <v>34</v>
  </rv>
  <rv s="14">
    <fb>137.16</fb>
    <v>34</v>
  </rv>
  <rv s="14">
    <fb>39.82</fb>
    <v>34</v>
  </rv>
  <rv s="14">
    <fb>497.09</fb>
    <v>34</v>
  </rv>
  <rv s="14">
    <fb>313.42</fb>
    <v>34</v>
  </rv>
  <rv s="14">
    <fb>114.56</fb>
    <v>34</v>
  </rv>
  <rv s="14">
    <fb>159.18</fb>
    <v>34</v>
  </rv>
  <rv s="14">
    <fb>176.69</fb>
    <v>34</v>
  </rv>
  <rv s="14">
    <fb>66.45</fb>
    <v>34</v>
  </rv>
  <rv s="14">
    <fb>304.33</fb>
    <v>34</v>
  </rv>
  <rv s="14">
    <fb>1203.95</fb>
    <v>34</v>
  </rv>
  <rv s="14">
    <fb>152.41999999999999</fb>
    <v>34</v>
  </rv>
  <rv s="14">
    <fb>142.16999999999999</fb>
    <v>34</v>
  </rv>
  <rv s="14">
    <fb>263.61</fb>
    <v>34</v>
  </rv>
  <rv s="14">
    <fb>93.86</fb>
    <v>34</v>
  </rv>
  <rv s="14">
    <fb>60.04</fb>
    <v>34</v>
  </rv>
  <rv s="14">
    <fb>56.67</fb>
    <v>34</v>
  </rv>
  <rv s="14">
    <fb>21.312899999999999</fb>
    <v>34</v>
  </rv>
  <rv s="14">
    <fb>45925</fb>
    <v>33</v>
  </rv>
  <rv s="14">
    <fb>256.87</fb>
    <v>34</v>
  </rv>
  <rv s="14">
    <fb>177.69</fb>
    <v>34</v>
  </rv>
  <rv s="14">
    <fb>748.91</fb>
    <v>34</v>
  </rv>
  <rv s="14">
    <fb>245.79</fb>
    <v>34</v>
  </rv>
  <rv s="14">
    <fb>658.05</fb>
    <v>34</v>
  </rv>
  <rv s="14">
    <fb>344.75</fb>
    <v>34</v>
  </rv>
  <rv s="14">
    <fb>76.989999999999995</fb>
    <v>34</v>
  </rv>
  <rv s="14">
    <fb>96.27</fb>
    <v>34</v>
  </rv>
  <rv s="14">
    <fb>47.515000000000001</fb>
    <v>34</v>
  </rv>
  <rv s="14">
    <fb>136.13</fb>
    <v>34</v>
  </rv>
  <rv s="14">
    <fb>41.03</fb>
    <v>34</v>
  </rv>
  <rv s="14">
    <fb>74.17</fb>
    <v>34</v>
  </rv>
  <rv s="14">
    <fb>139.88999999999999</fb>
    <v>34</v>
  </rv>
  <rv s="14">
    <fb>494.96</fb>
    <v>34</v>
  </rv>
  <rv s="14">
    <fb>313.45</fb>
    <v>34</v>
  </rv>
  <rv s="14">
    <fb>51.85</fb>
    <v>34</v>
  </rv>
  <rv s="14">
    <fb>115.59</fb>
    <v>34</v>
  </rv>
  <rv s="14">
    <fb>160.72</fb>
    <v>34</v>
  </rv>
  <rv s="14">
    <fb>177.73</fb>
    <v>34</v>
  </rv>
  <rv s="14">
    <fb>302.3</fb>
    <v>34</v>
  </rv>
  <rv s="14">
    <fb>112.99</fb>
    <v>34</v>
  </rv>
  <rv s="14">
    <fb>1208.24</fb>
    <v>34</v>
  </rv>
  <rv s="14">
    <fb>139.91999999999999</fb>
    <v>34</v>
  </rv>
  <rv s="14">
    <fb>263.25</fb>
    <v>34</v>
  </rv>
  <rv s="14">
    <fb>94.72</fb>
    <v>34</v>
  </rv>
  <rv s="14">
    <fb>58.76</fb>
    <v>34</v>
  </rv>
  <rv s="14">
    <fb>59.94</fb>
    <v>34</v>
  </rv>
  <rv s="14">
    <fb>56.63</fb>
    <v>34</v>
  </rv>
  <rv s="14">
    <fb>21.196899999999999</fb>
    <v>34</v>
  </rv>
  <rv s="14">
    <fb>45926</fb>
    <v>33</v>
  </rv>
  <rv s="14">
    <fb>255.46</fb>
    <v>34</v>
  </rv>
  <rv s="14">
    <fb>178.19</fb>
    <v>34</v>
  </rv>
  <rv s="14">
    <fb>511.46</fb>
    <v>34</v>
  </rv>
  <rv s="14">
    <fb>743.75</fb>
    <v>34</v>
  </rv>
  <rv s="14">
    <fb>661.82</fb>
    <v>34</v>
  </rv>
  <rv s="14">
    <fb>88.9</fb>
    <v>34</v>
  </rv>
  <rv s="14">
    <fb>346.74</fb>
    <v>34</v>
  </rv>
  <rv s="14">
    <fb>77.02</fb>
    <v>34</v>
  </rv>
  <rv s="14">
    <fb>96.22</fb>
    <v>34</v>
  </rv>
  <rv s="14">
    <fb>47.517600000000002</fb>
    <v>34</v>
  </rv>
  <rv s="14">
    <fb>137.63</fb>
    <v>34</v>
  </rv>
  <rv s="14">
    <fb>91.99</fb>
    <v>34</v>
  </rv>
  <rv s="14">
    <fb>4.8899999999999997</fb>
    <v>35</v>
  </rv>
  <rv s="14">
    <fb>41.86</fb>
    <v>34</v>
  </rv>
  <rv s="14">
    <fb>74.59</fb>
    <v>34</v>
  </rv>
  <rv s="14">
    <fb>143.83000000000001</fb>
    <v>34</v>
  </rv>
  <rv s="14">
    <fb>500.03</fb>
    <v>34</v>
  </rv>
  <rv s="14">
    <fb>316.06</fb>
    <v>34</v>
  </rv>
  <rv s="14">
    <fb>52.21</fb>
    <v>34</v>
  </rv>
  <rv s="14">
    <fb>117.22</fb>
    <v>34</v>
  </rv>
  <rv s="14">
    <fb>179.71</fb>
    <v>34</v>
  </rv>
  <rv s="14">
    <fb>305.24</fb>
    <v>34</v>
  </rv>
  <rv s="14">
    <fb>113.47</fb>
    <v>34</v>
  </rv>
  <rv s="14">
    <fb>1210.6099999999999</fb>
    <v>34</v>
  </rv>
  <rv s="14">
    <fb>140.44</fb>
    <v>34</v>
  </rv>
  <rv s="14">
    <fb>268.01</fb>
    <v>34</v>
  </rv>
  <rv s="14">
    <fb>30.450299999999999</fb>
    <v>34</v>
  </rv>
  <rv s="14">
    <fb>23.065000000000001</fb>
    <v>34</v>
  </rv>
  <rv s="14">
    <fb>56.56</fb>
    <v>34</v>
  </rv>
  <rv s="14">
    <fb>29.57</fb>
    <v>34</v>
  </rv>
  <rv s="14">
    <fb>21.416699999999999</fb>
    <v>34</v>
  </rv>
  <rv s="14">
    <fb>45929</fb>
    <v>33</v>
  </rv>
  <rv s="14">
    <fb>181.85</fb>
    <v>34</v>
  </rv>
  <rv s="14">
    <fb>743.4</fb>
    <v>34</v>
  </rv>
  <rv s="14">
    <fb>244.05</fb>
    <v>34</v>
  </rv>
  <rv s="14">
    <fb>663.68</fb>
    <v>34</v>
  </rv>
  <rv s="14">
    <fb>352.46</fb>
    <v>34</v>
  </rv>
  <rv s="14">
    <fb>96.5</fb>
    <v>34</v>
  </rv>
  <rv s="14">
    <fb>47.615000000000002</fb>
    <v>34</v>
  </rv>
  <rv s="14">
    <fb>138.44</fb>
    <v>34</v>
  </rv>
  <rv s="14">
    <fb>90.3</fb>
    <v>34</v>
  </rv>
  <rv s="14">
    <fb>42.5</fb>
    <v>34</v>
  </rv>
  <rv s="14">
    <fb>145.77000000000001</fb>
    <v>34</v>
  </rv>
  <rv s="14">
    <fb>499.25</fb>
    <v>34</v>
  </rv>
  <rv s="14">
    <fb>315.69</fb>
    <v>34</v>
  </rv>
  <rv s="14">
    <fb>52.42</fb>
    <v>34</v>
  </rv>
  <rv s="14">
    <fb>114.22</fb>
    <v>34</v>
  </rv>
  <rv s="14">
    <fb>156.1</fb>
    <v>34</v>
  </rv>
  <rv s="14">
    <fb>1206.4100000000001</fb>
    <v>34</v>
  </rv>
  <rv s="14">
    <fb>153.53</fb>
    <v>34</v>
  </rv>
  <rv s="14">
    <fb>140.16999999999999</fb>
    <v>34</v>
  </rv>
  <rv s="14">
    <fb>264.60000000000002</fb>
    <v>34</v>
  </rv>
  <rv s="14">
    <fb>93.49</fb>
    <v>34</v>
  </rv>
  <rv s="14">
    <fb>29.71</fb>
    <v>34</v>
  </rv>
  <rv s="14">
    <fb>60.03</fb>
    <v>34</v>
  </rv>
  <rv s="14">
    <fb>56.98</fb>
    <v>34</v>
  </rv>
  <rv s="14">
    <fb>21.3916</fb>
    <v>34</v>
  </rv>
  <rv s="14">
    <fb>45930</fb>
    <v>33</v>
  </rv>
  <rv s="14">
    <fb>254.63</fb>
    <v>34</v>
  </rv>
  <rv s="14">
    <fb>186.58</fb>
    <v>34</v>
  </rv>
  <rv s="14">
    <fb>517.95000000000005</fb>
    <v>34</v>
  </rv>
  <rv s="14">
    <fb>734.38</fb>
    <v>34</v>
  </rv>
  <rv s="14">
    <fb>243.1</fb>
    <v>34</v>
  </rv>
  <rv s="14">
    <fb>666.18</fb>
    <v>34</v>
  </rv>
  <rv s="14">
    <fb>89.37</fb>
    <v>34</v>
  </rv>
  <rv s="14">
    <fb>355.47</fb>
    <v>34</v>
  </rv>
  <rv s="14">
    <fb>73.75</fb>
    <v>34</v>
  </rv>
  <rv s="14">
    <fb>47.61</fb>
    <v>34</v>
  </rv>
  <rv s="14">
    <fb>133.27000000000001</fb>
    <v>34</v>
  </rv>
  <rv s="14">
    <fb>13.45</fb>
    <v>34</v>
  </rv>
  <rv s="14">
    <fb>42.37</fb>
    <v>34</v>
  </rv>
  <rv s="14">
    <fb>4.1100000000000003</fb>
    <v>34</v>
  </rv>
  <rv s="14">
    <fb>76.45</fb>
    <v>34</v>
  </rv>
  <rv s="14">
    <fb>142.88</fb>
    <v>34</v>
  </rv>
  <rv s="14">
    <fb>51.085000000000001</fb>
    <v>34</v>
  </rv>
  <rv s="14">
    <fb>502.74</fb>
    <v>34</v>
  </rv>
  <rv s="14">
    <fb>315.43</fb>
    <v>34</v>
  </rv>
  <rv s="14">
    <fb>51.59</fb>
    <v>34</v>
  </rv>
  <rv s="14">
    <fb>185.42</fb>
    <v>34</v>
  </rv>
  <rv s="14">
    <fb>303.89</fb>
    <v>34</v>
  </rv>
  <rv s="14">
    <fb>1198.92</fb>
    <v>34</v>
  </rv>
  <rv s="14">
    <fb>153.65</fb>
    <v>34</v>
  </rv>
  <rv s="14">
    <fb>259.91000000000003</fb>
    <v>34</v>
  </rv>
  <rv s="14">
    <fb>92.6</fb>
    <v>34</v>
  </rv>
  <rv s="14">
    <fb>56.86</fb>
    <v>34</v>
  </rv>
  <rv s="14">
    <fb>21.51</fb>
    <v>34</v>
  </rv>
  <rv s="14">
    <fb>45931</fb>
    <v>33</v>
  </rv>
  <rv s="14">
    <fb>255.45</fb>
    <v>34</v>
  </rv>
  <rv s="14">
    <fb>187.24</fb>
    <v>34</v>
  </rv>
  <rv s="14">
    <fb>519.71</fb>
    <v>34</v>
  </rv>
  <rv s="14">
    <fb>717.34</fb>
    <v>34</v>
  </rv>
  <rv s="14">
    <fb>244.9</fb>
    <v>34</v>
  </rv>
  <rv s="14">
    <fb>668.45</fb>
    <v>34</v>
  </rv>
  <rv s="14">
    <fb>89.29</fb>
    <v>34</v>
  </rv>
  <rv s="14">
    <fb>356.03</fb>
    <v>34</v>
  </rv>
  <rv s="14">
    <fb>73.14</fb>
    <v>34</v>
  </rv>
  <rv s="14">
    <fb>96.49</fb>
    <v>34</v>
  </rv>
  <rv s="14">
    <fb>47.734999999999999</fb>
    <v>34</v>
  </rv>
  <rv s="14">
    <fb>129.94999999999999</fb>
    <v>34</v>
  </rv>
  <rv s="14">
    <fb>13.35</fb>
    <v>34</v>
  </rv>
  <rv s="14">
    <fb>42.91</fb>
    <v>34</v>
  </rv>
  <rv s="14">
    <fb>4.13</fb>
    <v>34</v>
  </rv>
  <rv s="14">
    <fb>76.56</fb>
    <v>34</v>
  </rv>
  <rv s="14">
    <fb>142.07</fb>
    <v>34</v>
  </rv>
  <rv s="14">
    <fb>310.70999999999998</fb>
    <v>34</v>
  </rv>
  <rv s="14">
    <fb>111.99</fb>
    <v>34</v>
  </rv>
  <rv s="14">
    <fb>186.05</fb>
    <v>34</v>
  </rv>
  <rv s="14">
    <fb>66.78</fb>
    <v>34</v>
  </rv>
  <rv s="14">
    <fb>300.52</fb>
    <v>34</v>
  </rv>
  <rv s="14">
    <fb>1170.9000000000001</fb>
    <v>34</v>
  </rv>
  <rv s="14">
    <fb>143.13999999999999</fb>
    <v>34</v>
  </rv>
  <rv s="14">
    <fb>264.77999999999997</fb>
    <v>34</v>
  </rv>
  <rv s="14">
    <fb>29.828399999999998</fb>
    <v>34</v>
  </rv>
  <rv s="14">
    <fb>23.1</fb>
    <v>34</v>
  </rv>
  <rv s="14">
    <fb>60.02</fb>
    <v>34</v>
  </rv>
  <rv s="14">
    <fb>56.79</fb>
    <v>34</v>
  </rv>
  <rv s="14">
    <fb>21.522500000000001</fb>
    <v>34</v>
  </rv>
  <rv s="14">
    <fb>45932</fb>
    <v>33</v>
  </rv>
  <rv s="14">
    <fb>257.13</fb>
    <v>34</v>
  </rv>
  <rv s="14">
    <fb>188.89</fb>
    <v>34</v>
  </rv>
  <rv s="14">
    <fb>515.74</fb>
    <v>34</v>
  </rv>
  <rv s="14">
    <fb>727.05</fb>
    <v>34</v>
  </rv>
  <rv s="14">
    <fb>245.69</fb>
    <v>34</v>
  </rv>
  <rv s="14">
    <fb>669.22</fb>
    <v>34</v>
  </rv>
  <rv s="14">
    <fb>89.55</fb>
    <v>34</v>
  </rv>
  <rv s="14">
    <fb>354.79</fb>
    <v>34</v>
  </rv>
  <rv s="14">
    <fb>71.540000000000006</fb>
    <v>34</v>
  </rv>
  <rv s="14">
    <fb>96.59</fb>
    <v>34</v>
  </rv>
  <rv s="14">
    <fb>47.789700000000003</fb>
    <v>34</v>
  </rv>
  <rv s="14">
    <fb>127.23</fb>
    <v>34</v>
  </rv>
  <rv s="14">
    <fb>13.07</fb>
    <v>34</v>
  </rv>
  <rv s="14">
    <fb>495.92</fb>
    <v>34</v>
  </rv>
  <rv s="14">
    <fb>50.48</fb>
    <v>34</v>
  </rv>
  <rv s="14">
    <fb>111.29</fb>
    <v>34</v>
  </rv>
  <rv s="14">
    <fb>153.37</fb>
    <v>34</v>
  </rv>
  <rv s="14">
    <fb>185.98</fb>
    <v>34</v>
  </rv>
  <rv s="14">
    <fb>299.88</fb>
    <v>34</v>
  </rv>
  <rv s="14">
    <fb>1162.53</fb>
    <v>34</v>
  </rv>
  <rv s="14">
    <fb>152.05000000000001</fb>
    <v>34</v>
  </rv>
  <rv s="14">
    <fb>142.31</fb>
    <v>34</v>
  </rv>
  <rv s="14">
    <fb>260.2</fb>
    <v>34</v>
  </rv>
  <rv s="14">
    <fb>92.1</fb>
    <v>34</v>
  </rv>
  <rv s="14">
    <fb>56.95</fb>
    <v>34</v>
  </rv>
  <rv s="14">
    <fb>21.4</fb>
    <v>34</v>
  </rv>
  <rv s="14">
    <fb>45933</fb>
    <v>33</v>
  </rv>
  <rv s="14">
    <fb>258.02</fb>
    <v>34</v>
  </rv>
  <rv s="14">
    <fb>187.62</fb>
    <v>34</v>
  </rv>
  <rv s="14">
    <fb>517.35</fb>
    <v>34</v>
  </rv>
  <rv s="14">
    <fb>710.56</fb>
    <v>34</v>
  </rv>
  <rv s="14">
    <fb>245.35</fb>
    <v>34</v>
  </rv>
  <rv s="14">
    <fb>669.21</fb>
    <v>34</v>
  </rv>
  <rv s="14">
    <fb>89.38</fb>
    <v>34</v>
  </rv>
  <rv s="14">
    <fb>357.64</fb>
    <v>34</v>
  </rv>
  <rv s="14">
    <fb>71.709999999999994</fb>
    <v>34</v>
  </rv>
  <rv s="14">
    <fb>96.4</fb>
    <v>34</v>
  </rv>
  <rv s="14">
    <fb>125.89</fb>
    <v>34</v>
  </rv>
  <rv s="14">
    <fb>43.52</fb>
    <v>34</v>
  </rv>
  <rv s="14">
    <fb>4.1500000000000004</fb>
    <v>34</v>
  </rv>
  <rv s="14">
    <fb>76.92</fb>
    <v>34</v>
  </rv>
  <rv s="14">
    <fb>498.75</fb>
    <v>34</v>
  </rv>
  <rv s="14">
    <fb>310.02999999999997</fb>
    <v>34</v>
  </rv>
  <rv s="14">
    <fb>113.26</fb>
    <v>34</v>
  </rv>
  <rv s="14">
    <fb>153.55000000000001</fb>
    <v>34</v>
  </rv>
  <rv s="14">
    <fb>188.64</fb>
    <v>34</v>
  </rv>
  <rv s="14">
    <fb>66.650000000000006</fb>
    <v>34</v>
  </rv>
  <rv s="14">
    <fb>300.98</fb>
    <v>34</v>
  </rv>
  <rv s="14">
    <fb>112.47</fb>
    <v>34</v>
  </rv>
  <rv s="14">
    <fb>1153.32</fb>
    <v>34</v>
  </rv>
  <rv s="14">
    <fb>152.27000000000001</fb>
    <v>34</v>
  </rv>
  <rv s="14">
    <fb>262.73</fb>
    <v>34</v>
  </rv>
  <rv s="14">
    <fb>29.36</fb>
    <v>34</v>
  </rv>
  <rv s="14">
    <fb>23.09</fb>
    <v>34</v>
  </rv>
  <rv s="14">
    <fb>59.96</fb>
    <v>34</v>
  </rv>
  <rv s="14">
    <fb>21.510400000000001</fb>
    <v>34</v>
  </rv>
  <rv s="14">
    <fb>45936</fb>
    <v>33</v>
  </rv>
  <rv s="14">
    <fb>256.69</fb>
    <v>34</v>
  </rv>
  <rv s="14">
    <fb>185.54</fb>
    <v>34</v>
  </rv>
  <rv s="14">
    <fb>528.57000000000005</fb>
    <v>34</v>
  </rv>
  <rv s="14">
    <fb>715.66</fb>
    <v>34</v>
  </rv>
  <rv s="14">
    <fb>250.43</fb>
    <v>34</v>
  </rv>
  <rv s="14">
    <fb>671.61</fb>
    <v>34</v>
  </rv>
  <rv s="14">
    <fb>88.67</fb>
    <v>34</v>
  </rv>
  <rv s="14">
    <fb>364.38</fb>
    <v>34</v>
  </rv>
  <rv s="14">
    <fb>72.87</fb>
    <v>34</v>
  </rv>
  <rv s="14">
    <fb>96.12</fb>
    <v>34</v>
  </rv>
  <rv s="14">
    <fb>47.664999999999999</fb>
    <v>34</v>
  </rv>
  <rv s="14">
    <fb>126.7</fb>
    <v>34</v>
  </rv>
  <rv s="14">
    <fb>89.35</fb>
    <v>34</v>
  </rv>
  <rv s="14">
    <fb>13.31</fb>
    <v>34</v>
  </rv>
  <rv s="14">
    <fb>78.39</fb>
    <v>34</v>
  </rv>
  <rv s="14">
    <fb>500.02</fb>
    <v>34</v>
  </rv>
  <rv s="14">
    <fb>309.18</fb>
    <v>34</v>
  </rv>
  <rv s="14">
    <fb>50.39</fb>
    <v>34</v>
  </rv>
  <rv s="14">
    <fb>114.2</fb>
    <v>34</v>
  </rv>
  <rv s="14">
    <fb>154.02000000000001</fb>
    <v>34</v>
  </rv>
  <rv s="14">
    <fb>188.16</fb>
    <v>34</v>
  </rv>
  <rv s="14">
    <fb>296.04000000000002</fb>
    <v>34</v>
  </rv>
  <rv s="14">
    <fb>1163.31</fb>
    <v>34</v>
  </rv>
  <rv s="14">
    <fb>150.41</fb>
    <v>34</v>
  </rv>
  <rv s="14">
    <fb>139.69999999999999</fb>
    <v>34</v>
  </rv>
  <rv s="14">
    <fb>265.31</fb>
    <v>34</v>
  </rv>
  <rv s="14">
    <fb>93.26</fb>
    <v>34</v>
  </rv>
  <rv s="14">
    <fb>23.04</fb>
    <v>34</v>
  </rv>
  <rv s="14">
    <fb>59.86</fb>
    <v>34</v>
  </rv>
  <rv s="14">
    <fb>21.279800000000002</fb>
    <v>34</v>
  </rv>
  <rv s="14">
    <fb>45937</fb>
    <v>33</v>
  </rv>
  <rv s="14">
    <fb>256.48</fb>
    <v>34</v>
  </rv>
  <rv s="14">
    <fb>185.04</fb>
    <v>34</v>
  </rv>
  <rv s="14">
    <fb>523.98</fb>
    <v>34</v>
  </rv>
  <rv s="14">
    <fb>713.08</fb>
    <v>34</v>
  </rv>
  <rv s="14">
    <fb>245.76</fb>
    <v>34</v>
  </rv>
  <rv s="14">
    <fb>669.12</fb>
    <v>34</v>
  </rv>
  <rv s="14">
    <fb>366.26</fb>
    <v>34</v>
  </rv>
  <rv s="14">
    <fb>96.36</fb>
    <v>34</v>
  </rv>
  <rv s="14">
    <fb>47.725000000000001</fb>
    <v>34</v>
  </rv>
  <rv s="14">
    <fb>126.05</fb>
    <v>34</v>
  </rv>
  <rv s="14">
    <fb>89.49</fb>
    <v>34</v>
  </rv>
  <rv s="14">
    <fb>43.39</fb>
    <v>34</v>
  </rv>
  <rv s="14">
    <fb>4.0999999999999996</fb>
    <v>34</v>
  </rv>
  <rv s="14">
    <fb>78.819999999999993</fb>
    <v>34</v>
  </rv>
  <rv s="14">
    <fb>147.79</fb>
    <v>34</v>
  </rv>
  <rv s="14">
    <fb>502.3</fb>
    <v>34</v>
  </rv>
  <rv s="14">
    <fb>307.69</fb>
    <v>34</v>
  </rv>
  <rv s="14">
    <fb>154.91</fb>
    <v>34</v>
  </rv>
  <rv s="14">
    <fb>296.32</fb>
    <v>34</v>
  </rv>
  <rv s="14">
    <fb>1191.06</fb>
    <v>34</v>
  </rv>
  <rv s="14">
    <fb>152.54</fb>
    <v>34</v>
  </rv>
  <rv s="14">
    <fb>140.79</fb>
    <v>34</v>
  </rv>
  <rv s="14">
    <fb>23.085000000000001</fb>
    <v>34</v>
  </rv>
  <rv s="14">
    <fb>59.98</fb>
    <v>34</v>
  </rv>
  <rv s="14">
    <fb>56.74</fb>
    <v>34</v>
  </rv>
  <rv s="14">
    <fb>21.224799999999998</fb>
    <v>34</v>
  </rv>
  <rv s="14">
    <fb>45938</fb>
    <v>33</v>
  </rv>
  <rv s="14">
    <fb>258.06</fb>
    <v>34</v>
  </rv>
  <rv s="14">
    <fb>189.11</fb>
    <v>34</v>
  </rv>
  <rv s="14">
    <fb>524.85</fb>
    <v>34</v>
  </rv>
  <rv s="14">
    <fb>717.84</fb>
    <v>34</v>
  </rv>
  <rv s="14">
    <fb>673.11</fb>
    <v>34</v>
  </rv>
  <rv s="14">
    <fb>89.25</fb>
    <v>34</v>
  </rv>
  <rv s="14">
    <fb>372.3</fb>
    <v>34</v>
  </rv>
  <rv s="14">
    <fb>73.53</fb>
    <v>34</v>
  </rv>
  <rv s="14">
    <fb>96.38</fb>
    <v>34</v>
  </rv>
  <rv s="14">
    <fb>47.7348</fb>
    <v>34</v>
  </rv>
  <rv s="14">
    <fb>124.8</fb>
    <v>34</v>
  </rv>
  <rv s="14">
    <fb>44.56</fb>
    <v>34</v>
  </rv>
  <rv s="14">
    <fb>80.09</fb>
    <v>34</v>
  </rv>
  <rv s="14">
    <fb>152.19999999999999</fb>
    <v>34</v>
  </rv>
  <rv s="14">
    <fb>499.84</fb>
    <v>34</v>
  </rv>
  <rv s="14">
    <fb>304.02999999999997</fb>
    <v>34</v>
  </rv>
  <rv s="14">
    <fb>49.84</fb>
    <v>34</v>
  </rv>
  <rv s="14">
    <fb>114.02</fb>
    <v>34</v>
  </rv>
  <rv s="14">
    <fb>189.69</fb>
    <v>34</v>
  </rv>
  <rv s="14">
    <fb>66.12</fb>
    <v>34</v>
  </rv>
  <rv s="14">
    <fb>294.39999999999998</fb>
    <v>34</v>
  </rv>
  <rv s="14">
    <fb>111.89</fb>
    <v>34</v>
  </rv>
  <rv s="14">
    <fb>1214.25</fb>
    <v>34</v>
  </rv>
  <rv s="14">
    <fb>138.84</fb>
    <v>34</v>
  </rv>
  <rv s="14">
    <fb>262.89999999999998</fb>
    <v>34</v>
  </rv>
  <rv s="14">
    <fb>29.635000000000002</fb>
    <v>34</v>
  </rv>
  <rv s="14">
    <fb>56.78</fb>
    <v>34</v>
  </rv>
  <rv s="14">
    <fb>21.184999999999999</fb>
    <v>34</v>
  </rv>
  <rv s="17">
    <v>37</v>
    <v>TLT</v>
    <v>Daily</v>
    <v>45574</v>
    <v>45939</v>
    <v>0</v>
    <v>1</v>
    <v>638954784000000000,638956262108994380,0</v>
    <v>0</v>
    <v>a24b5r</v>
    <v>XNAS:TLT</v>
    <v>1</v>
  </rv>
  <rv s="17">
    <v>37</v>
    <v>VGLT</v>
    <v>Daily</v>
    <v>45574</v>
    <v>45939</v>
    <v>0</v>
    <v>1</v>
    <v>638954784000000000,638955660060839606,0</v>
    <v>0</v>
    <v>a25b3m</v>
    <v>XNAS:VGLT</v>
    <v>2</v>
  </rv>
  <rv s="17">
    <v>37</v>
    <v>BAC</v>
    <v>Daily</v>
    <v>45574</v>
    <v>45939</v>
    <v>0</v>
    <v>1</v>
    <v>638954784000000000,638956262104698357,0</v>
    <v>0</v>
    <v>a1o4sm</v>
    <v>XNYS:BAC</v>
    <v>3</v>
  </rv>
  <rv s="17">
    <v>37</v>
    <v>ARCX:BIL</v>
    <v>Daily</v>
    <v>45574</v>
    <v>45939</v>
    <v>0</v>
    <v>1</v>
    <v>638954784000000000,638955660060421584,0</v>
    <v>0</v>
    <v>a1ohxm</v>
    <v>ARCX:BIL</v>
    <v>4</v>
  </rv>
  <rv s="17">
    <v>37</v>
    <v>ARCX:DBO</v>
    <v>Daily</v>
    <v>45574</v>
    <v>45939</v>
    <v>0</v>
    <v>1</v>
    <v>638954784000000000,638955660060971953,0</v>
    <v>0</v>
    <v>a1qsim</v>
    <v>ARCX:DBO</v>
    <v>5</v>
  </rv>
  <rv s="17">
    <v>37</v>
    <v>SPBO</v>
    <v>Daily</v>
    <v>45574</v>
    <v>45939</v>
    <v>0</v>
    <v>1</v>
    <v>638954784000000000,638955660060691564,0</v>
    <v>0</v>
    <v>a1pam7</v>
    <v>ARCX:SPBO</v>
    <v>6</v>
  </rv>
  <rv s="17">
    <v>38</v>
    <v>MRO*</v>
    <v>Daily</v>
    <v>45574</v>
    <v>45939</v>
    <v>0</v>
    <v>1</v>
    <v>638954784000000000,638956262102960076,0</v>
    <v>7</v>
    <v>ald4w7</v>
    <v>XMEX:MRO*</v>
    <v>8</v>
  </rv>
  <rv s="17">
    <v>37</v>
    <v>PXE</v>
    <v>Daily</v>
    <v>45574</v>
    <v>45939</v>
    <v>0</v>
    <v>1</v>
    <v>638954784000000000,638955660061513508,0</v>
    <v>0</v>
    <v>a21gvh</v>
    <v>ARCX:PXE</v>
    <v>9</v>
  </rv>
  <rv s="17">
    <v>37</v>
    <v>PG</v>
    <v>Daily</v>
    <v>45574</v>
    <v>45939</v>
    <v>0</v>
    <v>1</v>
    <v>638954784000000000,638956262104458514,0</v>
    <v>0</v>
    <v>a1zsjc</v>
    <v>XNYS:PG</v>
    <v>10</v>
  </rv>
  <rv s="17">
    <v>37</v>
    <v>OIH</v>
    <v>Daily</v>
    <v>45574</v>
    <v>45939</v>
    <v>0</v>
    <v>1</v>
    <v>638954784000000000,638955660061797639,0</v>
    <v>0</v>
    <v>a1z5r7</v>
    <v>ARCX:OIH</v>
    <v>11</v>
  </rv>
  <rv s="17">
    <v>37</v>
    <v>NVDA</v>
    <v>Daily</v>
    <v>45574</v>
    <v>45939</v>
    <v>0</v>
    <v>1</v>
    <v>638954784000000000,638956262105847073,0</v>
    <v>0</v>
    <v>a1yv52</v>
    <v>XNAS:NVDA</v>
    <v>12</v>
  </rv>
  <rv s="17">
    <v>37</v>
    <v>NFLX</v>
    <v>Daily</v>
    <v>45574</v>
    <v>45939</v>
    <v>0</v>
    <v>1</v>
    <v>638954784000000000,638956262104496926,0</v>
    <v>0</v>
    <v>a1ygoc</v>
    <v>XNAS:NFLX</v>
    <v>13</v>
  </rv>
  <rv s="17">
    <v>37</v>
    <v>VGIT</v>
    <v>Daily</v>
    <v>45574</v>
    <v>45939</v>
    <v>0</v>
    <v>1</v>
    <v>638954784000000000,638955660060974004,0</v>
    <v>0</v>
    <v>a25aww</v>
    <v>XNAS:VGIT</v>
    <v>14</v>
  </rv>
  <rv s="17">
    <v>37</v>
    <v>ARCX:SCHP</v>
    <v>Daily</v>
    <v>45574</v>
    <v>45939</v>
    <v>0</v>
    <v>1</v>
    <v>638954784000000000,638955660061097948,0</v>
    <v>0</v>
    <v>a22mur</v>
    <v>ARCX:SCHP</v>
    <v>15</v>
  </rv>
  <rv s="17">
    <v>37</v>
    <v>meta</v>
    <v>Daily</v>
    <v>45574</v>
    <v>45939</v>
    <v>0</v>
    <v>1</v>
    <v>638954784000000000,638956262106792971,0</v>
    <v>0</v>
    <v>a1slm7</v>
    <v>XNAS:META</v>
    <v>16</v>
  </rv>
  <rv s="17">
    <v>37</v>
    <v>CRED</v>
    <v>Daily</v>
    <v>45574</v>
    <v>45939</v>
    <v>0</v>
    <v>1</v>
    <v>638954784000000000,638956262102790784,0</v>
    <v>0</v>
    <v>c9myww</v>
    <v>ARCX:CRED</v>
    <v>17</v>
  </rv>
  <rv s="17">
    <v>37</v>
    <v>APO</v>
    <v>Daily</v>
    <v>45574</v>
    <v>45939</v>
    <v>0</v>
    <v>1</v>
    <v>638954784000000000,638956262104884860,0</v>
    <v>0</v>
    <v>a1nlzr</v>
    <v>XNYS:APO</v>
    <v>18</v>
  </rv>
  <rv s="17">
    <v>37</v>
    <v>JNJ</v>
    <v>Daily</v>
    <v>45574</v>
    <v>45939</v>
    <v>0</v>
    <v>1</v>
    <v>638954784000000000,638956262104622766,0</v>
    <v>0</v>
    <v>a1w8ec</v>
    <v>XNYS:JNJ</v>
    <v>19</v>
  </rv>
  <rv s="17">
    <v>37</v>
    <v>ARCX:SPTL</v>
    <v>Daily</v>
    <v>45574</v>
    <v>45939</v>
    <v>0</v>
    <v>1</v>
    <v>638954784000000000,638955660060590173,0</v>
    <v>0</v>
    <v>a23g4c</v>
    <v>ARCX:SPTL</v>
    <v>20</v>
  </rv>
  <rv s="17">
    <v>37</v>
    <v>SPY</v>
    <v>Daily</v>
    <v>45574</v>
    <v>45939</v>
    <v>0</v>
    <v>1</v>
    <v>638954784000000000,638955660061808555,0</v>
    <v>0</v>
    <v>a23hqh</v>
    <v>ARCX:SPY</v>
    <v>21</v>
  </rv>
  <rv s="17">
    <v>37</v>
    <v>GOOGL</v>
    <v>Daily</v>
    <v>45574</v>
    <v>45939</v>
    <v>0</v>
    <v>1</v>
    <v>638954784000000000,638956262107334017,0</v>
    <v>0</v>
    <v>a1u3rw</v>
    <v>XNAS:GOOGL</v>
    <v>22</v>
  </rv>
  <rv s="17">
    <v>37</v>
    <v>ARCX:GLDM</v>
    <v>Daily</v>
    <v>45574</v>
    <v>45939</v>
    <v>0</v>
    <v>1</v>
    <v>638954784000000000,638955660061440174,0</v>
    <v>0</v>
    <v>b1o8hw</v>
    <v>ARCX:GLDM</v>
    <v>23</v>
  </rv>
  <rv s="17">
    <v>37</v>
    <v>PEP</v>
    <v>Daily</v>
    <v>45574</v>
    <v>45939</v>
    <v>0</v>
    <v>1</v>
    <v>638954784000000000,638956262104439079,0</v>
    <v>0</v>
    <v>axyhnm</v>
    <v>XNAS:PEP</v>
    <v>24</v>
  </rv>
  <rv s="17">
    <v>37</v>
    <v>MCD</v>
    <v>Daily</v>
    <v>45574</v>
    <v>45939</v>
    <v>0</v>
    <v>1</v>
    <v>638954784000000000,638956262104557028,0</v>
    <v>0</v>
    <v>a1xdec</v>
    <v>XNYS:MCD</v>
    <v>25</v>
  </rv>
  <rv s="17">
    <v>37</v>
    <v>MSFT</v>
    <v>Daily</v>
    <v>45574</v>
    <v>45939</v>
    <v>0</v>
    <v>1</v>
    <v>638954784000000000,638956262108433670,0</v>
    <v>0</v>
    <v>a1xzim</v>
    <v>XNAS:MSFT</v>
    <v>26</v>
  </rv>
  <rv s="17">
    <v>37</v>
    <v>AAPL</v>
    <v>Daily</v>
    <v>45574</v>
    <v>45939</v>
    <v>0</v>
    <v>1</v>
    <v>638954784000000000,638956262105604792,0</v>
    <v>0</v>
    <v>a1mou2</v>
    <v>XNAS:AAPL</v>
    <v>27</v>
  </rv>
  <rv s="17">
    <v>37</v>
    <v>IEO</v>
    <v>Daily</v>
    <v>45574</v>
    <v>45939</v>
    <v>0</v>
    <v>1</v>
    <v>638954784000000000,638955660061654115,0</v>
    <v>0</v>
    <v>a1vbmw</v>
    <v>BATS:IEO</v>
    <v>28</v>
  </rv>
  <rv s="17">
    <v>37</v>
    <v>JPM</v>
    <v>Daily</v>
    <v>45574</v>
    <v>45939</v>
    <v>0</v>
    <v>1</v>
    <v>638954784000000000,638956262104802231,0</v>
    <v>0</v>
    <v>a1waa2</v>
    <v>XNYS:JPM</v>
    <v>29</v>
  </rv>
  <rv s="17">
    <v>37</v>
    <v>VGSH</v>
    <v>Daily</v>
    <v>45574</v>
    <v>45939</v>
    <v>0</v>
    <v>1</v>
    <v>638954784000000000,638955660061109818,0</v>
    <v>0</v>
    <v>a25bc7</v>
    <v>XNAS:VGSH</v>
    <v>30</v>
  </rv>
  <rv s="17">
    <v>37</v>
    <v>KO</v>
    <v>Daily</v>
    <v>45574</v>
    <v>45939</v>
    <v>0</v>
    <v>1</v>
    <v>638954784000000000,638956262104587045,0</v>
    <v>0</v>
    <v>a1wljc</v>
    <v>XNYS:KO</v>
    <v>31</v>
  </rv>
  <rv s="17">
    <v>37</v>
    <v>ARCX:SLV</v>
    <v>Daily</v>
    <v>45574</v>
    <v>45939</v>
    <v>0</v>
    <v>1</v>
    <v>638954784000000000,638955660060627156,0</v>
    <v>0</v>
    <v>a233ur</v>
    <v>ARCX:SLV</v>
    <v>32</v>
  </rv>
  <rv s="17">
    <v>37</v>
    <v>GLD</v>
    <v>Daily</v>
    <v>45574</v>
    <v>45939</v>
    <v>0</v>
    <v>1</v>
    <v>638954784000000000,638955660062925420,0</v>
    <v>0</v>
    <v>a1twnm</v>
    <v>ARCX:GLD</v>
    <v>33</v>
  </rv>
  <rv s="17">
    <v>39</v>
    <v>XCNQ:OIL</v>
    <v>Daily</v>
    <v>45574</v>
    <v>45939</v>
    <v>0</v>
    <v>1</v>
    <v>638954784000000000,638956262104153963,0</v>
    <v>34</v>
    <v>b115z2</v>
    <v>XCNQ:OIL</v>
    <v>35</v>
  </rv>
  <rv s="17">
    <v>37</v>
    <v>ARCX:WEAT</v>
    <v>Daily</v>
    <v>45574</v>
    <v>45939</v>
    <v>0</v>
    <v>1</v>
    <v>638954784000000000,638955660061603752,0</v>
    <v>0</v>
    <v>a25sbh</v>
    <v>ARCX:WEAT</v>
    <v>36</v>
  </rv>
  <rv s="17">
    <v>37</v>
    <v>IEF</v>
    <v>Daily</v>
    <v>45574</v>
    <v>45939</v>
    <v>0</v>
    <v>1</v>
    <v>638954784000000000,638955660063173984,0</v>
    <v>0</v>
    <v>a1vbbh</v>
    <v>XNAS:IEF</v>
    <v>37</v>
  </rv>
  <rv s="17">
    <v>37</v>
    <v>GOVT</v>
    <v>Daily</v>
    <v>45574</v>
    <v>45939</v>
    <v>0</v>
    <v>1</v>
    <v>638954784000000000,638955660061246047,0</v>
    <v>0</v>
    <v>a1u477</v>
    <v>BATS:GOVT</v>
    <v>38</v>
  </rv>
  <rv s="17">
    <v>37</v>
    <v>XOM</v>
    <v>Daily</v>
    <v>45574</v>
    <v>45939</v>
    <v>0</v>
    <v>1</v>
    <v>638954784000000000,638956262104669002,0</v>
    <v>0</v>
    <v>a269ec</v>
    <v>XNYS:XOM</v>
    <v>39</v>
  </rv>
  <rv s="17">
    <v>37</v>
    <v>BNDI</v>
    <v>Daily</v>
    <v>45574</v>
    <v>45939</v>
    <v>0</v>
    <v>1</v>
    <v>638954784000000000,638955660061642126,0</v>
    <v>0</v>
    <v>c786a2</v>
    <v>ARCX:BNDI</v>
    <v>40</v>
  </rv>
  <rv s="17">
    <v>37</v>
    <v>ARCX:SPTS</v>
    <v>Daily</v>
    <v>45574</v>
    <v>45939</v>
    <v>0</v>
    <v>1</v>
    <v>638954784000000000,638955660060763142,0</v>
    <v>0</v>
    <v>a23gcw</v>
    <v>ARCX:SPTS</v>
    <v>41</v>
  </rv>
  <rv s="17">
    <v>37</v>
    <v>USO</v>
    <v>Daily</v>
    <v>45574</v>
    <v>45939</v>
    <v>0</v>
    <v>1</v>
    <v>638954784000000000,638955660063900793,0</v>
    <v>0</v>
    <v>a253hw</v>
    <v>ARCX:USO</v>
    <v>42</v>
  </rv>
  <rv s="17">
    <v>37</v>
    <v>DIS</v>
    <v>Daily</v>
    <v>45574</v>
    <v>45939</v>
    <v>0</v>
    <v>1</v>
    <v>638954784000000000,638956262104527691,0</v>
    <v>0</v>
    <v>a1r2z2</v>
    <v>XNYS:DIS</v>
    <v>43</v>
  </rv>
  <rv s="17">
    <v>37</v>
    <v>BATS:FLOT</v>
    <v>Daily</v>
    <v>45574</v>
    <v>45939</v>
    <v>0</v>
    <v>1</v>
    <v>638954784000000000,638955660060924513,0</v>
    <v>0</v>
    <v>a1t252</v>
    <v>BATS:FLOT</v>
    <v>44</v>
  </rv>
  <rv s="17">
    <v>37</v>
    <v>ARCX:PPLT</v>
    <v>Daily</v>
    <v>45574</v>
    <v>45939</v>
    <v>0</v>
    <v>1</v>
    <v>638954784000000000,638955660061266872,0</v>
    <v>0</v>
    <v>a214yc</v>
    <v>ARCX:PPLT</v>
    <v>45</v>
  </rv>
  <rv s="17">
    <v>37</v>
    <v>XLE</v>
    <v>Daily</v>
    <v>45574</v>
    <v>45939</v>
    <v>0</v>
    <v>1</v>
    <v>638954784000000000,638955660061137775,0</v>
    <v>0</v>
    <v>a267oc</v>
    <v>ARCX:XLE</v>
    <v>46</v>
  </rv>
  <rv s="17">
    <v>37</v>
    <v>ARCX:DBA</v>
    <v>Daily</v>
    <v>45574</v>
    <v>45939</v>
    <v>0</v>
    <v>1</v>
    <v>638954784000000000,638955660060466903,0</v>
    <v>0</v>
    <v>a1qr27</v>
    <v>ARCX:DBA</v>
    <v>47</v>
  </rv>
  <rv s="17">
    <v>37</v>
    <v>BRK.B</v>
    <v>Daily</v>
    <v>45574</v>
    <v>45939</v>
    <v>0</v>
    <v>1</v>
    <v>638954784000000000,638956262105176085,0</v>
    <v>0</v>
    <v>a1otrw</v>
    <v>XNYS:BRK.B</v>
    <v>48</v>
  </rv>
  <rv s="17">
    <v>37</v>
    <v>CVX</v>
    <v>Daily</v>
    <v>45574</v>
    <v>45939</v>
    <v>0</v>
    <v>1</v>
    <v>638954784000000000,638956262104644778,0</v>
    <v>0</v>
    <v>a1qlz2</v>
    <v>XNYS:CVX</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ow"/>
    <k n="Market cap"/>
    <k n="Name" t="s"/>
    <k n="Open"/>
    <k n="Previous close"/>
    <k n="Price"/>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2">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spb>
    <spb s="0">
      <v>7</v>
      <v>Name</v>
      <v>LearnMoreOnLink</v>
    </spb>
    <spb s="21">
      <v>14</v>
      <v>2</v>
      <v>14</v>
      <v>3</v>
      <v>14</v>
      <v>10</v>
      <v>14</v>
      <v>14</v>
      <v>4</v>
      <v>4</v>
      <v>5</v>
      <v>6</v>
      <v>14</v>
      <v>14</v>
      <v>14</v>
      <v>4</v>
      <v>7</v>
      <v>8</v>
      <v>9</v>
      <v>4</v>
    </spb>
    <spb s="19">
      <v>Delayed 20 minutes</v>
      <v>from previous close</v>
      <v>from previous close</v>
      <v>GMT</v>
    </spb>
    <spb s="12">
      <v>8</v>
      <v>Name</v>
    </spb>
    <spb s="22">
      <v>1</v>
      <v>1</v>
    </spb>
    <spb s="23">
      <v>12</v>
      <v>2</v>
      <v>12</v>
      <v>3</v>
      <v>12</v>
      <v>12</v>
      <v>12</v>
      <v>4</v>
      <v>5</v>
      <v>13</v>
      <v>12</v>
      <v>12</v>
      <v>5</v>
      <v>12</v>
      <v>7</v>
      <v>9</v>
    </spb>
    <spb s="24">
      <v>from previous close</v>
      <v>from previous close</v>
      <v>GMT</v>
    </spb>
    <spb s="25">
      <v>11</v>
    </spb>
    <spb s="25">
      <v>1</v>
    </spb>
    <spb s="25">
      <v>12</v>
    </spb>
    <spb s="25">
      <v>14</v>
    </spb>
    <spb s="26">
      <v>11</v>
      <v>1</v>
    </spb>
    <spb s="26">
      <v>11</v>
      <v>14</v>
    </spb>
    <spb s="26">
      <v>11</v>
      <v>12</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2"/>
  <sheetViews>
    <sheetView tabSelected="1" zoomScale="99" workbookViewId="0">
      <selection activeCell="F13" sqref="F13"/>
    </sheetView>
  </sheetViews>
  <sheetFormatPr baseColWidth="10" defaultColWidth="10.83203125" defaultRowHeight="16" x14ac:dyDescent="0.2"/>
  <cols>
    <col min="1" max="1" width="37.33203125" style="7" customWidth="1"/>
    <col min="2" max="2" width="13.33203125" style="2" customWidth="1"/>
    <col min="3" max="3" width="14.6640625" style="13" customWidth="1"/>
    <col min="4" max="4" width="7.6640625" style="2" customWidth="1"/>
    <col min="5" max="5" width="10.83203125" style="8"/>
    <col min="6" max="6" width="14.5" style="8" customWidth="1"/>
    <col min="7" max="16384" width="10.83203125" style="8"/>
  </cols>
  <sheetData>
    <row r="1" spans="1:4" s="9" customFormat="1" ht="35" customHeight="1" x14ac:dyDescent="0.2">
      <c r="A1" s="9" t="s">
        <v>0</v>
      </c>
      <c r="B1" s="9" t="s">
        <v>1</v>
      </c>
      <c r="C1" s="10" t="s">
        <v>34</v>
      </c>
      <c r="D1" s="9" t="s">
        <v>2</v>
      </c>
    </row>
    <row r="2" spans="1:4" x14ac:dyDescent="0.2">
      <c r="A2" s="7" t="s">
        <v>15</v>
      </c>
      <c r="B2" s="2" t="s">
        <v>3</v>
      </c>
      <c r="C2" s="13">
        <v>2000</v>
      </c>
      <c r="D2" s="38">
        <v>1.024</v>
      </c>
    </row>
    <row r="3" spans="1:4" x14ac:dyDescent="0.2">
      <c r="A3" s="7" t="s">
        <v>21</v>
      </c>
      <c r="B3" s="2" t="s">
        <v>3</v>
      </c>
      <c r="C3" s="13">
        <v>1000</v>
      </c>
      <c r="D3" s="38">
        <v>1.0931</v>
      </c>
    </row>
    <row r="4" spans="1:4" x14ac:dyDescent="0.2">
      <c r="A4" s="7" t="s">
        <v>22</v>
      </c>
      <c r="B4" s="2" t="s">
        <v>3</v>
      </c>
      <c r="C4" s="13">
        <v>23000</v>
      </c>
      <c r="D4" s="38">
        <v>2.1213000000000002</v>
      </c>
    </row>
    <row r="5" spans="1:4" x14ac:dyDescent="0.2">
      <c r="A5" s="7" t="s">
        <v>23</v>
      </c>
      <c r="B5" s="2" t="s">
        <v>3</v>
      </c>
      <c r="C5" s="13">
        <v>1500</v>
      </c>
      <c r="D5" s="38">
        <v>1.2076</v>
      </c>
    </row>
    <row r="6" spans="1:4" x14ac:dyDescent="0.2">
      <c r="A6" s="36" t="s">
        <v>30</v>
      </c>
      <c r="B6" s="2" t="s">
        <v>6</v>
      </c>
      <c r="C6" s="13">
        <v>3000</v>
      </c>
      <c r="D6" s="38">
        <v>0.81589999999999996</v>
      </c>
    </row>
    <row r="7" spans="1:4" x14ac:dyDescent="0.2">
      <c r="A7" s="7" t="s">
        <v>31</v>
      </c>
      <c r="B7" s="2" t="s">
        <v>4</v>
      </c>
      <c r="C7" s="13">
        <v>12000</v>
      </c>
      <c r="D7" s="38">
        <v>1.0716000000000001</v>
      </c>
    </row>
    <row r="8" spans="1:4" x14ac:dyDescent="0.2">
      <c r="A8" s="7" t="s">
        <v>87</v>
      </c>
      <c r="B8" s="2" t="s">
        <v>14</v>
      </c>
      <c r="C8" s="13">
        <v>2000</v>
      </c>
      <c r="D8" s="38">
        <v>0</v>
      </c>
    </row>
    <row r="9" spans="1:4" x14ac:dyDescent="0.2">
      <c r="A9" s="7" t="s">
        <v>32</v>
      </c>
      <c r="B9" s="2" t="s">
        <v>5</v>
      </c>
      <c r="C9" s="13">
        <v>9000</v>
      </c>
      <c r="D9" s="38">
        <v>1.0226</v>
      </c>
    </row>
    <row r="10" spans="1:4" x14ac:dyDescent="0.2">
      <c r="A10" s="7" t="s">
        <v>73</v>
      </c>
      <c r="B10" s="2" t="s">
        <v>3</v>
      </c>
      <c r="C10" s="13">
        <v>400</v>
      </c>
      <c r="D10" s="38">
        <v>1.0232000000000001</v>
      </c>
    </row>
    <row r="11" spans="1:4" x14ac:dyDescent="0.2">
      <c r="A11" s="7" t="s">
        <v>88</v>
      </c>
      <c r="B11" s="2" t="s">
        <v>7</v>
      </c>
      <c r="C11" s="37">
        <v>200</v>
      </c>
      <c r="D11" s="38">
        <v>0.75639999999999996</v>
      </c>
    </row>
    <row r="12" spans="1:4" x14ac:dyDescent="0.2">
      <c r="A12" s="7" t="s">
        <v>31</v>
      </c>
      <c r="B12" s="2" t="s">
        <v>4</v>
      </c>
      <c r="C12" s="37">
        <v>100</v>
      </c>
      <c r="D12" s="38">
        <v>1.0788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workbookViewId="0">
      <selection activeCell="J24" sqref="J24"/>
    </sheetView>
  </sheetViews>
  <sheetFormatPr baseColWidth="10" defaultColWidth="10.83203125" defaultRowHeight="16" x14ac:dyDescent="0.2"/>
  <cols>
    <col min="1" max="1" width="54" style="7" customWidth="1"/>
    <col min="2" max="2" width="16.83203125" style="2" customWidth="1"/>
    <col min="3" max="3" width="10.83203125" style="2"/>
    <col min="4" max="4" width="22.1640625" style="2" customWidth="1"/>
    <col min="5" max="5" width="13.1640625" style="2" customWidth="1"/>
    <col min="6" max="7" width="12.6640625" style="2" customWidth="1"/>
    <col min="8" max="16384" width="10.83203125" style="2"/>
  </cols>
  <sheetData>
    <row r="1" spans="1:7" s="9" customFormat="1" ht="33" customHeight="1" x14ac:dyDescent="0.2">
      <c r="A1" s="9" t="s">
        <v>11</v>
      </c>
      <c r="B1" s="9" t="s">
        <v>12</v>
      </c>
      <c r="C1" s="9" t="s">
        <v>2</v>
      </c>
      <c r="D1" s="9" t="s">
        <v>13</v>
      </c>
      <c r="E1" s="9" t="s">
        <v>1</v>
      </c>
      <c r="F1" s="9" t="s">
        <v>18</v>
      </c>
      <c r="G1" s="9" t="s">
        <v>17</v>
      </c>
    </row>
    <row r="2" spans="1:7" x14ac:dyDescent="0.2">
      <c r="A2" s="7" t="e" vm="1">
        <v>#VALUE!</v>
      </c>
      <c r="B2" s="12" cm="1">
        <f t="array" aca="1" ref="B2" ca="1">_FV(A2,"Price")</f>
        <v>253.75</v>
      </c>
      <c r="C2" s="13" cm="1">
        <f t="array" aca="1" ref="C2" ca="1">_FV(A2,"Beta")</f>
        <v>1.0837000000000001</v>
      </c>
      <c r="D2" s="14" cm="1">
        <f t="array" aca="1" ref="D2" ca="1">_FV(A2,"Market cap",TRUE)</f>
        <v>3765748962500</v>
      </c>
      <c r="E2" s="12" t="s">
        <v>3</v>
      </c>
      <c r="F2" s="15">
        <f ca="1">(B2-G2)/G2</f>
        <v>-1.6701542276989854E-2</v>
      </c>
      <c r="G2" s="12" cm="1">
        <f t="array" aca="1" ref="G2" ca="1">_FV(A2,"Previous close",TRUE)</f>
        <v>258.06</v>
      </c>
    </row>
    <row r="3" spans="1:7" x14ac:dyDescent="0.2">
      <c r="A3" s="7" t="e" vm="2">
        <v>#VALUE!</v>
      </c>
      <c r="B3" s="12" cm="1">
        <f t="array" aca="1" ref="B3" ca="1">_FV(A3,"Price")</f>
        <v>193.1671</v>
      </c>
      <c r="C3" s="13" cm="1">
        <f t="array" aca="1" ref="C3" ca="1">_FV(A3,"Beta")</f>
        <v>2.1093999999999999</v>
      </c>
      <c r="D3" s="14" cm="1">
        <f t="array" aca="1" ref="D3" ca="1">_FV(A3,"Market cap",TRUE)</f>
        <v>4693960530000</v>
      </c>
      <c r="E3" s="12" t="s">
        <v>3</v>
      </c>
      <c r="F3" s="15">
        <f ca="1">(B3-G3)/G3</f>
        <v>2.1453651314049978E-2</v>
      </c>
      <c r="G3" s="12" cm="1">
        <f t="array" aca="1" ref="G3" ca="1">_FV(A3,"Previous close",TRUE)</f>
        <v>189.11</v>
      </c>
    </row>
    <row r="4" spans="1:7" x14ac:dyDescent="0.2">
      <c r="A4" s="7" t="e" vm="3">
        <v>#VALUE!</v>
      </c>
      <c r="B4" s="12" cm="1">
        <f t="array" aca="1" ref="B4" ca="1">_FV(A4,"Price")</f>
        <v>518.64</v>
      </c>
      <c r="C4" s="13" cm="1">
        <f t="array" aca="1" ref="C4" ca="1">_FV(A4,"Beta")</f>
        <v>1.0193000000000001</v>
      </c>
      <c r="D4" s="14" cm="1">
        <f t="array" aca="1" ref="D4" ca="1">_FV(A4,"Market cap",TRUE)</f>
        <v>3855137732880</v>
      </c>
      <c r="E4" s="12" t="s">
        <v>3</v>
      </c>
      <c r="F4" s="15">
        <f t="shared" ref="F4:F17" ca="1" si="0">(B4-G4)/G4</f>
        <v>-1.1831951986281864E-2</v>
      </c>
      <c r="G4" s="12" cm="1">
        <f t="array" aca="1" ref="G4" ca="1">_FV(A4,"Previous close",TRUE)</f>
        <v>524.85</v>
      </c>
    </row>
    <row r="5" spans="1:7" x14ac:dyDescent="0.2">
      <c r="A5" s="7" t="e" vm="4">
        <v>#VALUE!</v>
      </c>
      <c r="B5" s="12" cm="1">
        <f t="array" aca="1" ref="B5" ca="1">_FV(A5,"Price")</f>
        <v>726.60609999999997</v>
      </c>
      <c r="C5" s="13" cm="1">
        <f t="array" aca="1" ref="C5" ca="1">_FV(A5,"Beta")</f>
        <v>1.2139</v>
      </c>
      <c r="D5" s="14" cm="1">
        <f t="array" aca="1" ref="D5" ca="1">_FV(A5,"Market cap",TRUE)</f>
        <v>1803316000000</v>
      </c>
      <c r="E5" s="12" t="s">
        <v>3</v>
      </c>
      <c r="F5" s="15">
        <f t="shared" ca="1" si="0"/>
        <v>1.2211774211523372E-2</v>
      </c>
      <c r="G5" s="12" cm="1">
        <f t="array" aca="1" ref="G5" ca="1">_FV(A5,"Previous close",TRUE)</f>
        <v>717.84</v>
      </c>
    </row>
    <row r="6" spans="1:7" x14ac:dyDescent="0.2">
      <c r="A6" s="7" t="e" vm="5">
        <v>#VALUE!</v>
      </c>
      <c r="B6" s="12" cm="1">
        <f t="array" aca="1" ref="B6" ca="1">_FV(A6,"Price")</f>
        <v>241.19</v>
      </c>
      <c r="C6" s="13" cm="1">
        <f t="array" aca="1" ref="C6" ca="1">_FV(A6,"Beta")</f>
        <v>1.0407</v>
      </c>
      <c r="D6" s="14" cm="1">
        <f t="array" aca="1" ref="D6" ca="1">_FV(A6,"Market cap",TRUE)</f>
        <v>2962996000000</v>
      </c>
      <c r="E6" s="12" t="s">
        <v>3</v>
      </c>
      <c r="F6" s="15">
        <f t="shared" ca="1" si="0"/>
        <v>-1.4021748017333033E-2</v>
      </c>
      <c r="G6" s="12" cm="1">
        <f t="array" aca="1" ref="G6" ca="1">_FV(A6,"Previous close",TRUE)</f>
        <v>244.62</v>
      </c>
    </row>
    <row r="7" spans="1:7" x14ac:dyDescent="0.2">
      <c r="A7" s="7" t="e" vm="6">
        <v>#VALUE!</v>
      </c>
      <c r="B7" s="12" cm="1">
        <f t="array" aca="1" ref="B7" ca="1">_FV(A7,"Price")</f>
        <v>669.93</v>
      </c>
      <c r="C7" s="13" cm="1">
        <f t="array" aca="1" ref="C7" ca="1">_FV(A7,"Beta")</f>
        <v>0.99829999999999997</v>
      </c>
      <c r="D7" s="14" cm="1">
        <f t="array" aca="1" ref="D7" ca="1">_FV(A7,"Market cap",TRUE)</f>
        <v>672726673351.18994</v>
      </c>
      <c r="E7" s="12" t="s">
        <v>3</v>
      </c>
      <c r="F7" s="15">
        <f t="shared" ca="1" si="0"/>
        <v>-4.724339261042123E-3</v>
      </c>
      <c r="G7" s="12" cm="1">
        <f t="array" aca="1" ref="G7" ca="1">_FV(A7,"Previous close",TRUE)</f>
        <v>673.11</v>
      </c>
    </row>
    <row r="8" spans="1:7" x14ac:dyDescent="0.2">
      <c r="A8" s="7" t="e" vm="7">
        <v>#VALUE!</v>
      </c>
      <c r="B8" s="12" cm="1">
        <f t="array" aca="1" ref="B8" ca="1">_FV(A8,"Price")</f>
        <v>89.1</v>
      </c>
      <c r="C8" s="13" cm="1">
        <f t="array" aca="1" ref="C8" ca="1">_FV(A8,"Beta")</f>
        <v>1.0788</v>
      </c>
      <c r="D8" s="14" cm="1">
        <f t="array" aca="1" ref="D8" ca="1">_FV(A8,"Market cap",TRUE)</f>
        <v>48818461640.32</v>
      </c>
      <c r="E8" s="12" t="s">
        <v>4</v>
      </c>
      <c r="F8" s="15">
        <f t="shared" ca="1" si="0"/>
        <v>-1.6806722689076267E-3</v>
      </c>
      <c r="G8" s="12" cm="1">
        <f t="array" aca="1" ref="G8" ca="1">_FV(A8,"Previous close",TRUE)</f>
        <v>89.25</v>
      </c>
    </row>
    <row r="9" spans="1:7" x14ac:dyDescent="0.2">
      <c r="A9" s="7" t="e" vm="8">
        <v>#VALUE!</v>
      </c>
      <c r="B9" s="12" cm="1">
        <f t="array" aca="1" ref="B9" ca="1">_FV(A9,"Price")</f>
        <v>364.47</v>
      </c>
      <c r="C9" s="13" cm="1">
        <f t="array" aca="1" ref="C9" ca="1">_FV(A9,"Beta")</f>
        <v>0.81589999999999996</v>
      </c>
      <c r="D9" s="12" cm="1">
        <f t="array" aca="1" ref="D9" ca="1">_FV(A9,"Market cap",TRUE)</f>
        <v>82394162386.910004</v>
      </c>
      <c r="E9" s="12" t="s">
        <v>6</v>
      </c>
      <c r="F9" s="15">
        <f t="shared" ca="1" si="0"/>
        <v>-2.1031426269137749E-2</v>
      </c>
      <c r="G9" s="12" cm="1">
        <f t="array" aca="1" ref="G9" ca="1">_FV(A9,"Previous close",TRUE)</f>
        <v>372.3</v>
      </c>
    </row>
    <row r="10" spans="1:7" x14ac:dyDescent="0.2">
      <c r="A10" s="7" t="e" vm="9">
        <v>#VALUE!</v>
      </c>
      <c r="B10" s="12" cm="1">
        <f t="array" aca="1" ref="B10" ca="1">_FV(A10,"Price")</f>
        <v>72.48</v>
      </c>
      <c r="C10" s="13" cm="1">
        <f t="array" aca="1" ref="C10" ca="1">_FV(A10,"Beta")</f>
        <v>1.0219</v>
      </c>
      <c r="D10" s="12" cm="1">
        <f t="array" aca="1" ref="D10" ca="1">_FV(A10,"Market cap",TRUE)</f>
        <v>899405944.95000005</v>
      </c>
      <c r="E10" s="12" t="s">
        <v>5</v>
      </c>
      <c r="F10" s="15">
        <f t="shared" ca="1" si="0"/>
        <v>-1.4279885760913874E-2</v>
      </c>
      <c r="G10" s="12" cm="1">
        <f t="array" aca="1" ref="G10" ca="1">_FV(A10,"Previous close",TRUE)</f>
        <v>73.53</v>
      </c>
    </row>
    <row r="11" spans="1:7" x14ac:dyDescent="0.2">
      <c r="A11" s="7" t="e" vm="10">
        <v>#VALUE!</v>
      </c>
      <c r="B11" s="16" cm="1">
        <f t="array" aca="1" ref="B11" ca="1">_FV(A11,"Price")</f>
        <v>608.79</v>
      </c>
      <c r="C11" s="2" cm="1">
        <f t="array" aca="1" ref="C11" ca="1">_FV(A11,"Beta")</f>
        <v>1.0232000000000001</v>
      </c>
      <c r="D11" s="12" cm="1">
        <f t="array" aca="1" ref="D11" ca="1">_FV(A11,"Market cap",TRUE)</f>
        <v>385755187983.09998</v>
      </c>
      <c r="E11" s="12" t="s">
        <v>3</v>
      </c>
      <c r="F11" s="15">
        <f t="shared" ca="1" si="0"/>
        <v>-4.3340311396050154E-3</v>
      </c>
      <c r="G11" s="12" cm="1">
        <f t="array" aca="1" ref="G11" ca="1">_FV(A11,"Previous close",TRUE)</f>
        <v>611.44000000000005</v>
      </c>
    </row>
    <row r="12" spans="1:7" x14ac:dyDescent="0.2">
      <c r="A12" s="7" t="e" vm="11">
        <v>#VALUE!</v>
      </c>
      <c r="B12" s="12" cm="1">
        <f t="array" aca="1" ref="B12" ca="1">_FV(A12,"Price")</f>
        <v>96.275000000000006</v>
      </c>
      <c r="C12" s="13" cm="1">
        <f t="array" aca="1" ref="C12" ca="1">_FV(A12,"Beta")</f>
        <v>1.2008000000000001</v>
      </c>
      <c r="D12" s="12" cm="1">
        <f t="array" aca="1" ref="D12" ca="1">_FV(A12,"Market cap",TRUE)</f>
        <v>38510844547.139999</v>
      </c>
      <c r="E12" s="2" t="s">
        <v>4</v>
      </c>
      <c r="F12" s="15">
        <f t="shared" ca="1" si="0"/>
        <v>-1.089437642664347E-3</v>
      </c>
      <c r="G12" s="12" cm="1">
        <f t="array" aca="1" ref="G12" ca="1">_FV(A12,"Previous close",TRUE)</f>
        <v>96.38</v>
      </c>
    </row>
    <row r="13" spans="1:7" x14ac:dyDescent="0.2">
      <c r="A13" s="7" t="e" vm="12">
        <v>#VALUE!</v>
      </c>
      <c r="B13" s="12" cm="1">
        <f t="array" aca="1" ref="B13" ca="1">_FV(A13,"Price")</f>
        <v>67.72</v>
      </c>
      <c r="C13" s="2" t="e" cm="1" vm="13">
        <f t="array" ref="C13">_FV(A13,"Beta")</f>
        <v>#VALUE!</v>
      </c>
      <c r="D13" s="12" t="e" cm="1" vm="14">
        <f t="array" ref="D13">_FV(A13,"Market cap",TRUE)</f>
        <v>#VALUE!</v>
      </c>
      <c r="E13" s="2" t="s">
        <v>4</v>
      </c>
      <c r="F13" s="15">
        <f t="shared" ca="1" si="0"/>
        <v>2.6650873556409919E-3</v>
      </c>
      <c r="G13" s="12" cm="1">
        <f t="array" aca="1" ref="G13" ca="1">_FV(A13,"Previous close",TRUE)</f>
        <v>67.540000000000006</v>
      </c>
    </row>
    <row r="14" spans="1:7" x14ac:dyDescent="0.2">
      <c r="A14" s="7" t="e" vm="15">
        <v>#VALUE!</v>
      </c>
      <c r="B14" s="12" cm="1">
        <f t="array" aca="1" ref="B14" ca="1">_FV(A14,"Price")</f>
        <v>102.5427</v>
      </c>
      <c r="C14" s="13" t="e" cm="1" vm="13">
        <f t="array" ref="C14">_FV(A14,"Beta")</f>
        <v>#VALUE!</v>
      </c>
      <c r="D14" s="12" t="e" cm="1" vm="14">
        <f t="array" ref="D14">_FV(A14,"Market cap",TRUE)</f>
        <v>#VALUE!</v>
      </c>
      <c r="E14" s="12" t="s">
        <v>7</v>
      </c>
      <c r="F14" s="15">
        <f t="shared" ca="1" si="0"/>
        <v>7.2217174610391343E-4</v>
      </c>
      <c r="G14" s="12" cm="1">
        <f t="array" aca="1" ref="G14" ca="1">_FV(A14,"Previous close",TRUE)</f>
        <v>102.4687</v>
      </c>
    </row>
    <row r="15" spans="1:7" x14ac:dyDescent="0.2">
      <c r="A15" s="7" t="e" vm="16">
        <v>#VALUE!</v>
      </c>
      <c r="B15" s="12" cm="1">
        <f t="array" aca="1" ref="B15" ca="1">_FV(A15,"Price")</f>
        <v>87.984999999999999</v>
      </c>
      <c r="C15" s="2" cm="1">
        <f t="array" aca="1" ref="C15" ca="1">_FV(A15,"Beta")</f>
        <v>1.1548</v>
      </c>
      <c r="D15" s="12" cm="1">
        <f t="array" aca="1" ref="D15" ca="1">_FV(A15,"Market cap",TRUE)</f>
        <v>26926057790.77</v>
      </c>
      <c r="E15" s="12" t="s">
        <v>5</v>
      </c>
      <c r="F15" s="15">
        <f t="shared" ca="1" si="0"/>
        <v>-1.1071147577835219E-2</v>
      </c>
      <c r="G15" s="12" cm="1">
        <f t="array" aca="1" ref="G15" ca="1">_FV(A15,"Previous close",TRUE)</f>
        <v>88.97</v>
      </c>
    </row>
    <row r="16" spans="1:7" x14ac:dyDescent="0.2">
      <c r="A16" s="7" t="e" vm="17">
        <v>#VALUE!</v>
      </c>
      <c r="B16" s="12" cm="1">
        <f t="array" aca="1" ref="B16" ca="1">_FV(A16,"Price")</f>
        <v>13.225</v>
      </c>
      <c r="C16" s="2" cm="1">
        <f t="array" aca="1" ref="C16" ca="1">_FV(A16,"Beta")</f>
        <v>0.94179999999999997</v>
      </c>
      <c r="D16" s="12" cm="1">
        <f t="array" aca="1" ref="D16" ca="1">_FV(A16,"Market cap",TRUE)</f>
        <v>219370903.75999999</v>
      </c>
      <c r="E16" s="2" t="s">
        <v>4</v>
      </c>
      <c r="F16" s="15">
        <f t="shared" ca="1" si="0"/>
        <v>-1.379567486950041E-2</v>
      </c>
      <c r="G16" s="12" cm="1">
        <f t="array" aca="1" ref="G16" ca="1">_FV(A16,"Previous close",TRUE)</f>
        <v>13.41</v>
      </c>
    </row>
    <row r="17" spans="1:7" x14ac:dyDescent="0.2">
      <c r="A17" s="7" t="e" vm="18">
        <v>#VALUE!</v>
      </c>
      <c r="B17" s="12" cm="1">
        <f t="array" aca="1" ref="B17" ca="1">_FV(A17,"Price")</f>
        <v>4.8</v>
      </c>
      <c r="C17" s="2" cm="1">
        <f t="array" aca="1" ref="C17" ca="1">_FV(A17,"Beta")</f>
        <v>3.5777000000000001</v>
      </c>
      <c r="D17" s="12" cm="1">
        <f t="array" aca="1" ref="D17" ca="1">_FV(A17,"Market cap",TRUE)</f>
        <v>2643030</v>
      </c>
      <c r="E17" s="12" t="s">
        <v>5</v>
      </c>
      <c r="F17" s="15">
        <f t="shared" ca="1" si="0"/>
        <v>2.087682672233776E-3</v>
      </c>
      <c r="G17" s="12" cm="1">
        <f t="array" aca="1" ref="G17" ca="1">_FV(A17,"Previous close",TRUE)</f>
        <v>4.79</v>
      </c>
    </row>
    <row r="18" spans="1:7" x14ac:dyDescent="0.2">
      <c r="A18" s="7" t="e" vm="19">
        <v>#VALUE!</v>
      </c>
      <c r="B18" s="12" cm="1">
        <f t="array" aca="1" ref="B18" ca="1">_FV(A18,"Price")</f>
        <v>43.275100000000002</v>
      </c>
      <c r="C18" s="2" cm="1">
        <f t="array" aca="1" ref="C18" ca="1">_FV(A18,"Beta")</f>
        <v>1.4173</v>
      </c>
      <c r="D18" s="12" cm="1">
        <f t="array" aca="1" ref="D18" ca="1">_FV(A18,"Market cap",TRUE)</f>
        <v>23276965580.080002</v>
      </c>
      <c r="E18" s="12" t="s">
        <v>6</v>
      </c>
      <c r="F18" s="15">
        <f t="shared" ref="F18:F20" ca="1" si="1">(B18-G18)/G18</f>
        <v>-2.8835278276481156E-2</v>
      </c>
      <c r="G18" s="12" cm="1">
        <f t="array" aca="1" ref="G18" ca="1">_FV(A18,"Previous close",TRUE)</f>
        <v>44.56</v>
      </c>
    </row>
    <row r="19" spans="1:7" x14ac:dyDescent="0.2">
      <c r="A19" s="7" t="e" vm="20">
        <v>#VALUE!</v>
      </c>
      <c r="B19" s="12" cm="1">
        <f t="array" aca="1" ref="B19" ca="1">_FV(A19,"Price")</f>
        <v>26.47</v>
      </c>
      <c r="C19" s="2" cm="1">
        <f t="array" aca="1" ref="C19" ca="1">_FV(A19,"Beta")</f>
        <v>0.68869999999999998</v>
      </c>
      <c r="D19" s="12" cm="1">
        <f t="array" aca="1" ref="D19" ca="1">_FV(A19,"Market cap",TRUE)</f>
        <v>791801255.05999994</v>
      </c>
      <c r="E19" s="12" t="s">
        <v>6</v>
      </c>
      <c r="F19" s="15">
        <f t="shared" ca="1" si="1"/>
        <v>-6.3813813813814449E-3</v>
      </c>
      <c r="G19" s="12" cm="1">
        <f t="array" aca="1" ref="G19" ca="1">_FV(A19,"Previous close",TRUE)</f>
        <v>26.64</v>
      </c>
    </row>
    <row r="20" spans="1:7" x14ac:dyDescent="0.2">
      <c r="A20" s="7" t="e" vm="21">
        <v>#VALUE!</v>
      </c>
      <c r="B20" s="12" cm="1">
        <f t="array" aca="1" ref="B20" ca="1">_FV(A20,"Price")</f>
        <v>4.1050000000000004</v>
      </c>
      <c r="C20" s="2" cm="1">
        <f t="array" aca="1" ref="C20" ca="1">_FV(A20,"Beta")</f>
        <v>0.99870000000000003</v>
      </c>
      <c r="D20" s="12" cm="1">
        <f t="array" aca="1" ref="D20" ca="1">_FV(A20,"Market cap",TRUE)</f>
        <v>117346706.78</v>
      </c>
      <c r="E20" s="12" t="s">
        <v>6</v>
      </c>
      <c r="F20" s="15">
        <f t="shared" ca="1" si="1"/>
        <v>1.219512195122142E-3</v>
      </c>
      <c r="G20" s="12" cm="1">
        <f t="array" aca="1" ref="G20" ca="1">_FV(A20,"Previous close",TRUE)</f>
        <v>4.0999999999999996</v>
      </c>
    </row>
    <row r="21" spans="1:7" x14ac:dyDescent="0.2">
      <c r="A21" s="7" t="e" vm="22">
        <v>#VALUE!</v>
      </c>
      <c r="B21" s="12" cm="1">
        <f t="array" aca="1" ref="B21" ca="1">_FV(A21,"Price")</f>
        <v>78.41</v>
      </c>
      <c r="C21" s="2" cm="1">
        <f t="array" aca="1" ref="C21" ca="1">_FV(A21,"Beta")</f>
        <v>0.85919999999999996</v>
      </c>
      <c r="D21" s="12" cm="1">
        <f t="array" aca="1" ref="D21" ca="1">_FV(A21,"Market cap",TRUE)</f>
        <v>20854265334.529999</v>
      </c>
      <c r="E21" s="12" t="s">
        <v>6</v>
      </c>
      <c r="F21" s="15">
        <f t="shared" ref="F21:F23" ca="1" si="2">(B21-G21)/G21</f>
        <v>-2.0976401548258295E-2</v>
      </c>
      <c r="G21" s="12" cm="1">
        <f t="array" aca="1" ref="G21" ca="1">_FV(A21,"Previous close",TRUE)</f>
        <v>80.09</v>
      </c>
    </row>
    <row r="22" spans="1:7" x14ac:dyDescent="0.2">
      <c r="A22" s="7" t="e" vm="23">
        <v>#VALUE!</v>
      </c>
      <c r="B22" s="12" cm="1">
        <f t="array" aca="1" ref="B22" ca="1">_FV(A22,"Price")</f>
        <v>147.77500000000001</v>
      </c>
      <c r="C22" s="2" cm="1">
        <f t="array" aca="1" ref="C22" ca="1">_FV(A22,"Beta")</f>
        <v>0.83260000000000001</v>
      </c>
      <c r="D22" s="12" cm="1">
        <f t="array" aca="1" ref="D22" ca="1">_FV(A22,"Market cap",TRUE)</f>
        <v>1957887831.98</v>
      </c>
      <c r="E22" s="12" t="s">
        <v>6</v>
      </c>
      <c r="F22" s="15">
        <f t="shared" ca="1" si="2"/>
        <v>-2.9073587385019601E-2</v>
      </c>
      <c r="G22" s="12" cm="1">
        <f t="array" aca="1" ref="G22" ca="1">_FV(A22,"Previous close",TRUE)</f>
        <v>152.19999999999999</v>
      </c>
    </row>
    <row r="23" spans="1:7" x14ac:dyDescent="0.2">
      <c r="A23" s="7" t="e" vm="24">
        <v>#VALUE!</v>
      </c>
      <c r="B23" s="12" cm="1">
        <f t="array" aca="1" ref="B23" ca="1">_FV(A23,"Price")</f>
        <v>26.885000000000002</v>
      </c>
      <c r="C23" s="2" cm="1">
        <f t="array" aca="1" ref="C23" ca="1">_FV(A23,"Beta")</f>
        <v>0.99750000000000005</v>
      </c>
      <c r="D23" s="12" cm="1">
        <f t="array" aca="1" ref="D23" ca="1">_FV(A23,"Market cap",TRUE)</f>
        <v>14430226377.48</v>
      </c>
      <c r="E23" s="12" t="s">
        <v>7</v>
      </c>
      <c r="F23" s="15">
        <f t="shared" ca="1" si="2"/>
        <v>-1.670998886000674E-3</v>
      </c>
      <c r="G23" s="12" cm="1">
        <f t="array" aca="1" ref="G23" ca="1">_FV(A23,"Previous close",TRUE)</f>
        <v>26.93</v>
      </c>
    </row>
    <row r="24" spans="1:7" x14ac:dyDescent="0.2">
      <c r="A24" s="7" t="e" vm="25">
        <v>#VALUE!</v>
      </c>
      <c r="B24" s="12" cm="1">
        <f t="array" aca="1" ref="B24" ca="1">_FV(A24,"Price")</f>
        <v>50.957099999999997</v>
      </c>
      <c r="C24" s="2" t="e" cm="1" vm="13">
        <f t="array" ref="C24">_FV(A24,"Beta")</f>
        <v>#VALUE!</v>
      </c>
      <c r="D24" s="12" cm="1">
        <f t="array" aca="1" ref="D24" ca="1">_FV(A24,"Market cap",TRUE)</f>
        <v>8918495068.1599998</v>
      </c>
      <c r="E24" s="12" t="s">
        <v>7</v>
      </c>
      <c r="F24" s="15">
        <f t="shared" ref="F24:F27" ca="1" si="3">(B24-G24)/G24</f>
        <v>-5.6907378336026281E-5</v>
      </c>
      <c r="G24" s="12" cm="1">
        <f t="array" aca="1" ref="G24" ca="1">_FV(A24,"Previous close",TRUE)</f>
        <v>50.96</v>
      </c>
    </row>
    <row r="25" spans="1:7" x14ac:dyDescent="0.2">
      <c r="A25" s="7" t="e" vm="26">
        <v>#VALUE!</v>
      </c>
      <c r="B25" s="12" cm="1">
        <f t="array" aca="1" ref="B25" ca="1">_FV(A25,"Price")</f>
        <v>29.2682</v>
      </c>
      <c r="C25" s="2" cm="1">
        <f t="array" aca="1" ref="C25" ca="1">_FV(A25,"Beta")</f>
        <v>1.0428999999999999</v>
      </c>
      <c r="D25" s="12" cm="1">
        <f t="array" aca="1" ref="D25" ca="1">_FV(A25,"Market cap",TRUE)</f>
        <v>5752414088.4399996</v>
      </c>
      <c r="E25" s="12" t="s">
        <v>7</v>
      </c>
      <c r="F25" s="15">
        <f t="shared" ca="1" si="3"/>
        <v>-6.1496412709236681E-5</v>
      </c>
      <c r="G25" s="12" cm="1">
        <f t="array" aca="1" ref="G25" ca="1">_FV(A25,"Previous close",TRUE)</f>
        <v>29.27</v>
      </c>
    </row>
    <row r="26" spans="1:7" x14ac:dyDescent="0.2">
      <c r="A26" s="7" t="e" vm="27">
        <v>#VALUE!</v>
      </c>
      <c r="B26" s="12" cm="1">
        <f t="array" aca="1" ref="B26" ca="1">_FV(A26,"Price")</f>
        <v>26.875</v>
      </c>
      <c r="C26" s="2" cm="1">
        <f t="array" aca="1" ref="C26" ca="1">_FV(A26,"Beta")</f>
        <v>1.0028999999999999</v>
      </c>
      <c r="D26" s="12" cm="1">
        <f t="array" aca="1" ref="D26" ca="1">_FV(A26,"Market cap",TRUE)</f>
        <v>11888783730.73</v>
      </c>
      <c r="E26" s="12" t="s">
        <v>7</v>
      </c>
      <c r="F26" s="15">
        <f t="shared" ca="1" si="3"/>
        <v>-1.3006317354143494E-3</v>
      </c>
      <c r="G26" s="12" cm="1">
        <f t="array" aca="1" ref="G26" ca="1">_FV(A26,"Previous close",TRUE)</f>
        <v>26.91</v>
      </c>
    </row>
    <row r="27" spans="1:7" x14ac:dyDescent="0.2">
      <c r="A27" s="7" t="e" vm="28">
        <v>#VALUE!</v>
      </c>
      <c r="B27" s="12" cm="1">
        <f t="array" aca="1" ref="B27" ca="1">_FV(A27,"Price")</f>
        <v>91.53</v>
      </c>
      <c r="C27" s="2" cm="1">
        <f t="array" aca="1" ref="C27" ca="1">_FV(A27,"Beta")</f>
        <v>0.75639999999999996</v>
      </c>
      <c r="D27" s="12" cm="1">
        <f t="array" aca="1" ref="D27" ca="1">_FV(A27,"Market cap",TRUE)</f>
        <v>42140690455.389999</v>
      </c>
      <c r="E27" s="12" t="s">
        <v>7</v>
      </c>
      <c r="F27" s="15">
        <f t="shared" ca="1" si="3"/>
        <v>0</v>
      </c>
      <c r="G27" s="12" cm="1">
        <f t="array" aca="1" ref="G27" ca="1">_FV(A27,"Previous close",TRUE)</f>
        <v>91.53</v>
      </c>
    </row>
    <row r="28" spans="1:7" x14ac:dyDescent="0.2">
      <c r="A28" s="7" t="e" vm="29">
        <v>#VALUE!</v>
      </c>
      <c r="B28" s="12" cm="1">
        <f t="array" aca="1" ref="B28" ca="1">_FV(A28,"Price")</f>
        <v>495.315</v>
      </c>
      <c r="C28" s="2" cm="1">
        <f t="array" aca="1" ref="C28" ca="1">_FV(A28,"Beta")</f>
        <v>0.75760000000000005</v>
      </c>
      <c r="D28" s="12" cm="1">
        <f t="array" aca="1" ref="D28" ca="1">_FV(A28,"Market cap",TRUE)</f>
        <v>1078343000000</v>
      </c>
      <c r="E28" s="12" t="s">
        <v>3</v>
      </c>
      <c r="F28" s="15">
        <f t="shared" ref="F28:F29" ca="1" si="4">(B28-G28)/G28</f>
        <v>-9.0528969270166001E-3</v>
      </c>
      <c r="G28" s="12" cm="1">
        <f t="array" aca="1" ref="G28" ca="1">_FV(A28,"Previous close",TRUE)</f>
        <v>499.84</v>
      </c>
    </row>
    <row r="29" spans="1:7" x14ac:dyDescent="0.2">
      <c r="A29" s="7" t="e" vm="30">
        <v>#VALUE!</v>
      </c>
      <c r="B29" s="12" cm="1">
        <f t="array" aca="1" ref="B29" ca="1">_FV(A29,"Price")</f>
        <v>304.33</v>
      </c>
      <c r="C29" s="2" cm="1">
        <f t="array" aca="1" ref="C29" ca="1">_FV(A29,"Beta")</f>
        <v>1.143</v>
      </c>
      <c r="D29" s="12" cm="1">
        <f t="array" aca="1" ref="D29" ca="1">_FV(A29,"Market cap",TRUE)</f>
        <v>836832634820</v>
      </c>
      <c r="E29" s="12" t="s">
        <v>3</v>
      </c>
      <c r="F29" s="15">
        <f t="shared" ca="1" si="4"/>
        <v>9.8674472913860942E-4</v>
      </c>
      <c r="G29" s="12" cm="1">
        <f t="array" aca="1" ref="G29" ca="1">_FV(A29,"Previous close",TRUE)</f>
        <v>304.02999999999997</v>
      </c>
    </row>
    <row r="30" spans="1:7" x14ac:dyDescent="0.2">
      <c r="A30" s="7" t="e" vm="31">
        <v>#VALUE!</v>
      </c>
      <c r="B30" s="12" cm="1">
        <f t="array" aca="1" ref="B30" ca="1">_FV(A30,"Price")</f>
        <v>49.715000000000003</v>
      </c>
      <c r="C30" s="2" cm="1">
        <f t="array" aca="1" ref="C30" ca="1">_FV(A30,"Beta")</f>
        <v>1.3429</v>
      </c>
      <c r="D30" s="12" cm="1">
        <f t="array" aca="1" ref="D30" ca="1">_FV(A30,"Market cap",TRUE)</f>
        <v>368236370105</v>
      </c>
      <c r="E30" s="12" t="s">
        <v>3</v>
      </c>
      <c r="F30" s="15">
        <f t="shared" ref="F30:F31" ca="1" si="5">(B30-G30)/G30</f>
        <v>-2.5080256821829855E-3</v>
      </c>
      <c r="G30" s="12" cm="1">
        <f t="array" aca="1" ref="G30" ca="1">_FV(A30,"Previous close",TRUE)</f>
        <v>49.84</v>
      </c>
    </row>
    <row r="31" spans="1:7" x14ac:dyDescent="0.2">
      <c r="A31" s="7" t="e" vm="32">
        <v>#VALUE!</v>
      </c>
      <c r="B31" s="12" cm="1">
        <f t="array" aca="1" ref="B31" ca="1">_FV(A31,"Price")</f>
        <v>113.4</v>
      </c>
      <c r="C31" s="2" cm="1">
        <f t="array" aca="1" ref="C31" ca="1">_FV(A31,"Beta")</f>
        <v>0.46629999999999999</v>
      </c>
      <c r="D31" s="12" cm="1">
        <f t="array" aca="1" ref="D31" ca="1">_FV(A31,"Market cap",TRUE)</f>
        <v>483452209800</v>
      </c>
      <c r="E31" s="12" t="s">
        <v>3</v>
      </c>
      <c r="F31" s="15">
        <f t="shared" ca="1" si="5"/>
        <v>-5.437642518856256E-3</v>
      </c>
      <c r="G31" s="12" cm="1">
        <f t="array" aca="1" ref="G31" ca="1">_FV(A31,"Previous close",TRUE)</f>
        <v>114.02</v>
      </c>
    </row>
    <row r="32" spans="1:7" x14ac:dyDescent="0.2">
      <c r="A32" s="7" t="e" vm="33">
        <v>#VALUE!</v>
      </c>
      <c r="B32" s="12" cm="1">
        <f t="array" aca="1" ref="B32" ca="1">_FV(A32,"Price")</f>
        <v>152.44</v>
      </c>
      <c r="C32" s="2" cm="1">
        <f t="array" aca="1" ref="C32" ca="1">_FV(A32,"Beta")</f>
        <v>0.80779999999999996</v>
      </c>
      <c r="D32" s="12" cm="1">
        <f t="array" aca="1" ref="D32" ca="1">_FV(A32,"Market cap",TRUE)</f>
        <v>312104741360</v>
      </c>
      <c r="E32" s="12" t="s">
        <v>3</v>
      </c>
      <c r="F32" s="15">
        <f t="shared" ref="F32:F33" ca="1" si="6">(B32-G32)/G32</f>
        <v>-8.4558345258228911E-3</v>
      </c>
      <c r="G32" s="12" cm="1">
        <f t="array" aca="1" ref="G32" ca="1">_FV(A32,"Previous close",TRUE)</f>
        <v>153.74</v>
      </c>
    </row>
    <row r="33" spans="1:7" x14ac:dyDescent="0.2">
      <c r="A33" s="7" t="e" vm="34">
        <v>#VALUE!</v>
      </c>
      <c r="B33" s="12" cm="1">
        <f t="array" aca="1" ref="B33" ca="1">_FV(A33,"Price")</f>
        <v>191.01</v>
      </c>
      <c r="C33" s="2" cm="1">
        <f t="array" aca="1" ref="C33" ca="1">_FV(A33,"Beta")</f>
        <v>0.36870000000000003</v>
      </c>
      <c r="D33" s="12" cm="1">
        <f t="array" aca="1" ref="D33" ca="1">_FV(A33,"Market cap",TRUE)</f>
        <v>460016832390</v>
      </c>
      <c r="E33" s="12" t="s">
        <v>3</v>
      </c>
      <c r="F33" s="15">
        <f t="shared" ca="1" si="6"/>
        <v>6.9587221255732676E-3</v>
      </c>
      <c r="G33" s="12" cm="1">
        <f t="array" aca="1" ref="G33" ca="1">_FV(A33,"Previous close",TRUE)</f>
        <v>189.69</v>
      </c>
    </row>
    <row r="34" spans="1:7" x14ac:dyDescent="0.2">
      <c r="A34" s="7" t="e" vm="35">
        <v>#VALUE!</v>
      </c>
      <c r="B34" s="12" cm="1">
        <f t="array" aca="1" ref="B34" ca="1">_FV(A34,"Price")</f>
        <v>66.245000000000005</v>
      </c>
      <c r="C34" s="2" cm="1">
        <f t="array" aca="1" ref="C34" ca="1">_FV(A34,"Beta")</f>
        <v>0.4194</v>
      </c>
      <c r="D34" s="12" cm="1">
        <f t="array" aca="1" ref="D34" ca="1">_FV(A34,"Market cap",TRUE)</f>
        <v>285096420415</v>
      </c>
      <c r="E34" s="12" t="s">
        <v>3</v>
      </c>
      <c r="F34" s="15">
        <f t="shared" ref="F34:F35" ca="1" si="7">(B34-G34)/G34</f>
        <v>1.8905021173623714E-3</v>
      </c>
      <c r="G34" s="12" cm="1">
        <f t="array" aca="1" ref="G34" ca="1">_FV(A34,"Previous close",TRUE)</f>
        <v>66.12</v>
      </c>
    </row>
    <row r="35" spans="1:7" x14ac:dyDescent="0.2">
      <c r="A35" s="7" t="e" vm="36">
        <v>#VALUE!</v>
      </c>
      <c r="B35" s="12" cm="1">
        <f t="array" aca="1" ref="B35" ca="1">_FV(A35,"Price")</f>
        <v>294.77</v>
      </c>
      <c r="C35" s="2" cm="1">
        <f t="array" aca="1" ref="C35" ca="1">_FV(A35,"Beta")</f>
        <v>0.50019999999999998</v>
      </c>
      <c r="D35" s="12" cm="1">
        <f t="array" aca="1" ref="D35" ca="1">_FV(A35,"Market cap",TRUE)</f>
        <v>210349168988</v>
      </c>
      <c r="E35" s="12" t="s">
        <v>3</v>
      </c>
      <c r="F35" s="15">
        <f t="shared" ca="1" si="7"/>
        <v>1.2567934782608851E-3</v>
      </c>
      <c r="G35" s="12" cm="1">
        <f t="array" aca="1" ref="G35" ca="1">_FV(A35,"Previous close",TRUE)</f>
        <v>294.39999999999998</v>
      </c>
    </row>
    <row r="36" spans="1:7" x14ac:dyDescent="0.2">
      <c r="A36" s="7" t="e" vm="37">
        <v>#VALUE!</v>
      </c>
      <c r="B36" s="12" cm="1">
        <f t="array" aca="1" ref="B36" ca="1">_FV(A36,"Price")</f>
        <v>111.71</v>
      </c>
      <c r="C36" s="2" cm="1">
        <f t="array" aca="1" ref="C36" ca="1">_FV(A36,"Beta")</f>
        <v>1.5544</v>
      </c>
      <c r="D36" s="12" cm="1">
        <f t="array" aca="1" ref="D36" ca="1">_FV(A36,"Market cap",TRUE)</f>
        <v>200847207140</v>
      </c>
      <c r="E36" s="12" t="s">
        <v>3</v>
      </c>
      <c r="F36" s="15">
        <f t="shared" ref="F36:F38" ca="1" si="8">(B36-G36)/G36</f>
        <v>-1.6087228528019199E-3</v>
      </c>
      <c r="G36" s="12" cm="1">
        <f t="array" aca="1" ref="G36" ca="1">_FV(A36,"Previous close",TRUE)</f>
        <v>111.89</v>
      </c>
    </row>
    <row r="37" spans="1:7" x14ac:dyDescent="0.2">
      <c r="A37" s="7" t="e" vm="38">
        <v>#VALUE!</v>
      </c>
      <c r="B37" s="12" cm="1">
        <f t="array" aca="1" ref="B37" ca="1">_FV(A37,"Price")</f>
        <v>1233.5999999999999</v>
      </c>
      <c r="C37" s="2" cm="1">
        <f t="array" aca="1" ref="C37" ca="1">_FV(A37,"Beta")</f>
        <v>1.5908</v>
      </c>
      <c r="D37" s="12" cm="1">
        <f t="array" aca="1" ref="D37" ca="1">_FV(A37,"Market cap",TRUE)</f>
        <v>524189207039</v>
      </c>
      <c r="E37" s="12" t="s">
        <v>3</v>
      </c>
      <c r="F37" s="15">
        <f t="shared" ca="1" si="8"/>
        <v>1.5935762816553352E-2</v>
      </c>
      <c r="G37" s="12" cm="1">
        <f t="array" aca="1" ref="G37" ca="1">_FV(A37,"Previous close",TRUE)</f>
        <v>1214.25</v>
      </c>
    </row>
    <row r="38" spans="1:7" x14ac:dyDescent="0.2">
      <c r="A38" s="7" t="e" vm="39">
        <v>#VALUE!</v>
      </c>
      <c r="B38" s="12" cm="1">
        <f t="array" aca="1" ref="B38" ca="1">_FV(A38,"Price")</f>
        <v>150.44800000000001</v>
      </c>
      <c r="C38" s="2" cm="1">
        <f t="array" aca="1" ref="C38" ca="1">_FV(A38,"Beta")</f>
        <v>0.3639</v>
      </c>
      <c r="D38" s="12" cm="1">
        <f t="array" aca="1" ref="D38" ca="1">_FV(A38,"Market cap",TRUE)</f>
        <v>352121287280</v>
      </c>
      <c r="E38" s="12" t="s">
        <v>3</v>
      </c>
      <c r="F38" s="15">
        <f t="shared" ca="1" si="8"/>
        <v>-1.6059459818169104E-3</v>
      </c>
      <c r="G38" s="12" cm="1">
        <f t="array" aca="1" ref="G38" ca="1">_FV(A38,"Previous close",TRUE)</f>
        <v>150.69</v>
      </c>
    </row>
    <row r="39" spans="1:7" x14ac:dyDescent="0.2">
      <c r="A39" s="7" t="e" vm="40">
        <v>#VALUE!</v>
      </c>
      <c r="B39" s="12" cm="1">
        <f t="array" aca="1" ref="B39" ca="1">_FV(A39,"Price")</f>
        <v>142.94</v>
      </c>
      <c r="C39" s="2" cm="1">
        <f t="array" aca="1" ref="C39" ca="1">_FV(A39,"Beta")</f>
        <v>0.45219999999999999</v>
      </c>
      <c r="D39" s="12" cm="1">
        <f t="array" aca="1" ref="D39" ca="1">_FV(A39,"Market cap",TRUE)</f>
        <v>195695866380</v>
      </c>
      <c r="E39" s="12" t="s">
        <v>3</v>
      </c>
      <c r="F39" s="15">
        <f t="shared" ref="F39:F40" ca="1" si="9">(B39-G39)/G39</f>
        <v>2.9530394698933982E-2</v>
      </c>
      <c r="G39" s="12" cm="1">
        <f t="array" aca="1" ref="G39" ca="1">_FV(A39,"Previous close",TRUE)</f>
        <v>138.84</v>
      </c>
    </row>
    <row r="40" spans="1:7" x14ac:dyDescent="0.2">
      <c r="A40" s="7" t="e" vm="41">
        <v>#VALUE!</v>
      </c>
      <c r="B40" s="12" cm="1">
        <f t="array" aca="1" ref="B40" ca="1">_FV(A40,"Price")</f>
        <v>256.47000000000003</v>
      </c>
      <c r="C40" s="2" cm="1">
        <f t="array" aca="1" ref="C40" ca="1">_FV(A40,"Beta")</f>
        <v>1.6278999999999999</v>
      </c>
      <c r="D40" s="12" cm="1">
        <f t="array" aca="1" ref="D40" ca="1">_FV(A40,"Market cap",TRUE)</f>
        <v>948275137.29999995</v>
      </c>
      <c r="E40" s="12" t="s">
        <v>5</v>
      </c>
      <c r="F40" s="15">
        <f t="shared" ca="1" si="9"/>
        <v>-2.4457968809433055E-2</v>
      </c>
      <c r="G40" s="12" cm="1">
        <f t="array" aca="1" ref="G40" ca="1">_FV(A40,"Previous close",TRUE)</f>
        <v>262.89999999999998</v>
      </c>
    </row>
    <row r="41" spans="1:7" x14ac:dyDescent="0.2">
      <c r="A41" s="7" t="e" vm="42">
        <v>#VALUE!</v>
      </c>
      <c r="B41" s="12" cm="1">
        <f t="array" aca="1" ref="B41" ca="1">_FV(A41,"Price")</f>
        <v>91.254099999999994</v>
      </c>
      <c r="C41" s="2" cm="1">
        <f t="array" aca="1" ref="C41" ca="1">_FV(A41,"Beta")</f>
        <v>1.1122000000000001</v>
      </c>
      <c r="D41" s="12" cm="1">
        <f t="array" aca="1" ref="D41" ca="1">_FV(A41,"Market cap",TRUE)</f>
        <v>467763309.89999998</v>
      </c>
      <c r="E41" s="12" t="s">
        <v>5</v>
      </c>
      <c r="F41" s="15">
        <f t="shared" ref="F41" ca="1" si="10">(B41-G41)/G41</f>
        <v>-1.5491423022979865E-2</v>
      </c>
      <c r="G41" s="12" cm="1">
        <f t="array" aca="1" ref="G41" ca="1">_FV(A41,"Previous close",TRUE)</f>
        <v>92.69</v>
      </c>
    </row>
    <row r="42" spans="1:7" x14ac:dyDescent="0.2">
      <c r="A42" s="7" t="e" vm="43">
        <v>#VALUE!</v>
      </c>
      <c r="B42" s="12" cm="1">
        <f t="array" aca="1" ref="B42" ca="1">_FV(A42,"Price")</f>
        <v>29.05</v>
      </c>
      <c r="C42" s="2" cm="1">
        <f t="array" aca="1" ref="C42" ca="1">_FV(A42,"Beta")</f>
        <v>1.1813</v>
      </c>
      <c r="D42" s="12" cm="1">
        <f t="array" aca="1" ref="D42" ca="1">_FV(A42,"Market cap",TRUE)</f>
        <v>72341276.459999993</v>
      </c>
      <c r="E42" s="12" t="s">
        <v>5</v>
      </c>
      <c r="F42" s="15">
        <f t="shared" ref="F42:F43" ca="1" si="11">(B42-G42)/G42</f>
        <v>-1.9740172093808024E-2</v>
      </c>
      <c r="G42" s="12" cm="1">
        <f t="array" aca="1" ref="G42" ca="1">_FV(A42,"Previous close",TRUE)</f>
        <v>29.635000000000002</v>
      </c>
    </row>
    <row r="43" spans="1:7" x14ac:dyDescent="0.2">
      <c r="A43" s="7" t="e" vm="44">
        <v>#VALUE!</v>
      </c>
      <c r="B43" s="12" cm="1">
        <f t="array" aca="1" ref="B43" ca="1">_FV(A43,"Price")</f>
        <v>564</v>
      </c>
      <c r="C43" s="2" cm="1">
        <f t="array" aca="1" ref="C43" ca="1">_FV(A43,"Beta")</f>
        <v>2.1572</v>
      </c>
      <c r="D43" s="12" cm="1">
        <f t="array" aca="1" ref="D43" ca="1">_FV(A43,"Market cap",TRUE)</f>
        <v>16110240000</v>
      </c>
      <c r="E43" s="12" t="s">
        <v>5</v>
      </c>
      <c r="F43" s="15">
        <f t="shared" ca="1" si="11"/>
        <v>2.2665457842248413E-2</v>
      </c>
      <c r="G43" s="12" cm="1">
        <f t="array" aca="1" ref="G43" ca="1">_FV(A43,"Previous close",TRUE)</f>
        <v>551.5</v>
      </c>
    </row>
    <row r="44" spans="1:7" x14ac:dyDescent="0.2">
      <c r="A44" s="7" t="e" vm="45">
        <v>#VALUE!</v>
      </c>
      <c r="B44" s="12" cm="1">
        <f t="array" aca="1" ref="B44" ca="1">_FV(A44,"Price")</f>
        <v>23.0701</v>
      </c>
      <c r="C44" s="2" cm="1">
        <f t="array" aca="1" ref="C44" ca="1">_FV(A44,"Beta")</f>
        <v>0.91</v>
      </c>
      <c r="D44" s="12" cm="1">
        <f t="array" aca="1" ref="D44" ca="1">_FV(A44,"Market cap",TRUE)</f>
        <v>28781050380.049999</v>
      </c>
      <c r="E44" s="12" t="s">
        <v>4</v>
      </c>
      <c r="F44" s="15">
        <f t="shared" ref="F44" ca="1" si="12">(B44-G44)/G44</f>
        <v>-8.6184495452576036E-4</v>
      </c>
      <c r="G44" s="12" cm="1">
        <f t="array" aca="1" ref="G44" ca="1">_FV(A44,"Previous close",TRUE)</f>
        <v>23.09</v>
      </c>
    </row>
    <row r="45" spans="1:7" x14ac:dyDescent="0.2">
      <c r="A45" s="7" t="e" vm="46">
        <v>#VALUE!</v>
      </c>
      <c r="B45" s="12" cm="1">
        <f t="array" aca="1" ref="B45" ca="1">_FV(A45,"Price")</f>
        <v>58.715000000000003</v>
      </c>
      <c r="C45" s="2" cm="1">
        <f t="array" aca="1" ref="C45" ca="1">_FV(A45,"Beta")</f>
        <v>1.0345</v>
      </c>
      <c r="D45" s="12" cm="1">
        <f t="array" aca="1" ref="D45" ca="1">_FV(A45,"Market cap",TRUE)</f>
        <v>23059290073</v>
      </c>
      <c r="E45" s="12" t="s">
        <v>4</v>
      </c>
      <c r="F45" s="15">
        <f t="shared" ref="F45" ca="1" si="13">(B45-G45)/G45</f>
        <v>-8.5149863760140541E-5</v>
      </c>
      <c r="G45" s="12" cm="1">
        <f t="array" aca="1" ref="G45" ca="1">_FV(A45,"Previous close",TRUE)</f>
        <v>58.72</v>
      </c>
    </row>
    <row r="46" spans="1:7" x14ac:dyDescent="0.2">
      <c r="A46" s="7" t="e" vm="47">
        <v>#VALUE!</v>
      </c>
      <c r="B46" s="12" cm="1">
        <f t="array" aca="1" ref="B46" ca="1">_FV(A46,"Price")</f>
        <v>59.916200000000003</v>
      </c>
      <c r="C46" s="2" cm="1">
        <f t="array" aca="1" ref="C46" ca="1">_FV(A46,"Beta")</f>
        <v>1.3956999999999999</v>
      </c>
      <c r="D46" s="12" cm="1">
        <f t="array" aca="1" ref="D46" ca="1">_FV(A46,"Market cap",TRUE)</f>
        <v>33811697773</v>
      </c>
      <c r="E46" s="12" t="s">
        <v>4</v>
      </c>
      <c r="F46" s="15">
        <f t="shared" ref="F46" ca="1" si="14">(B46-G46)/G46</f>
        <v>-3.9706373039696813E-4</v>
      </c>
      <c r="G46" s="12" cm="1">
        <f t="array" aca="1" ref="G46" ca="1">_FV(A46,"Previous close",TRUE)</f>
        <v>59.94</v>
      </c>
    </row>
    <row r="47" spans="1:7" x14ac:dyDescent="0.2">
      <c r="A47" s="7" t="e" vm="48">
        <v>#VALUE!</v>
      </c>
      <c r="B47" s="12" cm="1">
        <f t="array" aca="1" ref="B47" ca="1">_FV(A47,"Price")</f>
        <v>56.6982</v>
      </c>
      <c r="C47" s="2" cm="1">
        <f t="array" aca="1" ref="C47" ca="1">_FV(A47,"Beta")</f>
        <v>1.0071000000000001</v>
      </c>
      <c r="D47" s="12" cm="1">
        <f t="array" aca="1" ref="D47" ca="1">_FV(A47,"Market cap",TRUE)</f>
        <v>10020142831</v>
      </c>
      <c r="E47" s="12" t="s">
        <v>4</v>
      </c>
      <c r="F47" s="15">
        <f t="shared" ref="F47" ca="1" si="15">(B47-G47)/G47</f>
        <v>-1.4406481155336598E-3</v>
      </c>
      <c r="G47" s="12" cm="1">
        <f t="array" aca="1" ref="G47" ca="1">_FV(A47,"Previous close",TRUE)</f>
        <v>56.78</v>
      </c>
    </row>
    <row r="48" spans="1:7" x14ac:dyDescent="0.2">
      <c r="A48" s="7" t="e" vm="49">
        <v>#VALUE!</v>
      </c>
      <c r="B48" s="17" cm="1">
        <f t="array" aca="1" ref="B48" ca="1">_FV(A48,"Price")</f>
        <v>29.494499999999999</v>
      </c>
      <c r="C48" s="18" cm="1">
        <f t="array" aca="1" ref="C48" ca="1">_FV(A48,"Beta")</f>
        <v>1.0470999999999999</v>
      </c>
      <c r="D48" s="17" cm="1">
        <f t="array" aca="1" ref="D48" ca="1">_FV(A48,"Market cap",TRUE)</f>
        <v>1794311479.9000001</v>
      </c>
      <c r="E48" s="17" t="s">
        <v>4</v>
      </c>
      <c r="F48" s="19">
        <f ca="1">(B48-G48)/G48</f>
        <v>-2.2158322056833597E-3</v>
      </c>
      <c r="G48" s="17" cm="1">
        <f t="array" aca="1" ref="G48" ca="1">_FV(A48,"Previous close",TRUE)</f>
        <v>29.56</v>
      </c>
    </row>
    <row r="49" spans="1:7" x14ac:dyDescent="0.2">
      <c r="A49" s="7" t="e" vm="50">
        <v>#VALUE!</v>
      </c>
      <c r="B49" s="17" cm="1">
        <f t="array" aca="1" ref="B49" ca="1">_FV(A49,"Price")</f>
        <v>20.309999999999999</v>
      </c>
      <c r="C49" s="18" cm="1">
        <f t="array" aca="1" ref="C49" ca="1">_FV(A49,"Beta")</f>
        <v>-4.7999999999999996E-3</v>
      </c>
      <c r="D49" s="17" cm="1">
        <f t="array" aca="1" ref="D49" ca="1">_FV(A49,"Market cap",TRUE)</f>
        <v>356812297</v>
      </c>
      <c r="E49" s="17" t="s">
        <v>4</v>
      </c>
      <c r="F49" s="19">
        <f ca="1">(B49-G49)/G49</f>
        <v>4.926108374383256E-4</v>
      </c>
      <c r="G49" s="17" cm="1">
        <f t="array" aca="1" ref="G49" ca="1">_FV(A49,"Previous close",TRUE)</f>
        <v>20.3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3"/>
  <sheetViews>
    <sheetView topLeftCell="D1" zoomScale="85" zoomScaleNormal="70" workbookViewId="0">
      <selection activeCell="K31" sqref="K31"/>
    </sheetView>
  </sheetViews>
  <sheetFormatPr baseColWidth="10" defaultColWidth="10.6640625" defaultRowHeight="16" x14ac:dyDescent="0.2"/>
  <cols>
    <col min="1" max="1" width="14.6640625" style="7"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3" customFormat="1" ht="85" x14ac:dyDescent="0.2">
      <c r="A1" s="3" t="s">
        <v>19</v>
      </c>
      <c r="B1" s="3" t="e" vm="1">
        <v>#VALUE!</v>
      </c>
      <c r="D1" s="3" t="e" vm="2">
        <v>#VALUE!</v>
      </c>
      <c r="F1" s="3" t="e" vm="3">
        <v>#VALUE!</v>
      </c>
      <c r="H1" s="3" t="e" vm="4">
        <v>#VALUE!</v>
      </c>
      <c r="J1" s="3" t="e" vm="5">
        <v>#VALUE!</v>
      </c>
      <c r="L1" s="3" t="e" vm="6">
        <v>#VALUE!</v>
      </c>
      <c r="N1" s="3" t="e" vm="7">
        <v>#VALUE!</v>
      </c>
      <c r="P1" s="3" t="e" vm="8">
        <v>#VALUE!</v>
      </c>
      <c r="R1" s="3" t="e" vm="9">
        <v>#VALUE!</v>
      </c>
      <c r="T1" s="3" t="e" vm="11">
        <v>#VALUE!</v>
      </c>
      <c r="V1" s="3" t="e" vm="12">
        <v>#VALUE!</v>
      </c>
      <c r="X1" s="4" t="e" vm="15">
        <v>#VALUE!</v>
      </c>
      <c r="Y1" s="5"/>
      <c r="Z1" s="3" t="e" vm="16">
        <v>#VALUE!</v>
      </c>
      <c r="AB1" s="3" t="e" vm="17">
        <v>#VALUE!</v>
      </c>
      <c r="AD1" s="3" t="e" vm="18">
        <v>#VALUE!</v>
      </c>
      <c r="AF1" s="3" t="e" vm="19">
        <v>#VALUE!</v>
      </c>
      <c r="AH1" s="3" t="e" vm="20">
        <v>#VALUE!</v>
      </c>
      <c r="AJ1" s="3" t="e" vm="21">
        <v>#VALUE!</v>
      </c>
      <c r="AL1" s="3" t="s">
        <v>85</v>
      </c>
      <c r="AN1" s="3" t="e" vm="23">
        <v>#VALUE!</v>
      </c>
      <c r="AP1" s="3" t="s">
        <v>86</v>
      </c>
      <c r="AR1" s="3" t="e" vm="25">
        <v>#VALUE!</v>
      </c>
      <c r="AT1" s="3" t="e" vm="26">
        <v>#VALUE!</v>
      </c>
      <c r="AV1" s="3" t="e" vm="27">
        <v>#VALUE!</v>
      </c>
      <c r="AX1" s="3" t="e" vm="28">
        <v>#VALUE!</v>
      </c>
      <c r="AZ1" s="3" t="e" vm="29">
        <v>#VALUE!</v>
      </c>
      <c r="BB1" s="3" t="e" vm="30">
        <v>#VALUE!</v>
      </c>
      <c r="BD1" s="3" t="e" vm="31">
        <v>#VALUE!</v>
      </c>
      <c r="BF1" s="3" t="e" vm="32">
        <v>#VALUE!</v>
      </c>
      <c r="BH1" s="3" t="e" vm="33">
        <v>#VALUE!</v>
      </c>
      <c r="BJ1" s="3" t="e" vm="34">
        <v>#VALUE!</v>
      </c>
      <c r="BL1" s="3" t="e" vm="35">
        <v>#VALUE!</v>
      </c>
      <c r="BN1" s="3" t="e" vm="36">
        <v>#VALUE!</v>
      </c>
      <c r="BP1" s="3" t="e" vm="37">
        <v>#VALUE!</v>
      </c>
      <c r="BR1" s="3" t="e" vm="38">
        <v>#VALUE!</v>
      </c>
      <c r="BT1" s="3" t="e" vm="39">
        <v>#VALUE!</v>
      </c>
      <c r="BV1" s="3" t="e" vm="40">
        <v>#VALUE!</v>
      </c>
      <c r="BX1" s="3" t="e" vm="41">
        <v>#VALUE!</v>
      </c>
      <c r="BZ1" s="3" t="e" vm="42">
        <v>#VALUE!</v>
      </c>
      <c r="CB1" s="3" t="e" vm="43">
        <v>#VALUE!</v>
      </c>
      <c r="CD1" s="3" t="e" vm="44">
        <v>#VALUE!</v>
      </c>
      <c r="CF1" s="3" t="e" vm="45">
        <v>#VALUE!</v>
      </c>
      <c r="CH1" s="3" t="e" vm="46">
        <v>#VALUE!</v>
      </c>
      <c r="CJ1" s="3" t="e" vm="47">
        <v>#VALUE!</v>
      </c>
      <c r="CL1" s="3" t="e" vm="48">
        <v>#VALUE!</v>
      </c>
      <c r="CN1" s="3" t="e" vm="49">
        <v>#VALUE!</v>
      </c>
      <c r="CP1" s="3" t="e" vm="50">
        <v>#VALUE!</v>
      </c>
    </row>
    <row r="2" spans="1:95" s="1" customFormat="1" x14ac:dyDescent="0.2">
      <c r="A2" s="6" t="str" cm="1">
        <f t="array" aca="1" ref="A2:B252" ca="1">_xlfn.STOCKHISTORY("AAPL", TODAY()-365, TODAY(), 0, 1)</f>
        <v>Date</v>
      </c>
      <c r="B2" s="1" t="str">
        <f ca="1"/>
        <v>Close</v>
      </c>
      <c r="C2" s="1" t="s">
        <v>20</v>
      </c>
      <c r="D2" s="1" t="str" cm="1">
        <f t="array" aca="1" ref="D2:D252" ca="1">INDEX(_xlfn.STOCKHISTORY("NVDA", TODAY()-365, TODAY(), 0, 1), , 2)</f>
        <v>Close</v>
      </c>
      <c r="E2" s="1" t="s">
        <v>20</v>
      </c>
      <c r="F2" s="1" t="str" cm="1">
        <f t="array" aca="1" ref="F2:F252" ca="1">INDEX(_xlfn.STOCKHISTORY("MSFT", TODAY()-365, TODAY(), 0, 1), , 2)</f>
        <v>Close</v>
      </c>
      <c r="G2" s="1" t="s">
        <v>20</v>
      </c>
      <c r="H2" s="1" t="str" cm="1">
        <f t="array" aca="1" ref="H2:H252" ca="1">INDEX(_xlfn.STOCKHISTORY("meta", TODAY()-365, TODAY(), 0, 1), , 2)</f>
        <v>Close</v>
      </c>
      <c r="I2" s="1" t="s">
        <v>20</v>
      </c>
      <c r="J2" s="1" t="str" cm="1">
        <f t="array" aca="1" ref="J2:J252" ca="1">INDEX(_xlfn.STOCKHISTORY("GOOGL", TODAY()-365, TODAY(), 0, 1), , 2)</f>
        <v>Close</v>
      </c>
      <c r="K2" s="1" t="s">
        <v>20</v>
      </c>
      <c r="L2" s="1" t="str" cm="1">
        <f t="array" aca="1" ref="L2:L252" ca="1">INDEX(_xlfn.STOCKHISTORY("SPY", TODAY()-365, TODAY(), 0, 1), , 2)</f>
        <v>Close</v>
      </c>
      <c r="M2" s="1" t="s">
        <v>20</v>
      </c>
      <c r="N2" s="1" t="str" cm="1">
        <f t="array" aca="1" ref="N2:N252" ca="1">INDEX(_xlfn.STOCKHISTORY("TLT", TODAY()-365, TODAY(), 0, 1), , 2)</f>
        <v>Close</v>
      </c>
      <c r="O2" s="1" t="s">
        <v>20</v>
      </c>
      <c r="P2" s="1" t="str" cm="1">
        <f t="array" aca="1" ref="P2:P252" ca="1">INDEX(_xlfn.STOCKHISTORY("GLD", TODAY()-365, TODAY(), 0, 1), , 2)</f>
        <v>Close</v>
      </c>
      <c r="Q2" s="1" t="s">
        <v>20</v>
      </c>
      <c r="R2" s="1" t="str" cm="1">
        <f t="array" aca="1" ref="R2:R252" ca="1">INDEX(_xlfn.STOCKHISTORY("USO", TODAY()-365, TODAY(), 0, 1), , 2)</f>
        <v>Close</v>
      </c>
      <c r="S2" s="1" t="s">
        <v>20</v>
      </c>
      <c r="T2" s="1" t="str" cm="1">
        <f t="array" aca="1" ref="T2:T252" ca="1">INDEX(_xlfn.STOCKHISTORY("IEF", TODAY()-365, TODAY(), 0, 1), , 2)</f>
        <v>Close</v>
      </c>
      <c r="U2" s="1" t="s">
        <v>20</v>
      </c>
      <c r="V2" s="1" t="str" cm="1">
        <f t="array" aca="1" ref="V2:V252" ca="1">INDEX(_xlfn.STOCKHISTORY("BNDI", TODAY()-365, TODAY(), 0, 1), , 2)</f>
        <v>Close</v>
      </c>
      <c r="W2" s="1" t="s">
        <v>20</v>
      </c>
      <c r="X2" s="1" t="str" cm="1">
        <f t="array" aca="1" ref="X2:X252" ca="1">INDEX(_xlfn.STOCKHISTORY("APO", TODAY()-365, TODAY(), 0, 1), , 2)</f>
        <v>Close</v>
      </c>
      <c r="Y2" s="1" t="s">
        <v>20</v>
      </c>
      <c r="Z2" s="1" t="str" cm="1">
        <f t="array" aca="1" ref="Z2:Z252" ca="1">INDEX(_xlfn.STOCKHISTORY("XLE", TODAY()-365, TODAY(), 0, 1), , 2)</f>
        <v>Close</v>
      </c>
      <c r="AA2" s="1" t="s">
        <v>20</v>
      </c>
      <c r="AB2" s="1" t="str" cm="1">
        <f t="array" aca="1" ref="AB2:AB252" ca="1">INDEX(_xlfn.STOCKHISTORY("ARCX:DBO", TODAY()-365, TODAY(), 0, 1), , 2)</f>
        <v>Close</v>
      </c>
      <c r="AC2" s="1" t="s">
        <v>20</v>
      </c>
      <c r="AD2" s="1" t="str" cm="1">
        <f t="array" aca="1" ref="AD2:AD253" ca="1">INDEX(_xlfn.STOCKHISTORY("XCNQ:OIL", TODAY()-365, TODAY(), 0, 1), , 2)</f>
        <v>Close</v>
      </c>
      <c r="AE2" s="1" t="s">
        <v>20</v>
      </c>
      <c r="AF2" s="1" t="str" cm="1">
        <f t="array" aca="1" ref="AF2:AF252" ca="1">INDEX(_xlfn.STOCKHISTORY("ARCX:SLV", TODAY()-365, TODAY(), 0, 1), , 2)</f>
        <v>Close</v>
      </c>
      <c r="AG2" s="1" t="s">
        <v>20</v>
      </c>
      <c r="AH2" s="1" t="str" cm="1">
        <f t="array" aca="1" ref="AH2:AH252" ca="1">INDEX(_xlfn.STOCKHISTORY("ARCX:DBA", TODAY()-365, TODAY(), 0, 1), , 2)</f>
        <v>Close</v>
      </c>
      <c r="AI2" s="1" t="s">
        <v>20</v>
      </c>
      <c r="AJ2" s="1" t="str" cm="1">
        <f t="array" aca="1" ref="AJ2:AJ252" ca="1">INDEX(_xlfn.STOCKHISTORY("ARCX:WEAT", TODAY()-365, TODAY(), 0, 1), , 2)</f>
        <v>Close</v>
      </c>
      <c r="AK2" s="1" t="s">
        <v>20</v>
      </c>
      <c r="AL2" s="1" t="str" cm="1">
        <f t="array" aca="1" ref="AL2:AL252" ca="1">INDEX(_xlfn.STOCKHISTORY("ARCX:GLDM", TODAY()-365, TODAY(), 0, 1), , 2)</f>
        <v>Close</v>
      </c>
      <c r="AM2" s="1" t="s">
        <v>20</v>
      </c>
      <c r="AN2" s="1" t="str" cm="1">
        <f t="array" aca="1" ref="AN2:AN252" ca="1">INDEX(_xlfn.STOCKHISTORY("ARCX:PPLT", TODAY()-365, TODAY(), 0, 1), , 2)</f>
        <v>Close</v>
      </c>
      <c r="AO2" s="1" t="s">
        <v>20</v>
      </c>
      <c r="AP2" s="1" t="str" cm="1">
        <f t="array" aca="1" ref="AP2:AP252" ca="1">INDEX(_xlfn.STOCKHISTORY("ARCX:SCHP", TODAY()-365, TODAY(), 0, 1), , 2)</f>
        <v>Close</v>
      </c>
      <c r="AQ2" s="1" t="s">
        <v>20</v>
      </c>
      <c r="AR2" s="1" t="str" cm="1">
        <f t="array" aca="1" ref="AR2:AR252" ca="1">INDEX(_xlfn.STOCKHISTORY("BATS:FLOT", TODAY()-365, TODAY(), 0, 1), , 2)</f>
        <v>Close</v>
      </c>
      <c r="AS2" s="1" t="s">
        <v>20</v>
      </c>
      <c r="AT2" s="1" t="str" cm="1">
        <f t="array" aca="1" ref="AT2:AT252" ca="1">INDEX(_xlfn.STOCKHISTORY("ARCX:SPTS", TODAY()-365, TODAY(), 0, 1), , 2)</f>
        <v>Close</v>
      </c>
      <c r="AU2" s="1" t="s">
        <v>20</v>
      </c>
      <c r="AV2" s="2" t="str" cm="1">
        <f t="array" aca="1" ref="AV2:AV252" ca="1">INDEX(_xlfn.STOCKHISTORY("ARCX:SPTL", TODAY()-365, TODAY(), 0, 1), , 2)</f>
        <v>Close</v>
      </c>
      <c r="AW2" s="1" t="s">
        <v>20</v>
      </c>
      <c r="AX2" s="1" t="str" cm="1">
        <f t="array" aca="1" ref="AX2:AX252" ca="1">INDEX(_xlfn.STOCKHISTORY("ARCX:BIL", TODAY()-365, TODAY(), 0, 1), , 2)</f>
        <v>Close</v>
      </c>
      <c r="AY2" s="1" t="s">
        <v>20</v>
      </c>
      <c r="AZ2" s="1" t="str" cm="1">
        <f t="array" aca="1" ref="AZ2:AZ252" ca="1">INDEX(_xlfn.STOCKHISTORY("BRK.B", TODAY()-365, TODAY(), 0, 1), , 2)</f>
        <v>Close</v>
      </c>
      <c r="BA2" s="1" t="s">
        <v>20</v>
      </c>
      <c r="BB2" s="1" t="str" cm="1">
        <f t="array" aca="1" ref="BB2:BB252" ca="1">INDEX(_xlfn.STOCKHISTORY("JPM", TODAY()-365, TODAY(), 0, 1), , 2)</f>
        <v>Close</v>
      </c>
      <c r="BC2" s="1" t="s">
        <v>20</v>
      </c>
      <c r="BD2" s="1" t="str" cm="1">
        <f t="array" aca="1" ref="BD2:BD252" ca="1">INDEX(_xlfn.STOCKHISTORY("BAC", TODAY()-365, TODAY(), 0, 1), , 2)</f>
        <v>Close</v>
      </c>
      <c r="BE2" s="1" t="s">
        <v>20</v>
      </c>
      <c r="BF2" s="1" t="str" cm="1">
        <f t="array" aca="1" ref="BF2:BF252" ca="1">INDEX(_xlfn.STOCKHISTORY("XOM", TODAY()-365, TODAY(), 0, 1), , 2)</f>
        <v>Close</v>
      </c>
      <c r="BG2" s="1" t="s">
        <v>20</v>
      </c>
      <c r="BH2" s="1" t="str" cm="1">
        <f t="array" aca="1" ref="BH2:BH252" ca="1">INDEX(_xlfn.STOCKHISTORY("CVX", TODAY()-365, TODAY(), 0, 1), , 2)</f>
        <v>Close</v>
      </c>
      <c r="BI2" s="1" t="s">
        <v>20</v>
      </c>
      <c r="BJ2" s="1" t="str" cm="1">
        <f t="array" aca="1" ref="BJ2:BJ252" ca="1">INDEX(_xlfn.STOCKHISTORY("JNJ", TODAY()-365, TODAY(), 0, 1), , 2)</f>
        <v>Close</v>
      </c>
      <c r="BK2" s="1" t="s">
        <v>20</v>
      </c>
      <c r="BL2" s="1" t="str" cm="1">
        <f t="array" aca="1" ref="BL2:BL252" ca="1">INDEX(_xlfn.STOCKHISTORY("KO", TODAY()-365, TODAY(), 0, 1), , 2)</f>
        <v>Close</v>
      </c>
      <c r="BM2" s="1" t="s">
        <v>20</v>
      </c>
      <c r="BN2" s="1" t="str" cm="1">
        <f t="array" aca="1" ref="BN2:BN252" ca="1">INDEX(_xlfn.STOCKHISTORY("MCD", TODAY()-365, TODAY(), 0, 1), , 2)</f>
        <v>Close</v>
      </c>
      <c r="BO2" s="1" t="s">
        <v>20</v>
      </c>
      <c r="BP2" s="1" t="str" cm="1">
        <f t="array" aca="1" ref="BP2:BP252" ca="1">INDEX(_xlfn.STOCKHISTORY("DIS", TODAY()-365, TODAY(), 0, 1), , 2)</f>
        <v>Close</v>
      </c>
      <c r="BQ2" s="1" t="s">
        <v>20</v>
      </c>
      <c r="BR2" s="1" t="str" cm="1">
        <f t="array" aca="1" ref="BR2:BR252" ca="1">INDEX(_xlfn.STOCKHISTORY("NFLX", TODAY()-365, TODAY(), 0, 1), , 2)</f>
        <v>Close</v>
      </c>
      <c r="BS2" s="1" t="s">
        <v>20</v>
      </c>
      <c r="BT2" s="1" t="str" cm="1">
        <f t="array" aca="1" ref="BT2:BT252" ca="1">INDEX(_xlfn.STOCKHISTORY("PG", TODAY()-365, TODAY(), 0, 1), , 2)</f>
        <v>Close</v>
      </c>
      <c r="BU2" s="1" t="s">
        <v>20</v>
      </c>
      <c r="BV2" s="1" t="str" cm="1">
        <f t="array" aca="1" ref="BV2:BV252" ca="1">INDEX(_xlfn.STOCKHISTORY("PEP", TODAY()-365, TODAY(), 0, 1), , 2)</f>
        <v>Close</v>
      </c>
      <c r="BW2" s="1" t="s">
        <v>20</v>
      </c>
      <c r="BX2" s="1" t="str" cm="1">
        <f t="array" aca="1" ref="BX2:BX252" ca="1">INDEX(_xlfn.STOCKHISTORY("OIH", TODAY()-365, TODAY(), 0, 1), , 2)</f>
        <v>Close</v>
      </c>
      <c r="BY2" s="1" t="s">
        <v>20</v>
      </c>
      <c r="BZ2" s="1" t="str" cm="1">
        <f t="array" aca="1" ref="BZ2:BZ252" ca="1">INDEX(_xlfn.STOCKHISTORY("IEO", TODAY()-365, TODAY(), 0, 1), , 2)</f>
        <v>Close</v>
      </c>
      <c r="CA2" s="1" t="s">
        <v>20</v>
      </c>
      <c r="CB2" s="1" t="str" cm="1">
        <f t="array" aca="1" ref="CB2:CB252" ca="1">INDEX(_xlfn.STOCKHISTORY("PXE", TODAY()-365, TODAY(), 0, 1), , 2)</f>
        <v>Close</v>
      </c>
      <c r="CC2" s="1" t="s">
        <v>20</v>
      </c>
      <c r="CD2" s="1" t="str" cm="1">
        <f t="array" aca="1" ref="CD2:CD252" ca="1">INDEX(_xlfn.STOCKHISTORY("MRO*", TODAY()-365, TODAY(), 0, 1), , 2)</f>
        <v>Close</v>
      </c>
      <c r="CE2" s="1" t="s">
        <v>20</v>
      </c>
      <c r="CF2" s="1" t="str" cm="1">
        <f t="array" aca="1" ref="CF2:CF252" ca="1">INDEX(_xlfn.STOCKHISTORY("GOVT", TODAY()-365, TODAY(), 0, 1), , 2)</f>
        <v>Close</v>
      </c>
      <c r="CG2" s="1" t="s">
        <v>20</v>
      </c>
      <c r="CH2" s="1" t="str" cm="1">
        <f t="array" aca="1" ref="CH2:CH252" ca="1">INDEX(_xlfn.STOCKHISTORY("VGSH", TODAY()-365, TODAY(), 0, 1), , 2)</f>
        <v>Close</v>
      </c>
      <c r="CI2" s="1" t="s">
        <v>20</v>
      </c>
      <c r="CJ2" s="1" t="str" cm="1">
        <f t="array" aca="1" ref="CJ2:CJ252" ca="1">INDEX(_xlfn.STOCKHISTORY("VGIT", TODAY()-365, TODAY(), 0, 1), , 2)</f>
        <v>Close</v>
      </c>
      <c r="CK2" s="1" t="s">
        <v>20</v>
      </c>
      <c r="CL2" s="1" t="str" cm="1">
        <f t="array" aca="1" ref="CL2:CL252" ca="1">INDEX(_xlfn.STOCKHISTORY("VGLT", TODAY()-365, TODAY(), 0, 1), , 2)</f>
        <v>Close</v>
      </c>
      <c r="CM2" s="1" t="s">
        <v>20</v>
      </c>
      <c r="CN2" s="1" t="str" cm="1">
        <f t="array" aca="1" ref="CN2:CN252" ca="1">INDEX(_xlfn.STOCKHISTORY("SPBO", TODAY()-365, TODAY(), 0, 1), , 2)</f>
        <v>Close</v>
      </c>
      <c r="CO2" s="1" t="s">
        <v>20</v>
      </c>
      <c r="CP2" s="1" t="str" cm="1">
        <f t="array" aca="1" ref="CP2:CP252" ca="1">INDEX(_xlfn.STOCKHISTORY("CRED", TODAY()-365, TODAY(), 0, 1), , 2)</f>
        <v>Close</v>
      </c>
      <c r="CQ2" s="1" t="s">
        <v>20</v>
      </c>
    </row>
    <row r="3" spans="1:95" x14ac:dyDescent="0.2">
      <c r="A3" s="7" vm="51">
        <f ca="1"/>
        <v>45574</v>
      </c>
      <c r="B3" s="2" vm="52">
        <f ca="1"/>
        <v>229.54</v>
      </c>
      <c r="D3" s="2" vm="53">
        <f ca="1"/>
        <v>132.65</v>
      </c>
      <c r="F3" s="2" vm="54">
        <f ca="1"/>
        <v>417.46</v>
      </c>
      <c r="H3" s="2" vm="55">
        <f ca="1"/>
        <v>590.51</v>
      </c>
      <c r="J3" s="2" vm="56">
        <f ca="1"/>
        <v>161.86000000000001</v>
      </c>
      <c r="L3" s="2" vm="57">
        <f ca="1"/>
        <v>577.14</v>
      </c>
      <c r="N3" s="2" vm="58">
        <f ca="1"/>
        <v>94.45</v>
      </c>
      <c r="P3" s="2" vm="59">
        <f ca="1"/>
        <v>241.05</v>
      </c>
      <c r="R3" s="2" vm="60">
        <f ca="1"/>
        <v>75.25</v>
      </c>
      <c r="T3" s="2" vm="61">
        <f ca="1"/>
        <v>95.84</v>
      </c>
      <c r="V3" s="2" vm="62">
        <f ca="1"/>
        <v>48.045000000000002</v>
      </c>
      <c r="X3" s="2" vm="63">
        <f ca="1"/>
        <v>138.02000000000001</v>
      </c>
      <c r="Z3" s="2" vm="64">
        <f ca="1"/>
        <v>91.62</v>
      </c>
      <c r="AB3" s="2" vm="65">
        <f ca="1"/>
        <v>14.93</v>
      </c>
      <c r="AD3" s="2" vm="66">
        <f ca="1"/>
        <v>3.11</v>
      </c>
      <c r="AF3" s="2" vm="67">
        <f ca="1"/>
        <v>27.86</v>
      </c>
      <c r="AH3" s="2" vm="68">
        <f ca="1"/>
        <v>25.57</v>
      </c>
      <c r="AJ3" s="2" vm="69">
        <f ca="1"/>
        <v>5.4</v>
      </c>
      <c r="AL3" s="2" vm="70">
        <f ca="1"/>
        <v>51.7</v>
      </c>
      <c r="AN3" s="2" vm="71">
        <f ca="1"/>
        <v>87.32</v>
      </c>
      <c r="AP3" s="2" vm="72">
        <f ca="1"/>
        <v>26.54</v>
      </c>
      <c r="AR3" s="2" vm="73">
        <f ca="1"/>
        <v>50.9</v>
      </c>
      <c r="AT3" s="2" vm="74">
        <f ca="1"/>
        <v>29.14</v>
      </c>
      <c r="AV3" s="2" vm="75">
        <f ca="1"/>
        <v>28.05</v>
      </c>
      <c r="AX3" s="2" vm="76">
        <f ca="1"/>
        <v>91.54</v>
      </c>
      <c r="AZ3" s="2" vm="77">
        <f ca="1"/>
        <v>455.9</v>
      </c>
      <c r="BB3" s="2" vm="78">
        <f ca="1"/>
        <v>213.42</v>
      </c>
      <c r="BD3" s="2" vm="79">
        <f ca="1"/>
        <v>40.19</v>
      </c>
      <c r="BF3" s="2" vm="80">
        <f ca="1"/>
        <v>122.09</v>
      </c>
      <c r="BH3" s="2" vm="81">
        <f ca="1"/>
        <v>149.65</v>
      </c>
      <c r="BJ3" s="2" vm="82">
        <f ca="1"/>
        <v>160.65</v>
      </c>
      <c r="BL3" s="2" vm="83">
        <f ca="1"/>
        <v>69.569999999999993</v>
      </c>
      <c r="BN3" s="2" vm="84">
        <f ca="1"/>
        <v>303.83</v>
      </c>
      <c r="BP3" s="2" vm="85">
        <f ca="1"/>
        <v>93.6</v>
      </c>
      <c r="BR3" s="2" vm="86">
        <f ca="1"/>
        <v>727.43</v>
      </c>
      <c r="BT3" s="2" vm="87">
        <f ca="1"/>
        <v>169.27</v>
      </c>
      <c r="BV3" s="2" vm="88">
        <f ca="1"/>
        <v>172.54</v>
      </c>
      <c r="BX3" s="2" vm="89">
        <f ca="1"/>
        <v>292.57</v>
      </c>
      <c r="BZ3" s="2" vm="90">
        <f ca="1"/>
        <v>95.71</v>
      </c>
      <c r="CB3" s="2" vm="91">
        <f ca="1"/>
        <v>31.05</v>
      </c>
      <c r="CD3" s="2" t="e" vm="92">
        <f ca="1"/>
        <v>#N/A</v>
      </c>
      <c r="CF3" s="2" vm="93">
        <f ca="1"/>
        <v>23.02</v>
      </c>
      <c r="CH3" s="2" vm="94">
        <f ca="1"/>
        <v>58.49</v>
      </c>
      <c r="CJ3" s="2" vm="95">
        <f ca="1"/>
        <v>59.34</v>
      </c>
      <c r="CL3" s="2" vm="96">
        <f ca="1"/>
        <v>59.37</v>
      </c>
      <c r="CN3" s="2" vm="97">
        <f ca="1"/>
        <v>29.56</v>
      </c>
      <c r="CP3" s="2" vm="98">
        <f ca="1"/>
        <v>23.25</v>
      </c>
    </row>
    <row r="4" spans="1:95" x14ac:dyDescent="0.2">
      <c r="A4" s="7" vm="99">
        <f ca="1"/>
        <v>45575</v>
      </c>
      <c r="B4" s="2" vm="100">
        <f ca="1"/>
        <v>229.04</v>
      </c>
      <c r="C4" s="2">
        <f ca="1">(B4-B3)/B3</f>
        <v>-2.178269582643548E-3</v>
      </c>
      <c r="D4" s="2" vm="101">
        <f ca="1"/>
        <v>134.81</v>
      </c>
      <c r="E4" s="2">
        <f ca="1">(D4-D3)/D3</f>
        <v>1.6283452695062168E-2</v>
      </c>
      <c r="F4" s="2" vm="102">
        <f ca="1"/>
        <v>415.84</v>
      </c>
      <c r="G4" s="2">
        <f ca="1">(F4-F3)/F3</f>
        <v>-3.8806113160542439E-3</v>
      </c>
      <c r="H4" s="2" vm="103">
        <f ca="1"/>
        <v>583.83000000000004</v>
      </c>
      <c r="I4" s="2">
        <f ca="1">(H4-H3)/H3</f>
        <v>-1.131225550795067E-2</v>
      </c>
      <c r="J4" s="2" vm="104">
        <f ca="1"/>
        <v>162.08000000000001</v>
      </c>
      <c r="K4" s="2">
        <f ca="1">(J4-J3)/J3</f>
        <v>1.3591993080439816E-3</v>
      </c>
      <c r="L4" s="2" vm="105">
        <f ca="1"/>
        <v>576.13</v>
      </c>
      <c r="M4" s="2">
        <f ca="1">(L4-L3)/L3</f>
        <v>-1.750008663409209E-3</v>
      </c>
      <c r="N4" s="2" vm="106">
        <f ca="1"/>
        <v>94.08</v>
      </c>
      <c r="O4" s="2">
        <f ca="1">(N4-N3)/N3</f>
        <v>-3.917416622551663E-3</v>
      </c>
      <c r="P4" s="2" vm="107">
        <f ca="1"/>
        <v>242.82</v>
      </c>
      <c r="Q4" s="2">
        <f ca="1">(P4-P3)/P3</f>
        <v>7.3428749222152322E-3</v>
      </c>
      <c r="R4" s="2" vm="108">
        <f ca="1"/>
        <v>77.77</v>
      </c>
      <c r="S4" s="2">
        <f ca="1">(R4-R3)/R3</f>
        <v>3.3488372093023203E-2</v>
      </c>
      <c r="T4" s="2" vm="109">
        <f ca="1"/>
        <v>95.83</v>
      </c>
      <c r="U4" s="2">
        <f ca="1">(T4-T3)/T3</f>
        <v>-1.0434056761274119E-4</v>
      </c>
      <c r="V4" s="2" vm="110">
        <f ca="1"/>
        <v>48.05</v>
      </c>
      <c r="W4" s="2">
        <f ca="1">(V4-V3)/V3</f>
        <v>1.0406910188355609E-4</v>
      </c>
      <c r="X4" s="2" vm="111">
        <f ca="1"/>
        <v>137.91999999999999</v>
      </c>
      <c r="Y4" s="2">
        <f ca="1">(X4-X3)/X3</f>
        <v>-7.245326764238714E-4</v>
      </c>
      <c r="Z4" s="2" vm="112">
        <f ca="1"/>
        <v>92.24</v>
      </c>
      <c r="AA4" s="2">
        <f ca="1">(Z4-Z3)/Z3</f>
        <v>6.7670814232699229E-3</v>
      </c>
      <c r="AB4" s="2" vm="113">
        <f ca="1"/>
        <v>15.42</v>
      </c>
      <c r="AC4" s="2">
        <f ca="1">(AB4-AB3)/AB3</f>
        <v>3.2819825853985282E-2</v>
      </c>
      <c r="AD4" s="2" vm="114">
        <f ca="1"/>
        <v>2.8</v>
      </c>
      <c r="AE4" s="2">
        <f ca="1">(AD4-AD3)/AD3</f>
        <v>-9.9678456591639888E-2</v>
      </c>
      <c r="AF4" s="2" vm="115">
        <f ca="1"/>
        <v>28.38</v>
      </c>
      <c r="AG4" s="2">
        <f ca="1">(AF4-AF3)/AF3</f>
        <v>1.8664752333094028E-2</v>
      </c>
      <c r="AH4" s="2" vm="116">
        <f ca="1"/>
        <v>25.76</v>
      </c>
      <c r="AI4" s="2">
        <f ca="1">(AH4-AH3)/AH3</f>
        <v>7.4305827141181568E-3</v>
      </c>
      <c r="AJ4" s="2" vm="117">
        <f ca="1"/>
        <v>5.43</v>
      </c>
      <c r="AK4" s="2">
        <f ca="1">(AJ4-AJ3)/AJ3</f>
        <v>5.5555555555554369E-3</v>
      </c>
      <c r="AL4" s="2" vm="118">
        <f ca="1"/>
        <v>52.09</v>
      </c>
      <c r="AM4" s="2">
        <f ca="1">(AL4-AL3)/AL3</f>
        <v>7.5435203094777669E-3</v>
      </c>
      <c r="AN4" s="2" vm="119">
        <f ca="1"/>
        <v>89.07</v>
      </c>
      <c r="AO4" s="2">
        <f ca="1">(AN4-AN3)/AN3</f>
        <v>2.0041227668346314E-2</v>
      </c>
      <c r="AP4" s="2" vm="120">
        <f ca="1"/>
        <v>26.594999999999999</v>
      </c>
      <c r="AQ4" s="2">
        <f ca="1">(AP4-AP3)/AP3</f>
        <v>2.072343632253192E-3</v>
      </c>
      <c r="AR4" s="2" vm="121">
        <f ca="1"/>
        <v>50.89</v>
      </c>
      <c r="AS4" s="2">
        <f ca="1">(AR4-AR3)/AR3</f>
        <v>-1.9646365422392947E-4</v>
      </c>
      <c r="AT4" s="2" vm="122">
        <f ca="1"/>
        <v>29.17</v>
      </c>
      <c r="AU4" s="2">
        <f ca="1">(AT4-AT3)/AT3</f>
        <v>1.0295126973233059E-3</v>
      </c>
      <c r="AV4" s="2" vm="123">
        <f ca="1"/>
        <v>27.95</v>
      </c>
      <c r="AW4" s="2">
        <f ca="1">(AV4-AV3)/AV3</f>
        <v>-3.5650623885918509E-3</v>
      </c>
      <c r="AX4" s="2" vm="124">
        <f ca="1"/>
        <v>91.55</v>
      </c>
      <c r="AY4" s="2">
        <f ca="1">(AX4-AX3)/AX3</f>
        <v>1.0924186148122028E-4</v>
      </c>
      <c r="AZ4" s="2" vm="125">
        <f ca="1"/>
        <v>454.93</v>
      </c>
      <c r="BA4" s="2">
        <f ca="1">(AZ4-AZ3)/AZ3</f>
        <v>-2.1276595744680205E-3</v>
      </c>
      <c r="BB4" s="2" vm="126">
        <f ca="1"/>
        <v>212.84</v>
      </c>
      <c r="BC4" s="2">
        <f ca="1">(BB4-BB3)/BB3</f>
        <v>-2.7176459563301664E-3</v>
      </c>
      <c r="BD4" s="2" vm="127">
        <f ca="1"/>
        <v>39.97</v>
      </c>
      <c r="BE4" s="2">
        <f ca="1">(BD4-BD3)/BD3</f>
        <v>-5.4739985070912881E-3</v>
      </c>
      <c r="BF4" s="2" vm="128">
        <f ca="1"/>
        <v>123.14</v>
      </c>
      <c r="BG4" s="2">
        <f ca="1">(BF4-BF3)/BF3</f>
        <v>8.6002129576541655E-3</v>
      </c>
      <c r="BH4" s="2" vm="129">
        <f ca="1"/>
        <v>150.62</v>
      </c>
      <c r="BI4" s="2">
        <f ca="1">(BH4-BH3)/BH3</f>
        <v>6.4817908453057051E-3</v>
      </c>
      <c r="BJ4" s="2" vm="130">
        <f ca="1"/>
        <v>160.51</v>
      </c>
      <c r="BK4" s="2">
        <f ca="1">(BJ4-BJ3)/BJ3</f>
        <v>-8.7145969498919867E-4</v>
      </c>
      <c r="BL4" s="2" vm="131">
        <f ca="1"/>
        <v>69.25</v>
      </c>
      <c r="BM4" s="2">
        <f ca="1">(BL4-BL3)/BL3</f>
        <v>-4.5996837717405953E-3</v>
      </c>
      <c r="BN4" s="2" vm="132">
        <f ca="1"/>
        <v>304.04000000000002</v>
      </c>
      <c r="BO4" s="2">
        <f ca="1">(BN4-BN3)/BN3</f>
        <v>6.9117598657155777E-4</v>
      </c>
      <c r="BP4" s="2" vm="133">
        <f ca="1"/>
        <v>92.99</v>
      </c>
      <c r="BQ4" s="2">
        <f ca="1">(BP4-BP3)/BP3</f>
        <v>-6.5170940170940113E-3</v>
      </c>
      <c r="BR4" s="2" vm="134">
        <f ca="1"/>
        <v>730.29</v>
      </c>
      <c r="BS4" s="2">
        <f ca="1">(BR4-BR3)/BR3</f>
        <v>3.9316497807349348E-3</v>
      </c>
      <c r="BT4" s="2" vm="135">
        <f ca="1"/>
        <v>168.95</v>
      </c>
      <c r="BU4" s="2">
        <f ca="1">(BT4-BT3)/BT3</f>
        <v>-1.8904708453950586E-3</v>
      </c>
      <c r="BV4" s="2" vm="136">
        <f ca="1"/>
        <v>172.99</v>
      </c>
      <c r="BW4" s="2">
        <f ca="1">(BV4-BV3)/BV3</f>
        <v>2.6080908774777853E-3</v>
      </c>
      <c r="BX4" s="2" vm="137">
        <f ca="1"/>
        <v>295</v>
      </c>
      <c r="BY4" s="2">
        <f ca="1">(BX4-BX3)/BX3</f>
        <v>8.3057046176983514E-3</v>
      </c>
      <c r="BZ4" s="2" vm="138">
        <f ca="1"/>
        <v>96.73</v>
      </c>
      <c r="CA4" s="2">
        <f ca="1">(BZ4-BZ3)/BZ3</f>
        <v>1.0657193605683945E-2</v>
      </c>
      <c r="CB4" s="2" vm="139">
        <f ca="1"/>
        <v>31.39</v>
      </c>
      <c r="CC4" s="2">
        <f ca="1">(CB4-CB3)/CB3</f>
        <v>1.0950080515297902E-2</v>
      </c>
      <c r="CD4" s="2" t="e" vm="92">
        <f ca="1"/>
        <v>#N/A</v>
      </c>
      <c r="CE4" s="2" t="e" vm="140">
        <f ca="1">(CD4-CD3)/CD3</f>
        <v>#N/A</v>
      </c>
      <c r="CF4" s="2" vm="141">
        <f ca="1"/>
        <v>23.01</v>
      </c>
      <c r="CG4" s="2">
        <f ca="1">(CF4-CF3)/CF3</f>
        <v>-4.3440486533440531E-4</v>
      </c>
      <c r="CH4" s="2" vm="142">
        <f ca="1"/>
        <v>58.55</v>
      </c>
      <c r="CI4" s="2">
        <f ca="1">(CH4-CH3)/CH3</f>
        <v>1.0258163788681E-3</v>
      </c>
      <c r="CJ4" s="2" vm="96">
        <f ca="1"/>
        <v>59.37</v>
      </c>
      <c r="CK4" s="2">
        <f ca="1">(CJ4-CJ3)/CJ3</f>
        <v>5.0556117290182054E-4</v>
      </c>
      <c r="CL4" s="2" vm="143">
        <f ca="1"/>
        <v>59.16</v>
      </c>
      <c r="CM4" s="2">
        <f ca="1">(CL4-CL3)/CL3</f>
        <v>-3.5371399696816721E-3</v>
      </c>
      <c r="CN4" s="2" vm="144">
        <f ca="1"/>
        <v>29.53</v>
      </c>
      <c r="CO4" s="2">
        <f ca="1">(CN4-CN3)/CN3</f>
        <v>-1.0148849797022186E-3</v>
      </c>
      <c r="CP4" s="2" vm="145">
        <f ca="1"/>
        <v>23.346399999999999</v>
      </c>
      <c r="CQ4" s="2">
        <f ca="1">(CP4-CP3)/CP3</f>
        <v>4.1462365591397486E-3</v>
      </c>
    </row>
    <row r="5" spans="1:95" x14ac:dyDescent="0.2">
      <c r="A5" s="7" vm="146">
        <f ca="1"/>
        <v>45576</v>
      </c>
      <c r="B5" s="2" vm="147">
        <f ca="1"/>
        <v>227.55</v>
      </c>
      <c r="C5" s="2">
        <f t="shared" ref="C5:C68" ca="1" si="0">(B5-B4)/B4</f>
        <v>-6.5054139015018365E-3</v>
      </c>
      <c r="D5" s="2" vm="148">
        <f ca="1"/>
        <v>134.80000000000001</v>
      </c>
      <c r="E5" s="2">
        <f t="shared" ref="E5:E68" ca="1" si="1">(D5-D4)/D4</f>
        <v>-7.4178473406949811E-5</v>
      </c>
      <c r="F5" s="2" vm="149">
        <f ca="1"/>
        <v>416.32</v>
      </c>
      <c r="G5" s="2">
        <f t="shared" ref="G5:G68" ca="1" si="2">(F5-F4)/F4</f>
        <v>1.1542901115814213E-3</v>
      </c>
      <c r="H5" s="2" vm="150">
        <f ca="1"/>
        <v>589.95000000000005</v>
      </c>
      <c r="I5" s="2">
        <f t="shared" ref="I5:I68" ca="1" si="3">(H5-H4)/H4</f>
        <v>1.0482503468475419E-2</v>
      </c>
      <c r="J5" s="2" vm="151">
        <f ca="1"/>
        <v>163.24</v>
      </c>
      <c r="K5" s="2">
        <f t="shared" ref="K5:K68" ca="1" si="4">(J5-J4)/J4</f>
        <v>7.1569595261598996E-3</v>
      </c>
      <c r="L5" s="2" vm="152">
        <f ca="1"/>
        <v>579.58000000000004</v>
      </c>
      <c r="M5" s="2">
        <f t="shared" ref="M5:M68" ca="1" si="5">(L5-L4)/L4</f>
        <v>5.9882318226789884E-3</v>
      </c>
      <c r="N5" s="2" vm="153">
        <f ca="1"/>
        <v>93.7</v>
      </c>
      <c r="O5" s="2">
        <f t="shared" ref="O5:O68" ca="1" si="6">(N5-N4)/N4</f>
        <v>-4.039115646258455E-3</v>
      </c>
      <c r="P5" s="2" vm="154">
        <f ca="1"/>
        <v>245.47</v>
      </c>
      <c r="Q5" s="2">
        <f t="shared" ref="Q5:Q68" ca="1" si="7">(P5-P4)/P4</f>
        <v>1.0913433819290034E-2</v>
      </c>
      <c r="R5" s="2" vm="155">
        <f ca="1"/>
        <v>77.489999999999995</v>
      </c>
      <c r="S5" s="2">
        <f t="shared" ref="S5:S68" ca="1" si="8">(R5-R4)/R4</f>
        <v>-3.600360036003615E-3</v>
      </c>
      <c r="T5" s="2" vm="156">
        <f ca="1"/>
        <v>95.86</v>
      </c>
      <c r="U5" s="2">
        <f t="shared" ref="U5:U68" ca="1" si="9">(T5-T4)/T4</f>
        <v>3.1305436710843301E-4</v>
      </c>
      <c r="V5" s="2" vm="157">
        <f ca="1"/>
        <v>48.08</v>
      </c>
      <c r="W5" s="2">
        <f t="shared" ref="W5:W68" ca="1" si="10">(V5-V4)/V4</f>
        <v>6.243496357960695E-4</v>
      </c>
      <c r="X5" s="2" vm="158">
        <f ca="1"/>
        <v>140.21</v>
      </c>
      <c r="Y5" s="2">
        <f t="shared" ref="Y5:Y68" ca="1" si="11">(X5-X4)/X4</f>
        <v>1.660382830626465E-2</v>
      </c>
      <c r="Z5" s="2" vm="159">
        <f ca="1"/>
        <v>92.81</v>
      </c>
      <c r="AA5" s="2">
        <f t="shared" ref="AA5:AA68" ca="1" si="12">(Z5-Z4)/Z4</f>
        <v>6.1795316565482154E-3</v>
      </c>
      <c r="AB5" s="2" vm="160">
        <f ca="1"/>
        <v>15.35</v>
      </c>
      <c r="AC5" s="2">
        <f t="shared" ref="AC5:AC68" ca="1" si="13">(AB5-AB4)/AB4</f>
        <v>-4.539559014267204E-3</v>
      </c>
      <c r="AD5" s="2" t="e" vm="92">
        <f ca="1"/>
        <v>#N/A</v>
      </c>
      <c r="AE5" s="2" t="e" vm="140">
        <f t="shared" ref="AE5:AE68" ca="1" si="14">(AD5-AD4)/AD4</f>
        <v>#N/A</v>
      </c>
      <c r="AF5" s="2" vm="161">
        <f ca="1"/>
        <v>28.8</v>
      </c>
      <c r="AG5" s="2">
        <f t="shared" ref="AG5:AG68" ca="1" si="15">(AF5-AF4)/AF4</f>
        <v>1.4799154334038115E-2</v>
      </c>
      <c r="AH5" s="2" vm="162">
        <f ca="1"/>
        <v>25.96</v>
      </c>
      <c r="AI5" s="2">
        <f t="shared" ref="AI5:AI68" ca="1" si="16">(AH5-AH4)/AH4</f>
        <v>7.7639751552794753E-3</v>
      </c>
      <c r="AJ5" s="2" vm="163">
        <f ca="1"/>
        <v>5.38</v>
      </c>
      <c r="AK5" s="2">
        <f t="shared" ref="AK5:AK68" ca="1" si="17">(AJ5-AJ4)/AJ4</f>
        <v>-9.2081031307550323E-3</v>
      </c>
      <c r="AL5" s="2" vm="164">
        <f ca="1"/>
        <v>52.63</v>
      </c>
      <c r="AM5" s="2">
        <f t="shared" ref="AM5:AM68" ca="1" si="18">(AL5-AL4)/AL4</f>
        <v>1.0366673065847555E-2</v>
      </c>
      <c r="AN5" s="2" vm="165">
        <f ca="1"/>
        <v>90.25</v>
      </c>
      <c r="AO5" s="2">
        <f t="shared" ref="AO5:AO68" ca="1" si="19">(AN5-AN4)/AN4</f>
        <v>1.3248007185359907E-2</v>
      </c>
      <c r="AP5" s="2" vm="166">
        <f ca="1"/>
        <v>26.6</v>
      </c>
      <c r="AQ5" s="2">
        <f t="shared" ref="AQ5:AQ68" ca="1" si="20">(AP5-AP4)/AP4</f>
        <v>1.880052641474923E-4</v>
      </c>
      <c r="AR5" s="2" vm="167">
        <f ca="1"/>
        <v>50.91</v>
      </c>
      <c r="AS5" s="2">
        <f t="shared" ref="AS5:AS68" ca="1" si="21">(AR5-AR4)/AR4</f>
        <v>3.9300451955189664E-4</v>
      </c>
      <c r="AT5" s="2" vm="168">
        <f ca="1"/>
        <v>29.2</v>
      </c>
      <c r="AU5" s="2">
        <f t="shared" ref="AU5:AU68" ca="1" si="22">(AT5-AT4)/AT4</f>
        <v>1.0284538909838047E-3</v>
      </c>
      <c r="AV5" s="2" vm="169">
        <f ca="1"/>
        <v>27.87</v>
      </c>
      <c r="AW5" s="2">
        <f t="shared" ref="AW5:AW68" ca="1" si="23">(AV5-AV4)/AV4</f>
        <v>-2.8622540250446619E-3</v>
      </c>
      <c r="AX5" s="2" vm="170">
        <f ca="1"/>
        <v>91.6</v>
      </c>
      <c r="AY5" s="2">
        <f t="shared" ref="AY5:AY68" ca="1" si="24">(AX5-AX4)/AX4</f>
        <v>5.4614964500269969E-4</v>
      </c>
      <c r="AZ5" s="2" vm="171">
        <f ca="1"/>
        <v>460.21</v>
      </c>
      <c r="BA5" s="2">
        <f t="shared" ref="BA5:BA68" ca="1" si="25">(AZ5-AZ4)/AZ4</f>
        <v>1.1606181170729502E-2</v>
      </c>
      <c r="BB5" s="2" vm="172">
        <f ca="1"/>
        <v>222.29</v>
      </c>
      <c r="BC5" s="2">
        <f t="shared" ref="BC5:BC68" ca="1" si="26">(BB5-BB4)/BB4</f>
        <v>4.4399548956962923E-2</v>
      </c>
      <c r="BD5" s="2" vm="173">
        <f ca="1"/>
        <v>41.95</v>
      </c>
      <c r="BE5" s="2">
        <f t="shared" ref="BE5:BE68" ca="1" si="27">(BD5-BD4)/BD4</f>
        <v>4.953715286464859E-2</v>
      </c>
      <c r="BF5" s="2" vm="174">
        <f ca="1"/>
        <v>123.61</v>
      </c>
      <c r="BG5" s="2">
        <f t="shared" ref="BG5:BG68" ca="1" si="28">(BF5-BF4)/BF4</f>
        <v>3.8167938931297617E-3</v>
      </c>
      <c r="BH5" s="2" vm="175">
        <f ca="1"/>
        <v>151.41999999999999</v>
      </c>
      <c r="BI5" s="2">
        <f t="shared" ref="BI5:BI68" ca="1" si="29">(BH5-BH4)/BH4</f>
        <v>5.3113796308590019E-3</v>
      </c>
      <c r="BJ5" s="2" vm="176">
        <f ca="1"/>
        <v>161.46</v>
      </c>
      <c r="BK5" s="2">
        <f t="shared" ref="BK5:BK68" ca="1" si="30">(BJ5-BJ4)/BJ4</f>
        <v>5.91863435299992E-3</v>
      </c>
      <c r="BL5" s="2" vm="83">
        <f ca="1"/>
        <v>69.569999999999993</v>
      </c>
      <c r="BM5" s="2">
        <f t="shared" ref="BM5:BM68" ca="1" si="31">(BL5-BL4)/BL4</f>
        <v>4.6209386281587462E-3</v>
      </c>
      <c r="BN5" s="2" vm="177">
        <f ca="1"/>
        <v>305.04000000000002</v>
      </c>
      <c r="BO5" s="2">
        <f t="shared" ref="BO5:BO68" ca="1" si="32">(BN5-BN4)/BN4</f>
        <v>3.2890409156689907E-3</v>
      </c>
      <c r="BP5" s="2" vm="178">
        <f ca="1"/>
        <v>94.13</v>
      </c>
      <c r="BQ5" s="2">
        <f t="shared" ref="BQ5:BQ68" ca="1" si="33">(BP5-BP4)/BP4</f>
        <v>1.2259382729325741E-2</v>
      </c>
      <c r="BR5" s="2" vm="179">
        <f ca="1"/>
        <v>722.79</v>
      </c>
      <c r="BS5" s="2">
        <f t="shared" ref="BS5:BS68" ca="1" si="34">(BR5-BR4)/BR4</f>
        <v>-1.0269892782319353E-2</v>
      </c>
      <c r="BT5" s="2" vm="180">
        <f ca="1"/>
        <v>171.09</v>
      </c>
      <c r="BU5" s="2">
        <f t="shared" ref="BU5:BU68" ca="1" si="35">(BT5-BT4)/BT4</f>
        <v>1.2666469369636075E-2</v>
      </c>
      <c r="BV5" s="2" vm="181">
        <f ca="1"/>
        <v>174.81</v>
      </c>
      <c r="BW5" s="2">
        <f t="shared" ref="BW5:BW68" ca="1" si="36">(BV5-BV4)/BV4</f>
        <v>1.0520839354875964E-2</v>
      </c>
      <c r="BX5" s="2" vm="182">
        <f ca="1"/>
        <v>297.61</v>
      </c>
      <c r="BY5" s="2">
        <f t="shared" ref="BY5:BY68" ca="1" si="37">(BX5-BX4)/BX4</f>
        <v>8.8474576271186899E-3</v>
      </c>
      <c r="BZ5" s="2" vm="183">
        <f ca="1"/>
        <v>97.1</v>
      </c>
      <c r="CA5" s="2">
        <f t="shared" ref="CA5:CA68" ca="1" si="38">(BZ5-BZ4)/BZ4</f>
        <v>3.8250801199213309E-3</v>
      </c>
      <c r="CB5" s="2" vm="184">
        <f ca="1"/>
        <v>31.69</v>
      </c>
      <c r="CC5" s="2">
        <f t="shared" ref="CC5:CC68" ca="1" si="39">(CB5-CB4)/CB4</f>
        <v>9.5571838165020937E-3</v>
      </c>
      <c r="CD5" s="2" t="e" vm="92">
        <f ca="1"/>
        <v>#N/A</v>
      </c>
      <c r="CE5" s="2" t="e" vm="140">
        <f t="shared" ref="CE5:CE68" ca="1" si="40">(CD5-CD4)/CD4</f>
        <v>#N/A</v>
      </c>
      <c r="CF5" s="2" vm="93">
        <f ca="1"/>
        <v>23.02</v>
      </c>
      <c r="CG5" s="2">
        <f t="shared" ref="CG5:CG68" ca="1" si="41">(CF5-CF4)/CF4</f>
        <v>4.3459365493255149E-4</v>
      </c>
      <c r="CH5" s="2" vm="185">
        <f ca="1"/>
        <v>58.6</v>
      </c>
      <c r="CI5" s="2">
        <f t="shared" ref="CI5:CI68" ca="1" si="42">(CH5-CH4)/CH4</f>
        <v>8.5397096498726328E-4</v>
      </c>
      <c r="CJ5" s="2" vm="186">
        <f ca="1"/>
        <v>59.4</v>
      </c>
      <c r="CK5" s="2">
        <f t="shared" ref="CK5:CK68" ca="1" si="43">(CJ5-CJ4)/CJ4</f>
        <v>5.0530570995454161E-4</v>
      </c>
      <c r="CL5" s="2" vm="187">
        <f ca="1"/>
        <v>59</v>
      </c>
      <c r="CM5" s="2">
        <f t="shared" ref="CM5:CM68" ca="1" si="44">(CL5-CL4)/CL4</f>
        <v>-2.7045300878971706E-3</v>
      </c>
      <c r="CN5" s="2" vm="188">
        <f ca="1"/>
        <v>29.54</v>
      </c>
      <c r="CO5" s="2">
        <f t="shared" ref="CO5:CO68" ca="1" si="45">(CN5-CN4)/CN4</f>
        <v>3.3863867253633629E-4</v>
      </c>
      <c r="CP5" s="2" vm="189">
        <f ca="1"/>
        <v>23.334199999999999</v>
      </c>
      <c r="CQ5" s="2">
        <f t="shared" ref="CQ5:CQ68" ca="1" si="46">(CP5-CP4)/CP4</f>
        <v>-5.2256450673337173E-4</v>
      </c>
    </row>
    <row r="6" spans="1:95" x14ac:dyDescent="0.2">
      <c r="A6" s="7" vm="190">
        <f ca="1"/>
        <v>45579</v>
      </c>
      <c r="B6" s="2" vm="191">
        <f ca="1"/>
        <v>231.3</v>
      </c>
      <c r="C6" s="2">
        <f t="shared" ca="1" si="0"/>
        <v>1.6479894528675015E-2</v>
      </c>
      <c r="D6" s="2" vm="192">
        <f ca="1"/>
        <v>138.07</v>
      </c>
      <c r="E6" s="2">
        <f t="shared" ca="1" si="1"/>
        <v>2.4258160237388585E-2</v>
      </c>
      <c r="F6" s="2" vm="193">
        <f ca="1"/>
        <v>419.14</v>
      </c>
      <c r="G6" s="2">
        <f t="shared" ca="1" si="2"/>
        <v>6.7736356648731583E-3</v>
      </c>
      <c r="H6" s="2" vm="194">
        <f ca="1"/>
        <v>590.41999999999996</v>
      </c>
      <c r="I6" s="2">
        <f t="shared" ca="1" si="3"/>
        <v>7.9667768454939154E-4</v>
      </c>
      <c r="J6" s="2" vm="195">
        <f ca="1"/>
        <v>164.96</v>
      </c>
      <c r="K6" s="2">
        <f t="shared" ca="1" si="4"/>
        <v>1.0536633178142605E-2</v>
      </c>
      <c r="L6" s="2" vm="196">
        <f ca="1"/>
        <v>584.32000000000005</v>
      </c>
      <c r="M6" s="2">
        <f t="shared" ca="1" si="5"/>
        <v>8.1783360364401959E-3</v>
      </c>
      <c r="N6" s="2" vm="197">
        <f ca="1"/>
        <v>93.765000000000001</v>
      </c>
      <c r="O6" s="2">
        <f t="shared" ca="1" si="6"/>
        <v>6.9370330843113897E-4</v>
      </c>
      <c r="P6" s="2" vm="198">
        <f ca="1"/>
        <v>245.07</v>
      </c>
      <c r="Q6" s="2">
        <f t="shared" ca="1" si="7"/>
        <v>-1.6295270297796297E-3</v>
      </c>
      <c r="R6" s="2" vm="199">
        <f ca="1"/>
        <v>75.930000000000007</v>
      </c>
      <c r="S6" s="2">
        <f t="shared" ca="1" si="8"/>
        <v>-2.0131629887727296E-2</v>
      </c>
      <c r="T6" s="2" vm="200">
        <f ca="1"/>
        <v>95.69</v>
      </c>
      <c r="U6" s="2">
        <f t="shared" ca="1" si="9"/>
        <v>-1.7734195702065691E-3</v>
      </c>
      <c r="V6" s="2" vm="201">
        <f ca="1"/>
        <v>48.02</v>
      </c>
      <c r="W6" s="2">
        <f t="shared" ca="1" si="10"/>
        <v>-1.2479201331113804E-3</v>
      </c>
      <c r="X6" s="2" vm="202">
        <f ca="1"/>
        <v>141.37</v>
      </c>
      <c r="Y6" s="2">
        <f t="shared" ca="1" si="11"/>
        <v>8.2733043292204309E-3</v>
      </c>
      <c r="Z6" s="2" vm="203">
        <f ca="1"/>
        <v>92.77</v>
      </c>
      <c r="AA6" s="2">
        <f t="shared" ca="1" si="12"/>
        <v>-4.309880400819551E-4</v>
      </c>
      <c r="AB6" s="2" vm="204">
        <f ca="1"/>
        <v>15.08</v>
      </c>
      <c r="AC6" s="2">
        <f t="shared" ca="1" si="13"/>
        <v>-1.7589576547231242E-2</v>
      </c>
      <c r="AD6" s="2" vm="205">
        <f ca="1"/>
        <v>2.9</v>
      </c>
      <c r="AE6" s="2" t="e" vm="140">
        <f t="shared" ca="1" si="14"/>
        <v>#N/A</v>
      </c>
      <c r="AF6" s="2" vm="206">
        <f ca="1"/>
        <v>28.54</v>
      </c>
      <c r="AG6" s="2">
        <f t="shared" ca="1" si="15"/>
        <v>-9.0277777777778324E-3</v>
      </c>
      <c r="AH6" s="2" vm="207">
        <f ca="1"/>
        <v>25.81</v>
      </c>
      <c r="AI6" s="2">
        <f t="shared" ca="1" si="16"/>
        <v>-5.7781201848999281E-3</v>
      </c>
      <c r="AJ6" s="2" vm="208">
        <f ca="1"/>
        <v>5.27</v>
      </c>
      <c r="AK6" s="2">
        <f t="shared" ca="1" si="17"/>
        <v>-2.0446096654275152E-2</v>
      </c>
      <c r="AL6" s="2" vm="209">
        <f ca="1"/>
        <v>52.57</v>
      </c>
      <c r="AM6" s="2">
        <f t="shared" ca="1" si="18"/>
        <v>-1.1400342010260739E-3</v>
      </c>
      <c r="AN6" s="2" vm="210">
        <f ca="1"/>
        <v>91.35</v>
      </c>
      <c r="AO6" s="2">
        <f t="shared" ca="1" si="19"/>
        <v>1.2188365650969465E-2</v>
      </c>
      <c r="AP6" s="2" vm="211">
        <f ca="1"/>
        <v>26.55</v>
      </c>
      <c r="AQ6" s="2">
        <f t="shared" ca="1" si="20"/>
        <v>-1.8796992481203273E-3</v>
      </c>
      <c r="AR6" s="2" vm="73">
        <f ca="1"/>
        <v>50.9</v>
      </c>
      <c r="AS6" s="2">
        <f t="shared" ca="1" si="21"/>
        <v>-1.9642506383810669E-4</v>
      </c>
      <c r="AT6" s="2" vm="122">
        <f ca="1"/>
        <v>29.17</v>
      </c>
      <c r="AU6" s="2">
        <f t="shared" ca="1" si="22"/>
        <v>-1.0273972602738899E-3</v>
      </c>
      <c r="AV6" s="2" vm="67">
        <f ca="1"/>
        <v>27.86</v>
      </c>
      <c r="AW6" s="2">
        <f t="shared" ca="1" si="23"/>
        <v>-3.5880875493367646E-4</v>
      </c>
      <c r="AX6" s="2" vm="212">
        <f ca="1"/>
        <v>91.59</v>
      </c>
      <c r="AY6" s="2">
        <f t="shared" ca="1" si="24"/>
        <v>-1.0917030567675661E-4</v>
      </c>
      <c r="AZ6" s="2" vm="213">
        <f ca="1"/>
        <v>459.98</v>
      </c>
      <c r="BA6" s="2">
        <f t="shared" ca="1" si="25"/>
        <v>-4.9977184328884932E-4</v>
      </c>
      <c r="BB6" s="2" vm="214">
        <f ca="1"/>
        <v>221.48</v>
      </c>
      <c r="BC6" s="2">
        <f t="shared" ca="1" si="26"/>
        <v>-3.6438886139727486E-3</v>
      </c>
      <c r="BD6" s="2" vm="215">
        <f ca="1"/>
        <v>41.91</v>
      </c>
      <c r="BE6" s="2">
        <f t="shared" ca="1" si="27"/>
        <v>-9.5351609058417759E-4</v>
      </c>
      <c r="BF6" s="2" vm="216">
        <f ca="1"/>
        <v>124.08</v>
      </c>
      <c r="BG6" s="2">
        <f t="shared" ca="1" si="28"/>
        <v>3.8022813688212836E-3</v>
      </c>
      <c r="BH6" s="2" vm="217">
        <f ca="1"/>
        <v>151.78</v>
      </c>
      <c r="BI6" s="2">
        <f t="shared" ca="1" si="29"/>
        <v>2.3774930656453156E-3</v>
      </c>
      <c r="BJ6" s="2" vm="218">
        <f ca="1"/>
        <v>161.6</v>
      </c>
      <c r="BK6" s="2">
        <f t="shared" ca="1" si="30"/>
        <v>8.6708782360947825E-4</v>
      </c>
      <c r="BL6" s="2" vm="219">
        <f ca="1"/>
        <v>70.34</v>
      </c>
      <c r="BM6" s="2">
        <f t="shared" ca="1" si="31"/>
        <v>1.106798907575119E-2</v>
      </c>
      <c r="BN6" s="2" vm="220">
        <f ca="1"/>
        <v>309.83999999999997</v>
      </c>
      <c r="BO6" s="2">
        <f t="shared" ca="1" si="32"/>
        <v>1.5735641227379867E-2</v>
      </c>
      <c r="BP6" s="2" vm="221">
        <f ca="1"/>
        <v>94.97</v>
      </c>
      <c r="BQ6" s="2">
        <f t="shared" ca="1" si="33"/>
        <v>8.923828747476931E-3</v>
      </c>
      <c r="BR6" s="2" vm="222">
        <f ca="1"/>
        <v>713</v>
      </c>
      <c r="BS6" s="2">
        <f t="shared" ca="1" si="34"/>
        <v>-1.3544736368793098E-2</v>
      </c>
      <c r="BT6" s="2" vm="223">
        <f ca="1"/>
        <v>172.51</v>
      </c>
      <c r="BU6" s="2">
        <f t="shared" ca="1" si="35"/>
        <v>8.2997252907825551E-3</v>
      </c>
      <c r="BV6" s="2" vm="224">
        <f ca="1"/>
        <v>176.1</v>
      </c>
      <c r="BW6" s="2">
        <f t="shared" ca="1" si="36"/>
        <v>7.3794405354384307E-3</v>
      </c>
      <c r="BX6" s="2" vm="225">
        <f ca="1"/>
        <v>295.12</v>
      </c>
      <c r="BY6" s="2">
        <f t="shared" ca="1" si="37"/>
        <v>-8.3666543462921576E-3</v>
      </c>
      <c r="BZ6" s="2" vm="226">
        <f ca="1"/>
        <v>96.03</v>
      </c>
      <c r="CA6" s="2">
        <f t="shared" ca="1" si="38"/>
        <v>-1.101956745623062E-2</v>
      </c>
      <c r="CB6" s="2" vm="227">
        <f ca="1"/>
        <v>31.22</v>
      </c>
      <c r="CC6" s="2">
        <f t="shared" ca="1" si="39"/>
        <v>-1.4831177027453532E-2</v>
      </c>
      <c r="CD6" s="2" t="e" vm="92">
        <f ca="1"/>
        <v>#N/A</v>
      </c>
      <c r="CE6" s="2" t="e" vm="140">
        <f t="shared" ca="1" si="40"/>
        <v>#N/A</v>
      </c>
      <c r="CF6" s="2" vm="228">
        <f ca="1"/>
        <v>23</v>
      </c>
      <c r="CG6" s="2">
        <f t="shared" ca="1" si="41"/>
        <v>-8.6880973066896501E-4</v>
      </c>
      <c r="CH6" s="2" vm="142">
        <f ca="1"/>
        <v>58.55</v>
      </c>
      <c r="CI6" s="2">
        <f t="shared" ca="1" si="42"/>
        <v>-8.5324232081918539E-4</v>
      </c>
      <c r="CJ6" s="2" vm="229">
        <f ca="1"/>
        <v>59.31</v>
      </c>
      <c r="CK6" s="2">
        <f t="shared" ca="1" si="43"/>
        <v>-1.5151515151514529E-3</v>
      </c>
      <c r="CL6" s="2" vm="230">
        <f ca="1"/>
        <v>58.97</v>
      </c>
      <c r="CM6" s="2">
        <f t="shared" ca="1" si="44"/>
        <v>-5.0847457627120575E-4</v>
      </c>
      <c r="CN6" s="2" vm="144">
        <f ca="1"/>
        <v>29.53</v>
      </c>
      <c r="CO6" s="2">
        <f t="shared" ca="1" si="45"/>
        <v>-3.3852403520643232E-4</v>
      </c>
      <c r="CP6" s="2" vm="231">
        <f ca="1"/>
        <v>23.549900000000001</v>
      </c>
      <c r="CQ6" s="2">
        <f t="shared" ca="1" si="46"/>
        <v>9.2439423678549841E-3</v>
      </c>
    </row>
    <row r="7" spans="1:95" x14ac:dyDescent="0.2">
      <c r="A7" s="7" vm="232">
        <f ca="1"/>
        <v>45580</v>
      </c>
      <c r="B7" s="2" vm="233">
        <f ca="1"/>
        <v>233.85</v>
      </c>
      <c r="C7" s="2">
        <f t="shared" ca="1" si="0"/>
        <v>1.1024643320363091E-2</v>
      </c>
      <c r="D7" s="2" vm="234">
        <f ca="1"/>
        <v>131.6</v>
      </c>
      <c r="E7" s="2">
        <f t="shared" ca="1" si="1"/>
        <v>-4.686028825957847E-2</v>
      </c>
      <c r="F7" s="2" vm="235">
        <f ca="1"/>
        <v>418.74</v>
      </c>
      <c r="G7" s="2">
        <f t="shared" ca="1" si="2"/>
        <v>-9.5433506704198422E-4</v>
      </c>
      <c r="H7" s="2" vm="236">
        <f ca="1"/>
        <v>586.27</v>
      </c>
      <c r="I7" s="2">
        <f t="shared" ca="1" si="3"/>
        <v>-7.028894685139354E-3</v>
      </c>
      <c r="J7" s="2" vm="237">
        <f ca="1"/>
        <v>165.46</v>
      </c>
      <c r="K7" s="2">
        <f t="shared" ca="1" si="4"/>
        <v>3.0310378273520852E-3</v>
      </c>
      <c r="L7" s="2" vm="238">
        <f ca="1"/>
        <v>579.78</v>
      </c>
      <c r="M7" s="2">
        <f t="shared" ca="1" si="5"/>
        <v>-7.769715224534633E-3</v>
      </c>
      <c r="N7" s="2" vm="239">
        <f ca="1"/>
        <v>94.91</v>
      </c>
      <c r="O7" s="2">
        <f t="shared" ca="1" si="6"/>
        <v>1.2211379512611273E-2</v>
      </c>
      <c r="P7" s="2" vm="240">
        <f ca="1"/>
        <v>245.92</v>
      </c>
      <c r="Q7" s="2">
        <f t="shared" ca="1" si="7"/>
        <v>3.4683967845921342E-3</v>
      </c>
      <c r="R7" s="2" vm="241">
        <f ca="1"/>
        <v>72.760000000000005</v>
      </c>
      <c r="S7" s="2">
        <f t="shared" ca="1" si="8"/>
        <v>-4.174897932306073E-2</v>
      </c>
      <c r="T7" s="2" vm="242">
        <f ca="1"/>
        <v>96.18</v>
      </c>
      <c r="U7" s="2">
        <f t="shared" ca="1" si="9"/>
        <v>5.1207022677396711E-3</v>
      </c>
      <c r="V7" s="2" vm="243">
        <f ca="1"/>
        <v>48.215000000000003</v>
      </c>
      <c r="W7" s="2">
        <f t="shared" ca="1" si="10"/>
        <v>4.0608079966680611E-3</v>
      </c>
      <c r="X7" s="2" vm="244">
        <f ca="1"/>
        <v>141.55000000000001</v>
      </c>
      <c r="Y7" s="2">
        <f t="shared" ca="1" si="11"/>
        <v>1.2732545801797186E-3</v>
      </c>
      <c r="Z7" s="2" vm="245">
        <f ca="1"/>
        <v>89.78</v>
      </c>
      <c r="AA7" s="2">
        <f t="shared" ca="1" si="12"/>
        <v>-3.2230246847041018E-2</v>
      </c>
      <c r="AB7" s="2" vm="246">
        <f ca="1"/>
        <v>14.47</v>
      </c>
      <c r="AC7" s="2">
        <f t="shared" ca="1" si="13"/>
        <v>-4.0450928381962827E-2</v>
      </c>
      <c r="AD7" s="2" t="e" vm="92">
        <f ca="1"/>
        <v>#N/A</v>
      </c>
      <c r="AE7" s="2" t="e" vm="140">
        <f t="shared" ca="1" si="14"/>
        <v>#N/A</v>
      </c>
      <c r="AF7" s="2" vm="247">
        <f ca="1"/>
        <v>28.71</v>
      </c>
      <c r="AG7" s="2">
        <f t="shared" ca="1" si="15"/>
        <v>5.9565522074282312E-3</v>
      </c>
      <c r="AH7" s="2" vm="248">
        <f ca="1"/>
        <v>25.99</v>
      </c>
      <c r="AI7" s="2">
        <f t="shared" ca="1" si="16"/>
        <v>6.9740410693529533E-3</v>
      </c>
      <c r="AJ7" s="2" vm="249">
        <f ca="1"/>
        <v>5.2</v>
      </c>
      <c r="AK7" s="2">
        <f t="shared" ca="1" si="17"/>
        <v>-1.3282732447817724E-2</v>
      </c>
      <c r="AL7" s="2" vm="250">
        <f ca="1"/>
        <v>52.76</v>
      </c>
      <c r="AM7" s="2">
        <f t="shared" ca="1" si="18"/>
        <v>3.6142286475175523E-3</v>
      </c>
      <c r="AN7" s="2" vm="251">
        <f ca="1"/>
        <v>90.47</v>
      </c>
      <c r="AO7" s="2">
        <f t="shared" ca="1" si="19"/>
        <v>-9.6332785987957911E-3</v>
      </c>
      <c r="AP7" s="2" vm="252">
        <f ca="1"/>
        <v>26.59</v>
      </c>
      <c r="AQ7" s="2">
        <f t="shared" ca="1" si="20"/>
        <v>1.5065913370997796E-3</v>
      </c>
      <c r="AR7" s="2" vm="167">
        <f ca="1"/>
        <v>50.91</v>
      </c>
      <c r="AS7" s="2">
        <f t="shared" ca="1" si="21"/>
        <v>1.9646365422392947E-4</v>
      </c>
      <c r="AT7" s="2" vm="253">
        <f ca="1"/>
        <v>29.19</v>
      </c>
      <c r="AU7" s="2">
        <f t="shared" ca="1" si="22"/>
        <v>6.856359273225771E-4</v>
      </c>
      <c r="AV7" s="2" vm="254">
        <f ca="1"/>
        <v>28.2</v>
      </c>
      <c r="AW7" s="2">
        <f t="shared" ca="1" si="23"/>
        <v>1.2203876525484561E-2</v>
      </c>
      <c r="AX7" s="2" vm="64">
        <f ca="1"/>
        <v>91.62</v>
      </c>
      <c r="AY7" s="2">
        <f t="shared" ca="1" si="24"/>
        <v>3.2754667540125707E-4</v>
      </c>
      <c r="AZ7" s="2" vm="255">
        <f ca="1"/>
        <v>462.68</v>
      </c>
      <c r="BA7" s="2">
        <f t="shared" ca="1" si="25"/>
        <v>5.8698204269750608E-3</v>
      </c>
      <c r="BB7" s="2" vm="256">
        <f ca="1"/>
        <v>222.39</v>
      </c>
      <c r="BC7" s="2">
        <f t="shared" ca="1" si="26"/>
        <v>4.1087231352717928E-3</v>
      </c>
      <c r="BD7" s="2" vm="257">
        <f ca="1"/>
        <v>42.14</v>
      </c>
      <c r="BE7" s="2">
        <f t="shared" ca="1" si="27"/>
        <v>5.4879503698402289E-3</v>
      </c>
      <c r="BF7" s="2" vm="258">
        <f ca="1"/>
        <v>120.35</v>
      </c>
      <c r="BG7" s="2">
        <f t="shared" ca="1" si="28"/>
        <v>-3.0061250805931691E-2</v>
      </c>
      <c r="BH7" s="2" vm="259">
        <f ca="1"/>
        <v>147.72999999999999</v>
      </c>
      <c r="BI7" s="2">
        <f t="shared" ca="1" si="29"/>
        <v>-2.6683357491105623E-2</v>
      </c>
      <c r="BJ7" s="2" vm="260">
        <f ca="1"/>
        <v>164.1</v>
      </c>
      <c r="BK7" s="2">
        <f t="shared" ca="1" si="30"/>
        <v>1.547029702970297E-2</v>
      </c>
      <c r="BL7" s="2" vm="219">
        <f ca="1"/>
        <v>70.34</v>
      </c>
      <c r="BM7" s="2">
        <f t="shared" ca="1" si="31"/>
        <v>0</v>
      </c>
      <c r="BN7" s="2" vm="261">
        <f ca="1"/>
        <v>313.33999999999997</v>
      </c>
      <c r="BO7" s="2">
        <f t="shared" ca="1" si="32"/>
        <v>1.1296152853085464E-2</v>
      </c>
      <c r="BP7" s="2" vm="262">
        <f ca="1"/>
        <v>94.22</v>
      </c>
      <c r="BQ7" s="2">
        <f t="shared" ca="1" si="33"/>
        <v>-7.8972307044329788E-3</v>
      </c>
      <c r="BR7" s="2" vm="263">
        <f ca="1"/>
        <v>705.98</v>
      </c>
      <c r="BS7" s="2">
        <f t="shared" ca="1" si="34"/>
        <v>-9.8457223001402264E-3</v>
      </c>
      <c r="BT7" s="2" vm="264">
        <f ca="1"/>
        <v>173.57</v>
      </c>
      <c r="BU7" s="2">
        <f t="shared" ca="1" si="35"/>
        <v>6.1445713291983211E-3</v>
      </c>
      <c r="BV7" s="2" vm="265">
        <f ca="1"/>
        <v>175.9</v>
      </c>
      <c r="BW7" s="2">
        <f t="shared" ca="1" si="36"/>
        <v>-1.1357183418511563E-3</v>
      </c>
      <c r="BX7" s="2" vm="266">
        <f ca="1"/>
        <v>283.95</v>
      </c>
      <c r="BY7" s="2">
        <f t="shared" ca="1" si="37"/>
        <v>-3.7849010571970779E-2</v>
      </c>
      <c r="BZ7" s="2" vm="267">
        <f ca="1"/>
        <v>92.63</v>
      </c>
      <c r="CA7" s="2">
        <f t="shared" ca="1" si="38"/>
        <v>-3.5405602415911751E-2</v>
      </c>
      <c r="CB7" s="2" vm="268">
        <f ca="1"/>
        <v>29.99</v>
      </c>
      <c r="CC7" s="2">
        <f t="shared" ca="1" si="39"/>
        <v>-3.9397821909032689E-2</v>
      </c>
      <c r="CD7" s="2" t="e" vm="92">
        <f ca="1"/>
        <v>#N/A</v>
      </c>
      <c r="CE7" s="2" t="e" vm="140">
        <f t="shared" ca="1" si="40"/>
        <v>#N/A</v>
      </c>
      <c r="CF7" s="2" vm="269">
        <f ca="1"/>
        <v>23.094999999999999</v>
      </c>
      <c r="CG7" s="2">
        <f t="shared" ca="1" si="41"/>
        <v>4.130434782608646E-3</v>
      </c>
      <c r="CH7" s="2" vm="270">
        <f ca="1"/>
        <v>58.58</v>
      </c>
      <c r="CI7" s="2">
        <f t="shared" ca="1" si="42"/>
        <v>5.1238257899233371E-4</v>
      </c>
      <c r="CJ7" s="2" vm="271">
        <f ca="1"/>
        <v>59.51</v>
      </c>
      <c r="CK7" s="2">
        <f t="shared" ca="1" si="43"/>
        <v>3.3721126285617218E-3</v>
      </c>
      <c r="CL7" s="2" vm="272">
        <f ca="1"/>
        <v>59.66</v>
      </c>
      <c r="CM7" s="2">
        <f t="shared" ca="1" si="44"/>
        <v>1.1700864846532096E-2</v>
      </c>
      <c r="CN7" s="2" vm="273">
        <f ca="1"/>
        <v>29.64</v>
      </c>
      <c r="CO7" s="2">
        <f t="shared" ca="1" si="45"/>
        <v>3.7250253979004208E-3</v>
      </c>
      <c r="CP7" s="2" vm="274">
        <f ca="1"/>
        <v>23.895399999999999</v>
      </c>
      <c r="CQ7" s="2">
        <f t="shared" ca="1" si="46"/>
        <v>1.4670975248302442E-2</v>
      </c>
    </row>
    <row r="8" spans="1:95" x14ac:dyDescent="0.2">
      <c r="A8" s="7" vm="275">
        <f ca="1"/>
        <v>45581</v>
      </c>
      <c r="B8" s="2" vm="276">
        <f ca="1"/>
        <v>231.78</v>
      </c>
      <c r="C8" s="2">
        <f t="shared" ca="1" si="0"/>
        <v>-8.8518280949326199E-3</v>
      </c>
      <c r="D8" s="2" vm="277">
        <f ca="1"/>
        <v>135.72</v>
      </c>
      <c r="E8" s="2">
        <f t="shared" ca="1" si="1"/>
        <v>3.1306990881459003E-2</v>
      </c>
      <c r="F8" s="2" vm="278">
        <f ca="1"/>
        <v>416.12</v>
      </c>
      <c r="G8" s="2">
        <f t="shared" ca="1" si="2"/>
        <v>-6.2568658356020549E-3</v>
      </c>
      <c r="H8" s="2" vm="279">
        <f ca="1"/>
        <v>576.79</v>
      </c>
      <c r="I8" s="2">
        <f t="shared" ca="1" si="3"/>
        <v>-1.6170024050352259E-2</v>
      </c>
      <c r="J8" s="2" vm="280">
        <f ca="1"/>
        <v>165.16</v>
      </c>
      <c r="K8" s="2">
        <f t="shared" ca="1" si="4"/>
        <v>-1.8131270397679883E-3</v>
      </c>
      <c r="L8" s="2" vm="281">
        <f ca="1"/>
        <v>582.29999999999995</v>
      </c>
      <c r="M8" s="2">
        <f t="shared" ca="1" si="5"/>
        <v>4.3464762496118903E-3</v>
      </c>
      <c r="N8" s="2" vm="282">
        <f ca="1"/>
        <v>95.31</v>
      </c>
      <c r="O8" s="2">
        <f t="shared" ca="1" si="6"/>
        <v>4.2145190180171285E-3</v>
      </c>
      <c r="P8" s="2" vm="283">
        <f ca="1"/>
        <v>247.15</v>
      </c>
      <c r="Q8" s="2">
        <f t="shared" ca="1" si="7"/>
        <v>5.0016265452180316E-3</v>
      </c>
      <c r="R8" s="2" vm="284">
        <f ca="1"/>
        <v>72.400000000000006</v>
      </c>
      <c r="S8" s="2">
        <f t="shared" ca="1" si="8"/>
        <v>-4.9477735019241263E-3</v>
      </c>
      <c r="T8" s="2" vm="285">
        <f ca="1"/>
        <v>96.33</v>
      </c>
      <c r="U8" s="2">
        <f t="shared" ca="1" si="9"/>
        <v>1.5595757953835668E-3</v>
      </c>
      <c r="V8" s="2" vm="286">
        <f ca="1"/>
        <v>48.255000000000003</v>
      </c>
      <c r="W8" s="2">
        <f t="shared" ca="1" si="10"/>
        <v>8.2961733900236746E-4</v>
      </c>
      <c r="X8" s="2" vm="287">
        <f ca="1"/>
        <v>142.85</v>
      </c>
      <c r="Y8" s="2">
        <f t="shared" ca="1" si="11"/>
        <v>9.1840339102789315E-3</v>
      </c>
      <c r="Z8" s="2" vm="288">
        <f ca="1"/>
        <v>90.21</v>
      </c>
      <c r="AA8" s="2">
        <f t="shared" ca="1" si="12"/>
        <v>4.7894854087769277E-3</v>
      </c>
      <c r="AB8" s="2" vm="289">
        <f ca="1"/>
        <v>14.41</v>
      </c>
      <c r="AC8" s="2">
        <f t="shared" ca="1" si="13"/>
        <v>-4.146510020732584E-3</v>
      </c>
      <c r="AD8" s="2" vm="205">
        <f ca="1"/>
        <v>2.9</v>
      </c>
      <c r="AE8" s="2" t="e" vm="140">
        <f t="shared" ca="1" si="14"/>
        <v>#N/A</v>
      </c>
      <c r="AF8" s="2" vm="290">
        <f ca="1"/>
        <v>28.91</v>
      </c>
      <c r="AG8" s="2">
        <f t="shared" ca="1" si="15"/>
        <v>6.9662138627655619E-3</v>
      </c>
      <c r="AH8" s="2" vm="291">
        <f ca="1"/>
        <v>25.73</v>
      </c>
      <c r="AI8" s="2">
        <f t="shared" ca="1" si="16"/>
        <v>-1.0003847633705196E-2</v>
      </c>
      <c r="AJ8" s="2" vm="292">
        <f ca="1"/>
        <v>5.22</v>
      </c>
      <c r="AK8" s="2">
        <f t="shared" ca="1" si="17"/>
        <v>3.846153846153764E-3</v>
      </c>
      <c r="AL8" s="2" vm="293">
        <f ca="1"/>
        <v>53.01</v>
      </c>
      <c r="AM8" s="2">
        <f t="shared" ca="1" si="18"/>
        <v>4.7384382107657315E-3</v>
      </c>
      <c r="AN8" s="2" vm="294">
        <f ca="1"/>
        <v>91.28</v>
      </c>
      <c r="AO8" s="2">
        <f t="shared" ca="1" si="19"/>
        <v>8.9532441693379265E-3</v>
      </c>
      <c r="AP8" s="2" vm="166">
        <f ca="1"/>
        <v>26.6</v>
      </c>
      <c r="AQ8" s="2">
        <f t="shared" ca="1" si="20"/>
        <v>3.7608123354650484E-4</v>
      </c>
      <c r="AR8" s="2" vm="295">
        <f ca="1"/>
        <v>50.8</v>
      </c>
      <c r="AS8" s="2">
        <f t="shared" ca="1" si="21"/>
        <v>-2.1606757022195923E-3</v>
      </c>
      <c r="AT8" s="2" vm="168">
        <f ca="1"/>
        <v>29.2</v>
      </c>
      <c r="AU8" s="2">
        <f t="shared" ca="1" si="22"/>
        <v>3.4258307639595785E-4</v>
      </c>
      <c r="AV8" s="2" vm="296">
        <f ca="1"/>
        <v>28.28</v>
      </c>
      <c r="AW8" s="2">
        <f t="shared" ca="1" si="23"/>
        <v>2.8368794326241792E-3</v>
      </c>
      <c r="AX8" s="2" vm="64">
        <f ca="1"/>
        <v>91.62</v>
      </c>
      <c r="AY8" s="2">
        <f t="shared" ca="1" si="24"/>
        <v>0</v>
      </c>
      <c r="AZ8" s="2" vm="297">
        <f ca="1"/>
        <v>465.69</v>
      </c>
      <c r="BA8" s="2">
        <f t="shared" ca="1" si="25"/>
        <v>6.5055762081784188E-3</v>
      </c>
      <c r="BB8" s="2" vm="298">
        <f ca="1"/>
        <v>223.64</v>
      </c>
      <c r="BC8" s="2">
        <f t="shared" ca="1" si="26"/>
        <v>5.620756328971627E-3</v>
      </c>
      <c r="BD8" s="2" vm="299">
        <f ca="1"/>
        <v>42.8</v>
      </c>
      <c r="BE8" s="2">
        <f t="shared" ca="1" si="27"/>
        <v>1.5662078785002292E-2</v>
      </c>
      <c r="BF8" s="2" vm="300">
        <f ca="1"/>
        <v>120.66</v>
      </c>
      <c r="BG8" s="2">
        <f t="shared" ca="1" si="28"/>
        <v>2.5758205234732222E-3</v>
      </c>
      <c r="BH8" s="2" vm="301">
        <f ca="1"/>
        <v>148.72999999999999</v>
      </c>
      <c r="BI8" s="2">
        <f t="shared" ca="1" si="29"/>
        <v>6.7691058011236718E-3</v>
      </c>
      <c r="BJ8" s="2" vm="302">
        <f ca="1"/>
        <v>164.28</v>
      </c>
      <c r="BK8" s="2">
        <f t="shared" ca="1" si="30"/>
        <v>1.0968921389397125E-3</v>
      </c>
      <c r="BL8" s="2" vm="303">
        <f ca="1"/>
        <v>70.569999999999993</v>
      </c>
      <c r="BM8" s="2">
        <f t="shared" ca="1" si="31"/>
        <v>3.2698322433891065E-3</v>
      </c>
      <c r="BN8" s="2" vm="304">
        <f ca="1"/>
        <v>312.92</v>
      </c>
      <c r="BO8" s="2">
        <f t="shared" ca="1" si="32"/>
        <v>-1.3403970128293837E-3</v>
      </c>
      <c r="BP8" s="2" vm="305">
        <f ca="1"/>
        <v>96.75</v>
      </c>
      <c r="BQ8" s="2">
        <f t="shared" ca="1" si="33"/>
        <v>2.6852048397367875E-2</v>
      </c>
      <c r="BR8" s="2" vm="306">
        <f ca="1"/>
        <v>702</v>
      </c>
      <c r="BS8" s="2">
        <f t="shared" ca="1" si="34"/>
        <v>-5.6375534717697639E-3</v>
      </c>
      <c r="BT8" s="2" vm="307">
        <f ca="1"/>
        <v>172.38</v>
      </c>
      <c r="BU8" s="2">
        <f t="shared" ca="1" si="35"/>
        <v>-6.8560235063662945E-3</v>
      </c>
      <c r="BV8" s="2" vm="308">
        <f ca="1"/>
        <v>174.48</v>
      </c>
      <c r="BW8" s="2">
        <f t="shared" ca="1" si="36"/>
        <v>-8.0727686185333471E-3</v>
      </c>
      <c r="BX8" s="2" vm="309">
        <f ca="1"/>
        <v>287.29000000000002</v>
      </c>
      <c r="BY8" s="2">
        <f t="shared" ca="1" si="37"/>
        <v>1.1762634266596345E-2</v>
      </c>
      <c r="BZ8" s="2" vm="310">
        <f ca="1"/>
        <v>92.98</v>
      </c>
      <c r="CA8" s="2">
        <f t="shared" ca="1" si="38"/>
        <v>3.7784734967074227E-3</v>
      </c>
      <c r="CB8" s="2" vm="311">
        <f ca="1"/>
        <v>30.29</v>
      </c>
      <c r="CC8" s="2">
        <f t="shared" ca="1" si="39"/>
        <v>1.0003334444814962E-2</v>
      </c>
      <c r="CD8" s="2" t="e" vm="92">
        <f ca="1"/>
        <v>#N/A</v>
      </c>
      <c r="CE8" s="2" t="e" vm="140">
        <f t="shared" ca="1" si="40"/>
        <v>#N/A</v>
      </c>
      <c r="CF8" s="2" vm="312">
        <f ca="1"/>
        <v>23.12</v>
      </c>
      <c r="CG8" s="2">
        <f t="shared" ca="1" si="41"/>
        <v>1.0824853864473754E-3</v>
      </c>
      <c r="CH8" s="2" vm="313">
        <f ca="1"/>
        <v>58.62</v>
      </c>
      <c r="CI8" s="2">
        <f t="shared" ca="1" si="42"/>
        <v>6.8282690337997866E-4</v>
      </c>
      <c r="CJ8" s="2" vm="314">
        <f ca="1"/>
        <v>59.57</v>
      </c>
      <c r="CK8" s="2">
        <f t="shared" ca="1" si="43"/>
        <v>1.0082339102672202E-3</v>
      </c>
      <c r="CL8" s="2" vm="315">
        <f ca="1"/>
        <v>59.84</v>
      </c>
      <c r="CM8" s="2">
        <f t="shared" ca="1" si="44"/>
        <v>3.0170968823333361E-3</v>
      </c>
      <c r="CN8" s="2" vm="316">
        <f ca="1"/>
        <v>29.73</v>
      </c>
      <c r="CO8" s="2">
        <f t="shared" ca="1" si="45"/>
        <v>3.036437246963558E-3</v>
      </c>
      <c r="CP8" s="2" vm="317">
        <f ca="1"/>
        <v>24.066299999999998</v>
      </c>
      <c r="CQ8" s="2">
        <f t="shared" ca="1" si="46"/>
        <v>7.1520041514266186E-3</v>
      </c>
    </row>
    <row r="9" spans="1:95" x14ac:dyDescent="0.2">
      <c r="A9" s="7" vm="318">
        <f ca="1"/>
        <v>45582</v>
      </c>
      <c r="B9" s="2" vm="319">
        <f ca="1"/>
        <v>232.15</v>
      </c>
      <c r="C9" s="2">
        <f t="shared" ca="1" si="0"/>
        <v>1.5963413581845049E-3</v>
      </c>
      <c r="D9" s="2" vm="320">
        <f ca="1"/>
        <v>136.93</v>
      </c>
      <c r="E9" s="2">
        <f t="shared" ca="1" si="1"/>
        <v>8.9154140878279393E-3</v>
      </c>
      <c r="F9" s="2" vm="321">
        <f ca="1"/>
        <v>416.72</v>
      </c>
      <c r="G9" s="2">
        <f t="shared" ca="1" si="2"/>
        <v>1.4418917619917879E-3</v>
      </c>
      <c r="H9" s="2" vm="322">
        <f ca="1"/>
        <v>576.92999999999995</v>
      </c>
      <c r="I9" s="2">
        <f t="shared" ca="1" si="3"/>
        <v>2.427226546923254E-4</v>
      </c>
      <c r="J9" s="2" vm="323">
        <f ca="1"/>
        <v>162.93</v>
      </c>
      <c r="K9" s="2">
        <f t="shared" ca="1" si="4"/>
        <v>-1.3502058609832827E-2</v>
      </c>
      <c r="L9" s="2" vm="324">
        <f ca="1"/>
        <v>582.35</v>
      </c>
      <c r="M9" s="2">
        <f t="shared" ca="1" si="5"/>
        <v>8.5866391894329753E-5</v>
      </c>
      <c r="N9" s="2" vm="325">
        <f ca="1"/>
        <v>93.8</v>
      </c>
      <c r="O9" s="2">
        <f t="shared" ca="1" si="6"/>
        <v>-1.5843038505928077E-2</v>
      </c>
      <c r="P9" s="2" vm="326">
        <f ca="1"/>
        <v>248.63</v>
      </c>
      <c r="Q9" s="2">
        <f t="shared" ca="1" si="7"/>
        <v>5.9882662350798695E-3</v>
      </c>
      <c r="R9" s="2" vm="327">
        <f ca="1"/>
        <v>72.62</v>
      </c>
      <c r="S9" s="2">
        <f t="shared" ca="1" si="8"/>
        <v>3.0386740331491552E-3</v>
      </c>
      <c r="T9" s="2" vm="109">
        <f ca="1"/>
        <v>95.83</v>
      </c>
      <c r="U9" s="2">
        <f t="shared" ca="1" si="9"/>
        <v>-5.1904910204505347E-3</v>
      </c>
      <c r="V9" s="2" vm="328">
        <f ca="1"/>
        <v>48.034999999999997</v>
      </c>
      <c r="W9" s="2">
        <f t="shared" ca="1" si="10"/>
        <v>-4.5591130452804053E-3</v>
      </c>
      <c r="X9" s="2" vm="329">
        <f ca="1"/>
        <v>145.19</v>
      </c>
      <c r="Y9" s="2">
        <f t="shared" ca="1" si="11"/>
        <v>1.6380819040952073E-2</v>
      </c>
      <c r="Z9" s="2" vm="330">
        <f ca="1"/>
        <v>90.64</v>
      </c>
      <c r="AA9" s="2">
        <f t="shared" ca="1" si="12"/>
        <v>4.7666555814212044E-3</v>
      </c>
      <c r="AB9" s="2" vm="331">
        <f ca="1"/>
        <v>14.43</v>
      </c>
      <c r="AC9" s="2">
        <f t="shared" ca="1" si="13"/>
        <v>1.3879250520471599E-3</v>
      </c>
      <c r="AD9" s="2" vm="332">
        <f ca="1"/>
        <v>2.7</v>
      </c>
      <c r="AE9" s="2">
        <f t="shared" ca="1" si="14"/>
        <v>-6.8965517241379226E-2</v>
      </c>
      <c r="AF9" s="2" vm="333">
        <f ca="1"/>
        <v>28.89</v>
      </c>
      <c r="AG9" s="2">
        <f t="shared" ca="1" si="15"/>
        <v>-6.9180214458663351E-4</v>
      </c>
      <c r="AH9" s="2" vm="334">
        <f ca="1"/>
        <v>25.67</v>
      </c>
      <c r="AI9" s="2">
        <f t="shared" ca="1" si="16"/>
        <v>-2.3319082782743382E-3</v>
      </c>
      <c r="AJ9" s="2" vm="335">
        <f ca="1"/>
        <v>5.26</v>
      </c>
      <c r="AK9" s="2">
        <f t="shared" ca="1" si="17"/>
        <v>7.662835249042153E-3</v>
      </c>
      <c r="AL9" s="2" vm="336">
        <f ca="1"/>
        <v>53.34</v>
      </c>
      <c r="AM9" s="2">
        <f t="shared" ca="1" si="18"/>
        <v>6.225240520656582E-3</v>
      </c>
      <c r="AN9" s="2" vm="337">
        <f ca="1"/>
        <v>91.16</v>
      </c>
      <c r="AO9" s="2">
        <f t="shared" ca="1" si="19"/>
        <v>-1.3146362839614872E-3</v>
      </c>
      <c r="AP9" s="2" vm="338">
        <f ca="1"/>
        <v>26.52</v>
      </c>
      <c r="AQ9" s="2">
        <f t="shared" ca="1" si="20"/>
        <v>-3.0075187969925503E-3</v>
      </c>
      <c r="AR9" s="2" vm="339">
        <f ca="1"/>
        <v>50.94</v>
      </c>
      <c r="AS9" s="2">
        <f t="shared" ca="1" si="21"/>
        <v>2.7559055118110349E-3</v>
      </c>
      <c r="AT9" s="2" vm="253">
        <f ca="1"/>
        <v>29.19</v>
      </c>
      <c r="AU9" s="2">
        <f t="shared" ca="1" si="22"/>
        <v>-3.4246575342458939E-4</v>
      </c>
      <c r="AV9" s="2" vm="340">
        <f ca="1"/>
        <v>27.89</v>
      </c>
      <c r="AW9" s="2">
        <f t="shared" ca="1" si="23"/>
        <v>-1.3790664780763811E-2</v>
      </c>
      <c r="AX9" s="2" vm="341">
        <f ca="1"/>
        <v>91.64</v>
      </c>
      <c r="AY9" s="2">
        <f t="shared" ca="1" si="24"/>
        <v>2.182929491376994E-4</v>
      </c>
      <c r="AZ9" s="2" vm="342">
        <f ca="1"/>
        <v>465.85</v>
      </c>
      <c r="BA9" s="2">
        <f t="shared" ca="1" si="25"/>
        <v>3.4357619875888468E-4</v>
      </c>
      <c r="BB9" s="2" vm="343">
        <f ca="1"/>
        <v>224.42</v>
      </c>
      <c r="BC9" s="2">
        <f t="shared" ca="1" si="26"/>
        <v>3.4877481666964819E-3</v>
      </c>
      <c r="BD9" s="2" vm="344">
        <f ca="1"/>
        <v>42.6</v>
      </c>
      <c r="BE9" s="2">
        <f t="shared" ca="1" si="27"/>
        <v>-4.672897196261583E-3</v>
      </c>
      <c r="BF9" s="2" vm="258">
        <f ca="1"/>
        <v>120.35</v>
      </c>
      <c r="BG9" s="2">
        <f t="shared" ca="1" si="28"/>
        <v>-2.56920271838225E-3</v>
      </c>
      <c r="BH9" s="2" vm="345">
        <f ca="1"/>
        <v>151.19999999999999</v>
      </c>
      <c r="BI9" s="2">
        <f t="shared" ca="1" si="29"/>
        <v>1.6607274927721367E-2</v>
      </c>
      <c r="BJ9" s="2" vm="346">
        <f ca="1"/>
        <v>164.47</v>
      </c>
      <c r="BK9" s="2">
        <f t="shared" ca="1" si="30"/>
        <v>1.1565619673727643E-3</v>
      </c>
      <c r="BL9" s="2" vm="347">
        <f ca="1"/>
        <v>69.900000000000006</v>
      </c>
      <c r="BM9" s="2">
        <f t="shared" ca="1" si="31"/>
        <v>-9.4941193141559813E-3</v>
      </c>
      <c r="BN9" s="2" vm="348">
        <f ca="1"/>
        <v>314.7</v>
      </c>
      <c r="BO9" s="2">
        <f t="shared" ca="1" si="32"/>
        <v>5.6883548510800611E-3</v>
      </c>
      <c r="BP9" s="2" vm="349">
        <f ca="1"/>
        <v>96.54</v>
      </c>
      <c r="BQ9" s="2">
        <f t="shared" ca="1" si="33"/>
        <v>-2.1705426356588499E-3</v>
      </c>
      <c r="BR9" s="2" vm="350">
        <f ca="1"/>
        <v>687.65</v>
      </c>
      <c r="BS9" s="2">
        <f t="shared" ca="1" si="34"/>
        <v>-2.0441595441595475E-2</v>
      </c>
      <c r="BT9" s="2" vm="351">
        <f ca="1"/>
        <v>172.28</v>
      </c>
      <c r="BU9" s="2">
        <f t="shared" ca="1" si="35"/>
        <v>-5.8011370228561502E-4</v>
      </c>
      <c r="BV9" s="2" vm="352">
        <f ca="1"/>
        <v>174.67</v>
      </c>
      <c r="BW9" s="2">
        <f t="shared" ca="1" si="36"/>
        <v>1.0889500229252507E-3</v>
      </c>
      <c r="BX9" s="2" vm="353">
        <f ca="1"/>
        <v>287.32</v>
      </c>
      <c r="BY9" s="2">
        <f t="shared" ca="1" si="37"/>
        <v>1.0442410108243486E-4</v>
      </c>
      <c r="BZ9" s="2" vm="354">
        <f ca="1"/>
        <v>93.82</v>
      </c>
      <c r="CA9" s="2">
        <f t="shared" ca="1" si="38"/>
        <v>9.0342009034199734E-3</v>
      </c>
      <c r="CB9" s="2" vm="355">
        <f ca="1"/>
        <v>30.55</v>
      </c>
      <c r="CC9" s="2">
        <f t="shared" ca="1" si="39"/>
        <v>8.5836909871245155E-3</v>
      </c>
      <c r="CD9" s="2" vm="356">
        <f ca="1"/>
        <v>532.57000000000005</v>
      </c>
      <c r="CE9" s="2" t="e" vm="140">
        <f t="shared" ca="1" si="40"/>
        <v>#N/A</v>
      </c>
      <c r="CF9" s="2" vm="357">
        <f ca="1"/>
        <v>23.015000000000001</v>
      </c>
      <c r="CG9" s="2">
        <f t="shared" ca="1" si="41"/>
        <v>-4.5415224913494994E-3</v>
      </c>
      <c r="CH9" s="2" vm="270">
        <f ca="1"/>
        <v>58.58</v>
      </c>
      <c r="CI9" s="2">
        <f t="shared" ca="1" si="42"/>
        <v>-6.8236096895256144E-4</v>
      </c>
      <c r="CJ9" s="2" vm="358">
        <f ca="1"/>
        <v>59.38</v>
      </c>
      <c r="CK9" s="2">
        <f t="shared" ca="1" si="43"/>
        <v>-3.1895249286553254E-3</v>
      </c>
      <c r="CL9" s="2" vm="359">
        <f ca="1"/>
        <v>59.02</v>
      </c>
      <c r="CM9" s="2">
        <f t="shared" ca="1" si="44"/>
        <v>-1.3703208556149737E-2</v>
      </c>
      <c r="CN9" s="2" vm="97">
        <f ca="1"/>
        <v>29.56</v>
      </c>
      <c r="CO9" s="2">
        <f t="shared" ca="1" si="45"/>
        <v>-5.7181298351833736E-3</v>
      </c>
      <c r="CP9" s="2" vm="360">
        <f ca="1"/>
        <v>23.901199999999999</v>
      </c>
      <c r="CQ9" s="2">
        <f t="shared" ca="1" si="46"/>
        <v>-6.8602153218400392E-3</v>
      </c>
    </row>
    <row r="10" spans="1:95" x14ac:dyDescent="0.2">
      <c r="A10" s="7" vm="361">
        <f ca="1"/>
        <v>45583</v>
      </c>
      <c r="B10" s="2" vm="362">
        <f ca="1"/>
        <v>235</v>
      </c>
      <c r="C10" s="2">
        <f t="shared" ca="1" si="0"/>
        <v>1.2276545337066527E-2</v>
      </c>
      <c r="D10" s="2" vm="363">
        <f ca="1"/>
        <v>138</v>
      </c>
      <c r="E10" s="2">
        <f t="shared" ca="1" si="1"/>
        <v>7.8142116409843938E-3</v>
      </c>
      <c r="F10" s="2" vm="364">
        <f ca="1"/>
        <v>418.16</v>
      </c>
      <c r="G10" s="2">
        <f t="shared" ca="1" si="2"/>
        <v>3.4555576886158516E-3</v>
      </c>
      <c r="H10" s="2" vm="365">
        <f ca="1"/>
        <v>576.47</v>
      </c>
      <c r="I10" s="2">
        <f t="shared" ca="1" si="3"/>
        <v>-7.9732376544801406E-4</v>
      </c>
      <c r="J10" s="2" vm="366">
        <f ca="1"/>
        <v>163.41999999999999</v>
      </c>
      <c r="K10" s="2">
        <f t="shared" ca="1" si="4"/>
        <v>3.007426502178731E-3</v>
      </c>
      <c r="L10" s="2" vm="367">
        <f ca="1"/>
        <v>584.59</v>
      </c>
      <c r="M10" s="2">
        <f t="shared" ca="1" si="5"/>
        <v>3.8464840731519002E-3</v>
      </c>
      <c r="N10" s="2" vm="368">
        <f ca="1"/>
        <v>93.87</v>
      </c>
      <c r="O10" s="2">
        <f t="shared" ca="1" si="6"/>
        <v>7.4626865671649674E-4</v>
      </c>
      <c r="P10" s="2" vm="369">
        <f ca="1"/>
        <v>251.27</v>
      </c>
      <c r="Q10" s="2">
        <f t="shared" ca="1" si="7"/>
        <v>1.0618187668423018E-2</v>
      </c>
      <c r="R10" s="2" vm="370">
        <f ca="1"/>
        <v>71.38</v>
      </c>
      <c r="S10" s="2">
        <f t="shared" ca="1" si="8"/>
        <v>-1.7075185899201446E-2</v>
      </c>
      <c r="T10" s="2" vm="371">
        <f ca="1"/>
        <v>95.94</v>
      </c>
      <c r="U10" s="2">
        <f t="shared" ca="1" si="9"/>
        <v>1.1478660127308717E-3</v>
      </c>
      <c r="V10" s="2" vm="372">
        <f ca="1"/>
        <v>48.075000000000003</v>
      </c>
      <c r="W10" s="2">
        <f t="shared" ca="1" si="10"/>
        <v>8.3272613719176131E-4</v>
      </c>
      <c r="X10" s="2" vm="373">
        <f ca="1"/>
        <v>145.01</v>
      </c>
      <c r="Y10" s="2">
        <f t="shared" ca="1" si="11"/>
        <v>-1.2397548040499126E-3</v>
      </c>
      <c r="Z10" s="2" vm="374">
        <f ca="1"/>
        <v>90.34</v>
      </c>
      <c r="AA10" s="2">
        <f t="shared" ca="1" si="12"/>
        <v>-3.309796999117356E-3</v>
      </c>
      <c r="AB10" s="2" vm="375">
        <f ca="1"/>
        <v>14.19</v>
      </c>
      <c r="AC10" s="2">
        <f t="shared" ca="1" si="13"/>
        <v>-1.6632016632016647E-2</v>
      </c>
      <c r="AD10" s="2" vm="332">
        <f ca="1"/>
        <v>2.7</v>
      </c>
      <c r="AE10" s="2">
        <f t="shared" ca="1" si="14"/>
        <v>0</v>
      </c>
      <c r="AF10" s="2" vm="376">
        <f ca="1"/>
        <v>30.64</v>
      </c>
      <c r="AG10" s="2">
        <f t="shared" ca="1" si="15"/>
        <v>6.0574593284873655E-2</v>
      </c>
      <c r="AH10" s="2" vm="377">
        <f ca="1"/>
        <v>25.4</v>
      </c>
      <c r="AI10" s="2">
        <f t="shared" ca="1" si="16"/>
        <v>-1.0518114530580566E-2</v>
      </c>
      <c r="AJ10" s="2" vm="378">
        <f ca="1"/>
        <v>5.14</v>
      </c>
      <c r="AK10" s="2">
        <f t="shared" ca="1" si="17"/>
        <v>-2.2813688212927778E-2</v>
      </c>
      <c r="AL10" s="2" vm="379">
        <f ca="1"/>
        <v>53.9</v>
      </c>
      <c r="AM10" s="2">
        <f t="shared" ca="1" si="18"/>
        <v>1.0498687664041903E-2</v>
      </c>
      <c r="AN10" s="2" vm="310">
        <f ca="1"/>
        <v>92.98</v>
      </c>
      <c r="AO10" s="2">
        <f t="shared" ca="1" si="19"/>
        <v>1.9964896884598592E-2</v>
      </c>
      <c r="AP10" s="2" vm="211">
        <f ca="1"/>
        <v>26.55</v>
      </c>
      <c r="AQ10" s="2">
        <f t="shared" ca="1" si="20"/>
        <v>1.1312217194570564E-3</v>
      </c>
      <c r="AR10" s="2" vm="380">
        <f ca="1"/>
        <v>50.95</v>
      </c>
      <c r="AS10" s="2">
        <f t="shared" ca="1" si="21"/>
        <v>1.9630938358863596E-4</v>
      </c>
      <c r="AT10" s="2" vm="168">
        <f ca="1"/>
        <v>29.2</v>
      </c>
      <c r="AU10" s="2">
        <f t="shared" ca="1" si="22"/>
        <v>3.4258307639595785E-4</v>
      </c>
      <c r="AV10" s="2" vm="381">
        <f ca="1"/>
        <v>27.92</v>
      </c>
      <c r="AW10" s="2">
        <f t="shared" ca="1" si="23"/>
        <v>1.0756543564001842E-3</v>
      </c>
      <c r="AX10" s="2" vm="382">
        <f ca="1"/>
        <v>91.67</v>
      </c>
      <c r="AY10" s="2">
        <f t="shared" ca="1" si="24"/>
        <v>3.2736796158883824E-4</v>
      </c>
      <c r="AZ10" s="2" vm="383">
        <f ca="1"/>
        <v>464.8</v>
      </c>
      <c r="BA10" s="2">
        <f t="shared" ca="1" si="25"/>
        <v>-2.2539444027047575E-3</v>
      </c>
      <c r="BB10" s="2" vm="384">
        <f ca="1"/>
        <v>225.37</v>
      </c>
      <c r="BC10" s="2">
        <f t="shared" ca="1" si="26"/>
        <v>4.2331343017557128E-3</v>
      </c>
      <c r="BD10" s="2" vm="385">
        <f ca="1"/>
        <v>42.32</v>
      </c>
      <c r="BE10" s="2">
        <f t="shared" ca="1" si="27"/>
        <v>-6.5727699530516697E-3</v>
      </c>
      <c r="BF10" s="2" vm="386">
        <f ca="1"/>
        <v>120.01</v>
      </c>
      <c r="BG10" s="2">
        <f t="shared" ca="1" si="28"/>
        <v>-2.8250934773576173E-3</v>
      </c>
      <c r="BH10" s="2" vm="387">
        <f ca="1"/>
        <v>150.75</v>
      </c>
      <c r="BI10" s="2">
        <f t="shared" ca="1" si="29"/>
        <v>-2.9761904761904014E-3</v>
      </c>
      <c r="BJ10" s="2" vm="388">
        <f ca="1"/>
        <v>165.12</v>
      </c>
      <c r="BK10" s="2">
        <f t="shared" ca="1" si="30"/>
        <v>3.9520885267830342E-3</v>
      </c>
      <c r="BL10" s="2" vm="389">
        <f ca="1"/>
        <v>70.44</v>
      </c>
      <c r="BM10" s="2">
        <f t="shared" ca="1" si="31"/>
        <v>7.7253218884119025E-3</v>
      </c>
      <c r="BN10" s="2" vm="390">
        <f ca="1"/>
        <v>316.56</v>
      </c>
      <c r="BO10" s="2">
        <f t="shared" ca="1" si="32"/>
        <v>5.9103908484271174E-3</v>
      </c>
      <c r="BP10" s="2" vm="391">
        <f ca="1"/>
        <v>97.28</v>
      </c>
      <c r="BQ10" s="2">
        <f t="shared" ca="1" si="33"/>
        <v>7.6652164905738019E-3</v>
      </c>
      <c r="BR10" s="2" vm="392">
        <f ca="1"/>
        <v>763.89</v>
      </c>
      <c r="BS10" s="2">
        <f t="shared" ca="1" si="34"/>
        <v>0.11087035555878719</v>
      </c>
      <c r="BT10" s="2" vm="393">
        <f ca="1"/>
        <v>171.28</v>
      </c>
      <c r="BU10" s="2">
        <f t="shared" ca="1" si="35"/>
        <v>-5.8045042953331783E-3</v>
      </c>
      <c r="BV10" s="2" vm="394">
        <f ca="1"/>
        <v>175.06</v>
      </c>
      <c r="BW10" s="2">
        <f t="shared" ca="1" si="36"/>
        <v>2.2327818171409791E-3</v>
      </c>
      <c r="BX10" s="2" vm="395">
        <f ca="1"/>
        <v>279.52999999999997</v>
      </c>
      <c r="BY10" s="2">
        <f t="shared" ca="1" si="37"/>
        <v>-2.7112627036057428E-2</v>
      </c>
      <c r="BZ10" s="2" vm="396">
        <f ca="1"/>
        <v>93.38</v>
      </c>
      <c r="CA10" s="2">
        <f t="shared" ca="1" si="38"/>
        <v>-4.6898315924109755E-3</v>
      </c>
      <c r="CB10" s="2" vm="397">
        <f ca="1"/>
        <v>30.37</v>
      </c>
      <c r="CC10" s="2">
        <f t="shared" ca="1" si="39"/>
        <v>-5.8919803600654573E-3</v>
      </c>
      <c r="CD10" s="2" t="e" vm="92">
        <f ca="1"/>
        <v>#N/A</v>
      </c>
      <c r="CE10" s="2" t="e" vm="140">
        <f t="shared" ca="1" si="40"/>
        <v>#N/A</v>
      </c>
      <c r="CF10" s="2" vm="398">
        <f ca="1"/>
        <v>23.035</v>
      </c>
      <c r="CG10" s="2">
        <f t="shared" ca="1" si="41"/>
        <v>8.6899847925264273E-4</v>
      </c>
      <c r="CH10" s="2" vm="399">
        <f ca="1"/>
        <v>58.63</v>
      </c>
      <c r="CI10" s="2">
        <f t="shared" ca="1" si="42"/>
        <v>8.5353362922506427E-4</v>
      </c>
      <c r="CJ10" s="2" vm="400">
        <f ca="1"/>
        <v>59.45</v>
      </c>
      <c r="CK10" s="2">
        <f t="shared" ca="1" si="43"/>
        <v>1.1788480970023624E-3</v>
      </c>
      <c r="CL10" s="2" vm="401">
        <f ca="1"/>
        <v>59.08</v>
      </c>
      <c r="CM10" s="2">
        <f t="shared" ca="1" si="44"/>
        <v>1.0166045408335337E-3</v>
      </c>
      <c r="CN10" s="2" vm="188">
        <f ca="1"/>
        <v>29.54</v>
      </c>
      <c r="CO10" s="2">
        <f t="shared" ca="1" si="45"/>
        <v>-6.765899864681859E-4</v>
      </c>
      <c r="CP10" s="2" vm="402">
        <f ca="1"/>
        <v>24.13</v>
      </c>
      <c r="CQ10" s="2">
        <f t="shared" ca="1" si="46"/>
        <v>9.5727411176007755E-3</v>
      </c>
    </row>
    <row r="11" spans="1:95" x14ac:dyDescent="0.2">
      <c r="A11" s="7" vm="403">
        <f ca="1"/>
        <v>45586</v>
      </c>
      <c r="B11" s="2" vm="404">
        <f ca="1"/>
        <v>236.48</v>
      </c>
      <c r="C11" s="2">
        <f t="shared" ca="1" si="0"/>
        <v>6.2978723404254885E-3</v>
      </c>
      <c r="D11" s="2" vm="405">
        <f ca="1"/>
        <v>143.71</v>
      </c>
      <c r="E11" s="2">
        <f t="shared" ca="1" si="1"/>
        <v>4.1376811594202957E-2</v>
      </c>
      <c r="F11" s="2" vm="406">
        <f ca="1"/>
        <v>418.78</v>
      </c>
      <c r="G11" s="2">
        <f t="shared" ca="1" si="2"/>
        <v>1.4826860531852585E-3</v>
      </c>
      <c r="H11" s="2" vm="407">
        <f ca="1"/>
        <v>575.16</v>
      </c>
      <c r="I11" s="2">
        <f t="shared" ca="1" si="3"/>
        <v>-2.2724512984197945E-3</v>
      </c>
      <c r="J11" s="2" vm="408">
        <f ca="1"/>
        <v>164.07</v>
      </c>
      <c r="K11" s="2">
        <f t="shared" ca="1" si="4"/>
        <v>3.9774813364337643E-3</v>
      </c>
      <c r="L11" s="2" vm="409">
        <f ca="1"/>
        <v>583.63</v>
      </c>
      <c r="M11" s="2">
        <f t="shared" ca="1" si="5"/>
        <v>-1.6421765681931548E-3</v>
      </c>
      <c r="N11" s="2" vm="410">
        <f ca="1"/>
        <v>92.23</v>
      </c>
      <c r="O11" s="2">
        <f t="shared" ca="1" si="6"/>
        <v>-1.7470970491104725E-2</v>
      </c>
      <c r="P11" s="2" vm="411">
        <f ca="1"/>
        <v>251.22</v>
      </c>
      <c r="Q11" s="2">
        <f t="shared" ca="1" si="7"/>
        <v>-1.9898913519326368E-4</v>
      </c>
      <c r="R11" s="2" vm="412">
        <f ca="1"/>
        <v>72.260000000000005</v>
      </c>
      <c r="S11" s="2">
        <f t="shared" ca="1" si="8"/>
        <v>1.2328383300644574E-2</v>
      </c>
      <c r="T11" s="2" vm="413">
        <f ca="1"/>
        <v>95.2</v>
      </c>
      <c r="U11" s="2">
        <f t="shared" ca="1" si="9"/>
        <v>-7.7131540546174163E-3</v>
      </c>
      <c r="V11" s="2" vm="414">
        <f ca="1"/>
        <v>47.75</v>
      </c>
      <c r="W11" s="2">
        <f t="shared" ca="1" si="10"/>
        <v>-6.7602704108164916E-3</v>
      </c>
      <c r="X11" s="2" vm="415">
        <f ca="1"/>
        <v>144.76</v>
      </c>
      <c r="Y11" s="2">
        <f t="shared" ca="1" si="11"/>
        <v>-1.7240190331701264E-3</v>
      </c>
      <c r="Z11" s="2" vm="416">
        <f ca="1"/>
        <v>90.07</v>
      </c>
      <c r="AA11" s="2">
        <f t="shared" ca="1" si="12"/>
        <v>-2.988709320345475E-3</v>
      </c>
      <c r="AB11" s="2" vm="417">
        <f ca="1"/>
        <v>14.37</v>
      </c>
      <c r="AC11" s="2">
        <f t="shared" ca="1" si="13"/>
        <v>1.2684989429175456E-2</v>
      </c>
      <c r="AD11" s="2" t="e" vm="92">
        <f ca="1"/>
        <v>#N/A</v>
      </c>
      <c r="AE11" s="2" t="e" vm="140">
        <f t="shared" ca="1" si="14"/>
        <v>#N/A</v>
      </c>
      <c r="AF11" s="2" vm="418">
        <f ca="1"/>
        <v>30.85</v>
      </c>
      <c r="AG11" s="2">
        <f t="shared" ca="1" si="15"/>
        <v>6.8537859007833171E-3</v>
      </c>
      <c r="AH11" s="2" vm="419">
        <f ca="1"/>
        <v>25.36</v>
      </c>
      <c r="AI11" s="2">
        <f t="shared" ca="1" si="16"/>
        <v>-1.5748031496062658E-3</v>
      </c>
      <c r="AJ11" s="2" vm="378">
        <f ca="1"/>
        <v>5.14</v>
      </c>
      <c r="AK11" s="2">
        <f t="shared" ca="1" si="17"/>
        <v>0</v>
      </c>
      <c r="AL11" s="2" vm="379">
        <f ca="1"/>
        <v>53.9</v>
      </c>
      <c r="AM11" s="2">
        <f t="shared" ca="1" si="18"/>
        <v>0</v>
      </c>
      <c r="AN11" s="2" vm="420">
        <f ca="1"/>
        <v>92.27</v>
      </c>
      <c r="AO11" s="2">
        <f t="shared" ca="1" si="19"/>
        <v>-7.6360507636051619E-3</v>
      </c>
      <c r="AP11" s="2" vm="421">
        <f ca="1"/>
        <v>26.37</v>
      </c>
      <c r="AQ11" s="2">
        <f t="shared" ca="1" si="20"/>
        <v>-6.7796610169491419E-3</v>
      </c>
      <c r="AR11" s="2" vm="422">
        <f ca="1"/>
        <v>50.96</v>
      </c>
      <c r="AS11" s="2">
        <f t="shared" ca="1" si="21"/>
        <v>1.9627085377817488E-4</v>
      </c>
      <c r="AT11" s="2" vm="122">
        <f ca="1"/>
        <v>29.17</v>
      </c>
      <c r="AU11" s="2">
        <f t="shared" ca="1" si="22"/>
        <v>-1.0273972602738899E-3</v>
      </c>
      <c r="AV11" s="2" vm="423">
        <f ca="1"/>
        <v>27.47</v>
      </c>
      <c r="AW11" s="2">
        <f t="shared" ca="1" si="23"/>
        <v>-1.6117478510028753E-2</v>
      </c>
      <c r="AX11" s="2" vm="424">
        <f ca="1"/>
        <v>91.69</v>
      </c>
      <c r="AY11" s="2">
        <f t="shared" ca="1" si="24"/>
        <v>2.1817388458597164E-4</v>
      </c>
      <c r="AZ11" s="2" vm="425">
        <f ca="1"/>
        <v>464.16</v>
      </c>
      <c r="BA11" s="2">
        <f t="shared" ca="1" si="25"/>
        <v>-1.3769363166953234E-3</v>
      </c>
      <c r="BB11" s="2" vm="426">
        <f ca="1"/>
        <v>223</v>
      </c>
      <c r="BC11" s="2">
        <f t="shared" ca="1" si="26"/>
        <v>-1.0516040289302057E-2</v>
      </c>
      <c r="BD11" s="2" vm="427">
        <f ca="1"/>
        <v>41.76</v>
      </c>
      <c r="BE11" s="2">
        <f t="shared" ca="1" si="27"/>
        <v>-1.3232514177693815E-2</v>
      </c>
      <c r="BF11" s="2" vm="428">
        <f ca="1"/>
        <v>120.08</v>
      </c>
      <c r="BG11" s="2">
        <f t="shared" ca="1" si="28"/>
        <v>5.8328472627275374E-4</v>
      </c>
      <c r="BH11" s="2" vm="429">
        <f ca="1"/>
        <v>150.88</v>
      </c>
      <c r="BI11" s="2">
        <f t="shared" ca="1" si="29"/>
        <v>8.6235489220560829E-4</v>
      </c>
      <c r="BJ11" s="2" vm="430">
        <f ca="1"/>
        <v>162.83000000000001</v>
      </c>
      <c r="BK11" s="2">
        <f t="shared" ca="1" si="30"/>
        <v>-1.3868701550387549E-2</v>
      </c>
      <c r="BL11" s="2" vm="431">
        <f ca="1"/>
        <v>69.45</v>
      </c>
      <c r="BM11" s="2">
        <f t="shared" ca="1" si="31"/>
        <v>-1.4054514480408786E-2</v>
      </c>
      <c r="BN11" s="2" vm="432">
        <f ca="1"/>
        <v>314.89</v>
      </c>
      <c r="BO11" s="2">
        <f t="shared" ca="1" si="32"/>
        <v>-5.275461207985898E-3</v>
      </c>
      <c r="BP11" s="2" vm="433">
        <f ca="1"/>
        <v>96.62</v>
      </c>
      <c r="BQ11" s="2">
        <f t="shared" ca="1" si="33"/>
        <v>-6.7845394736841752E-3</v>
      </c>
      <c r="BR11" s="2" vm="434">
        <f ca="1"/>
        <v>772.07</v>
      </c>
      <c r="BS11" s="2">
        <f t="shared" ca="1" si="34"/>
        <v>1.0708348060584722E-2</v>
      </c>
      <c r="BT11" s="2" vm="435">
        <f ca="1"/>
        <v>169.54</v>
      </c>
      <c r="BU11" s="2">
        <f t="shared" ca="1" si="35"/>
        <v>-1.0158804297057502E-2</v>
      </c>
      <c r="BV11" s="2" vm="436">
        <f ca="1"/>
        <v>175.01</v>
      </c>
      <c r="BW11" s="2">
        <f t="shared" ca="1" si="36"/>
        <v>-2.8561636010517174E-4</v>
      </c>
      <c r="BX11" s="2" vm="437">
        <f ca="1"/>
        <v>280.2</v>
      </c>
      <c r="BY11" s="2">
        <f t="shared" ca="1" si="37"/>
        <v>2.3968804779451792E-3</v>
      </c>
      <c r="BZ11" s="2" vm="203">
        <f ca="1"/>
        <v>92.77</v>
      </c>
      <c r="CA11" s="2">
        <f t="shared" ca="1" si="38"/>
        <v>-6.5324480616834385E-3</v>
      </c>
      <c r="CB11" s="2" vm="438">
        <f ca="1"/>
        <v>30.11</v>
      </c>
      <c r="CC11" s="2">
        <f t="shared" ca="1" si="39"/>
        <v>-8.5610800131709439E-3</v>
      </c>
      <c r="CD11" s="2" vm="439">
        <f ca="1"/>
        <v>532.5</v>
      </c>
      <c r="CE11" s="2" t="e" vm="140">
        <f t="shared" ca="1" si="40"/>
        <v>#N/A</v>
      </c>
      <c r="CF11" s="2" vm="440">
        <f ca="1"/>
        <v>22.91</v>
      </c>
      <c r="CG11" s="2">
        <f t="shared" ca="1" si="41"/>
        <v>-5.426524853483829E-3</v>
      </c>
      <c r="CH11" s="2" vm="142">
        <f ca="1"/>
        <v>58.55</v>
      </c>
      <c r="CI11" s="2">
        <f t="shared" ca="1" si="42"/>
        <v>-1.3644891693673101E-3</v>
      </c>
      <c r="CJ11" s="2" vm="441">
        <f ca="1"/>
        <v>59.17</v>
      </c>
      <c r="CK11" s="2">
        <f t="shared" ca="1" si="43"/>
        <v>-4.7098402018503132E-3</v>
      </c>
      <c r="CL11" s="2" vm="442">
        <f ca="1"/>
        <v>58.14</v>
      </c>
      <c r="CM11" s="2">
        <f t="shared" ca="1" si="44"/>
        <v>-1.5910629654705445E-2</v>
      </c>
      <c r="CN11" s="2" vm="443">
        <f ca="1"/>
        <v>29.3</v>
      </c>
      <c r="CO11" s="2">
        <f t="shared" ca="1" si="45"/>
        <v>-8.12457684495594E-3</v>
      </c>
      <c r="CP11" s="2" vm="444">
        <f ca="1"/>
        <v>23.7256</v>
      </c>
      <c r="CQ11" s="2">
        <f t="shared" ca="1" si="46"/>
        <v>-1.6759220886862786E-2</v>
      </c>
    </row>
    <row r="12" spans="1:95" x14ac:dyDescent="0.2">
      <c r="A12" s="7" vm="445">
        <f ca="1"/>
        <v>45587</v>
      </c>
      <c r="B12" s="2" vm="446">
        <f ca="1"/>
        <v>235.86</v>
      </c>
      <c r="C12" s="2">
        <f t="shared" ca="1" si="0"/>
        <v>-2.6217861975641752E-3</v>
      </c>
      <c r="D12" s="2" vm="447">
        <f ca="1"/>
        <v>143.59</v>
      </c>
      <c r="E12" s="2">
        <f t="shared" ca="1" si="1"/>
        <v>-8.3501496068474391E-4</v>
      </c>
      <c r="F12" s="2" vm="448">
        <f ca="1"/>
        <v>427.51</v>
      </c>
      <c r="G12" s="2">
        <f t="shared" ca="1" si="2"/>
        <v>2.0846267730073115E-2</v>
      </c>
      <c r="H12" s="2" vm="449">
        <f ca="1"/>
        <v>582.01</v>
      </c>
      <c r="I12" s="2">
        <f t="shared" ca="1" si="3"/>
        <v>1.1909729466583252E-2</v>
      </c>
      <c r="J12" s="2" vm="450">
        <f ca="1"/>
        <v>165.14</v>
      </c>
      <c r="K12" s="2">
        <f t="shared" ca="1" si="4"/>
        <v>6.5216066313158608E-3</v>
      </c>
      <c r="L12" s="2" vm="451">
        <f ca="1"/>
        <v>583.32000000000005</v>
      </c>
      <c r="M12" s="2">
        <f t="shared" ca="1" si="5"/>
        <v>-5.311584394221432E-4</v>
      </c>
      <c r="N12" s="2" vm="452">
        <f ca="1"/>
        <v>92.32</v>
      </c>
      <c r="O12" s="2">
        <f t="shared" ca="1" si="6"/>
        <v>9.7582131627441397E-4</v>
      </c>
      <c r="P12" s="2" vm="453">
        <f ca="1"/>
        <v>253.93</v>
      </c>
      <c r="Q12" s="2">
        <f t="shared" ca="1" si="7"/>
        <v>1.078735769445111E-2</v>
      </c>
      <c r="R12" s="2" vm="454">
        <f ca="1"/>
        <v>73.98</v>
      </c>
      <c r="S12" s="2">
        <f t="shared" ca="1" si="8"/>
        <v>2.3802933849986142E-2</v>
      </c>
      <c r="T12" s="2" vm="455">
        <f ca="1"/>
        <v>95.11</v>
      </c>
      <c r="U12" s="2">
        <f t="shared" ca="1" si="9"/>
        <v>-9.4537815126053998E-4</v>
      </c>
      <c r="V12" s="2" vm="456">
        <f ca="1"/>
        <v>47.76</v>
      </c>
      <c r="W12" s="2">
        <f t="shared" ca="1" si="10"/>
        <v>2.0942408376959184E-4</v>
      </c>
      <c r="X12" s="2" vm="457">
        <f ca="1"/>
        <v>143.94</v>
      </c>
      <c r="Y12" s="2">
        <f t="shared" ca="1" si="11"/>
        <v>-5.6645482177396607E-3</v>
      </c>
      <c r="Z12" s="2" vm="458">
        <f ca="1"/>
        <v>90.28</v>
      </c>
      <c r="AA12" s="2">
        <f t="shared" ca="1" si="12"/>
        <v>2.3315199289442429E-3</v>
      </c>
      <c r="AB12" s="2" vm="459">
        <f ca="1"/>
        <v>14.7</v>
      </c>
      <c r="AC12" s="2">
        <f t="shared" ca="1" si="13"/>
        <v>2.2964509394572032E-2</v>
      </c>
      <c r="AD12" s="2" t="e" vm="92">
        <f ca="1"/>
        <v>#N/A</v>
      </c>
      <c r="AE12" s="2" t="e" vm="140">
        <f t="shared" ca="1" si="14"/>
        <v>#N/A</v>
      </c>
      <c r="AF12" s="2" vm="460">
        <f ca="1"/>
        <v>31.74</v>
      </c>
      <c r="AG12" s="2">
        <f t="shared" ca="1" si="15"/>
        <v>2.8849270664505575E-2</v>
      </c>
      <c r="AH12" s="2" vm="461">
        <f ca="1"/>
        <v>25.26</v>
      </c>
      <c r="AI12" s="2">
        <f t="shared" ca="1" si="16"/>
        <v>-3.9432176656150576E-3</v>
      </c>
      <c r="AJ12" s="2" vm="462">
        <f ca="1"/>
        <v>5.16</v>
      </c>
      <c r="AK12" s="2">
        <f t="shared" ca="1" si="17"/>
        <v>3.8910505836576778E-3</v>
      </c>
      <c r="AL12" s="2" vm="463">
        <f ca="1"/>
        <v>54.47</v>
      </c>
      <c r="AM12" s="2">
        <f t="shared" ca="1" si="18"/>
        <v>1.0575139146567724E-2</v>
      </c>
      <c r="AN12" s="2" vm="464">
        <f ca="1"/>
        <v>94.51</v>
      </c>
      <c r="AO12" s="2">
        <f t="shared" ca="1" si="19"/>
        <v>2.4276579603338129E-2</v>
      </c>
      <c r="AP12" s="2" vm="465">
        <f ca="1"/>
        <v>26.41</v>
      </c>
      <c r="AQ12" s="2">
        <f t="shared" ca="1" si="20"/>
        <v>1.5168752370117234E-3</v>
      </c>
      <c r="AR12" s="2" vm="466">
        <f ca="1"/>
        <v>50.98</v>
      </c>
      <c r="AS12" s="2">
        <f t="shared" ca="1" si="21"/>
        <v>3.924646781788858E-4</v>
      </c>
      <c r="AT12" s="2" vm="122">
        <f ca="1"/>
        <v>29.17</v>
      </c>
      <c r="AU12" s="2">
        <f t="shared" ca="1" si="22"/>
        <v>0</v>
      </c>
      <c r="AV12" s="2" vm="467">
        <f ca="1"/>
        <v>27.48</v>
      </c>
      <c r="AW12" s="2">
        <f t="shared" ca="1" si="23"/>
        <v>3.6403349108123637E-4</v>
      </c>
      <c r="AX12" s="2" vm="468">
        <f ca="1"/>
        <v>91.7</v>
      </c>
      <c r="AY12" s="2">
        <f t="shared" ca="1" si="24"/>
        <v>1.0906314756249445E-4</v>
      </c>
      <c r="AZ12" s="2" vm="469">
        <f ca="1"/>
        <v>461.45</v>
      </c>
      <c r="BA12" s="2">
        <f t="shared" ca="1" si="25"/>
        <v>-5.8385039641503707E-3</v>
      </c>
      <c r="BB12" s="2" vm="470">
        <f ca="1"/>
        <v>224.12</v>
      </c>
      <c r="BC12" s="2">
        <f t="shared" ca="1" si="26"/>
        <v>5.0224215246636979E-3</v>
      </c>
      <c r="BD12" s="2" vm="471">
        <f ca="1"/>
        <v>42.3</v>
      </c>
      <c r="BE12" s="2">
        <f t="shared" ca="1" si="27"/>
        <v>1.2931034482758601E-2</v>
      </c>
      <c r="BF12" s="2" vm="472">
        <f ca="1"/>
        <v>120.7</v>
      </c>
      <c r="BG12" s="2">
        <f t="shared" ca="1" si="28"/>
        <v>5.1632245169887124E-3</v>
      </c>
      <c r="BH12" s="2" vm="473">
        <f ca="1"/>
        <v>150.91999999999999</v>
      </c>
      <c r="BI12" s="2">
        <f t="shared" ca="1" si="29"/>
        <v>2.6511134676558885E-4</v>
      </c>
      <c r="BJ12" s="2" vm="474">
        <f ca="1"/>
        <v>163.44999999999999</v>
      </c>
      <c r="BK12" s="2">
        <f t="shared" ca="1" si="30"/>
        <v>3.8076521525515941E-3</v>
      </c>
      <c r="BL12" s="2" vm="431">
        <f ca="1"/>
        <v>69.45</v>
      </c>
      <c r="BM12" s="2">
        <f t="shared" ca="1" si="31"/>
        <v>0</v>
      </c>
      <c r="BN12" s="2" vm="475">
        <f ca="1"/>
        <v>314.69</v>
      </c>
      <c r="BO12" s="2">
        <f t="shared" ca="1" si="32"/>
        <v>-6.3514243069004613E-4</v>
      </c>
      <c r="BP12" s="2" vm="476">
        <f ca="1"/>
        <v>96.74</v>
      </c>
      <c r="BQ12" s="2">
        <f t="shared" ca="1" si="33"/>
        <v>1.2419788863588317E-3</v>
      </c>
      <c r="BR12" s="2" vm="477">
        <f ca="1"/>
        <v>764.24</v>
      </c>
      <c r="BS12" s="2">
        <f t="shared" ca="1" si="34"/>
        <v>-1.014156747445185E-2</v>
      </c>
      <c r="BT12" s="2" vm="478">
        <f ca="1"/>
        <v>169.7</v>
      </c>
      <c r="BU12" s="2">
        <f t="shared" ca="1" si="35"/>
        <v>9.4373009319332658E-4</v>
      </c>
      <c r="BV12" s="2" vm="479">
        <f ca="1"/>
        <v>174.37</v>
      </c>
      <c r="BW12" s="2">
        <f t="shared" ca="1" si="36"/>
        <v>-3.6569338894919512E-3</v>
      </c>
      <c r="BX12" s="2" vm="480">
        <f ca="1"/>
        <v>278.12</v>
      </c>
      <c r="BY12" s="2">
        <f t="shared" ca="1" si="37"/>
        <v>-7.4232690935045831E-3</v>
      </c>
      <c r="BZ12" s="2" vm="481">
        <f ca="1"/>
        <v>92.84</v>
      </c>
      <c r="CA12" s="2">
        <f t="shared" ca="1" si="38"/>
        <v>7.5455427401107463E-4</v>
      </c>
      <c r="CB12" s="2" vm="482">
        <f ca="1"/>
        <v>30.2163</v>
      </c>
      <c r="CC12" s="2">
        <f t="shared" ca="1" si="39"/>
        <v>3.5303885752242096E-3</v>
      </c>
      <c r="CD12" s="2" t="e" vm="92">
        <f ca="1"/>
        <v>#N/A</v>
      </c>
      <c r="CE12" s="2" t="e" vm="140">
        <f t="shared" ca="1" si="40"/>
        <v>#N/A</v>
      </c>
      <c r="CF12" s="2" vm="483">
        <f ca="1"/>
        <v>22.9</v>
      </c>
      <c r="CG12" s="2">
        <f t="shared" ca="1" si="41"/>
        <v>-4.3649061545183602E-4</v>
      </c>
      <c r="CH12" s="2" vm="484">
        <f ca="1"/>
        <v>58.53</v>
      </c>
      <c r="CI12" s="2">
        <f t="shared" ca="1" si="42"/>
        <v>-3.4158838599480826E-4</v>
      </c>
      <c r="CJ12" s="2" vm="485">
        <f ca="1"/>
        <v>59.12</v>
      </c>
      <c r="CK12" s="2">
        <f t="shared" ca="1" si="43"/>
        <v>-8.4502281561609361E-4</v>
      </c>
      <c r="CL12" s="2" vm="486">
        <f ca="1"/>
        <v>58.17</v>
      </c>
      <c r="CM12" s="2">
        <f t="shared" ca="1" si="44"/>
        <v>5.1599587203304332E-4</v>
      </c>
      <c r="CN12" s="2" vm="443">
        <f ca="1"/>
        <v>29.3</v>
      </c>
      <c r="CO12" s="2">
        <f t="shared" ca="1" si="45"/>
        <v>0</v>
      </c>
      <c r="CP12" s="2" vm="487">
        <f ca="1"/>
        <v>23.760300000000001</v>
      </c>
      <c r="CQ12" s="2">
        <f t="shared" ca="1" si="46"/>
        <v>1.4625552146205298E-3</v>
      </c>
    </row>
    <row r="13" spans="1:95" x14ac:dyDescent="0.2">
      <c r="A13" s="7" vm="488">
        <f ca="1"/>
        <v>45588</v>
      </c>
      <c r="B13" s="2" vm="489">
        <f ca="1"/>
        <v>230.76</v>
      </c>
      <c r="C13" s="2">
        <f t="shared" ca="1" si="0"/>
        <v>-2.1622996692953544E-2</v>
      </c>
      <c r="D13" s="2" vm="490">
        <f ca="1"/>
        <v>139.56</v>
      </c>
      <c r="E13" s="2">
        <f t="shared" ca="1" si="1"/>
        <v>-2.8066021310676238E-2</v>
      </c>
      <c r="F13" s="2" vm="491">
        <f ca="1"/>
        <v>424.6</v>
      </c>
      <c r="G13" s="2">
        <f t="shared" ca="1" si="2"/>
        <v>-6.8068583191035724E-3</v>
      </c>
      <c r="H13" s="2" vm="492">
        <f ca="1"/>
        <v>563.69000000000005</v>
      </c>
      <c r="I13" s="2">
        <f t="shared" ca="1" si="3"/>
        <v>-3.147712238621319E-2</v>
      </c>
      <c r="J13" s="2" vm="493">
        <f ca="1"/>
        <v>162.78</v>
      </c>
      <c r="K13" s="2">
        <f t="shared" ca="1" si="4"/>
        <v>-1.4290904686932211E-2</v>
      </c>
      <c r="L13" s="2" vm="494">
        <f ca="1"/>
        <v>577.99</v>
      </c>
      <c r="M13" s="2">
        <f t="shared" ca="1" si="5"/>
        <v>-9.1373517108963177E-3</v>
      </c>
      <c r="N13" s="2" vm="495">
        <f ca="1"/>
        <v>92.07</v>
      </c>
      <c r="O13" s="2">
        <f t="shared" ca="1" si="6"/>
        <v>-2.7079722703639516E-3</v>
      </c>
      <c r="P13" s="2" vm="496">
        <f ca="1"/>
        <v>250.87</v>
      </c>
      <c r="Q13" s="2">
        <f t="shared" ca="1" si="7"/>
        <v>-1.2050565116370662E-2</v>
      </c>
      <c r="R13" s="2" vm="497">
        <f ca="1"/>
        <v>73.55</v>
      </c>
      <c r="S13" s="2">
        <f t="shared" ca="1" si="8"/>
        <v>-5.8123817247905758E-3</v>
      </c>
      <c r="T13" s="2" vm="498">
        <f ca="1"/>
        <v>94.89</v>
      </c>
      <c r="U13" s="2">
        <f t="shared" ca="1" si="9"/>
        <v>-2.313111134475858E-3</v>
      </c>
      <c r="V13" s="2" vm="499">
        <f ca="1"/>
        <v>47.400599999999997</v>
      </c>
      <c r="W13" s="2">
        <f t="shared" ca="1" si="10"/>
        <v>-7.5251256281407214E-3</v>
      </c>
      <c r="X13" s="2" vm="500">
        <f ca="1"/>
        <v>143.54</v>
      </c>
      <c r="Y13" s="2">
        <f t="shared" ca="1" si="11"/>
        <v>-2.7789356676393337E-3</v>
      </c>
      <c r="Z13" s="2" vm="501">
        <f ca="1"/>
        <v>89.81</v>
      </c>
      <c r="AA13" s="2">
        <f t="shared" ca="1" si="12"/>
        <v>-5.2060256978289634E-3</v>
      </c>
      <c r="AB13" s="2" vm="502">
        <f ca="1"/>
        <v>14.6</v>
      </c>
      <c r="AC13" s="2">
        <f t="shared" ca="1" si="13"/>
        <v>-6.8027210884353505E-3</v>
      </c>
      <c r="AD13" s="2" vm="332">
        <f ca="1"/>
        <v>2.7</v>
      </c>
      <c r="AE13" s="2" t="e" vm="140">
        <f t="shared" ca="1" si="14"/>
        <v>#N/A</v>
      </c>
      <c r="AF13" s="2" vm="503">
        <f ca="1"/>
        <v>30.71</v>
      </c>
      <c r="AG13" s="2">
        <f t="shared" ca="1" si="15"/>
        <v>-3.2451165721487006E-2</v>
      </c>
      <c r="AH13" s="2" vm="504">
        <f ca="1"/>
        <v>25.2</v>
      </c>
      <c r="AI13" s="2">
        <f t="shared" ca="1" si="16"/>
        <v>-2.3752969121141041E-3</v>
      </c>
      <c r="AJ13" s="2" vm="505">
        <f ca="1"/>
        <v>5.18</v>
      </c>
      <c r="AK13" s="2">
        <f t="shared" ca="1" si="17"/>
        <v>3.8759689922479791E-3</v>
      </c>
      <c r="AL13" s="2" vm="506">
        <f ca="1"/>
        <v>53.82</v>
      </c>
      <c r="AM13" s="2">
        <f t="shared" ca="1" si="18"/>
        <v>-1.1933174224343649E-2</v>
      </c>
      <c r="AN13" s="2" vm="507">
        <f ca="1"/>
        <v>93.53</v>
      </c>
      <c r="AO13" s="2">
        <f t="shared" ca="1" si="19"/>
        <v>-1.0369273092794454E-2</v>
      </c>
      <c r="AP13" s="2" vm="508">
        <f ca="1"/>
        <v>26.34</v>
      </c>
      <c r="AQ13" s="2">
        <f t="shared" ca="1" si="20"/>
        <v>-2.6505111700113699E-3</v>
      </c>
      <c r="AR13" s="2" vm="509">
        <f ca="1"/>
        <v>50.99</v>
      </c>
      <c r="AS13" s="2">
        <f t="shared" ca="1" si="21"/>
        <v>1.9615535504129299E-4</v>
      </c>
      <c r="AT13" s="2" vm="74">
        <f ca="1"/>
        <v>29.14</v>
      </c>
      <c r="AU13" s="2">
        <f t="shared" ca="1" si="22"/>
        <v>-1.0284538909839265E-3</v>
      </c>
      <c r="AV13" s="2" vm="510">
        <f ca="1"/>
        <v>27.41</v>
      </c>
      <c r="AW13" s="2">
        <f t="shared" ca="1" si="23"/>
        <v>-2.5473071324599813E-3</v>
      </c>
      <c r="AX13" s="2" vm="468">
        <f ca="1"/>
        <v>91.7</v>
      </c>
      <c r="AY13" s="2">
        <f t="shared" ca="1" si="24"/>
        <v>0</v>
      </c>
      <c r="AZ13" s="2" vm="511">
        <f ca="1"/>
        <v>460.61</v>
      </c>
      <c r="BA13" s="2">
        <f t="shared" ca="1" si="25"/>
        <v>-1.8203489002058186E-3</v>
      </c>
      <c r="BB13" s="2" vm="512">
        <f ca="1"/>
        <v>223.41</v>
      </c>
      <c r="BC13" s="2">
        <f t="shared" ca="1" si="26"/>
        <v>-3.1679457433518112E-3</v>
      </c>
      <c r="BD13" s="2" vm="513">
        <f ca="1"/>
        <v>42.34</v>
      </c>
      <c r="BE13" s="2">
        <f t="shared" ca="1" si="27"/>
        <v>9.45626477541519E-4</v>
      </c>
      <c r="BF13" s="2" vm="514">
        <f ca="1"/>
        <v>120.27</v>
      </c>
      <c r="BG13" s="2">
        <f t="shared" ca="1" si="28"/>
        <v>-3.5625517812759469E-3</v>
      </c>
      <c r="BH13" s="2" vm="515">
        <f ca="1"/>
        <v>150.47999999999999</v>
      </c>
      <c r="BI13" s="2">
        <f t="shared" ca="1" si="29"/>
        <v>-2.915451895043717E-3</v>
      </c>
      <c r="BJ13" s="2" vm="516">
        <f ca="1"/>
        <v>165.86</v>
      </c>
      <c r="BK13" s="2">
        <f t="shared" ca="1" si="30"/>
        <v>1.4744570204955797E-2</v>
      </c>
      <c r="BL13" s="2" vm="517">
        <f ca="1"/>
        <v>68.010000000000005</v>
      </c>
      <c r="BM13" s="2">
        <f t="shared" ca="1" si="31"/>
        <v>-2.073434125269975E-2</v>
      </c>
      <c r="BN13" s="2" vm="518">
        <f ca="1"/>
        <v>298.57</v>
      </c>
      <c r="BO13" s="2">
        <f t="shared" ca="1" si="32"/>
        <v>-5.1225015094219721E-2</v>
      </c>
      <c r="BP13" s="2" vm="519">
        <f ca="1"/>
        <v>96.24</v>
      </c>
      <c r="BQ13" s="2">
        <f t="shared" ca="1" si="33"/>
        <v>-5.1684928674798434E-3</v>
      </c>
      <c r="BR13" s="2" vm="520">
        <f ca="1"/>
        <v>749.29</v>
      </c>
      <c r="BS13" s="2">
        <f t="shared" ca="1" si="34"/>
        <v>-1.9561917722181573E-2</v>
      </c>
      <c r="BT13" s="2" vm="521">
        <f ca="1"/>
        <v>169.58</v>
      </c>
      <c r="BU13" s="2">
        <f t="shared" ca="1" si="35"/>
        <v>-7.071302298171841E-4</v>
      </c>
      <c r="BV13" s="2" vm="522">
        <f ca="1"/>
        <v>172.95</v>
      </c>
      <c r="BW13" s="2">
        <f t="shared" ca="1" si="36"/>
        <v>-8.1436026839480178E-3</v>
      </c>
      <c r="BX13" s="2" vm="523">
        <f ca="1"/>
        <v>276.10000000000002</v>
      </c>
      <c r="BY13" s="2">
        <f t="shared" ca="1" si="37"/>
        <v>-7.2630519200344518E-3</v>
      </c>
      <c r="BZ13" s="2" vm="524">
        <f ca="1"/>
        <v>92</v>
      </c>
      <c r="CA13" s="2">
        <f t="shared" ca="1" si="38"/>
        <v>-9.0478242137010268E-3</v>
      </c>
      <c r="CB13" s="2" vm="525">
        <f ca="1"/>
        <v>29.83</v>
      </c>
      <c r="CC13" s="2">
        <f t="shared" ca="1" si="39"/>
        <v>-1.2784490490232163E-2</v>
      </c>
      <c r="CD13" s="2" t="e" vm="92">
        <f ca="1"/>
        <v>#N/A</v>
      </c>
      <c r="CE13" s="2" t="e" vm="140">
        <f t="shared" ca="1" si="40"/>
        <v>#N/A</v>
      </c>
      <c r="CF13" s="2" vm="526">
        <f ca="1"/>
        <v>22.86</v>
      </c>
      <c r="CG13" s="2">
        <f t="shared" ca="1" si="41"/>
        <v>-1.7467248908296573E-3</v>
      </c>
      <c r="CH13" s="2" vm="527">
        <f ca="1"/>
        <v>58.5</v>
      </c>
      <c r="CI13" s="2">
        <f t="shared" ca="1" si="42"/>
        <v>-5.1255766273707731E-4</v>
      </c>
      <c r="CJ13" s="2" vm="528">
        <f ca="1"/>
        <v>59.01</v>
      </c>
      <c r="CK13" s="2">
        <f t="shared" ca="1" si="43"/>
        <v>-1.8606224627875413E-3</v>
      </c>
      <c r="CL13" s="2" vm="529">
        <f ca="1"/>
        <v>58</v>
      </c>
      <c r="CM13" s="2">
        <f t="shared" ca="1" si="44"/>
        <v>-2.9224686264397747E-3</v>
      </c>
      <c r="CN13" s="2" vm="530">
        <f ca="1"/>
        <v>29.22</v>
      </c>
      <c r="CO13" s="2">
        <f t="shared" ca="1" si="45"/>
        <v>-2.7303754266212233E-3</v>
      </c>
      <c r="CP13" s="2" vm="531">
        <f ca="1"/>
        <v>23.942299999999999</v>
      </c>
      <c r="CQ13" s="2">
        <f t="shared" ca="1" si="46"/>
        <v>7.6598359448322873E-3</v>
      </c>
    </row>
    <row r="14" spans="1:95" x14ac:dyDescent="0.2">
      <c r="A14" s="7" vm="532">
        <f ca="1"/>
        <v>45589</v>
      </c>
      <c r="B14" s="2" vm="533">
        <f ca="1"/>
        <v>230.57</v>
      </c>
      <c r="C14" s="2">
        <f t="shared" ca="1" si="0"/>
        <v>-8.2336626798404291E-4</v>
      </c>
      <c r="D14" s="2" vm="534">
        <f ca="1"/>
        <v>140.41</v>
      </c>
      <c r="E14" s="2">
        <f t="shared" ca="1" si="1"/>
        <v>6.0905703640011053E-3</v>
      </c>
      <c r="F14" s="2" vm="535">
        <f ca="1"/>
        <v>424.73</v>
      </c>
      <c r="G14" s="2">
        <f t="shared" ca="1" si="2"/>
        <v>3.061705134243887E-4</v>
      </c>
      <c r="H14" s="2" vm="536">
        <f ca="1"/>
        <v>567.78</v>
      </c>
      <c r="I14" s="2">
        <f t="shared" ca="1" si="3"/>
        <v>7.2557611453102199E-3</v>
      </c>
      <c r="J14" s="2" vm="537">
        <f ca="1"/>
        <v>162.72</v>
      </c>
      <c r="K14" s="2">
        <f t="shared" ca="1" si="4"/>
        <v>-3.6859565057133724E-4</v>
      </c>
      <c r="L14" s="2" vm="538">
        <f ca="1"/>
        <v>579.24</v>
      </c>
      <c r="M14" s="2">
        <f t="shared" ca="1" si="5"/>
        <v>2.1626671741725636E-3</v>
      </c>
      <c r="N14" s="2" vm="539">
        <f ca="1"/>
        <v>92.66</v>
      </c>
      <c r="O14" s="2">
        <f t="shared" ca="1" si="6"/>
        <v>6.408167698490317E-3</v>
      </c>
      <c r="P14" s="2" vm="540">
        <f ca="1"/>
        <v>252.8</v>
      </c>
      <c r="Q14" s="2">
        <f t="shared" ca="1" si="7"/>
        <v>7.6932275680631672E-3</v>
      </c>
      <c r="R14" s="2" vm="541">
        <f ca="1"/>
        <v>73.06</v>
      </c>
      <c r="S14" s="2">
        <f t="shared" ca="1" si="8"/>
        <v>-6.6621346023112834E-3</v>
      </c>
      <c r="T14" s="2" vm="542">
        <f ca="1"/>
        <v>95.1</v>
      </c>
      <c r="U14" s="2">
        <f t="shared" ca="1" si="9"/>
        <v>2.2130888397090711E-3</v>
      </c>
      <c r="V14" s="2" vm="543">
        <f ca="1"/>
        <v>47.51</v>
      </c>
      <c r="W14" s="2">
        <f t="shared" ca="1" si="10"/>
        <v>2.3079876626034444E-3</v>
      </c>
      <c r="X14" s="2" vm="544">
        <f ca="1"/>
        <v>146.29</v>
      </c>
      <c r="Y14" s="2">
        <f t="shared" ca="1" si="11"/>
        <v>1.9158422739306118E-2</v>
      </c>
      <c r="Z14" s="2" vm="545">
        <f ca="1"/>
        <v>89.8</v>
      </c>
      <c r="AA14" s="2">
        <f t="shared" ca="1" si="12"/>
        <v>-1.1134617525893681E-4</v>
      </c>
      <c r="AB14" s="2" vm="546">
        <f ca="1"/>
        <v>14.54</v>
      </c>
      <c r="AC14" s="2">
        <f t="shared" ca="1" si="13"/>
        <v>-4.1095890410959247E-3</v>
      </c>
      <c r="AD14" s="2" t="e" vm="92">
        <f ca="1"/>
        <v>#N/A</v>
      </c>
      <c r="AE14" s="2" t="e" vm="140">
        <f t="shared" ca="1" si="14"/>
        <v>#N/A</v>
      </c>
      <c r="AF14" s="2" vm="547">
        <f ca="1"/>
        <v>30.69</v>
      </c>
      <c r="AG14" s="2">
        <f t="shared" ca="1" si="15"/>
        <v>-6.5125366330184213E-4</v>
      </c>
      <c r="AH14" s="2" vm="548">
        <f ca="1"/>
        <v>24.81</v>
      </c>
      <c r="AI14" s="2">
        <f t="shared" ca="1" si="16"/>
        <v>-1.5476190476190499E-2</v>
      </c>
      <c r="AJ14" s="2" vm="549">
        <f ca="1"/>
        <v>5.21</v>
      </c>
      <c r="AK14" s="2">
        <f t="shared" ca="1" si="17"/>
        <v>5.7915057915058398E-3</v>
      </c>
      <c r="AL14" s="2" vm="550">
        <f ca="1"/>
        <v>54.21</v>
      </c>
      <c r="AM14" s="2">
        <f t="shared" ca="1" si="18"/>
        <v>7.2463768115942134E-3</v>
      </c>
      <c r="AN14" s="2" vm="551">
        <f ca="1"/>
        <v>94.25</v>
      </c>
      <c r="AO14" s="2">
        <f t="shared" ca="1" si="19"/>
        <v>7.6980647920453209E-3</v>
      </c>
      <c r="AP14" s="2" vm="421">
        <f ca="1"/>
        <v>26.37</v>
      </c>
      <c r="AQ14" s="2">
        <f t="shared" ca="1" si="20"/>
        <v>1.1389521640091547E-3</v>
      </c>
      <c r="AR14" s="2" vm="552">
        <f ca="1"/>
        <v>51.01</v>
      </c>
      <c r="AS14" s="2">
        <f t="shared" ca="1" si="21"/>
        <v>3.9223377132763324E-4</v>
      </c>
      <c r="AT14" s="2" vm="122">
        <f ca="1"/>
        <v>29.17</v>
      </c>
      <c r="AU14" s="2">
        <f t="shared" ca="1" si="22"/>
        <v>1.0295126973233059E-3</v>
      </c>
      <c r="AV14" s="2" vm="553">
        <f ca="1"/>
        <v>27.56</v>
      </c>
      <c r="AW14" s="2">
        <f t="shared" ca="1" si="23"/>
        <v>5.4724553082815975E-3</v>
      </c>
      <c r="AX14" s="2" vm="554">
        <f ca="1"/>
        <v>91.71</v>
      </c>
      <c r="AY14" s="2">
        <f t="shared" ca="1" si="24"/>
        <v>1.0905125408932285E-4</v>
      </c>
      <c r="AZ14" s="2" vm="555">
        <f ca="1"/>
        <v>457.77</v>
      </c>
      <c r="BA14" s="2">
        <f t="shared" ca="1" si="25"/>
        <v>-6.165736740409526E-3</v>
      </c>
      <c r="BB14" s="2" vm="556">
        <f ca="1"/>
        <v>224.98</v>
      </c>
      <c r="BC14" s="2">
        <f t="shared" ca="1" si="26"/>
        <v>7.0274383420616503E-3</v>
      </c>
      <c r="BD14" s="2" vm="557">
        <f ca="1"/>
        <v>42.65</v>
      </c>
      <c r="BE14" s="2">
        <f t="shared" ca="1" si="27"/>
        <v>7.3216816249408396E-3</v>
      </c>
      <c r="BF14" s="2" vm="558">
        <f ca="1"/>
        <v>119.59</v>
      </c>
      <c r="BG14" s="2">
        <f t="shared" ca="1" si="28"/>
        <v>-5.6539452897646347E-3</v>
      </c>
      <c r="BH14" s="2" vm="559">
        <f ca="1"/>
        <v>150.44999999999999</v>
      </c>
      <c r="BI14" s="2">
        <f t="shared" ca="1" si="29"/>
        <v>-1.9936204146731219E-4</v>
      </c>
      <c r="BJ14" s="2" vm="560">
        <f ca="1"/>
        <v>163.66999999999999</v>
      </c>
      <c r="BK14" s="2">
        <f t="shared" ca="1" si="30"/>
        <v>-1.3203906909441855E-2</v>
      </c>
      <c r="BL14" s="2" vm="561">
        <f ca="1"/>
        <v>67.3</v>
      </c>
      <c r="BM14" s="2">
        <f t="shared" ca="1" si="31"/>
        <v>-1.0439641229231111E-2</v>
      </c>
      <c r="BN14" s="2" vm="562">
        <f ca="1"/>
        <v>301.58</v>
      </c>
      <c r="BO14" s="2">
        <f t="shared" ca="1" si="32"/>
        <v>1.0081387949224608E-2</v>
      </c>
      <c r="BP14" s="2" vm="563">
        <f ca="1"/>
        <v>95.4</v>
      </c>
      <c r="BQ14" s="2">
        <f t="shared" ca="1" si="33"/>
        <v>-8.7281795511220828E-3</v>
      </c>
      <c r="BR14" s="2" vm="564">
        <f ca="1"/>
        <v>754.55</v>
      </c>
      <c r="BS14" s="2">
        <f t="shared" ca="1" si="34"/>
        <v>7.0199789133713131E-3</v>
      </c>
      <c r="BT14" s="2" vm="565">
        <f ca="1"/>
        <v>169.62</v>
      </c>
      <c r="BU14" s="2">
        <f t="shared" ca="1" si="35"/>
        <v>2.3587687227262673E-4</v>
      </c>
      <c r="BV14" s="2" vm="566">
        <f ca="1"/>
        <v>172.16</v>
      </c>
      <c r="BW14" s="2">
        <f t="shared" ca="1" si="36"/>
        <v>-4.5677941601618508E-3</v>
      </c>
      <c r="BX14" s="2" vm="567">
        <f ca="1"/>
        <v>274.92</v>
      </c>
      <c r="BY14" s="2">
        <f t="shared" ca="1" si="37"/>
        <v>-4.2738138355668479E-3</v>
      </c>
      <c r="BZ14" s="2" vm="568">
        <f ca="1"/>
        <v>92.28</v>
      </c>
      <c r="CA14" s="2">
        <f t="shared" ca="1" si="38"/>
        <v>3.0434782608695777E-3</v>
      </c>
      <c r="CB14" s="2" vm="268">
        <f ca="1"/>
        <v>29.99</v>
      </c>
      <c r="CC14" s="2">
        <f t="shared" ca="1" si="39"/>
        <v>5.3637277908146208E-3</v>
      </c>
      <c r="CD14" s="2" t="e" vm="92">
        <f ca="1"/>
        <v>#N/A</v>
      </c>
      <c r="CE14" s="2" t="e" vm="140">
        <f t="shared" ca="1" si="40"/>
        <v>#N/A</v>
      </c>
      <c r="CF14" s="2" vm="569">
        <f ca="1"/>
        <v>22.895</v>
      </c>
      <c r="CG14" s="2">
        <f t="shared" ca="1" si="41"/>
        <v>1.5310586176727971E-3</v>
      </c>
      <c r="CH14" s="2" vm="570">
        <f ca="1"/>
        <v>58.51</v>
      </c>
      <c r="CI14" s="2">
        <f t="shared" ca="1" si="42"/>
        <v>1.7094017094013692E-4</v>
      </c>
      <c r="CJ14" s="2" vm="401">
        <f ca="1"/>
        <v>59.08</v>
      </c>
      <c r="CK14" s="2">
        <f t="shared" ca="1" si="43"/>
        <v>1.1862396204033263E-3</v>
      </c>
      <c r="CL14" s="2" vm="571">
        <f ca="1"/>
        <v>58.31</v>
      </c>
      <c r="CM14" s="2">
        <f t="shared" ca="1" si="44"/>
        <v>5.3448275862069353E-3</v>
      </c>
      <c r="CN14" s="2" vm="572">
        <f ca="1"/>
        <v>29.29</v>
      </c>
      <c r="CO14" s="2">
        <f t="shared" ca="1" si="45"/>
        <v>2.3956194387405984E-3</v>
      </c>
      <c r="CP14" s="2" vm="573">
        <f ca="1"/>
        <v>23.9117</v>
      </c>
      <c r="CQ14" s="2">
        <f t="shared" ca="1" si="46"/>
        <v>-1.2780726997823825E-3</v>
      </c>
    </row>
    <row r="15" spans="1:95" x14ac:dyDescent="0.2">
      <c r="A15" s="7" vm="574">
        <f ca="1"/>
        <v>45590</v>
      </c>
      <c r="B15" s="2" vm="575">
        <f ca="1"/>
        <v>231.41</v>
      </c>
      <c r="C15" s="2">
        <f t="shared" ca="1" si="0"/>
        <v>3.6431452487314196E-3</v>
      </c>
      <c r="D15" s="2" vm="576">
        <f ca="1"/>
        <v>141.54</v>
      </c>
      <c r="E15" s="2">
        <f t="shared" ca="1" si="1"/>
        <v>8.0478598390427702E-3</v>
      </c>
      <c r="F15" s="2" vm="577">
        <f ca="1"/>
        <v>428.15</v>
      </c>
      <c r="G15" s="2">
        <f t="shared" ca="1" si="2"/>
        <v>8.0521743225106749E-3</v>
      </c>
      <c r="H15" s="2" vm="578">
        <f ca="1"/>
        <v>573.25</v>
      </c>
      <c r="I15" s="2">
        <f t="shared" ca="1" si="3"/>
        <v>9.6340131741167838E-3</v>
      </c>
      <c r="J15" s="2" vm="579">
        <f ca="1"/>
        <v>165.27</v>
      </c>
      <c r="K15" s="2">
        <f t="shared" ca="1" si="4"/>
        <v>1.5671091445427797E-2</v>
      </c>
      <c r="L15" s="2" vm="580">
        <f ca="1"/>
        <v>579.04</v>
      </c>
      <c r="M15" s="2">
        <f t="shared" ca="1" si="5"/>
        <v>-3.4528002209799992E-4</v>
      </c>
      <c r="N15" s="2" vm="581">
        <f ca="1"/>
        <v>92.14</v>
      </c>
      <c r="O15" s="2">
        <f t="shared" ca="1" si="6"/>
        <v>-5.6119145262248657E-3</v>
      </c>
      <c r="P15" s="2" vm="582">
        <f ca="1"/>
        <v>253.32</v>
      </c>
      <c r="Q15" s="2">
        <f t="shared" ca="1" si="7"/>
        <v>2.0569620253163838E-3</v>
      </c>
      <c r="R15" s="2" vm="583">
        <f ca="1"/>
        <v>74.23</v>
      </c>
      <c r="S15" s="2">
        <f t="shared" ca="1" si="8"/>
        <v>1.6014234875444861E-2</v>
      </c>
      <c r="T15" s="2" vm="498">
        <f ca="1"/>
        <v>94.89</v>
      </c>
      <c r="U15" s="2">
        <f t="shared" ca="1" si="9"/>
        <v>-2.2082018927444139E-3</v>
      </c>
      <c r="V15" s="2" vm="584">
        <f ca="1"/>
        <v>47.4</v>
      </c>
      <c r="W15" s="2">
        <f t="shared" ca="1" si="10"/>
        <v>-2.3153020416754248E-3</v>
      </c>
      <c r="X15" s="2" vm="585">
        <f ca="1"/>
        <v>143.09</v>
      </c>
      <c r="Y15" s="2">
        <f t="shared" ca="1" si="11"/>
        <v>-2.1874359149634211E-2</v>
      </c>
      <c r="Z15" s="2" vm="586">
        <f ca="1"/>
        <v>89.77</v>
      </c>
      <c r="AA15" s="2">
        <f t="shared" ca="1" si="12"/>
        <v>-3.3407572383074765E-4</v>
      </c>
      <c r="AB15" s="2" vm="587">
        <f ca="1"/>
        <v>14.77</v>
      </c>
      <c r="AC15" s="2">
        <f t="shared" ca="1" si="13"/>
        <v>1.5818431911967017E-2</v>
      </c>
      <c r="AD15" s="2" vm="588">
        <f ca="1"/>
        <v>2.4</v>
      </c>
      <c r="AE15" s="2" t="e" vm="140">
        <f t="shared" ca="1" si="14"/>
        <v>#N/A</v>
      </c>
      <c r="AF15" s="2" vm="589">
        <f ca="1"/>
        <v>30.63</v>
      </c>
      <c r="AG15" s="2">
        <f t="shared" ca="1" si="15"/>
        <v>-1.9550342130988034E-3</v>
      </c>
      <c r="AH15" s="2" vm="590">
        <f ca="1"/>
        <v>24.84</v>
      </c>
      <c r="AI15" s="2">
        <f t="shared" ca="1" si="16"/>
        <v>1.2091898428053663E-3</v>
      </c>
      <c r="AJ15" s="2" vm="591">
        <f ca="1"/>
        <v>5.1100000000000003</v>
      </c>
      <c r="AK15" s="2">
        <f t="shared" ca="1" si="17"/>
        <v>-1.9193857965450988E-2</v>
      </c>
      <c r="AL15" s="2" vm="592">
        <f ca="1"/>
        <v>54.35</v>
      </c>
      <c r="AM15" s="2">
        <f t="shared" ca="1" si="18"/>
        <v>2.5825493451392834E-3</v>
      </c>
      <c r="AN15" s="2" vm="593">
        <f ca="1"/>
        <v>93.51</v>
      </c>
      <c r="AO15" s="2">
        <f t="shared" ca="1" si="19"/>
        <v>-7.8514588859415896E-3</v>
      </c>
      <c r="AP15" s="2" vm="594">
        <f ca="1"/>
        <v>26.29</v>
      </c>
      <c r="AQ15" s="2">
        <f t="shared" ca="1" si="20"/>
        <v>-3.0337504740235817E-3</v>
      </c>
      <c r="AR15" s="2" vm="595">
        <f ca="1"/>
        <v>51.06</v>
      </c>
      <c r="AS15" s="2">
        <f t="shared" ca="1" si="21"/>
        <v>9.8019996079208517E-4</v>
      </c>
      <c r="AT15" s="2" vm="596">
        <f ca="1"/>
        <v>29.15</v>
      </c>
      <c r="AU15" s="2">
        <f t="shared" ca="1" si="22"/>
        <v>-6.8563592732269886E-4</v>
      </c>
      <c r="AV15" s="2" vm="597">
        <f ca="1"/>
        <v>27.42</v>
      </c>
      <c r="AW15" s="2">
        <f t="shared" ca="1" si="23"/>
        <v>-5.079825834542708E-3</v>
      </c>
      <c r="AX15" s="2" vm="598">
        <f ca="1"/>
        <v>91.75</v>
      </c>
      <c r="AY15" s="2">
        <f t="shared" ca="1" si="24"/>
        <v>4.3615745284054361E-4</v>
      </c>
      <c r="AZ15" s="2" vm="599">
        <f ca="1"/>
        <v>454.01</v>
      </c>
      <c r="BA15" s="2">
        <f t="shared" ca="1" si="25"/>
        <v>-8.2137317867050936E-3</v>
      </c>
      <c r="BB15" s="2" vm="600">
        <f ca="1"/>
        <v>222.31</v>
      </c>
      <c r="BC15" s="2">
        <f t="shared" ca="1" si="26"/>
        <v>-1.1867721575251079E-2</v>
      </c>
      <c r="BD15" s="2" vm="601">
        <f ca="1"/>
        <v>41.89</v>
      </c>
      <c r="BE15" s="2">
        <f t="shared" ca="1" si="27"/>
        <v>-1.7819460726846377E-2</v>
      </c>
      <c r="BF15" s="2" vm="602">
        <f ca="1"/>
        <v>119.49</v>
      </c>
      <c r="BG15" s="2">
        <f t="shared" ca="1" si="28"/>
        <v>-8.361903169162014E-4</v>
      </c>
      <c r="BH15" s="2" vm="603">
        <f ca="1"/>
        <v>150.81</v>
      </c>
      <c r="BI15" s="2">
        <f t="shared" ca="1" si="29"/>
        <v>2.3928215353939096E-3</v>
      </c>
      <c r="BJ15" s="2" vm="604">
        <f ca="1"/>
        <v>160.88</v>
      </c>
      <c r="BK15" s="2">
        <f t="shared" ca="1" si="30"/>
        <v>-1.7046495998044798E-2</v>
      </c>
      <c r="BL15" s="2" vm="605">
        <f ca="1"/>
        <v>66.92</v>
      </c>
      <c r="BM15" s="2">
        <f t="shared" ca="1" si="31"/>
        <v>-5.6463595839523839E-3</v>
      </c>
      <c r="BN15" s="2" vm="606">
        <f ca="1"/>
        <v>292.61</v>
      </c>
      <c r="BO15" s="2">
        <f t="shared" ca="1" si="32"/>
        <v>-2.9743351681145867E-2</v>
      </c>
      <c r="BP15" s="2" vm="607">
        <f ca="1"/>
        <v>95.03</v>
      </c>
      <c r="BQ15" s="2">
        <f t="shared" ca="1" si="33"/>
        <v>-3.8784067085954354E-3</v>
      </c>
      <c r="BR15" s="2" vm="608">
        <f ca="1"/>
        <v>754.68</v>
      </c>
      <c r="BS15" s="2">
        <f t="shared" ca="1" si="34"/>
        <v>1.7228811874626661E-4</v>
      </c>
      <c r="BT15" s="2" vm="609">
        <f ca="1"/>
        <v>168.22</v>
      </c>
      <c r="BU15" s="2">
        <f t="shared" ca="1" si="35"/>
        <v>-8.2537436623040077E-3</v>
      </c>
      <c r="BV15" s="2" vm="610">
        <f ca="1"/>
        <v>171.79</v>
      </c>
      <c r="BW15" s="2">
        <f t="shared" ca="1" si="36"/>
        <v>-2.1491635687732606E-3</v>
      </c>
      <c r="BX15" s="2" vm="611">
        <f ca="1"/>
        <v>278.77</v>
      </c>
      <c r="BY15" s="2">
        <f t="shared" ca="1" si="37"/>
        <v>1.4004073912410759E-2</v>
      </c>
      <c r="BZ15" s="2" vm="568">
        <f ca="1"/>
        <v>92.28</v>
      </c>
      <c r="CA15" s="2">
        <f t="shared" ca="1" si="38"/>
        <v>0</v>
      </c>
      <c r="CB15" s="2" vm="612">
        <f ca="1"/>
        <v>30.03</v>
      </c>
      <c r="CC15" s="2">
        <f t="shared" ca="1" si="39"/>
        <v>1.3337779259754152E-3</v>
      </c>
      <c r="CD15" s="2" t="e" vm="92">
        <f ca="1"/>
        <v>#N/A</v>
      </c>
      <c r="CE15" s="2" t="e" vm="140">
        <f t="shared" ca="1" si="40"/>
        <v>#N/A</v>
      </c>
      <c r="CF15" s="2" vm="526">
        <f ca="1"/>
        <v>22.86</v>
      </c>
      <c r="CG15" s="2">
        <f t="shared" ca="1" si="41"/>
        <v>-1.528718060711952E-3</v>
      </c>
      <c r="CH15" s="2" vm="570">
        <f ca="1"/>
        <v>58.51</v>
      </c>
      <c r="CI15" s="2">
        <f t="shared" ca="1" si="42"/>
        <v>0</v>
      </c>
      <c r="CJ15" s="2" vm="187">
        <f ca="1"/>
        <v>59</v>
      </c>
      <c r="CK15" s="2">
        <f t="shared" ca="1" si="43"/>
        <v>-1.3540961408259698E-3</v>
      </c>
      <c r="CL15" s="2" vm="613">
        <f ca="1"/>
        <v>58.04</v>
      </c>
      <c r="CM15" s="2">
        <f t="shared" ca="1" si="44"/>
        <v>-4.6304235980106859E-3</v>
      </c>
      <c r="CN15" s="2" vm="530">
        <f ca="1"/>
        <v>29.22</v>
      </c>
      <c r="CO15" s="2">
        <f t="shared" ca="1" si="45"/>
        <v>-2.3898941618299861E-3</v>
      </c>
      <c r="CP15" s="2" vm="614">
        <f ca="1"/>
        <v>23.768599999999999</v>
      </c>
      <c r="CQ15" s="2">
        <f t="shared" ca="1" si="46"/>
        <v>-5.9845180392862256E-3</v>
      </c>
    </row>
    <row r="16" spans="1:95" x14ac:dyDescent="0.2">
      <c r="A16" s="7" vm="615">
        <f ca="1"/>
        <v>45593</v>
      </c>
      <c r="B16" s="2" vm="616">
        <f ca="1"/>
        <v>233.4</v>
      </c>
      <c r="C16" s="2">
        <f t="shared" ca="1" si="0"/>
        <v>8.599455511862102E-3</v>
      </c>
      <c r="D16" s="2" vm="617">
        <f ca="1"/>
        <v>140.52000000000001</v>
      </c>
      <c r="E16" s="2">
        <f t="shared" ca="1" si="1"/>
        <v>-7.2064434082236952E-3</v>
      </c>
      <c r="F16" s="2" vm="618">
        <f ca="1"/>
        <v>426.59</v>
      </c>
      <c r="G16" s="2">
        <f t="shared" ca="1" si="2"/>
        <v>-3.6435828564755396E-3</v>
      </c>
      <c r="H16" s="2" vm="619">
        <f ca="1"/>
        <v>578.16</v>
      </c>
      <c r="I16" s="2">
        <f t="shared" ca="1" si="3"/>
        <v>8.565198430004306E-3</v>
      </c>
      <c r="J16" s="2" vm="620">
        <f ca="1"/>
        <v>166.72</v>
      </c>
      <c r="K16" s="2">
        <f t="shared" ca="1" si="4"/>
        <v>8.7735221153263654E-3</v>
      </c>
      <c r="L16" s="2" vm="621">
        <f ca="1"/>
        <v>580.83000000000004</v>
      </c>
      <c r="M16" s="2">
        <f t="shared" ca="1" si="5"/>
        <v>3.091323570047108E-3</v>
      </c>
      <c r="N16" s="2" vm="622">
        <f ca="1"/>
        <v>91.89</v>
      </c>
      <c r="O16" s="2">
        <f t="shared" ca="1" si="6"/>
        <v>-2.7132624267419145E-3</v>
      </c>
      <c r="P16" s="2" vm="623">
        <f ca="1"/>
        <v>253.33</v>
      </c>
      <c r="Q16" s="2">
        <f t="shared" ca="1" si="7"/>
        <v>3.9475761882280623E-5</v>
      </c>
      <c r="R16" s="2" vm="624">
        <f ca="1"/>
        <v>70.430000000000007</v>
      </c>
      <c r="S16" s="2">
        <f t="shared" ca="1" si="8"/>
        <v>-5.1192240334096688E-2</v>
      </c>
      <c r="T16" s="2" vm="625">
        <f ca="1"/>
        <v>94.67</v>
      </c>
      <c r="U16" s="2">
        <f t="shared" ca="1" si="9"/>
        <v>-2.318474022552417E-3</v>
      </c>
      <c r="V16" s="2" vm="626">
        <f ca="1"/>
        <v>47.35</v>
      </c>
      <c r="W16" s="2">
        <f t="shared" ca="1" si="10"/>
        <v>-1.0548523206750455E-3</v>
      </c>
      <c r="X16" s="2" vm="627">
        <f ca="1"/>
        <v>144.84</v>
      </c>
      <c r="Y16" s="2">
        <f t="shared" ca="1" si="11"/>
        <v>1.2230064994059682E-2</v>
      </c>
      <c r="Z16" s="2" vm="628">
        <f ca="1"/>
        <v>89.2</v>
      </c>
      <c r="AA16" s="2">
        <f t="shared" ca="1" si="12"/>
        <v>-6.3495599866324297E-3</v>
      </c>
      <c r="AB16" s="2" vm="629">
        <f ca="1"/>
        <v>13.98</v>
      </c>
      <c r="AC16" s="2">
        <f t="shared" ca="1" si="13"/>
        <v>-5.3486797562626892E-2</v>
      </c>
      <c r="AD16" s="2" t="e" vm="92">
        <f ca="1"/>
        <v>#N/A</v>
      </c>
      <c r="AE16" s="2" t="e" vm="140">
        <f t="shared" ca="1" si="14"/>
        <v>#N/A</v>
      </c>
      <c r="AF16" s="2" vm="630">
        <f ca="1"/>
        <v>30.73</v>
      </c>
      <c r="AG16" s="2">
        <f t="shared" ca="1" si="15"/>
        <v>3.2647730982697169E-3</v>
      </c>
      <c r="AH16" s="2" vm="631">
        <f ca="1"/>
        <v>25.04</v>
      </c>
      <c r="AI16" s="2">
        <f t="shared" ca="1" si="16"/>
        <v>8.051529790660197E-3</v>
      </c>
      <c r="AJ16" s="2" vm="632">
        <f ca="1"/>
        <v>5.04</v>
      </c>
      <c r="AK16" s="2">
        <f t="shared" ca="1" si="17"/>
        <v>-1.3698630136986356E-2</v>
      </c>
      <c r="AL16" s="2" vm="592">
        <f ca="1"/>
        <v>54.35</v>
      </c>
      <c r="AM16" s="2">
        <f t="shared" ca="1" si="18"/>
        <v>0</v>
      </c>
      <c r="AN16" s="2" vm="633">
        <f ca="1"/>
        <v>94.79</v>
      </c>
      <c r="AO16" s="2">
        <f t="shared" ca="1" si="19"/>
        <v>1.3688375574804845E-2</v>
      </c>
      <c r="AP16" s="2" vm="634">
        <f ca="1"/>
        <v>26.26</v>
      </c>
      <c r="AQ16" s="2">
        <f t="shared" ca="1" si="20"/>
        <v>-1.1411182959299195E-3</v>
      </c>
      <c r="AR16" s="2" vm="635">
        <f ca="1"/>
        <v>51.08</v>
      </c>
      <c r="AS16" s="2">
        <f t="shared" ca="1" si="21"/>
        <v>3.9169604386987895E-4</v>
      </c>
      <c r="AT16" s="2" vm="74">
        <f ca="1"/>
        <v>29.14</v>
      </c>
      <c r="AU16" s="2">
        <f t="shared" ca="1" si="22"/>
        <v>-3.4305317324178426E-4</v>
      </c>
      <c r="AV16" s="2" vm="636">
        <f ca="1"/>
        <v>27.33</v>
      </c>
      <c r="AW16" s="2">
        <f t="shared" ca="1" si="23"/>
        <v>-3.2822757111598618E-3</v>
      </c>
      <c r="AX16" s="2" vm="598">
        <f ca="1"/>
        <v>91.75</v>
      </c>
      <c r="AY16" s="2">
        <f t="shared" ca="1" si="24"/>
        <v>0</v>
      </c>
      <c r="AZ16" s="2" vm="637">
        <f ca="1"/>
        <v>458.49</v>
      </c>
      <c r="BA16" s="2">
        <f t="shared" ca="1" si="25"/>
        <v>9.8676240611440674E-3</v>
      </c>
      <c r="BB16" s="2" vm="638">
        <f ca="1"/>
        <v>225.5</v>
      </c>
      <c r="BC16" s="2">
        <f t="shared" ca="1" si="26"/>
        <v>1.4349332013854518E-2</v>
      </c>
      <c r="BD16" s="2" vm="639">
        <f ca="1"/>
        <v>42.62</v>
      </c>
      <c r="BE16" s="2">
        <f t="shared" ca="1" si="27"/>
        <v>1.7426593459059368E-2</v>
      </c>
      <c r="BF16" s="2" vm="640">
        <f ca="1"/>
        <v>118.9</v>
      </c>
      <c r="BG16" s="2">
        <f t="shared" ca="1" si="28"/>
        <v>-4.9376516863334939E-3</v>
      </c>
      <c r="BH16" s="2" vm="641">
        <f ca="1"/>
        <v>150.54</v>
      </c>
      <c r="BI16" s="2">
        <f t="shared" ca="1" si="29"/>
        <v>-1.7903322060871974E-3</v>
      </c>
      <c r="BJ16" s="2" vm="218">
        <f ca="1"/>
        <v>161.6</v>
      </c>
      <c r="BK16" s="2">
        <f t="shared" ca="1" si="30"/>
        <v>4.4753853804077506E-3</v>
      </c>
      <c r="BL16" s="2" vm="642">
        <f ca="1"/>
        <v>66.67</v>
      </c>
      <c r="BM16" s="2">
        <f t="shared" ca="1" si="31"/>
        <v>-3.7358039450089658E-3</v>
      </c>
      <c r="BN16" s="2" vm="643">
        <f ca="1"/>
        <v>296.79000000000002</v>
      </c>
      <c r="BO16" s="2">
        <f t="shared" ca="1" si="32"/>
        <v>1.428522606882884E-2</v>
      </c>
      <c r="BP16" s="2" vm="644">
        <f ca="1"/>
        <v>96.2</v>
      </c>
      <c r="BQ16" s="2">
        <f t="shared" ca="1" si="33"/>
        <v>1.2311901504787979E-2</v>
      </c>
      <c r="BR16" s="2" vm="645">
        <f ca="1"/>
        <v>749.12</v>
      </c>
      <c r="BS16" s="2">
        <f t="shared" ca="1" si="34"/>
        <v>-7.3673610006889621E-3</v>
      </c>
      <c r="BT16" s="2" vm="646">
        <f ca="1"/>
        <v>169.3</v>
      </c>
      <c r="BU16" s="2">
        <f t="shared" ca="1" si="35"/>
        <v>6.4201640708596627E-3</v>
      </c>
      <c r="BV16" s="2" vm="647">
        <f ca="1"/>
        <v>169.84</v>
      </c>
      <c r="BW16" s="2">
        <f t="shared" ca="1" si="36"/>
        <v>-1.1351068164619529E-2</v>
      </c>
      <c r="BX16" s="2" vm="648">
        <f ca="1"/>
        <v>275.92</v>
      </c>
      <c r="BY16" s="2">
        <f t="shared" ca="1" si="37"/>
        <v>-1.0223481723284307E-2</v>
      </c>
      <c r="BZ16" s="2" vm="649">
        <f ca="1"/>
        <v>91.25</v>
      </c>
      <c r="CA16" s="2">
        <f t="shared" ca="1" si="38"/>
        <v>-1.1161681837884711E-2</v>
      </c>
      <c r="CB16" s="2" vm="273">
        <f ca="1"/>
        <v>29.64</v>
      </c>
      <c r="CC16" s="2">
        <f t="shared" ca="1" si="39"/>
        <v>-1.2987012987013005E-2</v>
      </c>
      <c r="CD16" s="2" vm="650">
        <f ca="1"/>
        <v>522.5</v>
      </c>
      <c r="CE16" s="2" t="e" vm="140">
        <f t="shared" ca="1" si="40"/>
        <v>#N/A</v>
      </c>
      <c r="CF16" s="2" vm="651">
        <f ca="1"/>
        <v>22.83</v>
      </c>
      <c r="CG16" s="2">
        <f t="shared" ca="1" si="41"/>
        <v>-1.3123359580052992E-3</v>
      </c>
      <c r="CH16" s="2" vm="94">
        <f ca="1"/>
        <v>58.49</v>
      </c>
      <c r="CI16" s="2">
        <f t="shared" ca="1" si="42"/>
        <v>-3.4182191078441329E-4</v>
      </c>
      <c r="CJ16" s="2" vm="652">
        <f ca="1"/>
        <v>58.89</v>
      </c>
      <c r="CK16" s="2">
        <f t="shared" ca="1" si="43"/>
        <v>-1.8644067796610073E-3</v>
      </c>
      <c r="CL16" s="2" vm="653">
        <f ca="1"/>
        <v>57.86</v>
      </c>
      <c r="CM16" s="2">
        <f t="shared" ca="1" si="44"/>
        <v>-3.1013094417642957E-3</v>
      </c>
      <c r="CN16" s="2" vm="168">
        <f ca="1"/>
        <v>29.2</v>
      </c>
      <c r="CO16" s="2">
        <f t="shared" ca="1" si="45"/>
        <v>-6.8446269678301079E-4</v>
      </c>
      <c r="CP16" s="2" vm="654">
        <f ca="1"/>
        <v>23.882899999999999</v>
      </c>
      <c r="CQ16" s="2">
        <f t="shared" ca="1" si="46"/>
        <v>4.8088654779835614E-3</v>
      </c>
    </row>
    <row r="17" spans="1:95" x14ac:dyDescent="0.2">
      <c r="A17" s="7" vm="655">
        <f ca="1"/>
        <v>45594</v>
      </c>
      <c r="B17" s="2" vm="656">
        <f ca="1"/>
        <v>233.67</v>
      </c>
      <c r="C17" s="2">
        <f t="shared" ca="1" si="0"/>
        <v>1.1568123393315415E-3</v>
      </c>
      <c r="D17" s="2" vm="657">
        <f ca="1"/>
        <v>141.25</v>
      </c>
      <c r="E17" s="2">
        <f t="shared" ca="1" si="1"/>
        <v>5.1949900370053355E-3</v>
      </c>
      <c r="F17" s="2" vm="658">
        <f ca="1"/>
        <v>431.95</v>
      </c>
      <c r="G17" s="2">
        <f t="shared" ca="1" si="2"/>
        <v>1.2564757729904626E-2</v>
      </c>
      <c r="H17" s="2" vm="659">
        <f ca="1"/>
        <v>593.28</v>
      </c>
      <c r="I17" s="2">
        <f t="shared" ca="1" si="3"/>
        <v>2.6151930261519313E-2</v>
      </c>
      <c r="J17" s="2" vm="660">
        <f ca="1"/>
        <v>169.68</v>
      </c>
      <c r="K17" s="2">
        <f t="shared" ca="1" si="4"/>
        <v>1.7754318618042275E-2</v>
      </c>
      <c r="L17" s="2" vm="661">
        <f ca="1"/>
        <v>581.77</v>
      </c>
      <c r="M17" s="2">
        <f t="shared" ca="1" si="5"/>
        <v>1.6183737065921884E-3</v>
      </c>
      <c r="N17" s="2" vm="662">
        <f ca="1"/>
        <v>92.03</v>
      </c>
      <c r="O17" s="2">
        <f t="shared" ca="1" si="6"/>
        <v>1.5235607791925189E-3</v>
      </c>
      <c r="P17" s="2" vm="663">
        <f ca="1"/>
        <v>256.08999999999997</v>
      </c>
      <c r="Q17" s="2">
        <f t="shared" ca="1" si="7"/>
        <v>1.0894880195791901E-2</v>
      </c>
      <c r="R17" s="2" vm="664">
        <f ca="1"/>
        <v>69.66</v>
      </c>
      <c r="S17" s="2">
        <f t="shared" ca="1" si="8"/>
        <v>-1.0932841118841546E-2</v>
      </c>
      <c r="T17" s="2" vm="665">
        <f ca="1"/>
        <v>94.71</v>
      </c>
      <c r="U17" s="2">
        <f t="shared" ca="1" si="9"/>
        <v>4.2252033379097962E-4</v>
      </c>
      <c r="V17" s="2" vm="666">
        <f ca="1"/>
        <v>47.403500000000001</v>
      </c>
      <c r="W17" s="2">
        <f t="shared" ca="1" si="10"/>
        <v>1.1298838437169938E-3</v>
      </c>
      <c r="X17" s="2" vm="667">
        <f ca="1"/>
        <v>146.02000000000001</v>
      </c>
      <c r="Y17" s="2">
        <f t="shared" ca="1" si="11"/>
        <v>8.1469207401270831E-3</v>
      </c>
      <c r="Z17" s="2" vm="668">
        <f ca="1"/>
        <v>87.84</v>
      </c>
      <c r="AA17" s="2">
        <f t="shared" ca="1" si="12"/>
        <v>-1.5246636771300441E-2</v>
      </c>
      <c r="AB17" s="2" vm="669">
        <f ca="1"/>
        <v>13.85</v>
      </c>
      <c r="AC17" s="2">
        <f t="shared" ca="1" si="13"/>
        <v>-9.298998569384891E-3</v>
      </c>
      <c r="AD17" s="2" t="e" vm="92">
        <f ca="1"/>
        <v>#N/A</v>
      </c>
      <c r="AE17" s="2" t="e" vm="140">
        <f t="shared" ca="1" si="14"/>
        <v>#N/A</v>
      </c>
      <c r="AF17" s="2" vm="139">
        <f ca="1"/>
        <v>31.39</v>
      </c>
      <c r="AG17" s="2">
        <f t="shared" ca="1" si="15"/>
        <v>2.1477383664171824E-2</v>
      </c>
      <c r="AH17" s="2" vm="670">
        <f ca="1"/>
        <v>25.33</v>
      </c>
      <c r="AI17" s="2">
        <f t="shared" ca="1" si="16"/>
        <v>1.1581469648562267E-2</v>
      </c>
      <c r="AJ17" s="2" vm="671">
        <f ca="1"/>
        <v>5.13</v>
      </c>
      <c r="AK17" s="2">
        <f t="shared" ca="1" si="17"/>
        <v>1.7857142857142828E-2</v>
      </c>
      <c r="AL17" s="2" vm="672">
        <f ca="1"/>
        <v>54.94</v>
      </c>
      <c r="AM17" s="2">
        <f t="shared" ca="1" si="18"/>
        <v>1.0855565777368837E-2</v>
      </c>
      <c r="AN17" s="2" vm="673">
        <f ca="1"/>
        <v>95.98</v>
      </c>
      <c r="AO17" s="2">
        <f t="shared" ca="1" si="19"/>
        <v>1.2554066884692454E-2</v>
      </c>
      <c r="AP17" s="2" vm="594">
        <f ca="1"/>
        <v>26.29</v>
      </c>
      <c r="AQ17" s="2">
        <f t="shared" ca="1" si="20"/>
        <v>1.1424219345010503E-3</v>
      </c>
      <c r="AR17" s="2" vm="674">
        <f ca="1"/>
        <v>51.07</v>
      </c>
      <c r="AS17" s="2">
        <f t="shared" ca="1" si="21"/>
        <v>-1.9577133907592033E-4</v>
      </c>
      <c r="AT17" s="2" vm="596">
        <f ca="1"/>
        <v>29.15</v>
      </c>
      <c r="AU17" s="2">
        <f t="shared" ca="1" si="22"/>
        <v>3.431708991076874E-4</v>
      </c>
      <c r="AV17" s="2" vm="675">
        <f ca="1"/>
        <v>27.35</v>
      </c>
      <c r="AW17" s="2">
        <f t="shared" ca="1" si="23"/>
        <v>7.3179656055627983E-4</v>
      </c>
      <c r="AX17" s="2" vm="676">
        <f ca="1"/>
        <v>91.77</v>
      </c>
      <c r="AY17" s="2">
        <f t="shared" ca="1" si="24"/>
        <v>2.1798365122611466E-4</v>
      </c>
      <c r="AZ17" s="2" vm="677">
        <f ca="1"/>
        <v>454.62</v>
      </c>
      <c r="BA17" s="2">
        <f t="shared" ca="1" si="25"/>
        <v>-8.4407511614211974E-3</v>
      </c>
      <c r="BB17" s="2" vm="678">
        <f ca="1"/>
        <v>222.9</v>
      </c>
      <c r="BC17" s="2">
        <f t="shared" ca="1" si="26"/>
        <v>-1.1529933481152967E-2</v>
      </c>
      <c r="BD17" s="2" vm="679">
        <f ca="1"/>
        <v>42.53</v>
      </c>
      <c r="BE17" s="2">
        <f t="shared" ca="1" si="27"/>
        <v>-2.1116846550914199E-3</v>
      </c>
      <c r="BF17" s="2" vm="680">
        <f ca="1"/>
        <v>117.28</v>
      </c>
      <c r="BG17" s="2">
        <f t="shared" ca="1" si="28"/>
        <v>-1.3624894869638389E-2</v>
      </c>
      <c r="BH17" s="2" vm="681">
        <f ca="1"/>
        <v>148.52000000000001</v>
      </c>
      <c r="BI17" s="2">
        <f t="shared" ca="1" si="29"/>
        <v>-1.3418360568619515E-2</v>
      </c>
      <c r="BJ17" s="2" vm="682">
        <f ca="1"/>
        <v>160.09</v>
      </c>
      <c r="BK17" s="2">
        <f t="shared" ca="1" si="30"/>
        <v>-9.3440594059405382E-3</v>
      </c>
      <c r="BL17" s="2" vm="683">
        <f ca="1"/>
        <v>65.56</v>
      </c>
      <c r="BM17" s="2">
        <f t="shared" ca="1" si="31"/>
        <v>-1.6649167541622909E-2</v>
      </c>
      <c r="BN17" s="2" vm="137">
        <f ca="1"/>
        <v>295</v>
      </c>
      <c r="BO17" s="2">
        <f t="shared" ca="1" si="32"/>
        <v>-6.031200512146704E-3</v>
      </c>
      <c r="BP17" s="2" vm="684">
        <f ca="1"/>
        <v>96.13</v>
      </c>
      <c r="BQ17" s="2">
        <f t="shared" ca="1" si="33"/>
        <v>-7.2765072765080445E-4</v>
      </c>
      <c r="BR17" s="2" vm="685">
        <f ca="1"/>
        <v>759.44</v>
      </c>
      <c r="BS17" s="2">
        <f t="shared" ca="1" si="34"/>
        <v>1.3776164032464825E-2</v>
      </c>
      <c r="BT17" s="2" vm="686">
        <f ca="1"/>
        <v>167.17</v>
      </c>
      <c r="BU17" s="2">
        <f t="shared" ca="1" si="35"/>
        <v>-1.258121677495584E-2</v>
      </c>
      <c r="BV17" s="2" vm="687">
        <f ca="1"/>
        <v>167.5</v>
      </c>
      <c r="BW17" s="2">
        <f t="shared" ca="1" si="36"/>
        <v>-1.3777673104097995E-2</v>
      </c>
      <c r="BX17" s="2" vm="688">
        <f ca="1"/>
        <v>272.02999999999997</v>
      </c>
      <c r="BY17" s="2">
        <f t="shared" ca="1" si="37"/>
        <v>-1.4098289359234717E-2</v>
      </c>
      <c r="BZ17" s="2" vm="689">
        <f ca="1"/>
        <v>89.87</v>
      </c>
      <c r="CA17" s="2">
        <f t="shared" ca="1" si="38"/>
        <v>-1.5123287671232827E-2</v>
      </c>
      <c r="CB17" s="2" vm="690">
        <f ca="1"/>
        <v>28.85</v>
      </c>
      <c r="CC17" s="2">
        <f t="shared" ca="1" si="39"/>
        <v>-2.6653171390013466E-2</v>
      </c>
      <c r="CD17" s="2" t="e" vm="92">
        <f ca="1"/>
        <v>#N/A</v>
      </c>
      <c r="CE17" s="2" t="e" vm="140">
        <f t="shared" ca="1" si="40"/>
        <v>#N/A</v>
      </c>
      <c r="CF17" s="2" vm="691">
        <f ca="1"/>
        <v>22.835000000000001</v>
      </c>
      <c r="CG17" s="2">
        <f t="shared" ca="1" si="41"/>
        <v>2.1901007446353737E-4</v>
      </c>
      <c r="CH17" s="2" vm="570">
        <f ca="1"/>
        <v>58.51</v>
      </c>
      <c r="CI17" s="2">
        <f t="shared" ca="1" si="42"/>
        <v>3.4193879295599282E-4</v>
      </c>
      <c r="CJ17" s="2" vm="692">
        <f ca="1"/>
        <v>58.93</v>
      </c>
      <c r="CK17" s="2">
        <f t="shared" ca="1" si="43"/>
        <v>6.7923246731192298E-4</v>
      </c>
      <c r="CL17" s="2" vm="693">
        <f ca="1"/>
        <v>57.92</v>
      </c>
      <c r="CM17" s="2">
        <f t="shared" ca="1" si="44"/>
        <v>1.0369858278603918E-3</v>
      </c>
      <c r="CN17" s="2" vm="694">
        <f ca="1"/>
        <v>29.24</v>
      </c>
      <c r="CO17" s="2">
        <f t="shared" ca="1" si="45"/>
        <v>1.3698630136986009E-3</v>
      </c>
      <c r="CP17" s="2" vm="695">
        <f ca="1"/>
        <v>23.5748</v>
      </c>
      <c r="CQ17" s="2">
        <f t="shared" ca="1" si="46"/>
        <v>-1.2900443413488295E-2</v>
      </c>
    </row>
    <row r="18" spans="1:95" x14ac:dyDescent="0.2">
      <c r="A18" s="7" vm="696">
        <f ca="1"/>
        <v>45595</v>
      </c>
      <c r="B18" s="2" vm="697">
        <f ca="1"/>
        <v>230.1</v>
      </c>
      <c r="C18" s="2">
        <f t="shared" ca="1" si="0"/>
        <v>-1.5277956091924481E-2</v>
      </c>
      <c r="D18" s="2" vm="698">
        <f ca="1"/>
        <v>139.33500000000001</v>
      </c>
      <c r="E18" s="2">
        <f t="shared" ca="1" si="1"/>
        <v>-1.3557522123893748E-2</v>
      </c>
      <c r="F18" s="2" vm="699">
        <f ca="1"/>
        <v>432.53</v>
      </c>
      <c r="G18" s="2">
        <f t="shared" ca="1" si="2"/>
        <v>1.342748003241079E-3</v>
      </c>
      <c r="H18" s="2" vm="700">
        <f ca="1"/>
        <v>591.79999999999995</v>
      </c>
      <c r="I18" s="2">
        <f t="shared" ca="1" si="3"/>
        <v>-2.4946062567422099E-3</v>
      </c>
      <c r="J18" s="2" vm="701">
        <f ca="1"/>
        <v>174.46</v>
      </c>
      <c r="K18" s="2">
        <f t="shared" ca="1" si="4"/>
        <v>2.8170674210278177E-2</v>
      </c>
      <c r="L18" s="2" vm="702">
        <f ca="1"/>
        <v>580.01</v>
      </c>
      <c r="M18" s="2">
        <f t="shared" ca="1" si="5"/>
        <v>-3.0252505285593809E-3</v>
      </c>
      <c r="N18" s="2" vm="703">
        <f ca="1"/>
        <v>92.3</v>
      </c>
      <c r="O18" s="2">
        <f t="shared" ca="1" si="6"/>
        <v>2.933825926328328E-3</v>
      </c>
      <c r="P18" s="2" vm="704">
        <f ca="1"/>
        <v>257.5</v>
      </c>
      <c r="Q18" s="2">
        <f t="shared" ca="1" si="7"/>
        <v>5.5058768401734749E-3</v>
      </c>
      <c r="R18" s="2" vm="705">
        <f ca="1"/>
        <v>71.36</v>
      </c>
      <c r="S18" s="2">
        <f t="shared" ca="1" si="8"/>
        <v>2.4404249210450802E-2</v>
      </c>
      <c r="T18" s="2" vm="706">
        <f ca="1"/>
        <v>94.57</v>
      </c>
      <c r="U18" s="2">
        <f t="shared" ca="1" si="9"/>
        <v>-1.4781966001478257E-3</v>
      </c>
      <c r="V18" s="2" vm="707">
        <f ca="1"/>
        <v>47.330100000000002</v>
      </c>
      <c r="W18" s="2">
        <f t="shared" ca="1" si="10"/>
        <v>-1.5484088727625485E-3</v>
      </c>
      <c r="X18" s="2" vm="708">
        <f ca="1"/>
        <v>145.86000000000001</v>
      </c>
      <c r="Y18" s="2">
        <f t="shared" ca="1" si="11"/>
        <v>-1.095740309546614E-3</v>
      </c>
      <c r="Z18" s="2" vm="709">
        <f ca="1"/>
        <v>88.04</v>
      </c>
      <c r="AA18" s="2">
        <f t="shared" ca="1" si="12"/>
        <v>2.2768670309654239E-3</v>
      </c>
      <c r="AB18" s="2" vm="375">
        <f ca="1"/>
        <v>14.19</v>
      </c>
      <c r="AC18" s="2">
        <f t="shared" ca="1" si="13"/>
        <v>2.4548736462093854E-2</v>
      </c>
      <c r="AD18" s="2" t="e" vm="92">
        <f ca="1"/>
        <v>#N/A</v>
      </c>
      <c r="AE18" s="2" t="e" vm="140">
        <f t="shared" ca="1" si="14"/>
        <v>#N/A</v>
      </c>
      <c r="AF18" s="2" vm="710">
        <f ca="1"/>
        <v>30.81</v>
      </c>
      <c r="AG18" s="2">
        <f t="shared" ca="1" si="15"/>
        <v>-1.8477222045237395E-2</v>
      </c>
      <c r="AH18" s="2" vm="711">
        <f ca="1"/>
        <v>25.53</v>
      </c>
      <c r="AI18" s="2">
        <f t="shared" ca="1" si="16"/>
        <v>7.8957757599685298E-3</v>
      </c>
      <c r="AJ18" s="2" vm="712">
        <f ca="1"/>
        <v>5.15</v>
      </c>
      <c r="AK18" s="2">
        <f t="shared" ca="1" si="17"/>
        <v>3.898635477582936E-3</v>
      </c>
      <c r="AL18" s="2" vm="713">
        <f ca="1"/>
        <v>55.23</v>
      </c>
      <c r="AM18" s="2">
        <f t="shared" ca="1" si="18"/>
        <v>5.2784856206770873E-3</v>
      </c>
      <c r="AN18" s="2" vm="714">
        <f ca="1"/>
        <v>92.75</v>
      </c>
      <c r="AO18" s="2">
        <f t="shared" ca="1" si="19"/>
        <v>-3.365284434257141E-2</v>
      </c>
      <c r="AP18" s="2" vm="508">
        <f ca="1"/>
        <v>26.34</v>
      </c>
      <c r="AQ18" s="2">
        <f t="shared" ca="1" si="20"/>
        <v>1.901863826550046E-3</v>
      </c>
      <c r="AR18" s="2" vm="715">
        <f ca="1"/>
        <v>51.03</v>
      </c>
      <c r="AS18" s="2">
        <f t="shared" ca="1" si="21"/>
        <v>-7.8323869199136765E-4</v>
      </c>
      <c r="AT18" s="2" vm="716">
        <f ca="1"/>
        <v>29.13</v>
      </c>
      <c r="AU18" s="2">
        <f t="shared" ca="1" si="22"/>
        <v>-6.8610634648369039E-4</v>
      </c>
      <c r="AV18" s="2" vm="597">
        <f ca="1"/>
        <v>27.42</v>
      </c>
      <c r="AW18" s="2">
        <f t="shared" ca="1" si="23"/>
        <v>2.5594149908592426E-3</v>
      </c>
      <c r="AX18" s="2" vm="717">
        <f ca="1"/>
        <v>91.78</v>
      </c>
      <c r="AY18" s="2">
        <f t="shared" ca="1" si="24"/>
        <v>1.0896807235485579E-4</v>
      </c>
      <c r="AZ18" s="2" vm="718">
        <f ca="1"/>
        <v>454.96</v>
      </c>
      <c r="BA18" s="2">
        <f t="shared" ca="1" si="25"/>
        <v>7.4787734811485409E-4</v>
      </c>
      <c r="BB18" s="2" vm="719">
        <f ca="1"/>
        <v>224.41</v>
      </c>
      <c r="BC18" s="2">
        <f t="shared" ca="1" si="26"/>
        <v>6.7743382682816993E-3</v>
      </c>
      <c r="BD18" s="2" vm="720">
        <f ca="1"/>
        <v>42.31</v>
      </c>
      <c r="BE18" s="2">
        <f t="shared" ca="1" si="27"/>
        <v>-5.1728191864565919E-3</v>
      </c>
      <c r="BF18" s="2" vm="721">
        <f ca="1"/>
        <v>116.69</v>
      </c>
      <c r="BG18" s="2">
        <f t="shared" ca="1" si="28"/>
        <v>-5.0306957708049407E-3</v>
      </c>
      <c r="BH18" s="2" vm="722">
        <f ca="1"/>
        <v>148.05000000000001</v>
      </c>
      <c r="BI18" s="2">
        <f t="shared" ca="1" si="29"/>
        <v>-3.1645569620253086E-3</v>
      </c>
      <c r="BJ18" s="2" vm="723">
        <f ca="1"/>
        <v>160.61000000000001</v>
      </c>
      <c r="BK18" s="2">
        <f t="shared" ca="1" si="30"/>
        <v>3.2481729027422713E-3</v>
      </c>
      <c r="BL18" s="2" vm="724">
        <f ca="1"/>
        <v>65.92</v>
      </c>
      <c r="BM18" s="2">
        <f t="shared" ca="1" si="31"/>
        <v>5.491153142159845E-3</v>
      </c>
      <c r="BN18" s="2" vm="725">
        <f ca="1"/>
        <v>291.52</v>
      </c>
      <c r="BO18" s="2">
        <f t="shared" ca="1" si="32"/>
        <v>-1.1796610169491586E-2</v>
      </c>
      <c r="BP18" s="2" vm="726">
        <f ca="1"/>
        <v>95.08</v>
      </c>
      <c r="BQ18" s="2">
        <f t="shared" ca="1" si="33"/>
        <v>-1.0922708831790254E-2</v>
      </c>
      <c r="BR18" s="2" vm="727">
        <f ca="1"/>
        <v>753.74</v>
      </c>
      <c r="BS18" s="2">
        <f t="shared" ca="1" si="34"/>
        <v>-7.5055303908143434E-3</v>
      </c>
      <c r="BT18" s="2" vm="728">
        <f ca="1"/>
        <v>166.16</v>
      </c>
      <c r="BU18" s="2">
        <f t="shared" ca="1" si="35"/>
        <v>-6.041753903212245E-3</v>
      </c>
      <c r="BV18" s="2" vm="729">
        <f ca="1"/>
        <v>166.21</v>
      </c>
      <c r="BW18" s="2">
        <f t="shared" ca="1" si="36"/>
        <v>-7.7014925373133855E-3</v>
      </c>
      <c r="BX18" s="2" vm="730">
        <f ca="1"/>
        <v>272.56</v>
      </c>
      <c r="BY18" s="2">
        <f t="shared" ca="1" si="37"/>
        <v>1.9483145241334765E-3</v>
      </c>
      <c r="BZ18" s="2" vm="731">
        <f ca="1"/>
        <v>90.61</v>
      </c>
      <c r="CA18" s="2">
        <f t="shared" ca="1" si="38"/>
        <v>8.234115945254198E-3</v>
      </c>
      <c r="CB18" s="2" vm="732">
        <f ca="1"/>
        <v>29.04</v>
      </c>
      <c r="CC18" s="2">
        <f t="shared" ca="1" si="39"/>
        <v>6.5857885615250508E-3</v>
      </c>
      <c r="CD18" s="2" t="e" vm="92">
        <f ca="1"/>
        <v>#N/A</v>
      </c>
      <c r="CE18" s="2" t="e" vm="140">
        <f t="shared" ca="1" si="40"/>
        <v>#N/A</v>
      </c>
      <c r="CF18" s="2" vm="733">
        <f ca="1"/>
        <v>22.815000000000001</v>
      </c>
      <c r="CG18" s="2">
        <f t="shared" ca="1" si="41"/>
        <v>-8.7584847821325039E-4</v>
      </c>
      <c r="CH18" s="2" vm="734">
        <f ca="1"/>
        <v>58.45</v>
      </c>
      <c r="CI18" s="2">
        <f t="shared" ca="1" si="42"/>
        <v>-1.0254657323533613E-3</v>
      </c>
      <c r="CJ18" s="2" vm="735">
        <f ca="1"/>
        <v>58.83</v>
      </c>
      <c r="CK18" s="2">
        <f t="shared" ca="1" si="43"/>
        <v>-1.6969285593076773E-3</v>
      </c>
      <c r="CL18" s="2" vm="613">
        <f ca="1"/>
        <v>58.04</v>
      </c>
      <c r="CM18" s="2">
        <f t="shared" ca="1" si="44"/>
        <v>2.0718232044198452E-3</v>
      </c>
      <c r="CN18" s="2" vm="736">
        <f ca="1"/>
        <v>29.21</v>
      </c>
      <c r="CO18" s="2">
        <f t="shared" ca="1" si="45"/>
        <v>-1.0259917920655808E-3</v>
      </c>
      <c r="CP18" s="2" vm="737">
        <f ca="1"/>
        <v>23.6633</v>
      </c>
      <c r="CQ18" s="2">
        <f t="shared" ca="1" si="46"/>
        <v>3.7540085175695997E-3</v>
      </c>
    </row>
    <row r="19" spans="1:95" x14ac:dyDescent="0.2">
      <c r="A19" s="7" vm="738">
        <f ca="1"/>
        <v>45596</v>
      </c>
      <c r="B19" s="2" vm="739">
        <f ca="1"/>
        <v>225.91</v>
      </c>
      <c r="C19" s="2">
        <f t="shared" ca="1" si="0"/>
        <v>-1.8209474141677524E-2</v>
      </c>
      <c r="D19" s="2" vm="740">
        <f ca="1"/>
        <v>132.76</v>
      </c>
      <c r="E19" s="2">
        <f t="shared" ca="1" si="1"/>
        <v>-4.718843076039772E-2</v>
      </c>
      <c r="F19" s="2" vm="741">
        <f ca="1"/>
        <v>406.35</v>
      </c>
      <c r="G19" s="2">
        <f t="shared" ca="1" si="2"/>
        <v>-6.0527593461725086E-2</v>
      </c>
      <c r="H19" s="2" vm="742">
        <f ca="1"/>
        <v>567.58000000000004</v>
      </c>
      <c r="I19" s="2">
        <f t="shared" ca="1" si="3"/>
        <v>-4.0925988509631486E-2</v>
      </c>
      <c r="J19" s="2" vm="743">
        <f ca="1"/>
        <v>171.11</v>
      </c>
      <c r="K19" s="2">
        <f t="shared" ca="1" si="4"/>
        <v>-1.920210936604376E-2</v>
      </c>
      <c r="L19" s="2" vm="744">
        <f ca="1"/>
        <v>568.64</v>
      </c>
      <c r="M19" s="2">
        <f t="shared" ca="1" si="5"/>
        <v>-1.9603110291201886E-2</v>
      </c>
      <c r="N19" s="2" vm="745">
        <f ca="1"/>
        <v>92.45</v>
      </c>
      <c r="O19" s="2">
        <f t="shared" ca="1" si="6"/>
        <v>1.625135427952391E-3</v>
      </c>
      <c r="P19" s="2" vm="746">
        <f ca="1"/>
        <v>253.51</v>
      </c>
      <c r="Q19" s="2">
        <f t="shared" ca="1" si="7"/>
        <v>-1.5495145631067997E-2</v>
      </c>
      <c r="R19" s="2" vm="747">
        <f ca="1"/>
        <v>73.08</v>
      </c>
      <c r="S19" s="2">
        <f t="shared" ca="1" si="8"/>
        <v>2.4103139013452898E-2</v>
      </c>
      <c r="T19" s="2" vm="748">
        <f ca="1"/>
        <v>94.52</v>
      </c>
      <c r="U19" s="2">
        <f t="shared" ca="1" si="9"/>
        <v>-5.2870889288354826E-4</v>
      </c>
      <c r="V19" s="2" vm="749">
        <f ca="1"/>
        <v>47.225000000000001</v>
      </c>
      <c r="W19" s="2">
        <f t="shared" ca="1" si="10"/>
        <v>-2.2205742223236416E-3</v>
      </c>
      <c r="X19" s="2" vm="750">
        <f ca="1"/>
        <v>143.26</v>
      </c>
      <c r="Y19" s="2">
        <f t="shared" ca="1" si="11"/>
        <v>-1.7825311942959155E-2</v>
      </c>
      <c r="Z19" s="2" vm="751">
        <f ca="1"/>
        <v>88.59</v>
      </c>
      <c r="AA19" s="2">
        <f t="shared" ca="1" si="12"/>
        <v>6.2471603816446741E-3</v>
      </c>
      <c r="AB19" s="2" vm="752">
        <f ca="1"/>
        <v>14.52</v>
      </c>
      <c r="AC19" s="2">
        <f t="shared" ca="1" si="13"/>
        <v>2.3255813953488379E-2</v>
      </c>
      <c r="AD19" s="2" vm="753">
        <f ca="1"/>
        <v>2.2999999999999998</v>
      </c>
      <c r="AE19" s="2" t="e" vm="140">
        <f t="shared" ca="1" si="14"/>
        <v>#N/A</v>
      </c>
      <c r="AF19" s="2" vm="754">
        <f ca="1"/>
        <v>29.81</v>
      </c>
      <c r="AG19" s="2">
        <f t="shared" ca="1" si="15"/>
        <v>-3.2456994482310937E-2</v>
      </c>
      <c r="AH19" s="2" vm="755">
        <f ca="1"/>
        <v>25.5</v>
      </c>
      <c r="AI19" s="2">
        <f t="shared" ca="1" si="16"/>
        <v>-1.1750881316099152E-3</v>
      </c>
      <c r="AJ19" s="2" vm="378">
        <f ca="1"/>
        <v>5.14</v>
      </c>
      <c r="AK19" s="2">
        <f t="shared" ca="1" si="17"/>
        <v>-1.9417475728156649E-3</v>
      </c>
      <c r="AL19" s="2" vm="756">
        <f ca="1"/>
        <v>54.39</v>
      </c>
      <c r="AM19" s="2">
        <f t="shared" ca="1" si="18"/>
        <v>-1.5209125475285105E-2</v>
      </c>
      <c r="AN19" s="2" vm="757">
        <f ca="1"/>
        <v>90.96</v>
      </c>
      <c r="AO19" s="2">
        <f t="shared" ca="1" si="19"/>
        <v>-1.9299191374663141E-2</v>
      </c>
      <c r="AP19" s="2" vm="758">
        <f ca="1"/>
        <v>26.31</v>
      </c>
      <c r="AQ19" s="2">
        <f t="shared" ca="1" si="20"/>
        <v>-1.1389521640091547E-3</v>
      </c>
      <c r="AR19" s="2" vm="715">
        <f ca="1"/>
        <v>51.03</v>
      </c>
      <c r="AS19" s="2">
        <f t="shared" ca="1" si="21"/>
        <v>0</v>
      </c>
      <c r="AT19" s="2" vm="759">
        <f ca="1"/>
        <v>29.12</v>
      </c>
      <c r="AU19" s="2">
        <f t="shared" ca="1" si="22"/>
        <v>-3.4328870580151085E-4</v>
      </c>
      <c r="AV19" s="2" vm="423">
        <f ca="1"/>
        <v>27.47</v>
      </c>
      <c r="AW19" s="2">
        <f t="shared" ca="1" si="23"/>
        <v>1.8234865061997503E-3</v>
      </c>
      <c r="AX19" s="2" vm="760">
        <f ca="1"/>
        <v>91.8</v>
      </c>
      <c r="AY19" s="2">
        <f t="shared" ca="1" si="24"/>
        <v>2.17912399215472E-4</v>
      </c>
      <c r="AZ19" s="2" vm="761">
        <f ca="1"/>
        <v>450.92</v>
      </c>
      <c r="BA19" s="2">
        <f t="shared" ca="1" si="25"/>
        <v>-8.8799015298047391E-3</v>
      </c>
      <c r="BB19" s="2" vm="762">
        <f ca="1"/>
        <v>221.92</v>
      </c>
      <c r="BC19" s="2">
        <f t="shared" ca="1" si="26"/>
        <v>-1.1095762220934937E-2</v>
      </c>
      <c r="BD19" s="2" vm="763">
        <f ca="1"/>
        <v>41.82</v>
      </c>
      <c r="BE19" s="2">
        <f t="shared" ca="1" si="27"/>
        <v>-1.1581186480737461E-2</v>
      </c>
      <c r="BF19" s="2" vm="764">
        <f ca="1"/>
        <v>116.78</v>
      </c>
      <c r="BG19" s="2">
        <f t="shared" ca="1" si="28"/>
        <v>7.7127431656528762E-4</v>
      </c>
      <c r="BH19" s="2" vm="765">
        <f ca="1"/>
        <v>148.82</v>
      </c>
      <c r="BI19" s="2">
        <f t="shared" ca="1" si="29"/>
        <v>5.2009456264774179E-3</v>
      </c>
      <c r="BJ19" s="2" vm="766">
        <f ca="1"/>
        <v>159.86000000000001</v>
      </c>
      <c r="BK19" s="2">
        <f t="shared" ca="1" si="30"/>
        <v>-4.6696967810223519E-3</v>
      </c>
      <c r="BL19" s="2" vm="767">
        <f ca="1"/>
        <v>65.31</v>
      </c>
      <c r="BM19" s="2">
        <f t="shared" ca="1" si="31"/>
        <v>-9.2536407766990198E-3</v>
      </c>
      <c r="BN19" s="2" vm="768">
        <f ca="1"/>
        <v>292.11</v>
      </c>
      <c r="BO19" s="2">
        <f t="shared" ca="1" si="32"/>
        <v>2.0238748627882542E-3</v>
      </c>
      <c r="BP19" s="2" vm="644">
        <f ca="1"/>
        <v>96.2</v>
      </c>
      <c r="BQ19" s="2">
        <f t="shared" ca="1" si="33"/>
        <v>1.1779554059739215E-2</v>
      </c>
      <c r="BR19" s="2" vm="769">
        <f ca="1"/>
        <v>756.03</v>
      </c>
      <c r="BS19" s="2">
        <f t="shared" ca="1" si="34"/>
        <v>3.0381829277999887E-3</v>
      </c>
      <c r="BT19" s="2" vm="770">
        <f ca="1"/>
        <v>165.18</v>
      </c>
      <c r="BU19" s="2">
        <f t="shared" ca="1" si="35"/>
        <v>-5.8979297063071123E-3</v>
      </c>
      <c r="BV19" s="2" vm="771">
        <f ca="1"/>
        <v>166.08</v>
      </c>
      <c r="BW19" s="2">
        <f t="shared" ca="1" si="36"/>
        <v>-7.8214307201730012E-4</v>
      </c>
      <c r="BX19" s="2" vm="772">
        <f ca="1"/>
        <v>274.57</v>
      </c>
      <c r="BY19" s="2">
        <f t="shared" ca="1" si="37"/>
        <v>7.3745230407983231E-3</v>
      </c>
      <c r="BZ19" s="2" vm="773">
        <f ca="1"/>
        <v>91.38</v>
      </c>
      <c r="CA19" s="2">
        <f t="shared" ca="1" si="38"/>
        <v>8.4979582827502051E-3</v>
      </c>
      <c r="CB19" s="2" vm="774">
        <f ca="1"/>
        <v>28.72</v>
      </c>
      <c r="CC19" s="2">
        <f t="shared" ca="1" si="39"/>
        <v>-1.1019283746556485E-2</v>
      </c>
      <c r="CD19" s="2" vm="775">
        <f ca="1"/>
        <v>551.5</v>
      </c>
      <c r="CE19" s="2" t="e" vm="140">
        <f t="shared" ca="1" si="40"/>
        <v>#N/A</v>
      </c>
      <c r="CF19" s="2" vm="776">
        <f ca="1"/>
        <v>22.82</v>
      </c>
      <c r="CG19" s="2">
        <f t="shared" ca="1" si="41"/>
        <v>2.1915406530786786E-4</v>
      </c>
      <c r="CH19" s="2" vm="777">
        <f ca="1"/>
        <v>58.48</v>
      </c>
      <c r="CI19" s="2">
        <f t="shared" ca="1" si="42"/>
        <v>5.1325919589382434E-4</v>
      </c>
      <c r="CJ19" s="2" vm="778">
        <f ca="1"/>
        <v>58.8</v>
      </c>
      <c r="CK19" s="2">
        <f t="shared" ca="1" si="43"/>
        <v>-5.0994390617034059E-4</v>
      </c>
      <c r="CL19" s="2" vm="779">
        <f ca="1"/>
        <v>58.13</v>
      </c>
      <c r="CM19" s="2">
        <f t="shared" ca="1" si="44"/>
        <v>1.550654720882209E-3</v>
      </c>
      <c r="CN19" s="2" vm="596">
        <f ca="1"/>
        <v>29.15</v>
      </c>
      <c r="CO19" s="2">
        <f t="shared" ca="1" si="45"/>
        <v>-2.0540910647039463E-3</v>
      </c>
      <c r="CP19" s="2" vm="780">
        <f ca="1"/>
        <v>23.323899999999998</v>
      </c>
      <c r="CQ19" s="2">
        <f t="shared" ca="1" si="46"/>
        <v>-1.434288539637334E-2</v>
      </c>
    </row>
    <row r="20" spans="1:95" x14ac:dyDescent="0.2">
      <c r="A20" s="7" vm="781">
        <f ca="1"/>
        <v>45597</v>
      </c>
      <c r="B20" s="2" vm="782">
        <f ca="1"/>
        <v>222.91</v>
      </c>
      <c r="C20" s="2">
        <f t="shared" ca="1" si="0"/>
        <v>-1.3279624629277146E-2</v>
      </c>
      <c r="D20" s="2" vm="783">
        <f ca="1"/>
        <v>135.4</v>
      </c>
      <c r="E20" s="2">
        <f t="shared" ca="1" si="1"/>
        <v>1.9885507683037172E-2</v>
      </c>
      <c r="F20" s="2" vm="784">
        <f ca="1"/>
        <v>410.37</v>
      </c>
      <c r="G20" s="2">
        <f t="shared" ca="1" si="2"/>
        <v>9.8929494278331039E-3</v>
      </c>
      <c r="H20" s="2" vm="785">
        <f ca="1"/>
        <v>567.16</v>
      </c>
      <c r="I20" s="2">
        <f t="shared" ca="1" si="3"/>
        <v>-7.3998379083137656E-4</v>
      </c>
      <c r="J20" s="2" vm="786">
        <f ca="1"/>
        <v>171.29</v>
      </c>
      <c r="K20" s="2">
        <f t="shared" ca="1" si="4"/>
        <v>1.0519548828237882E-3</v>
      </c>
      <c r="L20" s="2" vm="787">
        <f ca="1"/>
        <v>571.04</v>
      </c>
      <c r="M20" s="2">
        <f t="shared" ca="1" si="5"/>
        <v>4.220596510973511E-3</v>
      </c>
      <c r="N20" s="2" vm="788">
        <f ca="1"/>
        <v>90.84</v>
      </c>
      <c r="O20" s="2">
        <f t="shared" ca="1" si="6"/>
        <v>-1.741481882098431E-2</v>
      </c>
      <c r="P20" s="2" vm="789">
        <f ca="1"/>
        <v>252.47</v>
      </c>
      <c r="Q20" s="2">
        <f t="shared" ca="1" si="7"/>
        <v>-4.1024022720996889E-3</v>
      </c>
      <c r="R20" s="2" vm="790">
        <f ca="1"/>
        <v>72.02</v>
      </c>
      <c r="S20" s="2">
        <f t="shared" ca="1" si="8"/>
        <v>-1.450465243568695E-2</v>
      </c>
      <c r="T20" s="2" vm="791">
        <f ca="1"/>
        <v>93.67</v>
      </c>
      <c r="U20" s="2">
        <f t="shared" ca="1" si="9"/>
        <v>-8.9928057553956241E-3</v>
      </c>
      <c r="V20" s="2" vm="792">
        <f ca="1"/>
        <v>47.083300000000001</v>
      </c>
      <c r="W20" s="2">
        <f t="shared" ca="1" si="10"/>
        <v>-3.0005293806246724E-3</v>
      </c>
      <c r="X20" s="2" vm="793">
        <f ca="1"/>
        <v>141</v>
      </c>
      <c r="Y20" s="2">
        <f t="shared" ca="1" si="11"/>
        <v>-1.577551305318994E-2</v>
      </c>
      <c r="Z20" s="2" vm="794">
        <f ca="1"/>
        <v>88.03</v>
      </c>
      <c r="AA20" s="2">
        <f t="shared" ca="1" si="12"/>
        <v>-6.3212552206795601E-3</v>
      </c>
      <c r="AB20" s="2" vm="795">
        <f ca="1"/>
        <v>14.29</v>
      </c>
      <c r="AC20" s="2">
        <f t="shared" ca="1" si="13"/>
        <v>-1.5840220385674959E-2</v>
      </c>
      <c r="AD20" s="2" vm="588">
        <f ca="1"/>
        <v>2.4</v>
      </c>
      <c r="AE20" s="2">
        <f t="shared" ca="1" si="14"/>
        <v>4.3478260869565258E-2</v>
      </c>
      <c r="AF20" s="2" vm="188">
        <f ca="1"/>
        <v>29.54</v>
      </c>
      <c r="AG20" s="2">
        <f t="shared" ca="1" si="15"/>
        <v>-9.0573633009057228E-3</v>
      </c>
      <c r="AH20" s="2" vm="796">
        <f ca="1"/>
        <v>25.32</v>
      </c>
      <c r="AI20" s="2">
        <f t="shared" ca="1" si="16"/>
        <v>-7.0588235294117537E-3</v>
      </c>
      <c r="AJ20" s="2" vm="591">
        <f ca="1"/>
        <v>5.1100000000000003</v>
      </c>
      <c r="AK20" s="2">
        <f t="shared" ca="1" si="17"/>
        <v>-5.8365758754862574E-3</v>
      </c>
      <c r="AL20" s="2" vm="797">
        <f ca="1"/>
        <v>54.17</v>
      </c>
      <c r="AM20" s="2">
        <f t="shared" ca="1" si="18"/>
        <v>-4.0448611877183099E-3</v>
      </c>
      <c r="AN20" s="2" vm="731">
        <f ca="1"/>
        <v>90.61</v>
      </c>
      <c r="AO20" s="2">
        <f t="shared" ca="1" si="19"/>
        <v>-3.8478452066841944E-3</v>
      </c>
      <c r="AP20" s="2" vm="798">
        <f ca="1"/>
        <v>26.16</v>
      </c>
      <c r="AQ20" s="2">
        <f t="shared" ca="1" si="20"/>
        <v>-5.7012542759406534E-3</v>
      </c>
      <c r="AR20" s="2" vm="799">
        <f ca="1"/>
        <v>50.85</v>
      </c>
      <c r="AS20" s="2">
        <f t="shared" ca="1" si="21"/>
        <v>-3.5273368606701882E-3</v>
      </c>
      <c r="AT20" s="2" vm="800">
        <f ca="1"/>
        <v>29.01</v>
      </c>
      <c r="AU20" s="2">
        <f t="shared" ca="1" si="22"/>
        <v>-3.777472527472508E-3</v>
      </c>
      <c r="AV20" s="2" vm="801">
        <f ca="1"/>
        <v>27.01</v>
      </c>
      <c r="AW20" s="2">
        <f t="shared" ca="1" si="23"/>
        <v>-1.6745540589734157E-2</v>
      </c>
      <c r="AX20" s="2" vm="802">
        <f ca="1"/>
        <v>91.48</v>
      </c>
      <c r="AY20" s="2">
        <f t="shared" ca="1" si="24"/>
        <v>-3.4858387799563528E-3</v>
      </c>
      <c r="AZ20" s="2" vm="803">
        <f ca="1"/>
        <v>452.14</v>
      </c>
      <c r="BA20" s="2">
        <f t="shared" ca="1" si="25"/>
        <v>2.7055797037167798E-3</v>
      </c>
      <c r="BB20" s="2" vm="804">
        <f ca="1"/>
        <v>222.94</v>
      </c>
      <c r="BC20" s="2">
        <f t="shared" ca="1" si="26"/>
        <v>4.5962509012257135E-3</v>
      </c>
      <c r="BD20" s="2" vm="427">
        <f ca="1"/>
        <v>41.76</v>
      </c>
      <c r="BE20" s="2">
        <f t="shared" ca="1" si="27"/>
        <v>-1.434720229555291E-3</v>
      </c>
      <c r="BF20" s="2" vm="805">
        <f ca="1"/>
        <v>114.95</v>
      </c>
      <c r="BG20" s="2">
        <f t="shared" ca="1" si="28"/>
        <v>-1.5670491522520966E-2</v>
      </c>
      <c r="BH20" s="2" vm="806">
        <f ca="1"/>
        <v>153.07</v>
      </c>
      <c r="BI20" s="2">
        <f t="shared" ca="1" si="29"/>
        <v>2.8557989517537966E-2</v>
      </c>
      <c r="BJ20" s="2" vm="807">
        <f ca="1"/>
        <v>160.13</v>
      </c>
      <c r="BK20" s="2">
        <f t="shared" ca="1" si="30"/>
        <v>1.6889778556235567E-3</v>
      </c>
      <c r="BL20" s="2" vm="808">
        <f ca="1"/>
        <v>65.010000000000005</v>
      </c>
      <c r="BM20" s="2">
        <f t="shared" ca="1" si="31"/>
        <v>-4.593477262287508E-3</v>
      </c>
      <c r="BN20" s="2" vm="809">
        <f ca="1"/>
        <v>295.20999999999998</v>
      </c>
      <c r="BO20" s="2">
        <f t="shared" ca="1" si="32"/>
        <v>1.0612440518982458E-2</v>
      </c>
      <c r="BP20" s="2" vm="810">
        <f ca="1"/>
        <v>95.81</v>
      </c>
      <c r="BQ20" s="2">
        <f t="shared" ca="1" si="33"/>
        <v>-4.0540540540540595E-3</v>
      </c>
      <c r="BR20" s="2" vm="811">
        <f ca="1"/>
        <v>756.1</v>
      </c>
      <c r="BS20" s="2">
        <f t="shared" ca="1" si="34"/>
        <v>9.2588918429229033E-5</v>
      </c>
      <c r="BT20" s="2" vm="812">
        <f ca="1"/>
        <v>165.1</v>
      </c>
      <c r="BU20" s="2">
        <f t="shared" ca="1" si="35"/>
        <v>-4.8432013560971367E-4</v>
      </c>
      <c r="BV20" s="2" vm="813">
        <f ca="1"/>
        <v>165.59</v>
      </c>
      <c r="BW20" s="2">
        <f t="shared" ca="1" si="36"/>
        <v>-2.9503853564547752E-3</v>
      </c>
      <c r="BX20" s="2" vm="814">
        <f ca="1"/>
        <v>271.79000000000002</v>
      </c>
      <c r="BY20" s="2">
        <f t="shared" ca="1" si="37"/>
        <v>-1.0124922606256958E-2</v>
      </c>
      <c r="BZ20" s="2" vm="815">
        <f ca="1"/>
        <v>90.24</v>
      </c>
      <c r="CA20" s="2">
        <f t="shared" ca="1" si="38"/>
        <v>-1.2475377544320427E-2</v>
      </c>
      <c r="CB20" s="2" vm="816">
        <f ca="1"/>
        <v>28.3523</v>
      </c>
      <c r="CC20" s="2">
        <f t="shared" ca="1" si="39"/>
        <v>-1.2802924791086325E-2</v>
      </c>
      <c r="CD20" s="2" t="e" vm="92">
        <f ca="1"/>
        <v>#N/A</v>
      </c>
      <c r="CE20" s="2" t="e" vm="140">
        <f t="shared" ca="1" si="40"/>
        <v>#N/A</v>
      </c>
      <c r="CF20" s="2" vm="817">
        <f ca="1"/>
        <v>22.664999999999999</v>
      </c>
      <c r="CG20" s="2">
        <f t="shared" ca="1" si="41"/>
        <v>-6.7922874671341423E-3</v>
      </c>
      <c r="CH20" s="2" vm="818">
        <f ca="1"/>
        <v>58.23</v>
      </c>
      <c r="CI20" s="2">
        <f t="shared" ca="1" si="42"/>
        <v>-4.2749658002735978E-3</v>
      </c>
      <c r="CJ20" s="2" vm="819">
        <f ca="1"/>
        <v>58.42</v>
      </c>
      <c r="CK20" s="2">
        <f t="shared" ca="1" si="43"/>
        <v>-6.4625850340135288E-3</v>
      </c>
      <c r="CL20" s="2" vm="820">
        <f ca="1"/>
        <v>57.16</v>
      </c>
      <c r="CM20" s="2">
        <f t="shared" ca="1" si="44"/>
        <v>-1.6686736624806572E-2</v>
      </c>
      <c r="CN20" s="2" vm="290">
        <f ca="1"/>
        <v>28.91</v>
      </c>
      <c r="CO20" s="2">
        <f t="shared" ca="1" si="45"/>
        <v>-8.2332761578044061E-3</v>
      </c>
      <c r="CP20" s="2" vm="821">
        <f ca="1"/>
        <v>23.016300000000001</v>
      </c>
      <c r="CQ20" s="2">
        <f t="shared" ca="1" si="46"/>
        <v>-1.3188188939242462E-2</v>
      </c>
    </row>
    <row r="21" spans="1:95" x14ac:dyDescent="0.2">
      <c r="A21" s="7" vm="822">
        <f ca="1"/>
        <v>45600</v>
      </c>
      <c r="B21" s="2" vm="823">
        <f ca="1"/>
        <v>222.01</v>
      </c>
      <c r="C21" s="2">
        <f t="shared" ca="1" si="0"/>
        <v>-4.0375039253510644E-3</v>
      </c>
      <c r="D21" s="2" vm="824">
        <f ca="1"/>
        <v>136.05000000000001</v>
      </c>
      <c r="E21" s="2">
        <f t="shared" ca="1" si="1"/>
        <v>4.8005908419498202E-3</v>
      </c>
      <c r="F21" s="2" vm="825">
        <f ca="1"/>
        <v>408.46</v>
      </c>
      <c r="G21" s="2">
        <f t="shared" ca="1" si="2"/>
        <v>-4.6543363306285179E-3</v>
      </c>
      <c r="H21" s="2" vm="826">
        <f ca="1"/>
        <v>560.67999999999995</v>
      </c>
      <c r="I21" s="2">
        <f t="shared" ca="1" si="3"/>
        <v>-1.1425347344664678E-2</v>
      </c>
      <c r="J21" s="2" vm="827">
        <f ca="1"/>
        <v>169.24</v>
      </c>
      <c r="K21" s="2">
        <f t="shared" ca="1" si="4"/>
        <v>-1.1968007472707006E-2</v>
      </c>
      <c r="L21" s="2" vm="828">
        <f ca="1"/>
        <v>569.80999999999995</v>
      </c>
      <c r="M21" s="2">
        <f t="shared" ca="1" si="5"/>
        <v>-2.1539646959933072E-3</v>
      </c>
      <c r="N21" s="2" vm="829">
        <f ca="1"/>
        <v>92.25</v>
      </c>
      <c r="O21" s="2">
        <f t="shared" ca="1" si="6"/>
        <v>1.5521796565389658E-2</v>
      </c>
      <c r="P21" s="2" vm="830">
        <f ca="1"/>
        <v>252.83</v>
      </c>
      <c r="Q21" s="2">
        <f t="shared" ca="1" si="7"/>
        <v>1.4259119895433661E-3</v>
      </c>
      <c r="R21" s="2" vm="831">
        <f ca="1"/>
        <v>74.290000000000006</v>
      </c>
      <c r="S21" s="2">
        <f t="shared" ca="1" si="8"/>
        <v>3.151902249375188E-2</v>
      </c>
      <c r="T21" s="2" vm="832">
        <f ca="1"/>
        <v>94.17</v>
      </c>
      <c r="U21" s="2">
        <f t="shared" ca="1" si="9"/>
        <v>5.3378883313761078E-3</v>
      </c>
      <c r="V21" s="2" vm="833">
        <f ca="1"/>
        <v>47.33</v>
      </c>
      <c r="W21" s="2">
        <f t="shared" ca="1" si="10"/>
        <v>5.2396497271855842E-3</v>
      </c>
      <c r="X21" s="2" vm="834">
        <f ca="1"/>
        <v>139.43</v>
      </c>
      <c r="Y21" s="2">
        <f t="shared" ca="1" si="11"/>
        <v>-1.1134751773049597E-2</v>
      </c>
      <c r="Z21" s="2" vm="835">
        <f ca="1"/>
        <v>89.57</v>
      </c>
      <c r="AA21" s="2">
        <f t="shared" ca="1" si="12"/>
        <v>1.7494036124048529E-2</v>
      </c>
      <c r="AB21" s="2" vm="836">
        <f ca="1"/>
        <v>14.76</v>
      </c>
      <c r="AC21" s="2">
        <f t="shared" ca="1" si="13"/>
        <v>3.2890132960112013E-2</v>
      </c>
      <c r="AD21" s="2" vm="588">
        <f ca="1"/>
        <v>2.4</v>
      </c>
      <c r="AE21" s="2">
        <f t="shared" ca="1" si="14"/>
        <v>0</v>
      </c>
      <c r="AF21" s="2" vm="837">
        <f ca="1"/>
        <v>29.63</v>
      </c>
      <c r="AG21" s="2">
        <f t="shared" ca="1" si="15"/>
        <v>3.0467163168584922E-3</v>
      </c>
      <c r="AH21" s="2" vm="838">
        <f ca="1"/>
        <v>25.34</v>
      </c>
      <c r="AI21" s="2">
        <f t="shared" ca="1" si="16"/>
        <v>7.8988941548181573E-4</v>
      </c>
      <c r="AJ21" s="2" vm="839">
        <f ca="1"/>
        <v>5.12</v>
      </c>
      <c r="AK21" s="2">
        <f t="shared" ca="1" si="17"/>
        <v>1.9569471624265727E-3</v>
      </c>
      <c r="AL21" s="2" vm="840">
        <f ca="1"/>
        <v>54.24</v>
      </c>
      <c r="AM21" s="2">
        <f t="shared" ca="1" si="18"/>
        <v>1.2922281705741237E-3</v>
      </c>
      <c r="AN21" s="2" vm="841">
        <f ca="1"/>
        <v>90.06</v>
      </c>
      <c r="AO21" s="2">
        <f t="shared" ca="1" si="19"/>
        <v>-6.0699702019644313E-3</v>
      </c>
      <c r="AP21" s="2" vm="842">
        <f ca="1"/>
        <v>26.21</v>
      </c>
      <c r="AQ21" s="2">
        <f t="shared" ca="1" si="20"/>
        <v>1.9113149847095072E-3</v>
      </c>
      <c r="AR21" s="2" vm="843">
        <f ca="1"/>
        <v>50.88</v>
      </c>
      <c r="AS21" s="2">
        <f t="shared" ca="1" si="21"/>
        <v>5.8997050147494858E-4</v>
      </c>
      <c r="AT21" s="2" vm="732">
        <f ca="1"/>
        <v>29.04</v>
      </c>
      <c r="AU21" s="2">
        <f t="shared" ca="1" si="22"/>
        <v>1.0341261633918504E-3</v>
      </c>
      <c r="AV21" s="2" vm="844">
        <f ca="1"/>
        <v>27.39</v>
      </c>
      <c r="AW21" s="2">
        <f t="shared" ca="1" si="23"/>
        <v>1.4068863383931839E-2</v>
      </c>
      <c r="AX21" s="2" vm="845">
        <f ca="1"/>
        <v>91.5</v>
      </c>
      <c r="AY21" s="2">
        <f t="shared" ca="1" si="24"/>
        <v>2.1862702229991278E-4</v>
      </c>
      <c r="AZ21" s="2" vm="846">
        <f ca="1"/>
        <v>442.29</v>
      </c>
      <c r="BA21" s="2">
        <f t="shared" ca="1" si="25"/>
        <v>-2.1785287742734475E-2</v>
      </c>
      <c r="BB21" s="2" vm="847">
        <f ca="1"/>
        <v>219.78</v>
      </c>
      <c r="BC21" s="2">
        <f t="shared" ca="1" si="26"/>
        <v>-1.4174217278191426E-2</v>
      </c>
      <c r="BD21" s="2" vm="848">
        <f ca="1"/>
        <v>41.33</v>
      </c>
      <c r="BE21" s="2">
        <f t="shared" ca="1" si="27"/>
        <v>-1.0296934865900376E-2</v>
      </c>
      <c r="BF21" s="2" vm="849">
        <f ca="1"/>
        <v>118.61</v>
      </c>
      <c r="BG21" s="2">
        <f t="shared" ca="1" si="28"/>
        <v>3.1839930404523674E-2</v>
      </c>
      <c r="BH21" s="2" vm="850">
        <f ca="1"/>
        <v>153.97</v>
      </c>
      <c r="BI21" s="2">
        <f t="shared" ca="1" si="29"/>
        <v>5.879662899327143E-3</v>
      </c>
      <c r="BJ21" s="2" vm="851">
        <f ca="1"/>
        <v>158.24</v>
      </c>
      <c r="BK21" s="2">
        <f t="shared" ca="1" si="30"/>
        <v>-1.1802910135514809E-2</v>
      </c>
      <c r="BL21" s="2" vm="852">
        <f ca="1"/>
        <v>65.11</v>
      </c>
      <c r="BM21" s="2">
        <f t="shared" ca="1" si="31"/>
        <v>1.5382248884786081E-3</v>
      </c>
      <c r="BN21" s="2" vm="853">
        <f ca="1"/>
        <v>292.85000000000002</v>
      </c>
      <c r="BO21" s="2">
        <f t="shared" ca="1" si="32"/>
        <v>-7.9943091358692358E-3</v>
      </c>
      <c r="BP21" s="2" vm="854">
        <f ca="1"/>
        <v>95.79</v>
      </c>
      <c r="BQ21" s="2">
        <f t="shared" ca="1" si="33"/>
        <v>-2.087464774031523E-4</v>
      </c>
      <c r="BR21" s="2" vm="855">
        <f ca="1"/>
        <v>755.51</v>
      </c>
      <c r="BS21" s="2">
        <f t="shared" ca="1" si="34"/>
        <v>-7.8032006348370824E-4</v>
      </c>
      <c r="BT21" s="2" vm="856">
        <f ca="1"/>
        <v>165.08</v>
      </c>
      <c r="BU21" s="2">
        <f t="shared" ca="1" si="35"/>
        <v>-1.21138703815759E-4</v>
      </c>
      <c r="BV21" s="2" vm="857">
        <f ca="1"/>
        <v>166.34</v>
      </c>
      <c r="BW21" s="2">
        <f t="shared" ca="1" si="36"/>
        <v>4.5292590132254363E-3</v>
      </c>
      <c r="BX21" s="2" vm="858">
        <f ca="1"/>
        <v>276.01</v>
      </c>
      <c r="BY21" s="2">
        <f t="shared" ca="1" si="37"/>
        <v>1.5526693402994849E-2</v>
      </c>
      <c r="BZ21" s="2" vm="859">
        <f ca="1"/>
        <v>91.79</v>
      </c>
      <c r="CA21" s="2">
        <f t="shared" ca="1" si="38"/>
        <v>1.7176418439716439E-2</v>
      </c>
      <c r="CB21" s="2" vm="860">
        <f ca="1"/>
        <v>28.87</v>
      </c>
      <c r="CC21" s="2">
        <f t="shared" ca="1" si="39"/>
        <v>1.8259541553948055E-2</v>
      </c>
      <c r="CD21" s="2" t="e" vm="92">
        <f ca="1"/>
        <v>#N/A</v>
      </c>
      <c r="CE21" s="2" t="e" vm="140">
        <f t="shared" ca="1" si="40"/>
        <v>#N/A</v>
      </c>
      <c r="CF21" s="2" vm="861">
        <f ca="1"/>
        <v>22.77</v>
      </c>
      <c r="CG21" s="2">
        <f t="shared" ca="1" si="41"/>
        <v>4.6326935804103433E-3</v>
      </c>
      <c r="CH21" s="2" vm="862">
        <f ca="1"/>
        <v>58.28</v>
      </c>
      <c r="CI21" s="2">
        <f t="shared" ca="1" si="42"/>
        <v>8.5866391894219931E-4</v>
      </c>
      <c r="CJ21" s="2" vm="863">
        <f ca="1"/>
        <v>58.61</v>
      </c>
      <c r="CK21" s="2">
        <f t="shared" ca="1" si="43"/>
        <v>3.252310852447753E-3</v>
      </c>
      <c r="CL21" s="2" vm="864">
        <f ca="1"/>
        <v>57.95</v>
      </c>
      <c r="CM21" s="2">
        <f t="shared" ca="1" si="44"/>
        <v>1.3820853743876947E-2</v>
      </c>
      <c r="CN21" s="2" vm="865">
        <f ca="1"/>
        <v>29.06</v>
      </c>
      <c r="CO21" s="2">
        <f t="shared" ca="1" si="45"/>
        <v>5.1885160843998124E-3</v>
      </c>
      <c r="CP21" s="2" vm="866">
        <f ca="1"/>
        <v>23.246600000000001</v>
      </c>
      <c r="CQ21" s="2">
        <f t="shared" ca="1" si="46"/>
        <v>1.00059523033676E-2</v>
      </c>
    </row>
    <row r="22" spans="1:95" x14ac:dyDescent="0.2">
      <c r="A22" s="7" vm="867">
        <f ca="1"/>
        <v>45601</v>
      </c>
      <c r="B22" s="2" vm="868">
        <f ca="1"/>
        <v>223.45</v>
      </c>
      <c r="C22" s="2">
        <f t="shared" ca="1" si="0"/>
        <v>6.4861943155713605E-3</v>
      </c>
      <c r="D22" s="2" vm="869">
        <f ca="1"/>
        <v>139.91</v>
      </c>
      <c r="E22" s="2">
        <f t="shared" ca="1" si="1"/>
        <v>2.8371922087467732E-2</v>
      </c>
      <c r="F22" s="2" vm="870">
        <f ca="1"/>
        <v>411.46</v>
      </c>
      <c r="G22" s="2">
        <f t="shared" ca="1" si="2"/>
        <v>7.3446604318660336E-3</v>
      </c>
      <c r="H22" s="2" vm="871">
        <f ca="1"/>
        <v>572.42999999999995</v>
      </c>
      <c r="I22" s="2">
        <f t="shared" ca="1" si="3"/>
        <v>2.0956695441249912E-2</v>
      </c>
      <c r="J22" s="2" vm="872">
        <f ca="1"/>
        <v>169.74</v>
      </c>
      <c r="K22" s="2">
        <f t="shared" ca="1" si="4"/>
        <v>2.9543843063105646E-3</v>
      </c>
      <c r="L22" s="2" vm="873">
        <f ca="1"/>
        <v>576.70000000000005</v>
      </c>
      <c r="M22" s="2">
        <f t="shared" ca="1" si="5"/>
        <v>1.2091749881539637E-2</v>
      </c>
      <c r="N22" s="2" vm="874">
        <f ca="1"/>
        <v>92.74</v>
      </c>
      <c r="O22" s="2">
        <f t="shared" ca="1" si="6"/>
        <v>5.3116531165311098E-3</v>
      </c>
      <c r="P22" s="2" vm="875">
        <f ca="1"/>
        <v>253.4</v>
      </c>
      <c r="Q22" s="2">
        <f t="shared" ca="1" si="7"/>
        <v>2.2544792943875059E-3</v>
      </c>
      <c r="R22" s="2" vm="876">
        <f ca="1"/>
        <v>74.73</v>
      </c>
      <c r="S22" s="2">
        <f t="shared" ca="1" si="8"/>
        <v>5.9227352268138066E-3</v>
      </c>
      <c r="T22" s="2" vm="262">
        <f ca="1"/>
        <v>94.22</v>
      </c>
      <c r="U22" s="2">
        <f t="shared" ca="1" si="9"/>
        <v>5.3095465647230711E-4</v>
      </c>
      <c r="V22" s="2" vm="877">
        <f ca="1"/>
        <v>47.41</v>
      </c>
      <c r="W22" s="2">
        <f t="shared" ca="1" si="10"/>
        <v>1.6902598774561229E-3</v>
      </c>
      <c r="X22" s="2" vm="878">
        <f ca="1"/>
        <v>149.27000000000001</v>
      </c>
      <c r="Y22" s="2">
        <f t="shared" ca="1" si="11"/>
        <v>7.0573047407301179E-2</v>
      </c>
      <c r="Z22" s="2" vm="879">
        <f ca="1"/>
        <v>90.17</v>
      </c>
      <c r="AA22" s="2">
        <f t="shared" ca="1" si="12"/>
        <v>6.6986714301664457E-3</v>
      </c>
      <c r="AB22" s="2" vm="880">
        <f ca="1"/>
        <v>14.86</v>
      </c>
      <c r="AC22" s="2">
        <f t="shared" ca="1" si="13"/>
        <v>6.7750677506774829E-3</v>
      </c>
      <c r="AD22" s="2" vm="881">
        <f ca="1"/>
        <v>2.35</v>
      </c>
      <c r="AE22" s="2">
        <f t="shared" ca="1" si="14"/>
        <v>-2.0833333333333259E-2</v>
      </c>
      <c r="AF22" s="2" vm="882">
        <f ca="1"/>
        <v>29.75</v>
      </c>
      <c r="AG22" s="2">
        <f t="shared" ca="1" si="15"/>
        <v>4.0499493756328379E-3</v>
      </c>
      <c r="AH22" s="2" vm="838">
        <f ca="1"/>
        <v>25.34</v>
      </c>
      <c r="AI22" s="2">
        <f t="shared" ca="1" si="16"/>
        <v>0</v>
      </c>
      <c r="AJ22" s="2" vm="712">
        <f ca="1"/>
        <v>5.15</v>
      </c>
      <c r="AK22" s="2">
        <f t="shared" ca="1" si="17"/>
        <v>5.8593750000000486E-3</v>
      </c>
      <c r="AL22" s="2" vm="883">
        <f ca="1"/>
        <v>54.36</v>
      </c>
      <c r="AM22" s="2">
        <f t="shared" ca="1" si="18"/>
        <v>2.2123893805309261E-3</v>
      </c>
      <c r="AN22" s="2" vm="802">
        <f ca="1"/>
        <v>91.48</v>
      </c>
      <c r="AO22" s="2">
        <f t="shared" ca="1" si="19"/>
        <v>1.5767266266933175E-2</v>
      </c>
      <c r="AP22" s="2" vm="884">
        <f ca="1"/>
        <v>26.23</v>
      </c>
      <c r="AQ22" s="2">
        <f t="shared" ca="1" si="20"/>
        <v>7.6306753147651935E-4</v>
      </c>
      <c r="AR22" s="2" vm="121">
        <f ca="1"/>
        <v>50.89</v>
      </c>
      <c r="AS22" s="2">
        <f t="shared" ca="1" si="21"/>
        <v>1.9654088050310555E-4</v>
      </c>
      <c r="AT22" s="2" vm="885">
        <f ca="1"/>
        <v>29.02</v>
      </c>
      <c r="AU22" s="2">
        <f t="shared" ca="1" si="22"/>
        <v>-6.88705234159765E-4</v>
      </c>
      <c r="AV22" s="2" vm="886">
        <f ca="1"/>
        <v>27.51</v>
      </c>
      <c r="AW22" s="2">
        <f t="shared" ca="1" si="23"/>
        <v>4.3811610076670681E-3</v>
      </c>
      <c r="AX22" s="2" vm="845">
        <f ca="1"/>
        <v>91.5</v>
      </c>
      <c r="AY22" s="2">
        <f t="shared" ca="1" si="24"/>
        <v>0</v>
      </c>
      <c r="AZ22" s="2" vm="887">
        <f ca="1"/>
        <v>445.06</v>
      </c>
      <c r="BA22" s="2">
        <f t="shared" ca="1" si="25"/>
        <v>6.262859210020533E-3</v>
      </c>
      <c r="BB22" s="2" vm="888">
        <f ca="1"/>
        <v>221.49</v>
      </c>
      <c r="BC22" s="2">
        <f t="shared" ca="1" si="26"/>
        <v>7.7805077805078171E-3</v>
      </c>
      <c r="BD22" s="2" vm="889">
        <f ca="1"/>
        <v>41.88</v>
      </c>
      <c r="BE22" s="2">
        <f t="shared" ca="1" si="27"/>
        <v>1.3307524800387232E-2</v>
      </c>
      <c r="BF22" s="2" vm="890">
        <f ca="1"/>
        <v>118.96</v>
      </c>
      <c r="BG22" s="2">
        <f t="shared" ca="1" si="28"/>
        <v>2.9508473147288957E-3</v>
      </c>
      <c r="BH22" s="2" vm="891">
        <f ca="1"/>
        <v>153.41</v>
      </c>
      <c r="BI22" s="2">
        <f t="shared" ca="1" si="29"/>
        <v>-3.6370721569136994E-3</v>
      </c>
      <c r="BJ22" s="2" vm="892">
        <f ca="1"/>
        <v>158.35</v>
      </c>
      <c r="BK22" s="2">
        <f t="shared" ca="1" si="30"/>
        <v>6.9514661274004816E-4</v>
      </c>
      <c r="BL22" s="2" vm="893">
        <f ca="1"/>
        <v>65.37</v>
      </c>
      <c r="BM22" s="2">
        <f t="shared" ca="1" si="31"/>
        <v>3.9932422054984656E-3</v>
      </c>
      <c r="BN22" s="2" vm="894">
        <f ca="1"/>
        <v>297.32</v>
      </c>
      <c r="BO22" s="2">
        <f t="shared" ca="1" si="32"/>
        <v>1.5263786921632133E-2</v>
      </c>
      <c r="BP22" s="2" vm="895">
        <f ca="1"/>
        <v>96.63</v>
      </c>
      <c r="BQ22" s="2">
        <f t="shared" ca="1" si="33"/>
        <v>8.7691825869087494E-3</v>
      </c>
      <c r="BR22" s="2" vm="896">
        <f ca="1"/>
        <v>763.91</v>
      </c>
      <c r="BS22" s="2">
        <f t="shared" ca="1" si="34"/>
        <v>1.1118317427962538E-2</v>
      </c>
      <c r="BT22" s="2" vm="897">
        <f ca="1"/>
        <v>165.76</v>
      </c>
      <c r="BU22" s="2">
        <f t="shared" ca="1" si="35"/>
        <v>4.1192149260963068E-3</v>
      </c>
      <c r="BV22" s="2" vm="898">
        <f ca="1"/>
        <v>167.85</v>
      </c>
      <c r="BW22" s="2">
        <f t="shared" ca="1" si="36"/>
        <v>9.0777924732475101E-3</v>
      </c>
      <c r="BX22" s="2" vm="899">
        <f ca="1"/>
        <v>279.31</v>
      </c>
      <c r="BY22" s="2">
        <f t="shared" ca="1" si="37"/>
        <v>1.1956088547516435E-2</v>
      </c>
      <c r="BZ22" s="2" vm="900">
        <f ca="1"/>
        <v>92.4</v>
      </c>
      <c r="CA22" s="2">
        <f t="shared" ca="1" si="38"/>
        <v>6.6456040963067805E-3</v>
      </c>
      <c r="CB22" s="2" vm="901">
        <f ca="1"/>
        <v>29.155899999999999</v>
      </c>
      <c r="CC22" s="2">
        <f t="shared" ca="1" si="39"/>
        <v>9.903013508832631E-3</v>
      </c>
      <c r="CD22" s="2" t="e" vm="92">
        <f ca="1"/>
        <v>#N/A</v>
      </c>
      <c r="CE22" s="2" t="e" vm="140">
        <f t="shared" ca="1" si="40"/>
        <v>#N/A</v>
      </c>
      <c r="CF22" s="2" vm="902">
        <f ca="1"/>
        <v>22.785</v>
      </c>
      <c r="CG22" s="2">
        <f t="shared" ca="1" si="41"/>
        <v>6.5876152832677068E-4</v>
      </c>
      <c r="CH22" s="2" vm="903">
        <f ca="1"/>
        <v>58.25</v>
      </c>
      <c r="CI22" s="2">
        <f t="shared" ca="1" si="42"/>
        <v>-5.1475634866165294E-4</v>
      </c>
      <c r="CJ22" s="2" vm="185">
        <f ca="1"/>
        <v>58.6</v>
      </c>
      <c r="CK22" s="2">
        <f t="shared" ca="1" si="43"/>
        <v>-1.706193482340558E-4</v>
      </c>
      <c r="CL22" s="2" vm="904">
        <f ca="1"/>
        <v>58.2</v>
      </c>
      <c r="CM22" s="2">
        <f t="shared" ca="1" si="44"/>
        <v>4.3140638481449526E-3</v>
      </c>
      <c r="CN22" s="2" vm="253">
        <f ca="1"/>
        <v>29.19</v>
      </c>
      <c r="CO22" s="2">
        <f t="shared" ca="1" si="45"/>
        <v>4.4735030970406943E-3</v>
      </c>
      <c r="CP22" s="2" vm="905">
        <f ca="1"/>
        <v>23.512899999999998</v>
      </c>
      <c r="CQ22" s="2">
        <f t="shared" ca="1" si="46"/>
        <v>1.145543864479096E-2</v>
      </c>
    </row>
    <row r="23" spans="1:95" x14ac:dyDescent="0.2">
      <c r="A23" s="7" vm="906">
        <f ca="1"/>
        <v>45602</v>
      </c>
      <c r="B23" s="2" vm="907">
        <f ca="1"/>
        <v>222.72</v>
      </c>
      <c r="C23" s="2">
        <f t="shared" ca="1" si="0"/>
        <v>-3.2669501006936221E-3</v>
      </c>
      <c r="D23" s="2" vm="908">
        <f ca="1"/>
        <v>145.61000000000001</v>
      </c>
      <c r="E23" s="2">
        <f t="shared" ca="1" si="1"/>
        <v>4.0740476020298885E-2</v>
      </c>
      <c r="F23" s="2" vm="909">
        <f ca="1"/>
        <v>420.18</v>
      </c>
      <c r="G23" s="2">
        <f t="shared" ca="1" si="2"/>
        <v>2.119282554804848E-2</v>
      </c>
      <c r="H23" s="2" vm="910">
        <f ca="1"/>
        <v>572.04999999999995</v>
      </c>
      <c r="I23" s="2">
        <f t="shared" ca="1" si="3"/>
        <v>-6.6383662631237968E-4</v>
      </c>
      <c r="J23" s="2" vm="911">
        <f ca="1"/>
        <v>176.51</v>
      </c>
      <c r="K23" s="2">
        <f t="shared" ca="1" si="4"/>
        <v>3.9884529280075298E-2</v>
      </c>
      <c r="L23" s="2" vm="912">
        <f ca="1"/>
        <v>591.04</v>
      </c>
      <c r="M23" s="2">
        <f t="shared" ca="1" si="5"/>
        <v>2.4865614704352206E-2</v>
      </c>
      <c r="N23" s="2" vm="913">
        <f ca="1"/>
        <v>90.2</v>
      </c>
      <c r="O23" s="2">
        <f t="shared" ca="1" si="6"/>
        <v>-2.7388397670907831E-2</v>
      </c>
      <c r="P23" s="2" vm="914">
        <f ca="1"/>
        <v>245.7</v>
      </c>
      <c r="Q23" s="2">
        <f t="shared" ca="1" si="7"/>
        <v>-3.0386740331491781E-2</v>
      </c>
      <c r="R23" s="2" vm="915">
        <f ca="1"/>
        <v>74.540000000000006</v>
      </c>
      <c r="S23" s="2">
        <f t="shared" ca="1" si="8"/>
        <v>-2.5424862839555427E-3</v>
      </c>
      <c r="T23" s="2" vm="916">
        <f ca="1"/>
        <v>93.25</v>
      </c>
      <c r="U23" s="2">
        <f t="shared" ca="1" si="9"/>
        <v>-1.0295054128635097E-2</v>
      </c>
      <c r="V23" s="2" vm="917">
        <f ca="1"/>
        <v>47.14</v>
      </c>
      <c r="W23" s="2">
        <f t="shared" ca="1" si="10"/>
        <v>-5.6950010546297416E-3</v>
      </c>
      <c r="X23" s="2" vm="560">
        <f ca="1"/>
        <v>163.66999999999999</v>
      </c>
      <c r="Y23" s="2">
        <f t="shared" ca="1" si="11"/>
        <v>9.6469484826153792E-2</v>
      </c>
      <c r="Z23" s="2" vm="918">
        <f ca="1"/>
        <v>93.56</v>
      </c>
      <c r="AA23" s="2">
        <f t="shared" ca="1" si="12"/>
        <v>3.7595652656094047E-2</v>
      </c>
      <c r="AB23" s="2" vm="919">
        <f ca="1"/>
        <v>14.79</v>
      </c>
      <c r="AC23" s="2">
        <f t="shared" ca="1" si="13"/>
        <v>-4.7106325706595077E-3</v>
      </c>
      <c r="AD23" s="2" vm="881">
        <f ca="1"/>
        <v>2.35</v>
      </c>
      <c r="AE23" s="2">
        <f t="shared" ca="1" si="14"/>
        <v>0</v>
      </c>
      <c r="AF23" s="2" vm="920">
        <f ca="1"/>
        <v>28.43</v>
      </c>
      <c r="AG23" s="2">
        <f t="shared" ca="1" si="15"/>
        <v>-4.4369747899159671E-2</v>
      </c>
      <c r="AH23" s="2" vm="921">
        <f ca="1"/>
        <v>25.15</v>
      </c>
      <c r="AI23" s="2">
        <f t="shared" ca="1" si="16"/>
        <v>-7.4980268350434602E-3</v>
      </c>
      <c r="AJ23" s="2" vm="378">
        <f ca="1"/>
        <v>5.14</v>
      </c>
      <c r="AK23" s="2">
        <f t="shared" ca="1" si="17"/>
        <v>-1.9417475728156649E-3</v>
      </c>
      <c r="AL23" s="2" vm="922">
        <f ca="1"/>
        <v>52.71</v>
      </c>
      <c r="AM23" s="2">
        <f t="shared" ca="1" si="18"/>
        <v>-3.0353200883002182E-2</v>
      </c>
      <c r="AN23" s="2" vm="923">
        <f ca="1"/>
        <v>90.74</v>
      </c>
      <c r="AO23" s="2">
        <f t="shared" ca="1" si="19"/>
        <v>-8.0891998250984809E-3</v>
      </c>
      <c r="AP23" s="2" vm="842">
        <f ca="1"/>
        <v>26.21</v>
      </c>
      <c r="AQ23" s="2">
        <f t="shared" ca="1" si="20"/>
        <v>-7.6248570339304512E-4</v>
      </c>
      <c r="AR23" s="2" vm="167">
        <f ca="1"/>
        <v>50.91</v>
      </c>
      <c r="AS23" s="2">
        <f t="shared" ca="1" si="21"/>
        <v>3.9300451955189664E-4</v>
      </c>
      <c r="AT23" s="2" vm="924">
        <f ca="1"/>
        <v>28.99</v>
      </c>
      <c r="AU23" s="2">
        <f t="shared" ca="1" si="22"/>
        <v>-1.0337698139214727E-3</v>
      </c>
      <c r="AV23" s="2" vm="925">
        <f ca="1"/>
        <v>26.87</v>
      </c>
      <c r="AW23" s="2">
        <f t="shared" ca="1" si="23"/>
        <v>-2.3264267539076719E-2</v>
      </c>
      <c r="AX23" s="2" vm="926">
        <f ca="1"/>
        <v>91.52</v>
      </c>
      <c r="AY23" s="2">
        <f t="shared" ca="1" si="24"/>
        <v>2.1857923497263412E-4</v>
      </c>
      <c r="AZ23" s="2" vm="927">
        <f ca="1"/>
        <v>468.9</v>
      </c>
      <c r="BA23" s="2">
        <f t="shared" ca="1" si="25"/>
        <v>5.3565811351278421E-2</v>
      </c>
      <c r="BB23" s="2" vm="928">
        <f ca="1"/>
        <v>247.06</v>
      </c>
      <c r="BC23" s="2">
        <f t="shared" ca="1" si="26"/>
        <v>0.11544539256851322</v>
      </c>
      <c r="BD23" s="2" vm="929">
        <f ca="1"/>
        <v>45.41</v>
      </c>
      <c r="BE23" s="2">
        <f t="shared" ca="1" si="27"/>
        <v>8.4288443170964511E-2</v>
      </c>
      <c r="BF23" s="2" vm="930">
        <f ca="1"/>
        <v>121</v>
      </c>
      <c r="BG23" s="2">
        <f t="shared" ca="1" si="28"/>
        <v>1.7148621385339662E-2</v>
      </c>
      <c r="BH23" s="2" vm="931">
        <f ca="1"/>
        <v>157.72</v>
      </c>
      <c r="BI23" s="2">
        <f t="shared" ca="1" si="29"/>
        <v>2.8094648328009925E-2</v>
      </c>
      <c r="BJ23" s="2" vm="932">
        <f ca="1"/>
        <v>157.88</v>
      </c>
      <c r="BK23" s="2">
        <f t="shared" ca="1" si="30"/>
        <v>-2.9681086201452408E-3</v>
      </c>
      <c r="BL23" s="2" vm="933">
        <f ca="1"/>
        <v>63.7</v>
      </c>
      <c r="BM23" s="2">
        <f t="shared" ca="1" si="31"/>
        <v>-2.554688695120088E-2</v>
      </c>
      <c r="BN23" s="2" vm="934">
        <f ca="1"/>
        <v>294</v>
      </c>
      <c r="BO23" s="2">
        <f t="shared" ca="1" si="32"/>
        <v>-1.1166420018834902E-2</v>
      </c>
      <c r="BP23" s="2" vm="935">
        <f ca="1"/>
        <v>98.89</v>
      </c>
      <c r="BQ23" s="2">
        <f t="shared" ca="1" si="33"/>
        <v>2.33881817241023E-2</v>
      </c>
      <c r="BR23" s="2" vm="936">
        <f ca="1"/>
        <v>780.21</v>
      </c>
      <c r="BS23" s="2">
        <f t="shared" ca="1" si="34"/>
        <v>2.1337592124726825E-2</v>
      </c>
      <c r="BT23" s="2" vm="937">
        <f ca="1"/>
        <v>161.05000000000001</v>
      </c>
      <c r="BU23" s="2">
        <f t="shared" ca="1" si="35"/>
        <v>-2.8414575289575167E-2</v>
      </c>
      <c r="BV23" s="2" vm="938">
        <f ca="1"/>
        <v>164.71</v>
      </c>
      <c r="BW23" s="2">
        <f t="shared" ca="1" si="36"/>
        <v>-1.8707179028894766E-2</v>
      </c>
      <c r="BX23" s="2" vm="939">
        <f ca="1"/>
        <v>304.32</v>
      </c>
      <c r="BY23" s="2">
        <f t="shared" ca="1" si="37"/>
        <v>8.9542085854426953E-2</v>
      </c>
      <c r="BZ23" s="2" vm="940">
        <f ca="1"/>
        <v>96.86</v>
      </c>
      <c r="CA23" s="2">
        <f t="shared" ca="1" si="38"/>
        <v>4.8268398268398197E-2</v>
      </c>
      <c r="CB23" s="2" vm="630">
        <f ca="1"/>
        <v>30.73</v>
      </c>
      <c r="CC23" s="2">
        <f t="shared" ca="1" si="39"/>
        <v>5.3989072537633943E-2</v>
      </c>
      <c r="CD23" s="2" t="e" vm="92">
        <f ca="1"/>
        <v>#N/A</v>
      </c>
      <c r="CE23" s="2" t="e" vm="140">
        <f t="shared" ca="1" si="40"/>
        <v>#N/A</v>
      </c>
      <c r="CF23" s="2" vm="941">
        <f ca="1"/>
        <v>22.6</v>
      </c>
      <c r="CG23" s="2">
        <f t="shared" ca="1" si="41"/>
        <v>-8.1193767829711976E-3</v>
      </c>
      <c r="CH23" s="2" vm="486">
        <f ca="1"/>
        <v>58.17</v>
      </c>
      <c r="CI23" s="2">
        <f t="shared" ca="1" si="42"/>
        <v>-1.373390557939885E-3</v>
      </c>
      <c r="CJ23" s="2" vm="903">
        <f ca="1"/>
        <v>58.25</v>
      </c>
      <c r="CK23" s="2">
        <f t="shared" ca="1" si="43"/>
        <v>-5.9726962457338122E-3</v>
      </c>
      <c r="CL23" s="2" vm="942">
        <f ca="1"/>
        <v>56.85</v>
      </c>
      <c r="CM23" s="2">
        <f t="shared" ca="1" si="44"/>
        <v>-2.3195876288659815E-2</v>
      </c>
      <c r="CN23" s="2" vm="943">
        <f ca="1"/>
        <v>28.95</v>
      </c>
      <c r="CO23" s="2">
        <f t="shared" ca="1" si="45"/>
        <v>-8.2219938335046927E-3</v>
      </c>
      <c r="CP23" s="2" vm="944">
        <f ca="1"/>
        <v>23.0181</v>
      </c>
      <c r="CQ23" s="2">
        <f t="shared" ca="1" si="46"/>
        <v>-2.1043767463817645E-2</v>
      </c>
    </row>
    <row r="24" spans="1:95" x14ac:dyDescent="0.2">
      <c r="A24" s="7" vm="945">
        <f ca="1"/>
        <v>45603</v>
      </c>
      <c r="B24" s="2" vm="946">
        <f ca="1"/>
        <v>227.48</v>
      </c>
      <c r="C24" s="2">
        <f t="shared" ca="1" si="0"/>
        <v>2.1372126436781567E-2</v>
      </c>
      <c r="D24" s="2" vm="947">
        <f ca="1"/>
        <v>148.88</v>
      </c>
      <c r="E24" s="2">
        <f t="shared" ca="1" si="1"/>
        <v>2.2457248815328491E-2</v>
      </c>
      <c r="F24" s="2" vm="948">
        <f ca="1"/>
        <v>425.43</v>
      </c>
      <c r="G24" s="2">
        <f t="shared" ca="1" si="2"/>
        <v>1.2494645152077681E-2</v>
      </c>
      <c r="H24" s="2" vm="949">
        <f ca="1"/>
        <v>591.70000000000005</v>
      </c>
      <c r="I24" s="2">
        <f t="shared" ca="1" si="3"/>
        <v>3.435014421816291E-2</v>
      </c>
      <c r="J24" s="2" vm="950">
        <f ca="1"/>
        <v>180.75</v>
      </c>
      <c r="K24" s="2">
        <f t="shared" ca="1" si="4"/>
        <v>2.4021301909240324E-2</v>
      </c>
      <c r="L24" s="2" vm="951">
        <f ca="1"/>
        <v>595.61</v>
      </c>
      <c r="M24" s="2">
        <f t="shared" ca="1" si="5"/>
        <v>7.7321331889551471E-3</v>
      </c>
      <c r="N24" s="2" vm="952">
        <f ca="1"/>
        <v>91.33</v>
      </c>
      <c r="O24" s="2">
        <f t="shared" ca="1" si="6"/>
        <v>1.2527716186252721E-2</v>
      </c>
      <c r="P24" s="2" vm="953">
        <f ca="1"/>
        <v>249.65</v>
      </c>
      <c r="Q24" s="2">
        <f t="shared" ca="1" si="7"/>
        <v>1.6076516076516147E-2</v>
      </c>
      <c r="R24" s="2" vm="954">
        <f ca="1"/>
        <v>74.66</v>
      </c>
      <c r="S24" s="2">
        <f t="shared" ca="1" si="8"/>
        <v>1.6098738932115687E-3</v>
      </c>
      <c r="T24" s="2" vm="955">
        <f ca="1"/>
        <v>94</v>
      </c>
      <c r="U24" s="2">
        <f t="shared" ca="1" si="9"/>
        <v>8.0428954423592495E-3</v>
      </c>
      <c r="V24" s="2" vm="956">
        <f ca="1"/>
        <v>47.459499999999998</v>
      </c>
      <c r="W24" s="2">
        <f t="shared" ca="1" si="10"/>
        <v>6.7776834959694084E-3</v>
      </c>
      <c r="X24" s="2" vm="957">
        <f ca="1"/>
        <v>159.82</v>
      </c>
      <c r="Y24" s="2">
        <f t="shared" ca="1" si="11"/>
        <v>-2.3522942506262568E-2</v>
      </c>
      <c r="Z24" s="2" vm="958">
        <f ca="1"/>
        <v>93.13</v>
      </c>
      <c r="AA24" s="2">
        <f t="shared" ca="1" si="12"/>
        <v>-4.5959811885421852E-3</v>
      </c>
      <c r="AB24" s="2" vm="959">
        <f ca="1"/>
        <v>14.83</v>
      </c>
      <c r="AC24" s="2">
        <f t="shared" ca="1" si="13"/>
        <v>2.7045300878972903E-3</v>
      </c>
      <c r="AD24" s="2" vm="960">
        <f ca="1"/>
        <v>2.1</v>
      </c>
      <c r="AE24" s="2">
        <f t="shared" ca="1" si="14"/>
        <v>-0.10638297872340426</v>
      </c>
      <c r="AF24" s="2" vm="961">
        <f ca="1"/>
        <v>29.11</v>
      </c>
      <c r="AG24" s="2">
        <f t="shared" ca="1" si="15"/>
        <v>2.3918396060499461E-2</v>
      </c>
      <c r="AH24" s="2" vm="962">
        <f ca="1"/>
        <v>25.71</v>
      </c>
      <c r="AI24" s="2">
        <f t="shared" ca="1" si="16"/>
        <v>2.2266401590457348E-2</v>
      </c>
      <c r="AJ24" s="2" vm="591">
        <f ca="1"/>
        <v>5.1100000000000003</v>
      </c>
      <c r="AK24" s="2">
        <f t="shared" ca="1" si="17"/>
        <v>-5.8365758754862574E-3</v>
      </c>
      <c r="AL24" s="2" vm="963">
        <f ca="1"/>
        <v>53.57</v>
      </c>
      <c r="AM24" s="2">
        <f t="shared" ca="1" si="18"/>
        <v>1.631568962246252E-2</v>
      </c>
      <c r="AN24" s="2" vm="964">
        <f ca="1"/>
        <v>91.27</v>
      </c>
      <c r="AO24" s="2">
        <f t="shared" ca="1" si="19"/>
        <v>5.8408640070531318E-3</v>
      </c>
      <c r="AP24" s="2" vm="965">
        <f ca="1"/>
        <v>26.3</v>
      </c>
      <c r="AQ24" s="2">
        <f t="shared" ca="1" si="20"/>
        <v>3.433803891644405E-3</v>
      </c>
      <c r="AR24" s="2" vm="73">
        <f ca="1"/>
        <v>50.9</v>
      </c>
      <c r="AS24" s="2">
        <f t="shared" ca="1" si="21"/>
        <v>-1.9642506383810669E-4</v>
      </c>
      <c r="AT24" s="2" vm="966">
        <f ca="1"/>
        <v>29.03</v>
      </c>
      <c r="AU24" s="2">
        <f t="shared" ca="1" si="22"/>
        <v>1.379786133149455E-3</v>
      </c>
      <c r="AV24" s="2" vm="967">
        <f ca="1"/>
        <v>27.17</v>
      </c>
      <c r="AW24" s="2">
        <f t="shared" ca="1" si="23"/>
        <v>1.1164867882396751E-2</v>
      </c>
      <c r="AX24" s="2" vm="968">
        <f ca="1"/>
        <v>91.53</v>
      </c>
      <c r="AY24" s="2">
        <f t="shared" ca="1" si="24"/>
        <v>1.0926573426579017E-4</v>
      </c>
      <c r="AZ24" s="2" vm="969">
        <f ca="1"/>
        <v>460.13</v>
      </c>
      <c r="BA24" s="2">
        <f t="shared" ca="1" si="25"/>
        <v>-1.8703348261889491E-2</v>
      </c>
      <c r="BB24" s="2" vm="970">
        <f ca="1"/>
        <v>236.38</v>
      </c>
      <c r="BC24" s="2">
        <f t="shared" ca="1" si="26"/>
        <v>-4.3228365579211551E-2</v>
      </c>
      <c r="BD24" s="2" vm="971">
        <f ca="1"/>
        <v>44.77</v>
      </c>
      <c r="BE24" s="2">
        <f t="shared" ca="1" si="27"/>
        <v>-1.4093811935696841E-2</v>
      </c>
      <c r="BF24" s="2" vm="972">
        <f ca="1"/>
        <v>121.15</v>
      </c>
      <c r="BG24" s="2">
        <f t="shared" ca="1" si="28"/>
        <v>1.2396694214876502E-3</v>
      </c>
      <c r="BH24" s="2" vm="973">
        <f ca="1"/>
        <v>156.77000000000001</v>
      </c>
      <c r="BI24" s="2">
        <f t="shared" ca="1" si="29"/>
        <v>-6.023332487953263E-3</v>
      </c>
      <c r="BJ24" s="2" vm="974">
        <f ca="1"/>
        <v>156.72999999999999</v>
      </c>
      <c r="BK24" s="2">
        <f t="shared" ca="1" si="30"/>
        <v>-7.2840131745629958E-3</v>
      </c>
      <c r="BL24" s="2" vm="975">
        <f ca="1"/>
        <v>63.66</v>
      </c>
      <c r="BM24" s="2">
        <f t="shared" ca="1" si="31"/>
        <v>-6.2794348508644036E-4</v>
      </c>
      <c r="BN24" s="2" vm="976">
        <f ca="1"/>
        <v>294.66000000000003</v>
      </c>
      <c r="BO24" s="2">
        <f t="shared" ca="1" si="32"/>
        <v>2.2448979591837585E-3</v>
      </c>
      <c r="BP24" s="2" vm="977">
        <f ca="1"/>
        <v>98.93</v>
      </c>
      <c r="BQ24" s="2">
        <f t="shared" ca="1" si="33"/>
        <v>4.0448983719290377E-4</v>
      </c>
      <c r="BR24" s="2" vm="978">
        <f ca="1"/>
        <v>796.54</v>
      </c>
      <c r="BS24" s="2">
        <f t="shared" ca="1" si="34"/>
        <v>2.0930262365260542E-2</v>
      </c>
      <c r="BT24" s="2" vm="979">
        <f ca="1"/>
        <v>163.41</v>
      </c>
      <c r="BU24" s="2">
        <f t="shared" ca="1" si="35"/>
        <v>1.4653834212977243E-2</v>
      </c>
      <c r="BV24" s="2" vm="980">
        <f ca="1"/>
        <v>164</v>
      </c>
      <c r="BW24" s="2">
        <f t="shared" ca="1" si="36"/>
        <v>-4.3106065205513197E-3</v>
      </c>
      <c r="BX24" s="2" vm="981">
        <f ca="1"/>
        <v>301.39999999999998</v>
      </c>
      <c r="BY24" s="2">
        <f t="shared" ca="1" si="37"/>
        <v>-9.5951629863302319E-3</v>
      </c>
      <c r="BZ24" s="2" vm="982">
        <f ca="1"/>
        <v>95.97</v>
      </c>
      <c r="CA24" s="2">
        <f t="shared" ca="1" si="38"/>
        <v>-9.1885195126987472E-3</v>
      </c>
      <c r="CB24" s="2" vm="983">
        <f ca="1"/>
        <v>30.4956</v>
      </c>
      <c r="CC24" s="2">
        <f t="shared" ca="1" si="39"/>
        <v>-7.627725349821049E-3</v>
      </c>
      <c r="CD24" s="2" vm="984">
        <f ca="1"/>
        <v>564</v>
      </c>
      <c r="CE24" s="2" t="e" vm="140">
        <f t="shared" ca="1" si="40"/>
        <v>#N/A</v>
      </c>
      <c r="CF24" s="2" vm="985">
        <f ca="1"/>
        <v>22.72</v>
      </c>
      <c r="CG24" s="2">
        <f t="shared" ca="1" si="41"/>
        <v>5.3097345132742226E-3</v>
      </c>
      <c r="CH24" s="2" vm="986">
        <f ca="1"/>
        <v>58.27</v>
      </c>
      <c r="CI24" s="2">
        <f t="shared" ca="1" si="42"/>
        <v>1.7190991920234041E-3</v>
      </c>
      <c r="CJ24" s="2" vm="270">
        <f ca="1"/>
        <v>58.58</v>
      </c>
      <c r="CK24" s="2">
        <f t="shared" ca="1" si="43"/>
        <v>5.6652360515021165E-3</v>
      </c>
      <c r="CL24" s="2" vm="987">
        <f ca="1"/>
        <v>57.48</v>
      </c>
      <c r="CM24" s="2">
        <f t="shared" ca="1" si="44"/>
        <v>1.1081794195250579E-2</v>
      </c>
      <c r="CN24" s="2" vm="530">
        <f ca="1"/>
        <v>29.22</v>
      </c>
      <c r="CO24" s="2">
        <f t="shared" ca="1" si="45"/>
        <v>9.3264248704663065E-3</v>
      </c>
      <c r="CP24" s="2" vm="988">
        <f ca="1"/>
        <v>23.207799999999999</v>
      </c>
      <c r="CQ24" s="2">
        <f t="shared" ca="1" si="46"/>
        <v>8.2413405102940047E-3</v>
      </c>
    </row>
    <row r="25" spans="1:95" x14ac:dyDescent="0.2">
      <c r="A25" s="7" vm="989">
        <f ca="1"/>
        <v>45604</v>
      </c>
      <c r="B25" s="2" vm="990">
        <f ca="1"/>
        <v>226.96</v>
      </c>
      <c r="C25" s="2">
        <f t="shared" ca="1" si="0"/>
        <v>-2.2859152452962099E-3</v>
      </c>
      <c r="D25" s="2" vm="991">
        <f ca="1"/>
        <v>147.63</v>
      </c>
      <c r="E25" s="2">
        <f t="shared" ca="1" si="1"/>
        <v>-8.3960236432025787E-3</v>
      </c>
      <c r="F25" s="2" vm="992">
        <f ca="1"/>
        <v>422.54</v>
      </c>
      <c r="G25" s="2">
        <f t="shared" ca="1" si="2"/>
        <v>-6.7931269539054278E-3</v>
      </c>
      <c r="H25" s="2" vm="993">
        <f ca="1"/>
        <v>589.34</v>
      </c>
      <c r="I25" s="2">
        <f t="shared" ca="1" si="3"/>
        <v>-3.9885076897076448E-3</v>
      </c>
      <c r="J25" s="2" vm="994">
        <f ca="1"/>
        <v>178.35</v>
      </c>
      <c r="K25" s="2">
        <f t="shared" ca="1" si="4"/>
        <v>-1.3278008298755218E-2</v>
      </c>
      <c r="L25" s="2" vm="995">
        <f ca="1"/>
        <v>598.19000000000005</v>
      </c>
      <c r="M25" s="2">
        <f t="shared" ca="1" si="5"/>
        <v>4.3316935578651145E-3</v>
      </c>
      <c r="N25" s="2" vm="996">
        <f ca="1"/>
        <v>92.49</v>
      </c>
      <c r="O25" s="2">
        <f t="shared" ca="1" si="6"/>
        <v>1.270119347421435E-2</v>
      </c>
      <c r="P25" s="2" vm="997">
        <f ca="1"/>
        <v>247.96</v>
      </c>
      <c r="Q25" s="2">
        <f t="shared" ca="1" si="7"/>
        <v>-6.7694772681754362E-3</v>
      </c>
      <c r="R25" s="2" vm="998">
        <f ca="1"/>
        <v>73.13</v>
      </c>
      <c r="S25" s="2">
        <f t="shared" ca="1" si="8"/>
        <v>-2.0492901151888579E-2</v>
      </c>
      <c r="T25" s="2" vm="999">
        <f ca="1"/>
        <v>94.2</v>
      </c>
      <c r="U25" s="2">
        <f t="shared" ca="1" si="9"/>
        <v>2.1276595744681155E-3</v>
      </c>
      <c r="V25" s="2" vm="1000">
        <f ca="1"/>
        <v>47.53</v>
      </c>
      <c r="W25" s="2">
        <f t="shared" ca="1" si="10"/>
        <v>1.4854770909934296E-3</v>
      </c>
      <c r="X25" s="2" vm="1001">
        <f ca="1"/>
        <v>162</v>
      </c>
      <c r="Y25" s="2">
        <f t="shared" ca="1" si="11"/>
        <v>1.3640345388562175E-2</v>
      </c>
      <c r="Z25" s="2" vm="1002">
        <f ca="1"/>
        <v>93.75</v>
      </c>
      <c r="AA25" s="2">
        <f t="shared" ca="1" si="12"/>
        <v>6.6573606786213312E-3</v>
      </c>
      <c r="AB25" s="2" vm="546">
        <f ca="1"/>
        <v>14.54</v>
      </c>
      <c r="AC25" s="2">
        <f t="shared" ca="1" si="13"/>
        <v>-1.9554956169925888E-2</v>
      </c>
      <c r="AD25" s="2" t="e" vm="92">
        <f ca="1"/>
        <v>#N/A</v>
      </c>
      <c r="AE25" s="2" t="e" vm="140">
        <f t="shared" ca="1" si="14"/>
        <v>#N/A</v>
      </c>
      <c r="AF25" s="2" vm="1003">
        <f ca="1"/>
        <v>28.48</v>
      </c>
      <c r="AG25" s="2">
        <f t="shared" ca="1" si="15"/>
        <v>-2.1642047406389524E-2</v>
      </c>
      <c r="AH25" s="2" vm="1004">
        <f ca="1"/>
        <v>25.47</v>
      </c>
      <c r="AI25" s="2">
        <f t="shared" ca="1" si="16"/>
        <v>-9.3348891481914425E-3</v>
      </c>
      <c r="AJ25" s="2" vm="591">
        <f ca="1"/>
        <v>5.1100000000000003</v>
      </c>
      <c r="AK25" s="2">
        <f t="shared" ca="1" si="17"/>
        <v>0</v>
      </c>
      <c r="AL25" s="2" vm="1005">
        <f ca="1"/>
        <v>53.21</v>
      </c>
      <c r="AM25" s="2">
        <f t="shared" ca="1" si="18"/>
        <v>-6.7201792047787831E-3</v>
      </c>
      <c r="AN25" s="2" vm="1006">
        <f ca="1"/>
        <v>88.75</v>
      </c>
      <c r="AO25" s="2">
        <f t="shared" ca="1" si="19"/>
        <v>-2.7610386764544716E-2</v>
      </c>
      <c r="AP25" s="2" vm="1007">
        <f ca="1"/>
        <v>26.35</v>
      </c>
      <c r="AQ25" s="2">
        <f t="shared" ca="1" si="20"/>
        <v>1.9011406844106733E-3</v>
      </c>
      <c r="AR25" s="2" vm="339">
        <f ca="1"/>
        <v>50.94</v>
      </c>
      <c r="AS25" s="2">
        <f t="shared" ca="1" si="21"/>
        <v>7.8585461689585753E-4</v>
      </c>
      <c r="AT25" s="2" vm="885">
        <f ca="1"/>
        <v>29.02</v>
      </c>
      <c r="AU25" s="2">
        <f t="shared" ca="1" si="22"/>
        <v>-3.4447123665179343E-4</v>
      </c>
      <c r="AV25" s="2" vm="423">
        <f ca="1"/>
        <v>27.47</v>
      </c>
      <c r="AW25" s="2">
        <f t="shared" ca="1" si="23"/>
        <v>1.1041589988958305E-2</v>
      </c>
      <c r="AX25" s="2" vm="1008">
        <f ca="1"/>
        <v>91.58</v>
      </c>
      <c r="AY25" s="2">
        <f t="shared" ca="1" si="24"/>
        <v>5.4626898284712284E-4</v>
      </c>
      <c r="AZ25" s="2" vm="1009">
        <f ca="1"/>
        <v>463.41</v>
      </c>
      <c r="BA25" s="2">
        <f t="shared" ca="1" si="25"/>
        <v>7.1284202290657628E-3</v>
      </c>
      <c r="BB25" s="2" vm="1010">
        <f ca="1"/>
        <v>236.98</v>
      </c>
      <c r="BC25" s="2">
        <f t="shared" ca="1" si="26"/>
        <v>2.5382858109822925E-3</v>
      </c>
      <c r="BD25" s="2" vm="1011">
        <f ca="1"/>
        <v>45.13</v>
      </c>
      <c r="BE25" s="2">
        <f t="shared" ca="1" si="27"/>
        <v>8.0410989501898452E-3</v>
      </c>
      <c r="BF25" s="2" vm="1012">
        <f ca="1"/>
        <v>121.11</v>
      </c>
      <c r="BG25" s="2">
        <f t="shared" ca="1" si="28"/>
        <v>-3.301692117210586E-4</v>
      </c>
      <c r="BH25" s="2" vm="1013">
        <f ca="1"/>
        <v>156.93</v>
      </c>
      <c r="BI25" s="2">
        <f t="shared" ca="1" si="29"/>
        <v>1.0206034317790176E-3</v>
      </c>
      <c r="BJ25" s="2" vm="1014">
        <f ca="1"/>
        <v>155.47</v>
      </c>
      <c r="BK25" s="2">
        <f t="shared" ca="1" si="30"/>
        <v>-8.0393032603840418E-3</v>
      </c>
      <c r="BL25" s="2" vm="1015">
        <f ca="1"/>
        <v>63.92</v>
      </c>
      <c r="BM25" s="2">
        <f t="shared" ca="1" si="31"/>
        <v>4.0841972981464835E-3</v>
      </c>
      <c r="BN25" s="2" vm="1016">
        <f ca="1"/>
        <v>298.97000000000003</v>
      </c>
      <c r="BO25" s="2">
        <f t="shared" ca="1" si="32"/>
        <v>1.4627027760809075E-2</v>
      </c>
      <c r="BP25" s="2" vm="1017">
        <f ca="1"/>
        <v>99.02</v>
      </c>
      <c r="BQ25" s="2">
        <f t="shared" ca="1" si="33"/>
        <v>9.0973415546334981E-4</v>
      </c>
      <c r="BR25" s="2" vm="1018">
        <f ca="1"/>
        <v>795.04</v>
      </c>
      <c r="BS25" s="2">
        <f t="shared" ca="1" si="34"/>
        <v>-1.8831446003967159E-3</v>
      </c>
      <c r="BT25" s="2" vm="1019">
        <f ca="1"/>
        <v>167.71</v>
      </c>
      <c r="BU25" s="2">
        <f t="shared" ca="1" si="35"/>
        <v>2.6314179058809201E-2</v>
      </c>
      <c r="BV25" s="2" vm="1020">
        <f ca="1"/>
        <v>165.11</v>
      </c>
      <c r="BW25" s="2">
        <f t="shared" ca="1" si="36"/>
        <v>6.7682926829269125E-3</v>
      </c>
      <c r="BX25" s="2" vm="1021">
        <f ca="1"/>
        <v>298.17</v>
      </c>
      <c r="BY25" s="2">
        <f t="shared" ca="1" si="37"/>
        <v>-1.0716655607166429E-2</v>
      </c>
      <c r="BZ25" s="2" vm="1022">
        <f ca="1"/>
        <v>97.01</v>
      </c>
      <c r="CA25" s="2">
        <f t="shared" ca="1" si="38"/>
        <v>1.0836719808273484E-2</v>
      </c>
      <c r="CB25" s="2" vm="1023">
        <f ca="1"/>
        <v>30.9</v>
      </c>
      <c r="CC25" s="2">
        <f t="shared" ca="1" si="39"/>
        <v>1.3260929445559327E-2</v>
      </c>
      <c r="CD25" s="2" t="e" vm="92">
        <f ca="1"/>
        <v>#N/A</v>
      </c>
      <c r="CE25" s="2" t="e" vm="140">
        <f t="shared" ca="1" si="40"/>
        <v>#N/A</v>
      </c>
      <c r="CF25" s="2" vm="861">
        <f ca="1"/>
        <v>22.77</v>
      </c>
      <c r="CG25" s="2">
        <f t="shared" ca="1" si="41"/>
        <v>2.200704225352144E-3</v>
      </c>
      <c r="CH25" s="2" vm="1024">
        <f ca="1"/>
        <v>58.24</v>
      </c>
      <c r="CI25" s="2">
        <f t="shared" ca="1" si="42"/>
        <v>-5.1484468851898291E-4</v>
      </c>
      <c r="CJ25" s="2" vm="1025">
        <f ca="1"/>
        <v>58.59</v>
      </c>
      <c r="CK25" s="2">
        <f t="shared" ca="1" si="43"/>
        <v>1.7070672584508563E-4</v>
      </c>
      <c r="CL25" s="2" vm="1026">
        <f ca="1"/>
        <v>58.12</v>
      </c>
      <c r="CM25" s="2">
        <f t="shared" ca="1" si="44"/>
        <v>1.1134307585247053E-2</v>
      </c>
      <c r="CN25" s="2" vm="443">
        <f ca="1"/>
        <v>29.3</v>
      </c>
      <c r="CO25" s="2">
        <f t="shared" ca="1" si="45"/>
        <v>2.7378507871321646E-3</v>
      </c>
      <c r="CP25" s="2" vm="1027">
        <f ca="1"/>
        <v>23.496300000000002</v>
      </c>
      <c r="CQ25" s="2">
        <f t="shared" ca="1" si="46"/>
        <v>1.2431165384052027E-2</v>
      </c>
    </row>
    <row r="26" spans="1:95" x14ac:dyDescent="0.2">
      <c r="A26" s="7" vm="1028">
        <f ca="1"/>
        <v>45607</v>
      </c>
      <c r="B26" s="2" vm="1029">
        <f ca="1"/>
        <v>224.23</v>
      </c>
      <c r="C26" s="2">
        <f t="shared" ca="1" si="0"/>
        <v>-1.2028551286570401E-2</v>
      </c>
      <c r="D26" s="2" vm="1030">
        <f ca="1"/>
        <v>145.26</v>
      </c>
      <c r="E26" s="2">
        <f t="shared" ca="1" si="1"/>
        <v>-1.6053647632595033E-2</v>
      </c>
      <c r="F26" s="2" vm="1031">
        <f ca="1"/>
        <v>418.01</v>
      </c>
      <c r="G26" s="2">
        <f t="shared" ca="1" si="2"/>
        <v>-1.072087849671044E-2</v>
      </c>
      <c r="H26" s="2" vm="1032">
        <f ca="1"/>
        <v>583.16999999999996</v>
      </c>
      <c r="I26" s="2">
        <f t="shared" ca="1" si="3"/>
        <v>-1.0469338582142858E-2</v>
      </c>
      <c r="J26" s="2" vm="1033">
        <f ca="1"/>
        <v>180.35</v>
      </c>
      <c r="K26" s="2">
        <f t="shared" ca="1" si="4"/>
        <v>1.1213905242500702E-2</v>
      </c>
      <c r="L26" s="2" vm="1034">
        <f ca="1"/>
        <v>598.76</v>
      </c>
      <c r="M26" s="2">
        <f t="shared" ca="1" si="5"/>
        <v>9.5287450475590747E-4</v>
      </c>
      <c r="N26" s="2" vm="1035">
        <f ca="1"/>
        <v>92.04</v>
      </c>
      <c r="O26" s="2">
        <f t="shared" ca="1" si="6"/>
        <v>-4.8653908530650733E-3</v>
      </c>
      <c r="P26" s="2" vm="1036">
        <f ca="1"/>
        <v>242.14</v>
      </c>
      <c r="Q26" s="2">
        <f t="shared" ca="1" si="7"/>
        <v>-2.3471527665752626E-2</v>
      </c>
      <c r="R26" s="2" vm="1037">
        <f ca="1"/>
        <v>70.94</v>
      </c>
      <c r="S26" s="2">
        <f t="shared" ca="1" si="8"/>
        <v>-2.9946670313140952E-2</v>
      </c>
      <c r="T26" s="2" vm="1038">
        <f ca="1"/>
        <v>93.94</v>
      </c>
      <c r="U26" s="2">
        <f t="shared" ca="1" si="9"/>
        <v>-2.7600849256900753E-3</v>
      </c>
      <c r="V26" s="2" vm="1039">
        <f ca="1"/>
        <v>47.468899999999998</v>
      </c>
      <c r="W26" s="2">
        <f t="shared" ca="1" si="10"/>
        <v>-1.2855038922786296E-3</v>
      </c>
      <c r="X26" s="2" vm="1040">
        <f ca="1"/>
        <v>166.75</v>
      </c>
      <c r="Y26" s="2">
        <f t="shared" ca="1" si="11"/>
        <v>2.9320987654320986E-2</v>
      </c>
      <c r="Z26" s="2" vm="1041">
        <f ca="1"/>
        <v>94.28</v>
      </c>
      <c r="AA26" s="2">
        <f t="shared" ca="1" si="12"/>
        <v>5.6533333333333453E-3</v>
      </c>
      <c r="AB26" s="2" vm="1042">
        <f ca="1"/>
        <v>14.12</v>
      </c>
      <c r="AC26" s="2">
        <f t="shared" ca="1" si="13"/>
        <v>-2.8885832187070148E-2</v>
      </c>
      <c r="AD26" s="2" vm="960">
        <f ca="1"/>
        <v>2.1</v>
      </c>
      <c r="AE26" s="2" t="e" vm="140">
        <f t="shared" ca="1" si="14"/>
        <v>#N/A</v>
      </c>
      <c r="AF26" s="2" vm="1043">
        <f ca="1"/>
        <v>27.97</v>
      </c>
      <c r="AG26" s="2">
        <f t="shared" ca="1" si="15"/>
        <v>-1.7907303370786571E-2</v>
      </c>
      <c r="AH26" s="2" vm="1044">
        <f ca="1"/>
        <v>25.38</v>
      </c>
      <c r="AI26" s="2">
        <f t="shared" ca="1" si="16"/>
        <v>-3.5335689045936343E-3</v>
      </c>
      <c r="AJ26" s="2" vm="632">
        <f ca="1"/>
        <v>5.04</v>
      </c>
      <c r="AK26" s="2">
        <f t="shared" ca="1" si="17"/>
        <v>-1.3698630136986356E-2</v>
      </c>
      <c r="AL26" s="2" vm="1045">
        <f ca="1"/>
        <v>51.96</v>
      </c>
      <c r="AM26" s="2">
        <f t="shared" ca="1" si="18"/>
        <v>-2.3491824844953955E-2</v>
      </c>
      <c r="AN26" s="2" vm="1046">
        <f ca="1"/>
        <v>88.23</v>
      </c>
      <c r="AO26" s="2">
        <f t="shared" ca="1" si="19"/>
        <v>-5.8591549295774203E-3</v>
      </c>
      <c r="AP26" s="2" vm="1047">
        <f ca="1"/>
        <v>26.28</v>
      </c>
      <c r="AQ26" s="2">
        <f t="shared" ca="1" si="20"/>
        <v>-2.6565464895635781E-3</v>
      </c>
      <c r="AR26" s="2" vm="1048">
        <f ca="1"/>
        <v>50.93</v>
      </c>
      <c r="AS26" s="2">
        <f t="shared" ca="1" si="21"/>
        <v>-1.9630938358849648E-4</v>
      </c>
      <c r="AT26" s="2" vm="800">
        <f ca="1"/>
        <v>29.01</v>
      </c>
      <c r="AU26" s="2">
        <f t="shared" ca="1" si="22"/>
        <v>-3.4458993797374264E-4</v>
      </c>
      <c r="AV26" s="2" vm="675">
        <f ca="1"/>
        <v>27.35</v>
      </c>
      <c r="AW26" s="2">
        <f t="shared" ca="1" si="23"/>
        <v>-4.3684018929740611E-3</v>
      </c>
      <c r="AX26" s="2" vm="1049">
        <f ca="1"/>
        <v>91.57</v>
      </c>
      <c r="AY26" s="2">
        <f t="shared" ca="1" si="24"/>
        <v>-1.0919414719376629E-4</v>
      </c>
      <c r="AZ26" s="2" vm="1050">
        <f ca="1"/>
        <v>467.36</v>
      </c>
      <c r="BA26" s="2">
        <f t="shared" ca="1" si="25"/>
        <v>8.5237694482207735E-3</v>
      </c>
      <c r="BB26" s="2" vm="1051">
        <f ca="1"/>
        <v>239.29</v>
      </c>
      <c r="BC26" s="2">
        <f t="shared" ca="1" si="26"/>
        <v>9.7476580302135307E-3</v>
      </c>
      <c r="BD26" s="2" vm="1052">
        <f ca="1"/>
        <v>46.08</v>
      </c>
      <c r="BE26" s="2">
        <f t="shared" ca="1" si="27"/>
        <v>2.1050299135829731E-2</v>
      </c>
      <c r="BF26" s="2" vm="1053">
        <f ca="1"/>
        <v>120.47</v>
      </c>
      <c r="BG26" s="2">
        <f t="shared" ca="1" si="28"/>
        <v>-5.2844521509371693E-3</v>
      </c>
      <c r="BH26" s="2" vm="1054">
        <f ca="1"/>
        <v>156.5</v>
      </c>
      <c r="BI26" s="2">
        <f t="shared" ca="1" si="29"/>
        <v>-2.7400751927611471E-3</v>
      </c>
      <c r="BJ26" s="2" vm="1055">
        <f ca="1"/>
        <v>155.04</v>
      </c>
      <c r="BK26" s="2">
        <f t="shared" ca="1" si="30"/>
        <v>-2.7658069080852051E-3</v>
      </c>
      <c r="BL26" s="2" vm="1056">
        <f ca="1"/>
        <v>63.36</v>
      </c>
      <c r="BM26" s="2">
        <f t="shared" ca="1" si="31"/>
        <v>-8.7609511889862688E-3</v>
      </c>
      <c r="BN26" s="2" vm="1057">
        <f ca="1"/>
        <v>301.52999999999997</v>
      </c>
      <c r="BO26" s="2">
        <f t="shared" ca="1" si="32"/>
        <v>8.562732046693465E-3</v>
      </c>
      <c r="BP26" s="2" vm="1058">
        <f ca="1"/>
        <v>100.86</v>
      </c>
      <c r="BQ26" s="2">
        <f t="shared" ca="1" si="33"/>
        <v>1.8582104625328253E-2</v>
      </c>
      <c r="BR26" s="2" vm="1059">
        <f ca="1"/>
        <v>805.44</v>
      </c>
      <c r="BS26" s="2">
        <f t="shared" ca="1" si="34"/>
        <v>1.3081102837593192E-2</v>
      </c>
      <c r="BT26" s="2" vm="1060">
        <f ca="1"/>
        <v>166.03</v>
      </c>
      <c r="BU26" s="2">
        <f t="shared" ca="1" si="35"/>
        <v>-1.0017291753622365E-2</v>
      </c>
      <c r="BV26" s="2" vm="1061">
        <f ca="1"/>
        <v>164.26</v>
      </c>
      <c r="BW26" s="2">
        <f t="shared" ca="1" si="36"/>
        <v>-5.148083096117877E-3</v>
      </c>
      <c r="BX26" s="2" vm="1062">
        <f ca="1"/>
        <v>304.86</v>
      </c>
      <c r="BY26" s="2">
        <f t="shared" ca="1" si="37"/>
        <v>2.2436864875742018E-2</v>
      </c>
      <c r="BZ26" s="2" vm="1063">
        <f ca="1"/>
        <v>98.1</v>
      </c>
      <c r="CA26" s="2">
        <f t="shared" ca="1" si="38"/>
        <v>1.1235955056179664E-2</v>
      </c>
      <c r="CB26" s="2" vm="1064">
        <f ca="1"/>
        <v>31.31</v>
      </c>
      <c r="CC26" s="2">
        <f t="shared" ca="1" si="39"/>
        <v>1.3268608414239488E-2</v>
      </c>
      <c r="CD26" s="2" t="e" vm="92">
        <f ca="1"/>
        <v>#N/A</v>
      </c>
      <c r="CE26" s="2" t="e" vm="140">
        <f t="shared" ca="1" si="40"/>
        <v>#N/A</v>
      </c>
      <c r="CF26" s="2" vm="1065">
        <f ca="1"/>
        <v>22.725000000000001</v>
      </c>
      <c r="CG26" s="2">
        <f t="shared" ca="1" si="41"/>
        <v>-1.9762845849801559E-3</v>
      </c>
      <c r="CH26" s="2" vm="904">
        <f ca="1"/>
        <v>58.2</v>
      </c>
      <c r="CI26" s="2">
        <f t="shared" ca="1" si="42"/>
        <v>-6.8681318681317212E-4</v>
      </c>
      <c r="CJ26" s="2" vm="1066">
        <f ca="1"/>
        <v>58.46</v>
      </c>
      <c r="CK26" s="2">
        <f t="shared" ca="1" si="43"/>
        <v>-2.2188086704216172E-3</v>
      </c>
      <c r="CL26" s="2" vm="1067">
        <f ca="1"/>
        <v>57.9</v>
      </c>
      <c r="CM26" s="2">
        <f t="shared" ca="1" si="44"/>
        <v>-3.7852718513420314E-3</v>
      </c>
      <c r="CN26" s="2" vm="1068">
        <f ca="1"/>
        <v>29.26</v>
      </c>
      <c r="CO26" s="2">
        <f t="shared" ca="1" si="45"/>
        <v>-1.3651877133105512E-3</v>
      </c>
      <c r="CP26" s="2" vm="1069">
        <f ca="1"/>
        <v>23.409700000000001</v>
      </c>
      <c r="CQ26" s="2">
        <f t="shared" ca="1" si="46"/>
        <v>-3.6856866825840948E-3</v>
      </c>
    </row>
    <row r="27" spans="1:95" x14ac:dyDescent="0.2">
      <c r="A27" s="7" vm="1070">
        <f ca="1"/>
        <v>45608</v>
      </c>
      <c r="B27" s="2" vm="1029">
        <f ca="1"/>
        <v>224.23</v>
      </c>
      <c r="C27" s="2">
        <f t="shared" ca="1" si="0"/>
        <v>0</v>
      </c>
      <c r="D27" s="2" vm="1071">
        <f ca="1"/>
        <v>148.29</v>
      </c>
      <c r="E27" s="2">
        <f t="shared" ca="1" si="1"/>
        <v>2.0859149111937224E-2</v>
      </c>
      <c r="F27" s="2" vm="1072">
        <f ca="1"/>
        <v>423.03</v>
      </c>
      <c r="G27" s="2">
        <f t="shared" ca="1" si="2"/>
        <v>1.2009282074591473E-2</v>
      </c>
      <c r="H27" s="2" vm="1073">
        <f ca="1"/>
        <v>584.82000000000005</v>
      </c>
      <c r="I27" s="2">
        <f t="shared" ca="1" si="3"/>
        <v>2.8293636503936947E-3</v>
      </c>
      <c r="J27" s="2" vm="1074">
        <f ca="1"/>
        <v>181.62</v>
      </c>
      <c r="K27" s="2">
        <f t="shared" ca="1" si="4"/>
        <v>7.0418630440810103E-3</v>
      </c>
      <c r="L27" s="2" vm="1075">
        <f ca="1"/>
        <v>596.9</v>
      </c>
      <c r="M27" s="2">
        <f t="shared" ca="1" si="5"/>
        <v>-3.1064199345313876E-3</v>
      </c>
      <c r="N27" s="2" vm="1076">
        <f ca="1"/>
        <v>90.66</v>
      </c>
      <c r="O27" s="2">
        <f t="shared" ca="1" si="6"/>
        <v>-1.4993481095176115E-2</v>
      </c>
      <c r="P27" s="2" vm="1077">
        <f ca="1"/>
        <v>240.05</v>
      </c>
      <c r="Q27" s="2">
        <f t="shared" ca="1" si="7"/>
        <v>-8.6313702816551378E-3</v>
      </c>
      <c r="R27" s="2" vm="1078">
        <f ca="1"/>
        <v>70.69</v>
      </c>
      <c r="S27" s="2">
        <f t="shared" ca="1" si="8"/>
        <v>-3.5241048773611504E-3</v>
      </c>
      <c r="T27" s="2" vm="1079">
        <f ca="1"/>
        <v>93.35</v>
      </c>
      <c r="U27" s="2">
        <f t="shared" ca="1" si="9"/>
        <v>-6.2806046412604158E-3</v>
      </c>
      <c r="V27" s="2" vm="1080">
        <f ca="1"/>
        <v>47.19</v>
      </c>
      <c r="W27" s="2">
        <f t="shared" ca="1" si="10"/>
        <v>-5.8754258051060835E-3</v>
      </c>
      <c r="X27" s="2" vm="1081">
        <f ca="1"/>
        <v>163.75</v>
      </c>
      <c r="Y27" s="2">
        <f t="shared" ca="1" si="11"/>
        <v>-1.7991004497751123E-2</v>
      </c>
      <c r="Z27" s="2" vm="1082">
        <f ca="1"/>
        <v>93.78</v>
      </c>
      <c r="AA27" s="2">
        <f t="shared" ca="1" si="12"/>
        <v>-5.3033517182859563E-3</v>
      </c>
      <c r="AB27" s="2" vm="1083">
        <f ca="1"/>
        <v>14.09</v>
      </c>
      <c r="AC27" s="2">
        <f t="shared" ca="1" si="13"/>
        <v>-2.1246458923512295E-3</v>
      </c>
      <c r="AD27" s="2" t="e" vm="92">
        <f ca="1"/>
        <v>#N/A</v>
      </c>
      <c r="AE27" s="2" t="e" vm="140">
        <f t="shared" ca="1" si="14"/>
        <v>#N/A</v>
      </c>
      <c r="AF27" s="2" vm="1084">
        <f ca="1"/>
        <v>28.07</v>
      </c>
      <c r="AG27" s="2">
        <f t="shared" ca="1" si="15"/>
        <v>3.5752592062925073E-3</v>
      </c>
      <c r="AH27" s="2" vm="1085">
        <f ca="1"/>
        <v>25.59</v>
      </c>
      <c r="AI27" s="2">
        <f t="shared" ca="1" si="16"/>
        <v>8.2742316784870321E-3</v>
      </c>
      <c r="AJ27" s="2" vm="1086">
        <f ca="1"/>
        <v>4.9400000000000004</v>
      </c>
      <c r="AK27" s="2">
        <f t="shared" ca="1" si="17"/>
        <v>-1.9841269841269771E-2</v>
      </c>
      <c r="AL27" s="2" vm="1087">
        <f ca="1"/>
        <v>51.52</v>
      </c>
      <c r="AM27" s="2">
        <f t="shared" ca="1" si="18"/>
        <v>-8.468052347959925E-3</v>
      </c>
      <c r="AN27" s="2" vm="1088">
        <f ca="1"/>
        <v>86.78</v>
      </c>
      <c r="AO27" s="2">
        <f t="shared" ca="1" si="19"/>
        <v>-1.6434319392496916E-2</v>
      </c>
      <c r="AP27" s="2" vm="1089">
        <f ca="1"/>
        <v>26.14</v>
      </c>
      <c r="AQ27" s="2">
        <f t="shared" ca="1" si="20"/>
        <v>-5.3272450532724719E-3</v>
      </c>
      <c r="AR27" s="2" vm="339">
        <f ca="1"/>
        <v>50.94</v>
      </c>
      <c r="AS27" s="2">
        <f t="shared" ca="1" si="21"/>
        <v>1.9634792852931494E-4</v>
      </c>
      <c r="AT27" s="2" vm="1090">
        <f ca="1"/>
        <v>28.97</v>
      </c>
      <c r="AU27" s="2">
        <f t="shared" ca="1" si="22"/>
        <v>-1.3788348845226715E-3</v>
      </c>
      <c r="AV27" s="2" vm="1091">
        <f ca="1"/>
        <v>26.97</v>
      </c>
      <c r="AW27" s="2">
        <f t="shared" ca="1" si="23"/>
        <v>-1.3893967093235924E-2</v>
      </c>
      <c r="AX27" s="2" vm="1008">
        <f ca="1"/>
        <v>91.58</v>
      </c>
      <c r="AY27" s="2">
        <f t="shared" ca="1" si="24"/>
        <v>1.0920607185765116E-4</v>
      </c>
      <c r="AZ27" s="2" vm="1092">
        <f ca="1"/>
        <v>466.29</v>
      </c>
      <c r="BA27" s="2">
        <f t="shared" ca="1" si="25"/>
        <v>-2.2894556658678389E-3</v>
      </c>
      <c r="BB27" s="2" vm="1093">
        <f ca="1"/>
        <v>239.56</v>
      </c>
      <c r="BC27" s="2">
        <f t="shared" ca="1" si="26"/>
        <v>1.1283379999164622E-3</v>
      </c>
      <c r="BD27" s="2" vm="1094">
        <f ca="1"/>
        <v>45.86</v>
      </c>
      <c r="BE27" s="2">
        <f t="shared" ca="1" si="27"/>
        <v>-4.7743055555555308E-3</v>
      </c>
      <c r="BF27" s="2" vm="258">
        <f ca="1"/>
        <v>120.35</v>
      </c>
      <c r="BG27" s="2">
        <f t="shared" ca="1" si="28"/>
        <v>-9.960986137628003E-4</v>
      </c>
      <c r="BH27" s="2" vm="1095">
        <f ca="1"/>
        <v>155.29</v>
      </c>
      <c r="BI27" s="2">
        <f t="shared" ca="1" si="29"/>
        <v>-7.7316293929712973E-3</v>
      </c>
      <c r="BJ27" s="2" vm="1096">
        <f ca="1"/>
        <v>152.63999999999999</v>
      </c>
      <c r="BK27" s="2">
        <f t="shared" ca="1" si="30"/>
        <v>-1.547987616099075E-2</v>
      </c>
      <c r="BL27" s="2" vm="1097">
        <f ca="1"/>
        <v>63.2</v>
      </c>
      <c r="BM27" s="2">
        <f t="shared" ca="1" si="31"/>
        <v>-2.5252525252524713E-3</v>
      </c>
      <c r="BN27" s="2" vm="1098">
        <f ca="1"/>
        <v>298.64999999999998</v>
      </c>
      <c r="BO27" s="2">
        <f t="shared" ca="1" si="32"/>
        <v>-9.5512884290120236E-3</v>
      </c>
      <c r="BP27" s="2" vm="1099">
        <f ca="1"/>
        <v>100.99</v>
      </c>
      <c r="BQ27" s="2">
        <f t="shared" ca="1" si="33"/>
        <v>1.2889153281776269E-3</v>
      </c>
      <c r="BR27" s="2" vm="1100">
        <f ca="1"/>
        <v>819.5</v>
      </c>
      <c r="BS27" s="2">
        <f t="shared" ca="1" si="34"/>
        <v>1.7456297179181495E-2</v>
      </c>
      <c r="BT27" s="2" vm="1101">
        <f ca="1"/>
        <v>165.84</v>
      </c>
      <c r="BU27" s="2">
        <f t="shared" ca="1" si="35"/>
        <v>-1.1443714991266501E-3</v>
      </c>
      <c r="BV27" s="2" vm="1102">
        <f ca="1"/>
        <v>164.34</v>
      </c>
      <c r="BW27" s="2">
        <f t="shared" ca="1" si="36"/>
        <v>4.8703275295271221E-4</v>
      </c>
      <c r="BX27" s="2" vm="1103">
        <f ca="1"/>
        <v>302.07</v>
      </c>
      <c r="BY27" s="2">
        <f t="shared" ca="1" si="37"/>
        <v>-9.1517417831136275E-3</v>
      </c>
      <c r="BZ27" s="2" vm="1104">
        <f ca="1"/>
        <v>97.35</v>
      </c>
      <c r="CA27" s="2">
        <f t="shared" ca="1" si="38"/>
        <v>-7.6452599388379212E-3</v>
      </c>
      <c r="CB27" s="2" vm="1105">
        <f ca="1"/>
        <v>31.0108</v>
      </c>
      <c r="CC27" s="2">
        <f t="shared" ca="1" si="39"/>
        <v>-9.5560523794314609E-3</v>
      </c>
      <c r="CD27" s="2" t="e" vm="92">
        <f ca="1"/>
        <v>#N/A</v>
      </c>
      <c r="CE27" s="2" t="e" vm="140">
        <f t="shared" ca="1" si="40"/>
        <v>#N/A</v>
      </c>
      <c r="CF27" s="2" vm="1106">
        <f ca="1"/>
        <v>22.61</v>
      </c>
      <c r="CG27" s="2">
        <f t="shared" ca="1" si="41"/>
        <v>-5.0605060506051479E-3</v>
      </c>
      <c r="CH27" s="2" vm="442">
        <f ca="1"/>
        <v>58.14</v>
      </c>
      <c r="CI27" s="2">
        <f t="shared" ca="1" si="42"/>
        <v>-1.0309278350515854E-3</v>
      </c>
      <c r="CJ27" s="2" vm="818">
        <f ca="1"/>
        <v>58.23</v>
      </c>
      <c r="CK27" s="2">
        <f t="shared" ca="1" si="43"/>
        <v>-3.9343140608964072E-3</v>
      </c>
      <c r="CL27" s="2" vm="1107">
        <f ca="1"/>
        <v>57.08</v>
      </c>
      <c r="CM27" s="2">
        <f t="shared" ca="1" si="44"/>
        <v>-1.4162348877374789E-2</v>
      </c>
      <c r="CN27" s="2" vm="732">
        <f ca="1"/>
        <v>29.04</v>
      </c>
      <c r="CO27" s="2">
        <f t="shared" ca="1" si="45"/>
        <v>-7.518796992481285E-3</v>
      </c>
      <c r="CP27" s="2" vm="1108">
        <f ca="1"/>
        <v>23.097200000000001</v>
      </c>
      <c r="CQ27" s="2">
        <f t="shared" ca="1" si="46"/>
        <v>-1.3349167225551802E-2</v>
      </c>
    </row>
    <row r="28" spans="1:95" x14ac:dyDescent="0.2">
      <c r="A28" s="7" vm="1109">
        <f ca="1"/>
        <v>45609</v>
      </c>
      <c r="B28" s="2" vm="1110">
        <f ca="1"/>
        <v>225.12</v>
      </c>
      <c r="C28" s="2">
        <f t="shared" ca="1" si="0"/>
        <v>3.9691388306650087E-3</v>
      </c>
      <c r="D28" s="2" vm="1111">
        <f ca="1"/>
        <v>146.27000000000001</v>
      </c>
      <c r="E28" s="2">
        <f t="shared" ca="1" si="1"/>
        <v>-1.3621956976195171E-2</v>
      </c>
      <c r="F28" s="2" vm="1112">
        <f ca="1"/>
        <v>425.2</v>
      </c>
      <c r="G28" s="2">
        <f t="shared" ca="1" si="2"/>
        <v>5.1296598349999199E-3</v>
      </c>
      <c r="H28" s="2" vm="1113">
        <f ca="1"/>
        <v>580</v>
      </c>
      <c r="I28" s="2">
        <f t="shared" ca="1" si="3"/>
        <v>-8.2418521938375042E-3</v>
      </c>
      <c r="J28" s="2" vm="1114">
        <f ca="1"/>
        <v>178.88</v>
      </c>
      <c r="K28" s="2">
        <f t="shared" ca="1" si="4"/>
        <v>-1.5086444224204432E-2</v>
      </c>
      <c r="L28" s="2" vm="1115">
        <f ca="1"/>
        <v>597.19000000000005</v>
      </c>
      <c r="M28" s="2">
        <f t="shared" ca="1" si="5"/>
        <v>4.8584352487866865E-4</v>
      </c>
      <c r="N28" s="2" vm="545">
        <f ca="1"/>
        <v>89.8</v>
      </c>
      <c r="O28" s="2">
        <f t="shared" ca="1" si="6"/>
        <v>-9.4859916170306584E-3</v>
      </c>
      <c r="P28" s="2" vm="1116">
        <f ca="1"/>
        <v>237.63</v>
      </c>
      <c r="Q28" s="2">
        <f t="shared" ca="1" si="7"/>
        <v>-1.0081233076442474E-2</v>
      </c>
      <c r="R28" s="2" vm="1117">
        <f ca="1"/>
        <v>70.73</v>
      </c>
      <c r="S28" s="2">
        <f t="shared" ca="1" si="8"/>
        <v>5.6585089828838954E-4</v>
      </c>
      <c r="T28" s="2" vm="1118">
        <f ca="1"/>
        <v>93.29</v>
      </c>
      <c r="U28" s="2">
        <f t="shared" ca="1" si="9"/>
        <v>-6.4274236743425887E-4</v>
      </c>
      <c r="V28" s="2" vm="1080">
        <f ca="1"/>
        <v>47.19</v>
      </c>
      <c r="W28" s="2">
        <f t="shared" ca="1" si="10"/>
        <v>0</v>
      </c>
      <c r="X28" s="2" vm="1102">
        <f ca="1"/>
        <v>164.34</v>
      </c>
      <c r="Y28" s="2">
        <f t="shared" ca="1" si="11"/>
        <v>3.6030534351145244E-3</v>
      </c>
      <c r="Z28" s="2" vm="464">
        <f ca="1"/>
        <v>94.51</v>
      </c>
      <c r="AA28" s="2">
        <f t="shared" ca="1" si="12"/>
        <v>7.7841757304329701E-3</v>
      </c>
      <c r="AB28" s="2" vm="1083">
        <f ca="1"/>
        <v>14.09</v>
      </c>
      <c r="AC28" s="2">
        <f t="shared" ca="1" si="13"/>
        <v>0</v>
      </c>
      <c r="AD28" s="2" vm="881">
        <f ca="1"/>
        <v>2.35</v>
      </c>
      <c r="AE28" s="2" t="e" vm="140">
        <f t="shared" ca="1" si="14"/>
        <v>#N/A</v>
      </c>
      <c r="AF28" s="2" vm="1119">
        <f ca="1"/>
        <v>27.61</v>
      </c>
      <c r="AG28" s="2">
        <f t="shared" ca="1" si="15"/>
        <v>-1.638760242251517E-2</v>
      </c>
      <c r="AH28" s="2" vm="334">
        <f ca="1"/>
        <v>25.67</v>
      </c>
      <c r="AI28" s="2">
        <f t="shared" ca="1" si="16"/>
        <v>3.1262211801485677E-3</v>
      </c>
      <c r="AJ28" s="2" vm="1120">
        <f ca="1"/>
        <v>4.8600000000000003</v>
      </c>
      <c r="AK28" s="2">
        <f t="shared" ca="1" si="17"/>
        <v>-1.6194331983805682E-2</v>
      </c>
      <c r="AL28" s="2" vm="1121">
        <f ca="1"/>
        <v>51</v>
      </c>
      <c r="AM28" s="2">
        <f t="shared" ca="1" si="18"/>
        <v>-1.0093167701863415E-2</v>
      </c>
      <c r="AN28" s="2" vm="1122">
        <f ca="1"/>
        <v>85.71</v>
      </c>
      <c r="AO28" s="2">
        <f t="shared" ca="1" si="19"/>
        <v>-1.2330029960820551E-2</v>
      </c>
      <c r="AP28" s="2" vm="1123">
        <f ca="1"/>
        <v>26.11</v>
      </c>
      <c r="AQ28" s="2">
        <f t="shared" ca="1" si="20"/>
        <v>-1.1476664116297297E-3</v>
      </c>
      <c r="AR28" s="2" vm="422">
        <f ca="1"/>
        <v>50.96</v>
      </c>
      <c r="AS28" s="2">
        <f t="shared" ca="1" si="21"/>
        <v>3.9261876717713244E-4</v>
      </c>
      <c r="AT28" s="2" vm="800">
        <f ca="1"/>
        <v>29.01</v>
      </c>
      <c r="AU28" s="2">
        <f t="shared" ca="1" si="22"/>
        <v>1.3807386952020262E-3</v>
      </c>
      <c r="AV28" s="2" vm="1124">
        <f ca="1"/>
        <v>26.79</v>
      </c>
      <c r="AW28" s="2">
        <f t="shared" ca="1" si="23"/>
        <v>-6.6740823136818587E-3</v>
      </c>
      <c r="AX28" s="2" vm="170">
        <f ca="1"/>
        <v>91.6</v>
      </c>
      <c r="AY28" s="2">
        <f t="shared" ca="1" si="24"/>
        <v>2.183882943873774E-4</v>
      </c>
      <c r="AZ28" s="2" vm="1125">
        <f ca="1"/>
        <v>468.1</v>
      </c>
      <c r="BA28" s="2">
        <f t="shared" ca="1" si="25"/>
        <v>3.8817045186471987E-3</v>
      </c>
      <c r="BB28" s="2" vm="1126">
        <f ca="1"/>
        <v>241.16</v>
      </c>
      <c r="BC28" s="2">
        <f t="shared" ca="1" si="26"/>
        <v>6.6789113374519718E-3</v>
      </c>
      <c r="BD28" s="2" vm="1127">
        <f ca="1"/>
        <v>45.87</v>
      </c>
      <c r="BE28" s="2">
        <f t="shared" ca="1" si="27"/>
        <v>2.1805494984731815E-4</v>
      </c>
      <c r="BF28" s="2" vm="1128">
        <f ca="1"/>
        <v>121.47</v>
      </c>
      <c r="BG28" s="2">
        <f t="shared" ca="1" si="28"/>
        <v>9.3061902783548364E-3</v>
      </c>
      <c r="BH28" s="2" vm="1129">
        <f ca="1"/>
        <v>158.72</v>
      </c>
      <c r="BI28" s="2">
        <f t="shared" ca="1" si="29"/>
        <v>2.2087706871015564E-2</v>
      </c>
      <c r="BJ28" s="2" vm="1130">
        <f ca="1"/>
        <v>153.24</v>
      </c>
      <c r="BK28" s="2">
        <f t="shared" ca="1" si="30"/>
        <v>3.9308176100630423E-3</v>
      </c>
      <c r="BL28" s="2" vm="1131">
        <f ca="1"/>
        <v>63</v>
      </c>
      <c r="BM28" s="2">
        <f t="shared" ca="1" si="31"/>
        <v>-3.1645569620253611E-3</v>
      </c>
      <c r="BN28" s="2" vm="1132">
        <f ca="1"/>
        <v>297.35000000000002</v>
      </c>
      <c r="BO28" s="2">
        <f t="shared" ca="1" si="32"/>
        <v>-4.3529214799931512E-3</v>
      </c>
      <c r="BP28" s="2" vm="1133">
        <f ca="1"/>
        <v>102.72</v>
      </c>
      <c r="BQ28" s="2">
        <f t="shared" ca="1" si="33"/>
        <v>1.7130408951381366E-2</v>
      </c>
      <c r="BR28" s="2" vm="1134">
        <f ca="1"/>
        <v>830.47</v>
      </c>
      <c r="BS28" s="2">
        <f t="shared" ca="1" si="34"/>
        <v>1.3386211104331943E-2</v>
      </c>
      <c r="BT28" s="2" vm="1135">
        <f ca="1"/>
        <v>166.58</v>
      </c>
      <c r="BU28" s="2">
        <f t="shared" ca="1" si="35"/>
        <v>4.4621321755909859E-3</v>
      </c>
      <c r="BV28" s="2" vm="1136">
        <f ca="1"/>
        <v>164.74</v>
      </c>
      <c r="BW28" s="2">
        <f t="shared" ca="1" si="36"/>
        <v>2.4339783375928298E-3</v>
      </c>
      <c r="BX28" s="2" vm="1137">
        <f ca="1"/>
        <v>297.69</v>
      </c>
      <c r="BY28" s="2">
        <f t="shared" ca="1" si="37"/>
        <v>-1.4499950342635798E-2</v>
      </c>
      <c r="BZ28" s="2" vm="1138">
        <f ca="1"/>
        <v>98.13</v>
      </c>
      <c r="CA28" s="2">
        <f t="shared" ca="1" si="38"/>
        <v>8.012326656394465E-3</v>
      </c>
      <c r="CB28" s="2" vm="1139">
        <f ca="1"/>
        <v>31.268999999999998</v>
      </c>
      <c r="CC28" s="2">
        <f t="shared" ca="1" si="39"/>
        <v>8.3261315412694499E-3</v>
      </c>
      <c r="CD28" s="2" t="e" vm="92">
        <f ca="1"/>
        <v>#N/A</v>
      </c>
      <c r="CE28" s="2" t="e" vm="140">
        <f t="shared" ca="1" si="40"/>
        <v>#N/A</v>
      </c>
      <c r="CF28" s="2" vm="941">
        <f ca="1"/>
        <v>22.6</v>
      </c>
      <c r="CG28" s="2">
        <f t="shared" ca="1" si="41"/>
        <v>-4.422821760282181E-4</v>
      </c>
      <c r="CH28" s="2" vm="818">
        <f ca="1"/>
        <v>58.23</v>
      </c>
      <c r="CI28" s="2">
        <f t="shared" ca="1" si="42"/>
        <v>1.5479876160990075E-3</v>
      </c>
      <c r="CJ28" s="2" vm="986">
        <f ca="1"/>
        <v>58.27</v>
      </c>
      <c r="CK28" s="2">
        <f t="shared" ca="1" si="43"/>
        <v>6.8693113515380828E-4</v>
      </c>
      <c r="CL28" s="2" vm="1140">
        <f ca="1"/>
        <v>56.68</v>
      </c>
      <c r="CM28" s="2">
        <f t="shared" ca="1" si="44"/>
        <v>-7.0077084793272355E-3</v>
      </c>
      <c r="CN28" s="2" vm="1090">
        <f ca="1"/>
        <v>28.97</v>
      </c>
      <c r="CO28" s="2">
        <f t="shared" ca="1" si="45"/>
        <v>-2.4104683195592387E-3</v>
      </c>
      <c r="CP28" s="2" vm="1141">
        <f ca="1"/>
        <v>23.139900000000001</v>
      </c>
      <c r="CQ28" s="2">
        <f t="shared" ca="1" si="46"/>
        <v>1.848708934416291E-3</v>
      </c>
    </row>
    <row r="29" spans="1:95" x14ac:dyDescent="0.2">
      <c r="A29" s="7" vm="1142">
        <f ca="1"/>
        <v>45610</v>
      </c>
      <c r="B29" s="2" vm="1143">
        <f ca="1"/>
        <v>228.22</v>
      </c>
      <c r="C29" s="2">
        <f t="shared" ca="1" si="0"/>
        <v>1.3770433546552925E-2</v>
      </c>
      <c r="D29" s="2" vm="1144">
        <f ca="1"/>
        <v>146.76</v>
      </c>
      <c r="E29" s="2">
        <f t="shared" ca="1" si="1"/>
        <v>3.349969234976281E-3</v>
      </c>
      <c r="F29" s="2" vm="1145">
        <f ca="1"/>
        <v>426.89</v>
      </c>
      <c r="G29" s="2">
        <f t="shared" ca="1" si="2"/>
        <v>3.9746001881467491E-3</v>
      </c>
      <c r="H29" s="2" vm="1146">
        <f ca="1"/>
        <v>577.16</v>
      </c>
      <c r="I29" s="2">
        <f t="shared" ca="1" si="3"/>
        <v>-4.8965517241379855E-3</v>
      </c>
      <c r="J29" s="2" vm="1147">
        <f ca="1"/>
        <v>175.58</v>
      </c>
      <c r="K29" s="2">
        <f t="shared" ca="1" si="4"/>
        <v>-1.844812164579597E-2</v>
      </c>
      <c r="L29" s="2" vm="1148">
        <f ca="1"/>
        <v>593.35</v>
      </c>
      <c r="M29" s="2">
        <f t="shared" ca="1" si="5"/>
        <v>-6.4301143689613552E-3</v>
      </c>
      <c r="N29" s="2" vm="1149">
        <f ca="1"/>
        <v>90.32</v>
      </c>
      <c r="O29" s="2">
        <f t="shared" ca="1" si="6"/>
        <v>5.7906458797326952E-3</v>
      </c>
      <c r="P29" s="2" vm="1150">
        <f ca="1"/>
        <v>237.01</v>
      </c>
      <c r="Q29" s="2">
        <f t="shared" ca="1" si="7"/>
        <v>-2.6090981778395177E-3</v>
      </c>
      <c r="R29" s="2" vm="1151">
        <f ca="1"/>
        <v>71.290000000000006</v>
      </c>
      <c r="S29" s="2">
        <f t="shared" ca="1" si="8"/>
        <v>7.9174324897497844E-3</v>
      </c>
      <c r="T29" s="2" vm="1152">
        <f ca="1"/>
        <v>93.28</v>
      </c>
      <c r="U29" s="2">
        <f t="shared" ca="1" si="9"/>
        <v>-1.0719262514744469E-4</v>
      </c>
      <c r="V29" s="2" vm="1153">
        <f ca="1"/>
        <v>47.18</v>
      </c>
      <c r="W29" s="2">
        <f t="shared" ca="1" si="10"/>
        <v>-2.1190930281835159E-4</v>
      </c>
      <c r="X29" s="2" vm="1154">
        <f ca="1"/>
        <v>164.31</v>
      </c>
      <c r="Y29" s="2">
        <f t="shared" ca="1" si="11"/>
        <v>-1.8254837531946657E-4</v>
      </c>
      <c r="Z29" s="2" vm="1155">
        <f ca="1"/>
        <v>94.87</v>
      </c>
      <c r="AA29" s="2">
        <f t="shared" ca="1" si="12"/>
        <v>3.8091207279652884E-3</v>
      </c>
      <c r="AB29" s="2" vm="1156">
        <f ca="1"/>
        <v>14.2</v>
      </c>
      <c r="AC29" s="2">
        <f t="shared" ca="1" si="13"/>
        <v>7.8069552874378591E-3</v>
      </c>
      <c r="AD29" s="2" vm="205">
        <f ca="1"/>
        <v>2.9</v>
      </c>
      <c r="AE29" s="2">
        <f t="shared" ca="1" si="14"/>
        <v>0.23404255319148928</v>
      </c>
      <c r="AF29" s="2" vm="1157">
        <f ca="1"/>
        <v>27.81</v>
      </c>
      <c r="AG29" s="2">
        <f t="shared" ca="1" si="15"/>
        <v>7.2437522636725569E-3</v>
      </c>
      <c r="AH29" s="2" vm="1158">
        <f ca="1"/>
        <v>25.89</v>
      </c>
      <c r="AI29" s="2">
        <f t="shared" ca="1" si="16"/>
        <v>8.5703155434358729E-3</v>
      </c>
      <c r="AJ29" s="2" vm="1159">
        <f ca="1"/>
        <v>4.8</v>
      </c>
      <c r="AK29" s="2">
        <f t="shared" ca="1" si="17"/>
        <v>-1.2345679012345781E-2</v>
      </c>
      <c r="AL29" s="2" vm="799">
        <f ca="1"/>
        <v>50.85</v>
      </c>
      <c r="AM29" s="2">
        <f t="shared" ca="1" si="18"/>
        <v>-2.9411764705882075E-3</v>
      </c>
      <c r="AN29" s="2" vm="1160">
        <f ca="1"/>
        <v>86.04</v>
      </c>
      <c r="AO29" s="2">
        <f t="shared" ca="1" si="19"/>
        <v>3.8501925096256274E-3</v>
      </c>
      <c r="AP29" s="2" vm="1161">
        <f ca="1"/>
        <v>26.1</v>
      </c>
      <c r="AQ29" s="2">
        <f t="shared" ca="1" si="20"/>
        <v>-3.8299502106464999E-4</v>
      </c>
      <c r="AR29" s="2" vm="380">
        <f ca="1"/>
        <v>50.95</v>
      </c>
      <c r="AS29" s="2">
        <f t="shared" ca="1" si="21"/>
        <v>-1.962323390894429E-4</v>
      </c>
      <c r="AT29" s="2" vm="924">
        <f ca="1"/>
        <v>28.99</v>
      </c>
      <c r="AU29" s="2">
        <f t="shared" ca="1" si="22"/>
        <v>-6.89417442261397E-4</v>
      </c>
      <c r="AV29" s="2" vm="1162">
        <f ca="1"/>
        <v>26.92</v>
      </c>
      <c r="AW29" s="2">
        <f t="shared" ca="1" si="23"/>
        <v>4.8525569242255529E-3</v>
      </c>
      <c r="AX29" s="2" vm="170">
        <f ca="1"/>
        <v>91.6</v>
      </c>
      <c r="AY29" s="2">
        <f t="shared" ca="1" si="24"/>
        <v>0</v>
      </c>
      <c r="AZ29" s="2" vm="1163">
        <f ca="1"/>
        <v>467.7</v>
      </c>
      <c r="BA29" s="2">
        <f t="shared" ca="1" si="25"/>
        <v>-8.5451826532799424E-4</v>
      </c>
      <c r="BB29" s="2" vm="1164">
        <f ca="1"/>
        <v>241.87</v>
      </c>
      <c r="BC29" s="2">
        <f t="shared" ca="1" si="26"/>
        <v>2.9441034997512356E-3</v>
      </c>
      <c r="BD29" s="2" vm="1165">
        <f ca="1"/>
        <v>45.9</v>
      </c>
      <c r="BE29" s="2">
        <f t="shared" ca="1" si="27"/>
        <v>6.5402223675607458E-4</v>
      </c>
      <c r="BF29" s="2" vm="1166">
        <f ca="1"/>
        <v>120.56</v>
      </c>
      <c r="BG29" s="2">
        <f t="shared" ca="1" si="28"/>
        <v>-7.4915617024779498E-3</v>
      </c>
      <c r="BH29" s="2" vm="1167">
        <f ca="1"/>
        <v>161.80000000000001</v>
      </c>
      <c r="BI29" s="2">
        <f t="shared" ca="1" si="29"/>
        <v>1.9405241935483951E-2</v>
      </c>
      <c r="BJ29" s="2" vm="1168">
        <f ca="1"/>
        <v>151.87</v>
      </c>
      <c r="BK29" s="2">
        <f t="shared" ca="1" si="30"/>
        <v>-8.9402244844688367E-3</v>
      </c>
      <c r="BL29" s="2" vm="1169">
        <f ca="1"/>
        <v>62.55</v>
      </c>
      <c r="BM29" s="2">
        <f t="shared" ca="1" si="31"/>
        <v>-7.1428571428571877E-3</v>
      </c>
      <c r="BN29" s="2" vm="1170">
        <f ca="1"/>
        <v>298.56</v>
      </c>
      <c r="BO29" s="2">
        <f t="shared" ca="1" si="32"/>
        <v>4.0692786278795339E-3</v>
      </c>
      <c r="BP29" s="2" vm="1171">
        <f ca="1"/>
        <v>109.12</v>
      </c>
      <c r="BQ29" s="2">
        <f t="shared" ca="1" si="33"/>
        <v>6.2305295950155819E-2</v>
      </c>
      <c r="BR29" s="2" vm="1172">
        <f ca="1"/>
        <v>837.26</v>
      </c>
      <c r="BS29" s="2">
        <f t="shared" ca="1" si="34"/>
        <v>8.1760930557394761E-3</v>
      </c>
      <c r="BT29" s="2" vm="1173">
        <f ca="1"/>
        <v>167.08</v>
      </c>
      <c r="BU29" s="2">
        <f t="shared" ca="1" si="35"/>
        <v>3.0015608116220433E-3</v>
      </c>
      <c r="BV29" s="2" vm="1174">
        <f ca="1"/>
        <v>165.15</v>
      </c>
      <c r="BW29" s="2">
        <f t="shared" ca="1" si="36"/>
        <v>2.4887701833191489E-3</v>
      </c>
      <c r="BX29" s="2" vm="1175">
        <f ca="1"/>
        <v>296.86</v>
      </c>
      <c r="BY29" s="2">
        <f t="shared" ca="1" si="37"/>
        <v>-2.7881353085423902E-3</v>
      </c>
      <c r="BZ29" s="2" vm="1176">
        <f ca="1"/>
        <v>98.64</v>
      </c>
      <c r="CA29" s="2">
        <f t="shared" ca="1" si="38"/>
        <v>5.1971874044635189E-3</v>
      </c>
      <c r="CB29" s="2" vm="1177">
        <f ca="1"/>
        <v>31.51</v>
      </c>
      <c r="CC29" s="2">
        <f t="shared" ca="1" si="39"/>
        <v>7.7073139531166086E-3</v>
      </c>
      <c r="CD29" s="2" t="e" vm="92">
        <f ca="1"/>
        <v>#N/A</v>
      </c>
      <c r="CE29" s="2" t="e" vm="140">
        <f t="shared" ca="1" si="40"/>
        <v>#N/A</v>
      </c>
      <c r="CF29" s="2" vm="1106">
        <f ca="1"/>
        <v>22.61</v>
      </c>
      <c r="CG29" s="2">
        <f t="shared" ca="1" si="41"/>
        <v>4.4247787610610665E-4</v>
      </c>
      <c r="CH29" s="2" vm="1178">
        <f ca="1"/>
        <v>58.15</v>
      </c>
      <c r="CI29" s="2">
        <f t="shared" ca="1" si="42"/>
        <v>-1.3738622703073724E-3</v>
      </c>
      <c r="CJ29" s="2" vm="1179">
        <f ca="1"/>
        <v>58.21</v>
      </c>
      <c r="CK29" s="2">
        <f t="shared" ca="1" si="43"/>
        <v>-1.0296893770379658E-3</v>
      </c>
      <c r="CL29" s="2" vm="1180">
        <f ca="1"/>
        <v>56.96</v>
      </c>
      <c r="CM29" s="2">
        <f t="shared" ca="1" si="44"/>
        <v>4.9400141143260612E-3</v>
      </c>
      <c r="CN29" s="2" vm="943">
        <f ca="1"/>
        <v>28.95</v>
      </c>
      <c r="CO29" s="2">
        <f t="shared" ca="1" si="45"/>
        <v>-6.9036934760095185E-4</v>
      </c>
      <c r="CP29" s="2" vm="1181">
        <f ca="1"/>
        <v>22.910799999999998</v>
      </c>
      <c r="CQ29" s="2">
        <f t="shared" ca="1" si="46"/>
        <v>-9.9006477988237852E-3</v>
      </c>
    </row>
    <row r="30" spans="1:95" x14ac:dyDescent="0.2">
      <c r="A30" s="7" vm="1182">
        <f ca="1"/>
        <v>45611</v>
      </c>
      <c r="B30" s="2" vm="1183">
        <f ca="1"/>
        <v>225</v>
      </c>
      <c r="C30" s="2">
        <f t="shared" ca="1" si="0"/>
        <v>-1.4109192884059237E-2</v>
      </c>
      <c r="D30" s="2" vm="1184">
        <f ca="1"/>
        <v>141.97999999999999</v>
      </c>
      <c r="E30" s="2">
        <f t="shared" ca="1" si="1"/>
        <v>-3.2570182611065694E-2</v>
      </c>
      <c r="F30" s="2" vm="1185">
        <f ca="1"/>
        <v>415</v>
      </c>
      <c r="G30" s="2">
        <f t="shared" ca="1" si="2"/>
        <v>-2.7852608400290441E-2</v>
      </c>
      <c r="H30" s="2" vm="1186">
        <f ca="1"/>
        <v>554.08000000000004</v>
      </c>
      <c r="I30" s="2">
        <f t="shared" ca="1" si="3"/>
        <v>-3.9988911220458674E-2</v>
      </c>
      <c r="J30" s="2" vm="1187">
        <f ca="1"/>
        <v>172.49</v>
      </c>
      <c r="K30" s="2">
        <f t="shared" ca="1" si="4"/>
        <v>-1.7598815354824032E-2</v>
      </c>
      <c r="L30" s="2" vm="1188">
        <f ca="1"/>
        <v>585.75</v>
      </c>
      <c r="M30" s="2">
        <f t="shared" ca="1" si="5"/>
        <v>-1.2808628971096355E-2</v>
      </c>
      <c r="N30" s="2" vm="1189">
        <f ca="1"/>
        <v>90.08</v>
      </c>
      <c r="O30" s="2">
        <f t="shared" ca="1" si="6"/>
        <v>-2.6572187776793058E-3</v>
      </c>
      <c r="P30" s="2" vm="1190">
        <f ca="1"/>
        <v>236.59</v>
      </c>
      <c r="Q30" s="2">
        <f t="shared" ca="1" si="7"/>
        <v>-1.7720771275473082E-3</v>
      </c>
      <c r="R30" s="2" vm="1191">
        <f ca="1"/>
        <v>69.75</v>
      </c>
      <c r="S30" s="2">
        <f t="shared" ca="1" si="8"/>
        <v>-2.160190770093991E-2</v>
      </c>
      <c r="T30" s="2" vm="1192">
        <f ca="1"/>
        <v>93.32</v>
      </c>
      <c r="U30" s="2">
        <f t="shared" ca="1" si="9"/>
        <v>4.2881646655223028E-4</v>
      </c>
      <c r="V30" s="2" vm="1193">
        <f ca="1"/>
        <v>47.17</v>
      </c>
      <c r="W30" s="2">
        <f t="shared" ca="1" si="10"/>
        <v>-2.1195421788889381E-4</v>
      </c>
      <c r="X30" s="2" vm="1194">
        <f ca="1"/>
        <v>163.63</v>
      </c>
      <c r="Y30" s="2">
        <f t="shared" ca="1" si="11"/>
        <v>-4.1385186537642674E-3</v>
      </c>
      <c r="Z30" s="2" vm="1195">
        <f ca="1"/>
        <v>94.73</v>
      </c>
      <c r="AA30" s="2">
        <f t="shared" ca="1" si="12"/>
        <v>-1.4757035943923323E-3</v>
      </c>
      <c r="AB30" s="2" vm="1196">
        <f ca="1"/>
        <v>13.89</v>
      </c>
      <c r="AC30" s="2">
        <f t="shared" ca="1" si="13"/>
        <v>-2.183098591549287E-2</v>
      </c>
      <c r="AD30" s="2" vm="1197">
        <f ca="1"/>
        <v>4.3</v>
      </c>
      <c r="AE30" s="2">
        <f t="shared" ca="1" si="14"/>
        <v>0.48275862068965514</v>
      </c>
      <c r="AF30" s="2" vm="1198">
        <f ca="1"/>
        <v>27.57</v>
      </c>
      <c r="AG30" s="2">
        <f t="shared" ca="1" si="15"/>
        <v>-8.6299892125134281E-3</v>
      </c>
      <c r="AH30" s="2" vm="1199">
        <f ca="1"/>
        <v>26</v>
      </c>
      <c r="AI30" s="2">
        <f t="shared" ca="1" si="16"/>
        <v>4.2487446890691165E-3</v>
      </c>
      <c r="AJ30" s="2" vm="1200">
        <f ca="1"/>
        <v>4.84</v>
      </c>
      <c r="AK30" s="2">
        <f t="shared" ca="1" si="17"/>
        <v>8.3333333333333419E-3</v>
      </c>
      <c r="AL30" s="2" vm="1201">
        <f ca="1"/>
        <v>50.76</v>
      </c>
      <c r="AM30" s="2">
        <f t="shared" ca="1" si="18"/>
        <v>-1.7699115044248457E-3</v>
      </c>
      <c r="AN30" s="2" vm="1202">
        <f ca="1"/>
        <v>86.08</v>
      </c>
      <c r="AO30" s="2">
        <f t="shared" ca="1" si="19"/>
        <v>4.649000464899121E-4</v>
      </c>
      <c r="AP30" s="2" vm="1161">
        <f ca="1"/>
        <v>26.1</v>
      </c>
      <c r="AQ30" s="2">
        <f t="shared" ca="1" si="20"/>
        <v>0</v>
      </c>
      <c r="AR30" s="2" vm="422">
        <f ca="1"/>
        <v>50.96</v>
      </c>
      <c r="AS30" s="2">
        <f t="shared" ca="1" si="21"/>
        <v>1.9627085377817488E-4</v>
      </c>
      <c r="AT30" s="2" vm="885">
        <f ca="1"/>
        <v>29.02</v>
      </c>
      <c r="AU30" s="2">
        <f t="shared" ca="1" si="22"/>
        <v>1.0348395998620607E-3</v>
      </c>
      <c r="AV30" s="2" vm="1203">
        <f ca="1"/>
        <v>26.84</v>
      </c>
      <c r="AW30" s="2">
        <f t="shared" ca="1" si="23"/>
        <v>-2.9717682020803061E-3</v>
      </c>
      <c r="AX30" s="2" vm="1204">
        <f ca="1"/>
        <v>91.63</v>
      </c>
      <c r="AY30" s="2">
        <f t="shared" ca="1" si="24"/>
        <v>3.2751091703058009E-4</v>
      </c>
      <c r="AZ30" s="2" vm="1205">
        <f ca="1"/>
        <v>470.28</v>
      </c>
      <c r="BA30" s="2">
        <f t="shared" ca="1" si="25"/>
        <v>5.5163566388710377E-3</v>
      </c>
      <c r="BB30" s="2" vm="1206">
        <f ca="1"/>
        <v>245.31</v>
      </c>
      <c r="BC30" s="2">
        <f t="shared" ca="1" si="26"/>
        <v>1.4222516227725628E-2</v>
      </c>
      <c r="BD30" s="2" vm="1207">
        <f ca="1"/>
        <v>46.75</v>
      </c>
      <c r="BE30" s="2">
        <f t="shared" ca="1" si="27"/>
        <v>1.8518518518518549E-2</v>
      </c>
      <c r="BF30" s="2" vm="1208">
        <f ca="1"/>
        <v>119.31</v>
      </c>
      <c r="BG30" s="2">
        <f t="shared" ca="1" si="28"/>
        <v>-1.0368281353682814E-2</v>
      </c>
      <c r="BH30" s="2" vm="1209">
        <f ca="1"/>
        <v>161.41999999999999</v>
      </c>
      <c r="BI30" s="2">
        <f t="shared" ca="1" si="29"/>
        <v>-2.3485784919655369E-3</v>
      </c>
      <c r="BJ30" s="2" vm="1210">
        <f ca="1"/>
        <v>154</v>
      </c>
      <c r="BK30" s="2">
        <f t="shared" ca="1" si="30"/>
        <v>1.4025153091459771E-2</v>
      </c>
      <c r="BL30" s="2" vm="1211">
        <f ca="1"/>
        <v>61.74</v>
      </c>
      <c r="BM30" s="2">
        <f t="shared" ca="1" si="31"/>
        <v>-1.2949640287769707E-2</v>
      </c>
      <c r="BN30" s="2" vm="1212">
        <f ca="1"/>
        <v>292.63</v>
      </c>
      <c r="BO30" s="2">
        <f t="shared" ca="1" si="32"/>
        <v>-1.9862004287245466E-2</v>
      </c>
      <c r="BP30" s="2" vm="1213">
        <f ca="1"/>
        <v>115.08</v>
      </c>
      <c r="BQ30" s="2">
        <f t="shared" ca="1" si="33"/>
        <v>5.4618768328445685E-2</v>
      </c>
      <c r="BR30" s="2" vm="1214">
        <f ca="1"/>
        <v>823.96</v>
      </c>
      <c r="BS30" s="2">
        <f t="shared" ca="1" si="34"/>
        <v>-1.5885149177077555E-2</v>
      </c>
      <c r="BT30" s="2" vm="435">
        <f ca="1"/>
        <v>169.54</v>
      </c>
      <c r="BU30" s="2">
        <f t="shared" ca="1" si="35"/>
        <v>1.4723485755326665E-2</v>
      </c>
      <c r="BV30" s="2" vm="1215">
        <f ca="1"/>
        <v>158.62</v>
      </c>
      <c r="BW30" s="2">
        <f t="shared" ca="1" si="36"/>
        <v>-3.9539812291855894E-2</v>
      </c>
      <c r="BX30" s="2" vm="1216">
        <f ca="1"/>
        <v>292.10000000000002</v>
      </c>
      <c r="BY30" s="2">
        <f t="shared" ca="1" si="37"/>
        <v>-1.6034494374452573E-2</v>
      </c>
      <c r="BZ30" s="2" vm="1217">
        <f ca="1"/>
        <v>97.96</v>
      </c>
      <c r="CA30" s="2">
        <f t="shared" ca="1" si="38"/>
        <v>-6.89375506893762E-3</v>
      </c>
      <c r="CB30" s="2" vm="1218">
        <f ca="1"/>
        <v>31.2</v>
      </c>
      <c r="CC30" s="2">
        <f t="shared" ca="1" si="39"/>
        <v>-9.8381466201206691E-3</v>
      </c>
      <c r="CD30" s="2" t="e" vm="92">
        <f ca="1"/>
        <v>#N/A</v>
      </c>
      <c r="CE30" s="2" t="e" vm="140">
        <f t="shared" ca="1" si="40"/>
        <v>#N/A</v>
      </c>
      <c r="CF30" s="2" vm="1219">
        <f ca="1"/>
        <v>22.614999999999998</v>
      </c>
      <c r="CG30" s="2">
        <f t="shared" ca="1" si="41"/>
        <v>2.2114108801410905E-4</v>
      </c>
      <c r="CH30" s="2" vm="1220">
        <f ca="1"/>
        <v>58.22</v>
      </c>
      <c r="CI30" s="2">
        <f t="shared" ca="1" si="42"/>
        <v>1.2037833190025845E-3</v>
      </c>
      <c r="CJ30" s="2" vm="1221">
        <f ca="1"/>
        <v>58.29</v>
      </c>
      <c r="CK30" s="2">
        <f t="shared" ca="1" si="43"/>
        <v>1.3743343068201048E-3</v>
      </c>
      <c r="CL30" s="2" vm="1222">
        <f ca="1"/>
        <v>56.82</v>
      </c>
      <c r="CM30" s="2">
        <f t="shared" ca="1" si="44"/>
        <v>-2.4578651685393357E-3</v>
      </c>
      <c r="CN30" s="2" vm="1090">
        <f ca="1"/>
        <v>28.97</v>
      </c>
      <c r="CO30" s="2">
        <f t="shared" ca="1" si="45"/>
        <v>6.9084628670119431E-4</v>
      </c>
      <c r="CP30" s="2" vm="1223">
        <f ca="1"/>
        <v>23.014199999999999</v>
      </c>
      <c r="CQ30" s="2">
        <f t="shared" ca="1" si="46"/>
        <v>4.513155367774177E-3</v>
      </c>
    </row>
    <row r="31" spans="1:95" x14ac:dyDescent="0.2">
      <c r="A31" s="7" vm="1224">
        <f ca="1"/>
        <v>45614</v>
      </c>
      <c r="B31" s="2" vm="1225">
        <f ca="1"/>
        <v>228.02</v>
      </c>
      <c r="C31" s="2">
        <f t="shared" ca="1" si="0"/>
        <v>1.3422222222222268E-2</v>
      </c>
      <c r="D31" s="2" vm="1226">
        <f ca="1"/>
        <v>140.15</v>
      </c>
      <c r="E31" s="2">
        <f t="shared" ca="1" si="1"/>
        <v>-1.2889139315396423E-2</v>
      </c>
      <c r="F31" s="2" vm="1227">
        <f ca="1"/>
        <v>415.76</v>
      </c>
      <c r="G31" s="2">
        <f t="shared" ca="1" si="2"/>
        <v>1.8313253012047974E-3</v>
      </c>
      <c r="H31" s="2" vm="1228">
        <f ca="1"/>
        <v>554.4</v>
      </c>
      <c r="I31" s="2">
        <f t="shared" ca="1" si="3"/>
        <v>5.7753393011827946E-4</v>
      </c>
      <c r="J31" s="2" vm="1229">
        <f ca="1"/>
        <v>175.3</v>
      </c>
      <c r="K31" s="2">
        <f t="shared" ca="1" si="4"/>
        <v>1.6290799466635759E-2</v>
      </c>
      <c r="L31" s="2" vm="1230">
        <f ca="1"/>
        <v>588.15</v>
      </c>
      <c r="M31" s="2">
        <f t="shared" ca="1" si="5"/>
        <v>4.0973111395646222E-3</v>
      </c>
      <c r="N31" s="2" vm="815">
        <f ca="1"/>
        <v>90.24</v>
      </c>
      <c r="O31" s="2">
        <f t="shared" ca="1" si="6"/>
        <v>1.7761989342806016E-3</v>
      </c>
      <c r="P31" s="2" vm="1231">
        <f ca="1"/>
        <v>241.09</v>
      </c>
      <c r="Q31" s="2">
        <f t="shared" ca="1" si="7"/>
        <v>1.9020245995181536E-2</v>
      </c>
      <c r="R31" s="2" vm="1232">
        <f ca="1"/>
        <v>72.069999999999993</v>
      </c>
      <c r="S31" s="2">
        <f t="shared" ca="1" si="8"/>
        <v>3.3261648745519616E-2</v>
      </c>
      <c r="T31" s="2" vm="507">
        <f ca="1"/>
        <v>93.53</v>
      </c>
      <c r="U31" s="2">
        <f t="shared" ca="1" si="9"/>
        <v>2.2503214744964421E-3</v>
      </c>
      <c r="V31" s="2" vm="1233">
        <f ca="1"/>
        <v>47.215000000000003</v>
      </c>
      <c r="W31" s="2">
        <f t="shared" ca="1" si="10"/>
        <v>9.539961840153001E-4</v>
      </c>
      <c r="X31" s="2" vm="1154">
        <f ca="1"/>
        <v>164.31</v>
      </c>
      <c r="Y31" s="2">
        <f t="shared" ca="1" si="11"/>
        <v>4.1557171667787503E-3</v>
      </c>
      <c r="Z31" s="2" vm="1234">
        <f ca="1"/>
        <v>95.99</v>
      </c>
      <c r="AA31" s="2">
        <f t="shared" ca="1" si="12"/>
        <v>1.3300960624933926E-2</v>
      </c>
      <c r="AB31" s="2" vm="1235">
        <f ca="1"/>
        <v>14.36</v>
      </c>
      <c r="AC31" s="2">
        <f t="shared" ca="1" si="13"/>
        <v>3.3837293016558592E-2</v>
      </c>
      <c r="AD31" s="2" vm="1236">
        <f ca="1"/>
        <v>4.4000000000000004</v>
      </c>
      <c r="AE31" s="2">
        <f t="shared" ca="1" si="14"/>
        <v>2.3255813953488497E-2</v>
      </c>
      <c r="AF31" s="2" vm="115">
        <f ca="1"/>
        <v>28.38</v>
      </c>
      <c r="AG31" s="2">
        <f t="shared" ca="1" si="15"/>
        <v>2.9379760609357951E-2</v>
      </c>
      <c r="AH31" s="2" vm="1237">
        <f ca="1"/>
        <v>26.08</v>
      </c>
      <c r="AI31" s="2">
        <f t="shared" ca="1" si="16"/>
        <v>3.0769230769230114E-3</v>
      </c>
      <c r="AJ31" s="2" vm="1238">
        <f ca="1"/>
        <v>4.93</v>
      </c>
      <c r="AK31" s="2">
        <f t="shared" ca="1" si="17"/>
        <v>1.8595041322314022E-2</v>
      </c>
      <c r="AL31" s="2" vm="1239">
        <f ca="1"/>
        <v>51.72</v>
      </c>
      <c r="AM31" s="2">
        <f t="shared" ca="1" si="18"/>
        <v>1.891252955082744E-2</v>
      </c>
      <c r="AN31" s="2" vm="1240">
        <f ca="1"/>
        <v>88.64</v>
      </c>
      <c r="AO31" s="2">
        <f t="shared" ca="1" si="19"/>
        <v>2.9739776951672889E-2</v>
      </c>
      <c r="AP31" s="2" vm="1241">
        <f ca="1"/>
        <v>26.15</v>
      </c>
      <c r="AQ31" s="2">
        <f t="shared" ca="1" si="20"/>
        <v>1.9157088122604274E-3</v>
      </c>
      <c r="AR31" s="2" vm="466">
        <f ca="1"/>
        <v>50.98</v>
      </c>
      <c r="AS31" s="2">
        <f t="shared" ca="1" si="21"/>
        <v>3.924646781788858E-4</v>
      </c>
      <c r="AT31" s="2" vm="885">
        <f ca="1"/>
        <v>29.02</v>
      </c>
      <c r="AU31" s="2">
        <f t="shared" ca="1" si="22"/>
        <v>0</v>
      </c>
      <c r="AV31" s="2" vm="1242">
        <f ca="1"/>
        <v>26.9</v>
      </c>
      <c r="AW31" s="2">
        <f t="shared" ca="1" si="23"/>
        <v>2.235469448584155E-3</v>
      </c>
      <c r="AX31" s="2" vm="341">
        <f ca="1"/>
        <v>91.64</v>
      </c>
      <c r="AY31" s="2">
        <f t="shared" ca="1" si="24"/>
        <v>1.0913456291613135E-4</v>
      </c>
      <c r="AZ31" s="2" vm="1243">
        <f ca="1"/>
        <v>472.2</v>
      </c>
      <c r="BA31" s="2">
        <f t="shared" ca="1" si="25"/>
        <v>4.0826741515693123E-3</v>
      </c>
      <c r="BB31" s="2" vm="1244">
        <f ca="1"/>
        <v>245.03</v>
      </c>
      <c r="BC31" s="2">
        <f t="shared" ca="1" si="26"/>
        <v>-1.1414129061187931E-3</v>
      </c>
      <c r="BD31" s="2" vm="1245">
        <f ca="1"/>
        <v>46.72</v>
      </c>
      <c r="BE31" s="2">
        <f t="shared" ca="1" si="27"/>
        <v>-6.4171122994654834E-4</v>
      </c>
      <c r="BF31" s="2" vm="1246">
        <f ca="1"/>
        <v>120.31</v>
      </c>
      <c r="BG31" s="2">
        <f t="shared" ca="1" si="28"/>
        <v>8.3815271142402142E-3</v>
      </c>
      <c r="BH31" s="2" vm="1247">
        <f ca="1"/>
        <v>160.76</v>
      </c>
      <c r="BI31" s="2">
        <f t="shared" ca="1" si="29"/>
        <v>-4.088712675009272E-3</v>
      </c>
      <c r="BJ31" s="2" vm="1248">
        <f ca="1"/>
        <v>154.77000000000001</v>
      </c>
      <c r="BK31" s="2">
        <f t="shared" ca="1" si="30"/>
        <v>5.000000000000066E-3</v>
      </c>
      <c r="BL31" s="2" vm="1249">
        <f ca="1"/>
        <v>61.86</v>
      </c>
      <c r="BM31" s="2">
        <f t="shared" ca="1" si="31"/>
        <v>1.9436345966957797E-3</v>
      </c>
      <c r="BN31" s="2" vm="1250">
        <f ca="1"/>
        <v>291.10000000000002</v>
      </c>
      <c r="BO31" s="2">
        <f t="shared" ca="1" si="32"/>
        <v>-5.228445477223705E-3</v>
      </c>
      <c r="BP31" s="2" vm="1251">
        <f ca="1"/>
        <v>113.54</v>
      </c>
      <c r="BQ31" s="2">
        <f t="shared" ca="1" si="33"/>
        <v>-1.3381995133819883E-2</v>
      </c>
      <c r="BR31" s="2" vm="1252">
        <f ca="1"/>
        <v>847.05</v>
      </c>
      <c r="BS31" s="2">
        <f t="shared" ca="1" si="34"/>
        <v>2.802320500995184E-2</v>
      </c>
      <c r="BT31" s="2" vm="1253">
        <f ca="1"/>
        <v>170.75</v>
      </c>
      <c r="BU31" s="2">
        <f t="shared" ca="1" si="35"/>
        <v>7.1369588297747321E-3</v>
      </c>
      <c r="BV31" s="2" vm="1254">
        <f ca="1"/>
        <v>158.33000000000001</v>
      </c>
      <c r="BW31" s="2">
        <f t="shared" ca="1" si="36"/>
        <v>-1.8282688185600304E-3</v>
      </c>
      <c r="BX31" s="2" vm="1255">
        <f ca="1"/>
        <v>295.48</v>
      </c>
      <c r="BY31" s="2">
        <f t="shared" ca="1" si="37"/>
        <v>1.1571379664498444E-2</v>
      </c>
      <c r="BZ31" s="2" vm="1256">
        <f ca="1"/>
        <v>99.73</v>
      </c>
      <c r="CA31" s="2">
        <f t="shared" ca="1" si="38"/>
        <v>1.8068599428338203E-2</v>
      </c>
      <c r="CB31" s="2" vm="1257">
        <f ca="1"/>
        <v>31.880199999999999</v>
      </c>
      <c r="CC31" s="2">
        <f t="shared" ca="1" si="39"/>
        <v>2.1801282051282029E-2</v>
      </c>
      <c r="CD31" s="2" t="e" vm="92">
        <f ca="1"/>
        <v>#N/A</v>
      </c>
      <c r="CE31" s="2" t="e" vm="140">
        <f t="shared" ca="1" si="40"/>
        <v>#N/A</v>
      </c>
      <c r="CF31" s="2" vm="1258">
        <f ca="1"/>
        <v>22.64</v>
      </c>
      <c r="CG31" s="2">
        <f t="shared" ca="1" si="41"/>
        <v>1.1054609772275983E-3</v>
      </c>
      <c r="CH31" s="2" vm="903">
        <f ca="1"/>
        <v>58.25</v>
      </c>
      <c r="CI31" s="2">
        <f t="shared" ca="1" si="42"/>
        <v>5.1528684300929475E-4</v>
      </c>
      <c r="CJ31" s="2" vm="1259">
        <f ca="1"/>
        <v>58.37</v>
      </c>
      <c r="CK31" s="2">
        <f t="shared" ca="1" si="43"/>
        <v>1.3724481043060268E-3</v>
      </c>
      <c r="CL31" s="2" vm="1260">
        <f ca="1"/>
        <v>56.93</v>
      </c>
      <c r="CM31" s="2">
        <f t="shared" ca="1" si="44"/>
        <v>1.9359380499823905E-3</v>
      </c>
      <c r="CN31" s="2" vm="800">
        <f ca="1"/>
        <v>29.01</v>
      </c>
      <c r="CO31" s="2">
        <f t="shared" ca="1" si="45"/>
        <v>1.3807386952020262E-3</v>
      </c>
      <c r="CP31" s="2" vm="1261">
        <f ca="1"/>
        <v>23.1599</v>
      </c>
      <c r="CQ31" s="2">
        <f t="shared" ca="1" si="46"/>
        <v>6.3308739821502161E-3</v>
      </c>
    </row>
    <row r="32" spans="1:95" x14ac:dyDescent="0.2">
      <c r="A32" s="7" vm="1262">
        <f ca="1"/>
        <v>45615</v>
      </c>
      <c r="B32" s="2" vm="1263">
        <f ca="1"/>
        <v>228.28</v>
      </c>
      <c r="C32" s="2">
        <f t="shared" ca="1" si="0"/>
        <v>1.1402508551881015E-3</v>
      </c>
      <c r="D32" s="2" vm="1264">
        <f ca="1"/>
        <v>147.01</v>
      </c>
      <c r="E32" s="2">
        <f t="shared" ca="1" si="1"/>
        <v>4.8947556189796536E-2</v>
      </c>
      <c r="F32" s="2" vm="1265">
        <f ca="1"/>
        <v>417.79</v>
      </c>
      <c r="G32" s="2">
        <f t="shared" ca="1" si="2"/>
        <v>4.8826245911103268E-3</v>
      </c>
      <c r="H32" s="2" vm="1266">
        <f ca="1"/>
        <v>561.09</v>
      </c>
      <c r="I32" s="2">
        <f t="shared" ca="1" si="3"/>
        <v>1.2067099567099665E-2</v>
      </c>
      <c r="J32" s="2" vm="1267">
        <f ca="1"/>
        <v>178.12</v>
      </c>
      <c r="K32" s="2">
        <f t="shared" ca="1" si="4"/>
        <v>1.6086708499714733E-2</v>
      </c>
      <c r="L32" s="2" vm="1268">
        <f ca="1"/>
        <v>590.29999999999995</v>
      </c>
      <c r="M32" s="2">
        <f t="shared" ca="1" si="5"/>
        <v>3.6555300518574807E-3</v>
      </c>
      <c r="N32" s="2" vm="1269">
        <f ca="1"/>
        <v>90.7</v>
      </c>
      <c r="O32" s="2">
        <f t="shared" ca="1" si="6"/>
        <v>5.0975177304965428E-3</v>
      </c>
      <c r="P32" s="2" vm="1270">
        <f ca="1"/>
        <v>243.25</v>
      </c>
      <c r="Q32" s="2">
        <f t="shared" ca="1" si="7"/>
        <v>8.9593098013189959E-3</v>
      </c>
      <c r="R32" s="2" vm="1271">
        <f ca="1"/>
        <v>72.31</v>
      </c>
      <c r="S32" s="2">
        <f t="shared" ca="1" si="8"/>
        <v>3.3300957402526586E-3</v>
      </c>
      <c r="T32" s="2" vm="1272">
        <f ca="1"/>
        <v>93.73</v>
      </c>
      <c r="U32" s="2">
        <f t="shared" ca="1" si="9"/>
        <v>2.138351331123734E-3</v>
      </c>
      <c r="V32" s="2" vm="1273">
        <f ca="1"/>
        <v>47.28</v>
      </c>
      <c r="W32" s="2">
        <f t="shared" ca="1" si="10"/>
        <v>1.376681139468341E-3</v>
      </c>
      <c r="X32" s="2" vm="1274">
        <f ca="1"/>
        <v>168.25</v>
      </c>
      <c r="Y32" s="2">
        <f t="shared" ca="1" si="11"/>
        <v>2.3979063964457415E-2</v>
      </c>
      <c r="Z32" s="2" vm="1275">
        <f ca="1"/>
        <v>95.38</v>
      </c>
      <c r="AA32" s="2">
        <f t="shared" ca="1" si="12"/>
        <v>-6.3548286279820759E-3</v>
      </c>
      <c r="AB32" s="2" vm="289">
        <f ca="1"/>
        <v>14.41</v>
      </c>
      <c r="AC32" s="2">
        <f t="shared" ca="1" si="13"/>
        <v>3.4818941504178771E-3</v>
      </c>
      <c r="AD32" s="2" vm="1276">
        <f ca="1"/>
        <v>4.8</v>
      </c>
      <c r="AE32" s="2">
        <f t="shared" ca="1" si="14"/>
        <v>9.0909090909090787E-2</v>
      </c>
      <c r="AF32" s="2" vm="1277">
        <f ca="1"/>
        <v>28.5</v>
      </c>
      <c r="AG32" s="2">
        <f t="shared" ca="1" si="15"/>
        <v>4.2283298097251934E-3</v>
      </c>
      <c r="AH32" s="2" vm="1278">
        <f ca="1"/>
        <v>26.22</v>
      </c>
      <c r="AI32" s="2">
        <f t="shared" ca="1" si="16"/>
        <v>5.3680981595092244E-3</v>
      </c>
      <c r="AJ32" s="2" vm="1279">
        <f ca="1"/>
        <v>4.95</v>
      </c>
      <c r="AK32" s="2">
        <f t="shared" ca="1" si="17"/>
        <v>4.0567951318459354E-3</v>
      </c>
      <c r="AL32" s="2" vm="1280">
        <f ca="1"/>
        <v>52.18</v>
      </c>
      <c r="AM32" s="2">
        <f t="shared" ca="1" si="18"/>
        <v>8.8940448569219035E-3</v>
      </c>
      <c r="AN32" s="2" vm="1281">
        <f ca="1"/>
        <v>89.16</v>
      </c>
      <c r="AO32" s="2">
        <f t="shared" ca="1" si="19"/>
        <v>5.8664259927797384E-3</v>
      </c>
      <c r="AP32" s="2" vm="842">
        <f ca="1"/>
        <v>26.21</v>
      </c>
      <c r="AQ32" s="2">
        <f t="shared" ca="1" si="20"/>
        <v>2.2944550669216934E-3</v>
      </c>
      <c r="AR32" s="2" vm="509">
        <f ca="1"/>
        <v>50.99</v>
      </c>
      <c r="AS32" s="2">
        <f t="shared" ca="1" si="21"/>
        <v>1.9615535504129299E-4</v>
      </c>
      <c r="AT32" s="2" vm="966">
        <f ca="1"/>
        <v>29.03</v>
      </c>
      <c r="AU32" s="2">
        <f t="shared" ca="1" si="22"/>
        <v>3.4458993797386505E-4</v>
      </c>
      <c r="AV32" s="2" vm="1282">
        <f ca="1"/>
        <v>27.02</v>
      </c>
      <c r="AW32" s="2">
        <f t="shared" ca="1" si="23"/>
        <v>4.4609665427509668E-3</v>
      </c>
      <c r="AX32" s="2" vm="382">
        <f ca="1"/>
        <v>91.67</v>
      </c>
      <c r="AY32" s="2">
        <f t="shared" ca="1" si="24"/>
        <v>3.2736796158883824E-4</v>
      </c>
      <c r="AZ32" s="2" vm="1283">
        <f ca="1"/>
        <v>468.86</v>
      </c>
      <c r="BA32" s="2">
        <f t="shared" ca="1" si="25"/>
        <v>-7.073274036425191E-3</v>
      </c>
      <c r="BB32" s="2" vm="1284">
        <f ca="1"/>
        <v>243.09</v>
      </c>
      <c r="BC32" s="2">
        <f t="shared" ca="1" si="26"/>
        <v>-7.9173978696486045E-3</v>
      </c>
      <c r="BD32" s="2" vm="1285">
        <f ca="1"/>
        <v>46.41</v>
      </c>
      <c r="BE32" s="2">
        <f t="shared" ca="1" si="27"/>
        <v>-6.6352739726027888E-3</v>
      </c>
      <c r="BF32" s="2" vm="1286">
        <f ca="1"/>
        <v>118.63</v>
      </c>
      <c r="BG32" s="2">
        <f t="shared" ca="1" si="28"/>
        <v>-1.396392652314859E-2</v>
      </c>
      <c r="BH32" s="2" vm="1287">
        <f ca="1"/>
        <v>159.6</v>
      </c>
      <c r="BI32" s="2">
        <f t="shared" ca="1" si="29"/>
        <v>-7.2157253048021688E-3</v>
      </c>
      <c r="BJ32" s="2" vm="1288">
        <f ca="1"/>
        <v>153</v>
      </c>
      <c r="BK32" s="2">
        <f t="shared" ca="1" si="30"/>
        <v>-1.1436324869160755E-2</v>
      </c>
      <c r="BL32" s="2" vm="1289">
        <f ca="1"/>
        <v>62.59</v>
      </c>
      <c r="BM32" s="2">
        <f t="shared" ca="1" si="31"/>
        <v>1.1800840607824183E-2</v>
      </c>
      <c r="BN32" s="2" vm="1290">
        <f ca="1"/>
        <v>290.73</v>
      </c>
      <c r="BO32" s="2">
        <f t="shared" ca="1" si="32"/>
        <v>-1.2710408794228943E-3</v>
      </c>
      <c r="BP32" s="2" vm="1291">
        <f ca="1"/>
        <v>112.42</v>
      </c>
      <c r="BQ32" s="2">
        <f t="shared" ca="1" si="33"/>
        <v>-9.8643649815043557E-3</v>
      </c>
      <c r="BR32" s="2" vm="1292">
        <f ca="1"/>
        <v>871.32</v>
      </c>
      <c r="BS32" s="2">
        <f t="shared" ca="1" si="34"/>
        <v>2.8652381795643819E-2</v>
      </c>
      <c r="BT32" s="2" vm="1293">
        <f ca="1"/>
        <v>170.76</v>
      </c>
      <c r="BU32" s="2">
        <f t="shared" ca="1" si="35"/>
        <v>5.8565153733475283E-5</v>
      </c>
      <c r="BV32" s="2" vm="1294">
        <f ca="1"/>
        <v>156.72</v>
      </c>
      <c r="BW32" s="2">
        <f t="shared" ca="1" si="36"/>
        <v>-1.01686351291607E-2</v>
      </c>
      <c r="BX32" s="2" vm="1295">
        <f ca="1"/>
        <v>293.81</v>
      </c>
      <c r="BY32" s="2">
        <f t="shared" ca="1" si="37"/>
        <v>-5.6518207662109646E-3</v>
      </c>
      <c r="BZ32" s="2" vm="1296">
        <f ca="1"/>
        <v>99.08</v>
      </c>
      <c r="CA32" s="2">
        <f t="shared" ca="1" si="38"/>
        <v>-6.5175975132859285E-3</v>
      </c>
      <c r="CB32" s="2" vm="1297">
        <f ca="1"/>
        <v>31.589600000000001</v>
      </c>
      <c r="CC32" s="2">
        <f t="shared" ca="1" si="39"/>
        <v>-9.1153756877308725E-3</v>
      </c>
      <c r="CD32" s="2" t="e" vm="92">
        <f ca="1"/>
        <v>#N/A</v>
      </c>
      <c r="CE32" s="2" t="e" vm="140">
        <f t="shared" ca="1" si="40"/>
        <v>#N/A</v>
      </c>
      <c r="CF32" s="2" vm="1298">
        <f ca="1"/>
        <v>22.68</v>
      </c>
      <c r="CG32" s="2">
        <f t="shared" ca="1" si="41"/>
        <v>1.766784452296782E-3</v>
      </c>
      <c r="CH32" s="2" vm="1299">
        <f ca="1"/>
        <v>58.26</v>
      </c>
      <c r="CI32" s="2">
        <f t="shared" ca="1" si="42"/>
        <v>1.716738197424551E-4</v>
      </c>
      <c r="CJ32" s="2" vm="1300">
        <f ca="1"/>
        <v>58.44</v>
      </c>
      <c r="CK32" s="2">
        <f t="shared" ca="1" si="43"/>
        <v>1.1992461881103356E-3</v>
      </c>
      <c r="CL32" s="2" vm="1301">
        <f ca="1"/>
        <v>57.18</v>
      </c>
      <c r="CM32" s="2">
        <f t="shared" ca="1" si="44"/>
        <v>4.3913578078341826E-3</v>
      </c>
      <c r="CN32" s="2" vm="1302">
        <f ca="1"/>
        <v>29.07</v>
      </c>
      <c r="CO32" s="2">
        <f t="shared" ca="1" si="45"/>
        <v>2.0682523267838235E-3</v>
      </c>
      <c r="CP32" s="2" vm="1303">
        <f ca="1"/>
        <v>23.223299999999998</v>
      </c>
      <c r="CQ32" s="2">
        <f t="shared" ca="1" si="46"/>
        <v>2.737490230959456E-3</v>
      </c>
    </row>
    <row r="33" spans="1:95" x14ac:dyDescent="0.2">
      <c r="A33" s="7" vm="1304">
        <f ca="1"/>
        <v>45616</v>
      </c>
      <c r="B33" s="2" vm="1305">
        <f ca="1"/>
        <v>229</v>
      </c>
      <c r="C33" s="2">
        <f t="shared" ca="1" si="0"/>
        <v>3.1540213772559963E-3</v>
      </c>
      <c r="D33" s="2" vm="1306">
        <f ca="1"/>
        <v>145.88999999999999</v>
      </c>
      <c r="E33" s="2">
        <f t="shared" ca="1" si="1"/>
        <v>-7.618529351744811E-3</v>
      </c>
      <c r="F33" s="2" vm="1307">
        <f ca="1"/>
        <v>415.49</v>
      </c>
      <c r="G33" s="2">
        <f t="shared" ca="1" si="2"/>
        <v>-5.5051580937791984E-3</v>
      </c>
      <c r="H33" s="2" vm="1308">
        <f ca="1"/>
        <v>565.52</v>
      </c>
      <c r="I33" s="2">
        <f t="shared" ca="1" si="3"/>
        <v>7.8953465575931671E-3</v>
      </c>
      <c r="J33" s="2" vm="1309">
        <f ca="1"/>
        <v>175.98</v>
      </c>
      <c r="K33" s="2">
        <f t="shared" ca="1" si="4"/>
        <v>-1.201437233325856E-2</v>
      </c>
      <c r="L33" s="2" vm="1310">
        <f ca="1"/>
        <v>590.5</v>
      </c>
      <c r="M33" s="2">
        <f t="shared" ca="1" si="5"/>
        <v>3.3881077418269608E-4</v>
      </c>
      <c r="N33" s="2" vm="1311">
        <f ca="1"/>
        <v>90.41</v>
      </c>
      <c r="O33" s="2">
        <f t="shared" ca="1" si="6"/>
        <v>-3.197353914002274E-3</v>
      </c>
      <c r="P33" s="2" vm="1312">
        <f ca="1"/>
        <v>244.62</v>
      </c>
      <c r="Q33" s="2">
        <f t="shared" ca="1" si="7"/>
        <v>5.6320657759506869E-3</v>
      </c>
      <c r="R33" s="2" vm="790">
        <f ca="1"/>
        <v>72.02</v>
      </c>
      <c r="S33" s="2">
        <f t="shared" ca="1" si="8"/>
        <v>-4.010510302862761E-3</v>
      </c>
      <c r="T33" s="2" vm="1313">
        <f ca="1"/>
        <v>93.59</v>
      </c>
      <c r="U33" s="2">
        <f t="shared" ca="1" si="9"/>
        <v>-1.4936519790888783E-3</v>
      </c>
      <c r="V33" s="2" vm="1314">
        <f ca="1"/>
        <v>47</v>
      </c>
      <c r="W33" s="2">
        <f t="shared" ca="1" si="10"/>
        <v>-5.9221658206430015E-3</v>
      </c>
      <c r="X33" s="2" vm="1315">
        <f ca="1"/>
        <v>162.88999999999999</v>
      </c>
      <c r="Y33" s="2">
        <f t="shared" ca="1" si="11"/>
        <v>-3.1857355126300231E-2</v>
      </c>
      <c r="Z33" s="2" vm="1316">
        <f ca="1"/>
        <v>96.34</v>
      </c>
      <c r="AA33" s="2">
        <f t="shared" ca="1" si="12"/>
        <v>1.0065003145313566E-2</v>
      </c>
      <c r="AB33" s="2" vm="1317">
        <f ca="1"/>
        <v>14.34</v>
      </c>
      <c r="AC33" s="2">
        <f t="shared" ca="1" si="13"/>
        <v>-4.8577376821651828E-3</v>
      </c>
      <c r="AD33" s="2" vm="1318">
        <f ca="1"/>
        <v>5.15</v>
      </c>
      <c r="AE33" s="2">
        <f t="shared" ca="1" si="14"/>
        <v>7.2916666666666782E-2</v>
      </c>
      <c r="AF33" s="2" vm="1319">
        <f ca="1"/>
        <v>28.1</v>
      </c>
      <c r="AG33" s="2">
        <f t="shared" ca="1" si="15"/>
        <v>-1.4035087719298196E-2</v>
      </c>
      <c r="AH33" s="2" vm="1320">
        <f ca="1"/>
        <v>26.36</v>
      </c>
      <c r="AI33" s="2">
        <f t="shared" ca="1" si="16"/>
        <v>5.339435545385224E-3</v>
      </c>
      <c r="AJ33" s="2" vm="1321">
        <f ca="1"/>
        <v>4.99</v>
      </c>
      <c r="AK33" s="2">
        <f t="shared" ca="1" si="17"/>
        <v>8.0808080808080877E-3</v>
      </c>
      <c r="AL33" s="2" vm="1322">
        <f ca="1"/>
        <v>52.49</v>
      </c>
      <c r="AM33" s="2">
        <f t="shared" ca="1" si="18"/>
        <v>5.9409735530855171E-3</v>
      </c>
      <c r="AN33" s="2" vm="668">
        <f ca="1"/>
        <v>87.84</v>
      </c>
      <c r="AO33" s="2">
        <f t="shared" ca="1" si="19"/>
        <v>-1.4804845222072602E-2</v>
      </c>
      <c r="AP33" s="2" vm="1323">
        <f ca="1"/>
        <v>26.19</v>
      </c>
      <c r="AQ33" s="2">
        <f t="shared" ca="1" si="20"/>
        <v>-7.6306753147651935E-4</v>
      </c>
      <c r="AR33" s="2" vm="1324">
        <f ca="1"/>
        <v>51.02</v>
      </c>
      <c r="AS33" s="2">
        <f t="shared" ca="1" si="21"/>
        <v>5.8835065699158924E-4</v>
      </c>
      <c r="AT33" s="2" vm="885">
        <f ca="1"/>
        <v>29.02</v>
      </c>
      <c r="AU33" s="2">
        <f t="shared" ca="1" si="22"/>
        <v>-3.4447123665179343E-4</v>
      </c>
      <c r="AV33" s="2" vm="1325">
        <f ca="1"/>
        <v>26.95</v>
      </c>
      <c r="AW33" s="2">
        <f t="shared" ca="1" si="23"/>
        <v>-2.5906735751295442E-3</v>
      </c>
      <c r="AX33" s="2" vm="1326">
        <f ca="1"/>
        <v>91.68</v>
      </c>
      <c r="AY33" s="2">
        <f t="shared" ca="1" si="24"/>
        <v>1.0908694229306334E-4</v>
      </c>
      <c r="AZ33" s="2" vm="1327">
        <f ca="1"/>
        <v>468.83</v>
      </c>
      <c r="BA33" s="2">
        <f t="shared" ca="1" si="25"/>
        <v>-6.3984984856949956E-5</v>
      </c>
      <c r="BB33" s="2" vm="1328">
        <f ca="1"/>
        <v>240.78</v>
      </c>
      <c r="BC33" s="2">
        <f t="shared" ca="1" si="26"/>
        <v>-9.5026533382697852E-3</v>
      </c>
      <c r="BD33" s="2" vm="1329">
        <f ca="1"/>
        <v>46.06</v>
      </c>
      <c r="BE33" s="2">
        <f t="shared" ca="1" si="27"/>
        <v>-7.5414781297133016E-3</v>
      </c>
      <c r="BF33" s="2" vm="1330">
        <f ca="1"/>
        <v>120.32</v>
      </c>
      <c r="BG33" s="2">
        <f t="shared" ca="1" si="28"/>
        <v>1.4245974879878595E-2</v>
      </c>
      <c r="BH33" s="2" vm="1331">
        <f ca="1"/>
        <v>161.33000000000001</v>
      </c>
      <c r="BI33" s="2">
        <f t="shared" ca="1" si="29"/>
        <v>1.0839598997493849E-2</v>
      </c>
      <c r="BJ33" s="2" vm="1332">
        <f ca="1"/>
        <v>153.11000000000001</v>
      </c>
      <c r="BK33" s="2">
        <f t="shared" ca="1" si="30"/>
        <v>7.1895424836610226E-4</v>
      </c>
      <c r="BL33" s="2" vm="1333">
        <f ca="1"/>
        <v>62.99</v>
      </c>
      <c r="BM33" s="2">
        <f t="shared" ca="1" si="31"/>
        <v>6.3907972519571584E-3</v>
      </c>
      <c r="BN33" s="2" vm="1334">
        <f ca="1"/>
        <v>290.91000000000003</v>
      </c>
      <c r="BO33" s="2">
        <f t="shared" ca="1" si="32"/>
        <v>6.1913115261585255E-4</v>
      </c>
      <c r="BP33" s="2" vm="1335">
        <f ca="1"/>
        <v>114.26</v>
      </c>
      <c r="BQ33" s="2">
        <f t="shared" ca="1" si="33"/>
        <v>1.6367194449386259E-2</v>
      </c>
      <c r="BR33" s="2" vm="1336">
        <f ca="1"/>
        <v>883.85</v>
      </c>
      <c r="BS33" s="2">
        <f t="shared" ca="1" si="34"/>
        <v>1.4380480190974581E-2</v>
      </c>
      <c r="BT33" s="2" vm="1337">
        <f ca="1"/>
        <v>170.89</v>
      </c>
      <c r="BU33" s="2">
        <f t="shared" ca="1" si="35"/>
        <v>7.6130241274300454E-4</v>
      </c>
      <c r="BV33" s="2" vm="1338">
        <f ca="1"/>
        <v>158.74</v>
      </c>
      <c r="BW33" s="2">
        <f t="shared" ca="1" si="36"/>
        <v>1.2889229198570764E-2</v>
      </c>
      <c r="BX33" s="2" vm="1339">
        <f ca="1"/>
        <v>297.64999999999998</v>
      </c>
      <c r="BY33" s="2">
        <f t="shared" ca="1" si="37"/>
        <v>1.3069670875735935E-2</v>
      </c>
      <c r="BZ33" s="2" vm="1340">
        <f ca="1"/>
        <v>100.36</v>
      </c>
      <c r="CA33" s="2">
        <f t="shared" ca="1" si="38"/>
        <v>1.2918853451756168E-2</v>
      </c>
      <c r="CB33" s="2" vm="1341">
        <f ca="1"/>
        <v>32.031599999999997</v>
      </c>
      <c r="CC33" s="2">
        <f t="shared" ca="1" si="39"/>
        <v>1.3991946716640813E-2</v>
      </c>
      <c r="CD33" s="2" t="e" vm="92">
        <f ca="1"/>
        <v>#N/A</v>
      </c>
      <c r="CE33" s="2" t="e" vm="140">
        <f t="shared" ca="1" si="40"/>
        <v>#N/A</v>
      </c>
      <c r="CF33" s="2" vm="1342">
        <f ca="1"/>
        <v>22.645</v>
      </c>
      <c r="CG33" s="2">
        <f t="shared" ca="1" si="41"/>
        <v>-1.5432098765432161E-3</v>
      </c>
      <c r="CH33" s="2" vm="1024">
        <f ca="1"/>
        <v>58.24</v>
      </c>
      <c r="CI33" s="2">
        <f t="shared" ca="1" si="42"/>
        <v>-3.4328870580151085E-4</v>
      </c>
      <c r="CJ33" s="2" vm="1343">
        <f ca="1"/>
        <v>58.38</v>
      </c>
      <c r="CK33" s="2">
        <f t="shared" ca="1" si="43"/>
        <v>-1.0266940451744554E-3</v>
      </c>
      <c r="CL33" s="2" vm="1344">
        <f ca="1"/>
        <v>57.03</v>
      </c>
      <c r="CM33" s="2">
        <f t="shared" ca="1" si="44"/>
        <v>-2.6232948583420528E-3</v>
      </c>
      <c r="CN33" s="2" vm="1345">
        <f ca="1"/>
        <v>29</v>
      </c>
      <c r="CO33" s="2">
        <f t="shared" ca="1" si="45"/>
        <v>-2.4079807361541204E-3</v>
      </c>
      <c r="CP33" s="2" vm="1346">
        <f ca="1"/>
        <v>23.28</v>
      </c>
      <c r="CQ33" s="2">
        <f t="shared" ca="1" si="46"/>
        <v>2.4415134799965063E-3</v>
      </c>
    </row>
    <row r="34" spans="1:95" x14ac:dyDescent="0.2">
      <c r="A34" s="7" vm="1347">
        <f ca="1"/>
        <v>45617</v>
      </c>
      <c r="B34" s="2" vm="1348">
        <f ca="1"/>
        <v>228.52</v>
      </c>
      <c r="C34" s="2">
        <f t="shared" ca="1" si="0"/>
        <v>-2.0960698689955885E-3</v>
      </c>
      <c r="D34" s="2" vm="1349">
        <f ca="1"/>
        <v>146.66999999999999</v>
      </c>
      <c r="E34" s="2">
        <f t="shared" ca="1" si="1"/>
        <v>5.346493933785737E-3</v>
      </c>
      <c r="F34" s="2" vm="1350">
        <f ca="1"/>
        <v>412.87</v>
      </c>
      <c r="G34" s="2">
        <f t="shared" ca="1" si="2"/>
        <v>-6.3058076006642866E-3</v>
      </c>
      <c r="H34" s="2" vm="1351">
        <f ca="1"/>
        <v>563.09</v>
      </c>
      <c r="I34" s="2">
        <f t="shared" ca="1" si="3"/>
        <v>-4.2969302588766979E-3</v>
      </c>
      <c r="J34" s="2" vm="1352">
        <f ca="1"/>
        <v>167.63</v>
      </c>
      <c r="K34" s="2">
        <f t="shared" ca="1" si="4"/>
        <v>-4.7448573701556966E-2</v>
      </c>
      <c r="L34" s="2" vm="1353">
        <f ca="1"/>
        <v>593.66999999999996</v>
      </c>
      <c r="M34" s="2">
        <f t="shared" ca="1" si="5"/>
        <v>5.3683319220998458E-3</v>
      </c>
      <c r="N34" s="2" vm="374">
        <f ca="1"/>
        <v>90.34</v>
      </c>
      <c r="O34" s="2">
        <f t="shared" ca="1" si="6"/>
        <v>-7.7425063599151844E-4</v>
      </c>
      <c r="P34" s="2" vm="1354">
        <f ca="1"/>
        <v>246.66</v>
      </c>
      <c r="Q34" s="2">
        <f t="shared" ca="1" si="7"/>
        <v>8.3394652931076448E-3</v>
      </c>
      <c r="R34" s="2" vm="1355">
        <f ca="1"/>
        <v>73.2</v>
      </c>
      <c r="S34" s="2">
        <f t="shared" ca="1" si="8"/>
        <v>1.638433768397677E-2</v>
      </c>
      <c r="T34" s="2" vm="1356">
        <f ca="1"/>
        <v>93.54</v>
      </c>
      <c r="U34" s="2">
        <f t="shared" ca="1" si="9"/>
        <v>-5.3424511165719795E-4</v>
      </c>
      <c r="V34" s="2" vm="1357">
        <f ca="1"/>
        <v>46.999000000000002</v>
      </c>
      <c r="W34" s="2">
        <f t="shared" ca="1" si="10"/>
        <v>-2.1276595744631264E-5</v>
      </c>
      <c r="X34" s="2" vm="1358">
        <f ca="1"/>
        <v>165.02</v>
      </c>
      <c r="Y34" s="2">
        <f t="shared" ca="1" si="11"/>
        <v>1.3076309165694789E-2</v>
      </c>
      <c r="Z34" s="2" vm="1359">
        <f ca="1"/>
        <v>97.12</v>
      </c>
      <c r="AA34" s="2">
        <f t="shared" ca="1" si="12"/>
        <v>8.0963255138052845E-3</v>
      </c>
      <c r="AB34" s="2" vm="1360">
        <f ca="1"/>
        <v>14.57</v>
      </c>
      <c r="AC34" s="2">
        <f t="shared" ca="1" si="13"/>
        <v>1.6039051603905192E-2</v>
      </c>
      <c r="AD34" s="2" vm="1361">
        <f ca="1"/>
        <v>5.5</v>
      </c>
      <c r="AE34" s="2">
        <f t="shared" ca="1" si="14"/>
        <v>6.7961165048543618E-2</v>
      </c>
      <c r="AF34" s="2" vm="1362">
        <f ca="1"/>
        <v>28.04</v>
      </c>
      <c r="AG34" s="2">
        <f t="shared" ca="1" si="15"/>
        <v>-2.1352313167260595E-3</v>
      </c>
      <c r="AH34" s="2" vm="758">
        <f ca="1"/>
        <v>26.31</v>
      </c>
      <c r="AI34" s="2">
        <f t="shared" ca="1" si="16"/>
        <v>-1.8968133535660361E-3</v>
      </c>
      <c r="AJ34" s="2" vm="1363">
        <f ca="1"/>
        <v>4.97</v>
      </c>
      <c r="AK34" s="2">
        <f t="shared" ca="1" si="17"/>
        <v>-4.0080160320642207E-3</v>
      </c>
      <c r="AL34" s="2" vm="1364">
        <f ca="1"/>
        <v>52.93</v>
      </c>
      <c r="AM34" s="2">
        <f t="shared" ca="1" si="18"/>
        <v>8.3825490569631872E-3</v>
      </c>
      <c r="AN34" s="2" vm="1365">
        <f ca="1"/>
        <v>88.33</v>
      </c>
      <c r="AO34" s="2">
        <f t="shared" ca="1" si="19"/>
        <v>5.5783242258651512E-3</v>
      </c>
      <c r="AP34" s="2" vm="798">
        <f ca="1"/>
        <v>26.16</v>
      </c>
      <c r="AQ34" s="2">
        <f t="shared" ca="1" si="20"/>
        <v>-1.1454753722795394E-3</v>
      </c>
      <c r="AR34" s="2" vm="1324">
        <f ca="1"/>
        <v>51.02</v>
      </c>
      <c r="AS34" s="2">
        <f t="shared" ca="1" si="21"/>
        <v>0</v>
      </c>
      <c r="AT34" s="2" vm="1345">
        <f ca="1"/>
        <v>29</v>
      </c>
      <c r="AU34" s="2">
        <f t="shared" ca="1" si="22"/>
        <v>-6.8917987594760768E-4</v>
      </c>
      <c r="AV34" s="2" vm="1366">
        <f ca="1"/>
        <v>26.91</v>
      </c>
      <c r="AW34" s="2">
        <f t="shared" ca="1" si="23"/>
        <v>-1.4842300556585956E-3</v>
      </c>
      <c r="AX34" s="2" vm="424">
        <f ca="1"/>
        <v>91.69</v>
      </c>
      <c r="AY34" s="2">
        <f t="shared" ca="1" si="24"/>
        <v>1.0907504362991824E-4</v>
      </c>
      <c r="AZ34" s="2" vm="1367">
        <f ca="1"/>
        <v>472.06</v>
      </c>
      <c r="BA34" s="2">
        <f t="shared" ca="1" si="25"/>
        <v>6.88949086022656E-3</v>
      </c>
      <c r="BB34" s="2" vm="1368">
        <f ca="1"/>
        <v>244.76</v>
      </c>
      <c r="BC34" s="2">
        <f t="shared" ca="1" si="26"/>
        <v>1.6529612094027701E-2</v>
      </c>
      <c r="BD34" s="2" vm="1369">
        <f ca="1"/>
        <v>46.46</v>
      </c>
      <c r="BE34" s="2">
        <f t="shared" ca="1" si="27"/>
        <v>8.6843247937472556E-3</v>
      </c>
      <c r="BF34" s="2" vm="1370">
        <f ca="1"/>
        <v>121.93</v>
      </c>
      <c r="BG34" s="2">
        <f t="shared" ca="1" si="28"/>
        <v>1.3380984042553305E-2</v>
      </c>
      <c r="BH34" s="2" vm="1371">
        <f ca="1"/>
        <v>161.63</v>
      </c>
      <c r="BI34" s="2">
        <f t="shared" ca="1" si="29"/>
        <v>1.8595425525319712E-3</v>
      </c>
      <c r="BJ34" s="2" vm="1372">
        <f ca="1"/>
        <v>155.5</v>
      </c>
      <c r="BK34" s="2">
        <f t="shared" ca="1" si="30"/>
        <v>1.5609692378028778E-2</v>
      </c>
      <c r="BL34" s="2" vm="1373">
        <f ca="1"/>
        <v>63.76</v>
      </c>
      <c r="BM34" s="2">
        <f t="shared" ca="1" si="31"/>
        <v>1.2224162565486522E-2</v>
      </c>
      <c r="BN34" s="2" vm="1374">
        <f ca="1"/>
        <v>288.47000000000003</v>
      </c>
      <c r="BO34" s="2">
        <f t="shared" ca="1" si="32"/>
        <v>-8.3874737891444003E-3</v>
      </c>
      <c r="BP34" s="2" vm="1375">
        <f ca="1"/>
        <v>114.72</v>
      </c>
      <c r="BQ34" s="2">
        <f t="shared" ca="1" si="33"/>
        <v>4.0259058288114281E-3</v>
      </c>
      <c r="BR34" s="2" vm="1376">
        <f ca="1"/>
        <v>897.48</v>
      </c>
      <c r="BS34" s="2">
        <f t="shared" ca="1" si="34"/>
        <v>1.5421168750353561E-2</v>
      </c>
      <c r="BT34" s="2" vm="1377">
        <f ca="1"/>
        <v>172.75</v>
      </c>
      <c r="BU34" s="2">
        <f t="shared" ca="1" si="35"/>
        <v>1.0884194511089086E-2</v>
      </c>
      <c r="BV34" s="2" vm="1378">
        <f ca="1"/>
        <v>160.34</v>
      </c>
      <c r="BW34" s="2">
        <f t="shared" ca="1" si="36"/>
        <v>1.0079375078745081E-2</v>
      </c>
      <c r="BX34" s="2" vm="1379">
        <f ca="1"/>
        <v>303.86</v>
      </c>
      <c r="BY34" s="2">
        <f t="shared" ca="1" si="37"/>
        <v>2.0863430203258985E-2</v>
      </c>
      <c r="BZ34" s="2" vm="1380">
        <f ca="1"/>
        <v>100.87260000000001</v>
      </c>
      <c r="CA34" s="2">
        <f t="shared" ca="1" si="38"/>
        <v>5.107612594659288E-3</v>
      </c>
      <c r="CB34" s="2" vm="1381">
        <f ca="1"/>
        <v>32.44</v>
      </c>
      <c r="CC34" s="2">
        <f t="shared" ca="1" si="39"/>
        <v>1.2749909464403911E-2</v>
      </c>
      <c r="CD34" s="2" t="e" vm="92">
        <f ca="1"/>
        <v>#N/A</v>
      </c>
      <c r="CE34" s="2" t="e" vm="140">
        <f t="shared" ca="1" si="40"/>
        <v>#N/A</v>
      </c>
      <c r="CF34" s="2" vm="1382">
        <f ca="1"/>
        <v>22.63</v>
      </c>
      <c r="CG34" s="2">
        <f t="shared" ca="1" si="41"/>
        <v>-6.6239788032680809E-4</v>
      </c>
      <c r="CH34" s="2" vm="1179">
        <f ca="1"/>
        <v>58.21</v>
      </c>
      <c r="CI34" s="2">
        <f t="shared" ca="1" si="42"/>
        <v>-5.1510989010990964E-4</v>
      </c>
      <c r="CJ34" s="2" vm="1383">
        <f ca="1"/>
        <v>58.34</v>
      </c>
      <c r="CK34" s="2">
        <f t="shared" ca="1" si="43"/>
        <v>-6.8516615279203745E-4</v>
      </c>
      <c r="CL34" s="2" vm="1260">
        <f ca="1"/>
        <v>56.93</v>
      </c>
      <c r="CM34" s="2">
        <f t="shared" ca="1" si="44"/>
        <v>-1.7534630896019888E-3</v>
      </c>
      <c r="CN34" s="2" vm="924">
        <f ca="1"/>
        <v>28.99</v>
      </c>
      <c r="CO34" s="2">
        <f t="shared" ca="1" si="45"/>
        <v>-3.4482758620695046E-4</v>
      </c>
      <c r="CP34" s="2" vm="1384">
        <f ca="1"/>
        <v>23.487500000000001</v>
      </c>
      <c r="CQ34" s="2">
        <f t="shared" ca="1" si="46"/>
        <v>8.9132302405498087E-3</v>
      </c>
    </row>
    <row r="35" spans="1:95" x14ac:dyDescent="0.2">
      <c r="A35" s="7" vm="1385">
        <f ca="1"/>
        <v>45618</v>
      </c>
      <c r="B35" s="2" vm="1386">
        <f ca="1"/>
        <v>229.87</v>
      </c>
      <c r="C35" s="2">
        <f t="shared" ca="1" si="0"/>
        <v>5.907579205321172E-3</v>
      </c>
      <c r="D35" s="2" vm="1387">
        <f ca="1"/>
        <v>141.94999999999999</v>
      </c>
      <c r="E35" s="2">
        <f t="shared" ca="1" si="1"/>
        <v>-3.2181086793481958E-2</v>
      </c>
      <c r="F35" s="2" vm="1388">
        <f ca="1"/>
        <v>417</v>
      </c>
      <c r="G35" s="2">
        <f t="shared" ca="1" si="2"/>
        <v>1.0003148690871207E-2</v>
      </c>
      <c r="H35" s="2" vm="1389">
        <f ca="1"/>
        <v>559.14</v>
      </c>
      <c r="I35" s="2">
        <f t="shared" ca="1" si="3"/>
        <v>-7.0148644088867595E-3</v>
      </c>
      <c r="J35" s="2" vm="1390">
        <f ca="1"/>
        <v>164.76</v>
      </c>
      <c r="K35" s="2">
        <f t="shared" ca="1" si="4"/>
        <v>-1.7121040386565679E-2</v>
      </c>
      <c r="L35" s="2" vm="1391">
        <f ca="1"/>
        <v>595.51</v>
      </c>
      <c r="M35" s="2">
        <f t="shared" ca="1" si="5"/>
        <v>3.0993649670693012E-3</v>
      </c>
      <c r="N35" s="2" vm="1392">
        <f ca="1"/>
        <v>90.39</v>
      </c>
      <c r="O35" s="2">
        <f t="shared" ca="1" si="6"/>
        <v>5.5346468895281335E-4</v>
      </c>
      <c r="P35" s="2" vm="1393">
        <f ca="1"/>
        <v>249.84</v>
      </c>
      <c r="Q35" s="2">
        <f t="shared" ca="1" si="7"/>
        <v>1.2892240330819781E-2</v>
      </c>
      <c r="R35" s="2" vm="1394">
        <f ca="1"/>
        <v>74.25</v>
      </c>
      <c r="S35" s="2">
        <f t="shared" ca="1" si="8"/>
        <v>1.4344262295081928E-2</v>
      </c>
      <c r="T35" s="2" vm="85">
        <f ca="1"/>
        <v>93.6</v>
      </c>
      <c r="U35" s="2">
        <f t="shared" ca="1" si="9"/>
        <v>6.4143681847325272E-4</v>
      </c>
      <c r="V35" s="2" vm="1395">
        <f ca="1"/>
        <v>47.0655</v>
      </c>
      <c r="W35" s="2">
        <f t="shared" ca="1" si="10"/>
        <v>1.4149237217812674E-3</v>
      </c>
      <c r="X35" s="2" vm="1396">
        <f ca="1"/>
        <v>167.56</v>
      </c>
      <c r="Y35" s="2">
        <f t="shared" ca="1" si="11"/>
        <v>1.5392073688037765E-2</v>
      </c>
      <c r="Z35" s="2" vm="1397">
        <f ca="1"/>
        <v>97.27</v>
      </c>
      <c r="AA35" s="2">
        <f t="shared" ca="1" si="12"/>
        <v>1.5444810543656453E-3</v>
      </c>
      <c r="AB35" s="2" vm="587">
        <f ca="1"/>
        <v>14.77</v>
      </c>
      <c r="AC35" s="2">
        <f t="shared" ca="1" si="13"/>
        <v>1.3726835964310178E-2</v>
      </c>
      <c r="AD35" s="2" vm="1398">
        <f ca="1"/>
        <v>5</v>
      </c>
      <c r="AE35" s="2">
        <f t="shared" ca="1" si="14"/>
        <v>-9.0909090909090912E-2</v>
      </c>
      <c r="AF35" s="2" vm="1399">
        <f ca="1"/>
        <v>28.47</v>
      </c>
      <c r="AG35" s="2">
        <f t="shared" ca="1" si="15"/>
        <v>1.5335235378031374E-2</v>
      </c>
      <c r="AH35" s="2" vm="1400">
        <f ca="1"/>
        <v>26.51</v>
      </c>
      <c r="AI35" s="2">
        <f t="shared" ca="1" si="16"/>
        <v>7.6016723679210507E-3</v>
      </c>
      <c r="AJ35" s="2" vm="1238">
        <f ca="1"/>
        <v>4.93</v>
      </c>
      <c r="AK35" s="2">
        <f t="shared" ca="1" si="17"/>
        <v>-8.0482897384305911E-3</v>
      </c>
      <c r="AL35" s="2" vm="1401">
        <f ca="1"/>
        <v>53.62</v>
      </c>
      <c r="AM35" s="2">
        <f t="shared" ca="1" si="18"/>
        <v>1.3036085395805738E-2</v>
      </c>
      <c r="AN35" s="2" vm="1402">
        <f ca="1"/>
        <v>88.24</v>
      </c>
      <c r="AO35" s="2">
        <f t="shared" ca="1" si="19"/>
        <v>-1.018906373825466E-3</v>
      </c>
      <c r="AP35" s="2" vm="1403">
        <f ca="1"/>
        <v>26.17</v>
      </c>
      <c r="AQ35" s="2">
        <f t="shared" ca="1" si="20"/>
        <v>3.8226299694195577E-4</v>
      </c>
      <c r="AR35" s="2" vm="1404">
        <f ca="1"/>
        <v>51.04</v>
      </c>
      <c r="AS35" s="2">
        <f t="shared" ca="1" si="21"/>
        <v>3.9200313602501019E-4</v>
      </c>
      <c r="AT35" s="2" vm="1345">
        <f ca="1"/>
        <v>29</v>
      </c>
      <c r="AU35" s="2">
        <f t="shared" ca="1" si="22"/>
        <v>0</v>
      </c>
      <c r="AV35" s="2" vm="1405">
        <f ca="1"/>
        <v>26.94</v>
      </c>
      <c r="AW35" s="2">
        <f t="shared" ca="1" si="23"/>
        <v>1.1148272017837658E-3</v>
      </c>
      <c r="AX35" s="2" vm="1406">
        <f ca="1"/>
        <v>91.72</v>
      </c>
      <c r="AY35" s="2">
        <f t="shared" ca="1" si="24"/>
        <v>3.2718944268732834E-4</v>
      </c>
      <c r="AZ35" s="2" vm="1407">
        <f ca="1"/>
        <v>476.57</v>
      </c>
      <c r="BA35" s="2">
        <f t="shared" ca="1" si="25"/>
        <v>9.5538702707282774E-3</v>
      </c>
      <c r="BB35" s="2" vm="1408">
        <f ca="1"/>
        <v>248.55</v>
      </c>
      <c r="BC35" s="2">
        <f t="shared" ca="1" si="26"/>
        <v>1.5484556300049112E-2</v>
      </c>
      <c r="BD35" s="2" vm="1314">
        <f ca="1"/>
        <v>47</v>
      </c>
      <c r="BE35" s="2">
        <f t="shared" ca="1" si="27"/>
        <v>1.1622901420576821E-2</v>
      </c>
      <c r="BF35" s="2" vm="1409">
        <f ca="1"/>
        <v>121.79</v>
      </c>
      <c r="BG35" s="2">
        <f t="shared" ca="1" si="28"/>
        <v>-1.1481997867629013E-3</v>
      </c>
      <c r="BH35" s="2" vm="1410">
        <f ca="1"/>
        <v>162.36000000000001</v>
      </c>
      <c r="BI35" s="2">
        <f t="shared" ca="1" si="29"/>
        <v>4.5164882756915069E-3</v>
      </c>
      <c r="BJ35" s="2" vm="1411">
        <f ca="1"/>
        <v>155.16999999999999</v>
      </c>
      <c r="BK35" s="2">
        <f t="shared" ca="1" si="30"/>
        <v>-2.1221864951769293E-3</v>
      </c>
      <c r="BL35" s="2" vm="1015">
        <f ca="1"/>
        <v>63.92</v>
      </c>
      <c r="BM35" s="2">
        <f t="shared" ca="1" si="31"/>
        <v>2.5094102885822411E-3</v>
      </c>
      <c r="BN35" s="2" vm="1412">
        <f ca="1"/>
        <v>290.27999999999997</v>
      </c>
      <c r="BO35" s="2">
        <f t="shared" ca="1" si="32"/>
        <v>6.274482615176432E-3</v>
      </c>
      <c r="BP35" s="2" vm="1413">
        <f ca="1"/>
        <v>115.65</v>
      </c>
      <c r="BQ35" s="2">
        <f t="shared" ca="1" si="33"/>
        <v>8.1066945606695154E-3</v>
      </c>
      <c r="BR35" s="2" vm="1414">
        <f ca="1"/>
        <v>897.79</v>
      </c>
      <c r="BS35" s="2">
        <f t="shared" ca="1" si="34"/>
        <v>3.454115969157479E-4</v>
      </c>
      <c r="BT35" s="2" vm="1415">
        <f ca="1"/>
        <v>176.28</v>
      </c>
      <c r="BU35" s="2">
        <f t="shared" ca="1" si="35"/>
        <v>2.0434153400868314E-2</v>
      </c>
      <c r="BV35" s="2" vm="1001">
        <f ca="1"/>
        <v>162</v>
      </c>
      <c r="BW35" s="2">
        <f t="shared" ca="1" si="36"/>
        <v>1.0352999875265041E-2</v>
      </c>
      <c r="BX35" s="2" vm="1416">
        <f ca="1"/>
        <v>307.26</v>
      </c>
      <c r="BY35" s="2">
        <f t="shared" ca="1" si="37"/>
        <v>1.118936352267484E-2</v>
      </c>
      <c r="BZ35" s="2" vm="1417">
        <f ca="1"/>
        <v>101.83</v>
      </c>
      <c r="CA35" s="2">
        <f t="shared" ca="1" si="38"/>
        <v>9.4911799636372279E-3</v>
      </c>
      <c r="CB35" s="2" vm="1418">
        <f ca="1"/>
        <v>32.700099999999999</v>
      </c>
      <c r="CC35" s="2">
        <f t="shared" ca="1" si="39"/>
        <v>8.0178791615290179E-3</v>
      </c>
      <c r="CD35" s="2" t="e" vm="92">
        <f ca="1"/>
        <v>#N/A</v>
      </c>
      <c r="CE35" s="2" t="e" vm="140">
        <f t="shared" ca="1" si="40"/>
        <v>#N/A</v>
      </c>
      <c r="CF35" s="2" vm="1258">
        <f ca="1"/>
        <v>22.64</v>
      </c>
      <c r="CG35" s="2">
        <f t="shared" ca="1" si="41"/>
        <v>4.4189129474156267E-4</v>
      </c>
      <c r="CH35" s="2" vm="1179">
        <f ca="1"/>
        <v>58.21</v>
      </c>
      <c r="CI35" s="2">
        <f t="shared" ca="1" si="42"/>
        <v>0</v>
      </c>
      <c r="CJ35" s="2" vm="1419">
        <f ca="1"/>
        <v>58.35</v>
      </c>
      <c r="CK35" s="2">
        <f t="shared" ca="1" si="43"/>
        <v>1.7140898183061381E-4</v>
      </c>
      <c r="CL35" s="2" vm="1420">
        <f ca="1"/>
        <v>56.97</v>
      </c>
      <c r="CM35" s="2">
        <f t="shared" ca="1" si="44"/>
        <v>7.0261724925345425E-4</v>
      </c>
      <c r="CN35" s="2" vm="1345">
        <f ca="1"/>
        <v>29</v>
      </c>
      <c r="CO35" s="2">
        <f t="shared" ca="1" si="45"/>
        <v>3.4494653328739439E-4</v>
      </c>
      <c r="CP35" s="2" vm="1421">
        <f ca="1"/>
        <v>23.627199999999998</v>
      </c>
      <c r="CQ35" s="2">
        <f t="shared" ca="1" si="46"/>
        <v>5.9478445981904294E-3</v>
      </c>
    </row>
    <row r="36" spans="1:95" x14ac:dyDescent="0.2">
      <c r="A36" s="7" vm="1422">
        <f ca="1"/>
        <v>45621</v>
      </c>
      <c r="B36" s="2" vm="1423">
        <f ca="1"/>
        <v>232.87</v>
      </c>
      <c r="C36" s="2">
        <f t="shared" ca="1" si="0"/>
        <v>1.3050854830991429E-2</v>
      </c>
      <c r="D36" s="2" vm="1424">
        <f ca="1"/>
        <v>136.02000000000001</v>
      </c>
      <c r="E36" s="2">
        <f t="shared" ca="1" si="1"/>
        <v>-4.1775272983444724E-2</v>
      </c>
      <c r="F36" s="2" vm="1425">
        <f ca="1"/>
        <v>418.79</v>
      </c>
      <c r="G36" s="2">
        <f t="shared" ca="1" si="2"/>
        <v>4.292565947242255E-3</v>
      </c>
      <c r="H36" s="2" vm="1426">
        <f ca="1"/>
        <v>565.11</v>
      </c>
      <c r="I36" s="2">
        <f t="shared" ca="1" si="3"/>
        <v>1.0677111278034173E-2</v>
      </c>
      <c r="J36" s="2" vm="1427">
        <f ca="1"/>
        <v>167.65</v>
      </c>
      <c r="K36" s="2">
        <f t="shared" ca="1" si="4"/>
        <v>1.7540665210002519E-2</v>
      </c>
      <c r="L36" s="2" vm="1428">
        <f ca="1"/>
        <v>597.53</v>
      </c>
      <c r="M36" s="2">
        <f t="shared" ca="1" si="5"/>
        <v>3.3920505113263955E-3</v>
      </c>
      <c r="N36" s="2" vm="1429">
        <f ca="1"/>
        <v>92.73</v>
      </c>
      <c r="O36" s="2">
        <f t="shared" ca="1" si="6"/>
        <v>2.5887819449054137E-2</v>
      </c>
      <c r="P36" s="2" vm="1430">
        <f ca="1"/>
        <v>242.48</v>
      </c>
      <c r="Q36" s="2">
        <f t="shared" ca="1" si="7"/>
        <v>-2.9458853666346516E-2</v>
      </c>
      <c r="R36" s="2" vm="1431">
        <f ca="1"/>
        <v>72.099999999999994</v>
      </c>
      <c r="S36" s="2">
        <f t="shared" ca="1" si="8"/>
        <v>-2.8956228956229034E-2</v>
      </c>
      <c r="T36" s="2" vm="1432">
        <f ca="1"/>
        <v>94.61</v>
      </c>
      <c r="U36" s="2">
        <f t="shared" ca="1" si="9"/>
        <v>1.0790598290598346E-2</v>
      </c>
      <c r="V36" s="2" vm="1433">
        <f ca="1"/>
        <v>47.44</v>
      </c>
      <c r="W36" s="2">
        <f t="shared" ca="1" si="10"/>
        <v>7.9569961011780946E-3</v>
      </c>
      <c r="X36" s="2" vm="1434">
        <f ca="1"/>
        <v>174.7</v>
      </c>
      <c r="Y36" s="2">
        <f t="shared" ca="1" si="11"/>
        <v>4.2611601814275403E-2</v>
      </c>
      <c r="Z36" s="2" vm="1435">
        <f ca="1"/>
        <v>95.35</v>
      </c>
      <c r="AA36" s="2">
        <f t="shared" ca="1" si="12"/>
        <v>-1.9738871183304224E-2</v>
      </c>
      <c r="AB36" s="2" vm="1317">
        <f ca="1"/>
        <v>14.34</v>
      </c>
      <c r="AC36" s="2">
        <f t="shared" ca="1" si="13"/>
        <v>-2.9113067027758951E-2</v>
      </c>
      <c r="AD36" s="2" vm="1236">
        <f ca="1"/>
        <v>4.4000000000000004</v>
      </c>
      <c r="AE36" s="2">
        <f t="shared" ca="1" si="14"/>
        <v>-0.11999999999999993</v>
      </c>
      <c r="AF36" s="2" vm="1436">
        <f ca="1"/>
        <v>27.63</v>
      </c>
      <c r="AG36" s="2">
        <f t="shared" ca="1" si="15"/>
        <v>-2.9504741833508954E-2</v>
      </c>
      <c r="AH36" s="2" vm="1437">
        <f ca="1"/>
        <v>26.53</v>
      </c>
      <c r="AI36" s="2">
        <f t="shared" ca="1" si="16"/>
        <v>7.5443228970198308E-4</v>
      </c>
      <c r="AJ36" s="2" vm="1120">
        <f ca="1"/>
        <v>4.8600000000000003</v>
      </c>
      <c r="AK36" s="2">
        <f t="shared" ca="1" si="17"/>
        <v>-1.4198782961460325E-2</v>
      </c>
      <c r="AL36" s="2" vm="1438">
        <f ca="1"/>
        <v>52.04</v>
      </c>
      <c r="AM36" s="2">
        <f t="shared" ca="1" si="18"/>
        <v>-2.9466616933979829E-2</v>
      </c>
      <c r="AN36" s="2" vm="1439">
        <f ca="1"/>
        <v>86.01</v>
      </c>
      <c r="AO36" s="2">
        <f t="shared" ca="1" si="19"/>
        <v>-2.5271985494106867E-2</v>
      </c>
      <c r="AP36" s="2" vm="1440">
        <f ca="1"/>
        <v>26.32</v>
      </c>
      <c r="AQ36" s="2">
        <f t="shared" ca="1" si="20"/>
        <v>5.731753916698455E-3</v>
      </c>
      <c r="AR36" s="2" vm="715">
        <f ca="1"/>
        <v>51.03</v>
      </c>
      <c r="AS36" s="2">
        <f t="shared" ca="1" si="21"/>
        <v>-1.9592476489024315E-4</v>
      </c>
      <c r="AT36" s="2" vm="1441">
        <f ca="1"/>
        <v>29.05</v>
      </c>
      <c r="AU36" s="2">
        <f t="shared" ca="1" si="22"/>
        <v>1.7241379310345072E-3</v>
      </c>
      <c r="AV36" s="2" vm="553">
        <f ca="1"/>
        <v>27.56</v>
      </c>
      <c r="AW36" s="2">
        <f t="shared" ca="1" si="23"/>
        <v>2.3014105419450533E-2</v>
      </c>
      <c r="AX36" s="2" vm="1442">
        <f ca="1"/>
        <v>91.73</v>
      </c>
      <c r="AY36" s="2">
        <f t="shared" ca="1" si="24"/>
        <v>1.0902747492373655E-4</v>
      </c>
      <c r="AZ36" s="2" vm="1443">
        <f ca="1"/>
        <v>477.43</v>
      </c>
      <c r="BA36" s="2">
        <f t="shared" ca="1" si="25"/>
        <v>1.8045617642739023E-3</v>
      </c>
      <c r="BB36" s="2" vm="1444">
        <f ca="1"/>
        <v>250.29</v>
      </c>
      <c r="BC36" s="2">
        <f t="shared" ca="1" si="26"/>
        <v>7.0006035003016718E-3</v>
      </c>
      <c r="BD36" s="2" vm="1445">
        <f ca="1"/>
        <v>47.5</v>
      </c>
      <c r="BE36" s="2">
        <f t="shared" ca="1" si="27"/>
        <v>1.0638297872340425E-2</v>
      </c>
      <c r="BF36" s="2" vm="1446">
        <f ca="1"/>
        <v>119.97</v>
      </c>
      <c r="BG36" s="2">
        <f t="shared" ca="1" si="28"/>
        <v>-1.4943755644962701E-2</v>
      </c>
      <c r="BH36" s="2" vm="1447">
        <f ca="1"/>
        <v>160.36000000000001</v>
      </c>
      <c r="BI36" s="2">
        <f t="shared" ca="1" si="29"/>
        <v>-1.2318305001231829E-2</v>
      </c>
      <c r="BJ36" s="2" vm="1448">
        <f ca="1"/>
        <v>155.78</v>
      </c>
      <c r="BK36" s="2">
        <f t="shared" ca="1" si="30"/>
        <v>3.9311722626797297E-3</v>
      </c>
      <c r="BL36" s="2" vm="1449">
        <f ca="1"/>
        <v>64.38</v>
      </c>
      <c r="BM36" s="2">
        <f t="shared" ca="1" si="31"/>
        <v>7.1964956195243075E-3</v>
      </c>
      <c r="BN36" s="2" vm="1450">
        <f ca="1"/>
        <v>296.19</v>
      </c>
      <c r="BO36" s="2">
        <f t="shared" ca="1" si="32"/>
        <v>2.0359652749069951E-2</v>
      </c>
      <c r="BP36" s="2" vm="1451">
        <f ca="1"/>
        <v>116</v>
      </c>
      <c r="BQ36" s="2">
        <f t="shared" ca="1" si="33"/>
        <v>3.0263726761780743E-3</v>
      </c>
      <c r="BR36" s="2" vm="1452">
        <f ca="1"/>
        <v>865.59</v>
      </c>
      <c r="BS36" s="2">
        <f t="shared" ca="1" si="34"/>
        <v>-3.5865848360975207E-2</v>
      </c>
      <c r="BT36" s="2" vm="1453">
        <f ca="1"/>
        <v>177.39</v>
      </c>
      <c r="BU36" s="2">
        <f t="shared" ca="1" si="35"/>
        <v>6.2968005445880717E-3</v>
      </c>
      <c r="BV36" s="2" vm="1454">
        <f ca="1"/>
        <v>163.05000000000001</v>
      </c>
      <c r="BW36" s="2">
        <f t="shared" ca="1" si="36"/>
        <v>6.4814814814815516E-3</v>
      </c>
      <c r="BX36" s="2" vm="1455">
        <f ca="1"/>
        <v>303.77999999999997</v>
      </c>
      <c r="BY36" s="2">
        <f t="shared" ca="1" si="37"/>
        <v>-1.1325912907635287E-2</v>
      </c>
      <c r="BZ36" s="2" vm="1456">
        <f ca="1"/>
        <v>99.17</v>
      </c>
      <c r="CA36" s="2">
        <f t="shared" ca="1" si="38"/>
        <v>-2.6121967985858752E-2</v>
      </c>
      <c r="CB36" s="2" vm="1457">
        <f ca="1"/>
        <v>32.270699999999998</v>
      </c>
      <c r="CC36" s="2">
        <f t="shared" ca="1" si="39"/>
        <v>-1.3131458313583174E-2</v>
      </c>
      <c r="CD36" s="2" t="e" vm="92">
        <f ca="1"/>
        <v>#N/A</v>
      </c>
      <c r="CE36" s="2" t="e" vm="140">
        <f t="shared" ca="1" si="40"/>
        <v>#N/A</v>
      </c>
      <c r="CF36" s="2" vm="1458">
        <f ca="1"/>
        <v>22.84</v>
      </c>
      <c r="CG36" s="2">
        <f t="shared" ca="1" si="41"/>
        <v>8.833922261484068E-3</v>
      </c>
      <c r="CH36" s="2" vm="571">
        <f ca="1"/>
        <v>58.31</v>
      </c>
      <c r="CI36" s="2">
        <f t="shared" ca="1" si="42"/>
        <v>1.7179178835251918E-3</v>
      </c>
      <c r="CJ36" s="2" vm="1459">
        <f ca="1"/>
        <v>58.75</v>
      </c>
      <c r="CK36" s="2">
        <f t="shared" ca="1" si="43"/>
        <v>6.8551842330762391E-3</v>
      </c>
      <c r="CL36" s="2" vm="571">
        <f ca="1"/>
        <v>58.31</v>
      </c>
      <c r="CM36" s="2">
        <f t="shared" ca="1" si="44"/>
        <v>2.352115148323685E-2</v>
      </c>
      <c r="CN36" s="2" vm="443">
        <f ca="1"/>
        <v>29.3</v>
      </c>
      <c r="CO36" s="2">
        <f t="shared" ca="1" si="45"/>
        <v>1.0344827586206921E-2</v>
      </c>
      <c r="CP36" s="2" vm="1460">
        <f ca="1"/>
        <v>23.921199999999999</v>
      </c>
      <c r="CQ36" s="2">
        <f t="shared" ca="1" si="46"/>
        <v>1.2443285704611656E-2</v>
      </c>
    </row>
    <row r="37" spans="1:95" x14ac:dyDescent="0.2">
      <c r="A37" s="7" vm="1461">
        <f ca="1"/>
        <v>45622</v>
      </c>
      <c r="B37" s="2" vm="1462">
        <f ca="1"/>
        <v>235.06</v>
      </c>
      <c r="C37" s="2">
        <f t="shared" ca="1" si="0"/>
        <v>9.4043887147335324E-3</v>
      </c>
      <c r="D37" s="2" vm="1463">
        <f ca="1"/>
        <v>136.91999999999999</v>
      </c>
      <c r="E37" s="2">
        <f t="shared" ca="1" si="1"/>
        <v>6.6166740185265192E-3</v>
      </c>
      <c r="F37" s="2" vm="1464">
        <f ca="1"/>
        <v>427.99</v>
      </c>
      <c r="G37" s="2">
        <f t="shared" ca="1" si="2"/>
        <v>2.1968050813056635E-2</v>
      </c>
      <c r="H37" s="2" vm="1465">
        <f ca="1"/>
        <v>573.54</v>
      </c>
      <c r="I37" s="2">
        <f t="shared" ca="1" si="3"/>
        <v>1.4917449700058307E-2</v>
      </c>
      <c r="J37" s="2" vm="1466">
        <f ca="1"/>
        <v>169.12</v>
      </c>
      <c r="K37" s="2">
        <f t="shared" ca="1" si="4"/>
        <v>8.7682672233820383E-3</v>
      </c>
      <c r="L37" s="2" vm="1467">
        <f ca="1"/>
        <v>600.65</v>
      </c>
      <c r="M37" s="2">
        <f t="shared" ca="1" si="5"/>
        <v>5.2214951550549841E-3</v>
      </c>
      <c r="N37" s="2" vm="1468">
        <f ca="1"/>
        <v>92.37</v>
      </c>
      <c r="O37" s="2">
        <f t="shared" ca="1" si="6"/>
        <v>-3.8822387576835913E-3</v>
      </c>
      <c r="P37" s="2" vm="1469">
        <f ca="1"/>
        <v>242.95</v>
      </c>
      <c r="Q37" s="2">
        <f t="shared" ca="1" si="7"/>
        <v>1.9383041900362871E-3</v>
      </c>
      <c r="R37" s="2" vm="1470">
        <f ca="1"/>
        <v>71.61</v>
      </c>
      <c r="S37" s="2">
        <f t="shared" ca="1" si="8"/>
        <v>-6.7961165048542986E-3</v>
      </c>
      <c r="T37" s="2" vm="1471">
        <f ca="1"/>
        <v>94.41</v>
      </c>
      <c r="U37" s="2">
        <f t="shared" ca="1" si="9"/>
        <v>-2.1139414438220362E-3</v>
      </c>
      <c r="V37" s="2" vm="1472">
        <f ca="1"/>
        <v>47.369300000000003</v>
      </c>
      <c r="W37" s="2">
        <f t="shared" ca="1" si="10"/>
        <v>-1.4903035413152425E-3</v>
      </c>
      <c r="X37" s="2" vm="1473">
        <f ca="1"/>
        <v>175.64</v>
      </c>
      <c r="Y37" s="2">
        <f t="shared" ca="1" si="11"/>
        <v>5.3806525472237998E-3</v>
      </c>
      <c r="Z37" s="2" vm="1474">
        <f ca="1"/>
        <v>95.22</v>
      </c>
      <c r="AA37" s="2">
        <f t="shared" ca="1" si="12"/>
        <v>-1.3633980073413264E-3</v>
      </c>
      <c r="AB37" s="2" vm="1475">
        <f ca="1"/>
        <v>14.25</v>
      </c>
      <c r="AC37" s="2">
        <f t="shared" ca="1" si="13"/>
        <v>-6.2761506276150531E-3</v>
      </c>
      <c r="AD37" s="2" t="e" vm="92">
        <f ca="1"/>
        <v>#N/A</v>
      </c>
      <c r="AE37" s="2" t="e" vm="140">
        <f t="shared" ca="1" si="14"/>
        <v>#N/A</v>
      </c>
      <c r="AF37" s="2" vm="1476">
        <f ca="1"/>
        <v>27.8</v>
      </c>
      <c r="AG37" s="2">
        <f t="shared" ca="1" si="15"/>
        <v>6.1527325370974197E-3</v>
      </c>
      <c r="AH37" s="2" vm="1477">
        <f ca="1"/>
        <v>26.77</v>
      </c>
      <c r="AI37" s="2">
        <f t="shared" ca="1" si="16"/>
        <v>9.0463626083678254E-3</v>
      </c>
      <c r="AJ37" s="2" vm="1478">
        <f ca="1"/>
        <v>4.87</v>
      </c>
      <c r="AK37" s="2">
        <f t="shared" ca="1" si="17"/>
        <v>2.0576131687242358E-3</v>
      </c>
      <c r="AL37" s="2" vm="1479">
        <f ca="1"/>
        <v>52.14</v>
      </c>
      <c r="AM37" s="2">
        <f t="shared" ca="1" si="18"/>
        <v>1.9215987701768145E-3</v>
      </c>
      <c r="AN37" s="2" vm="1480">
        <f ca="1"/>
        <v>84.95</v>
      </c>
      <c r="AO37" s="2">
        <f t="shared" ca="1" si="19"/>
        <v>-1.2324148354842485E-2</v>
      </c>
      <c r="AP37" s="2" vm="634">
        <f ca="1"/>
        <v>26.26</v>
      </c>
      <c r="AQ37" s="2">
        <f t="shared" ca="1" si="20"/>
        <v>-2.2796352583586139E-3</v>
      </c>
      <c r="AR37" s="2" vm="1404">
        <f ca="1"/>
        <v>51.04</v>
      </c>
      <c r="AS37" s="2">
        <f t="shared" ca="1" si="21"/>
        <v>1.9596315892608289E-4</v>
      </c>
      <c r="AT37" s="2" vm="1441">
        <f ca="1"/>
        <v>29.05</v>
      </c>
      <c r="AU37" s="2">
        <f t="shared" ca="1" si="22"/>
        <v>0</v>
      </c>
      <c r="AV37" s="2" vm="1481">
        <f ca="1"/>
        <v>27.46</v>
      </c>
      <c r="AW37" s="2">
        <f t="shared" ca="1" si="23"/>
        <v>-3.6284470246733627E-3</v>
      </c>
      <c r="AX37" s="2" vm="1442">
        <f ca="1"/>
        <v>91.73</v>
      </c>
      <c r="AY37" s="2">
        <f t="shared" ca="1" si="24"/>
        <v>0</v>
      </c>
      <c r="AZ37" s="2" vm="1482">
        <f ca="1"/>
        <v>478.56</v>
      </c>
      <c r="BA37" s="2">
        <f t="shared" ca="1" si="25"/>
        <v>2.3668391177764183E-3</v>
      </c>
      <c r="BB37" s="2" vm="1483">
        <f ca="1"/>
        <v>249.97</v>
      </c>
      <c r="BC37" s="2">
        <f t="shared" ca="1" si="26"/>
        <v>-1.2785169203723408E-3</v>
      </c>
      <c r="BD37" s="2" vm="414">
        <f ca="1"/>
        <v>47.75</v>
      </c>
      <c r="BE37" s="2">
        <f t="shared" ca="1" si="27"/>
        <v>5.263157894736842E-3</v>
      </c>
      <c r="BF37" s="2" vm="1484">
        <f ca="1"/>
        <v>117.97</v>
      </c>
      <c r="BG37" s="2">
        <f t="shared" ca="1" si="28"/>
        <v>-1.6670834375260481E-2</v>
      </c>
      <c r="BH37" s="2" vm="1485">
        <f ca="1"/>
        <v>162.53</v>
      </c>
      <c r="BI37" s="2">
        <f t="shared" ca="1" si="29"/>
        <v>1.3532052881017631E-2</v>
      </c>
      <c r="BJ37" s="2" vm="1486">
        <f ca="1"/>
        <v>154.52000000000001</v>
      </c>
      <c r="BK37" s="2">
        <f t="shared" ca="1" si="30"/>
        <v>-8.088329695724681E-3</v>
      </c>
      <c r="BL37" s="2" vm="1487">
        <f ca="1"/>
        <v>64.55</v>
      </c>
      <c r="BM37" s="2">
        <f t="shared" ca="1" si="31"/>
        <v>2.6405716060888739E-3</v>
      </c>
      <c r="BN37" s="2" vm="1488">
        <f ca="1"/>
        <v>296.33</v>
      </c>
      <c r="BO37" s="2">
        <f t="shared" ca="1" si="32"/>
        <v>4.7266957020826618E-4</v>
      </c>
      <c r="BP37" s="2" vm="1489">
        <f ca="1"/>
        <v>115.45</v>
      </c>
      <c r="BQ37" s="2">
        <f t="shared" ca="1" si="33"/>
        <v>-4.7413793103448032E-3</v>
      </c>
      <c r="BR37" s="2" vm="1490">
        <f ca="1"/>
        <v>872.6</v>
      </c>
      <c r="BS37" s="2">
        <f t="shared" ca="1" si="34"/>
        <v>8.0985223951293237E-3</v>
      </c>
      <c r="BT37" s="2" vm="1491">
        <f ca="1"/>
        <v>179.31</v>
      </c>
      <c r="BU37" s="2">
        <f t="shared" ca="1" si="35"/>
        <v>1.082360899712507E-2</v>
      </c>
      <c r="BV37" s="2" vm="1492">
        <f ca="1"/>
        <v>162.16</v>
      </c>
      <c r="BW37" s="2">
        <f t="shared" ca="1" si="36"/>
        <v>-5.4584483287336075E-3</v>
      </c>
      <c r="BX37" s="2" vm="1493">
        <f ca="1"/>
        <v>300.33</v>
      </c>
      <c r="BY37" s="2">
        <f t="shared" ca="1" si="37"/>
        <v>-1.1356903021923725E-2</v>
      </c>
      <c r="BZ37" s="2" vm="977">
        <f ca="1"/>
        <v>98.93</v>
      </c>
      <c r="CA37" s="2">
        <f t="shared" ca="1" si="38"/>
        <v>-2.4200867197740738E-3</v>
      </c>
      <c r="CB37" s="2" vm="1494">
        <f ca="1"/>
        <v>32.054000000000002</v>
      </c>
      <c r="CC37" s="2">
        <f t="shared" ca="1" si="39"/>
        <v>-6.7150697071955649E-3</v>
      </c>
      <c r="CD37" s="2" t="e" vm="92">
        <f ca="1"/>
        <v>#N/A</v>
      </c>
      <c r="CE37" s="2" t="e" vm="140">
        <f t="shared" ca="1" si="40"/>
        <v>#N/A</v>
      </c>
      <c r="CF37" s="2" vm="1495">
        <f ca="1"/>
        <v>22.805</v>
      </c>
      <c r="CG37" s="2">
        <f t="shared" ca="1" si="41"/>
        <v>-1.5323992994746123E-3</v>
      </c>
      <c r="CH37" s="2" vm="571">
        <f ca="1"/>
        <v>58.31</v>
      </c>
      <c r="CI37" s="2">
        <f t="shared" ca="1" si="42"/>
        <v>0</v>
      </c>
      <c r="CJ37" s="2" vm="1496">
        <f ca="1"/>
        <v>58.69</v>
      </c>
      <c r="CK37" s="2">
        <f t="shared" ca="1" si="43"/>
        <v>-1.0212765957447196E-3</v>
      </c>
      <c r="CL37" s="2" vm="1026">
        <f ca="1"/>
        <v>58.12</v>
      </c>
      <c r="CM37" s="2">
        <f t="shared" ca="1" si="44"/>
        <v>-3.2584462356371946E-3</v>
      </c>
      <c r="CN37" s="2" vm="694">
        <f ca="1"/>
        <v>29.24</v>
      </c>
      <c r="CO37" s="2">
        <f t="shared" ca="1" si="45"/>
        <v>-2.047781569965948E-3</v>
      </c>
      <c r="CP37" s="2" vm="1497">
        <f ca="1"/>
        <v>24.046900000000001</v>
      </c>
      <c r="CQ37" s="2">
        <f t="shared" ca="1" si="46"/>
        <v>5.2547531060315508E-3</v>
      </c>
    </row>
    <row r="38" spans="1:95" x14ac:dyDescent="0.2">
      <c r="A38" s="7" vm="1498">
        <f ca="1"/>
        <v>45623</v>
      </c>
      <c r="B38" s="2" vm="1499">
        <f ca="1"/>
        <v>234.93</v>
      </c>
      <c r="C38" s="2">
        <f t="shared" ca="1" si="0"/>
        <v>-5.530502850335891E-4</v>
      </c>
      <c r="D38" s="2" vm="1500">
        <f ca="1"/>
        <v>135.34</v>
      </c>
      <c r="E38" s="2">
        <f t="shared" ca="1" si="1"/>
        <v>-1.1539585159216947E-2</v>
      </c>
      <c r="F38" s="2" vm="1501">
        <f ca="1"/>
        <v>422.99</v>
      </c>
      <c r="G38" s="2">
        <f t="shared" ca="1" si="2"/>
        <v>-1.1682515946634267E-2</v>
      </c>
      <c r="H38" s="2" vm="1502">
        <f ca="1"/>
        <v>569.20000000000005</v>
      </c>
      <c r="I38" s="2">
        <f t="shared" ca="1" si="3"/>
        <v>-7.5670397879832587E-3</v>
      </c>
      <c r="J38" s="2" vm="1503">
        <f ca="1"/>
        <v>169.23</v>
      </c>
      <c r="K38" s="2">
        <f t="shared" ca="1" si="4"/>
        <v>6.5042573320710272E-4</v>
      </c>
      <c r="L38" s="2" vm="1504">
        <f ca="1"/>
        <v>598.83000000000004</v>
      </c>
      <c r="M38" s="2">
        <f t="shared" ca="1" si="5"/>
        <v>-3.0300507783233769E-3</v>
      </c>
      <c r="N38" s="2" vm="1505">
        <f ca="1"/>
        <v>93.01</v>
      </c>
      <c r="O38" s="2">
        <f t="shared" ca="1" si="6"/>
        <v>6.9286564902024525E-3</v>
      </c>
      <c r="P38" s="2" vm="1506">
        <f ca="1"/>
        <v>243.49</v>
      </c>
      <c r="Q38" s="2">
        <f t="shared" ca="1" si="7"/>
        <v>2.2226795636963183E-3</v>
      </c>
      <c r="R38" s="2" vm="1507">
        <f ca="1"/>
        <v>71.72</v>
      </c>
      <c r="S38" s="2">
        <f t="shared" ca="1" si="8"/>
        <v>1.5360983102918507E-3</v>
      </c>
      <c r="T38" s="2" vm="633">
        <f ca="1"/>
        <v>94.79</v>
      </c>
      <c r="U38" s="2">
        <f t="shared" ca="1" si="9"/>
        <v>4.0249973519755292E-3</v>
      </c>
      <c r="V38" s="2" vm="1508">
        <f ca="1"/>
        <v>47.4754</v>
      </c>
      <c r="W38" s="2">
        <f t="shared" ca="1" si="10"/>
        <v>2.2398473272773264E-3</v>
      </c>
      <c r="X38" s="2" vm="1509">
        <f ca="1"/>
        <v>173.85</v>
      </c>
      <c r="Y38" s="2">
        <f t="shared" ca="1" si="11"/>
        <v>-1.0191300387155501E-2</v>
      </c>
      <c r="Z38" s="2" vm="1510">
        <f ca="1"/>
        <v>95.12</v>
      </c>
      <c r="AA38" s="2">
        <f t="shared" ca="1" si="12"/>
        <v>-1.0501995379121436E-3</v>
      </c>
      <c r="AB38" s="2" vm="795">
        <f ca="1"/>
        <v>14.29</v>
      </c>
      <c r="AC38" s="2">
        <f t="shared" ca="1" si="13"/>
        <v>2.8070175438595895E-3</v>
      </c>
      <c r="AD38" s="2" vm="1511">
        <f ca="1"/>
        <v>3.4</v>
      </c>
      <c r="AE38" s="2" t="e" vm="140">
        <f t="shared" ca="1" si="14"/>
        <v>#N/A</v>
      </c>
      <c r="AF38" s="2" vm="1512">
        <f ca="1"/>
        <v>27.45</v>
      </c>
      <c r="AG38" s="2">
        <f t="shared" ca="1" si="15"/>
        <v>-1.2589928057554007E-2</v>
      </c>
      <c r="AH38" s="2" vm="1513">
        <f ca="1"/>
        <v>26.89</v>
      </c>
      <c r="AI38" s="2">
        <f t="shared" ca="1" si="16"/>
        <v>4.4826298094882699E-3</v>
      </c>
      <c r="AJ38" s="2" vm="1514">
        <f ca="1"/>
        <v>4.79</v>
      </c>
      <c r="AK38" s="2">
        <f t="shared" ca="1" si="17"/>
        <v>-1.6427104722792622E-2</v>
      </c>
      <c r="AL38" s="2" vm="1515">
        <f ca="1"/>
        <v>52.24</v>
      </c>
      <c r="AM38" s="2">
        <f t="shared" ca="1" si="18"/>
        <v>1.9179133103184008E-3</v>
      </c>
      <c r="AN38" s="2" vm="1516">
        <f ca="1"/>
        <v>85.14</v>
      </c>
      <c r="AO38" s="2">
        <f t="shared" ca="1" si="19"/>
        <v>2.2366097704531809E-3</v>
      </c>
      <c r="AP38" s="2" vm="508">
        <f ca="1"/>
        <v>26.34</v>
      </c>
      <c r="AQ38" s="2">
        <f t="shared" ca="1" si="20"/>
        <v>3.0464584920029815E-3</v>
      </c>
      <c r="AR38" s="2" vm="1517">
        <f ca="1"/>
        <v>51.05</v>
      </c>
      <c r="AS38" s="2">
        <f t="shared" ca="1" si="21"/>
        <v>1.9592476489024315E-4</v>
      </c>
      <c r="AT38" s="2" vm="1518">
        <f ca="1"/>
        <v>29.09</v>
      </c>
      <c r="AU38" s="2">
        <f t="shared" ca="1" si="22"/>
        <v>1.3769363166953234E-3</v>
      </c>
      <c r="AV38" s="2" vm="1519">
        <f ca="1"/>
        <v>27.64</v>
      </c>
      <c r="AW38" s="2">
        <f t="shared" ca="1" si="23"/>
        <v>6.554989075018198E-3</v>
      </c>
      <c r="AX38" s="2" vm="1520">
        <f ca="1"/>
        <v>91.76</v>
      </c>
      <c r="AY38" s="2">
        <f t="shared" ca="1" si="24"/>
        <v>3.2704676768779175E-4</v>
      </c>
      <c r="AZ38" s="2" vm="1521">
        <f ca="1"/>
        <v>483.08</v>
      </c>
      <c r="BA38" s="2">
        <f t="shared" ca="1" si="25"/>
        <v>9.4450016716816736E-3</v>
      </c>
      <c r="BB38" s="2" vm="1522">
        <f ca="1"/>
        <v>249.79</v>
      </c>
      <c r="BC38" s="2">
        <f t="shared" ca="1" si="26"/>
        <v>-7.2008641036927165E-4</v>
      </c>
      <c r="BD38" s="2" vm="1523">
        <f ca="1"/>
        <v>47.77</v>
      </c>
      <c r="BE38" s="2">
        <f t="shared" ca="1" si="27"/>
        <v>4.1884816753933249E-4</v>
      </c>
      <c r="BF38" s="2" vm="1524">
        <f ca="1"/>
        <v>117.66</v>
      </c>
      <c r="BG38" s="2">
        <f t="shared" ca="1" si="28"/>
        <v>-2.62778672543869E-3</v>
      </c>
      <c r="BH38" s="2" vm="1525">
        <f ca="1"/>
        <v>162.11000000000001</v>
      </c>
      <c r="BI38" s="2">
        <f t="shared" ca="1" si="29"/>
        <v>-2.5841383129267671E-3</v>
      </c>
      <c r="BJ38" s="2" vm="1526">
        <f ca="1"/>
        <v>155.4</v>
      </c>
      <c r="BK38" s="2">
        <f t="shared" ca="1" si="30"/>
        <v>5.6950556562257015E-3</v>
      </c>
      <c r="BL38" s="2" vm="1527">
        <f ca="1"/>
        <v>64.430000000000007</v>
      </c>
      <c r="BM38" s="2">
        <f t="shared" ca="1" si="31"/>
        <v>-1.8590240123933439E-3</v>
      </c>
      <c r="BN38" s="2" vm="1528">
        <f ca="1"/>
        <v>295.08</v>
      </c>
      <c r="BO38" s="2">
        <f t="shared" ca="1" si="32"/>
        <v>-4.2182701717679615E-3</v>
      </c>
      <c r="BP38" s="2" vm="1529">
        <f ca="1"/>
        <v>117.6</v>
      </c>
      <c r="BQ38" s="2">
        <f t="shared" ca="1" si="33"/>
        <v>1.8622780424426083E-2</v>
      </c>
      <c r="BR38" s="2" vm="1530">
        <f ca="1"/>
        <v>877.34</v>
      </c>
      <c r="BS38" s="2">
        <f t="shared" ca="1" si="34"/>
        <v>5.4320421728168795E-3</v>
      </c>
      <c r="BT38" s="2" vm="1531">
        <f ca="1"/>
        <v>179.36</v>
      </c>
      <c r="BU38" s="2">
        <f t="shared" ca="1" si="35"/>
        <v>2.7884669008985204E-4</v>
      </c>
      <c r="BV38" s="2" vm="537">
        <f ca="1"/>
        <v>162.72</v>
      </c>
      <c r="BW38" s="2">
        <f t="shared" ca="1" si="36"/>
        <v>3.4533793783917258E-3</v>
      </c>
      <c r="BX38" s="2" vm="1532">
        <f ca="1"/>
        <v>301.24</v>
      </c>
      <c r="BY38" s="2">
        <f t="shared" ca="1" si="37"/>
        <v>3.0300003329671531E-3</v>
      </c>
      <c r="BZ38" s="2" vm="1533">
        <f ca="1"/>
        <v>99.03</v>
      </c>
      <c r="CA38" s="2">
        <f t="shared" ca="1" si="38"/>
        <v>1.0108157282926746E-3</v>
      </c>
      <c r="CB38" s="2" vm="1341">
        <f ca="1"/>
        <v>32.031599999999997</v>
      </c>
      <c r="CC38" s="2">
        <f t="shared" ca="1" si="39"/>
        <v>-6.9882074000139258E-4</v>
      </c>
      <c r="CD38" s="2" t="e" vm="92">
        <f ca="1"/>
        <v>#N/A</v>
      </c>
      <c r="CE38" s="2" t="e" vm="140">
        <f t="shared" ca="1" si="40"/>
        <v>#N/A</v>
      </c>
      <c r="CF38" s="2" vm="1534">
        <f ca="1"/>
        <v>22.87</v>
      </c>
      <c r="CG38" s="2">
        <f t="shared" ca="1" si="41"/>
        <v>2.8502521376891593E-3</v>
      </c>
      <c r="CH38" s="2" vm="1259">
        <f ca="1"/>
        <v>58.37</v>
      </c>
      <c r="CI38" s="2">
        <f t="shared" ca="1" si="42"/>
        <v>1.0289830217800578E-3</v>
      </c>
      <c r="CJ38" s="2" vm="1535">
        <f ca="1"/>
        <v>58.85</v>
      </c>
      <c r="CK38" s="2">
        <f t="shared" ca="1" si="43"/>
        <v>2.7261884477765156E-3</v>
      </c>
      <c r="CL38" s="2" vm="527">
        <f ca="1"/>
        <v>58.5</v>
      </c>
      <c r="CM38" s="2">
        <f t="shared" ca="1" si="44"/>
        <v>6.5381968341363143E-3</v>
      </c>
      <c r="CN38" s="2" vm="1536">
        <f ca="1"/>
        <v>29.33</v>
      </c>
      <c r="CO38" s="2">
        <f t="shared" ca="1" si="45"/>
        <v>3.0779753761969856E-3</v>
      </c>
      <c r="CP38" s="2" vm="1537">
        <f ca="1"/>
        <v>24.183399999999999</v>
      </c>
      <c r="CQ38" s="2">
        <f t="shared" ca="1" si="46"/>
        <v>5.6764073539623842E-3</v>
      </c>
    </row>
    <row r="39" spans="1:95" x14ac:dyDescent="0.2">
      <c r="A39" s="7" vm="1538">
        <f ca="1"/>
        <v>45625</v>
      </c>
      <c r="B39" s="2" vm="1539">
        <f ca="1"/>
        <v>237.33</v>
      </c>
      <c r="C39" s="2">
        <f t="shared" ca="1" si="0"/>
        <v>1.0215808964372391E-2</v>
      </c>
      <c r="D39" s="2" vm="1540">
        <f ca="1"/>
        <v>138.25</v>
      </c>
      <c r="E39" s="2">
        <f t="shared" ca="1" si="1"/>
        <v>2.150140387173043E-2</v>
      </c>
      <c r="F39" s="2" vm="1541">
        <f ca="1"/>
        <v>423.46</v>
      </c>
      <c r="G39" s="2">
        <f t="shared" ca="1" si="2"/>
        <v>1.1111373791341886E-3</v>
      </c>
      <c r="H39" s="2" vm="1542">
        <f ca="1"/>
        <v>574.32000000000005</v>
      </c>
      <c r="I39" s="2">
        <f t="shared" ca="1" si="3"/>
        <v>8.9950808151792062E-3</v>
      </c>
      <c r="J39" s="2" vm="135">
        <f ca="1"/>
        <v>168.95</v>
      </c>
      <c r="K39" s="2">
        <f t="shared" ca="1" si="4"/>
        <v>-1.6545529752408034E-3</v>
      </c>
      <c r="L39" s="2" vm="1543">
        <f ca="1"/>
        <v>602.54999999999995</v>
      </c>
      <c r="M39" s="2">
        <f t="shared" ca="1" si="5"/>
        <v>6.2121136215619009E-3</v>
      </c>
      <c r="N39" s="2" vm="1544">
        <f ca="1"/>
        <v>93.97</v>
      </c>
      <c r="O39" s="2">
        <f t="shared" ca="1" si="6"/>
        <v>1.0321470809590299E-2</v>
      </c>
      <c r="P39" s="2" vm="1545">
        <f ca="1"/>
        <v>245.59</v>
      </c>
      <c r="Q39" s="2">
        <f t="shared" ca="1" si="7"/>
        <v>8.6245841718345494E-3</v>
      </c>
      <c r="R39" s="2" vm="1470">
        <f ca="1"/>
        <v>71.61</v>
      </c>
      <c r="S39" s="2">
        <f t="shared" ca="1" si="8"/>
        <v>-1.5337423312883356E-3</v>
      </c>
      <c r="T39" s="2" vm="1546">
        <f ca="1"/>
        <v>95.19</v>
      </c>
      <c r="U39" s="2">
        <f t="shared" ca="1" si="9"/>
        <v>4.2198544150225913E-3</v>
      </c>
      <c r="V39" s="2" vm="1547">
        <f ca="1"/>
        <v>47.686599999999999</v>
      </c>
      <c r="W39" s="2">
        <f t="shared" ca="1" si="10"/>
        <v>4.448619706205699E-3</v>
      </c>
      <c r="X39" s="2" vm="1548">
        <f ca="1"/>
        <v>175.03</v>
      </c>
      <c r="Y39" s="2">
        <f t="shared" ca="1" si="11"/>
        <v>6.7874604544147649E-3</v>
      </c>
      <c r="Z39" s="2" vm="1549">
        <f ca="1"/>
        <v>95.53</v>
      </c>
      <c r="AA39" s="2">
        <f t="shared" ca="1" si="12"/>
        <v>4.3103448275861704E-3</v>
      </c>
      <c r="AB39" s="2" vm="1550">
        <f ca="1"/>
        <v>14.28</v>
      </c>
      <c r="AC39" s="2">
        <f t="shared" ca="1" si="13"/>
        <v>-6.9979006298109077E-4</v>
      </c>
      <c r="AD39" s="2" vm="1551">
        <f ca="1"/>
        <v>3.3</v>
      </c>
      <c r="AE39" s="2">
        <f t="shared" ca="1" si="14"/>
        <v>-2.941176470588238E-2</v>
      </c>
      <c r="AF39" s="2" vm="381">
        <f ca="1"/>
        <v>27.92</v>
      </c>
      <c r="AG39" s="2">
        <f t="shared" ca="1" si="15"/>
        <v>1.7122040072859834E-2</v>
      </c>
      <c r="AH39" s="2" vm="1552">
        <f ca="1"/>
        <v>26.76</v>
      </c>
      <c r="AI39" s="2">
        <f t="shared" ca="1" si="16"/>
        <v>-4.8345109706210117E-3</v>
      </c>
      <c r="AJ39" s="2" vm="1514">
        <f ca="1"/>
        <v>4.79</v>
      </c>
      <c r="AK39" s="2">
        <f t="shared" ca="1" si="17"/>
        <v>0</v>
      </c>
      <c r="AL39" s="2" vm="1553">
        <f ca="1"/>
        <v>52.7</v>
      </c>
      <c r="AM39" s="2">
        <f t="shared" ca="1" si="18"/>
        <v>8.8055130168453455E-3</v>
      </c>
      <c r="AN39" s="2" vm="1554">
        <f ca="1"/>
        <v>87.06</v>
      </c>
      <c r="AO39" s="2">
        <f t="shared" ca="1" si="19"/>
        <v>2.2551092318534197E-2</v>
      </c>
      <c r="AP39" s="2" vm="465">
        <f ca="1"/>
        <v>26.41</v>
      </c>
      <c r="AQ39" s="2">
        <f t="shared" ca="1" si="20"/>
        <v>2.6575550493546044E-3</v>
      </c>
      <c r="AR39" s="2" vm="674">
        <f ca="1"/>
        <v>51.07</v>
      </c>
      <c r="AS39" s="2">
        <f t="shared" ca="1" si="21"/>
        <v>3.9177277179242167E-4</v>
      </c>
      <c r="AT39" s="2" vm="759">
        <f ca="1"/>
        <v>29.12</v>
      </c>
      <c r="AU39" s="2">
        <f t="shared" ca="1" si="22"/>
        <v>1.0312822275696507E-3</v>
      </c>
      <c r="AV39" s="2" vm="169">
        <f ca="1"/>
        <v>27.87</v>
      </c>
      <c r="AW39" s="2">
        <f t="shared" ca="1" si="23"/>
        <v>8.3212735166425626E-3</v>
      </c>
      <c r="AX39" s="2" vm="717">
        <f ca="1"/>
        <v>91.78</v>
      </c>
      <c r="AY39" s="2">
        <f t="shared" ca="1" si="24"/>
        <v>2.1795989537920683E-4</v>
      </c>
      <c r="AZ39" s="2" vm="1555">
        <f ca="1"/>
        <v>483.02</v>
      </c>
      <c r="BA39" s="2">
        <f t="shared" ca="1" si="25"/>
        <v>-1.2420303055395022E-4</v>
      </c>
      <c r="BB39" s="2" vm="1556">
        <f ca="1"/>
        <v>249.72</v>
      </c>
      <c r="BC39" s="2">
        <f t="shared" ca="1" si="26"/>
        <v>-2.8023539773406936E-4</v>
      </c>
      <c r="BD39" s="2" vm="543">
        <f ca="1"/>
        <v>47.51</v>
      </c>
      <c r="BE39" s="2">
        <f t="shared" ca="1" si="27"/>
        <v>-5.4427464936153466E-3</v>
      </c>
      <c r="BF39" s="2" vm="1557">
        <f ca="1"/>
        <v>117.96</v>
      </c>
      <c r="BG39" s="2">
        <f t="shared" ca="1" si="28"/>
        <v>2.5497195308515821E-3</v>
      </c>
      <c r="BH39" s="2" vm="1558">
        <f ca="1"/>
        <v>161.93</v>
      </c>
      <c r="BI39" s="2">
        <f t="shared" ca="1" si="29"/>
        <v>-1.110357164888081E-3</v>
      </c>
      <c r="BJ39" s="2" vm="1559">
        <f ca="1"/>
        <v>155.01</v>
      </c>
      <c r="BK39" s="2">
        <f t="shared" ca="1" si="30"/>
        <v>-2.5096525096526046E-3</v>
      </c>
      <c r="BL39" s="2" vm="1560">
        <f ca="1"/>
        <v>64.08</v>
      </c>
      <c r="BM39" s="2">
        <f t="shared" ca="1" si="31"/>
        <v>-5.4322520564955533E-3</v>
      </c>
      <c r="BN39" s="2" vm="1561">
        <f ca="1"/>
        <v>296.01</v>
      </c>
      <c r="BO39" s="2">
        <f t="shared" ca="1" si="32"/>
        <v>3.1516876779178762E-3</v>
      </c>
      <c r="BP39" s="2" vm="1562">
        <f ca="1"/>
        <v>117.47</v>
      </c>
      <c r="BQ39" s="2">
        <f t="shared" ca="1" si="33"/>
        <v>-1.1054421768707096E-3</v>
      </c>
      <c r="BR39" s="2" vm="1563">
        <f ca="1"/>
        <v>886.81</v>
      </c>
      <c r="BS39" s="2">
        <f t="shared" ca="1" si="34"/>
        <v>1.0793990927120516E-2</v>
      </c>
      <c r="BT39" s="2" vm="1564">
        <f ca="1"/>
        <v>179.26</v>
      </c>
      <c r="BU39" s="2">
        <f t="shared" ca="1" si="35"/>
        <v>-5.5753791257818206E-4</v>
      </c>
      <c r="BV39" s="2" vm="474">
        <f ca="1"/>
        <v>163.44999999999999</v>
      </c>
      <c r="BW39" s="2">
        <f t="shared" ca="1" si="36"/>
        <v>4.4862340216321886E-3</v>
      </c>
      <c r="BX39" s="2" vm="1565">
        <f ca="1"/>
        <v>303.3</v>
      </c>
      <c r="BY39" s="2">
        <f t="shared" ca="1" si="37"/>
        <v>6.838401274731119E-3</v>
      </c>
      <c r="BZ39" s="2" vm="1566">
        <f ca="1"/>
        <v>99.44</v>
      </c>
      <c r="CA39" s="2">
        <f t="shared" ca="1" si="38"/>
        <v>4.1401595476118006E-3</v>
      </c>
      <c r="CB39" s="2" vm="1567">
        <f ca="1"/>
        <v>32.174799999999998</v>
      </c>
      <c r="CC39" s="2">
        <f t="shared" ca="1" si="39"/>
        <v>4.4705852970192009E-3</v>
      </c>
      <c r="CD39" s="2" t="e" vm="92">
        <f ca="1"/>
        <v>#N/A</v>
      </c>
      <c r="CE39" s="2" t="e" vm="140">
        <f t="shared" ca="1" si="40"/>
        <v>#N/A</v>
      </c>
      <c r="CF39" s="2" vm="1568">
        <f ca="1"/>
        <v>22.945</v>
      </c>
      <c r="CG39" s="2">
        <f t="shared" ca="1" si="41"/>
        <v>3.2794053344993128E-3</v>
      </c>
      <c r="CH39" s="2" vm="1300">
        <f ca="1"/>
        <v>58.44</v>
      </c>
      <c r="CI39" s="2">
        <f t="shared" ca="1" si="42"/>
        <v>1.1992461881103356E-3</v>
      </c>
      <c r="CJ39" s="2" vm="1569">
        <f ca="1"/>
        <v>59.03</v>
      </c>
      <c r="CK39" s="2">
        <f t="shared" ca="1" si="43"/>
        <v>3.0586236193712781E-3</v>
      </c>
      <c r="CL39" s="2" vm="359">
        <f ca="1"/>
        <v>59.02</v>
      </c>
      <c r="CM39" s="2">
        <f t="shared" ca="1" si="44"/>
        <v>8.8888888888889427E-3</v>
      </c>
      <c r="CN39" s="2" vm="1570">
        <f ca="1"/>
        <v>29.48</v>
      </c>
      <c r="CO39" s="2">
        <f t="shared" ca="1" si="45"/>
        <v>5.1142175247187909E-3</v>
      </c>
      <c r="CP39" s="2" vm="1571">
        <f ca="1"/>
        <v>24.187200000000001</v>
      </c>
      <c r="CQ39" s="2">
        <f t="shared" ca="1" si="46"/>
        <v>1.5713257854568845E-4</v>
      </c>
    </row>
    <row r="40" spans="1:95" x14ac:dyDescent="0.2">
      <c r="A40" s="7" vm="1572">
        <f ca="1"/>
        <v>45628</v>
      </c>
      <c r="B40" s="2" vm="1573">
        <f ca="1"/>
        <v>239.59</v>
      </c>
      <c r="C40" s="2">
        <f t="shared" ca="1" si="0"/>
        <v>9.5226056545737615E-3</v>
      </c>
      <c r="D40" s="2" vm="1574">
        <f ca="1"/>
        <v>138.63</v>
      </c>
      <c r="E40" s="2">
        <f t="shared" ca="1" si="1"/>
        <v>2.7486437613019562E-3</v>
      </c>
      <c r="F40" s="2" vm="1575">
        <f ca="1"/>
        <v>430.98</v>
      </c>
      <c r="G40" s="2">
        <f t="shared" ca="1" si="2"/>
        <v>1.7758465970811974E-2</v>
      </c>
      <c r="H40" s="2" vm="1576">
        <f ca="1"/>
        <v>592.83000000000004</v>
      </c>
      <c r="I40" s="2">
        <f t="shared" ca="1" si="3"/>
        <v>3.2229419139155856E-2</v>
      </c>
      <c r="J40" s="2" vm="1577">
        <f ca="1"/>
        <v>171.49</v>
      </c>
      <c r="K40" s="2">
        <f t="shared" ca="1" si="4"/>
        <v>1.5034033737792368E-2</v>
      </c>
      <c r="L40" s="2" vm="1578">
        <f ca="1"/>
        <v>603.63</v>
      </c>
      <c r="M40" s="2">
        <f t="shared" ca="1" si="5"/>
        <v>1.7923823749067147E-3</v>
      </c>
      <c r="N40" s="2" vm="368">
        <f ca="1"/>
        <v>93.87</v>
      </c>
      <c r="O40" s="2">
        <f t="shared" ca="1" si="6"/>
        <v>-1.0641694157709303E-3</v>
      </c>
      <c r="P40" s="2" vm="1579">
        <f ca="1"/>
        <v>243.44</v>
      </c>
      <c r="Q40" s="2">
        <f t="shared" ca="1" si="7"/>
        <v>-8.7544281118938291E-3</v>
      </c>
      <c r="R40" s="2" vm="1580">
        <f ca="1"/>
        <v>71.040000000000006</v>
      </c>
      <c r="S40" s="2">
        <f t="shared" ca="1" si="8"/>
        <v>-7.9597821533304459E-3</v>
      </c>
      <c r="T40" s="2" vm="498">
        <f ca="1"/>
        <v>94.89</v>
      </c>
      <c r="U40" s="2">
        <f t="shared" ca="1" si="9"/>
        <v>-3.1515915537346064E-3</v>
      </c>
      <c r="V40" s="2" vm="1581">
        <f ca="1"/>
        <v>47.704999999999998</v>
      </c>
      <c r="W40" s="2">
        <f t="shared" ca="1" si="10"/>
        <v>3.8585262945984303E-4</v>
      </c>
      <c r="X40" s="2" vm="1582">
        <f ca="1"/>
        <v>172.34</v>
      </c>
      <c r="Y40" s="2">
        <f t="shared" ca="1" si="11"/>
        <v>-1.5368793921042094E-2</v>
      </c>
      <c r="Z40" s="2" vm="748">
        <f ca="1"/>
        <v>94.52</v>
      </c>
      <c r="AA40" s="2">
        <f t="shared" ca="1" si="12"/>
        <v>-1.0572594996336284E-2</v>
      </c>
      <c r="AB40" s="2" vm="1583">
        <f ca="1"/>
        <v>14.15</v>
      </c>
      <c r="AC40" s="2">
        <f t="shared" ca="1" si="13"/>
        <v>-9.1036414565825643E-3</v>
      </c>
      <c r="AD40" s="2" vm="1584">
        <f ca="1"/>
        <v>3.6</v>
      </c>
      <c r="AE40" s="2">
        <f t="shared" ca="1" si="14"/>
        <v>9.0909090909090995E-2</v>
      </c>
      <c r="AF40" s="2" vm="1585">
        <f ca="1"/>
        <v>27.79</v>
      </c>
      <c r="AG40" s="2">
        <f t="shared" ca="1" si="15"/>
        <v>-4.6561604584528134E-3</v>
      </c>
      <c r="AH40" s="2" vm="1586">
        <f ca="1"/>
        <v>26.56</v>
      </c>
      <c r="AI40" s="2">
        <f t="shared" ca="1" si="16"/>
        <v>-7.4738415545591488E-3</v>
      </c>
      <c r="AJ40" s="2" vm="1587">
        <f ca="1"/>
        <v>4.7699999999999996</v>
      </c>
      <c r="AK40" s="2">
        <f t="shared" ca="1" si="17"/>
        <v>-4.1753653444677376E-3</v>
      </c>
      <c r="AL40" s="2" vm="1588">
        <f ca="1"/>
        <v>52.25</v>
      </c>
      <c r="AM40" s="2">
        <f t="shared" ca="1" si="18"/>
        <v>-8.538899430740092E-3</v>
      </c>
      <c r="AN40" s="2" vm="1589">
        <f ca="1"/>
        <v>86.72</v>
      </c>
      <c r="AO40" s="2">
        <f t="shared" ca="1" si="19"/>
        <v>-3.905352630369899E-3</v>
      </c>
      <c r="AP40" s="2" vm="508">
        <f ca="1"/>
        <v>26.34</v>
      </c>
      <c r="AQ40" s="2">
        <f t="shared" ca="1" si="20"/>
        <v>-2.6505111700113699E-3</v>
      </c>
      <c r="AR40" s="2" vm="1590">
        <f ca="1"/>
        <v>50.86</v>
      </c>
      <c r="AS40" s="2">
        <f t="shared" ca="1" si="21"/>
        <v>-4.1120031329547847E-3</v>
      </c>
      <c r="AT40" s="2" vm="800">
        <f ca="1"/>
        <v>29.01</v>
      </c>
      <c r="AU40" s="2">
        <f t="shared" ca="1" si="22"/>
        <v>-3.777472527472508E-3</v>
      </c>
      <c r="AV40" s="2" vm="1591">
        <f ca="1"/>
        <v>27.85</v>
      </c>
      <c r="AW40" s="2">
        <f t="shared" ca="1" si="23"/>
        <v>-7.1761750986722541E-4</v>
      </c>
      <c r="AX40" s="2" vm="1592">
        <f ca="1"/>
        <v>91.47</v>
      </c>
      <c r="AY40" s="2">
        <f t="shared" ca="1" si="24"/>
        <v>-3.3776421878405128E-3</v>
      </c>
      <c r="AZ40" s="2" vm="1593">
        <f ca="1"/>
        <v>477.33</v>
      </c>
      <c r="BA40" s="2">
        <f t="shared" ca="1" si="25"/>
        <v>-1.1780050515506599E-2</v>
      </c>
      <c r="BB40" s="2" vm="1594">
        <f ca="1"/>
        <v>246.25</v>
      </c>
      <c r="BC40" s="2">
        <f t="shared" ca="1" si="26"/>
        <v>-1.3895563030594261E-2</v>
      </c>
      <c r="BD40" s="2" vm="1595">
        <f ca="1"/>
        <v>47.04</v>
      </c>
      <c r="BE40" s="2">
        <f t="shared" ca="1" si="27"/>
        <v>-9.8926541780677522E-3</v>
      </c>
      <c r="BF40" s="2" vm="1596">
        <f ca="1"/>
        <v>117.85</v>
      </c>
      <c r="BG40" s="2">
        <f t="shared" ca="1" si="28"/>
        <v>-9.3251949813495628E-4</v>
      </c>
      <c r="BH40" s="2" vm="1597">
        <f ca="1"/>
        <v>162.21</v>
      </c>
      <c r="BI40" s="2">
        <f t="shared" ca="1" si="29"/>
        <v>1.7291422219477622E-3</v>
      </c>
      <c r="BJ40" s="2" vm="1598">
        <f ca="1"/>
        <v>154.80000000000001</v>
      </c>
      <c r="BK40" s="2">
        <f t="shared" ca="1" si="30"/>
        <v>-1.3547513063671991E-3</v>
      </c>
      <c r="BL40" s="2" vm="1599">
        <f ca="1"/>
        <v>63.65</v>
      </c>
      <c r="BM40" s="2">
        <f t="shared" ca="1" si="31"/>
        <v>-6.7103620474406947E-3</v>
      </c>
      <c r="BN40" s="2" vm="1600">
        <f ca="1"/>
        <v>292.44</v>
      </c>
      <c r="BO40" s="2">
        <f t="shared" ca="1" si="32"/>
        <v>-1.2060403364751168E-2</v>
      </c>
      <c r="BP40" s="2" vm="1601">
        <f ca="1"/>
        <v>117.16</v>
      </c>
      <c r="BQ40" s="2">
        <f t="shared" ca="1" si="33"/>
        <v>-2.6389716523367861E-3</v>
      </c>
      <c r="BR40" s="2" vm="1602">
        <f ca="1"/>
        <v>897.74</v>
      </c>
      <c r="BS40" s="2">
        <f t="shared" ca="1" si="34"/>
        <v>1.2325075269787288E-2</v>
      </c>
      <c r="BT40" s="2" vm="1603">
        <f ca="1"/>
        <v>179.7</v>
      </c>
      <c r="BU40" s="2">
        <f t="shared" ca="1" si="35"/>
        <v>2.4545353118375418E-3</v>
      </c>
      <c r="BV40" s="2" vm="1454">
        <f ca="1"/>
        <v>163.05000000000001</v>
      </c>
      <c r="BW40" s="2">
        <f t="shared" ca="1" si="36"/>
        <v>-2.4472315692871047E-3</v>
      </c>
      <c r="BX40" s="2" vm="1604">
        <f ca="1"/>
        <v>302.39999999999998</v>
      </c>
      <c r="BY40" s="2">
        <f t="shared" ca="1" si="37"/>
        <v>-2.9673590504452163E-3</v>
      </c>
      <c r="BZ40" s="2" vm="1605">
        <f ca="1"/>
        <v>98.15</v>
      </c>
      <c r="CA40" s="2">
        <f t="shared" ca="1" si="38"/>
        <v>-1.2972646822204264E-2</v>
      </c>
      <c r="CB40" s="2" vm="1606">
        <f ca="1"/>
        <v>31.978400000000001</v>
      </c>
      <c r="CC40" s="2">
        <f t="shared" ca="1" si="39"/>
        <v>-6.1041560475899471E-3</v>
      </c>
      <c r="CD40" s="2" t="e" vm="92">
        <f ca="1"/>
        <v>#N/A</v>
      </c>
      <c r="CE40" s="2" t="e" vm="140">
        <f t="shared" ca="1" si="40"/>
        <v>#N/A</v>
      </c>
      <c r="CF40" s="2" vm="483">
        <f ca="1"/>
        <v>22.9</v>
      </c>
      <c r="CG40" s="2">
        <f t="shared" ca="1" si="41"/>
        <v>-1.9612115929397126E-3</v>
      </c>
      <c r="CH40" s="2" vm="1024">
        <f ca="1"/>
        <v>58.24</v>
      </c>
      <c r="CI40" s="2">
        <f t="shared" ca="1" si="42"/>
        <v>-3.4223134839150536E-3</v>
      </c>
      <c r="CJ40" s="2" vm="735">
        <f ca="1"/>
        <v>58.83</v>
      </c>
      <c r="CK40" s="2">
        <f t="shared" ca="1" si="43"/>
        <v>-3.388107741826238E-3</v>
      </c>
      <c r="CL40" s="2" vm="1607">
        <f ca="1"/>
        <v>58.92</v>
      </c>
      <c r="CM40" s="2">
        <f t="shared" ca="1" si="44"/>
        <v>-1.6943409013893836E-3</v>
      </c>
      <c r="CN40" s="2" vm="1608">
        <f ca="1"/>
        <v>29.38</v>
      </c>
      <c r="CO40" s="2">
        <f t="shared" ca="1" si="45"/>
        <v>-3.3921302578019479E-3</v>
      </c>
      <c r="CP40" s="2" vm="1609">
        <f ca="1"/>
        <v>23.7911</v>
      </c>
      <c r="CQ40" s="2">
        <f t="shared" ca="1" si="46"/>
        <v>-1.6376430508698837E-2</v>
      </c>
    </row>
    <row r="41" spans="1:95" x14ac:dyDescent="0.2">
      <c r="A41" s="7" vm="1610">
        <f ca="1"/>
        <v>45629</v>
      </c>
      <c r="B41" s="2" vm="1611">
        <f ca="1"/>
        <v>242.65</v>
      </c>
      <c r="C41" s="2">
        <f t="shared" ca="1" si="0"/>
        <v>1.2771818523310665E-2</v>
      </c>
      <c r="D41" s="2" vm="1612">
        <f ca="1"/>
        <v>140.26</v>
      </c>
      <c r="E41" s="2">
        <f t="shared" ca="1" si="1"/>
        <v>1.1757916756834708E-2</v>
      </c>
      <c r="F41" s="2" vm="1613">
        <f ca="1"/>
        <v>431.2</v>
      </c>
      <c r="G41" s="2">
        <f t="shared" ca="1" si="2"/>
        <v>5.1046452271560265E-4</v>
      </c>
      <c r="H41" s="2" vm="1614">
        <f ca="1"/>
        <v>613.65</v>
      </c>
      <c r="I41" s="2">
        <f t="shared" ca="1" si="3"/>
        <v>3.5119680178128526E-2</v>
      </c>
      <c r="J41" s="2" vm="1615">
        <f ca="1"/>
        <v>171.34</v>
      </c>
      <c r="K41" s="2">
        <f t="shared" ca="1" si="4"/>
        <v>-8.7468657064555182E-4</v>
      </c>
      <c r="L41" s="2" vm="1616">
        <f ca="1"/>
        <v>603.91</v>
      </c>
      <c r="M41" s="2">
        <f t="shared" ca="1" si="5"/>
        <v>4.6386031178035009E-4</v>
      </c>
      <c r="N41" s="2" vm="1617">
        <f ca="1"/>
        <v>93.06</v>
      </c>
      <c r="O41" s="2">
        <f t="shared" ca="1" si="6"/>
        <v>-8.6289549376797944E-3</v>
      </c>
      <c r="P41" s="2" vm="1618">
        <f ca="1"/>
        <v>243.93</v>
      </c>
      <c r="Q41" s="2">
        <f t="shared" ca="1" si="7"/>
        <v>2.0128162997042768E-3</v>
      </c>
      <c r="R41" s="2" vm="1619">
        <f ca="1"/>
        <v>73.040000000000006</v>
      </c>
      <c r="S41" s="2">
        <f t="shared" ca="1" si="8"/>
        <v>2.815315315315315E-2</v>
      </c>
      <c r="T41" s="2" vm="1620">
        <f ca="1"/>
        <v>94.62</v>
      </c>
      <c r="U41" s="2">
        <f t="shared" ca="1" si="9"/>
        <v>-2.8453999367688484E-3</v>
      </c>
      <c r="V41" s="2" vm="1621">
        <f ca="1"/>
        <v>47.62</v>
      </c>
      <c r="W41" s="2">
        <f t="shared" ca="1" si="10"/>
        <v>-1.781783880096444E-3</v>
      </c>
      <c r="X41" s="2" vm="1622">
        <f ca="1"/>
        <v>173</v>
      </c>
      <c r="Y41" s="2">
        <f t="shared" ca="1" si="11"/>
        <v>3.8296390855285865E-3</v>
      </c>
      <c r="Z41" s="2" vm="464">
        <f ca="1"/>
        <v>94.51</v>
      </c>
      <c r="AA41" s="2">
        <f t="shared" ca="1" si="12"/>
        <v>-1.0579771476926476E-4</v>
      </c>
      <c r="AB41" s="2" vm="1623">
        <f ca="1"/>
        <v>14.56</v>
      </c>
      <c r="AC41" s="2">
        <f t="shared" ca="1" si="13"/>
        <v>2.8975265017667853E-2</v>
      </c>
      <c r="AD41" s="2" vm="1624">
        <f ca="1"/>
        <v>3.7</v>
      </c>
      <c r="AE41" s="2">
        <f t="shared" ca="1" si="14"/>
        <v>2.7777777777777801E-2</v>
      </c>
      <c r="AF41" s="2" vm="296">
        <f ca="1"/>
        <v>28.28</v>
      </c>
      <c r="AG41" s="2">
        <f t="shared" ca="1" si="15"/>
        <v>1.7632241813602088E-2</v>
      </c>
      <c r="AH41" s="2" vm="1625">
        <f ca="1"/>
        <v>26.44</v>
      </c>
      <c r="AI41" s="2">
        <f t="shared" ca="1" si="16"/>
        <v>-4.51807228915653E-3</v>
      </c>
      <c r="AJ41" s="2" vm="1626">
        <f ca="1"/>
        <v>4.78</v>
      </c>
      <c r="AK41" s="2">
        <f t="shared" ca="1" si="17"/>
        <v>2.0964360587003511E-3</v>
      </c>
      <c r="AL41" s="2" vm="1627">
        <f ca="1"/>
        <v>52.34</v>
      </c>
      <c r="AM41" s="2">
        <f t="shared" ca="1" si="18"/>
        <v>1.7224880382775772E-3</v>
      </c>
      <c r="AN41" s="2" vm="1628">
        <f ca="1"/>
        <v>87.24</v>
      </c>
      <c r="AO41" s="2">
        <f t="shared" ca="1" si="19"/>
        <v>5.9963099630995853E-3</v>
      </c>
      <c r="AP41" s="2" vm="508">
        <f ca="1"/>
        <v>26.34</v>
      </c>
      <c r="AQ41" s="2">
        <f t="shared" ca="1" si="20"/>
        <v>0</v>
      </c>
      <c r="AR41" s="2" vm="1590">
        <f ca="1"/>
        <v>50.86</v>
      </c>
      <c r="AS41" s="2">
        <f t="shared" ca="1" si="21"/>
        <v>0</v>
      </c>
      <c r="AT41" s="2" vm="885">
        <f ca="1"/>
        <v>29.02</v>
      </c>
      <c r="AU41" s="2">
        <f t="shared" ca="1" si="22"/>
        <v>3.4470872113057598E-4</v>
      </c>
      <c r="AV41" s="2" vm="1629">
        <f ca="1"/>
        <v>27.66</v>
      </c>
      <c r="AW41" s="2">
        <f t="shared" ca="1" si="23"/>
        <v>-6.8222621184919662E-3</v>
      </c>
      <c r="AX41" s="2" vm="1630">
        <f ca="1"/>
        <v>91.49</v>
      </c>
      <c r="AY41" s="2">
        <f t="shared" ca="1" si="24"/>
        <v>2.1865092380010954E-4</v>
      </c>
      <c r="AZ41" s="2" vm="1631">
        <f ca="1"/>
        <v>470.19</v>
      </c>
      <c r="BA41" s="2">
        <f t="shared" ca="1" si="25"/>
        <v>-1.4958205015398124E-2</v>
      </c>
      <c r="BB41" s="2" vm="1632">
        <f ca="1"/>
        <v>244.82</v>
      </c>
      <c r="BC41" s="2">
        <f t="shared" ca="1" si="26"/>
        <v>-5.8071065989847995E-3</v>
      </c>
      <c r="BD41" s="2" vm="1633">
        <f ca="1"/>
        <v>46.82</v>
      </c>
      <c r="BE41" s="2">
        <f t="shared" ca="1" si="27"/>
        <v>-4.6768707482992954E-3</v>
      </c>
      <c r="BF41" s="2" vm="1634">
        <f ca="1"/>
        <v>117.67</v>
      </c>
      <c r="BG41" s="2">
        <f t="shared" ca="1" si="28"/>
        <v>-1.527365294866293E-3</v>
      </c>
      <c r="BH41" s="2" vm="1635">
        <f ca="1"/>
        <v>161.91999999999999</v>
      </c>
      <c r="BI41" s="2">
        <f t="shared" ca="1" si="29"/>
        <v>-1.7878059305839371E-3</v>
      </c>
      <c r="BJ41" s="2" vm="1636">
        <f ca="1"/>
        <v>152.36000000000001</v>
      </c>
      <c r="BK41" s="2">
        <f t="shared" ca="1" si="30"/>
        <v>-1.576227390180877E-2</v>
      </c>
      <c r="BL41" s="2" vm="1637">
        <f ca="1"/>
        <v>63.52</v>
      </c>
      <c r="BM41" s="2">
        <f t="shared" ca="1" si="31"/>
        <v>-2.0424194815395987E-3</v>
      </c>
      <c r="BN41" s="2" vm="1638">
        <f ca="1"/>
        <v>294.5</v>
      </c>
      <c r="BO41" s="2">
        <f t="shared" ca="1" si="32"/>
        <v>7.0441800027356118E-3</v>
      </c>
      <c r="BP41" s="2" vm="1639">
        <f ca="1"/>
        <v>116.45</v>
      </c>
      <c r="BQ41" s="2">
        <f t="shared" ca="1" si="33"/>
        <v>-6.0600887674973859E-3</v>
      </c>
      <c r="BR41" s="2" vm="1640">
        <f ca="1"/>
        <v>902.17</v>
      </c>
      <c r="BS41" s="2">
        <f t="shared" ca="1" si="34"/>
        <v>4.9346135852250655E-3</v>
      </c>
      <c r="BT41" s="2" vm="1641">
        <f ca="1"/>
        <v>175.42</v>
      </c>
      <c r="BU41" s="2">
        <f t="shared" ca="1" si="35"/>
        <v>-2.3817473567056213E-2</v>
      </c>
      <c r="BV41" s="2" vm="1642">
        <f ca="1"/>
        <v>161.69999999999999</v>
      </c>
      <c r="BW41" s="2">
        <f t="shared" ca="1" si="36"/>
        <v>-8.2796688132476086E-3</v>
      </c>
      <c r="BX41" s="2" vm="1643">
        <f ca="1"/>
        <v>303.14999999999998</v>
      </c>
      <c r="BY41" s="2">
        <f t="shared" ca="1" si="37"/>
        <v>2.4801587301587305E-3</v>
      </c>
      <c r="BZ41" s="2" vm="1644">
        <f ca="1"/>
        <v>98.2</v>
      </c>
      <c r="CA41" s="2">
        <f t="shared" ca="1" si="38"/>
        <v>5.0942435048392418E-4</v>
      </c>
      <c r="CB41" s="2" vm="1645">
        <f ca="1"/>
        <v>31.87</v>
      </c>
      <c r="CC41" s="2">
        <f t="shared" ca="1" si="39"/>
        <v>-3.389788106972194E-3</v>
      </c>
      <c r="CD41" s="2" t="e" vm="92">
        <f ca="1"/>
        <v>#N/A</v>
      </c>
      <c r="CE41" s="2" t="e" vm="140">
        <f t="shared" ca="1" si="40"/>
        <v>#N/A</v>
      </c>
      <c r="CF41" s="2" vm="1646">
        <f ca="1"/>
        <v>22.85</v>
      </c>
      <c r="CG41" s="2">
        <f t="shared" ca="1" si="41"/>
        <v>-2.1834061135369938E-3</v>
      </c>
      <c r="CH41" s="2" vm="1024">
        <f ca="1"/>
        <v>58.24</v>
      </c>
      <c r="CI41" s="2">
        <f t="shared" ca="1" si="42"/>
        <v>0</v>
      </c>
      <c r="CJ41" s="2" vm="1459">
        <f ca="1"/>
        <v>58.75</v>
      </c>
      <c r="CK41" s="2">
        <f t="shared" ca="1" si="43"/>
        <v>-1.359850416454161E-3</v>
      </c>
      <c r="CL41" s="2" vm="777">
        <f ca="1"/>
        <v>58.48</v>
      </c>
      <c r="CM41" s="2">
        <f t="shared" ca="1" si="44"/>
        <v>-7.4677528852682418E-3</v>
      </c>
      <c r="CN41" s="2" vm="1647">
        <f ca="1"/>
        <v>29.31</v>
      </c>
      <c r="CO41" s="2">
        <f t="shared" ca="1" si="45"/>
        <v>-2.3825731790333656E-3</v>
      </c>
      <c r="CP41" s="2" vm="1648">
        <f ca="1"/>
        <v>23.679099999999998</v>
      </c>
      <c r="CQ41" s="2">
        <f t="shared" ca="1" si="46"/>
        <v>-4.7076427739785832E-3</v>
      </c>
    </row>
    <row r="42" spans="1:95" x14ac:dyDescent="0.2">
      <c r="A42" s="7" vm="1649">
        <f ca="1"/>
        <v>45630</v>
      </c>
      <c r="B42" s="2" vm="1650">
        <f ca="1"/>
        <v>243.01</v>
      </c>
      <c r="C42" s="2">
        <f t="shared" ca="1" si="0"/>
        <v>1.4836183803832071E-3</v>
      </c>
      <c r="D42" s="2" vm="1651">
        <f ca="1"/>
        <v>145.13999999999999</v>
      </c>
      <c r="E42" s="2">
        <f t="shared" ca="1" si="1"/>
        <v>3.4792528161984852E-2</v>
      </c>
      <c r="F42" s="2" vm="1652">
        <f ca="1"/>
        <v>437.42</v>
      </c>
      <c r="G42" s="2">
        <f t="shared" ca="1" si="2"/>
        <v>1.4424860853432345E-2</v>
      </c>
      <c r="H42" s="2" vm="1653">
        <f ca="1"/>
        <v>613.78</v>
      </c>
      <c r="I42" s="2">
        <f t="shared" ca="1" si="3"/>
        <v>2.1184714413753029E-4</v>
      </c>
      <c r="J42" s="2" vm="479">
        <f ca="1"/>
        <v>174.37</v>
      </c>
      <c r="K42" s="2">
        <f t="shared" ca="1" si="4"/>
        <v>1.7684136804015413E-2</v>
      </c>
      <c r="L42" s="2" vm="1654">
        <f ca="1"/>
        <v>607.66</v>
      </c>
      <c r="M42" s="2">
        <f t="shared" ca="1" si="5"/>
        <v>6.2095345332913851E-3</v>
      </c>
      <c r="N42" s="2" vm="1655">
        <f ca="1"/>
        <v>94.06</v>
      </c>
      <c r="O42" s="2">
        <f t="shared" ca="1" si="6"/>
        <v>1.0745755426606491E-2</v>
      </c>
      <c r="P42" s="2" vm="1656">
        <f ca="1"/>
        <v>244.67</v>
      </c>
      <c r="Q42" s="2">
        <f t="shared" ca="1" si="7"/>
        <v>3.0336571967366894E-3</v>
      </c>
      <c r="R42" s="2" vm="1657">
        <f ca="1"/>
        <v>71.88</v>
      </c>
      <c r="S42" s="2">
        <f t="shared" ca="1" si="8"/>
        <v>-1.5881708652793137E-2</v>
      </c>
      <c r="T42" s="2" vm="1658">
        <f ca="1"/>
        <v>94.98</v>
      </c>
      <c r="U42" s="2">
        <f t="shared" ca="1" si="9"/>
        <v>3.8046924540266268E-3</v>
      </c>
      <c r="V42" s="2" vm="1659">
        <f ca="1"/>
        <v>47.755000000000003</v>
      </c>
      <c r="W42" s="2">
        <f t="shared" ca="1" si="10"/>
        <v>2.834943301134085E-3</v>
      </c>
      <c r="X42" s="2" vm="1660">
        <f ca="1"/>
        <v>174.73</v>
      </c>
      <c r="Y42" s="2">
        <f t="shared" ca="1" si="11"/>
        <v>9.9999999999999412E-3</v>
      </c>
      <c r="Z42" s="2" vm="410">
        <f ca="1"/>
        <v>92.23</v>
      </c>
      <c r="AA42" s="2">
        <f t="shared" ca="1" si="12"/>
        <v>-2.4124431277113542E-2</v>
      </c>
      <c r="AB42" s="2" vm="1661">
        <f ca="1"/>
        <v>14.3</v>
      </c>
      <c r="AC42" s="2">
        <f t="shared" ca="1" si="13"/>
        <v>-1.7857142857142842E-2</v>
      </c>
      <c r="AD42" s="2" vm="1662">
        <f ca="1"/>
        <v>3.79</v>
      </c>
      <c r="AE42" s="2">
        <f t="shared" ca="1" si="14"/>
        <v>2.4324324324324284E-2</v>
      </c>
      <c r="AF42" s="2" vm="1663">
        <f ca="1"/>
        <v>28.53</v>
      </c>
      <c r="AG42" s="2">
        <f t="shared" ca="1" si="15"/>
        <v>8.8401697312588401E-3</v>
      </c>
      <c r="AH42" s="2" vm="211">
        <f ca="1"/>
        <v>26.55</v>
      </c>
      <c r="AI42" s="2">
        <f t="shared" ca="1" si="16"/>
        <v>4.1603630862329585E-3</v>
      </c>
      <c r="AJ42" s="2" vm="1664">
        <f ca="1"/>
        <v>4.76</v>
      </c>
      <c r="AK42" s="2">
        <f t="shared" ca="1" si="17"/>
        <v>-4.1841004184101386E-3</v>
      </c>
      <c r="AL42" s="2" vm="1665">
        <f ca="1"/>
        <v>52.5</v>
      </c>
      <c r="AM42" s="2">
        <f t="shared" ca="1" si="18"/>
        <v>3.0569354222391397E-3</v>
      </c>
      <c r="AN42" s="2" vm="1666">
        <f ca="1"/>
        <v>86.21</v>
      </c>
      <c r="AO42" s="2">
        <f t="shared" ca="1" si="19"/>
        <v>-1.1806510774873925E-2</v>
      </c>
      <c r="AP42" s="2" vm="1667">
        <f ca="1"/>
        <v>26.43</v>
      </c>
      <c r="AQ42" s="2">
        <f t="shared" ca="1" si="20"/>
        <v>3.4168564920273293E-3</v>
      </c>
      <c r="AR42" s="2" vm="843">
        <f ca="1"/>
        <v>50.88</v>
      </c>
      <c r="AS42" s="2">
        <f t="shared" ca="1" si="21"/>
        <v>3.9323633503741891E-4</v>
      </c>
      <c r="AT42" s="2" vm="1441">
        <f ca="1"/>
        <v>29.05</v>
      </c>
      <c r="AU42" s="2">
        <f t="shared" ca="1" si="22"/>
        <v>1.0337698139214727E-3</v>
      </c>
      <c r="AV42" s="2" vm="1668">
        <f ca="1"/>
        <v>27.91</v>
      </c>
      <c r="AW42" s="2">
        <f t="shared" ca="1" si="23"/>
        <v>9.0383224873463487E-3</v>
      </c>
      <c r="AX42" s="2" vm="845">
        <f ca="1"/>
        <v>91.5</v>
      </c>
      <c r="AY42" s="2">
        <f t="shared" ca="1" si="24"/>
        <v>1.09301563012407E-4</v>
      </c>
      <c r="AZ42" s="2" vm="1669">
        <f ca="1"/>
        <v>468.32</v>
      </c>
      <c r="BA42" s="2">
        <f t="shared" ca="1" si="25"/>
        <v>-3.9771156341053713E-3</v>
      </c>
      <c r="BB42" s="2" vm="1670">
        <f ca="1"/>
        <v>243.4</v>
      </c>
      <c r="BC42" s="2">
        <f t="shared" ca="1" si="26"/>
        <v>-5.8001797238787173E-3</v>
      </c>
      <c r="BD42" s="2" vm="1671">
        <f ca="1"/>
        <v>46.37</v>
      </c>
      <c r="BE42" s="2">
        <f t="shared" ca="1" si="27"/>
        <v>-9.6112772319522175E-3</v>
      </c>
      <c r="BF42" s="2" vm="1672">
        <f ca="1"/>
        <v>114.28</v>
      </c>
      <c r="BG42" s="2">
        <f t="shared" ca="1" si="28"/>
        <v>-2.8809382170476763E-2</v>
      </c>
      <c r="BH42" s="2" vm="1673">
        <f ca="1"/>
        <v>158.32</v>
      </c>
      <c r="BI42" s="2">
        <f t="shared" ca="1" si="29"/>
        <v>-2.2233201581027633E-2</v>
      </c>
      <c r="BJ42" s="2" vm="1674">
        <f ca="1"/>
        <v>150.47</v>
      </c>
      <c r="BK42" s="2">
        <f t="shared" ca="1" si="30"/>
        <v>-1.2404830664216425E-2</v>
      </c>
      <c r="BL42" s="2" vm="1675">
        <f ca="1"/>
        <v>62.21</v>
      </c>
      <c r="BM42" s="2">
        <f t="shared" ca="1" si="31"/>
        <v>-2.0623425692695249E-2</v>
      </c>
      <c r="BN42" s="2" vm="1676">
        <f ca="1"/>
        <v>295.08999999999997</v>
      </c>
      <c r="BO42" s="2">
        <f t="shared" ca="1" si="32"/>
        <v>2.003395585738455E-3</v>
      </c>
      <c r="BP42" s="2" vm="1677">
        <f ca="1"/>
        <v>116.99</v>
      </c>
      <c r="BQ42" s="2">
        <f t="shared" ca="1" si="33"/>
        <v>4.6371833404894123E-3</v>
      </c>
      <c r="BR42" s="2" vm="1678">
        <f ca="1"/>
        <v>911.06</v>
      </c>
      <c r="BS42" s="2">
        <f t="shared" ca="1" si="34"/>
        <v>9.8540186439362715E-3</v>
      </c>
      <c r="BT42" s="2" vm="1679">
        <f ca="1"/>
        <v>175.11</v>
      </c>
      <c r="BU42" s="2">
        <f t="shared" ca="1" si="35"/>
        <v>-1.7671873218559678E-3</v>
      </c>
      <c r="BV42" s="2" vm="1680">
        <f ca="1"/>
        <v>160.18</v>
      </c>
      <c r="BW42" s="2">
        <f t="shared" ca="1" si="36"/>
        <v>-9.4001236858378603E-3</v>
      </c>
      <c r="BX42" s="2" vm="1681">
        <f ca="1"/>
        <v>297.23</v>
      </c>
      <c r="BY42" s="2">
        <f t="shared" ca="1" si="37"/>
        <v>-1.9528286326900741E-2</v>
      </c>
      <c r="BZ42" s="2" vm="563">
        <f ca="1"/>
        <v>95.4</v>
      </c>
      <c r="CA42" s="2">
        <f t="shared" ca="1" si="38"/>
        <v>-2.8513238289205673E-2</v>
      </c>
      <c r="CB42" s="2" vm="1682">
        <f ca="1"/>
        <v>30.95</v>
      </c>
      <c r="CC42" s="2">
        <f t="shared" ca="1" si="39"/>
        <v>-2.8867273297772254E-2</v>
      </c>
      <c r="CD42" s="2" t="e" vm="92">
        <f ca="1"/>
        <v>#N/A</v>
      </c>
      <c r="CE42" s="2" t="e" vm="140">
        <f t="shared" ca="1" si="40"/>
        <v>#N/A</v>
      </c>
      <c r="CF42" s="2" vm="1683">
        <f ca="1"/>
        <v>22.925000000000001</v>
      </c>
      <c r="CG42" s="2">
        <f t="shared" ca="1" si="41"/>
        <v>3.2822757111597061E-3</v>
      </c>
      <c r="CH42" s="2" vm="1684">
        <f ca="1"/>
        <v>58.3</v>
      </c>
      <c r="CI42" s="2">
        <f t="shared" ca="1" si="42"/>
        <v>1.0302197802196972E-3</v>
      </c>
      <c r="CJ42" s="2" vm="1685">
        <f ca="1"/>
        <v>58.91</v>
      </c>
      <c r="CK42" s="2">
        <f t="shared" ca="1" si="43"/>
        <v>2.723404255319091E-3</v>
      </c>
      <c r="CL42" s="2" vm="1569">
        <f ca="1"/>
        <v>59.03</v>
      </c>
      <c r="CM42" s="2">
        <f t="shared" ca="1" si="44"/>
        <v>9.4049247606019879E-3</v>
      </c>
      <c r="CN42" s="2" vm="1686">
        <f ca="1"/>
        <v>29.42</v>
      </c>
      <c r="CO42" s="2">
        <f t="shared" ca="1" si="45"/>
        <v>3.7529853292392694E-3</v>
      </c>
      <c r="CP42" s="2" vm="1687">
        <f ca="1"/>
        <v>23.672899999999998</v>
      </c>
      <c r="CQ42" s="2">
        <f t="shared" ca="1" si="46"/>
        <v>-2.6183427579594502E-4</v>
      </c>
    </row>
    <row r="43" spans="1:95" x14ac:dyDescent="0.2">
      <c r="A43" s="7" vm="1688">
        <f ca="1"/>
        <v>45631</v>
      </c>
      <c r="B43" s="2" vm="1689">
        <f ca="1"/>
        <v>243.04</v>
      </c>
      <c r="C43" s="2">
        <f t="shared" ca="1" si="0"/>
        <v>1.2345170980618549E-4</v>
      </c>
      <c r="D43" s="2" vm="1690">
        <f ca="1"/>
        <v>145.06</v>
      </c>
      <c r="E43" s="2">
        <f t="shared" ca="1" si="1"/>
        <v>-5.5119195259738251E-4</v>
      </c>
      <c r="F43" s="2" vm="1691">
        <f ca="1"/>
        <v>442.62</v>
      </c>
      <c r="G43" s="2">
        <f t="shared" ca="1" si="2"/>
        <v>1.1887888070961521E-2</v>
      </c>
      <c r="H43" s="2" vm="1692">
        <f ca="1"/>
        <v>608.92999999999995</v>
      </c>
      <c r="I43" s="2">
        <f t="shared" ca="1" si="3"/>
        <v>-7.9018540845254368E-3</v>
      </c>
      <c r="J43" s="2" vm="1693">
        <f ca="1"/>
        <v>172.64</v>
      </c>
      <c r="K43" s="2">
        <f t="shared" ca="1" si="4"/>
        <v>-9.9214314388944101E-3</v>
      </c>
      <c r="L43" s="2" vm="1694">
        <f ca="1"/>
        <v>606.66</v>
      </c>
      <c r="M43" s="2">
        <f t="shared" ca="1" si="5"/>
        <v>-1.6456571108843761E-3</v>
      </c>
      <c r="N43" s="2" vm="551">
        <f ca="1"/>
        <v>94.25</v>
      </c>
      <c r="O43" s="2">
        <f t="shared" ca="1" si="6"/>
        <v>2.0199872421858148E-3</v>
      </c>
      <c r="P43" s="2" vm="1695">
        <f ca="1"/>
        <v>242.86</v>
      </c>
      <c r="Q43" s="2">
        <f t="shared" ca="1" si="7"/>
        <v>-7.3977193771200961E-3</v>
      </c>
      <c r="R43" s="2" vm="1696">
        <f ca="1"/>
        <v>71.47</v>
      </c>
      <c r="S43" s="2">
        <f t="shared" ca="1" si="8"/>
        <v>-5.7039510294935531E-3</v>
      </c>
      <c r="T43" s="2" vm="221">
        <f ca="1"/>
        <v>94.97</v>
      </c>
      <c r="U43" s="2">
        <f t="shared" ca="1" si="9"/>
        <v>-1.0528532322599616E-4</v>
      </c>
      <c r="V43" s="2" vm="1697">
        <f ca="1"/>
        <v>47.784999999999997</v>
      </c>
      <c r="W43" s="2">
        <f t="shared" ca="1" si="10"/>
        <v>6.2820647052652136E-4</v>
      </c>
      <c r="X43" s="2" vm="1698">
        <f ca="1"/>
        <v>175.73</v>
      </c>
      <c r="Y43" s="2">
        <f t="shared" ca="1" si="11"/>
        <v>5.7231156641675733E-3</v>
      </c>
      <c r="Z43" s="2" vm="1699">
        <f ca="1"/>
        <v>92.59</v>
      </c>
      <c r="AA43" s="2">
        <f t="shared" ca="1" si="12"/>
        <v>3.9032852650981178E-3</v>
      </c>
      <c r="AB43" s="2" vm="1475">
        <f ca="1"/>
        <v>14.25</v>
      </c>
      <c r="AC43" s="2">
        <f t="shared" ca="1" si="13"/>
        <v>-3.4965034965035459E-3</v>
      </c>
      <c r="AD43" s="2" t="e" vm="92">
        <f ca="1"/>
        <v>#N/A</v>
      </c>
      <c r="AE43" s="2" t="e" vm="140">
        <f t="shared" ca="1" si="14"/>
        <v>#N/A</v>
      </c>
      <c r="AF43" s="2" vm="1700">
        <f ca="1"/>
        <v>28.56</v>
      </c>
      <c r="AG43" s="2">
        <f t="shared" ca="1" si="15"/>
        <v>1.0515247108306197E-3</v>
      </c>
      <c r="AH43" s="2" vm="1701">
        <f ca="1"/>
        <v>27</v>
      </c>
      <c r="AI43" s="2">
        <f t="shared" ca="1" si="16"/>
        <v>1.6949152542372854E-2</v>
      </c>
      <c r="AJ43" s="2" vm="1702">
        <f ca="1"/>
        <v>4.8499999999999996</v>
      </c>
      <c r="AK43" s="2">
        <f t="shared" ca="1" si="17"/>
        <v>1.8907563025210055E-2</v>
      </c>
      <c r="AL43" s="2" vm="1703">
        <f ca="1"/>
        <v>52.13</v>
      </c>
      <c r="AM43" s="2">
        <f t="shared" ca="1" si="18"/>
        <v>-7.0476190476189988E-3</v>
      </c>
      <c r="AN43" s="2" vm="1704">
        <f ca="1"/>
        <v>85.84</v>
      </c>
      <c r="AO43" s="2">
        <f t="shared" ca="1" si="19"/>
        <v>-4.2918454935621199E-3</v>
      </c>
      <c r="AP43" s="2" vm="1705">
        <f ca="1"/>
        <v>26.39</v>
      </c>
      <c r="AQ43" s="2">
        <f t="shared" ca="1" si="20"/>
        <v>-1.5134317063942168E-3</v>
      </c>
      <c r="AR43" s="2" vm="121">
        <f ca="1"/>
        <v>50.89</v>
      </c>
      <c r="AS43" s="2">
        <f t="shared" ca="1" si="21"/>
        <v>1.9654088050310555E-4</v>
      </c>
      <c r="AT43" s="2" vm="1441">
        <f ca="1"/>
        <v>29.05</v>
      </c>
      <c r="AU43" s="2">
        <f t="shared" ca="1" si="22"/>
        <v>0</v>
      </c>
      <c r="AV43" s="2" vm="1043">
        <f ca="1"/>
        <v>27.97</v>
      </c>
      <c r="AW43" s="2">
        <f t="shared" ca="1" si="23"/>
        <v>2.1497671085631931E-3</v>
      </c>
      <c r="AX43" s="2" vm="1706">
        <f ca="1"/>
        <v>91.51</v>
      </c>
      <c r="AY43" s="2">
        <f t="shared" ca="1" si="24"/>
        <v>1.0928961748639472E-4</v>
      </c>
      <c r="AZ43" s="2" vm="1707">
        <f ca="1"/>
        <v>470.57</v>
      </c>
      <c r="BA43" s="2">
        <f t="shared" ca="1" si="25"/>
        <v>4.8044072429108305E-3</v>
      </c>
      <c r="BB43" s="2" vm="1708">
        <f ca="1"/>
        <v>245.48</v>
      </c>
      <c r="BC43" s="2">
        <f t="shared" ca="1" si="26"/>
        <v>8.545603944124831E-3</v>
      </c>
      <c r="BD43" s="2" vm="1314">
        <f ca="1"/>
        <v>47</v>
      </c>
      <c r="BE43" s="2">
        <f t="shared" ca="1" si="27"/>
        <v>1.3586370498166973E-2</v>
      </c>
      <c r="BF43" s="2" vm="1709">
        <f ca="1"/>
        <v>114.78</v>
      </c>
      <c r="BG43" s="2">
        <f t="shared" ca="1" si="28"/>
        <v>4.3752187609380471E-3</v>
      </c>
      <c r="BH43" s="2" vm="1710">
        <f ca="1"/>
        <v>159.33000000000001</v>
      </c>
      <c r="BI43" s="2">
        <f t="shared" ca="1" si="29"/>
        <v>6.3794845881759684E-3</v>
      </c>
      <c r="BJ43" s="2" vm="1711">
        <f ca="1"/>
        <v>149.52000000000001</v>
      </c>
      <c r="BK43" s="2">
        <f t="shared" ca="1" si="30"/>
        <v>-6.3135508739282824E-3</v>
      </c>
      <c r="BL43" s="2" vm="1712">
        <f ca="1"/>
        <v>62.92</v>
      </c>
      <c r="BM43" s="2">
        <f t="shared" ca="1" si="31"/>
        <v>1.1412956116380017E-2</v>
      </c>
      <c r="BN43" s="2" vm="1713">
        <f ca="1"/>
        <v>299.47000000000003</v>
      </c>
      <c r="BO43" s="2">
        <f t="shared" ca="1" si="32"/>
        <v>1.4842929275814336E-2</v>
      </c>
      <c r="BP43" s="2" vm="1714">
        <f ca="1"/>
        <v>116.5</v>
      </c>
      <c r="BQ43" s="2">
        <f t="shared" ca="1" si="33"/>
        <v>-4.1883921702709197E-3</v>
      </c>
      <c r="BR43" s="2" vm="1715">
        <f ca="1"/>
        <v>917.87</v>
      </c>
      <c r="BS43" s="2">
        <f t="shared" ca="1" si="34"/>
        <v>7.4748095624877168E-3</v>
      </c>
      <c r="BT43" s="2" vm="1716">
        <f ca="1"/>
        <v>176.03</v>
      </c>
      <c r="BU43" s="2">
        <f t="shared" ca="1" si="35"/>
        <v>5.2538404431499482E-3</v>
      </c>
      <c r="BV43" s="2" vm="1717">
        <f ca="1"/>
        <v>160.49</v>
      </c>
      <c r="BW43" s="2">
        <f t="shared" ca="1" si="36"/>
        <v>1.9353227618928847E-3</v>
      </c>
      <c r="BX43" s="2" vm="1718">
        <f ca="1"/>
        <v>295.29000000000002</v>
      </c>
      <c r="BY43" s="2">
        <f t="shared" ca="1" si="37"/>
        <v>-6.5269320055176046E-3</v>
      </c>
      <c r="BZ43" s="2" vm="1719">
        <f ca="1"/>
        <v>95.36</v>
      </c>
      <c r="CA43" s="2">
        <f t="shared" ca="1" si="38"/>
        <v>-4.1928721174010745E-4</v>
      </c>
      <c r="CB43" s="2" vm="1720">
        <f ca="1"/>
        <v>30.89</v>
      </c>
      <c r="CC43" s="2">
        <f t="shared" ca="1" si="39"/>
        <v>-1.9386106623586017E-3</v>
      </c>
      <c r="CD43" s="2" t="e" vm="92">
        <f ca="1"/>
        <v>#N/A</v>
      </c>
      <c r="CE43" s="2" t="e" vm="140">
        <f t="shared" ca="1" si="40"/>
        <v>#N/A</v>
      </c>
      <c r="CF43" s="2" vm="1721">
        <f ca="1"/>
        <v>22.93</v>
      </c>
      <c r="CG43" s="2">
        <f t="shared" ca="1" si="41"/>
        <v>2.1810250817880066E-4</v>
      </c>
      <c r="CH43" s="2" vm="862">
        <f ca="1"/>
        <v>58.28</v>
      </c>
      <c r="CI43" s="2">
        <f t="shared" ca="1" si="42"/>
        <v>-3.4305317324178426E-4</v>
      </c>
      <c r="CJ43" s="2" vm="1722">
        <f ca="1"/>
        <v>58.9</v>
      </c>
      <c r="CK43" s="2">
        <f t="shared" ca="1" si="43"/>
        <v>-1.6975046681374999E-4</v>
      </c>
      <c r="CL43" s="2" vm="1723">
        <f ca="1"/>
        <v>59.13</v>
      </c>
      <c r="CM43" s="2">
        <f t="shared" ca="1" si="44"/>
        <v>1.694053870913119E-3</v>
      </c>
      <c r="CN43" s="2" vm="1724">
        <f ca="1"/>
        <v>29.43</v>
      </c>
      <c r="CO43" s="2">
        <f t="shared" ca="1" si="45"/>
        <v>3.3990482664847079E-4</v>
      </c>
      <c r="CP43" s="2" vm="1725">
        <f ca="1"/>
        <v>23.647300000000001</v>
      </c>
      <c r="CQ43" s="2">
        <f t="shared" ca="1" si="46"/>
        <v>-1.0814053200071466E-3</v>
      </c>
    </row>
    <row r="44" spans="1:95" x14ac:dyDescent="0.2">
      <c r="A44" s="7" vm="1726">
        <f ca="1"/>
        <v>45632</v>
      </c>
      <c r="B44" s="2" vm="1727">
        <f ca="1"/>
        <v>242.84</v>
      </c>
      <c r="C44" s="2">
        <f t="shared" ca="1" si="0"/>
        <v>-8.2290980908487758E-4</v>
      </c>
      <c r="D44" s="2" vm="1728">
        <f ca="1"/>
        <v>142.44</v>
      </c>
      <c r="E44" s="2">
        <f t="shared" ca="1" si="1"/>
        <v>-1.8061491796498033E-2</v>
      </c>
      <c r="F44" s="2" vm="1729">
        <f ca="1"/>
        <v>443.57</v>
      </c>
      <c r="G44" s="2">
        <f t="shared" ca="1" si="2"/>
        <v>2.1463106050336376E-3</v>
      </c>
      <c r="H44" s="2" vm="1730">
        <f ca="1"/>
        <v>623.77</v>
      </c>
      <c r="I44" s="2">
        <f t="shared" ca="1" si="3"/>
        <v>2.4370617312334805E-2</v>
      </c>
      <c r="J44" s="2" vm="1731">
        <f ca="1"/>
        <v>174.71</v>
      </c>
      <c r="K44" s="2">
        <f t="shared" ca="1" si="4"/>
        <v>1.1990268767377327E-2</v>
      </c>
      <c r="L44" s="2" vm="1732">
        <f ca="1"/>
        <v>607.80999999999995</v>
      </c>
      <c r="M44" s="2">
        <f t="shared" ca="1" si="5"/>
        <v>1.8956252266508049E-3</v>
      </c>
      <c r="N44" s="2" vm="1733">
        <f ca="1"/>
        <v>94.39</v>
      </c>
      <c r="O44" s="2">
        <f t="shared" ca="1" si="6"/>
        <v>1.4854111405835605E-3</v>
      </c>
      <c r="P44" s="2" vm="1469">
        <f ca="1"/>
        <v>242.95</v>
      </c>
      <c r="Q44" s="2">
        <f t="shared" ca="1" si="7"/>
        <v>3.7058387548371483E-4</v>
      </c>
      <c r="R44" s="2" vm="1734">
        <f ca="1"/>
        <v>70.239999999999995</v>
      </c>
      <c r="S44" s="2">
        <f t="shared" ca="1" si="8"/>
        <v>-1.7210018189450175E-2</v>
      </c>
      <c r="T44" s="2" vm="1735">
        <f ca="1"/>
        <v>95.27</v>
      </c>
      <c r="U44" s="2">
        <f t="shared" ca="1" si="9"/>
        <v>3.1588922817731616E-3</v>
      </c>
      <c r="V44" s="2" vm="1736">
        <f ca="1"/>
        <v>47.895000000000003</v>
      </c>
      <c r="W44" s="2">
        <f t="shared" ca="1" si="10"/>
        <v>2.3019776080361316E-3</v>
      </c>
      <c r="X44" s="2" vm="1737">
        <f ca="1"/>
        <v>177.85</v>
      </c>
      <c r="Y44" s="2">
        <f t="shared" ca="1" si="11"/>
        <v>1.2063961759517468E-2</v>
      </c>
      <c r="Z44" s="2" vm="1738">
        <f ca="1"/>
        <v>91.02</v>
      </c>
      <c r="AA44" s="2">
        <f t="shared" ca="1" si="12"/>
        <v>-1.6956474781293956E-2</v>
      </c>
      <c r="AB44" s="2" vm="1739">
        <f ca="1"/>
        <v>13.99</v>
      </c>
      <c r="AC44" s="2">
        <f t="shared" ca="1" si="13"/>
        <v>-1.8245614035087704E-2</v>
      </c>
      <c r="AD44" s="2" vm="1740">
        <f ca="1"/>
        <v>3.2</v>
      </c>
      <c r="AE44" s="2" t="e" vm="140">
        <f t="shared" ca="1" si="14"/>
        <v>#N/A</v>
      </c>
      <c r="AF44" s="2" vm="1741">
        <f ca="1"/>
        <v>28.25</v>
      </c>
      <c r="AG44" s="2">
        <f t="shared" ca="1" si="15"/>
        <v>-1.0854341736694634E-2</v>
      </c>
      <c r="AH44" s="2" vm="1742">
        <f ca="1"/>
        <v>27.25</v>
      </c>
      <c r="AI44" s="2">
        <f t="shared" ca="1" si="16"/>
        <v>9.2592592592592587E-3</v>
      </c>
      <c r="AJ44" s="2" vm="1200">
        <f ca="1"/>
        <v>4.84</v>
      </c>
      <c r="AK44" s="2">
        <f t="shared" ca="1" si="17"/>
        <v>-2.061855670103049E-3</v>
      </c>
      <c r="AL44" s="2" vm="1743">
        <f ca="1"/>
        <v>52.15</v>
      </c>
      <c r="AM44" s="2">
        <f t="shared" ca="1" si="18"/>
        <v>3.8365624400529482E-4</v>
      </c>
      <c r="AN44" s="2" vm="1744">
        <f ca="1"/>
        <v>85.04</v>
      </c>
      <c r="AO44" s="2">
        <f t="shared" ca="1" si="19"/>
        <v>-9.3196644920782515E-3</v>
      </c>
      <c r="AP44" s="2" vm="1745">
        <f ca="1"/>
        <v>26.4</v>
      </c>
      <c r="AQ44" s="2">
        <f t="shared" ca="1" si="20"/>
        <v>3.7893141341409662E-4</v>
      </c>
      <c r="AR44" s="2" vm="1746">
        <f ca="1"/>
        <v>50.92</v>
      </c>
      <c r="AS44" s="2">
        <f t="shared" ca="1" si="21"/>
        <v>5.8950677932798458E-4</v>
      </c>
      <c r="AT44" s="2" vm="1747">
        <f ca="1"/>
        <v>29.08</v>
      </c>
      <c r="AU44" s="2">
        <f t="shared" ca="1" si="22"/>
        <v>1.0327022375214315E-3</v>
      </c>
      <c r="AV44" s="2" vm="1748">
        <f ca="1"/>
        <v>28</v>
      </c>
      <c r="AW44" s="2">
        <f t="shared" ca="1" si="23"/>
        <v>1.0725777618877776E-3</v>
      </c>
      <c r="AX44" s="2" vm="124">
        <f ca="1"/>
        <v>91.55</v>
      </c>
      <c r="AY44" s="2">
        <f t="shared" ca="1" si="24"/>
        <v>4.3711069828425355E-4</v>
      </c>
      <c r="AZ44" s="2" vm="1749">
        <f ca="1"/>
        <v>470.5</v>
      </c>
      <c r="BA44" s="2">
        <f t="shared" ca="1" si="25"/>
        <v>-1.4875576428585157E-4</v>
      </c>
      <c r="BB44" s="2" vm="1750">
        <f ca="1"/>
        <v>247.36</v>
      </c>
      <c r="BC44" s="2">
        <f t="shared" ca="1" si="26"/>
        <v>7.6584650480691864E-3</v>
      </c>
      <c r="BD44" s="2" vm="1207">
        <f ca="1"/>
        <v>46.75</v>
      </c>
      <c r="BE44" s="2">
        <f t="shared" ca="1" si="27"/>
        <v>-5.3191489361702126E-3</v>
      </c>
      <c r="BF44" s="2" vm="1751">
        <f ca="1"/>
        <v>113.57</v>
      </c>
      <c r="BG44" s="2">
        <f t="shared" ca="1" si="28"/>
        <v>-1.0541906255445269E-2</v>
      </c>
      <c r="BH44" s="2" vm="1752">
        <f ca="1"/>
        <v>155.24</v>
      </c>
      <c r="BI44" s="2">
        <f t="shared" ca="1" si="29"/>
        <v>-2.5669993096089895E-2</v>
      </c>
      <c r="BJ44" s="2" vm="1753">
        <f ca="1"/>
        <v>149.31</v>
      </c>
      <c r="BK44" s="2">
        <f t="shared" ca="1" si="30"/>
        <v>-1.404494382022525E-3</v>
      </c>
      <c r="BL44" s="2" vm="1754">
        <f ca="1"/>
        <v>62.53</v>
      </c>
      <c r="BM44" s="2">
        <f t="shared" ca="1" si="31"/>
        <v>-6.1983471074380254E-3</v>
      </c>
      <c r="BN44" s="2" vm="1755">
        <f ca="1"/>
        <v>298.98</v>
      </c>
      <c r="BO44" s="2">
        <f t="shared" ca="1" si="32"/>
        <v>-1.6362239957258124E-3</v>
      </c>
      <c r="BP44" s="2" vm="1756">
        <f ca="1"/>
        <v>116.73</v>
      </c>
      <c r="BQ44" s="2">
        <f t="shared" ca="1" si="33"/>
        <v>1.9742489270386607E-3</v>
      </c>
      <c r="BR44" s="2" vm="1757">
        <f ca="1"/>
        <v>934.74</v>
      </c>
      <c r="BS44" s="2">
        <f t="shared" ca="1" si="34"/>
        <v>1.8379509080806655E-2</v>
      </c>
      <c r="BT44" s="2" vm="1758">
        <f ca="1"/>
        <v>173.82</v>
      </c>
      <c r="BU44" s="2">
        <f t="shared" ca="1" si="35"/>
        <v>-1.2554678179855751E-2</v>
      </c>
      <c r="BV44" s="2" vm="1759">
        <f ca="1"/>
        <v>157.79</v>
      </c>
      <c r="BW44" s="2">
        <f t="shared" ca="1" si="36"/>
        <v>-1.6823478098323987E-2</v>
      </c>
      <c r="BX44" s="2" vm="1760">
        <f ca="1"/>
        <v>284.08</v>
      </c>
      <c r="BY44" s="2">
        <f t="shared" ca="1" si="37"/>
        <v>-3.7962680754512632E-2</v>
      </c>
      <c r="BZ44" s="2" vm="1761">
        <f ca="1"/>
        <v>93.66</v>
      </c>
      <c r="CA44" s="2">
        <f t="shared" ca="1" si="38"/>
        <v>-1.7827181208053721E-2</v>
      </c>
      <c r="CB44" s="2" vm="1762">
        <f ca="1"/>
        <v>30.218499999999999</v>
      </c>
      <c r="CC44" s="2">
        <f t="shared" ca="1" si="39"/>
        <v>-2.1738426675299505E-2</v>
      </c>
      <c r="CD44" s="2" t="e" vm="92">
        <f ca="1"/>
        <v>#N/A</v>
      </c>
      <c r="CE44" s="2" t="e" vm="140">
        <f t="shared" ca="1" si="40"/>
        <v>#N/A</v>
      </c>
      <c r="CF44" s="2" vm="1763">
        <f ca="1"/>
        <v>22.975000000000001</v>
      </c>
      <c r="CG44" s="2">
        <f t="shared" ca="1" si="41"/>
        <v>1.9624945486263284E-3</v>
      </c>
      <c r="CH44" s="2" vm="1764">
        <f ca="1"/>
        <v>58.36</v>
      </c>
      <c r="CI44" s="2">
        <f t="shared" ca="1" si="42"/>
        <v>1.3726835964309933E-3</v>
      </c>
      <c r="CJ44" s="2" vm="1765">
        <f ca="1"/>
        <v>59.04</v>
      </c>
      <c r="CK44" s="2">
        <f t="shared" ca="1" si="43"/>
        <v>2.3769100169779385E-3</v>
      </c>
      <c r="CL44" s="2" vm="1766">
        <f ca="1"/>
        <v>59.23</v>
      </c>
      <c r="CM44" s="2">
        <f t="shared" ca="1" si="44"/>
        <v>1.6911889058006818E-3</v>
      </c>
      <c r="CN44" s="2" vm="1767">
        <f ca="1"/>
        <v>29.5</v>
      </c>
      <c r="CO44" s="2">
        <f t="shared" ca="1" si="45"/>
        <v>2.3785253143051403E-3</v>
      </c>
      <c r="CP44" s="2" vm="1768">
        <f ca="1"/>
        <v>23.693000000000001</v>
      </c>
      <c r="CQ44" s="2">
        <f t="shared" ca="1" si="46"/>
        <v>1.9325673544125575E-3</v>
      </c>
    </row>
    <row r="45" spans="1:95" x14ac:dyDescent="0.2">
      <c r="A45" s="7" vm="1769">
        <f ca="1"/>
        <v>45635</v>
      </c>
      <c r="B45" s="2" vm="1770">
        <f ca="1"/>
        <v>246.75</v>
      </c>
      <c r="C45" s="2">
        <f t="shared" ca="1" si="0"/>
        <v>1.6101136550815336E-2</v>
      </c>
      <c r="D45" s="2" vm="1771">
        <f ca="1"/>
        <v>138.81</v>
      </c>
      <c r="E45" s="2">
        <f t="shared" ca="1" si="1"/>
        <v>-2.5484414490311677E-2</v>
      </c>
      <c r="F45" s="2" vm="1772">
        <f ca="1"/>
        <v>446.02</v>
      </c>
      <c r="G45" s="2">
        <f t="shared" ca="1" si="2"/>
        <v>5.5233672250151918E-3</v>
      </c>
      <c r="H45" s="2" vm="1773">
        <f ca="1"/>
        <v>613.57000000000005</v>
      </c>
      <c r="I45" s="2">
        <f t="shared" ca="1" si="3"/>
        <v>-1.6352181092389714E-2</v>
      </c>
      <c r="J45" s="2" vm="1774">
        <f ca="1"/>
        <v>175.37</v>
      </c>
      <c r="K45" s="2">
        <f t="shared" ca="1" si="4"/>
        <v>3.7776887413427771E-3</v>
      </c>
      <c r="L45" s="2" vm="1775">
        <f ca="1"/>
        <v>604.67999999999995</v>
      </c>
      <c r="M45" s="2">
        <f t="shared" ca="1" si="5"/>
        <v>-5.1496355769072499E-3</v>
      </c>
      <c r="N45" s="2" vm="1776">
        <f ca="1"/>
        <v>93.52</v>
      </c>
      <c r="O45" s="2">
        <f t="shared" ca="1" si="6"/>
        <v>-9.2170780803051654E-3</v>
      </c>
      <c r="P45" s="2" vm="1777">
        <f ca="1"/>
        <v>245.36</v>
      </c>
      <c r="Q45" s="2">
        <f t="shared" ca="1" si="7"/>
        <v>9.9197365713110733E-3</v>
      </c>
      <c r="R45" s="2" vm="1778">
        <f ca="1"/>
        <v>71.17</v>
      </c>
      <c r="S45" s="2">
        <f t="shared" ca="1" si="8"/>
        <v>1.324031890660602E-2</v>
      </c>
      <c r="T45" s="2" vm="1779">
        <f ca="1"/>
        <v>94.94</v>
      </c>
      <c r="U45" s="2">
        <f t="shared" ca="1" si="9"/>
        <v>-3.4638396137293831E-3</v>
      </c>
      <c r="V45" s="2" vm="1697">
        <f ca="1"/>
        <v>47.784999999999997</v>
      </c>
      <c r="W45" s="2">
        <f t="shared" ca="1" si="10"/>
        <v>-2.2966906775238861E-3</v>
      </c>
      <c r="X45" s="2" vm="1780">
        <f ca="1"/>
        <v>172.47</v>
      </c>
      <c r="Y45" s="2">
        <f t="shared" ca="1" si="11"/>
        <v>-3.0250210851841416E-2</v>
      </c>
      <c r="Z45" s="2" vm="1781">
        <f ca="1"/>
        <v>90.87</v>
      </c>
      <c r="AA45" s="2">
        <f t="shared" ca="1" si="12"/>
        <v>-1.6479894528674079E-3</v>
      </c>
      <c r="AB45" s="2" vm="375">
        <f ca="1"/>
        <v>14.19</v>
      </c>
      <c r="AC45" s="2">
        <f t="shared" ca="1" si="13"/>
        <v>1.4295925661186511E-2</v>
      </c>
      <c r="AD45" s="2" vm="1740">
        <f ca="1"/>
        <v>3.2</v>
      </c>
      <c r="AE45" s="2">
        <f t="shared" ca="1" si="14"/>
        <v>0</v>
      </c>
      <c r="AF45" s="2" vm="1782">
        <f ca="1"/>
        <v>28.98</v>
      </c>
      <c r="AG45" s="2">
        <f t="shared" ca="1" si="15"/>
        <v>2.5840707964601785E-2</v>
      </c>
      <c r="AH45" s="2" vm="1783">
        <f ca="1"/>
        <v>27.36</v>
      </c>
      <c r="AI45" s="2">
        <f t="shared" ca="1" si="16"/>
        <v>4.0366972477064011E-3</v>
      </c>
      <c r="AJ45" s="2" vm="1478">
        <f ca="1"/>
        <v>4.87</v>
      </c>
      <c r="AK45" s="2">
        <f t="shared" ca="1" si="17"/>
        <v>6.1983471074380679E-3</v>
      </c>
      <c r="AL45" s="2" vm="1784">
        <f ca="1"/>
        <v>52.66</v>
      </c>
      <c r="AM45" s="2">
        <f t="shared" ca="1" si="18"/>
        <v>9.7794822627037016E-3</v>
      </c>
      <c r="AN45" s="2" vm="1785">
        <f ca="1"/>
        <v>85.91</v>
      </c>
      <c r="AO45" s="2">
        <f t="shared" ca="1" si="19"/>
        <v>1.0230479774223779E-2</v>
      </c>
      <c r="AP45" s="2" vm="421">
        <f ca="1"/>
        <v>26.37</v>
      </c>
      <c r="AQ45" s="2">
        <f t="shared" ca="1" si="20"/>
        <v>-1.136363636363545E-3</v>
      </c>
      <c r="AR45" s="2" vm="1746">
        <f ca="1"/>
        <v>50.92</v>
      </c>
      <c r="AS45" s="2">
        <f t="shared" ca="1" si="21"/>
        <v>0</v>
      </c>
      <c r="AT45" s="2" vm="1747">
        <f ca="1"/>
        <v>29.08</v>
      </c>
      <c r="AU45" s="2">
        <f t="shared" ca="1" si="22"/>
        <v>0</v>
      </c>
      <c r="AV45" s="2" vm="1476">
        <f ca="1"/>
        <v>27.8</v>
      </c>
      <c r="AW45" s="2">
        <f t="shared" ca="1" si="23"/>
        <v>-7.1428571428571175E-3</v>
      </c>
      <c r="AX45" s="2" vm="1786">
        <f ca="1"/>
        <v>91.56</v>
      </c>
      <c r="AY45" s="2">
        <f t="shared" ca="1" si="24"/>
        <v>1.0922992900060204E-4</v>
      </c>
      <c r="AZ45" s="2" vm="1787">
        <f ca="1"/>
        <v>463.87</v>
      </c>
      <c r="BA45" s="2">
        <f t="shared" ca="1" si="25"/>
        <v>-1.4091392136025496E-2</v>
      </c>
      <c r="BB45" s="2" vm="1788">
        <f ca="1"/>
        <v>243.81</v>
      </c>
      <c r="BC45" s="2">
        <f t="shared" ca="1" si="26"/>
        <v>-1.4351552393273008E-2</v>
      </c>
      <c r="BD45" s="2" vm="1789">
        <f ca="1"/>
        <v>45.91</v>
      </c>
      <c r="BE45" s="2">
        <f t="shared" ca="1" si="27"/>
        <v>-1.7967914438502746E-2</v>
      </c>
      <c r="BF45" s="2" vm="1790">
        <f ca="1"/>
        <v>112.9</v>
      </c>
      <c r="BG45" s="2">
        <f t="shared" ca="1" si="28"/>
        <v>-5.8994452760410985E-3</v>
      </c>
      <c r="BH45" s="2" vm="1791">
        <f ca="1"/>
        <v>157.08000000000001</v>
      </c>
      <c r="BI45" s="2">
        <f t="shared" ca="1" si="29"/>
        <v>1.1852615305333698E-2</v>
      </c>
      <c r="BJ45" s="2" vm="1792">
        <f ca="1"/>
        <v>149.6</v>
      </c>
      <c r="BK45" s="2">
        <f t="shared" ca="1" si="30"/>
        <v>1.9422677650525219E-3</v>
      </c>
      <c r="BL45" s="2" vm="1793">
        <f ca="1"/>
        <v>62.6</v>
      </c>
      <c r="BM45" s="2">
        <f t="shared" ca="1" si="31"/>
        <v>1.1194626579242009E-3</v>
      </c>
      <c r="BN45" s="2" vm="1794">
        <f ca="1"/>
        <v>301.37</v>
      </c>
      <c r="BO45" s="2">
        <f t="shared" ca="1" si="32"/>
        <v>7.9938457421900675E-3</v>
      </c>
      <c r="BP45" s="2" vm="1795">
        <f ca="1"/>
        <v>114.61</v>
      </c>
      <c r="BQ45" s="2">
        <f t="shared" ca="1" si="33"/>
        <v>-1.8161569433736011E-2</v>
      </c>
      <c r="BR45" s="2" vm="1796">
        <f ca="1"/>
        <v>913.69</v>
      </c>
      <c r="BS45" s="2">
        <f t="shared" ca="1" si="34"/>
        <v>-2.2519631127372267E-2</v>
      </c>
      <c r="BT45" s="2" vm="1797">
        <f ca="1"/>
        <v>170.79</v>
      </c>
      <c r="BU45" s="2">
        <f t="shared" ca="1" si="35"/>
        <v>-1.7431826026924412E-2</v>
      </c>
      <c r="BV45" s="2" vm="1798">
        <f ca="1"/>
        <v>159.47</v>
      </c>
      <c r="BW45" s="2">
        <f t="shared" ca="1" si="36"/>
        <v>1.0647062551492534E-2</v>
      </c>
      <c r="BX45" s="2" vm="1799">
        <f ca="1"/>
        <v>286.10000000000002</v>
      </c>
      <c r="BY45" s="2">
        <f t="shared" ca="1" si="37"/>
        <v>7.1106730498452508E-3</v>
      </c>
      <c r="BZ45" s="2" vm="1800">
        <f ca="1"/>
        <v>94.21</v>
      </c>
      <c r="CA45" s="2">
        <f t="shared" ca="1" si="38"/>
        <v>5.8723040785820749E-3</v>
      </c>
      <c r="CB45" s="2" vm="1801">
        <f ca="1"/>
        <v>30.61</v>
      </c>
      <c r="CC45" s="2">
        <f t="shared" ca="1" si="39"/>
        <v>1.2955639757102459E-2</v>
      </c>
      <c r="CD45" s="2" t="e" vm="92">
        <f ca="1"/>
        <v>#N/A</v>
      </c>
      <c r="CE45" s="2" t="e" vm="140">
        <f t="shared" ca="1" si="40"/>
        <v>#N/A</v>
      </c>
      <c r="CF45" s="2" vm="1802">
        <f ca="1"/>
        <v>22.92</v>
      </c>
      <c r="CG45" s="2">
        <f t="shared" ca="1" si="41"/>
        <v>-2.3939064200217504E-3</v>
      </c>
      <c r="CH45" s="2" vm="1383">
        <f ca="1"/>
        <v>58.34</v>
      </c>
      <c r="CI45" s="2">
        <f t="shared" ca="1" si="42"/>
        <v>-3.4270047978060352E-4</v>
      </c>
      <c r="CJ45" s="2" vm="1607">
        <f ca="1"/>
        <v>58.92</v>
      </c>
      <c r="CK45" s="2">
        <f t="shared" ca="1" si="43"/>
        <v>-2.0325203252032089E-3</v>
      </c>
      <c r="CL45" s="2" vm="1803">
        <f ca="1"/>
        <v>58.79</v>
      </c>
      <c r="CM45" s="2">
        <f t="shared" ca="1" si="44"/>
        <v>-7.4286679047779461E-3</v>
      </c>
      <c r="CN45" s="2" vm="1686">
        <f ca="1"/>
        <v>29.42</v>
      </c>
      <c r="CO45" s="2">
        <f t="shared" ca="1" si="45"/>
        <v>-2.7118644067796031E-3</v>
      </c>
      <c r="CP45" s="2" vm="1804">
        <f ca="1"/>
        <v>23.7576</v>
      </c>
      <c r="CQ45" s="2">
        <f t="shared" ca="1" si="46"/>
        <v>2.7265437048916833E-3</v>
      </c>
    </row>
    <row r="46" spans="1:95" x14ac:dyDescent="0.2">
      <c r="A46" s="7" vm="1805">
        <f ca="1"/>
        <v>45636</v>
      </c>
      <c r="B46" s="2" vm="1806">
        <f ca="1"/>
        <v>247.77</v>
      </c>
      <c r="C46" s="2">
        <f t="shared" ca="1" si="0"/>
        <v>4.1337386018237493E-3</v>
      </c>
      <c r="D46" s="2" vm="1807">
        <f ca="1"/>
        <v>135.07</v>
      </c>
      <c r="E46" s="2">
        <f t="shared" ca="1" si="1"/>
        <v>-2.694330379655651E-2</v>
      </c>
      <c r="F46" s="2" vm="1808">
        <f ca="1"/>
        <v>443.33</v>
      </c>
      <c r="G46" s="2">
        <f t="shared" ca="1" si="2"/>
        <v>-6.0311196807318005E-3</v>
      </c>
      <c r="H46" s="2" vm="1809">
        <f ca="1"/>
        <v>619.32000000000005</v>
      </c>
      <c r="I46" s="2">
        <f t="shared" ca="1" si="3"/>
        <v>9.3713838681812982E-3</v>
      </c>
      <c r="J46" s="2" vm="1810">
        <f ca="1"/>
        <v>185.17</v>
      </c>
      <c r="K46" s="2">
        <f t="shared" ca="1" si="4"/>
        <v>5.588184980327298E-2</v>
      </c>
      <c r="L46" s="2" vm="1811">
        <f ca="1"/>
        <v>602.79999999999995</v>
      </c>
      <c r="M46" s="2">
        <f t="shared" ca="1" si="5"/>
        <v>-3.1090824899120124E-3</v>
      </c>
      <c r="N46" s="2" vm="1812">
        <f ca="1"/>
        <v>93.08</v>
      </c>
      <c r="O46" s="2">
        <f t="shared" ca="1" si="6"/>
        <v>-4.7048759623609685E-3</v>
      </c>
      <c r="P46" s="2" vm="1813">
        <f ca="1"/>
        <v>248.59</v>
      </c>
      <c r="Q46" s="2">
        <f t="shared" ca="1" si="7"/>
        <v>1.316432996413429E-2</v>
      </c>
      <c r="R46" s="2" vm="1814">
        <f ca="1"/>
        <v>71.400000000000006</v>
      </c>
      <c r="S46" s="2">
        <f t="shared" ca="1" si="8"/>
        <v>3.2316987494731483E-3</v>
      </c>
      <c r="T46" s="2" vm="1815">
        <f ca="1"/>
        <v>94.77</v>
      </c>
      <c r="U46" s="2">
        <f t="shared" ca="1" si="9"/>
        <v>-1.790604592374149E-3</v>
      </c>
      <c r="V46" s="2" vm="1816">
        <f ca="1"/>
        <v>47.72</v>
      </c>
      <c r="W46" s="2">
        <f t="shared" ca="1" si="10"/>
        <v>-1.3602594956575857E-3</v>
      </c>
      <c r="X46" s="2" vm="1731">
        <f ca="1"/>
        <v>174.71</v>
      </c>
      <c r="Y46" s="2">
        <f t="shared" ca="1" si="11"/>
        <v>1.2987765988287872E-2</v>
      </c>
      <c r="Z46" s="2" vm="165">
        <f ca="1"/>
        <v>90.25</v>
      </c>
      <c r="AA46" s="2">
        <f t="shared" ca="1" si="12"/>
        <v>-6.8229338615605206E-3</v>
      </c>
      <c r="AB46" s="2" vm="1817">
        <f ca="1"/>
        <v>14.23</v>
      </c>
      <c r="AC46" s="2">
        <f t="shared" ca="1" si="13"/>
        <v>2.8188865398168375E-3</v>
      </c>
      <c r="AD46" s="2" vm="1740">
        <f ca="1"/>
        <v>3.2</v>
      </c>
      <c r="AE46" s="2">
        <f t="shared" ca="1" si="14"/>
        <v>0</v>
      </c>
      <c r="AF46" s="2" vm="924">
        <f ca="1"/>
        <v>28.99</v>
      </c>
      <c r="AG46" s="2">
        <f t="shared" ca="1" si="15"/>
        <v>3.4506556245679813E-4</v>
      </c>
      <c r="AH46" s="2" vm="1818">
        <f ca="1"/>
        <v>27.58</v>
      </c>
      <c r="AI46" s="2">
        <f t="shared" ca="1" si="16"/>
        <v>8.0409356725145778E-3</v>
      </c>
      <c r="AJ46" s="2" vm="1819">
        <f ca="1"/>
        <v>4.9000000000000004</v>
      </c>
      <c r="AK46" s="2">
        <f t="shared" ca="1" si="17"/>
        <v>6.1601642710472785E-3</v>
      </c>
      <c r="AL46" s="2" vm="336">
        <f ca="1"/>
        <v>53.34</v>
      </c>
      <c r="AM46" s="2">
        <f t="shared" ca="1" si="18"/>
        <v>1.2913026965438794E-2</v>
      </c>
      <c r="AN46" s="2" vm="1820">
        <f ca="1"/>
        <v>86.2</v>
      </c>
      <c r="AO46" s="2">
        <f t="shared" ca="1" si="19"/>
        <v>3.3756256547550489E-3</v>
      </c>
      <c r="AP46" s="2" vm="1320">
        <f ca="1"/>
        <v>26.36</v>
      </c>
      <c r="AQ46" s="2">
        <f t="shared" ca="1" si="20"/>
        <v>-3.7921880925299823E-4</v>
      </c>
      <c r="AR46" s="2" vm="1048">
        <f ca="1"/>
        <v>50.93</v>
      </c>
      <c r="AS46" s="2">
        <f t="shared" ca="1" si="21"/>
        <v>1.9638648860954459E-4</v>
      </c>
      <c r="AT46" s="2" vm="1302">
        <f ca="1"/>
        <v>29.07</v>
      </c>
      <c r="AU46" s="2">
        <f t="shared" ca="1" si="22"/>
        <v>-3.4387895460790958E-4</v>
      </c>
      <c r="AV46" s="2" vm="1629">
        <f ca="1"/>
        <v>27.66</v>
      </c>
      <c r="AW46" s="2">
        <f t="shared" ca="1" si="23"/>
        <v>-5.0359712230216031E-3</v>
      </c>
      <c r="AX46" s="2" vm="1008">
        <f ca="1"/>
        <v>91.58</v>
      </c>
      <c r="AY46" s="2">
        <f t="shared" ca="1" si="24"/>
        <v>2.1843599825246854E-4</v>
      </c>
      <c r="AZ46" s="2" vm="1821">
        <f ca="1"/>
        <v>462.49</v>
      </c>
      <c r="BA46" s="2">
        <f t="shared" ca="1" si="25"/>
        <v>-2.9749714359626521E-3</v>
      </c>
      <c r="BB46" s="2" vm="1695">
        <f ca="1"/>
        <v>242.86</v>
      </c>
      <c r="BC46" s="2">
        <f t="shared" ca="1" si="26"/>
        <v>-3.8964767646937721E-3</v>
      </c>
      <c r="BD46" s="2" vm="1822">
        <f ca="1"/>
        <v>45.75</v>
      </c>
      <c r="BE46" s="2">
        <f t="shared" ca="1" si="27"/>
        <v>-3.4850795033760967E-3</v>
      </c>
      <c r="BF46" s="2" vm="1823">
        <f ca="1"/>
        <v>112.67</v>
      </c>
      <c r="BG46" s="2">
        <f t="shared" ca="1" si="28"/>
        <v>-2.0372010628875461E-3</v>
      </c>
      <c r="BH46" s="2" vm="1824">
        <f ca="1"/>
        <v>157</v>
      </c>
      <c r="BI46" s="2">
        <f t="shared" ca="1" si="29"/>
        <v>-5.092946269417653E-4</v>
      </c>
      <c r="BJ46" s="2" vm="1825">
        <f ca="1"/>
        <v>149.22999999999999</v>
      </c>
      <c r="BK46" s="2">
        <f t="shared" ca="1" si="30"/>
        <v>-2.4732620320855919E-3</v>
      </c>
      <c r="BL46" s="2" vm="1826">
        <f ca="1"/>
        <v>62.91</v>
      </c>
      <c r="BM46" s="2">
        <f t="shared" ca="1" si="31"/>
        <v>4.9520766773162167E-3</v>
      </c>
      <c r="BN46" s="2" vm="1827">
        <f ca="1"/>
        <v>300.70999999999998</v>
      </c>
      <c r="BO46" s="2">
        <f t="shared" ca="1" si="32"/>
        <v>-2.1899990045459901E-3</v>
      </c>
      <c r="BP46" s="2" vm="1828">
        <f ca="1"/>
        <v>114.73</v>
      </c>
      <c r="BQ46" s="2">
        <f t="shared" ca="1" si="33"/>
        <v>1.0470290550563175E-3</v>
      </c>
      <c r="BR46" s="2" vm="1829">
        <f ca="1"/>
        <v>913.35</v>
      </c>
      <c r="BS46" s="2">
        <f t="shared" ca="1" si="34"/>
        <v>-3.7211745778112029E-4</v>
      </c>
      <c r="BT46" s="2" vm="351">
        <f ca="1"/>
        <v>172.28</v>
      </c>
      <c r="BU46" s="2">
        <f t="shared" ca="1" si="35"/>
        <v>8.7241641782306294E-3</v>
      </c>
      <c r="BV46" s="2" vm="1830">
        <f ca="1"/>
        <v>159.84</v>
      </c>
      <c r="BW46" s="2">
        <f t="shared" ca="1" si="36"/>
        <v>2.3201856148492165E-3</v>
      </c>
      <c r="BX46" s="2" vm="1831">
        <f ca="1"/>
        <v>286.25</v>
      </c>
      <c r="BY46" s="2">
        <f t="shared" ca="1" si="37"/>
        <v>5.2429220552246503E-4</v>
      </c>
      <c r="BZ46" s="2" vm="1118">
        <f ca="1"/>
        <v>93.29</v>
      </c>
      <c r="CA46" s="2">
        <f t="shared" ca="1" si="38"/>
        <v>-9.765417683897543E-3</v>
      </c>
      <c r="CB46" s="2" vm="1832">
        <f ca="1"/>
        <v>30.300899999999999</v>
      </c>
      <c r="CC46" s="2">
        <f t="shared" ca="1" si="39"/>
        <v>-1.0098007187193754E-2</v>
      </c>
      <c r="CD46" s="2" t="e" vm="92">
        <f ca="1"/>
        <v>#N/A</v>
      </c>
      <c r="CE46" s="2" t="e" vm="140">
        <f t="shared" ca="1" si="40"/>
        <v>#N/A</v>
      </c>
      <c r="CF46" s="2" vm="1534">
        <f ca="1"/>
        <v>22.87</v>
      </c>
      <c r="CG46" s="2">
        <f t="shared" ca="1" si="41"/>
        <v>-2.1815008726003798E-3</v>
      </c>
      <c r="CH46" s="2" vm="1833">
        <f ca="1"/>
        <v>58.33</v>
      </c>
      <c r="CI46" s="2">
        <f t="shared" ca="1" si="42"/>
        <v>-1.7140898183073562E-4</v>
      </c>
      <c r="CJ46" s="2" vm="735">
        <f ca="1"/>
        <v>58.83</v>
      </c>
      <c r="CK46" s="2">
        <f t="shared" ca="1" si="43"/>
        <v>-1.5274949083503634E-3</v>
      </c>
      <c r="CL46" s="2" vm="1834">
        <f ca="1"/>
        <v>58.52</v>
      </c>
      <c r="CM46" s="2">
        <f t="shared" ca="1" si="44"/>
        <v>-4.5926177921414534E-3</v>
      </c>
      <c r="CN46" s="2" vm="1835">
        <f ca="1"/>
        <v>29.39</v>
      </c>
      <c r="CO46" s="2">
        <f t="shared" ca="1" si="45"/>
        <v>-1.0197144799456539E-3</v>
      </c>
      <c r="CP46" s="2" vm="1836">
        <f ca="1"/>
        <v>23.351800000000001</v>
      </c>
      <c r="CQ46" s="2">
        <f t="shared" ca="1" si="46"/>
        <v>-1.7080849917500054E-2</v>
      </c>
    </row>
    <row r="47" spans="1:95" x14ac:dyDescent="0.2">
      <c r="A47" s="7" vm="1837">
        <f ca="1"/>
        <v>45637</v>
      </c>
      <c r="B47" s="2" vm="1838">
        <f ca="1"/>
        <v>246.49</v>
      </c>
      <c r="C47" s="2">
        <f t="shared" ca="1" si="0"/>
        <v>-5.166081446502809E-3</v>
      </c>
      <c r="D47" s="2" vm="1839">
        <f ca="1"/>
        <v>139.31</v>
      </c>
      <c r="E47" s="2">
        <f t="shared" ca="1" si="1"/>
        <v>3.1391130524913075E-2</v>
      </c>
      <c r="F47" s="2" vm="1840">
        <f ca="1"/>
        <v>448.99</v>
      </c>
      <c r="G47" s="2">
        <f t="shared" ca="1" si="2"/>
        <v>1.2767013285814236E-2</v>
      </c>
      <c r="H47" s="2" vm="1841">
        <f ca="1"/>
        <v>632.67999999999995</v>
      </c>
      <c r="I47" s="2">
        <f t="shared" ca="1" si="3"/>
        <v>2.1572046760963474E-2</v>
      </c>
      <c r="J47" s="2" vm="1842">
        <f ca="1"/>
        <v>195.4</v>
      </c>
      <c r="K47" s="2">
        <f t="shared" ca="1" si="4"/>
        <v>5.524653021547777E-2</v>
      </c>
      <c r="L47" s="2" vm="1843">
        <f ca="1"/>
        <v>607.46</v>
      </c>
      <c r="M47" s="2">
        <f t="shared" ca="1" si="5"/>
        <v>7.7305905773060422E-3</v>
      </c>
      <c r="N47" s="2" vm="1844">
        <f ca="1"/>
        <v>92.2</v>
      </c>
      <c r="O47" s="2">
        <f t="shared" ca="1" si="6"/>
        <v>-9.4542329179200194E-3</v>
      </c>
      <c r="P47" s="2" vm="1845">
        <f ca="1"/>
        <v>250.96</v>
      </c>
      <c r="Q47" s="2">
        <f t="shared" ca="1" si="7"/>
        <v>9.5337704654250149E-3</v>
      </c>
      <c r="R47" s="2" vm="1846">
        <f ca="1"/>
        <v>73.33</v>
      </c>
      <c r="S47" s="2">
        <f t="shared" ca="1" si="8"/>
        <v>2.7030812324929866E-2</v>
      </c>
      <c r="T47" s="2" vm="1847">
        <f ca="1"/>
        <v>94.49</v>
      </c>
      <c r="U47" s="2">
        <f t="shared" ca="1" si="9"/>
        <v>-2.9545214730400038E-3</v>
      </c>
      <c r="V47" s="2" vm="1848">
        <f ca="1"/>
        <v>47.609900000000003</v>
      </c>
      <c r="W47" s="2">
        <f t="shared" ca="1" si="10"/>
        <v>-2.3072087175187686E-3</v>
      </c>
      <c r="X47" s="2" vm="1849">
        <f ca="1"/>
        <v>178.61</v>
      </c>
      <c r="Y47" s="2">
        <f t="shared" ca="1" si="11"/>
        <v>2.2322706198843831E-2</v>
      </c>
      <c r="Z47" s="2" vm="1850">
        <f ca="1"/>
        <v>90.4</v>
      </c>
      <c r="AA47" s="2">
        <f t="shared" ca="1" si="12"/>
        <v>1.6620498614959079E-3</v>
      </c>
      <c r="AB47" s="2" vm="1851">
        <f ca="1"/>
        <v>14.59</v>
      </c>
      <c r="AC47" s="2">
        <f t="shared" ca="1" si="13"/>
        <v>2.5298664792691456E-2</v>
      </c>
      <c r="AD47" s="2" vm="1551">
        <f ca="1"/>
        <v>3.3</v>
      </c>
      <c r="AE47" s="2">
        <f t="shared" ca="1" si="14"/>
        <v>3.1249999999999889E-2</v>
      </c>
      <c r="AF47" s="2" vm="732">
        <f ca="1"/>
        <v>29.04</v>
      </c>
      <c r="AG47" s="2">
        <f t="shared" ca="1" si="15"/>
        <v>1.7247326664367269E-3</v>
      </c>
      <c r="AH47" s="2" vm="1852">
        <f ca="1"/>
        <v>27.49</v>
      </c>
      <c r="AI47" s="2">
        <f t="shared" ca="1" si="16"/>
        <v>-3.2632342277012279E-3</v>
      </c>
      <c r="AJ47" s="2" vm="1853">
        <f ca="1"/>
        <v>4.91</v>
      </c>
      <c r="AK47" s="2">
        <f t="shared" ca="1" si="17"/>
        <v>2.0408163265305686E-3</v>
      </c>
      <c r="AL47" s="2" vm="1854">
        <f ca="1"/>
        <v>53.85</v>
      </c>
      <c r="AM47" s="2">
        <f t="shared" ca="1" si="18"/>
        <v>9.5613048368953495E-3</v>
      </c>
      <c r="AN47" s="2" vm="1785">
        <f ca="1"/>
        <v>85.91</v>
      </c>
      <c r="AO47" s="2">
        <f t="shared" ca="1" si="19"/>
        <v>-3.3642691415313951E-3</v>
      </c>
      <c r="AP47" s="2" vm="1855">
        <f ca="1"/>
        <v>26.33</v>
      </c>
      <c r="AQ47" s="2">
        <f t="shared" ca="1" si="20"/>
        <v>-1.1380880121396487E-3</v>
      </c>
      <c r="AR47" s="2" vm="1048">
        <f ca="1"/>
        <v>50.93</v>
      </c>
      <c r="AS47" s="2">
        <f t="shared" ca="1" si="21"/>
        <v>0</v>
      </c>
      <c r="AT47" s="2" vm="865">
        <f ca="1"/>
        <v>29.06</v>
      </c>
      <c r="AU47" s="2">
        <f t="shared" ca="1" si="22"/>
        <v>-3.4399724802206959E-4</v>
      </c>
      <c r="AV47" s="2" vm="1856">
        <f ca="1"/>
        <v>27.44</v>
      </c>
      <c r="AW47" s="2">
        <f t="shared" ca="1" si="23"/>
        <v>-7.9537237888647454E-3</v>
      </c>
      <c r="AX47" s="2" vm="212">
        <f ca="1"/>
        <v>91.59</v>
      </c>
      <c r="AY47" s="2">
        <f t="shared" ca="1" si="24"/>
        <v>1.0919414719376629E-4</v>
      </c>
      <c r="AZ47" s="2" vm="1857">
        <f ca="1"/>
        <v>461.39</v>
      </c>
      <c r="BA47" s="2">
        <f t="shared" ca="1" si="25"/>
        <v>-2.3784298038877008E-3</v>
      </c>
      <c r="BB47" s="2" vm="1858">
        <f ca="1"/>
        <v>243.53</v>
      </c>
      <c r="BC47" s="2">
        <f t="shared" ca="1" si="26"/>
        <v>2.7587910730461477E-3</v>
      </c>
      <c r="BD47" s="2" vm="1052">
        <f ca="1"/>
        <v>46.08</v>
      </c>
      <c r="BE47" s="2">
        <f t="shared" ca="1" si="27"/>
        <v>7.2131147540983234E-3</v>
      </c>
      <c r="BF47" s="2" vm="1859">
        <f ca="1"/>
        <v>111.92</v>
      </c>
      <c r="BG47" s="2">
        <f t="shared" ca="1" si="28"/>
        <v>-6.656607792668856E-3</v>
      </c>
      <c r="BH47" s="2" vm="1860">
        <f ca="1"/>
        <v>156.21</v>
      </c>
      <c r="BI47" s="2">
        <f t="shared" ca="1" si="29"/>
        <v>-5.0318471337579109E-3</v>
      </c>
      <c r="BJ47" s="2" vm="1861">
        <f ca="1"/>
        <v>146.63999999999999</v>
      </c>
      <c r="BK47" s="2">
        <f t="shared" ca="1" si="30"/>
        <v>-1.7355759565770981E-2</v>
      </c>
      <c r="BL47" s="2" vm="1862">
        <f ca="1"/>
        <v>62.64</v>
      </c>
      <c r="BM47" s="2">
        <f t="shared" ca="1" si="31"/>
        <v>-4.2918454935621684E-3</v>
      </c>
      <c r="BN47" s="2" vm="1863">
        <f ca="1"/>
        <v>296.10000000000002</v>
      </c>
      <c r="BO47" s="2">
        <f t="shared" ca="1" si="32"/>
        <v>-1.5330384756077141E-2</v>
      </c>
      <c r="BP47" s="2" vm="1795">
        <f ca="1"/>
        <v>114.61</v>
      </c>
      <c r="BQ47" s="2">
        <f t="shared" ca="1" si="33"/>
        <v>-1.0459339318400118E-3</v>
      </c>
      <c r="BR47" s="2" vm="1864">
        <f ca="1"/>
        <v>936.56</v>
      </c>
      <c r="BS47" s="2">
        <f t="shared" ca="1" si="34"/>
        <v>2.5411945037499231E-2</v>
      </c>
      <c r="BT47" s="2" vm="1865">
        <f ca="1"/>
        <v>170.63</v>
      </c>
      <c r="BU47" s="2">
        <f t="shared" ca="1" si="35"/>
        <v>-9.5774320872997771E-3</v>
      </c>
      <c r="BV47" s="2" vm="973">
        <f ca="1"/>
        <v>156.77000000000001</v>
      </c>
      <c r="BW47" s="2">
        <f t="shared" ca="1" si="36"/>
        <v>-1.9206706706706662E-2</v>
      </c>
      <c r="BX47" s="2" vm="1866">
        <f ca="1"/>
        <v>291.62</v>
      </c>
      <c r="BY47" s="2">
        <f t="shared" ca="1" si="37"/>
        <v>1.8759825327510932E-2</v>
      </c>
      <c r="BZ47" s="2" vm="1867">
        <f ca="1"/>
        <v>93.98</v>
      </c>
      <c r="CA47" s="2">
        <f t="shared" ca="1" si="38"/>
        <v>7.3962911351698754E-3</v>
      </c>
      <c r="CB47" s="2" vm="1868">
        <f ca="1"/>
        <v>30.847100000000001</v>
      </c>
      <c r="CC47" s="2">
        <f t="shared" ca="1" si="39"/>
        <v>1.8025867218465542E-2</v>
      </c>
      <c r="CD47" s="2" t="e" vm="92">
        <f ca="1"/>
        <v>#N/A</v>
      </c>
      <c r="CE47" s="2" t="e" vm="140">
        <f t="shared" ca="1" si="40"/>
        <v>#N/A</v>
      </c>
      <c r="CF47" s="2" vm="776">
        <f ca="1"/>
        <v>22.82</v>
      </c>
      <c r="CG47" s="2">
        <f t="shared" ca="1" si="41"/>
        <v>-2.1862702229995938E-3</v>
      </c>
      <c r="CH47" s="2" vm="1833">
        <f ca="1"/>
        <v>58.33</v>
      </c>
      <c r="CI47" s="2">
        <f t="shared" ca="1" si="42"/>
        <v>0</v>
      </c>
      <c r="CJ47" s="2" vm="1869">
        <f ca="1"/>
        <v>58.74</v>
      </c>
      <c r="CK47" s="2">
        <f t="shared" ca="1" si="43"/>
        <v>-1.5298317185109011E-3</v>
      </c>
      <c r="CL47" s="2" vm="529">
        <f ca="1"/>
        <v>58</v>
      </c>
      <c r="CM47" s="2">
        <f t="shared" ca="1" si="44"/>
        <v>-8.8858509911142018E-3</v>
      </c>
      <c r="CN47" s="2" vm="1536">
        <f ca="1"/>
        <v>29.33</v>
      </c>
      <c r="CO47" s="2">
        <f t="shared" ca="1" si="45"/>
        <v>-2.0415107179313466E-3</v>
      </c>
      <c r="CP47" s="2" vm="1870">
        <f ca="1"/>
        <v>23.268699999999999</v>
      </c>
      <c r="CQ47" s="2">
        <f t="shared" ca="1" si="46"/>
        <v>-3.5586121840715372E-3</v>
      </c>
    </row>
    <row r="48" spans="1:95" x14ac:dyDescent="0.2">
      <c r="A48" s="7" vm="1871">
        <f ca="1"/>
        <v>45638</v>
      </c>
      <c r="B48" s="2" vm="997">
        <f ca="1"/>
        <v>247.96</v>
      </c>
      <c r="C48" s="2">
        <f t="shared" ca="1" si="0"/>
        <v>5.9637307801533486E-3</v>
      </c>
      <c r="D48" s="2" vm="1872">
        <f ca="1"/>
        <v>137.34</v>
      </c>
      <c r="E48" s="2">
        <f t="shared" ca="1" si="1"/>
        <v>-1.4141124111693337E-2</v>
      </c>
      <c r="F48" s="2" vm="1873">
        <f ca="1"/>
        <v>449.56</v>
      </c>
      <c r="G48" s="2">
        <f t="shared" ca="1" si="2"/>
        <v>1.2695160248557722E-3</v>
      </c>
      <c r="H48" s="2" vm="1874">
        <f ca="1"/>
        <v>630.79</v>
      </c>
      <c r="I48" s="2">
        <f t="shared" ca="1" si="3"/>
        <v>-2.9872921540114853E-3</v>
      </c>
      <c r="J48" s="2" vm="1875">
        <f ca="1"/>
        <v>191.96</v>
      </c>
      <c r="K48" s="2">
        <f t="shared" ca="1" si="4"/>
        <v>-1.7604912998976447E-2</v>
      </c>
      <c r="L48" s="2" vm="1876">
        <f ca="1"/>
        <v>604.33000000000004</v>
      </c>
      <c r="M48" s="2">
        <f t="shared" ca="1" si="5"/>
        <v>-5.1526026405030708E-3</v>
      </c>
      <c r="N48" s="2" vm="1877">
        <f ca="1"/>
        <v>91.08</v>
      </c>
      <c r="O48" s="2">
        <f t="shared" ca="1" si="6"/>
        <v>-1.2147505422993541E-2</v>
      </c>
      <c r="P48" s="2" vm="1878">
        <f ca="1"/>
        <v>247.28</v>
      </c>
      <c r="Q48" s="2">
        <f t="shared" ca="1" si="7"/>
        <v>-1.4663691424928302E-2</v>
      </c>
      <c r="R48" s="2" vm="1879">
        <f ca="1"/>
        <v>73.209999999999994</v>
      </c>
      <c r="S48" s="2">
        <f t="shared" ca="1" si="8"/>
        <v>-1.636438019910058E-3</v>
      </c>
      <c r="T48" s="2" vm="178">
        <f ca="1"/>
        <v>94.13</v>
      </c>
      <c r="U48" s="2">
        <f t="shared" ca="1" si="9"/>
        <v>-3.809926976399613E-3</v>
      </c>
      <c r="V48" s="2" vm="877">
        <f ca="1"/>
        <v>47.41</v>
      </c>
      <c r="W48" s="2">
        <f t="shared" ca="1" si="10"/>
        <v>-4.1987065715325305E-3</v>
      </c>
      <c r="X48" s="2" vm="1880">
        <f ca="1"/>
        <v>176.41</v>
      </c>
      <c r="Y48" s="2">
        <f t="shared" ca="1" si="11"/>
        <v>-1.2317339454677884E-2</v>
      </c>
      <c r="Z48" s="2" vm="1881">
        <f ca="1"/>
        <v>89.67</v>
      </c>
      <c r="AA48" s="2">
        <f t="shared" ca="1" si="12"/>
        <v>-8.0752212389380972E-3</v>
      </c>
      <c r="AB48" s="2" vm="1882">
        <f ca="1"/>
        <v>14.55</v>
      </c>
      <c r="AC48" s="2">
        <f t="shared" ca="1" si="13"/>
        <v>-2.7416038382453152E-3</v>
      </c>
      <c r="AD48" s="2" vm="1883">
        <f ca="1"/>
        <v>3.8</v>
      </c>
      <c r="AE48" s="2">
        <f t="shared" ca="1" si="14"/>
        <v>0.15151515151515152</v>
      </c>
      <c r="AF48" s="2" vm="254">
        <f ca="1"/>
        <v>28.2</v>
      </c>
      <c r="AG48" s="2">
        <f t="shared" ca="1" si="15"/>
        <v>-2.8925619834710741E-2</v>
      </c>
      <c r="AH48" s="2" vm="1481">
        <f ca="1"/>
        <v>27.46</v>
      </c>
      <c r="AI48" s="2">
        <f t="shared" ca="1" si="16"/>
        <v>-1.0913059294287953E-3</v>
      </c>
      <c r="AJ48" s="2" vm="1120">
        <f ca="1"/>
        <v>4.8600000000000003</v>
      </c>
      <c r="AK48" s="2">
        <f t="shared" ca="1" si="17"/>
        <v>-1.0183299389002001E-2</v>
      </c>
      <c r="AL48" s="2" vm="1884">
        <f ca="1"/>
        <v>53.1</v>
      </c>
      <c r="AM48" s="2">
        <f t="shared" ca="1" si="18"/>
        <v>-1.3927576601671309E-2</v>
      </c>
      <c r="AN48" s="2" vm="1885">
        <f ca="1"/>
        <v>85.35</v>
      </c>
      <c r="AO48" s="2">
        <f t="shared" ca="1" si="19"/>
        <v>-6.518449540216532E-3</v>
      </c>
      <c r="AP48" s="2" vm="884">
        <f ca="1"/>
        <v>26.23</v>
      </c>
      <c r="AQ48" s="2">
        <f t="shared" ca="1" si="20"/>
        <v>-3.797949107481879E-3</v>
      </c>
      <c r="AR48" s="2" vm="380">
        <f ca="1"/>
        <v>50.95</v>
      </c>
      <c r="AS48" s="2">
        <f t="shared" ca="1" si="21"/>
        <v>3.9269585705876942E-4</v>
      </c>
      <c r="AT48" s="2" vm="1441">
        <f ca="1"/>
        <v>29.05</v>
      </c>
      <c r="AU48" s="2">
        <f t="shared" ca="1" si="22"/>
        <v>-3.4411562284920893E-4</v>
      </c>
      <c r="AV48" s="2" vm="1886">
        <f ca="1"/>
        <v>27.14</v>
      </c>
      <c r="AW48" s="2">
        <f t="shared" ca="1" si="23"/>
        <v>-1.093294460641402E-2</v>
      </c>
      <c r="AX48" s="2" vm="1887">
        <f ca="1"/>
        <v>91.61</v>
      </c>
      <c r="AY48" s="2">
        <f t="shared" ca="1" si="24"/>
        <v>2.1836445026745299E-4</v>
      </c>
      <c r="AZ48" s="2" vm="1888">
        <f ca="1"/>
        <v>458.63</v>
      </c>
      <c r="BA48" s="2">
        <f t="shared" ca="1" si="25"/>
        <v>-5.9819241856130193E-3</v>
      </c>
      <c r="BB48" s="2" vm="1889">
        <f ca="1"/>
        <v>241.53</v>
      </c>
      <c r="BC48" s="2">
        <f t="shared" ca="1" si="26"/>
        <v>-8.2125405494189625E-3</v>
      </c>
      <c r="BD48" s="2" vm="1052">
        <f ca="1"/>
        <v>46.08</v>
      </c>
      <c r="BE48" s="2">
        <f t="shared" ca="1" si="27"/>
        <v>0</v>
      </c>
      <c r="BF48" s="2" vm="1890">
        <f ca="1"/>
        <v>111.82</v>
      </c>
      <c r="BG48" s="2">
        <f t="shared" ca="1" si="28"/>
        <v>-8.934953538242363E-4</v>
      </c>
      <c r="BH48" s="2" vm="1891">
        <f ca="1"/>
        <v>154.71</v>
      </c>
      <c r="BI48" s="2">
        <f t="shared" ca="1" si="29"/>
        <v>-9.6024582293067016E-3</v>
      </c>
      <c r="BJ48" s="2" vm="1892">
        <f ca="1"/>
        <v>146.24</v>
      </c>
      <c r="BK48" s="2">
        <f t="shared" ca="1" si="30"/>
        <v>-2.7277686852153391E-3</v>
      </c>
      <c r="BL48" s="2" vm="1893">
        <f ca="1"/>
        <v>63.84</v>
      </c>
      <c r="BM48" s="2">
        <f t="shared" ca="1" si="31"/>
        <v>1.9157088122605408E-2</v>
      </c>
      <c r="BN48" s="2" vm="1894">
        <f ca="1"/>
        <v>296.63</v>
      </c>
      <c r="BO48" s="2">
        <f t="shared" ca="1" si="32"/>
        <v>1.7899358324889316E-3</v>
      </c>
      <c r="BP48" s="2" vm="1895">
        <f ca="1"/>
        <v>114.9</v>
      </c>
      <c r="BQ48" s="2">
        <f t="shared" ca="1" si="33"/>
        <v>2.5303202163860592E-3</v>
      </c>
      <c r="BR48" s="2" vm="1896">
        <f ca="1"/>
        <v>925.55</v>
      </c>
      <c r="BS48" s="2">
        <f t="shared" ca="1" si="34"/>
        <v>-1.1755787135901589E-2</v>
      </c>
      <c r="BT48" s="2" vm="1897">
        <f ca="1"/>
        <v>170.85</v>
      </c>
      <c r="BU48" s="2">
        <f t="shared" ca="1" si="35"/>
        <v>1.2893395065346003E-3</v>
      </c>
      <c r="BV48" s="2" vm="1898">
        <f ca="1"/>
        <v>158.9</v>
      </c>
      <c r="BW48" s="2">
        <f t="shared" ca="1" si="36"/>
        <v>1.3586783185558431E-2</v>
      </c>
      <c r="BX48" s="2" vm="1899">
        <f ca="1"/>
        <v>287.06</v>
      </c>
      <c r="BY48" s="2">
        <f t="shared" ca="1" si="37"/>
        <v>-1.5636787600301769E-2</v>
      </c>
      <c r="BZ48" s="2" vm="1900">
        <f ca="1"/>
        <v>92.96</v>
      </c>
      <c r="CA48" s="2">
        <f t="shared" ca="1" si="38"/>
        <v>-1.0853373058097577E-2</v>
      </c>
      <c r="CB48" s="2" vm="1901">
        <f ca="1"/>
        <v>30.54</v>
      </c>
      <c r="CC48" s="2">
        <f t="shared" ca="1" si="39"/>
        <v>-9.9555549792363605E-3</v>
      </c>
      <c r="CD48" s="2" t="e" vm="92">
        <f ca="1"/>
        <v>#N/A</v>
      </c>
      <c r="CE48" s="2" t="e" vm="140">
        <f t="shared" ca="1" si="40"/>
        <v>#N/A</v>
      </c>
      <c r="CF48" s="2" vm="1902">
        <f ca="1"/>
        <v>22.734999999999999</v>
      </c>
      <c r="CG48" s="2">
        <f t="shared" ca="1" si="41"/>
        <v>-3.724802804557443E-3</v>
      </c>
      <c r="CH48" s="2" vm="1684">
        <f ca="1"/>
        <v>58.3</v>
      </c>
      <c r="CI48" s="2">
        <f t="shared" ca="1" si="42"/>
        <v>-5.1431510372023205E-4</v>
      </c>
      <c r="CJ48" s="2" vm="863">
        <f ca="1"/>
        <v>58.61</v>
      </c>
      <c r="CK48" s="2">
        <f t="shared" ca="1" si="43"/>
        <v>-2.2131426625809085E-3</v>
      </c>
      <c r="CL48" s="2" vm="1903">
        <f ca="1"/>
        <v>57.42</v>
      </c>
      <c r="CM48" s="2">
        <f t="shared" ca="1" si="44"/>
        <v>-9.9999999999999707E-3</v>
      </c>
      <c r="CN48" s="2" vm="168">
        <f ca="1"/>
        <v>29.2</v>
      </c>
      <c r="CO48" s="2">
        <f t="shared" ca="1" si="45"/>
        <v>-4.4323218547561889E-3</v>
      </c>
      <c r="CP48" s="2" vm="1904">
        <f ca="1"/>
        <v>23.258500000000002</v>
      </c>
      <c r="CQ48" s="2">
        <f t="shared" ca="1" si="46"/>
        <v>-4.3835710632727847E-4</v>
      </c>
    </row>
    <row r="49" spans="1:95" x14ac:dyDescent="0.2">
      <c r="A49" s="7" vm="1905">
        <f ca="1"/>
        <v>45639</v>
      </c>
      <c r="B49" s="2" vm="1906">
        <f ca="1"/>
        <v>248.13</v>
      </c>
      <c r="C49" s="2">
        <f t="shared" ca="1" si="0"/>
        <v>6.8559445071780724E-4</v>
      </c>
      <c r="D49" s="2" vm="1907">
        <f ca="1"/>
        <v>134.25</v>
      </c>
      <c r="E49" s="2">
        <f t="shared" ca="1" si="1"/>
        <v>-2.2498907820008761E-2</v>
      </c>
      <c r="F49" s="2" vm="1908">
        <f ca="1"/>
        <v>447.27</v>
      </c>
      <c r="G49" s="2">
        <f t="shared" ca="1" si="2"/>
        <v>-5.0938695613489196E-3</v>
      </c>
      <c r="H49" s="2" vm="1909">
        <f ca="1"/>
        <v>620.35</v>
      </c>
      <c r="I49" s="2">
        <f t="shared" ca="1" si="3"/>
        <v>-1.6550674550959814E-2</v>
      </c>
      <c r="J49" s="2" vm="1910">
        <f ca="1"/>
        <v>189.82</v>
      </c>
      <c r="K49" s="2">
        <f t="shared" ca="1" si="4"/>
        <v>-1.1148155865805453E-2</v>
      </c>
      <c r="L49" s="2" vm="1911">
        <f ca="1"/>
        <v>604.21</v>
      </c>
      <c r="M49" s="2">
        <f t="shared" ca="1" si="5"/>
        <v>-1.985670080916131E-4</v>
      </c>
      <c r="N49" s="2" vm="1912">
        <f ca="1"/>
        <v>90.15</v>
      </c>
      <c r="O49" s="2">
        <f t="shared" ca="1" si="6"/>
        <v>-1.0210803689064478E-2</v>
      </c>
      <c r="P49" s="2" vm="1913">
        <f ca="1"/>
        <v>244.29</v>
      </c>
      <c r="Q49" s="2">
        <f t="shared" ca="1" si="7"/>
        <v>-1.2091556130702076E-2</v>
      </c>
      <c r="R49" s="2" vm="1914">
        <f ca="1"/>
        <v>74.209999999999994</v>
      </c>
      <c r="S49" s="2">
        <f t="shared" ca="1" si="8"/>
        <v>1.3659336156262808E-2</v>
      </c>
      <c r="T49" s="2" vm="1915">
        <f ca="1"/>
        <v>93.69</v>
      </c>
      <c r="U49" s="2">
        <f t="shared" ca="1" si="9"/>
        <v>-4.6743864867735867E-3</v>
      </c>
      <c r="V49" s="2" vm="1916">
        <f ca="1"/>
        <v>47.241</v>
      </c>
      <c r="W49" s="2">
        <f t="shared" ca="1" si="10"/>
        <v>-3.5646488082682333E-3</v>
      </c>
      <c r="X49" s="2" vm="1917">
        <f ca="1"/>
        <v>176.43</v>
      </c>
      <c r="Y49" s="2">
        <f t="shared" ca="1" si="11"/>
        <v>1.1337225780857226E-4</v>
      </c>
      <c r="Z49" s="2" vm="1918">
        <f ca="1"/>
        <v>89.22</v>
      </c>
      <c r="AA49" s="2">
        <f t="shared" ca="1" si="12"/>
        <v>-5.0184008029441601E-3</v>
      </c>
      <c r="AB49" s="2" vm="1919">
        <f ca="1"/>
        <v>14.73</v>
      </c>
      <c r="AC49" s="2">
        <f t="shared" ca="1" si="13"/>
        <v>1.2371134020618537E-2</v>
      </c>
      <c r="AD49" s="2" t="e" vm="92">
        <f ca="1"/>
        <v>#N/A</v>
      </c>
      <c r="AE49" s="2" t="e" vm="140">
        <f t="shared" ca="1" si="14"/>
        <v>#N/A</v>
      </c>
      <c r="AF49" s="2" vm="1920">
        <f ca="1"/>
        <v>27.75</v>
      </c>
      <c r="AG49" s="2">
        <f t="shared" ca="1" si="15"/>
        <v>-1.5957446808510613E-2</v>
      </c>
      <c r="AH49" s="2" vm="1519">
        <f ca="1"/>
        <v>27.64</v>
      </c>
      <c r="AI49" s="2">
        <f t="shared" ca="1" si="16"/>
        <v>6.554989075018198E-3</v>
      </c>
      <c r="AJ49" s="2" vm="1921">
        <f ca="1"/>
        <v>4.82</v>
      </c>
      <c r="AK49" s="2">
        <f t="shared" ca="1" si="17"/>
        <v>-8.2304526748971252E-3</v>
      </c>
      <c r="AL49" s="2" vm="1922">
        <f ca="1"/>
        <v>52.46</v>
      </c>
      <c r="AM49" s="2">
        <f t="shared" ca="1" si="18"/>
        <v>-1.2052730696798504E-2</v>
      </c>
      <c r="AN49" s="2" vm="1923">
        <f ca="1"/>
        <v>84.3</v>
      </c>
      <c r="AO49" s="2">
        <f t="shared" ca="1" si="19"/>
        <v>-1.2302284710017541E-2</v>
      </c>
      <c r="AP49" s="2" vm="798">
        <f ca="1"/>
        <v>26.16</v>
      </c>
      <c r="AQ49" s="2">
        <f t="shared" ca="1" si="20"/>
        <v>-2.6686999618757254E-3</v>
      </c>
      <c r="AR49" s="2" vm="1924">
        <f ca="1"/>
        <v>50.97</v>
      </c>
      <c r="AS49" s="2">
        <f t="shared" ca="1" si="21"/>
        <v>3.9254170755634977E-4</v>
      </c>
      <c r="AT49" s="2" vm="966">
        <f ca="1"/>
        <v>29.03</v>
      </c>
      <c r="AU49" s="2">
        <f t="shared" ca="1" si="22"/>
        <v>-6.8846815834766172E-4</v>
      </c>
      <c r="AV49" s="2" vm="1162">
        <f ca="1"/>
        <v>26.92</v>
      </c>
      <c r="AW49" s="2">
        <f t="shared" ca="1" si="23"/>
        <v>-8.1061164333087275E-3</v>
      </c>
      <c r="AX49" s="2" vm="341">
        <f ca="1"/>
        <v>91.64</v>
      </c>
      <c r="AY49" s="2">
        <f t="shared" ca="1" si="24"/>
        <v>3.2747516646655536E-4</v>
      </c>
      <c r="AZ49" s="2" vm="1925">
        <f ca="1"/>
        <v>457.9</v>
      </c>
      <c r="BA49" s="2">
        <f t="shared" ca="1" si="25"/>
        <v>-1.5916970106622293E-3</v>
      </c>
      <c r="BB49" s="2" vm="1926">
        <f ca="1"/>
        <v>239.94</v>
      </c>
      <c r="BC49" s="2">
        <f t="shared" ca="1" si="26"/>
        <v>-6.5830331635821776E-3</v>
      </c>
      <c r="BD49" s="2" vm="1927">
        <f ca="1"/>
        <v>45.67</v>
      </c>
      <c r="BE49" s="2">
        <f t="shared" ca="1" si="27"/>
        <v>-8.8975694444443712E-3</v>
      </c>
      <c r="BF49" s="2" vm="1928">
        <f ca="1"/>
        <v>110.84</v>
      </c>
      <c r="BG49" s="2">
        <f t="shared" ca="1" si="28"/>
        <v>-8.7640851368269521E-3</v>
      </c>
      <c r="BH49" s="2" vm="1929">
        <f ca="1"/>
        <v>153.87</v>
      </c>
      <c r="BI49" s="2">
        <f t="shared" ca="1" si="29"/>
        <v>-5.4295132829164459E-3</v>
      </c>
      <c r="BJ49" s="2" vm="1930">
        <f ca="1"/>
        <v>146.62</v>
      </c>
      <c r="BK49" s="2">
        <f t="shared" ca="1" si="30"/>
        <v>2.5984682713347607E-3</v>
      </c>
      <c r="BL49" s="2" vm="1931">
        <f ca="1"/>
        <v>63.12</v>
      </c>
      <c r="BM49" s="2">
        <f t="shared" ca="1" si="31"/>
        <v>-1.1278195488721898E-2</v>
      </c>
      <c r="BN49" s="2" vm="1932">
        <f ca="1"/>
        <v>296.60000000000002</v>
      </c>
      <c r="BO49" s="2">
        <f t="shared" ca="1" si="32"/>
        <v>-1.0113609547238215E-4</v>
      </c>
      <c r="BP49" s="2" vm="1933">
        <f ca="1"/>
        <v>113.34</v>
      </c>
      <c r="BQ49" s="2">
        <f t="shared" ca="1" si="33"/>
        <v>-1.3577023498694536E-2</v>
      </c>
      <c r="BR49" s="2" vm="1934">
        <f ca="1"/>
        <v>918.87</v>
      </c>
      <c r="BS49" s="2">
        <f t="shared" ca="1" si="34"/>
        <v>-7.2173302360757927E-3</v>
      </c>
      <c r="BT49" s="2" vm="1935">
        <f ca="1"/>
        <v>171.06</v>
      </c>
      <c r="BU49" s="2">
        <f t="shared" ca="1" si="35"/>
        <v>1.2291483757682644E-3</v>
      </c>
      <c r="BV49" s="2" vm="1936">
        <f ca="1"/>
        <v>157.97</v>
      </c>
      <c r="BW49" s="2">
        <f t="shared" ca="1" si="36"/>
        <v>-5.8527375707992874E-3</v>
      </c>
      <c r="BX49" s="2" vm="1937">
        <f ca="1"/>
        <v>283.89</v>
      </c>
      <c r="BY49" s="2">
        <f t="shared" ca="1" si="37"/>
        <v>-1.1042987528739692E-2</v>
      </c>
      <c r="BZ49" s="2" vm="1938">
        <f ca="1"/>
        <v>92.54</v>
      </c>
      <c r="CA49" s="2">
        <f t="shared" ca="1" si="38"/>
        <v>-4.5180722891564919E-3</v>
      </c>
      <c r="CB49" s="2" vm="1939">
        <f ca="1"/>
        <v>30.32</v>
      </c>
      <c r="CC49" s="2">
        <f t="shared" ca="1" si="39"/>
        <v>-7.2036673215454773E-3</v>
      </c>
      <c r="CD49" s="2" t="e" vm="92">
        <f ca="1"/>
        <v>#N/A</v>
      </c>
      <c r="CE49" s="2" t="e" vm="140">
        <f t="shared" ca="1" si="40"/>
        <v>#N/A</v>
      </c>
      <c r="CF49" s="2" vm="1940">
        <f ca="1"/>
        <v>22.67</v>
      </c>
      <c r="CG49" s="2">
        <f t="shared" ca="1" si="41"/>
        <v>-2.8590279305035289E-3</v>
      </c>
      <c r="CH49" s="2" vm="1299">
        <f ca="1"/>
        <v>58.26</v>
      </c>
      <c r="CI49" s="2">
        <f t="shared" ca="1" si="42"/>
        <v>-6.8610634648369039E-4</v>
      </c>
      <c r="CJ49" s="2" vm="1941">
        <f ca="1"/>
        <v>58.43</v>
      </c>
      <c r="CK49" s="2">
        <f t="shared" ca="1" si="43"/>
        <v>-3.0711482682136107E-3</v>
      </c>
      <c r="CL49" s="2" vm="1942">
        <f ca="1"/>
        <v>56.92</v>
      </c>
      <c r="CM49" s="2">
        <f t="shared" ca="1" si="44"/>
        <v>-8.7077673284569838E-3</v>
      </c>
      <c r="CN49" s="2" vm="1441">
        <f ca="1"/>
        <v>29.05</v>
      </c>
      <c r="CO49" s="2">
        <f t="shared" ca="1" si="45"/>
        <v>-5.1369863013698142E-3</v>
      </c>
      <c r="CP49" s="2" vm="1943">
        <f ca="1"/>
        <v>23.1645</v>
      </c>
      <c r="CQ49" s="2">
        <f t="shared" ca="1" si="46"/>
        <v>-4.0415332029151143E-3</v>
      </c>
    </row>
    <row r="50" spans="1:95" x14ac:dyDescent="0.2">
      <c r="A50" s="7" vm="1944">
        <f ca="1"/>
        <v>45642</v>
      </c>
      <c r="B50" s="2" vm="1945">
        <f ca="1"/>
        <v>251.04</v>
      </c>
      <c r="C50" s="2">
        <f t="shared" ca="1" si="0"/>
        <v>1.1727723370813672E-2</v>
      </c>
      <c r="D50" s="2" vm="1946">
        <f ca="1"/>
        <v>132</v>
      </c>
      <c r="E50" s="2">
        <f t="shared" ca="1" si="1"/>
        <v>-1.6759776536312849E-2</v>
      </c>
      <c r="F50" s="2" vm="1947">
        <f ca="1"/>
        <v>451.59</v>
      </c>
      <c r="G50" s="2">
        <f t="shared" ca="1" si="2"/>
        <v>9.6585954792407121E-3</v>
      </c>
      <c r="H50" s="2" vm="1948">
        <f ca="1"/>
        <v>624.24</v>
      </c>
      <c r="I50" s="2">
        <f t="shared" ca="1" si="3"/>
        <v>6.270653663254592E-3</v>
      </c>
      <c r="J50" s="2" vm="1949">
        <f ca="1"/>
        <v>196.66</v>
      </c>
      <c r="K50" s="2">
        <f t="shared" ca="1" si="4"/>
        <v>3.603413760404596E-2</v>
      </c>
      <c r="L50" s="2" vm="1950">
        <f ca="1"/>
        <v>606.79</v>
      </c>
      <c r="M50" s="2">
        <f t="shared" ca="1" si="5"/>
        <v>4.2700385627512409E-3</v>
      </c>
      <c r="N50" s="2" vm="1951">
        <f ca="1"/>
        <v>90.42</v>
      </c>
      <c r="O50" s="2">
        <f t="shared" ca="1" si="6"/>
        <v>2.9950083194675097E-3</v>
      </c>
      <c r="P50" s="2" vm="1952">
        <f ca="1"/>
        <v>244.88</v>
      </c>
      <c r="Q50" s="2">
        <f t="shared" ca="1" si="7"/>
        <v>2.4151623070940418E-3</v>
      </c>
      <c r="R50" s="2" vm="1953">
        <f ca="1"/>
        <v>73.7</v>
      </c>
      <c r="S50" s="2">
        <f t="shared" ca="1" si="8"/>
        <v>-6.8723891658804869E-3</v>
      </c>
      <c r="T50" s="2" vm="1954">
        <f ca="1"/>
        <v>93.72</v>
      </c>
      <c r="U50" s="2">
        <f t="shared" ca="1" si="9"/>
        <v>3.2020493115595192E-4</v>
      </c>
      <c r="V50" s="2" vm="1955">
        <f ca="1"/>
        <v>47.265000000000001</v>
      </c>
      <c r="W50" s="2">
        <f t="shared" ca="1" si="10"/>
        <v>5.0803327617960899E-4</v>
      </c>
      <c r="X50" s="2" vm="1956">
        <f ca="1"/>
        <v>178.15</v>
      </c>
      <c r="Y50" s="2">
        <f t="shared" ca="1" si="11"/>
        <v>9.7489089157172752E-3</v>
      </c>
      <c r="Z50" s="2" vm="1957">
        <f ca="1"/>
        <v>87.26</v>
      </c>
      <c r="AA50" s="2">
        <f t="shared" ca="1" si="12"/>
        <v>-2.1968168572068972E-2</v>
      </c>
      <c r="AB50" s="2" vm="1958">
        <f ca="1"/>
        <v>14.62</v>
      </c>
      <c r="AC50" s="2">
        <f t="shared" ca="1" si="13"/>
        <v>-7.4677528852682418E-3</v>
      </c>
      <c r="AD50" s="2" vm="1883">
        <f ca="1"/>
        <v>3.8</v>
      </c>
      <c r="AE50" s="2" t="e" vm="140">
        <f t="shared" ca="1" si="14"/>
        <v>#N/A</v>
      </c>
      <c r="AF50" s="2" vm="1476">
        <f ca="1"/>
        <v>27.8</v>
      </c>
      <c r="AG50" s="2">
        <f t="shared" ca="1" si="15"/>
        <v>1.8018018018018274E-3</v>
      </c>
      <c r="AH50" s="2" vm="1959">
        <f ca="1"/>
        <v>27.76</v>
      </c>
      <c r="AI50" s="2">
        <f t="shared" ca="1" si="16"/>
        <v>4.3415340086831039E-3</v>
      </c>
      <c r="AJ50" s="2" vm="1159">
        <f ca="1"/>
        <v>4.8</v>
      </c>
      <c r="AK50" s="2">
        <f t="shared" ca="1" si="17"/>
        <v>-4.1493775933610913E-3</v>
      </c>
      <c r="AL50" s="2" vm="1960">
        <f ca="1"/>
        <v>52.56</v>
      </c>
      <c r="AM50" s="2">
        <f t="shared" ca="1" si="18"/>
        <v>1.9062142584826806E-3</v>
      </c>
      <c r="AN50" s="2" vm="1961">
        <f ca="1"/>
        <v>85.69</v>
      </c>
      <c r="AO50" s="2">
        <f t="shared" ca="1" si="19"/>
        <v>1.6488730723606175E-2</v>
      </c>
      <c r="AP50" s="2" vm="1089">
        <f ca="1"/>
        <v>26.14</v>
      </c>
      <c r="AQ50" s="2">
        <f t="shared" ca="1" si="20"/>
        <v>-7.6452599388377579E-4</v>
      </c>
      <c r="AR50" s="2" vm="466">
        <f ca="1"/>
        <v>50.98</v>
      </c>
      <c r="AS50" s="2">
        <f t="shared" ca="1" si="21"/>
        <v>1.9619383951340025E-4</v>
      </c>
      <c r="AT50" s="2" vm="732">
        <f ca="1"/>
        <v>29.04</v>
      </c>
      <c r="AU50" s="2">
        <f t="shared" ca="1" si="22"/>
        <v>3.4447123665167103E-4</v>
      </c>
      <c r="AV50" s="2" vm="1962">
        <f ca="1"/>
        <v>26.96</v>
      </c>
      <c r="AW50" s="2">
        <f t="shared" ca="1" si="23"/>
        <v>1.4858841010400871E-3</v>
      </c>
      <c r="AX50" s="2" vm="1963">
        <f ca="1"/>
        <v>91.65</v>
      </c>
      <c r="AY50" s="2">
        <f t="shared" ca="1" si="24"/>
        <v>1.0912265386299777E-4</v>
      </c>
      <c r="AZ50" s="2" vm="1964">
        <f ca="1"/>
        <v>455.2</v>
      </c>
      <c r="BA50" s="2">
        <f t="shared" ca="1" si="25"/>
        <v>-5.8964839484603382E-3</v>
      </c>
      <c r="BB50" s="2" vm="1965">
        <f ca="1"/>
        <v>239.58</v>
      </c>
      <c r="BC50" s="2">
        <f t="shared" ca="1" si="26"/>
        <v>-1.5003750937733818E-3</v>
      </c>
      <c r="BD50" s="2" vm="1966">
        <f ca="1"/>
        <v>45.47</v>
      </c>
      <c r="BE50" s="2">
        <f t="shared" ca="1" si="27"/>
        <v>-4.3792423910664078E-3</v>
      </c>
      <c r="BF50" s="2" vm="1967">
        <f ca="1"/>
        <v>108.47</v>
      </c>
      <c r="BG50" s="2">
        <f t="shared" ca="1" si="28"/>
        <v>-2.1382172500902241E-2</v>
      </c>
      <c r="BH50" s="2" vm="1968">
        <f ca="1"/>
        <v>149.36000000000001</v>
      </c>
      <c r="BI50" s="2">
        <f t="shared" ca="1" si="29"/>
        <v>-2.9310456879183665E-2</v>
      </c>
      <c r="BJ50" s="2" vm="1969">
        <f ca="1"/>
        <v>143.85</v>
      </c>
      <c r="BK50" s="2">
        <f t="shared" ca="1" si="30"/>
        <v>-1.8892374846542152E-2</v>
      </c>
      <c r="BL50" s="2" vm="1169">
        <f ca="1"/>
        <v>62.55</v>
      </c>
      <c r="BM50" s="2">
        <f t="shared" ca="1" si="31"/>
        <v>-9.0304182509505747E-3</v>
      </c>
      <c r="BN50" s="2" vm="1970">
        <f ca="1"/>
        <v>297.70999999999998</v>
      </c>
      <c r="BO50" s="2">
        <f t="shared" ca="1" si="32"/>
        <v>3.7424140256235895E-3</v>
      </c>
      <c r="BP50" s="2" vm="1971">
        <f ca="1"/>
        <v>112.11</v>
      </c>
      <c r="BQ50" s="2">
        <f t="shared" ca="1" si="33"/>
        <v>-1.0852302805717345E-2</v>
      </c>
      <c r="BR50" s="2" vm="1972">
        <f ca="1"/>
        <v>921.08</v>
      </c>
      <c r="BS50" s="2">
        <f t="shared" ca="1" si="34"/>
        <v>2.4051280376985169E-3</v>
      </c>
      <c r="BT50" s="2" vm="1973">
        <f ca="1"/>
        <v>171.14</v>
      </c>
      <c r="BU50" s="2">
        <f t="shared" ca="1" si="35"/>
        <v>4.6767216181447494E-4</v>
      </c>
      <c r="BV50" s="2" vm="1974">
        <f ca="1"/>
        <v>156.02000000000001</v>
      </c>
      <c r="BW50" s="2">
        <f t="shared" ca="1" si="36"/>
        <v>-1.2344115971386901E-2</v>
      </c>
      <c r="BX50" s="2" vm="1975">
        <f ca="1"/>
        <v>280.35000000000002</v>
      </c>
      <c r="BY50" s="2">
        <f t="shared" ca="1" si="37"/>
        <v>-1.2469618514213123E-2</v>
      </c>
      <c r="BZ50" s="2" vm="1976">
        <f ca="1"/>
        <v>90.23</v>
      </c>
      <c r="CA50" s="2">
        <f t="shared" ca="1" si="38"/>
        <v>-2.4962178517397904E-2</v>
      </c>
      <c r="CB50" s="2" vm="1977">
        <f ca="1"/>
        <v>29.51</v>
      </c>
      <c r="CC50" s="2">
        <f t="shared" ca="1" si="39"/>
        <v>-2.6715039577836368E-2</v>
      </c>
      <c r="CD50" s="2" t="e" vm="92">
        <f ca="1"/>
        <v>#N/A</v>
      </c>
      <c r="CE50" s="2" t="e" vm="140">
        <f t="shared" ca="1" si="40"/>
        <v>#N/A</v>
      </c>
      <c r="CF50" s="2" vm="1978">
        <f ca="1"/>
        <v>22.675000000000001</v>
      </c>
      <c r="CG50" s="2">
        <f t="shared" ca="1" si="41"/>
        <v>2.2055580061751236E-4</v>
      </c>
      <c r="CH50" s="2" vm="862">
        <f ca="1"/>
        <v>58.28</v>
      </c>
      <c r="CI50" s="2">
        <f t="shared" ca="1" si="42"/>
        <v>3.4328870580163282E-4</v>
      </c>
      <c r="CJ50" s="2" vm="734">
        <f ca="1"/>
        <v>58.45</v>
      </c>
      <c r="CK50" s="2">
        <f t="shared" ca="1" si="43"/>
        <v>3.4228991956192239E-4</v>
      </c>
      <c r="CL50" s="2" vm="1979">
        <f ca="1"/>
        <v>57.01</v>
      </c>
      <c r="CM50" s="2">
        <f t="shared" ca="1" si="44"/>
        <v>1.5811665495431536E-3</v>
      </c>
      <c r="CN50" s="2" vm="1518">
        <f ca="1"/>
        <v>29.09</v>
      </c>
      <c r="CO50" s="2">
        <f t="shared" ca="1" si="45"/>
        <v>1.3769363166953234E-3</v>
      </c>
      <c r="CP50" s="2" vm="1980">
        <f ca="1"/>
        <v>23.092600000000001</v>
      </c>
      <c r="CQ50" s="2">
        <f t="shared" ca="1" si="46"/>
        <v>-3.1038874139307738E-3</v>
      </c>
    </row>
    <row r="51" spans="1:95" x14ac:dyDescent="0.2">
      <c r="A51" s="7" vm="1981">
        <f ca="1"/>
        <v>45643</v>
      </c>
      <c r="B51" s="2" vm="1982">
        <f ca="1"/>
        <v>253.48</v>
      </c>
      <c r="C51" s="2">
        <f t="shared" ca="1" si="0"/>
        <v>9.7195666029317954E-3</v>
      </c>
      <c r="D51" s="2" vm="1983">
        <f ca="1"/>
        <v>130.38999999999999</v>
      </c>
      <c r="E51" s="2">
        <f t="shared" ca="1" si="1"/>
        <v>-1.21969696969698E-2</v>
      </c>
      <c r="F51" s="2" vm="1984">
        <f ca="1"/>
        <v>454.46</v>
      </c>
      <c r="G51" s="2">
        <f t="shared" ca="1" si="2"/>
        <v>6.3553223056312244E-3</v>
      </c>
      <c r="H51" s="2" vm="1985">
        <f ca="1"/>
        <v>619.44000000000005</v>
      </c>
      <c r="I51" s="2">
        <f t="shared" ca="1" si="3"/>
        <v>-7.6893502499038105E-3</v>
      </c>
      <c r="J51" s="2" vm="1986">
        <f ca="1"/>
        <v>195.42</v>
      </c>
      <c r="K51" s="2">
        <f t="shared" ca="1" si="4"/>
        <v>-6.3052984846944425E-3</v>
      </c>
      <c r="L51" s="2" vm="1987">
        <f ca="1"/>
        <v>604.29</v>
      </c>
      <c r="M51" s="2">
        <f t="shared" ca="1" si="5"/>
        <v>-4.1200415300186232E-3</v>
      </c>
      <c r="N51" s="2" vm="330">
        <f ca="1"/>
        <v>90.64</v>
      </c>
      <c r="O51" s="2">
        <f t="shared" ca="1" si="6"/>
        <v>2.4330900243308877E-3</v>
      </c>
      <c r="P51" s="2" vm="1988">
        <f ca="1"/>
        <v>243.94</v>
      </c>
      <c r="Q51" s="2">
        <f t="shared" ca="1" si="7"/>
        <v>-3.8386148317543192E-3</v>
      </c>
      <c r="R51" s="2" vm="1989">
        <f ca="1"/>
        <v>73.3</v>
      </c>
      <c r="S51" s="2">
        <f t="shared" ca="1" si="8"/>
        <v>-5.4274084124831161E-3</v>
      </c>
      <c r="T51" s="2" vm="1954">
        <f ca="1"/>
        <v>93.72</v>
      </c>
      <c r="U51" s="2">
        <f t="shared" ca="1" si="9"/>
        <v>0</v>
      </c>
      <c r="V51" s="2" vm="1990">
        <f ca="1"/>
        <v>47.262700000000002</v>
      </c>
      <c r="W51" s="2">
        <f t="shared" ca="1" si="10"/>
        <v>-4.8661800486579759E-5</v>
      </c>
      <c r="X51" s="2" vm="1991">
        <f ca="1"/>
        <v>176.32</v>
      </c>
      <c r="Y51" s="2">
        <f t="shared" ca="1" si="11"/>
        <v>-1.0272242492281855E-2</v>
      </c>
      <c r="Z51" s="2" vm="1992">
        <f ca="1"/>
        <v>86.61</v>
      </c>
      <c r="AA51" s="2">
        <f t="shared" ca="1" si="12"/>
        <v>-7.4490029796012566E-3</v>
      </c>
      <c r="AB51" s="2" vm="1882">
        <f ca="1"/>
        <v>14.55</v>
      </c>
      <c r="AC51" s="2">
        <f t="shared" ca="1" si="13"/>
        <v>-4.787961696306328E-3</v>
      </c>
      <c r="AD51" s="2" vm="1993">
        <f ca="1"/>
        <v>3.21</v>
      </c>
      <c r="AE51" s="2">
        <f t="shared" ca="1" si="14"/>
        <v>-0.15526315789473683</v>
      </c>
      <c r="AF51" s="2" vm="1157">
        <f ca="1"/>
        <v>27.81</v>
      </c>
      <c r="AG51" s="2">
        <f t="shared" ca="1" si="15"/>
        <v>3.5971223021575579E-4</v>
      </c>
      <c r="AH51" s="2" vm="1994">
        <f ca="1"/>
        <v>27.71</v>
      </c>
      <c r="AI51" s="2">
        <f t="shared" ca="1" si="16"/>
        <v>-1.8011527377521869E-3</v>
      </c>
      <c r="AJ51" s="2" vm="1995">
        <f ca="1"/>
        <v>4.75</v>
      </c>
      <c r="AK51" s="2">
        <f t="shared" ca="1" si="17"/>
        <v>-1.041666666666663E-2</v>
      </c>
      <c r="AL51" s="2" vm="1996">
        <f ca="1"/>
        <v>52.37</v>
      </c>
      <c r="AM51" s="2">
        <f t="shared" ca="1" si="18"/>
        <v>-3.6149162861492546E-3</v>
      </c>
      <c r="AN51" s="2" vm="1785">
        <f ca="1"/>
        <v>85.91</v>
      </c>
      <c r="AO51" s="2">
        <f t="shared" ca="1" si="19"/>
        <v>2.5673940949935683E-3</v>
      </c>
      <c r="AP51" s="2" vm="1997">
        <f ca="1"/>
        <v>26.12</v>
      </c>
      <c r="AQ51" s="2">
        <f t="shared" ca="1" si="20"/>
        <v>-7.6511094108644125E-4</v>
      </c>
      <c r="AR51" s="2" vm="466">
        <f ca="1"/>
        <v>50.98</v>
      </c>
      <c r="AS51" s="2">
        <f t="shared" ca="1" si="21"/>
        <v>0</v>
      </c>
      <c r="AT51" s="2" vm="732">
        <f ca="1"/>
        <v>29.04</v>
      </c>
      <c r="AU51" s="2">
        <f t="shared" ca="1" si="22"/>
        <v>0</v>
      </c>
      <c r="AV51" s="2" vm="801">
        <f ca="1"/>
        <v>27.01</v>
      </c>
      <c r="AW51" s="2">
        <f t="shared" ca="1" si="23"/>
        <v>1.8545994065282162E-3</v>
      </c>
      <c r="AX51" s="2" vm="1998">
        <f ca="1"/>
        <v>91.66</v>
      </c>
      <c r="AY51" s="2">
        <f t="shared" ca="1" si="24"/>
        <v>1.0911074740852051E-4</v>
      </c>
      <c r="AZ51" s="2" vm="1999">
        <f ca="1"/>
        <v>455.66</v>
      </c>
      <c r="BA51" s="2">
        <f t="shared" ca="1" si="25"/>
        <v>1.0105448154658094E-3</v>
      </c>
      <c r="BB51" s="2" vm="2000">
        <f ca="1"/>
        <v>238.36</v>
      </c>
      <c r="BC51" s="2">
        <f t="shared" ca="1" si="26"/>
        <v>-5.0922447616662441E-3</v>
      </c>
      <c r="BD51" s="2" vm="2001">
        <f ca="1"/>
        <v>45.05</v>
      </c>
      <c r="BE51" s="2">
        <f t="shared" ca="1" si="27"/>
        <v>-9.2368594677809928E-3</v>
      </c>
      <c r="BF51" s="2" vm="2002">
        <f ca="1"/>
        <v>108.01</v>
      </c>
      <c r="BG51" s="2">
        <f t="shared" ca="1" si="28"/>
        <v>-4.2408039089148501E-3</v>
      </c>
      <c r="BH51" s="2" vm="2003">
        <f ca="1"/>
        <v>148.11000000000001</v>
      </c>
      <c r="BI51" s="2">
        <f t="shared" ca="1" si="29"/>
        <v>-8.3690412426352424E-3</v>
      </c>
      <c r="BJ51" s="2" vm="2004">
        <f ca="1"/>
        <v>146.41</v>
      </c>
      <c r="BK51" s="2">
        <f t="shared" ca="1" si="30"/>
        <v>1.77963156065346E-2</v>
      </c>
      <c r="BL51" s="2" vm="2005">
        <f ca="1"/>
        <v>63.4</v>
      </c>
      <c r="BM51" s="2">
        <f t="shared" ca="1" si="31"/>
        <v>1.358912869704239E-2</v>
      </c>
      <c r="BN51" s="2" vm="2006">
        <f ca="1"/>
        <v>296.08</v>
      </c>
      <c r="BO51" s="2">
        <f t="shared" ca="1" si="32"/>
        <v>-5.4751268012495236E-3</v>
      </c>
      <c r="BP51" s="2" vm="2007">
        <f ca="1"/>
        <v>113.02</v>
      </c>
      <c r="BQ51" s="2">
        <f t="shared" ca="1" si="33"/>
        <v>8.1170279190080873E-3</v>
      </c>
      <c r="BR51" s="2" vm="2008">
        <f ca="1"/>
        <v>919.13</v>
      </c>
      <c r="BS51" s="2">
        <f t="shared" ca="1" si="34"/>
        <v>-2.1170799496244034E-3</v>
      </c>
      <c r="BT51" s="2" vm="2009">
        <f ca="1"/>
        <v>170.33</v>
      </c>
      <c r="BU51" s="2">
        <f t="shared" ca="1" si="35"/>
        <v>-4.7329671613881843E-3</v>
      </c>
      <c r="BV51" s="2" vm="2010">
        <f ca="1"/>
        <v>156.13999999999999</v>
      </c>
      <c r="BW51" s="2">
        <f t="shared" ca="1" si="36"/>
        <v>7.6913216254311065E-4</v>
      </c>
      <c r="BX51" s="2" vm="2011">
        <f ca="1"/>
        <v>276.45</v>
      </c>
      <c r="BY51" s="2">
        <f t="shared" ca="1" si="37"/>
        <v>-1.3911182450508413E-2</v>
      </c>
      <c r="BZ51" s="2" vm="2012">
        <f ca="1"/>
        <v>88.94</v>
      </c>
      <c r="CA51" s="2">
        <f t="shared" ca="1" si="38"/>
        <v>-1.4296797074143924E-2</v>
      </c>
      <c r="CB51" s="2" vm="2013">
        <f ca="1"/>
        <v>29.275300000000001</v>
      </c>
      <c r="CC51" s="2">
        <f t="shared" ca="1" si="39"/>
        <v>-7.9532361911216574E-3</v>
      </c>
      <c r="CD51" s="2" t="e" vm="92">
        <f ca="1"/>
        <v>#N/A</v>
      </c>
      <c r="CE51" s="2" t="e" vm="140">
        <f t="shared" ca="1" si="40"/>
        <v>#N/A</v>
      </c>
      <c r="CF51" s="2" vm="2014">
        <f ca="1"/>
        <v>22.684999999999999</v>
      </c>
      <c r="CG51" s="2">
        <f t="shared" ca="1" si="41"/>
        <v>4.4101433296573364E-4</v>
      </c>
      <c r="CH51" s="2" vm="862">
        <f ca="1"/>
        <v>58.28</v>
      </c>
      <c r="CI51" s="2">
        <f t="shared" ca="1" si="42"/>
        <v>0</v>
      </c>
      <c r="CJ51" s="2" vm="1300">
        <f ca="1"/>
        <v>58.44</v>
      </c>
      <c r="CK51" s="2">
        <f t="shared" ca="1" si="43"/>
        <v>-1.7108639863139632E-4</v>
      </c>
      <c r="CL51" s="2" vm="2015">
        <f ca="1"/>
        <v>57.1</v>
      </c>
      <c r="CM51" s="2">
        <f t="shared" ca="1" si="44"/>
        <v>1.5786704087002879E-3</v>
      </c>
      <c r="CN51" s="2" vm="1518">
        <f ca="1"/>
        <v>29.09</v>
      </c>
      <c r="CO51" s="2">
        <f t="shared" ca="1" si="45"/>
        <v>0</v>
      </c>
      <c r="CP51" s="2" vm="2016">
        <f ca="1"/>
        <v>22.981400000000001</v>
      </c>
      <c r="CQ51" s="2">
        <f t="shared" ca="1" si="46"/>
        <v>-4.8153954080528043E-3</v>
      </c>
    </row>
    <row r="52" spans="1:95" x14ac:dyDescent="0.2">
      <c r="A52" s="7" vm="2017">
        <f ca="1"/>
        <v>45644</v>
      </c>
      <c r="B52" s="2" vm="2018">
        <f ca="1"/>
        <v>248.05</v>
      </c>
      <c r="C52" s="2">
        <f t="shared" ca="1" si="0"/>
        <v>-2.1421808426700249E-2</v>
      </c>
      <c r="D52" s="2" vm="2019">
        <f ca="1"/>
        <v>128.91</v>
      </c>
      <c r="E52" s="2">
        <f t="shared" ca="1" si="1"/>
        <v>-1.1350563693534703E-2</v>
      </c>
      <c r="F52" s="2" vm="2020">
        <f ca="1"/>
        <v>437.39</v>
      </c>
      <c r="G52" s="2">
        <f t="shared" ca="1" si="2"/>
        <v>-3.7561061479558143E-2</v>
      </c>
      <c r="H52" s="2" vm="1115">
        <f ca="1"/>
        <v>597.19000000000005</v>
      </c>
      <c r="I52" s="2">
        <f t="shared" ca="1" si="3"/>
        <v>-3.5919540229885055E-2</v>
      </c>
      <c r="J52" s="2" vm="2021">
        <f ca="1"/>
        <v>188.4</v>
      </c>
      <c r="K52" s="2">
        <f t="shared" ca="1" si="4"/>
        <v>-3.5922628185446642E-2</v>
      </c>
      <c r="L52" s="2" vm="2022">
        <f ca="1"/>
        <v>586.28</v>
      </c>
      <c r="M52" s="2">
        <f t="shared" ca="1" si="5"/>
        <v>-2.9803571133065237E-2</v>
      </c>
      <c r="N52" s="2" vm="1281">
        <f ca="1"/>
        <v>89.16</v>
      </c>
      <c r="O52" s="2">
        <f t="shared" ca="1" si="6"/>
        <v>-1.632833186231249E-2</v>
      </c>
      <c r="P52" s="2" vm="2023">
        <f ca="1"/>
        <v>239.26</v>
      </c>
      <c r="Q52" s="2">
        <f t="shared" ca="1" si="7"/>
        <v>-1.9185045502992569E-2</v>
      </c>
      <c r="R52" s="2" vm="2024">
        <f ca="1"/>
        <v>72.94</v>
      </c>
      <c r="S52" s="2">
        <f t="shared" ca="1" si="8"/>
        <v>-4.9113233287858046E-3</v>
      </c>
      <c r="T52" s="2" vm="2025">
        <f ca="1"/>
        <v>92.69</v>
      </c>
      <c r="U52" s="2">
        <f t="shared" ca="1" si="9"/>
        <v>-1.0990183525394805E-2</v>
      </c>
      <c r="V52" s="2" vm="2026">
        <f ca="1"/>
        <v>46.863900000000001</v>
      </c>
      <c r="W52" s="2">
        <f t="shared" ca="1" si="10"/>
        <v>-8.4379436638194888E-3</v>
      </c>
      <c r="X52" s="2" vm="2027">
        <f ca="1"/>
        <v>167.44</v>
      </c>
      <c r="Y52" s="2">
        <f t="shared" ca="1" si="11"/>
        <v>-5.0362976406533554E-2</v>
      </c>
      <c r="Z52" s="2" vm="2028">
        <f ca="1"/>
        <v>84.05</v>
      </c>
      <c r="AA52" s="2">
        <f t="shared" ca="1" si="12"/>
        <v>-2.9557787784320545E-2</v>
      </c>
      <c r="AB52" s="2" vm="2029">
        <f ca="1"/>
        <v>14.48</v>
      </c>
      <c r="AC52" s="2">
        <f t="shared" ca="1" si="13"/>
        <v>-4.8109965635739025E-3</v>
      </c>
      <c r="AD52" s="2" vm="1551">
        <f ca="1"/>
        <v>3.3</v>
      </c>
      <c r="AE52" s="2">
        <f t="shared" ca="1" si="14"/>
        <v>2.8037383177570048E-2</v>
      </c>
      <c r="AF52" s="2" vm="2030">
        <f ca="1"/>
        <v>26.85</v>
      </c>
      <c r="AG52" s="2">
        <f t="shared" ca="1" si="15"/>
        <v>-3.4519956850053844E-2</v>
      </c>
      <c r="AH52" s="2" vm="2031">
        <f ca="1"/>
        <v>27.83</v>
      </c>
      <c r="AI52" s="2">
        <f t="shared" ca="1" si="16"/>
        <v>4.3305665824611133E-3</v>
      </c>
      <c r="AJ52" s="2" vm="2032">
        <f ca="1"/>
        <v>4.74</v>
      </c>
      <c r="AK52" s="2">
        <f t="shared" ca="1" si="17"/>
        <v>-2.1052631578946921E-3</v>
      </c>
      <c r="AL52" s="2" vm="2033">
        <f ca="1"/>
        <v>51.37</v>
      </c>
      <c r="AM52" s="2">
        <f t="shared" ca="1" si="18"/>
        <v>-1.9094901661256446E-2</v>
      </c>
      <c r="AN52" s="2" vm="2034">
        <f ca="1"/>
        <v>84.27</v>
      </c>
      <c r="AO52" s="2">
        <f t="shared" ca="1" si="19"/>
        <v>-1.9089745082062633E-2</v>
      </c>
      <c r="AP52" s="2" vm="162">
        <f ca="1"/>
        <v>25.96</v>
      </c>
      <c r="AQ52" s="2">
        <f t="shared" ca="1" si="20"/>
        <v>-6.1255742725880606E-3</v>
      </c>
      <c r="AR52" s="2" vm="2035">
        <f ca="1"/>
        <v>50.73</v>
      </c>
      <c r="AS52" s="2">
        <f t="shared" ca="1" si="21"/>
        <v>-4.9038838760298159E-3</v>
      </c>
      <c r="AT52" s="2" vm="1782">
        <f ca="1"/>
        <v>28.98</v>
      </c>
      <c r="AU52" s="2">
        <f t="shared" ca="1" si="22"/>
        <v>-2.0661157024792947E-3</v>
      </c>
      <c r="AV52" s="2" vm="2036">
        <f ca="1"/>
        <v>26.68</v>
      </c>
      <c r="AW52" s="2">
        <f t="shared" ca="1" si="23"/>
        <v>-1.2217697149204065E-2</v>
      </c>
      <c r="AX52" s="2" vm="1998">
        <f ca="1"/>
        <v>91.66</v>
      </c>
      <c r="AY52" s="2">
        <f t="shared" ca="1" si="24"/>
        <v>0</v>
      </c>
      <c r="AZ52" s="2" vm="2037">
        <f ca="1"/>
        <v>446.59</v>
      </c>
      <c r="BA52" s="2">
        <f t="shared" ca="1" si="25"/>
        <v>-1.9905192468068406E-2</v>
      </c>
      <c r="BB52" s="2" vm="2038">
        <f ca="1"/>
        <v>230.37</v>
      </c>
      <c r="BC52" s="2">
        <f t="shared" ca="1" si="26"/>
        <v>-3.3520724953851354E-2</v>
      </c>
      <c r="BD52" s="2" vm="2039">
        <f ca="1"/>
        <v>43.5</v>
      </c>
      <c r="BE52" s="2">
        <f t="shared" ca="1" si="27"/>
        <v>-3.4406215316315145E-2</v>
      </c>
      <c r="BF52" s="2" vm="2040">
        <f ca="1"/>
        <v>106.42</v>
      </c>
      <c r="BG52" s="2">
        <f t="shared" ca="1" si="28"/>
        <v>-1.4720859179705614E-2</v>
      </c>
      <c r="BH52" s="2" vm="2041">
        <f ca="1"/>
        <v>144.08000000000001</v>
      </c>
      <c r="BI52" s="2">
        <f t="shared" ca="1" si="29"/>
        <v>-2.7209506447910342E-2</v>
      </c>
      <c r="BJ52" s="2" vm="2042">
        <f ca="1"/>
        <v>144.75</v>
      </c>
      <c r="BK52" s="2">
        <f t="shared" ca="1" si="30"/>
        <v>-1.1338023359060151E-2</v>
      </c>
      <c r="BL52" s="2" vm="2043">
        <f ca="1"/>
        <v>62.85</v>
      </c>
      <c r="BM52" s="2">
        <f t="shared" ca="1" si="31"/>
        <v>-8.675078864353267E-3</v>
      </c>
      <c r="BN52" s="2" vm="2044">
        <f ca="1"/>
        <v>290.88</v>
      </c>
      <c r="BO52" s="2">
        <f t="shared" ca="1" si="32"/>
        <v>-1.75628208592272E-2</v>
      </c>
      <c r="BP52" s="2" vm="2045">
        <f ca="1"/>
        <v>111.35</v>
      </c>
      <c r="BQ52" s="2">
        <f t="shared" ca="1" si="33"/>
        <v>-1.4776145814900034E-2</v>
      </c>
      <c r="BR52" s="2" vm="2046">
        <f ca="1"/>
        <v>889.55</v>
      </c>
      <c r="BS52" s="2">
        <f t="shared" ca="1" si="34"/>
        <v>-3.2182607465755707E-2</v>
      </c>
      <c r="BT52" s="2" vm="2047">
        <f ca="1"/>
        <v>169.08</v>
      </c>
      <c r="BU52" s="2">
        <f t="shared" ca="1" si="35"/>
        <v>-7.3386954734926315E-3</v>
      </c>
      <c r="BV52" s="2" vm="2048">
        <f ca="1"/>
        <v>154.43</v>
      </c>
      <c r="BW52" s="2">
        <f t="shared" ca="1" si="36"/>
        <v>-1.0951710003842575E-2</v>
      </c>
      <c r="BX52" s="2" vm="2049">
        <f ca="1"/>
        <v>266.48</v>
      </c>
      <c r="BY52" s="2">
        <f t="shared" ca="1" si="37"/>
        <v>-3.6064387773557499E-2</v>
      </c>
      <c r="BZ52" s="2" vm="2050">
        <f ca="1"/>
        <v>86.12</v>
      </c>
      <c r="CA52" s="2">
        <f t="shared" ca="1" si="38"/>
        <v>-3.1706768608050294E-2</v>
      </c>
      <c r="CB52" s="2" vm="2051">
        <f ca="1"/>
        <v>28.37</v>
      </c>
      <c r="CC52" s="2">
        <f t="shared" ca="1" si="39"/>
        <v>-3.0923679689021134E-2</v>
      </c>
      <c r="CD52" s="2" t="e" vm="92">
        <f ca="1"/>
        <v>#N/A</v>
      </c>
      <c r="CE52" s="2" t="e" vm="140">
        <f t="shared" ca="1" si="40"/>
        <v>#N/A</v>
      </c>
      <c r="CF52" s="2" vm="2052">
        <f ca="1"/>
        <v>22.484999999999999</v>
      </c>
      <c r="CG52" s="2">
        <f t="shared" ca="1" si="41"/>
        <v>-8.8163985012122241E-3</v>
      </c>
      <c r="CH52" s="2" vm="2053">
        <f ca="1"/>
        <v>58.18</v>
      </c>
      <c r="CI52" s="2">
        <f t="shared" ca="1" si="42"/>
        <v>-1.7158544955388026E-3</v>
      </c>
      <c r="CJ52" s="2" vm="2054">
        <f ca="1"/>
        <v>58.08</v>
      </c>
      <c r="CK52" s="2">
        <f t="shared" ca="1" si="43"/>
        <v>-6.1601642710472186E-3</v>
      </c>
      <c r="CL52" s="2" vm="2055">
        <f ca="1"/>
        <v>56.43</v>
      </c>
      <c r="CM52" s="2">
        <f t="shared" ca="1" si="44"/>
        <v>-1.1733800350262726E-2</v>
      </c>
      <c r="CN52" s="2" vm="2056">
        <f ca="1"/>
        <v>28.79</v>
      </c>
      <c r="CO52" s="2">
        <f t="shared" ca="1" si="45"/>
        <v>-1.0312822275696141E-2</v>
      </c>
      <c r="CP52" s="2" vm="2057">
        <f ca="1"/>
        <v>21.4711</v>
      </c>
      <c r="CQ52" s="2">
        <f t="shared" ca="1" si="46"/>
        <v>-6.5718363546172151E-2</v>
      </c>
    </row>
    <row r="53" spans="1:95" x14ac:dyDescent="0.2">
      <c r="A53" s="7" vm="2058">
        <f ca="1"/>
        <v>45645</v>
      </c>
      <c r="B53" s="2" vm="1522">
        <f ca="1"/>
        <v>249.79</v>
      </c>
      <c r="C53" s="2">
        <f t="shared" ca="1" si="0"/>
        <v>7.0147147752468476E-3</v>
      </c>
      <c r="D53" s="2" vm="2059">
        <f ca="1"/>
        <v>130.68</v>
      </c>
      <c r="E53" s="2">
        <f t="shared" ca="1" si="1"/>
        <v>1.373050965790094E-2</v>
      </c>
      <c r="F53" s="2" vm="2060">
        <f ca="1"/>
        <v>437.03</v>
      </c>
      <c r="G53" s="2">
        <f t="shared" ca="1" si="2"/>
        <v>-8.2306408468418033E-4</v>
      </c>
      <c r="H53" s="2" vm="2061">
        <f ca="1"/>
        <v>595.57000000000005</v>
      </c>
      <c r="I53" s="2">
        <f t="shared" ca="1" si="3"/>
        <v>-2.7127044994055566E-3</v>
      </c>
      <c r="J53" s="2" vm="2062">
        <f ca="1"/>
        <v>188.51</v>
      </c>
      <c r="K53" s="2">
        <f t="shared" ca="1" si="4"/>
        <v>5.8386411889588751E-4</v>
      </c>
      <c r="L53" s="2" vm="2063">
        <f ca="1"/>
        <v>586.1</v>
      </c>
      <c r="M53" s="2">
        <f t="shared" ca="1" si="5"/>
        <v>-3.0702053626245135E-4</v>
      </c>
      <c r="N53" s="2" vm="2064">
        <f ca="1"/>
        <v>87.81</v>
      </c>
      <c r="O53" s="2">
        <f t="shared" ca="1" si="6"/>
        <v>-1.5141318977119721E-2</v>
      </c>
      <c r="P53" s="2" vm="2065">
        <f ca="1"/>
        <v>239.6</v>
      </c>
      <c r="Q53" s="2">
        <f t="shared" ca="1" si="7"/>
        <v>1.4210482320488316E-3</v>
      </c>
      <c r="R53" s="2" vm="2066">
        <f ca="1"/>
        <v>72.61</v>
      </c>
      <c r="S53" s="2">
        <f t="shared" ca="1" si="8"/>
        <v>-4.524266520427726E-3</v>
      </c>
      <c r="T53" s="2" vm="420">
        <f ca="1"/>
        <v>92.27</v>
      </c>
      <c r="U53" s="2">
        <f t="shared" ca="1" si="9"/>
        <v>-4.5312331427338629E-3</v>
      </c>
      <c r="V53" s="2" vm="2067">
        <f ca="1"/>
        <v>46.722999999999999</v>
      </c>
      <c r="W53" s="2">
        <f t="shared" ca="1" si="10"/>
        <v>-3.0065786244849878E-3</v>
      </c>
      <c r="X53" s="2" vm="2068">
        <f ca="1"/>
        <v>169.63</v>
      </c>
      <c r="Y53" s="2">
        <f t="shared" ca="1" si="11"/>
        <v>1.3079311992355458E-2</v>
      </c>
      <c r="Z53" s="2" vm="2069">
        <f ca="1"/>
        <v>83.32</v>
      </c>
      <c r="AA53" s="2">
        <f t="shared" ca="1" si="12"/>
        <v>-8.6853063652588217E-3</v>
      </c>
      <c r="AB53" s="2" vm="289">
        <f ca="1"/>
        <v>14.41</v>
      </c>
      <c r="AC53" s="2">
        <f t="shared" ca="1" si="13"/>
        <v>-4.8342541436464286E-3</v>
      </c>
      <c r="AD53" s="2" vm="1551">
        <f ca="1"/>
        <v>3.3</v>
      </c>
      <c r="AE53" s="2">
        <f t="shared" ca="1" si="14"/>
        <v>0</v>
      </c>
      <c r="AF53" s="2" vm="338">
        <f ca="1"/>
        <v>26.52</v>
      </c>
      <c r="AG53" s="2">
        <f t="shared" ca="1" si="15"/>
        <v>-1.2290502793296158E-2</v>
      </c>
      <c r="AH53" s="2" vm="636">
        <f ca="1"/>
        <v>27.33</v>
      </c>
      <c r="AI53" s="2">
        <f t="shared" ca="1" si="16"/>
        <v>-1.7966223499820338E-2</v>
      </c>
      <c r="AJ53" s="2" vm="2070">
        <f ca="1"/>
        <v>4.67</v>
      </c>
      <c r="AK53" s="2">
        <f t="shared" ca="1" si="17"/>
        <v>-1.4767932489451536E-2</v>
      </c>
      <c r="AL53" s="2" vm="2071">
        <f ca="1"/>
        <v>51.44</v>
      </c>
      <c r="AM53" s="2">
        <f t="shared" ca="1" si="18"/>
        <v>1.3626630328985845E-3</v>
      </c>
      <c r="AN53" s="2" vm="2072">
        <f ca="1"/>
        <v>84.63</v>
      </c>
      <c r="AO53" s="2">
        <f t="shared" ca="1" si="19"/>
        <v>4.271982912068345E-3</v>
      </c>
      <c r="AP53" s="2" vm="2073">
        <f ca="1"/>
        <v>25.83</v>
      </c>
      <c r="AQ53" s="2">
        <f t="shared" ca="1" si="20"/>
        <v>-5.0077041602466319E-3</v>
      </c>
      <c r="AR53" s="2" vm="2074">
        <f ca="1"/>
        <v>50.75</v>
      </c>
      <c r="AS53" s="2">
        <f t="shared" ca="1" si="21"/>
        <v>3.9424403705900113E-4</v>
      </c>
      <c r="AT53" s="2" vm="2075">
        <f ca="1"/>
        <v>28.88</v>
      </c>
      <c r="AU53" s="2">
        <f t="shared" ca="1" si="22"/>
        <v>-3.450655624568717E-3</v>
      </c>
      <c r="AV53" s="2" vm="1047">
        <f ca="1"/>
        <v>26.28</v>
      </c>
      <c r="AW53" s="2">
        <f t="shared" ca="1" si="23"/>
        <v>-1.4992503748125883E-2</v>
      </c>
      <c r="AX53" s="2" vm="2076">
        <f ca="1"/>
        <v>91.29</v>
      </c>
      <c r="AY53" s="2">
        <f t="shared" ca="1" si="24"/>
        <v>-4.0366572114334531E-3</v>
      </c>
      <c r="AZ53" s="2" vm="2077">
        <f ca="1"/>
        <v>449.34</v>
      </c>
      <c r="BA53" s="2">
        <f t="shared" ca="1" si="25"/>
        <v>6.1577733491569456E-3</v>
      </c>
      <c r="BB53" s="2" vm="2078">
        <f ca="1"/>
        <v>232.96</v>
      </c>
      <c r="BC53" s="2">
        <f t="shared" ca="1" si="26"/>
        <v>1.1242783348526299E-2</v>
      </c>
      <c r="BD53" s="2" vm="2079">
        <f ca="1"/>
        <v>43.38</v>
      </c>
      <c r="BE53" s="2">
        <f t="shared" ca="1" si="27"/>
        <v>-2.7586206896551137E-3</v>
      </c>
      <c r="BF53" s="2" vm="2080">
        <f ca="1"/>
        <v>105.51</v>
      </c>
      <c r="BG53" s="2">
        <f t="shared" ca="1" si="28"/>
        <v>-8.5510242435632086E-3</v>
      </c>
      <c r="BH53" s="2" vm="2081">
        <f ca="1"/>
        <v>141.15</v>
      </c>
      <c r="BI53" s="2">
        <f t="shared" ca="1" si="29"/>
        <v>-2.0335924486396491E-2</v>
      </c>
      <c r="BJ53" s="2" vm="2082">
        <f ca="1"/>
        <v>143.58000000000001</v>
      </c>
      <c r="BK53" s="2">
        <f t="shared" ca="1" si="30"/>
        <v>-8.0829015544040591E-3</v>
      </c>
      <c r="BL53" s="2" vm="2083">
        <f ca="1"/>
        <v>62.45</v>
      </c>
      <c r="BM53" s="2">
        <f t="shared" ca="1" si="31"/>
        <v>-6.3643595863166038E-3</v>
      </c>
      <c r="BN53" s="2" vm="2084">
        <f ca="1"/>
        <v>290.23</v>
      </c>
      <c r="BO53" s="2">
        <f t="shared" ca="1" si="32"/>
        <v>-2.2345984598459065E-3</v>
      </c>
      <c r="BP53" s="2" vm="2085">
        <f ca="1"/>
        <v>111.37</v>
      </c>
      <c r="BQ53" s="2">
        <f t="shared" ca="1" si="33"/>
        <v>1.796138302650223E-4</v>
      </c>
      <c r="BR53" s="2" vm="2086">
        <f ca="1"/>
        <v>902.04</v>
      </c>
      <c r="BS53" s="2">
        <f t="shared" ca="1" si="34"/>
        <v>1.4040807149682435E-2</v>
      </c>
      <c r="BT53" s="2" vm="2087">
        <f ca="1"/>
        <v>169.19</v>
      </c>
      <c r="BU53" s="2">
        <f t="shared" ca="1" si="35"/>
        <v>6.5057960728640419E-4</v>
      </c>
      <c r="BV53" s="2" vm="2088">
        <f ca="1"/>
        <v>151.47</v>
      </c>
      <c r="BW53" s="2">
        <f t="shared" ca="1" si="36"/>
        <v>-1.9167260247361314E-2</v>
      </c>
      <c r="BX53" s="2" vm="2089">
        <f ca="1"/>
        <v>263.91000000000003</v>
      </c>
      <c r="BY53" s="2">
        <f t="shared" ca="1" si="37"/>
        <v>-9.6442509756829511E-3</v>
      </c>
      <c r="BZ53" s="2" vm="2090">
        <f ca="1"/>
        <v>85.22</v>
      </c>
      <c r="CA53" s="2">
        <f t="shared" ca="1" si="38"/>
        <v>-1.0450534138411583E-2</v>
      </c>
      <c r="CB53" s="2" vm="2091">
        <f ca="1"/>
        <v>28.09</v>
      </c>
      <c r="CC53" s="2">
        <f t="shared" ca="1" si="39"/>
        <v>-9.8695805428269702E-3</v>
      </c>
      <c r="CD53" s="2" t="e" vm="92">
        <f ca="1"/>
        <v>#N/A</v>
      </c>
      <c r="CE53" s="2" t="e" vm="140">
        <f t="shared" ca="1" si="40"/>
        <v>#N/A</v>
      </c>
      <c r="CF53" s="2" vm="2092">
        <f ca="1"/>
        <v>22.43</v>
      </c>
      <c r="CG53" s="2">
        <f t="shared" ca="1" si="41"/>
        <v>-2.4460751612185778E-3</v>
      </c>
      <c r="CH53" s="2" vm="1179">
        <f ca="1"/>
        <v>58.21</v>
      </c>
      <c r="CI53" s="2">
        <f t="shared" ca="1" si="42"/>
        <v>5.1564111378482537E-4</v>
      </c>
      <c r="CJ53" s="2" vm="529">
        <f ca="1"/>
        <v>58</v>
      </c>
      <c r="CK53" s="2">
        <f t="shared" ca="1" si="43"/>
        <v>-1.37741046831953E-3</v>
      </c>
      <c r="CL53" s="2" vm="2093">
        <f ca="1"/>
        <v>55.75</v>
      </c>
      <c r="CM53" s="2">
        <f t="shared" ca="1" si="44"/>
        <v>-1.205032783980152E-2</v>
      </c>
      <c r="CN53" s="2" vm="1700">
        <f ca="1"/>
        <v>28.56</v>
      </c>
      <c r="CO53" s="2">
        <f t="shared" ca="1" si="45"/>
        <v>-7.9888850295241551E-3</v>
      </c>
      <c r="CP53" s="2" vm="2094">
        <f ca="1"/>
        <v>21.165099999999999</v>
      </c>
      <c r="CQ53" s="2">
        <f t="shared" ca="1" si="46"/>
        <v>-1.4251715096105972E-2</v>
      </c>
    </row>
    <row r="54" spans="1:95" x14ac:dyDescent="0.2">
      <c r="A54" s="7" vm="2095">
        <f ca="1"/>
        <v>45646</v>
      </c>
      <c r="B54" s="2" vm="2096">
        <f ca="1"/>
        <v>254.49</v>
      </c>
      <c r="C54" s="2">
        <f t="shared" ca="1" si="0"/>
        <v>1.8815805276432271E-2</v>
      </c>
      <c r="D54" s="2" vm="2097">
        <f ca="1"/>
        <v>134.69999999999999</v>
      </c>
      <c r="E54" s="2">
        <f t="shared" ca="1" si="1"/>
        <v>3.076216712580335E-2</v>
      </c>
      <c r="F54" s="2" vm="2098">
        <f ca="1"/>
        <v>436.6</v>
      </c>
      <c r="G54" s="2">
        <f t="shared" ca="1" si="2"/>
        <v>-9.8391414777006161E-4</v>
      </c>
      <c r="H54" s="2" vm="2099">
        <f ca="1"/>
        <v>585.25</v>
      </c>
      <c r="I54" s="2">
        <f t="shared" ca="1" si="3"/>
        <v>-1.7327937941803734E-2</v>
      </c>
      <c r="J54" s="2" vm="2100">
        <f ca="1"/>
        <v>191.41</v>
      </c>
      <c r="K54" s="2">
        <f t="shared" ca="1" si="4"/>
        <v>1.5383799267943376E-2</v>
      </c>
      <c r="L54" s="2" vm="2101">
        <f ca="1"/>
        <v>591.15</v>
      </c>
      <c r="M54" s="2">
        <f t="shared" ca="1" si="5"/>
        <v>8.6162770858214544E-3</v>
      </c>
      <c r="N54" s="2" vm="2102">
        <f ca="1"/>
        <v>88.31</v>
      </c>
      <c r="O54" s="2">
        <f t="shared" ca="1" si="6"/>
        <v>5.6941122878943172E-3</v>
      </c>
      <c r="P54" s="2" vm="2103">
        <f ca="1"/>
        <v>242.1</v>
      </c>
      <c r="Q54" s="2">
        <f t="shared" ca="1" si="7"/>
        <v>1.0434056761268781E-2</v>
      </c>
      <c r="R54" s="2" vm="2104">
        <f ca="1"/>
        <v>73.099999999999994</v>
      </c>
      <c r="S54" s="2">
        <f t="shared" ca="1" si="8"/>
        <v>6.7483817655969551E-3</v>
      </c>
      <c r="T54" s="2" vm="2105">
        <f ca="1"/>
        <v>92.61</v>
      </c>
      <c r="U54" s="2">
        <f t="shared" ca="1" si="9"/>
        <v>3.6848379755067022E-3</v>
      </c>
      <c r="V54" s="2" vm="2106">
        <f ca="1"/>
        <v>46.904899999999998</v>
      </c>
      <c r="W54" s="2">
        <f t="shared" ca="1" si="10"/>
        <v>3.8931575455342943E-3</v>
      </c>
      <c r="X54" s="2" vm="2107">
        <f ca="1"/>
        <v>171.03</v>
      </c>
      <c r="Y54" s="2">
        <f t="shared" ca="1" si="11"/>
        <v>8.2532570889583545E-3</v>
      </c>
      <c r="Z54" s="2" vm="2108">
        <f ca="1"/>
        <v>84.14</v>
      </c>
      <c r="AA54" s="2">
        <f t="shared" ca="1" si="12"/>
        <v>9.8415746519444E-3</v>
      </c>
      <c r="AB54" s="2" vm="752">
        <f ca="1"/>
        <v>14.52</v>
      </c>
      <c r="AC54" s="2">
        <f t="shared" ca="1" si="13"/>
        <v>7.6335877862595027E-3</v>
      </c>
      <c r="AD54" s="2" t="e" vm="92">
        <f ca="1"/>
        <v>#N/A</v>
      </c>
      <c r="AE54" s="2" t="e" vm="140">
        <f t="shared" ca="1" si="14"/>
        <v>#N/A</v>
      </c>
      <c r="AF54" s="2" vm="1162">
        <f ca="1"/>
        <v>26.92</v>
      </c>
      <c r="AG54" s="2">
        <f t="shared" ca="1" si="15"/>
        <v>1.5082956259426928E-2</v>
      </c>
      <c r="AH54" s="2" vm="2109">
        <f ca="1"/>
        <v>27.6</v>
      </c>
      <c r="AI54" s="2">
        <f t="shared" ca="1" si="16"/>
        <v>9.8792535675083469E-3</v>
      </c>
      <c r="AJ54" s="2" vm="2110">
        <f ca="1"/>
        <v>4.66</v>
      </c>
      <c r="AK54" s="2">
        <f t="shared" ca="1" si="17"/>
        <v>-2.1413276231262929E-3</v>
      </c>
      <c r="AL54" s="2" vm="2111">
        <f ca="1"/>
        <v>51.98</v>
      </c>
      <c r="AM54" s="2">
        <f t="shared" ca="1" si="18"/>
        <v>1.0497667185069968E-2</v>
      </c>
      <c r="AN54" s="2" vm="2112">
        <f ca="1"/>
        <v>84.92</v>
      </c>
      <c r="AO54" s="2">
        <f t="shared" ca="1" si="19"/>
        <v>3.4266808460357589E-3</v>
      </c>
      <c r="AP54" s="2" vm="2113">
        <f ca="1"/>
        <v>25.79</v>
      </c>
      <c r="AQ54" s="2">
        <f t="shared" ca="1" si="20"/>
        <v>-1.54858691444054E-3</v>
      </c>
      <c r="AR54" s="2" vm="295">
        <f ca="1"/>
        <v>50.8</v>
      </c>
      <c r="AS54" s="2">
        <f t="shared" ca="1" si="21"/>
        <v>9.8522167487679127E-4</v>
      </c>
      <c r="AT54" s="2" vm="2114">
        <f ca="1"/>
        <v>28.9</v>
      </c>
      <c r="AU54" s="2">
        <f t="shared" ca="1" si="22"/>
        <v>6.9252077562325395E-4</v>
      </c>
      <c r="AV54" s="2" vm="1745">
        <f ca="1"/>
        <v>26.4</v>
      </c>
      <c r="AW54" s="2">
        <f t="shared" ca="1" si="23"/>
        <v>4.5662100456620031E-3</v>
      </c>
      <c r="AX54" s="2" vm="952">
        <f ca="1"/>
        <v>91.33</v>
      </c>
      <c r="AY54" s="2">
        <f t="shared" ca="1" si="24"/>
        <v>4.381640924525363E-4</v>
      </c>
      <c r="AZ54" s="2" vm="2115">
        <f ca="1"/>
        <v>453.2</v>
      </c>
      <c r="BA54" s="2">
        <f t="shared" ca="1" si="25"/>
        <v>8.5903769973739563E-3</v>
      </c>
      <c r="BB54" s="2" vm="2116">
        <f ca="1"/>
        <v>237.6</v>
      </c>
      <c r="BC54" s="2">
        <f t="shared" ca="1" si="26"/>
        <v>1.9917582417582357E-2</v>
      </c>
      <c r="BD54" s="2" vm="2117">
        <f ca="1"/>
        <v>44.17</v>
      </c>
      <c r="BE54" s="2">
        <f t="shared" ca="1" si="27"/>
        <v>1.8211157215306573E-2</v>
      </c>
      <c r="BF54" s="2" vm="2118">
        <f ca="1"/>
        <v>105.87</v>
      </c>
      <c r="BG54" s="2">
        <f t="shared" ca="1" si="28"/>
        <v>3.4119988626670401E-3</v>
      </c>
      <c r="BH54" s="2" vm="287">
        <f ca="1"/>
        <v>142.85</v>
      </c>
      <c r="BI54" s="2">
        <f t="shared" ca="1" si="29"/>
        <v>1.2043924902585821E-2</v>
      </c>
      <c r="BJ54" s="2" vm="2119">
        <f ca="1"/>
        <v>144.47</v>
      </c>
      <c r="BK54" s="2">
        <f t="shared" ca="1" si="30"/>
        <v>6.1986349073686184E-3</v>
      </c>
      <c r="BL54" s="2" vm="1169">
        <f ca="1"/>
        <v>62.55</v>
      </c>
      <c r="BM54" s="2">
        <f t="shared" ca="1" si="31"/>
        <v>1.6012810248197647E-3</v>
      </c>
      <c r="BN54" s="2" vm="2120">
        <f ca="1"/>
        <v>292.68</v>
      </c>
      <c r="BO54" s="2">
        <f t="shared" ca="1" si="32"/>
        <v>8.4415808152154791E-3</v>
      </c>
      <c r="BP54" s="2" vm="2121">
        <f ca="1"/>
        <v>112.03</v>
      </c>
      <c r="BQ54" s="2">
        <f t="shared" ca="1" si="33"/>
        <v>5.9261919727035695E-3</v>
      </c>
      <c r="BR54" s="2" vm="2122">
        <f ca="1"/>
        <v>909.05</v>
      </c>
      <c r="BS54" s="2">
        <f t="shared" ca="1" si="34"/>
        <v>7.7712740011529327E-3</v>
      </c>
      <c r="BT54" s="2" vm="2123">
        <f ca="1"/>
        <v>168.06</v>
      </c>
      <c r="BU54" s="2">
        <f t="shared" ca="1" si="35"/>
        <v>-6.6788817305987085E-3</v>
      </c>
      <c r="BV54" s="2" vm="2124">
        <f ca="1"/>
        <v>152.79</v>
      </c>
      <c r="BW54" s="2">
        <f t="shared" ca="1" si="36"/>
        <v>8.7145969498910233E-3</v>
      </c>
      <c r="BX54" s="2" vm="2125">
        <f ca="1"/>
        <v>264.85000000000002</v>
      </c>
      <c r="BY54" s="2">
        <f t="shared" ca="1" si="37"/>
        <v>3.5618203175324832E-3</v>
      </c>
      <c r="BZ54" s="2" vm="2126">
        <f ca="1"/>
        <v>85.62</v>
      </c>
      <c r="CA54" s="2">
        <f t="shared" ca="1" si="38"/>
        <v>4.6937338652899051E-3</v>
      </c>
      <c r="CB54" s="2" vm="2127">
        <f ca="1"/>
        <v>28.3</v>
      </c>
      <c r="CC54" s="2">
        <f t="shared" ca="1" si="39"/>
        <v>7.4759700961196463E-3</v>
      </c>
      <c r="CD54" s="2" t="e" vm="92">
        <f ca="1"/>
        <v>#N/A</v>
      </c>
      <c r="CE54" s="2" t="e" vm="140">
        <f t="shared" ca="1" si="40"/>
        <v>#N/A</v>
      </c>
      <c r="CF54" s="2" vm="2128">
        <f ca="1"/>
        <v>22.465</v>
      </c>
      <c r="CG54" s="2">
        <f t="shared" ca="1" si="41"/>
        <v>1.5604101649576523E-3</v>
      </c>
      <c r="CH54" s="2" vm="1024">
        <f ca="1"/>
        <v>58.24</v>
      </c>
      <c r="CI54" s="2">
        <f t="shared" ca="1" si="42"/>
        <v>5.1537536505756978E-4</v>
      </c>
      <c r="CJ54" s="2" vm="1178">
        <f ca="1"/>
        <v>58.15</v>
      </c>
      <c r="CK54" s="2">
        <f t="shared" ca="1" si="43"/>
        <v>2.5862068965516998E-3</v>
      </c>
      <c r="CL54" s="2" vm="2129">
        <f ca="1"/>
        <v>55.97</v>
      </c>
      <c r="CM54" s="2">
        <f t="shared" ca="1" si="44"/>
        <v>3.9461883408071548E-3</v>
      </c>
      <c r="CN54" s="2" vm="2130">
        <f ca="1"/>
        <v>28.66</v>
      </c>
      <c r="CO54" s="2">
        <f t="shared" ca="1" si="45"/>
        <v>3.5014005602241396E-3</v>
      </c>
      <c r="CP54" s="2" vm="2131">
        <f ca="1"/>
        <v>21.500599999999999</v>
      </c>
      <c r="CQ54" s="2">
        <f t="shared" ca="1" si="46"/>
        <v>1.5851566966373874E-2</v>
      </c>
    </row>
    <row r="55" spans="1:95" x14ac:dyDescent="0.2">
      <c r="A55" s="7" vm="2132">
        <f ca="1"/>
        <v>45649</v>
      </c>
      <c r="B55" s="2" vm="2133">
        <f ca="1"/>
        <v>255.27</v>
      </c>
      <c r="C55" s="2">
        <f t="shared" ca="1" si="0"/>
        <v>3.0649534362843377E-3</v>
      </c>
      <c r="D55" s="2" vm="2134">
        <f ca="1"/>
        <v>139.66999999999999</v>
      </c>
      <c r="E55" s="2">
        <f t="shared" ca="1" si="1"/>
        <v>3.6896807720861166E-2</v>
      </c>
      <c r="F55" s="2" vm="2135">
        <f ca="1"/>
        <v>435.25</v>
      </c>
      <c r="G55" s="2">
        <f t="shared" ca="1" si="2"/>
        <v>-3.0920751259734831E-3</v>
      </c>
      <c r="H55" s="2" vm="2136">
        <f ca="1"/>
        <v>599.85</v>
      </c>
      <c r="I55" s="2">
        <f t="shared" ca="1" si="3"/>
        <v>2.4946604015378081E-2</v>
      </c>
      <c r="J55" s="2" vm="2137">
        <f ca="1"/>
        <v>194.63</v>
      </c>
      <c r="K55" s="2">
        <f t="shared" ca="1" si="4"/>
        <v>1.6822527558643743E-2</v>
      </c>
      <c r="L55" s="2" vm="2138">
        <f ca="1"/>
        <v>594.69000000000005</v>
      </c>
      <c r="M55" s="2">
        <f t="shared" ca="1" si="5"/>
        <v>5.9883278355748583E-3</v>
      </c>
      <c r="N55" s="2" vm="2139">
        <f ca="1"/>
        <v>87.5</v>
      </c>
      <c r="O55" s="2">
        <f t="shared" ca="1" si="6"/>
        <v>-9.1722341750651373E-3</v>
      </c>
      <c r="P55" s="2" vm="2140">
        <f ca="1"/>
        <v>240.96</v>
      </c>
      <c r="Q55" s="2">
        <f t="shared" ca="1" si="7"/>
        <v>-4.7087980173481474E-3</v>
      </c>
      <c r="R55" s="2" vm="541">
        <f ca="1"/>
        <v>73.06</v>
      </c>
      <c r="S55" s="2">
        <f t="shared" ca="1" si="8"/>
        <v>-5.4719562243491166E-4</v>
      </c>
      <c r="T55" s="2" vm="1844">
        <f ca="1"/>
        <v>92.2</v>
      </c>
      <c r="U55" s="2">
        <f t="shared" ca="1" si="9"/>
        <v>-4.4271676924737781E-3</v>
      </c>
      <c r="V55" s="2" vm="2141">
        <f ca="1"/>
        <v>46.7592</v>
      </c>
      <c r="W55" s="2">
        <f t="shared" ca="1" si="10"/>
        <v>-3.1062852708351996E-3</v>
      </c>
      <c r="X55" s="2" vm="2142">
        <f ca="1"/>
        <v>171.63</v>
      </c>
      <c r="Y55" s="2">
        <f t="shared" ca="1" si="11"/>
        <v>3.5081564637782512E-3</v>
      </c>
      <c r="Z55" s="2" vm="2143">
        <f ca="1"/>
        <v>83.93</v>
      </c>
      <c r="AA55" s="2">
        <f t="shared" ca="1" si="12"/>
        <v>-2.4958402662228875E-3</v>
      </c>
      <c r="AB55" s="2" vm="2144">
        <f ca="1"/>
        <v>13.84</v>
      </c>
      <c r="AC55" s="2">
        <f t="shared" ca="1" si="13"/>
        <v>-4.6831955922864994E-2</v>
      </c>
      <c r="AD55" s="2" vm="1551">
        <f ca="1"/>
        <v>3.3</v>
      </c>
      <c r="AE55" s="2" t="e" vm="140">
        <f t="shared" ca="1" si="14"/>
        <v>#N/A</v>
      </c>
      <c r="AF55" s="2" vm="2145">
        <f ca="1"/>
        <v>26.99</v>
      </c>
      <c r="AG55" s="2">
        <f t="shared" ca="1" si="15"/>
        <v>2.6002971768200865E-3</v>
      </c>
      <c r="AH55" s="2" vm="1705">
        <f ca="1"/>
        <v>26.39</v>
      </c>
      <c r="AI55" s="2">
        <f t="shared" ca="1" si="16"/>
        <v>-4.3840579710144954E-2</v>
      </c>
      <c r="AJ55" s="2" vm="2146">
        <f ca="1"/>
        <v>4.7300000000000004</v>
      </c>
      <c r="AK55" s="2">
        <f t="shared" ca="1" si="17"/>
        <v>1.5021459227467872E-2</v>
      </c>
      <c r="AL55" s="2" vm="2147">
        <f ca="1"/>
        <v>51.73</v>
      </c>
      <c r="AM55" s="2">
        <f t="shared" ca="1" si="18"/>
        <v>-4.809542131589073E-3</v>
      </c>
      <c r="AN55" s="2" vm="2148">
        <f ca="1"/>
        <v>85.83</v>
      </c>
      <c r="AO55" s="2">
        <f t="shared" ca="1" si="19"/>
        <v>1.071596796985394E-2</v>
      </c>
      <c r="AP55" s="2" vm="2149">
        <f ca="1"/>
        <v>25.75</v>
      </c>
      <c r="AQ55" s="2">
        <f t="shared" ca="1" si="20"/>
        <v>-1.5509887553314908E-3</v>
      </c>
      <c r="AR55" s="2" vm="2150">
        <f ca="1"/>
        <v>50.82</v>
      </c>
      <c r="AS55" s="2">
        <f t="shared" ca="1" si="21"/>
        <v>3.9370078740163638E-4</v>
      </c>
      <c r="AT55" s="2" vm="333">
        <f ca="1"/>
        <v>28.89</v>
      </c>
      <c r="AU55" s="2">
        <f t="shared" ca="1" si="22"/>
        <v>-3.4602076124560594E-4</v>
      </c>
      <c r="AV55" s="2" vm="2151">
        <f ca="1"/>
        <v>26.18</v>
      </c>
      <c r="AW55" s="2">
        <f t="shared" ca="1" si="23"/>
        <v>-8.3333333333332916E-3</v>
      </c>
      <c r="AX55" s="2" vm="952">
        <f ca="1"/>
        <v>91.33</v>
      </c>
      <c r="AY55" s="2">
        <f t="shared" ca="1" si="24"/>
        <v>0</v>
      </c>
      <c r="AZ55" s="2" vm="2152">
        <f ca="1"/>
        <v>454.35</v>
      </c>
      <c r="BA55" s="2">
        <f t="shared" ca="1" si="25"/>
        <v>2.537511032656739E-3</v>
      </c>
      <c r="BB55" s="2" vm="2153">
        <f ca="1"/>
        <v>238.39</v>
      </c>
      <c r="BC55" s="2">
        <f t="shared" ca="1" si="26"/>
        <v>3.3249158249157914E-3</v>
      </c>
      <c r="BD55" s="2" vm="2154">
        <f ca="1"/>
        <v>43.89</v>
      </c>
      <c r="BE55" s="2">
        <f t="shared" ca="1" si="27"/>
        <v>-6.3391442155309287E-3</v>
      </c>
      <c r="BF55" s="2" vm="2155">
        <f ca="1"/>
        <v>106.3</v>
      </c>
      <c r="BG55" s="2">
        <f t="shared" ca="1" si="28"/>
        <v>4.0615849626900215E-3</v>
      </c>
      <c r="BH55" s="2" vm="2156">
        <f ca="1"/>
        <v>142.97</v>
      </c>
      <c r="BI55" s="2">
        <f t="shared" ca="1" si="29"/>
        <v>8.4004200210013684E-4</v>
      </c>
      <c r="BJ55" s="2" vm="2157">
        <f ca="1"/>
        <v>145.27000000000001</v>
      </c>
      <c r="BK55" s="2">
        <f t="shared" ca="1" si="30"/>
        <v>5.5374818301378234E-3</v>
      </c>
      <c r="BL55" s="2" vm="2158">
        <f ca="1"/>
        <v>62.38</v>
      </c>
      <c r="BM55" s="2">
        <f t="shared" ca="1" si="31"/>
        <v>-2.7178257394083871E-3</v>
      </c>
      <c r="BN55" s="2" vm="2159">
        <f ca="1"/>
        <v>291.29000000000002</v>
      </c>
      <c r="BO55" s="2">
        <f t="shared" ca="1" si="32"/>
        <v>-4.7492141588082078E-3</v>
      </c>
      <c r="BP55" s="2" vm="2160">
        <f ca="1"/>
        <v>111.4</v>
      </c>
      <c r="BQ55" s="2">
        <f t="shared" ca="1" si="33"/>
        <v>-5.6234937070427154E-3</v>
      </c>
      <c r="BR55" s="2" vm="2161">
        <f ca="1"/>
        <v>911.45</v>
      </c>
      <c r="BS55" s="2">
        <f t="shared" ca="1" si="34"/>
        <v>2.6401188053463407E-3</v>
      </c>
      <c r="BT55" s="2" vm="2162">
        <f ca="1"/>
        <v>168.11</v>
      </c>
      <c r="BU55" s="2">
        <f t="shared" ca="1" si="35"/>
        <v>2.9751279305016882E-4</v>
      </c>
      <c r="BV55" s="2" vm="2163">
        <f ca="1"/>
        <v>151.29</v>
      </c>
      <c r="BW55" s="2">
        <f t="shared" ca="1" si="36"/>
        <v>-9.8173964264677005E-3</v>
      </c>
      <c r="BX55" s="2" vm="2164">
        <f ca="1"/>
        <v>260.95999999999998</v>
      </c>
      <c r="BY55" s="2">
        <f t="shared" ca="1" si="37"/>
        <v>-1.4687558995658082E-2</v>
      </c>
      <c r="BZ55" s="2" vm="2165">
        <f ca="1"/>
        <v>86.48</v>
      </c>
      <c r="CA55" s="2">
        <f t="shared" ca="1" si="38"/>
        <v>1.0044382153702399E-2</v>
      </c>
      <c r="CB55" s="2" vm="2166">
        <f ca="1"/>
        <v>28.36</v>
      </c>
      <c r="CC55" s="2">
        <f t="shared" ca="1" si="39"/>
        <v>2.1201413427561384E-3</v>
      </c>
      <c r="CD55" s="2" t="e" vm="92">
        <f ca="1"/>
        <v>#N/A</v>
      </c>
      <c r="CE55" s="2" t="e" vm="140">
        <f t="shared" ca="1" si="40"/>
        <v>#N/A</v>
      </c>
      <c r="CF55" s="2" vm="2167">
        <f ca="1"/>
        <v>22.405000000000001</v>
      </c>
      <c r="CG55" s="2">
        <f t="shared" ca="1" si="41"/>
        <v>-2.6708212775427877E-3</v>
      </c>
      <c r="CH55" s="2" vm="1179">
        <f ca="1"/>
        <v>58.21</v>
      </c>
      <c r="CI55" s="2">
        <f t="shared" ca="1" si="42"/>
        <v>-5.1510989010990964E-4</v>
      </c>
      <c r="CJ55" s="2" vm="2168">
        <f ca="1"/>
        <v>57.97</v>
      </c>
      <c r="CK55" s="2">
        <f t="shared" ca="1" si="43"/>
        <v>-3.0954428202923426E-3</v>
      </c>
      <c r="CL55" s="2" vm="2169">
        <f ca="1"/>
        <v>55.54</v>
      </c>
      <c r="CM55" s="2">
        <f t="shared" ca="1" si="44"/>
        <v>-7.6826871538324057E-3</v>
      </c>
      <c r="CN55" s="2" vm="2170">
        <f ca="1"/>
        <v>28.59</v>
      </c>
      <c r="CO55" s="2">
        <f t="shared" ca="1" si="45"/>
        <v>-2.4424284717376233E-3</v>
      </c>
      <c r="CP55" s="2" vm="2171">
        <f ca="1"/>
        <v>21.524100000000001</v>
      </c>
      <c r="CQ55" s="2">
        <f t="shared" ca="1" si="46"/>
        <v>1.0929927536906913E-3</v>
      </c>
    </row>
    <row r="56" spans="1:95" x14ac:dyDescent="0.2">
      <c r="A56" s="7" vm="2172">
        <f ca="1"/>
        <v>45650</v>
      </c>
      <c r="B56" s="2" vm="2173">
        <f ca="1"/>
        <v>258.2</v>
      </c>
      <c r="C56" s="2">
        <f t="shared" ca="1" si="0"/>
        <v>1.147804285658314E-2</v>
      </c>
      <c r="D56" s="2" vm="2174">
        <f ca="1"/>
        <v>140.22</v>
      </c>
      <c r="E56" s="2">
        <f t="shared" ca="1" si="1"/>
        <v>3.9378535118494411E-3</v>
      </c>
      <c r="F56" s="2" vm="2175">
        <f ca="1"/>
        <v>439.33</v>
      </c>
      <c r="G56" s="2">
        <f t="shared" ca="1" si="2"/>
        <v>9.3739230327397685E-3</v>
      </c>
      <c r="H56" s="2" vm="2176">
        <f ca="1"/>
        <v>607.75</v>
      </c>
      <c r="I56" s="2">
        <f t="shared" ca="1" si="3"/>
        <v>1.3169959156455743E-2</v>
      </c>
      <c r="J56" s="2" vm="2177">
        <f ca="1"/>
        <v>196.11</v>
      </c>
      <c r="K56" s="2">
        <f t="shared" ca="1" si="4"/>
        <v>7.6041720187022465E-3</v>
      </c>
      <c r="L56" s="2" vm="2178">
        <f ca="1"/>
        <v>601.29999999999995</v>
      </c>
      <c r="M56" s="2">
        <f t="shared" ca="1" si="5"/>
        <v>1.1115034723973665E-2</v>
      </c>
      <c r="N56" s="2" vm="2179">
        <f ca="1"/>
        <v>87.87</v>
      </c>
      <c r="O56" s="2">
        <f t="shared" ca="1" si="6"/>
        <v>4.2285714285714808E-3</v>
      </c>
      <c r="P56" s="2" vm="2180">
        <f ca="1"/>
        <v>241.44</v>
      </c>
      <c r="Q56" s="2">
        <f t="shared" ca="1" si="7"/>
        <v>1.9920318725099176E-3</v>
      </c>
      <c r="R56" s="2" vm="2181">
        <f ca="1"/>
        <v>73.650000000000006</v>
      </c>
      <c r="S56" s="2">
        <f t="shared" ca="1" si="8"/>
        <v>8.0755543388995807E-3</v>
      </c>
      <c r="T56" s="2" vm="829">
        <f ca="1"/>
        <v>92.25</v>
      </c>
      <c r="U56" s="2">
        <f t="shared" ca="1" si="9"/>
        <v>5.4229934924075003E-4</v>
      </c>
      <c r="V56" s="2" vm="2182">
        <f ca="1"/>
        <v>46.586199999999998</v>
      </c>
      <c r="W56" s="2">
        <f t="shared" ca="1" si="10"/>
        <v>-3.6998066690619559E-3</v>
      </c>
      <c r="X56" s="2" vm="2183">
        <f ca="1"/>
        <v>174.85</v>
      </c>
      <c r="Y56" s="2">
        <f t="shared" ca="1" si="11"/>
        <v>1.8761288818971038E-2</v>
      </c>
      <c r="Z56" s="2" vm="2184">
        <f ca="1"/>
        <v>84.64</v>
      </c>
      <c r="AA56" s="2">
        <f t="shared" ca="1" si="12"/>
        <v>8.4594304777790268E-3</v>
      </c>
      <c r="AB56" s="2" vm="2185">
        <f ca="1"/>
        <v>13.95</v>
      </c>
      <c r="AC56" s="2">
        <f t="shared" ca="1" si="13"/>
        <v>7.9479768786126764E-3</v>
      </c>
      <c r="AD56" s="2" t="e" vm="92">
        <f ca="1"/>
        <v>#N/A</v>
      </c>
      <c r="AE56" s="2" t="e" vm="140">
        <f t="shared" ca="1" si="14"/>
        <v>#N/A</v>
      </c>
      <c r="AF56" s="2" vm="1282">
        <f ca="1"/>
        <v>27.02</v>
      </c>
      <c r="AG56" s="2">
        <f t="shared" ca="1" si="15"/>
        <v>1.1115227862171597E-3</v>
      </c>
      <c r="AH56" s="2" vm="1437">
        <f ca="1"/>
        <v>26.53</v>
      </c>
      <c r="AI56" s="2">
        <f t="shared" ca="1" si="16"/>
        <v>5.3050397877984299E-3</v>
      </c>
      <c r="AJ56" s="2" vm="2186">
        <f ca="1"/>
        <v>4.7</v>
      </c>
      <c r="AK56" s="2">
        <f t="shared" ca="1" si="17"/>
        <v>-6.3424947145877897E-3</v>
      </c>
      <c r="AL56" s="2" vm="2187">
        <f ca="1"/>
        <v>51.84</v>
      </c>
      <c r="AM56" s="2">
        <f t="shared" ca="1" si="18"/>
        <v>2.1264256717573272E-3</v>
      </c>
      <c r="AN56" s="2" vm="2188">
        <f ca="1"/>
        <v>86.32</v>
      </c>
      <c r="AO56" s="2">
        <f t="shared" ca="1" si="19"/>
        <v>5.7089595712454255E-3</v>
      </c>
      <c r="AP56" s="2" vm="2189">
        <f ca="1"/>
        <v>25.8</v>
      </c>
      <c r="AQ56" s="2">
        <f t="shared" ca="1" si="20"/>
        <v>1.9417475728155617E-3</v>
      </c>
      <c r="AR56" s="2" vm="2190">
        <f ca="1"/>
        <v>50.84</v>
      </c>
      <c r="AS56" s="2">
        <f t="shared" ca="1" si="21"/>
        <v>3.9354584809136415E-4</v>
      </c>
      <c r="AT56" s="2" vm="333">
        <f ca="1"/>
        <v>28.89</v>
      </c>
      <c r="AU56" s="2">
        <f t="shared" ca="1" si="22"/>
        <v>0</v>
      </c>
      <c r="AV56" s="2" vm="634">
        <f ca="1"/>
        <v>26.26</v>
      </c>
      <c r="AW56" s="2">
        <f t="shared" ca="1" si="23"/>
        <v>3.0557677616501852E-3</v>
      </c>
      <c r="AX56" s="2" vm="210">
        <f ca="1"/>
        <v>91.35</v>
      </c>
      <c r="AY56" s="2">
        <f t="shared" ca="1" si="24"/>
        <v>2.1898609438296312E-4</v>
      </c>
      <c r="AZ56" s="2" vm="2191">
        <f ca="1"/>
        <v>458.66</v>
      </c>
      <c r="BA56" s="2">
        <f t="shared" ca="1" si="25"/>
        <v>9.4860790139760145E-3</v>
      </c>
      <c r="BB56" s="2" vm="2192">
        <f ca="1"/>
        <v>242.31</v>
      </c>
      <c r="BC56" s="2">
        <f t="shared" ca="1" si="26"/>
        <v>1.6443642770250497E-2</v>
      </c>
      <c r="BD56" s="2" vm="2193">
        <f ca="1"/>
        <v>44.38</v>
      </c>
      <c r="BE56" s="2">
        <f t="shared" ca="1" si="27"/>
        <v>1.1164274322169104E-2</v>
      </c>
      <c r="BF56" s="2" vm="2194">
        <f ca="1"/>
        <v>106.4</v>
      </c>
      <c r="BG56" s="2">
        <f t="shared" ca="1" si="28"/>
        <v>9.4073377234250735E-4</v>
      </c>
      <c r="BH56" s="2" vm="2195">
        <f ca="1"/>
        <v>143.84</v>
      </c>
      <c r="BI56" s="2">
        <f t="shared" ca="1" si="29"/>
        <v>6.0851926977687947E-3</v>
      </c>
      <c r="BJ56" s="2" vm="2196">
        <f ca="1"/>
        <v>145.85</v>
      </c>
      <c r="BK56" s="2">
        <f t="shared" ca="1" si="30"/>
        <v>3.9925655675637365E-3</v>
      </c>
      <c r="BL56" s="2" vm="2197">
        <f ca="1"/>
        <v>62.84</v>
      </c>
      <c r="BM56" s="2">
        <f t="shared" ca="1" si="31"/>
        <v>7.3741583840974808E-3</v>
      </c>
      <c r="BN56" s="2" vm="2198">
        <f ca="1"/>
        <v>293.99</v>
      </c>
      <c r="BO56" s="2">
        <f t="shared" ca="1" si="32"/>
        <v>9.2691132548319149E-3</v>
      </c>
      <c r="BP56" s="2" vm="2199">
        <f ca="1"/>
        <v>112.56</v>
      </c>
      <c r="BQ56" s="2">
        <f t="shared" ca="1" si="33"/>
        <v>1.0412926391382374E-2</v>
      </c>
      <c r="BR56" s="2" vm="2200">
        <f ca="1"/>
        <v>932.12</v>
      </c>
      <c r="BS56" s="2">
        <f t="shared" ca="1" si="34"/>
        <v>2.2678150200230358E-2</v>
      </c>
      <c r="BT56" s="2" vm="2201">
        <f ca="1"/>
        <v>168.94</v>
      </c>
      <c r="BU56" s="2">
        <f t="shared" ca="1" si="35"/>
        <v>4.9372434715363985E-3</v>
      </c>
      <c r="BV56" s="2" vm="2202">
        <f ca="1"/>
        <v>152.81</v>
      </c>
      <c r="BW56" s="2">
        <f t="shared" ca="1" si="36"/>
        <v>1.0046929737590127E-2</v>
      </c>
      <c r="BX56" s="2" vm="2203">
        <f ca="1"/>
        <v>263.64</v>
      </c>
      <c r="BY56" s="2">
        <f t="shared" ca="1" si="37"/>
        <v>1.0269773145309653E-2</v>
      </c>
      <c r="BZ56" s="2" vm="2204">
        <f ca="1"/>
        <v>87.47</v>
      </c>
      <c r="CA56" s="2">
        <f t="shared" ca="1" si="38"/>
        <v>1.1447733580018441E-2</v>
      </c>
      <c r="CB56" s="2" vm="774">
        <f ca="1"/>
        <v>28.72</v>
      </c>
      <c r="CC56" s="2">
        <f t="shared" ca="1" si="39"/>
        <v>1.2693935119887145E-2</v>
      </c>
      <c r="CD56" s="2" t="e" vm="92">
        <f ca="1"/>
        <v>#N/A</v>
      </c>
      <c r="CE56" s="2" t="e" vm="140">
        <f t="shared" ca="1" si="40"/>
        <v>#N/A</v>
      </c>
      <c r="CF56" s="2" vm="2205">
        <f ca="1"/>
        <v>22.42</v>
      </c>
      <c r="CG56" s="2">
        <f t="shared" ca="1" si="41"/>
        <v>6.6949341664809499E-4</v>
      </c>
      <c r="CH56" s="2" vm="2206">
        <f ca="1"/>
        <v>58.02</v>
      </c>
      <c r="CI56" s="2">
        <f t="shared" ca="1" si="42"/>
        <v>-3.264043978697779E-3</v>
      </c>
      <c r="CJ56" s="2" vm="2207">
        <f ca="1"/>
        <v>57.81</v>
      </c>
      <c r="CK56" s="2">
        <f t="shared" ca="1" si="43"/>
        <v>-2.7600483008452061E-3</v>
      </c>
      <c r="CL56" s="2" vm="2208">
        <f ca="1"/>
        <v>55.51</v>
      </c>
      <c r="CM56" s="2">
        <f t="shared" ca="1" si="44"/>
        <v>-5.4015124234787788E-4</v>
      </c>
      <c r="CN56" s="2" vm="2130">
        <f ca="1"/>
        <v>28.66</v>
      </c>
      <c r="CO56" s="2">
        <f t="shared" ca="1" si="45"/>
        <v>2.4484085344526159E-3</v>
      </c>
      <c r="CP56" s="2" vm="2209">
        <f ca="1"/>
        <v>21.706299999999999</v>
      </c>
      <c r="CQ56" s="2">
        <f t="shared" ca="1" si="46"/>
        <v>8.4649300086878498E-3</v>
      </c>
    </row>
    <row r="57" spans="1:95" x14ac:dyDescent="0.2">
      <c r="A57" s="7" vm="2210">
        <f ca="1"/>
        <v>45652</v>
      </c>
      <c r="B57" s="2" vm="2211">
        <f ca="1"/>
        <v>259.02</v>
      </c>
      <c r="C57" s="2">
        <f t="shared" ca="1" si="0"/>
        <v>3.1758326878388583E-3</v>
      </c>
      <c r="D57" s="2" vm="2212">
        <f ca="1"/>
        <v>139.93</v>
      </c>
      <c r="E57" s="2">
        <f t="shared" ca="1" si="1"/>
        <v>-2.0681785765225506E-3</v>
      </c>
      <c r="F57" s="2" vm="2213">
        <f ca="1"/>
        <v>438.11</v>
      </c>
      <c r="G57" s="2">
        <f t="shared" ca="1" si="2"/>
        <v>-2.7769558190880897E-3</v>
      </c>
      <c r="H57" s="2" vm="2214">
        <f ca="1"/>
        <v>603.35</v>
      </c>
      <c r="I57" s="2">
        <f t="shared" ca="1" si="3"/>
        <v>-7.2398190045248499E-3</v>
      </c>
      <c r="J57" s="2" vm="2215">
        <f ca="1"/>
        <v>195.6</v>
      </c>
      <c r="K57" s="2">
        <f t="shared" ca="1" si="4"/>
        <v>-2.6005813064097663E-3</v>
      </c>
      <c r="L57" s="2" vm="2216">
        <f ca="1"/>
        <v>601.34</v>
      </c>
      <c r="M57" s="2">
        <f t="shared" ca="1" si="5"/>
        <v>6.6522534508693353E-5</v>
      </c>
      <c r="N57" s="2" vm="2217">
        <f ca="1"/>
        <v>87.82</v>
      </c>
      <c r="O57" s="2">
        <f t="shared" ca="1" si="6"/>
        <v>-5.6902241948345695E-4</v>
      </c>
      <c r="P57" s="2" vm="2218">
        <f ca="1"/>
        <v>243.07</v>
      </c>
      <c r="Q57" s="2">
        <f t="shared" ca="1" si="7"/>
        <v>6.7511597084161509E-3</v>
      </c>
      <c r="R57" s="2" vm="998">
        <f ca="1"/>
        <v>73.13</v>
      </c>
      <c r="S57" s="2">
        <f t="shared" ca="1" si="8"/>
        <v>-7.0604209097082172E-3</v>
      </c>
      <c r="T57" s="2" vm="452">
        <f ca="1"/>
        <v>92.32</v>
      </c>
      <c r="U57" s="2">
        <f t="shared" ca="1" si="9"/>
        <v>7.5880758807580682E-4</v>
      </c>
      <c r="V57" s="2" vm="2219">
        <f ca="1"/>
        <v>46.626300000000001</v>
      </c>
      <c r="W57" s="2">
        <f t="shared" ca="1" si="10"/>
        <v>8.6076992757517178E-4</v>
      </c>
      <c r="X57" s="2" vm="479">
        <f ca="1"/>
        <v>174.37</v>
      </c>
      <c r="Y57" s="2">
        <f t="shared" ca="1" si="11"/>
        <v>-2.7452101801543598E-3</v>
      </c>
      <c r="Z57" s="2" vm="2220">
        <f ca="1"/>
        <v>84.57</v>
      </c>
      <c r="AA57" s="2">
        <f t="shared" ca="1" si="12"/>
        <v>-8.2703213610594737E-4</v>
      </c>
      <c r="AB57" s="2" vm="2221">
        <f ca="1"/>
        <v>13.86</v>
      </c>
      <c r="AC57" s="2">
        <f t="shared" ca="1" si="13"/>
        <v>-6.4516129032257969E-3</v>
      </c>
      <c r="AD57" s="2" t="e" vm="92">
        <f ca="1"/>
        <v>#N/A</v>
      </c>
      <c r="AE57" s="2" t="e" vm="140">
        <f t="shared" ca="1" si="14"/>
        <v>#N/A</v>
      </c>
      <c r="AF57" s="2" vm="1886">
        <f ca="1"/>
        <v>27.14</v>
      </c>
      <c r="AG57" s="2">
        <f t="shared" ca="1" si="15"/>
        <v>4.4411547002220948E-3</v>
      </c>
      <c r="AH57" s="2" vm="2222">
        <f ca="1"/>
        <v>26.25</v>
      </c>
      <c r="AI57" s="2">
        <f t="shared" ca="1" si="16"/>
        <v>-1.0554089709762576E-2</v>
      </c>
      <c r="AJ57" s="2" vm="2032">
        <f ca="1"/>
        <v>4.74</v>
      </c>
      <c r="AK57" s="2">
        <f t="shared" ca="1" si="17"/>
        <v>8.5106382978723475E-3</v>
      </c>
      <c r="AL57" s="2" vm="2223">
        <f ca="1"/>
        <v>52.19</v>
      </c>
      <c r="AM57" s="2">
        <f t="shared" ca="1" si="18"/>
        <v>6.7515432098764335E-3</v>
      </c>
      <c r="AN57" s="2" vm="2224">
        <f ca="1"/>
        <v>85.85</v>
      </c>
      <c r="AO57" s="2">
        <f t="shared" ca="1" si="19"/>
        <v>-5.4448563484707935E-3</v>
      </c>
      <c r="AP57" s="2" vm="2189">
        <f ca="1"/>
        <v>25.8</v>
      </c>
      <c r="AQ57" s="2">
        <f t="shared" ca="1" si="20"/>
        <v>0</v>
      </c>
      <c r="AR57" s="2" vm="799">
        <f ca="1"/>
        <v>50.85</v>
      </c>
      <c r="AS57" s="2">
        <f t="shared" ca="1" si="21"/>
        <v>1.9669551534221106E-4</v>
      </c>
      <c r="AT57" s="2" vm="290">
        <f ca="1"/>
        <v>28.91</v>
      </c>
      <c r="AU57" s="2">
        <f t="shared" ca="1" si="22"/>
        <v>6.9228106611282701E-4</v>
      </c>
      <c r="AV57" s="2" vm="634">
        <f ca="1"/>
        <v>26.26</v>
      </c>
      <c r="AW57" s="2">
        <f t="shared" ca="1" si="23"/>
        <v>0</v>
      </c>
      <c r="AX57" s="2" vm="2225">
        <f ca="1"/>
        <v>91.37</v>
      </c>
      <c r="AY57" s="2">
        <f t="shared" ca="1" si="24"/>
        <v>2.1893814997274476E-4</v>
      </c>
      <c r="AZ57" s="2" vm="2226">
        <f ca="1"/>
        <v>459.08</v>
      </c>
      <c r="BA57" s="2">
        <f t="shared" ca="1" si="25"/>
        <v>9.1571098417119227E-4</v>
      </c>
      <c r="BB57" s="2" vm="2227">
        <f ca="1"/>
        <v>243.14</v>
      </c>
      <c r="BC57" s="2">
        <f t="shared" ca="1" si="26"/>
        <v>3.425364202880542E-3</v>
      </c>
      <c r="BD57" s="2" vm="2228">
        <f ca="1"/>
        <v>44.55</v>
      </c>
      <c r="BE57" s="2">
        <f t="shared" ca="1" si="27"/>
        <v>3.8305543037403019E-3</v>
      </c>
      <c r="BF57" s="2" vm="2229">
        <f ca="1"/>
        <v>106.49</v>
      </c>
      <c r="BG57" s="2">
        <f t="shared" ca="1" si="28"/>
        <v>8.4586466165403375E-4</v>
      </c>
      <c r="BH57" s="2" vm="2230">
        <f ca="1"/>
        <v>143.97999999999999</v>
      </c>
      <c r="BI57" s="2">
        <f t="shared" ca="1" si="29"/>
        <v>9.7330367074517762E-4</v>
      </c>
      <c r="BJ57" s="2" vm="2231">
        <f ca="1"/>
        <v>145.58000000000001</v>
      </c>
      <c r="BK57" s="2">
        <f t="shared" ca="1" si="30"/>
        <v>-1.851217003770873E-3</v>
      </c>
      <c r="BL57" s="2" vm="2232">
        <f ca="1"/>
        <v>62.57</v>
      </c>
      <c r="BM57" s="2">
        <f t="shared" ca="1" si="31"/>
        <v>-4.2966263526416793E-3</v>
      </c>
      <c r="BN57" s="2" vm="2233">
        <f ca="1"/>
        <v>294.8</v>
      </c>
      <c r="BO57" s="2">
        <f t="shared" ca="1" si="32"/>
        <v>2.7551957549576591E-3</v>
      </c>
      <c r="BP57" s="2" vm="2234">
        <f ca="1"/>
        <v>112.55</v>
      </c>
      <c r="BQ57" s="2">
        <f t="shared" ca="1" si="33"/>
        <v>-8.8841506751999967E-5</v>
      </c>
      <c r="BR57" s="2" vm="2235">
        <f ca="1"/>
        <v>924.14</v>
      </c>
      <c r="BS57" s="2">
        <f t="shared" ca="1" si="34"/>
        <v>-8.5611294683088212E-3</v>
      </c>
      <c r="BT57" s="2" vm="2236">
        <f ca="1"/>
        <v>170.16</v>
      </c>
      <c r="BU57" s="2">
        <f t="shared" ca="1" si="35"/>
        <v>7.2214987569551251E-3</v>
      </c>
      <c r="BV57" s="2" vm="2237">
        <f ca="1"/>
        <v>152.44</v>
      </c>
      <c r="BW57" s="2">
        <f t="shared" ca="1" si="36"/>
        <v>-2.4213075060532984E-3</v>
      </c>
      <c r="BX57" s="2" vm="2238">
        <f ca="1"/>
        <v>265.02999999999997</v>
      </c>
      <c r="BY57" s="2">
        <f t="shared" ca="1" si="37"/>
        <v>5.2723410711575875E-3</v>
      </c>
      <c r="BZ57" s="2" vm="2239">
        <f ca="1"/>
        <v>87.31</v>
      </c>
      <c r="CA57" s="2">
        <f t="shared" ca="1" si="38"/>
        <v>-1.8291985823710598E-3</v>
      </c>
      <c r="CB57" s="2" vm="2240">
        <f ca="1"/>
        <v>28.67</v>
      </c>
      <c r="CC57" s="2">
        <f t="shared" ca="1" si="39"/>
        <v>-1.7409470752088147E-3</v>
      </c>
      <c r="CD57" s="2" t="e" vm="92">
        <f ca="1"/>
        <v>#N/A</v>
      </c>
      <c r="CE57" s="2" t="e" vm="140">
        <f t="shared" ca="1" si="40"/>
        <v>#N/A</v>
      </c>
      <c r="CF57" s="2" vm="2241">
        <f ca="1"/>
        <v>22.434999999999999</v>
      </c>
      <c r="CG57" s="2">
        <f t="shared" ca="1" si="41"/>
        <v>6.6904549509353318E-4</v>
      </c>
      <c r="CH57" s="2" vm="2242">
        <f ca="1"/>
        <v>58.045000000000002</v>
      </c>
      <c r="CI57" s="2">
        <f t="shared" ca="1" si="42"/>
        <v>4.3088590141328125E-4</v>
      </c>
      <c r="CJ57" s="2" vm="2243">
        <f ca="1"/>
        <v>57.85</v>
      </c>
      <c r="CK57" s="2">
        <f t="shared" ca="1" si="43"/>
        <v>6.9192181283513488E-4</v>
      </c>
      <c r="CL57" s="2" vm="2244">
        <f ca="1"/>
        <v>55.49</v>
      </c>
      <c r="CM57" s="2">
        <f t="shared" ca="1" si="44"/>
        <v>-3.6029544226258371E-4</v>
      </c>
      <c r="CN57" s="2" vm="2245">
        <f ca="1"/>
        <v>28.68</v>
      </c>
      <c r="CO57" s="2">
        <f t="shared" ca="1" si="45"/>
        <v>6.9783670621073178E-4</v>
      </c>
      <c r="CP57" s="2" vm="2246">
        <f ca="1"/>
        <v>21.7471</v>
      </c>
      <c r="CQ57" s="2">
        <f t="shared" ca="1" si="46"/>
        <v>1.8796386302594563E-3</v>
      </c>
    </row>
    <row r="58" spans="1:95" x14ac:dyDescent="0.2">
      <c r="A58" s="7" vm="2247">
        <f ca="1"/>
        <v>45653</v>
      </c>
      <c r="B58" s="2" vm="2248">
        <f ca="1"/>
        <v>255.59</v>
      </c>
      <c r="C58" s="2">
        <f t="shared" ca="1" si="0"/>
        <v>-1.3242220677939846E-2</v>
      </c>
      <c r="D58" s="2" vm="2249">
        <f ca="1"/>
        <v>137.01</v>
      </c>
      <c r="E58" s="2">
        <f t="shared" ca="1" si="1"/>
        <v>-2.0867576645465704E-2</v>
      </c>
      <c r="F58" s="2" vm="2250">
        <f ca="1"/>
        <v>430.53</v>
      </c>
      <c r="G58" s="2">
        <f t="shared" ca="1" si="2"/>
        <v>-1.730159092465372E-2</v>
      </c>
      <c r="H58" s="2" vm="2251">
        <f ca="1"/>
        <v>599.80999999999995</v>
      </c>
      <c r="I58" s="2">
        <f t="shared" ca="1" si="3"/>
        <v>-5.8672412364300609E-3</v>
      </c>
      <c r="J58" s="2" vm="2252">
        <f ca="1"/>
        <v>192.76</v>
      </c>
      <c r="K58" s="2">
        <f t="shared" ca="1" si="4"/>
        <v>-1.4519427402863003E-2</v>
      </c>
      <c r="L58" s="2" vm="2253">
        <f ca="1"/>
        <v>595.01</v>
      </c>
      <c r="M58" s="2">
        <f t="shared" ca="1" si="5"/>
        <v>-1.0526490837130476E-2</v>
      </c>
      <c r="N58" s="2" vm="2254">
        <f ca="1"/>
        <v>87.1</v>
      </c>
      <c r="O58" s="2">
        <f t="shared" ca="1" si="6"/>
        <v>-8.1985880209519343E-3</v>
      </c>
      <c r="P58" s="2" vm="2255">
        <f ca="1"/>
        <v>241.4</v>
      </c>
      <c r="Q58" s="2">
        <f t="shared" ca="1" si="7"/>
        <v>-6.8704488418973447E-3</v>
      </c>
      <c r="R58" s="2" vm="2256">
        <f ca="1"/>
        <v>73.849999999999994</v>
      </c>
      <c r="S58" s="2">
        <f t="shared" ca="1" si="8"/>
        <v>9.8454806508956501E-3</v>
      </c>
      <c r="T58" s="2" vm="2257">
        <f ca="1"/>
        <v>92.08</v>
      </c>
      <c r="U58" s="2">
        <f t="shared" ca="1" si="9"/>
        <v>-2.5996533795493381E-3</v>
      </c>
      <c r="V58" s="2" vm="2258">
        <f ca="1"/>
        <v>46.545000000000002</v>
      </c>
      <c r="W58" s="2">
        <f t="shared" ca="1" si="10"/>
        <v>-1.7436511153576162E-3</v>
      </c>
      <c r="X58" s="2" vm="2259">
        <f ca="1"/>
        <v>170.28</v>
      </c>
      <c r="Y58" s="2">
        <f t="shared" ca="1" si="11"/>
        <v>-2.3455869702357076E-2</v>
      </c>
      <c r="Z58" s="2" vm="2260">
        <f ca="1"/>
        <v>84.56</v>
      </c>
      <c r="AA58" s="2">
        <f t="shared" ca="1" si="12"/>
        <v>-1.1824524062895715E-4</v>
      </c>
      <c r="AB58" s="2" vm="629">
        <f ca="1"/>
        <v>13.98</v>
      </c>
      <c r="AC58" s="2">
        <f t="shared" ca="1" si="13"/>
        <v>8.6580086580087309E-3</v>
      </c>
      <c r="AD58" s="2" vm="205">
        <f ca="1"/>
        <v>2.9</v>
      </c>
      <c r="AE58" s="2" t="e" vm="140">
        <f t="shared" ca="1" si="14"/>
        <v>#N/A</v>
      </c>
      <c r="AF58" s="2" vm="1552">
        <f ca="1"/>
        <v>26.76</v>
      </c>
      <c r="AG58" s="2">
        <f t="shared" ca="1" si="15"/>
        <v>-1.4001473839351474E-2</v>
      </c>
      <c r="AH58" s="2" vm="2261">
        <f ca="1"/>
        <v>25.85</v>
      </c>
      <c r="AI58" s="2">
        <f t="shared" ca="1" si="16"/>
        <v>-1.5238095238095184E-2</v>
      </c>
      <c r="AJ58" s="2" vm="1514">
        <f ca="1"/>
        <v>4.79</v>
      </c>
      <c r="AK58" s="2">
        <f t="shared" ca="1" si="17"/>
        <v>1.0548523206751016E-2</v>
      </c>
      <c r="AL58" s="2" vm="2262">
        <f ca="1"/>
        <v>51.81</v>
      </c>
      <c r="AM58" s="2">
        <f t="shared" ca="1" si="18"/>
        <v>-7.2810883310978243E-3</v>
      </c>
      <c r="AN58" s="2" vm="2263">
        <f ca="1"/>
        <v>84.22</v>
      </c>
      <c r="AO58" s="2">
        <f t="shared" ca="1" si="19"/>
        <v>-1.8986604542807171E-2</v>
      </c>
      <c r="AP58" s="2" vm="2264">
        <f ca="1"/>
        <v>25.74</v>
      </c>
      <c r="AQ58" s="2">
        <f t="shared" ca="1" si="20"/>
        <v>-2.3255813953489252E-3</v>
      </c>
      <c r="AR58" s="2" vm="2265">
        <f ca="1"/>
        <v>50.87</v>
      </c>
      <c r="AS58" s="2">
        <f t="shared" ca="1" si="21"/>
        <v>3.9331366764987257E-4</v>
      </c>
      <c r="AT58" s="2" vm="2266">
        <f ca="1"/>
        <v>28.92</v>
      </c>
      <c r="AU58" s="2">
        <f t="shared" ca="1" si="22"/>
        <v>3.4590107229337817E-4</v>
      </c>
      <c r="AV58" s="2" vm="2267">
        <f ca="1"/>
        <v>26.05</v>
      </c>
      <c r="AW58" s="2">
        <f t="shared" ca="1" si="23"/>
        <v>-7.9969535415080287E-3</v>
      </c>
      <c r="AX58" s="2" vm="2268">
        <f ca="1"/>
        <v>91.41</v>
      </c>
      <c r="AY58" s="2">
        <f t="shared" ca="1" si="24"/>
        <v>4.3778045310268187E-4</v>
      </c>
      <c r="AZ58" s="2" vm="2269">
        <f ca="1"/>
        <v>456.51</v>
      </c>
      <c r="BA58" s="2">
        <f t="shared" ca="1" si="25"/>
        <v>-5.5981528273939037E-3</v>
      </c>
      <c r="BB58" s="2" vm="2270">
        <f ca="1"/>
        <v>241.17</v>
      </c>
      <c r="BC58" s="2">
        <f t="shared" ca="1" si="26"/>
        <v>-8.1023278769433212E-3</v>
      </c>
      <c r="BD58" s="2" vm="2271">
        <f ca="1"/>
        <v>44.34</v>
      </c>
      <c r="BE58" s="2">
        <f t="shared" ca="1" si="27"/>
        <v>-4.7138047138045739E-3</v>
      </c>
      <c r="BF58" s="2" vm="2272">
        <f ca="1"/>
        <v>106.48</v>
      </c>
      <c r="BG58" s="2">
        <f t="shared" ca="1" si="28"/>
        <v>-9.3905531035692609E-5</v>
      </c>
      <c r="BH58" s="2" vm="2273">
        <f ca="1"/>
        <v>144</v>
      </c>
      <c r="BI58" s="2">
        <f t="shared" ca="1" si="29"/>
        <v>1.3890818169197272E-4</v>
      </c>
      <c r="BJ58" s="2" vm="2274">
        <f ca="1"/>
        <v>145.05000000000001</v>
      </c>
      <c r="BK58" s="2">
        <f t="shared" ca="1" si="30"/>
        <v>-3.6406099738975207E-3</v>
      </c>
      <c r="BL58" s="2" vm="2083">
        <f ca="1"/>
        <v>62.45</v>
      </c>
      <c r="BM58" s="2">
        <f t="shared" ca="1" si="31"/>
        <v>-1.9178520057535151E-3</v>
      </c>
      <c r="BN58" s="2" vm="2275">
        <f ca="1"/>
        <v>293.62</v>
      </c>
      <c r="BO58" s="2">
        <f t="shared" ca="1" si="32"/>
        <v>-4.0027137042062642E-3</v>
      </c>
      <c r="BP58" s="2" vm="2276">
        <f ca="1"/>
        <v>111.55</v>
      </c>
      <c r="BQ58" s="2">
        <f t="shared" ca="1" si="33"/>
        <v>-8.8849400266548199E-3</v>
      </c>
      <c r="BR58" s="2" vm="2277">
        <f ca="1"/>
        <v>907.55</v>
      </c>
      <c r="BS58" s="2">
        <f t="shared" ca="1" si="34"/>
        <v>-1.7951825480987765E-2</v>
      </c>
      <c r="BT58" s="2" vm="2278">
        <f ca="1"/>
        <v>169.53</v>
      </c>
      <c r="BU58" s="2">
        <f t="shared" ca="1" si="35"/>
        <v>-3.7023977433003966E-3</v>
      </c>
      <c r="BV58" s="2" vm="2279">
        <f ca="1"/>
        <v>152.88999999999999</v>
      </c>
      <c r="BW58" s="2">
        <f t="shared" ca="1" si="36"/>
        <v>2.9519811073208386E-3</v>
      </c>
      <c r="BX58" s="2" vm="2280">
        <f ca="1"/>
        <v>264.94</v>
      </c>
      <c r="BY58" s="2">
        <f t="shared" ca="1" si="37"/>
        <v>-3.3958419801522469E-4</v>
      </c>
      <c r="BZ58" s="2" vm="2281">
        <f ca="1"/>
        <v>87.39</v>
      </c>
      <c r="CA58" s="2">
        <f t="shared" ca="1" si="38"/>
        <v>9.1627534073987276E-4</v>
      </c>
      <c r="CB58" s="2" vm="2282">
        <f ca="1"/>
        <v>28.695699999999999</v>
      </c>
      <c r="CC58" s="2">
        <f t="shared" ca="1" si="39"/>
        <v>8.9640739448890638E-4</v>
      </c>
      <c r="CD58" s="2" t="e" vm="92">
        <f ca="1"/>
        <v>#N/A</v>
      </c>
      <c r="CE58" s="2" t="e" vm="140">
        <f t="shared" ca="1" si="40"/>
        <v>#N/A</v>
      </c>
      <c r="CF58" s="2" vm="2283">
        <f ca="1"/>
        <v>22.39</v>
      </c>
      <c r="CG58" s="2">
        <f t="shared" ca="1" si="41"/>
        <v>-2.0057945174949032E-3</v>
      </c>
      <c r="CH58" s="2" vm="2284">
        <f ca="1"/>
        <v>58.07</v>
      </c>
      <c r="CI58" s="2">
        <f t="shared" ca="1" si="42"/>
        <v>4.3070031871821133E-4</v>
      </c>
      <c r="CJ58" s="2" vm="2285">
        <f ca="1"/>
        <v>57.78</v>
      </c>
      <c r="CK58" s="2">
        <f t="shared" ca="1" si="43"/>
        <v>-1.2100259291270576E-3</v>
      </c>
      <c r="CL58" s="2" vm="2286">
        <f ca="1"/>
        <v>55.1</v>
      </c>
      <c r="CM58" s="2">
        <f t="shared" ca="1" si="44"/>
        <v>-7.0282933861957209E-3</v>
      </c>
      <c r="CN58" s="2" vm="2170">
        <f ca="1"/>
        <v>28.59</v>
      </c>
      <c r="CO58" s="2">
        <f t="shared" ca="1" si="45"/>
        <v>-3.1380753138075266E-3</v>
      </c>
      <c r="CP58" s="2" vm="2287">
        <f ca="1"/>
        <v>21.4862</v>
      </c>
      <c r="CQ58" s="2">
        <f t="shared" ca="1" si="46"/>
        <v>-1.1997001899103764E-2</v>
      </c>
    </row>
    <row r="59" spans="1:95" x14ac:dyDescent="0.2">
      <c r="A59" s="7" vm="2288">
        <f ca="1"/>
        <v>45656</v>
      </c>
      <c r="B59" s="2" vm="2289">
        <f ca="1"/>
        <v>252.2</v>
      </c>
      <c r="C59" s="2">
        <f t="shared" ca="1" si="0"/>
        <v>-1.3263429711647618E-2</v>
      </c>
      <c r="D59" s="2" vm="2290">
        <f ca="1"/>
        <v>137.49</v>
      </c>
      <c r="E59" s="2">
        <f t="shared" ca="1" si="1"/>
        <v>3.5033939128532093E-3</v>
      </c>
      <c r="F59" s="2" vm="2291">
        <f ca="1"/>
        <v>424.83</v>
      </c>
      <c r="G59" s="2">
        <f t="shared" ca="1" si="2"/>
        <v>-1.3239495505539657E-2</v>
      </c>
      <c r="H59" s="2" vm="2292">
        <f ca="1"/>
        <v>591.24</v>
      </c>
      <c r="I59" s="2">
        <f t="shared" ca="1" si="3"/>
        <v>-1.4287857821643416E-2</v>
      </c>
      <c r="J59" s="2" vm="2293">
        <f ca="1"/>
        <v>191.24</v>
      </c>
      <c r="K59" s="2">
        <f t="shared" ca="1" si="4"/>
        <v>-7.8854534135711866E-3</v>
      </c>
      <c r="L59" s="2" vm="2294">
        <f ca="1"/>
        <v>588.22</v>
      </c>
      <c r="M59" s="2">
        <f t="shared" ca="1" si="5"/>
        <v>-1.1411572914740868E-2</v>
      </c>
      <c r="N59" s="2" vm="2295">
        <f ca="1"/>
        <v>87.8</v>
      </c>
      <c r="O59" s="2">
        <f t="shared" ca="1" si="6"/>
        <v>8.0367393800229951E-3</v>
      </c>
      <c r="P59" s="2" vm="2296">
        <f ca="1"/>
        <v>240.63</v>
      </c>
      <c r="Q59" s="2">
        <f t="shared" ca="1" si="7"/>
        <v>-3.1897265948633399E-3</v>
      </c>
      <c r="R59" s="2" vm="2297">
        <f ca="1"/>
        <v>74.819999999999993</v>
      </c>
      <c r="S59" s="2">
        <f t="shared" ca="1" si="8"/>
        <v>1.3134732566012173E-2</v>
      </c>
      <c r="T59" s="2" vm="2298">
        <f ca="1"/>
        <v>92.62</v>
      </c>
      <c r="U59" s="2">
        <f t="shared" ca="1" si="9"/>
        <v>5.8644656820157062E-3</v>
      </c>
      <c r="V59" s="2" vm="2299">
        <f ca="1"/>
        <v>46.7149</v>
      </c>
      <c r="W59" s="2">
        <f t="shared" ca="1" si="10"/>
        <v>3.650230959286677E-3</v>
      </c>
      <c r="X59" s="2" vm="2300">
        <f ca="1"/>
        <v>166.51</v>
      </c>
      <c r="Y59" s="2">
        <f t="shared" ca="1" si="11"/>
        <v>-2.2140004698144294E-2</v>
      </c>
      <c r="Z59" s="2" vm="2301">
        <f ca="1"/>
        <v>84.55</v>
      </c>
      <c r="AA59" s="2">
        <f t="shared" ca="1" si="12"/>
        <v>-1.1825922421954962E-4</v>
      </c>
      <c r="AB59" s="2" vm="1583">
        <f ca="1"/>
        <v>14.15</v>
      </c>
      <c r="AC59" s="2">
        <f t="shared" ca="1" si="13"/>
        <v>1.2160228898426318E-2</v>
      </c>
      <c r="AD59" s="2" vm="2302">
        <f ca="1"/>
        <v>4</v>
      </c>
      <c r="AE59" s="2">
        <f t="shared" ca="1" si="14"/>
        <v>0.37931034482758624</v>
      </c>
      <c r="AF59" s="2" vm="1667">
        <f ca="1"/>
        <v>26.43</v>
      </c>
      <c r="AG59" s="2">
        <f t="shared" ca="1" si="15"/>
        <v>-1.233183856502249E-2</v>
      </c>
      <c r="AH59" s="2" vm="2303">
        <f ca="1"/>
        <v>26.27</v>
      </c>
      <c r="AI59" s="2">
        <f t="shared" ca="1" si="16"/>
        <v>1.6247582205028942E-2</v>
      </c>
      <c r="AJ59" s="2" vm="2304">
        <f ca="1"/>
        <v>4.8099999999999996</v>
      </c>
      <c r="AK59" s="2">
        <f t="shared" ca="1" si="17"/>
        <v>4.175365344467552E-3</v>
      </c>
      <c r="AL59" s="2" vm="2305">
        <f ca="1"/>
        <v>51.65</v>
      </c>
      <c r="AM59" s="2">
        <f t="shared" ca="1" si="18"/>
        <v>-3.0882069098630322E-3</v>
      </c>
      <c r="AN59" s="2" vm="2306">
        <f ca="1"/>
        <v>82.66</v>
      </c>
      <c r="AO59" s="2">
        <f t="shared" ca="1" si="19"/>
        <v>-1.8522916171930685E-2</v>
      </c>
      <c r="AP59" s="2" vm="2073">
        <f ca="1"/>
        <v>25.83</v>
      </c>
      <c r="AQ59" s="2">
        <f t="shared" ca="1" si="20"/>
        <v>3.4965034965034913E-3</v>
      </c>
      <c r="AR59" s="2" vm="2265">
        <f ca="1"/>
        <v>50.87</v>
      </c>
      <c r="AS59" s="2">
        <f t="shared" ca="1" si="21"/>
        <v>0</v>
      </c>
      <c r="AT59" s="2" vm="2307">
        <f ca="1"/>
        <v>28.96</v>
      </c>
      <c r="AU59" s="2">
        <f t="shared" ca="1" si="22"/>
        <v>1.3831258644536356E-3</v>
      </c>
      <c r="AV59" s="2" vm="1047">
        <f ca="1"/>
        <v>26.28</v>
      </c>
      <c r="AW59" s="2">
        <f t="shared" ca="1" si="23"/>
        <v>8.829174664107502E-3</v>
      </c>
      <c r="AX59" s="2" vm="2268">
        <f ca="1"/>
        <v>91.41</v>
      </c>
      <c r="AY59" s="2">
        <f t="shared" ca="1" si="24"/>
        <v>0</v>
      </c>
      <c r="AZ59" s="2" vm="2308">
        <f ca="1"/>
        <v>452.16</v>
      </c>
      <c r="BA59" s="2">
        <f t="shared" ca="1" si="25"/>
        <v>-9.5288164552802049E-3</v>
      </c>
      <c r="BB59" s="2" vm="2309">
        <f ca="1"/>
        <v>239.32</v>
      </c>
      <c r="BC59" s="2">
        <f t="shared" ca="1" si="26"/>
        <v>-7.6709375129576417E-3</v>
      </c>
      <c r="BD59" s="2" vm="2310">
        <f ca="1"/>
        <v>43.91</v>
      </c>
      <c r="BE59" s="2">
        <f t="shared" ca="1" si="27"/>
        <v>-9.6977898060443563E-3</v>
      </c>
      <c r="BF59" s="2" vm="2311">
        <f ca="1"/>
        <v>105.76</v>
      </c>
      <c r="BG59" s="2">
        <f t="shared" ca="1" si="28"/>
        <v>-6.7618332081141892E-3</v>
      </c>
      <c r="BH59" s="2" vm="2312">
        <f ca="1"/>
        <v>143.07</v>
      </c>
      <c r="BI59" s="2">
        <f t="shared" ca="1" si="29"/>
        <v>-6.458333333333381E-3</v>
      </c>
      <c r="BJ59" s="2" vm="2313">
        <f ca="1"/>
        <v>143.34</v>
      </c>
      <c r="BK59" s="2">
        <f t="shared" ca="1" si="30"/>
        <v>-1.1789038262668099E-2</v>
      </c>
      <c r="BL59" s="2" vm="2314">
        <f ca="1"/>
        <v>62.03</v>
      </c>
      <c r="BM59" s="2">
        <f t="shared" ca="1" si="31"/>
        <v>-6.7253803042434217E-3</v>
      </c>
      <c r="BN59" s="2" vm="2315">
        <f ca="1"/>
        <v>289.60000000000002</v>
      </c>
      <c r="BO59" s="2">
        <f t="shared" ca="1" si="32"/>
        <v>-1.3691165451944627E-2</v>
      </c>
      <c r="BP59" s="2" vm="2316">
        <f ca="1"/>
        <v>110.8</v>
      </c>
      <c r="BQ59" s="2">
        <f t="shared" ca="1" si="33"/>
        <v>-6.7234424025100856E-3</v>
      </c>
      <c r="BR59" s="2" vm="2317">
        <f ca="1"/>
        <v>900.43</v>
      </c>
      <c r="BS59" s="2">
        <f t="shared" ca="1" si="34"/>
        <v>-7.8452977797366583E-3</v>
      </c>
      <c r="BT59" s="2" vm="2318">
        <f ca="1"/>
        <v>167.09</v>
      </c>
      <c r="BU59" s="2">
        <f t="shared" ca="1" si="35"/>
        <v>-1.4392732849643118E-2</v>
      </c>
      <c r="BV59" s="2" vm="2319">
        <f ca="1"/>
        <v>151.72</v>
      </c>
      <c r="BW59" s="2">
        <f t="shared" ca="1" si="36"/>
        <v>-7.6525606645299728E-3</v>
      </c>
      <c r="BX59" s="2" vm="2320">
        <f ca="1"/>
        <v>267.56</v>
      </c>
      <c r="BY59" s="2">
        <f t="shared" ca="1" si="37"/>
        <v>9.8890314788254111E-3</v>
      </c>
      <c r="BZ59" s="2" vm="2321">
        <f ca="1"/>
        <v>88.35</v>
      </c>
      <c r="CA59" s="2">
        <f t="shared" ca="1" si="38"/>
        <v>1.098523858565046E-2</v>
      </c>
      <c r="CB59" s="2" vm="2322">
        <f ca="1"/>
        <v>29.18</v>
      </c>
      <c r="CC59" s="2">
        <f t="shared" ca="1" si="39"/>
        <v>1.6877093083632777E-2</v>
      </c>
      <c r="CD59" s="2" t="e" vm="92">
        <f ca="1"/>
        <v>#N/A</v>
      </c>
      <c r="CE59" s="2" t="e" vm="140">
        <f t="shared" ca="1" si="40"/>
        <v>#N/A</v>
      </c>
      <c r="CF59" s="2" vm="2323">
        <f ca="1"/>
        <v>22.475000000000001</v>
      </c>
      <c r="CG59" s="2">
        <f t="shared" ca="1" si="41"/>
        <v>3.7963376507369742E-3</v>
      </c>
      <c r="CH59" s="2" vm="1178">
        <f ca="1"/>
        <v>58.15</v>
      </c>
      <c r="CI59" s="2">
        <f t="shared" ca="1" si="42"/>
        <v>1.3776476666092353E-3</v>
      </c>
      <c r="CJ59" s="2" vm="2206">
        <f ca="1"/>
        <v>58.02</v>
      </c>
      <c r="CK59" s="2">
        <f t="shared" ca="1" si="43"/>
        <v>4.1536863966770855E-3</v>
      </c>
      <c r="CL59" s="2" vm="2324">
        <f ca="1"/>
        <v>55.55</v>
      </c>
      <c r="CM59" s="2">
        <f t="shared" ca="1" si="44"/>
        <v>8.1669691470053676E-3</v>
      </c>
      <c r="CN59" s="2" vm="2325">
        <f ca="1"/>
        <v>28.69</v>
      </c>
      <c r="CO59" s="2">
        <f t="shared" ca="1" si="45"/>
        <v>3.4977264777894864E-3</v>
      </c>
      <c r="CP59" s="2" vm="2326">
        <f ca="1"/>
        <v>21.431100000000001</v>
      </c>
      <c r="CQ59" s="2">
        <f t="shared" ca="1" si="46"/>
        <v>-2.5644367082126892E-3</v>
      </c>
    </row>
    <row r="60" spans="1:95" x14ac:dyDescent="0.2">
      <c r="A60" s="7" vm="2327">
        <f ca="1"/>
        <v>45657</v>
      </c>
      <c r="B60" s="2" vm="2328">
        <f ca="1"/>
        <v>250.42</v>
      </c>
      <c r="C60" s="2">
        <f t="shared" ca="1" si="0"/>
        <v>-7.0578905630452066E-3</v>
      </c>
      <c r="D60" s="2" vm="2329">
        <f ca="1"/>
        <v>134.29</v>
      </c>
      <c r="E60" s="2">
        <f t="shared" ca="1" si="1"/>
        <v>-2.3274419957815238E-2</v>
      </c>
      <c r="F60" s="2" vm="2330">
        <f ca="1"/>
        <v>421.5</v>
      </c>
      <c r="G60" s="2">
        <f t="shared" ca="1" si="2"/>
        <v>-7.838429489442798E-3</v>
      </c>
      <c r="H60" s="2" vm="2331">
        <f ca="1"/>
        <v>585.51</v>
      </c>
      <c r="I60" s="2">
        <f t="shared" ca="1" si="3"/>
        <v>-9.691495839253125E-3</v>
      </c>
      <c r="J60" s="2" vm="2332">
        <f ca="1"/>
        <v>189.3</v>
      </c>
      <c r="K60" s="2">
        <f t="shared" ca="1" si="4"/>
        <v>-1.0144321271700469E-2</v>
      </c>
      <c r="L60" s="2" vm="2333">
        <f ca="1"/>
        <v>586.08000000000004</v>
      </c>
      <c r="M60" s="2">
        <f t="shared" ca="1" si="5"/>
        <v>-3.6380945904593287E-3</v>
      </c>
      <c r="N60" s="2" vm="2334">
        <f ca="1"/>
        <v>87.33</v>
      </c>
      <c r="O60" s="2">
        <f t="shared" ca="1" si="6"/>
        <v>-5.3530751708428118E-3</v>
      </c>
      <c r="P60" s="2" vm="2335">
        <f ca="1"/>
        <v>242.13</v>
      </c>
      <c r="Q60" s="2">
        <f t="shared" ca="1" si="7"/>
        <v>6.233636703652911E-3</v>
      </c>
      <c r="R60" s="2" vm="2336">
        <f ca="1"/>
        <v>75.55</v>
      </c>
      <c r="S60" s="2">
        <f t="shared" ca="1" si="8"/>
        <v>9.7567495322106925E-3</v>
      </c>
      <c r="T60" s="2" vm="745">
        <f ca="1"/>
        <v>92.45</v>
      </c>
      <c r="U60" s="2">
        <f t="shared" ca="1" si="9"/>
        <v>-1.835456704815393E-3</v>
      </c>
      <c r="V60" s="2" vm="2337">
        <f ca="1"/>
        <v>46.655000000000001</v>
      </c>
      <c r="W60" s="2">
        <f t="shared" ca="1" si="10"/>
        <v>-1.2822461356012526E-3</v>
      </c>
      <c r="X60" s="2" vm="280">
        <f ca="1"/>
        <v>165.16</v>
      </c>
      <c r="Y60" s="2">
        <f t="shared" ca="1" si="11"/>
        <v>-8.1076211638940274E-3</v>
      </c>
      <c r="Z60" s="2" vm="2338">
        <f ca="1"/>
        <v>85.66</v>
      </c>
      <c r="AA60" s="2">
        <f t="shared" ca="1" si="12"/>
        <v>1.3128326434062679E-2</v>
      </c>
      <c r="AB60" s="2" vm="2339">
        <f ca="1"/>
        <v>14.31</v>
      </c>
      <c r="AC60" s="2">
        <f t="shared" ca="1" si="13"/>
        <v>1.1307420494699657E-2</v>
      </c>
      <c r="AD60" s="2" vm="1236">
        <f ca="1"/>
        <v>4.4000000000000004</v>
      </c>
      <c r="AE60" s="2">
        <f t="shared" ca="1" si="14"/>
        <v>0.10000000000000009</v>
      </c>
      <c r="AF60" s="2" vm="1855">
        <f ca="1"/>
        <v>26.33</v>
      </c>
      <c r="AG60" s="2">
        <f t="shared" ca="1" si="15"/>
        <v>-3.7835792659856762E-3</v>
      </c>
      <c r="AH60" s="2" vm="252">
        <f ca="1"/>
        <v>26.59</v>
      </c>
      <c r="AI60" s="2">
        <f t="shared" ca="1" si="16"/>
        <v>1.218119527978684E-2</v>
      </c>
      <c r="AJ60" s="2" vm="1921">
        <f ca="1"/>
        <v>4.82</v>
      </c>
      <c r="AK60" s="2">
        <f t="shared" ca="1" si="17"/>
        <v>2.0790020790022196E-3</v>
      </c>
      <c r="AL60" s="2" vm="2340">
        <f ca="1"/>
        <v>51.99</v>
      </c>
      <c r="AM60" s="2">
        <f t="shared" ca="1" si="18"/>
        <v>6.5827686350436289E-3</v>
      </c>
      <c r="AN60" s="2" vm="2341">
        <f ca="1"/>
        <v>83.05</v>
      </c>
      <c r="AO60" s="2">
        <f t="shared" ca="1" si="19"/>
        <v>4.7181224292281703E-3</v>
      </c>
      <c r="AP60" s="2" vm="2073">
        <f ca="1"/>
        <v>25.83</v>
      </c>
      <c r="AQ60" s="2">
        <f t="shared" ca="1" si="20"/>
        <v>0</v>
      </c>
      <c r="AR60" s="2" vm="843">
        <f ca="1"/>
        <v>50.88</v>
      </c>
      <c r="AS60" s="2">
        <f t="shared" ca="1" si="21"/>
        <v>1.9657951641449019E-4</v>
      </c>
      <c r="AT60" s="2" vm="800">
        <f ca="1"/>
        <v>29.01</v>
      </c>
      <c r="AU60" s="2">
        <f t="shared" ca="1" si="22"/>
        <v>1.726519337016599E-3</v>
      </c>
      <c r="AV60" s="2" vm="1323">
        <f ca="1"/>
        <v>26.19</v>
      </c>
      <c r="AW60" s="2">
        <f t="shared" ca="1" si="23"/>
        <v>-3.4246575342465699E-3</v>
      </c>
      <c r="AX60" s="2" vm="2342">
        <f ca="1"/>
        <v>91.43</v>
      </c>
      <c r="AY60" s="2">
        <f t="shared" ca="1" si="24"/>
        <v>2.1879444262126935E-4</v>
      </c>
      <c r="AZ60" s="2" vm="2343">
        <f ca="1"/>
        <v>453.28</v>
      </c>
      <c r="BA60" s="2">
        <f t="shared" ca="1" si="25"/>
        <v>2.4769992922858007E-3</v>
      </c>
      <c r="BB60" s="2" vm="2344">
        <f ca="1"/>
        <v>239.71</v>
      </c>
      <c r="BC60" s="2">
        <f t="shared" ca="1" si="26"/>
        <v>1.6296172488718653E-3</v>
      </c>
      <c r="BD60" s="2" vm="2345">
        <f ca="1"/>
        <v>43.95</v>
      </c>
      <c r="BE60" s="2">
        <f t="shared" ca="1" si="27"/>
        <v>9.1095422455035884E-4</v>
      </c>
      <c r="BF60" s="2" vm="2346">
        <f ca="1"/>
        <v>107.57</v>
      </c>
      <c r="BG60" s="2">
        <f t="shared" ca="1" si="28"/>
        <v>1.7114220877458283E-2</v>
      </c>
      <c r="BH60" s="2" vm="627">
        <f ca="1"/>
        <v>144.84</v>
      </c>
      <c r="BI60" s="2">
        <f t="shared" ca="1" si="29"/>
        <v>1.2371566366114561E-2</v>
      </c>
      <c r="BJ60" s="2" vm="2347">
        <f ca="1"/>
        <v>144.62</v>
      </c>
      <c r="BK60" s="2">
        <f t="shared" ca="1" si="30"/>
        <v>8.9298172178038301E-3</v>
      </c>
      <c r="BL60" s="2" vm="2348">
        <f ca="1"/>
        <v>62.26</v>
      </c>
      <c r="BM60" s="2">
        <f t="shared" ca="1" si="31"/>
        <v>3.7078832822827158E-3</v>
      </c>
      <c r="BN60" s="2" vm="2349">
        <f ca="1"/>
        <v>289.89</v>
      </c>
      <c r="BO60" s="2">
        <f t="shared" ca="1" si="32"/>
        <v>1.0013812154694875E-3</v>
      </c>
      <c r="BP60" s="2" vm="2045">
        <f ca="1"/>
        <v>111.35</v>
      </c>
      <c r="BQ60" s="2">
        <f t="shared" ca="1" si="33"/>
        <v>4.9638989169674833E-3</v>
      </c>
      <c r="BR60" s="2" vm="2350">
        <f ca="1"/>
        <v>891.32</v>
      </c>
      <c r="BS60" s="2">
        <f t="shared" ca="1" si="34"/>
        <v>-1.0117388358895084E-2</v>
      </c>
      <c r="BT60" s="2" vm="1427">
        <f ca="1"/>
        <v>167.65</v>
      </c>
      <c r="BU60" s="2">
        <f t="shared" ca="1" si="35"/>
        <v>3.3514872224549778E-3</v>
      </c>
      <c r="BV60" s="2" vm="2351">
        <f ca="1"/>
        <v>152.06</v>
      </c>
      <c r="BW60" s="2">
        <f t="shared" ca="1" si="36"/>
        <v>2.2409702082784302E-3</v>
      </c>
      <c r="BX60" s="2" vm="2352">
        <f ca="1"/>
        <v>271.23</v>
      </c>
      <c r="BY60" s="2">
        <f t="shared" ca="1" si="37"/>
        <v>1.3716549558977486E-2</v>
      </c>
      <c r="BZ60" s="2" vm="2353">
        <f ca="1"/>
        <v>89.63</v>
      </c>
      <c r="CA60" s="2">
        <f t="shared" ca="1" si="38"/>
        <v>1.4487832484436913E-2</v>
      </c>
      <c r="CB60" s="2" vm="2354">
        <f ca="1"/>
        <v>29.6</v>
      </c>
      <c r="CC60" s="2">
        <f t="shared" ca="1" si="39"/>
        <v>1.439342015078827E-2</v>
      </c>
      <c r="CD60" s="2" t="e" vm="92">
        <f ca="1"/>
        <v>#N/A</v>
      </c>
      <c r="CE60" s="2" t="e" vm="140">
        <f t="shared" ca="1" si="40"/>
        <v>#N/A</v>
      </c>
      <c r="CF60" s="2" vm="2355">
        <f ca="1"/>
        <v>22.98</v>
      </c>
      <c r="CG60" s="2">
        <f t="shared" ca="1" si="41"/>
        <v>2.2469410456062246E-2</v>
      </c>
      <c r="CH60" s="2" vm="2053">
        <f ca="1"/>
        <v>58.18</v>
      </c>
      <c r="CI60" s="2">
        <f t="shared" ca="1" si="42"/>
        <v>5.1590713671541082E-4</v>
      </c>
      <c r="CJ60" s="2" vm="529">
        <f ca="1"/>
        <v>58</v>
      </c>
      <c r="CK60" s="2">
        <f t="shared" ca="1" si="43"/>
        <v>-3.447087211306985E-4</v>
      </c>
      <c r="CL60" s="2" vm="2356">
        <f ca="1"/>
        <v>55.35</v>
      </c>
      <c r="CM60" s="2">
        <f t="shared" ca="1" si="44"/>
        <v>-3.6003600360035239E-3</v>
      </c>
      <c r="CN60" s="2" vm="2357">
        <f ca="1"/>
        <v>28.64</v>
      </c>
      <c r="CO60" s="2">
        <f t="shared" ca="1" si="45"/>
        <v>-1.7427675148135487E-3</v>
      </c>
      <c r="CP60" s="2" vm="2358">
        <f ca="1"/>
        <v>21.627500000000001</v>
      </c>
      <c r="CQ60" s="2">
        <f t="shared" ca="1" si="46"/>
        <v>9.1642519516030706E-3</v>
      </c>
    </row>
    <row r="61" spans="1:95" x14ac:dyDescent="0.2">
      <c r="A61" s="7" vm="2359">
        <f ca="1"/>
        <v>45659</v>
      </c>
      <c r="B61" s="2" vm="2360">
        <f ca="1"/>
        <v>243.85</v>
      </c>
      <c r="C61" s="2">
        <f t="shared" ca="1" si="0"/>
        <v>-2.6235923648270879E-2</v>
      </c>
      <c r="D61" s="2" vm="2361">
        <f ca="1"/>
        <v>138.31</v>
      </c>
      <c r="E61" s="2">
        <f t="shared" ca="1" si="1"/>
        <v>2.9935214833569219E-2</v>
      </c>
      <c r="F61" s="2" vm="2362">
        <f ca="1"/>
        <v>418.58</v>
      </c>
      <c r="G61" s="2">
        <f t="shared" ca="1" si="2"/>
        <v>-6.9276393831554355E-3</v>
      </c>
      <c r="H61" s="2" vm="2363">
        <f ca="1"/>
        <v>599.24</v>
      </c>
      <c r="I61" s="2">
        <f t="shared" ca="1" si="3"/>
        <v>2.344964219227685E-2</v>
      </c>
      <c r="J61" s="2" vm="2364">
        <f ca="1"/>
        <v>189.43</v>
      </c>
      <c r="K61" s="2">
        <f t="shared" ca="1" si="4"/>
        <v>6.8674062334915715E-4</v>
      </c>
      <c r="L61" s="2" vm="2365">
        <f ca="1"/>
        <v>584.64</v>
      </c>
      <c r="M61" s="2">
        <f t="shared" ca="1" si="5"/>
        <v>-2.4570024570025497E-3</v>
      </c>
      <c r="N61" s="2" vm="2366">
        <f ca="1"/>
        <v>87.57</v>
      </c>
      <c r="O61" s="2">
        <f t="shared" ca="1" si="6"/>
        <v>2.7481964960494091E-3</v>
      </c>
      <c r="P61" s="2" vm="2367">
        <f ca="1"/>
        <v>245.42</v>
      </c>
      <c r="Q61" s="2">
        <f t="shared" ca="1" si="7"/>
        <v>1.3587742122000545E-2</v>
      </c>
      <c r="R61" s="2" vm="2368">
        <f ca="1"/>
        <v>76.930000000000007</v>
      </c>
      <c r="S61" s="2">
        <f t="shared" ca="1" si="8"/>
        <v>1.8266048974189406E-2</v>
      </c>
      <c r="T61" s="2" vm="2369">
        <f ca="1"/>
        <v>92.5</v>
      </c>
      <c r="U61" s="2">
        <f t="shared" ca="1" si="9"/>
        <v>5.4083288263923372E-4</v>
      </c>
      <c r="V61" s="2" vm="2370">
        <f ca="1"/>
        <v>46.6539</v>
      </c>
      <c r="W61" s="2">
        <f t="shared" ca="1" si="10"/>
        <v>-2.3577322902175309E-5</v>
      </c>
      <c r="X61" s="2" vm="516">
        <f ca="1"/>
        <v>165.86</v>
      </c>
      <c r="Y61" s="2">
        <f t="shared" ca="1" si="11"/>
        <v>4.2383143618310555E-3</v>
      </c>
      <c r="Z61" s="2" vm="2371">
        <f ca="1"/>
        <v>86.66</v>
      </c>
      <c r="AA61" s="2">
        <f t="shared" ca="1" si="12"/>
        <v>1.1674060238150829E-2</v>
      </c>
      <c r="AB61" s="2" vm="752">
        <f ca="1"/>
        <v>14.52</v>
      </c>
      <c r="AC61" s="2">
        <f t="shared" ca="1" si="13"/>
        <v>1.4675052410901402E-2</v>
      </c>
      <c r="AD61" s="2" vm="1236">
        <f ca="1"/>
        <v>4.4000000000000004</v>
      </c>
      <c r="AE61" s="2">
        <f t="shared" ca="1" si="14"/>
        <v>0</v>
      </c>
      <c r="AF61" s="2" vm="2372">
        <f ca="1"/>
        <v>26.93</v>
      </c>
      <c r="AG61" s="2">
        <f t="shared" ca="1" si="15"/>
        <v>2.2787694644891814E-2</v>
      </c>
      <c r="AH61" s="2" vm="2373">
        <f ca="1"/>
        <v>26.62</v>
      </c>
      <c r="AI61" s="2">
        <f t="shared" ca="1" si="16"/>
        <v>1.1282437006393808E-3</v>
      </c>
      <c r="AJ61" s="2" vm="1626">
        <f ca="1"/>
        <v>4.78</v>
      </c>
      <c r="AK61" s="2">
        <f t="shared" ca="1" si="17"/>
        <v>-8.2987551867219986E-3</v>
      </c>
      <c r="AL61" s="2" vm="2374">
        <f ca="1"/>
        <v>52.69</v>
      </c>
      <c r="AM61" s="2">
        <f t="shared" ca="1" si="18"/>
        <v>1.3464127716868547E-2</v>
      </c>
      <c r="AN61" s="2" vm="2375">
        <f ca="1"/>
        <v>84.59</v>
      </c>
      <c r="AO61" s="2">
        <f t="shared" ca="1" si="19"/>
        <v>1.8543046357615969E-2</v>
      </c>
      <c r="AP61" s="2" vm="207">
        <f ca="1"/>
        <v>25.81</v>
      </c>
      <c r="AQ61" s="2">
        <f t="shared" ca="1" si="20"/>
        <v>-7.7429345722027001E-4</v>
      </c>
      <c r="AR61" s="2" vm="73">
        <f ca="1"/>
        <v>50.9</v>
      </c>
      <c r="AS61" s="2">
        <f t="shared" ca="1" si="21"/>
        <v>3.930817610062111E-4</v>
      </c>
      <c r="AT61" s="2" vm="1090">
        <f ca="1"/>
        <v>28.97</v>
      </c>
      <c r="AU61" s="2">
        <f t="shared" ca="1" si="22"/>
        <v>-1.3788348845226715E-3</v>
      </c>
      <c r="AV61" s="2" vm="2376">
        <f ca="1"/>
        <v>26.2</v>
      </c>
      <c r="AW61" s="2">
        <f t="shared" ca="1" si="23"/>
        <v>3.8182512409308934E-4</v>
      </c>
      <c r="AX61" s="2" vm="2377">
        <f ca="1"/>
        <v>91.45</v>
      </c>
      <c r="AY61" s="2">
        <f t="shared" ca="1" si="24"/>
        <v>2.1874658208461138E-4</v>
      </c>
      <c r="AZ61" s="2" vm="2378">
        <f ca="1"/>
        <v>451.1</v>
      </c>
      <c r="BA61" s="2">
        <f t="shared" ca="1" si="25"/>
        <v>-4.8093893399222334E-3</v>
      </c>
      <c r="BB61" s="2" vm="2379">
        <f ca="1"/>
        <v>240</v>
      </c>
      <c r="BC61" s="2">
        <f t="shared" ca="1" si="26"/>
        <v>1.2097951691627052E-3</v>
      </c>
      <c r="BD61" s="2" vm="2380">
        <f ca="1"/>
        <v>44.29</v>
      </c>
      <c r="BE61" s="2">
        <f t="shared" ca="1" si="27"/>
        <v>7.7360637087598699E-3</v>
      </c>
      <c r="BF61" s="2" vm="2381">
        <f ca="1"/>
        <v>107.31</v>
      </c>
      <c r="BG61" s="2">
        <f t="shared" ca="1" si="28"/>
        <v>-2.4170307706608807E-3</v>
      </c>
      <c r="BH61" s="2" vm="2382">
        <f ca="1"/>
        <v>146.71</v>
      </c>
      <c r="BI61" s="2">
        <f t="shared" ca="1" si="29"/>
        <v>1.291079812206576E-2</v>
      </c>
      <c r="BJ61" s="2" vm="2383">
        <f ca="1"/>
        <v>144.02000000000001</v>
      </c>
      <c r="BK61" s="2">
        <f t="shared" ca="1" si="30"/>
        <v>-4.1488037615820374E-3</v>
      </c>
      <c r="BL61" s="2" vm="2384">
        <f ca="1"/>
        <v>61.84</v>
      </c>
      <c r="BM61" s="2">
        <f t="shared" ca="1" si="31"/>
        <v>-6.7459042724059524E-3</v>
      </c>
      <c r="BN61" s="2" vm="2385">
        <f ca="1"/>
        <v>292.51</v>
      </c>
      <c r="BO61" s="2">
        <f t="shared" ca="1" si="32"/>
        <v>9.0379109317327427E-3</v>
      </c>
      <c r="BP61" s="2" vm="2386">
        <f ca="1"/>
        <v>110.82</v>
      </c>
      <c r="BQ61" s="2">
        <f t="shared" ca="1" si="33"/>
        <v>-4.7597665020206658E-3</v>
      </c>
      <c r="BR61" s="2" vm="2387">
        <f ca="1"/>
        <v>886.73</v>
      </c>
      <c r="BS61" s="2">
        <f t="shared" ca="1" si="34"/>
        <v>-5.1496656644078797E-3</v>
      </c>
      <c r="BT61" s="2" vm="2388">
        <f ca="1"/>
        <v>165.98</v>
      </c>
      <c r="BU61" s="2">
        <f t="shared" ca="1" si="35"/>
        <v>-9.9612287503728948E-3</v>
      </c>
      <c r="BV61" s="2" vm="2389">
        <f ca="1"/>
        <v>150.21</v>
      </c>
      <c r="BW61" s="2">
        <f t="shared" ca="1" si="36"/>
        <v>-1.2166250164408749E-2</v>
      </c>
      <c r="BX61" s="2" vm="2390">
        <f ca="1"/>
        <v>276.18</v>
      </c>
      <c r="BY61" s="2">
        <f t="shared" ca="1" si="37"/>
        <v>1.8250193562658956E-2</v>
      </c>
      <c r="BZ61" s="2" vm="2391">
        <f ca="1"/>
        <v>91.15</v>
      </c>
      <c r="CA61" s="2">
        <f t="shared" ca="1" si="38"/>
        <v>1.6958607609059581E-2</v>
      </c>
      <c r="CB61" s="2" vm="2392">
        <f ca="1"/>
        <v>30.0852</v>
      </c>
      <c r="CC61" s="2">
        <f t="shared" ca="1" si="39"/>
        <v>1.6391891891891858E-2</v>
      </c>
      <c r="CD61" s="2" t="e" vm="92">
        <f ca="1"/>
        <v>#N/A</v>
      </c>
      <c r="CE61" s="2" t="e" vm="140">
        <f t="shared" ca="1" si="40"/>
        <v>#N/A</v>
      </c>
      <c r="CF61" s="2" vm="2128">
        <f ca="1"/>
        <v>22.465</v>
      </c>
      <c r="CG61" s="2">
        <f t="shared" ca="1" si="41"/>
        <v>-2.2410791993037447E-2</v>
      </c>
      <c r="CH61" s="2" vm="486">
        <f ca="1"/>
        <v>58.17</v>
      </c>
      <c r="CI61" s="2">
        <f t="shared" ca="1" si="42"/>
        <v>-1.7188037126156773E-4</v>
      </c>
      <c r="CJ61" s="2" vm="2393">
        <f ca="1"/>
        <v>58.01</v>
      </c>
      <c r="CK61" s="2">
        <f t="shared" ca="1" si="43"/>
        <v>1.7241379310341397E-4</v>
      </c>
      <c r="CL61" s="2" vm="2394">
        <f ca="1"/>
        <v>55.41</v>
      </c>
      <c r="CM61" s="2">
        <f t="shared" ca="1" si="44"/>
        <v>1.0840108401083137E-3</v>
      </c>
      <c r="CN61" s="2" vm="2395">
        <f ca="1"/>
        <v>28.63</v>
      </c>
      <c r="CO61" s="2">
        <f t="shared" ca="1" si="45"/>
        <v>-3.4916201117323896E-4</v>
      </c>
      <c r="CP61" s="2" vm="2396">
        <f ca="1"/>
        <v>21.4297</v>
      </c>
      <c r="CQ61" s="2">
        <f t="shared" ca="1" si="46"/>
        <v>-9.1457634955496876E-3</v>
      </c>
    </row>
    <row r="62" spans="1:95" x14ac:dyDescent="0.2">
      <c r="A62" s="7" vm="2397">
        <f ca="1"/>
        <v>45660</v>
      </c>
      <c r="B62" s="2" vm="2398">
        <f ca="1"/>
        <v>243.36</v>
      </c>
      <c r="C62" s="2">
        <f t="shared" ca="1" si="0"/>
        <v>-2.0094320278859165E-3</v>
      </c>
      <c r="D62" s="2" vm="2119">
        <f ca="1"/>
        <v>144.47</v>
      </c>
      <c r="E62" s="2">
        <f t="shared" ca="1" si="1"/>
        <v>4.4537632853734341E-2</v>
      </c>
      <c r="F62" s="2" vm="2399">
        <f ca="1"/>
        <v>423.35</v>
      </c>
      <c r="G62" s="2">
        <f t="shared" ca="1" si="2"/>
        <v>1.1395671078408044E-2</v>
      </c>
      <c r="H62" s="2" vm="2400">
        <f ca="1"/>
        <v>604.63</v>
      </c>
      <c r="I62" s="2">
        <f t="shared" ca="1" si="3"/>
        <v>8.9947266537614076E-3</v>
      </c>
      <c r="J62" s="2" vm="2401">
        <f ca="1"/>
        <v>191.79</v>
      </c>
      <c r="K62" s="2">
        <f t="shared" ca="1" si="4"/>
        <v>1.2458427915324843E-2</v>
      </c>
      <c r="L62" s="2" vm="2402">
        <f ca="1"/>
        <v>591.95000000000005</v>
      </c>
      <c r="M62" s="2">
        <f t="shared" ca="1" si="5"/>
        <v>1.2503420908593424E-2</v>
      </c>
      <c r="N62" s="2" vm="2403">
        <f ca="1"/>
        <v>87.29</v>
      </c>
      <c r="O62" s="2">
        <f t="shared" ca="1" si="6"/>
        <v>-3.1974420463627604E-3</v>
      </c>
      <c r="P62" s="2" vm="1506">
        <f ca="1"/>
        <v>243.49</v>
      </c>
      <c r="Q62" s="2">
        <f t="shared" ca="1" si="7"/>
        <v>-7.8640697579658476E-3</v>
      </c>
      <c r="R62" s="2" vm="2404">
        <f ca="1"/>
        <v>77.92</v>
      </c>
      <c r="S62" s="2">
        <f t="shared" ca="1" si="8"/>
        <v>1.286884180423755E-2</v>
      </c>
      <c r="T62" s="2" vm="2405">
        <f ca="1"/>
        <v>92.35</v>
      </c>
      <c r="U62" s="2">
        <f t="shared" ca="1" si="9"/>
        <v>-1.6216216216216831E-3</v>
      </c>
      <c r="V62" s="2" vm="2406">
        <f ca="1"/>
        <v>46.614199999999997</v>
      </c>
      <c r="W62" s="2">
        <f t="shared" ca="1" si="10"/>
        <v>-8.5094708052281586E-4</v>
      </c>
      <c r="X62" s="2" vm="2407">
        <f ca="1"/>
        <v>169.06</v>
      </c>
      <c r="Y62" s="2">
        <f t="shared" ca="1" si="11"/>
        <v>1.9293379959001499E-2</v>
      </c>
      <c r="Z62" s="2" vm="2204">
        <f ca="1"/>
        <v>87.47</v>
      </c>
      <c r="AA62" s="2">
        <f t="shared" ca="1" si="12"/>
        <v>9.3468728363720558E-3</v>
      </c>
      <c r="AB62" s="2" vm="2408">
        <f ca="1"/>
        <v>14.69</v>
      </c>
      <c r="AC62" s="2">
        <f t="shared" ca="1" si="13"/>
        <v>1.1707988980716249E-2</v>
      </c>
      <c r="AD62" s="2" vm="1197">
        <f ca="1"/>
        <v>4.3</v>
      </c>
      <c r="AE62" s="2">
        <f t="shared" ca="1" si="14"/>
        <v>-2.2727272727272846E-2</v>
      </c>
      <c r="AF62" s="2" vm="2409">
        <f ca="1"/>
        <v>26.98</v>
      </c>
      <c r="AG62" s="2">
        <f t="shared" ca="1" si="15"/>
        <v>1.8566654288897405E-3</v>
      </c>
      <c r="AH62" s="2" vm="2410">
        <f ca="1"/>
        <v>26.49</v>
      </c>
      <c r="AI62" s="2">
        <f t="shared" ca="1" si="16"/>
        <v>-4.8835462058603512E-3</v>
      </c>
      <c r="AJ62" s="2" vm="2070">
        <f ca="1"/>
        <v>4.67</v>
      </c>
      <c r="AK62" s="2">
        <f t="shared" ca="1" si="17"/>
        <v>-2.3012552301255297E-2</v>
      </c>
      <c r="AL62" s="2" vm="2411">
        <f ca="1"/>
        <v>52.28</v>
      </c>
      <c r="AM62" s="2">
        <f t="shared" ca="1" si="18"/>
        <v>-7.7813626874169029E-3</v>
      </c>
      <c r="AN62" s="2" vm="2412">
        <f ca="1"/>
        <v>85.7</v>
      </c>
      <c r="AO62" s="2">
        <f t="shared" ca="1" si="19"/>
        <v>1.3122118453717926E-2</v>
      </c>
      <c r="AP62" s="2" vm="2413">
        <f ca="1"/>
        <v>25.77</v>
      </c>
      <c r="AQ62" s="2">
        <f t="shared" ca="1" si="20"/>
        <v>-1.5497869043006257E-3</v>
      </c>
      <c r="AR62" s="2" vm="167">
        <f ca="1"/>
        <v>50.91</v>
      </c>
      <c r="AS62" s="2">
        <f t="shared" ca="1" si="21"/>
        <v>1.9646365422392947E-4</v>
      </c>
      <c r="AT62" s="2" vm="2307">
        <f ca="1"/>
        <v>28.96</v>
      </c>
      <c r="AU62" s="2">
        <f t="shared" ca="1" si="22"/>
        <v>-3.4518467380041461E-4</v>
      </c>
      <c r="AV62" s="2" vm="1997">
        <f ca="1"/>
        <v>26.12</v>
      </c>
      <c r="AW62" s="2">
        <f t="shared" ca="1" si="23"/>
        <v>-3.0534351145037517E-3</v>
      </c>
      <c r="AX62" s="2" vm="2414">
        <f ca="1"/>
        <v>91.46</v>
      </c>
      <c r="AY62" s="2">
        <f t="shared" ca="1" si="24"/>
        <v>1.093493712410159E-4</v>
      </c>
      <c r="AZ62" s="2" vm="2415">
        <f ca="1"/>
        <v>453.56</v>
      </c>
      <c r="BA62" s="2">
        <f t="shared" ca="1" si="25"/>
        <v>5.4533362890711139E-3</v>
      </c>
      <c r="BB62" s="2" vm="2416">
        <f ca="1"/>
        <v>243.28</v>
      </c>
      <c r="BC62" s="2">
        <f t="shared" ca="1" si="26"/>
        <v>1.3666666666666671E-2</v>
      </c>
      <c r="BD62" s="2" vm="2417">
        <f ca="1"/>
        <v>44.81</v>
      </c>
      <c r="BE62" s="2">
        <f t="shared" ca="1" si="27"/>
        <v>1.1740799277489345E-2</v>
      </c>
      <c r="BF62" s="2" vm="2418">
        <f ca="1"/>
        <v>107.86</v>
      </c>
      <c r="BG62" s="2">
        <f t="shared" ca="1" si="28"/>
        <v>5.125337806355392E-3</v>
      </c>
      <c r="BH62" s="2" vm="2419">
        <f ca="1"/>
        <v>147.85</v>
      </c>
      <c r="BI62" s="2">
        <f t="shared" ca="1" si="29"/>
        <v>7.7704314634311654E-3</v>
      </c>
      <c r="BJ62" s="2" vm="2420">
        <f ca="1"/>
        <v>144.19</v>
      </c>
      <c r="BK62" s="2">
        <f t="shared" ca="1" si="30"/>
        <v>1.1803916122759858E-3</v>
      </c>
      <c r="BL62" s="2" vm="2421">
        <f ca="1"/>
        <v>61.75</v>
      </c>
      <c r="BM62" s="2">
        <f t="shared" ca="1" si="31"/>
        <v>-1.4553686934023838E-3</v>
      </c>
      <c r="BN62" s="2" vm="2422">
        <f ca="1"/>
        <v>294.77999999999997</v>
      </c>
      <c r="BO62" s="2">
        <f t="shared" ca="1" si="32"/>
        <v>7.7604184472325113E-3</v>
      </c>
      <c r="BP62" s="2" vm="2423">
        <f ca="1"/>
        <v>111.16</v>
      </c>
      <c r="BQ62" s="2">
        <f t="shared" ca="1" si="33"/>
        <v>3.0680382602418644E-3</v>
      </c>
      <c r="BR62" s="2" vm="2424">
        <f ca="1"/>
        <v>881.05</v>
      </c>
      <c r="BS62" s="2">
        <f t="shared" ca="1" si="34"/>
        <v>-6.4055574977727875E-3</v>
      </c>
      <c r="BT62" s="2" vm="2425">
        <f ca="1"/>
        <v>165.13</v>
      </c>
      <c r="BU62" s="2">
        <f t="shared" ca="1" si="35"/>
        <v>-5.1210989275816028E-3</v>
      </c>
      <c r="BV62" s="2" vm="81">
        <f ca="1"/>
        <v>149.65</v>
      </c>
      <c r="BW62" s="2">
        <f t="shared" ca="1" si="36"/>
        <v>-3.7281139737700701E-3</v>
      </c>
      <c r="BX62" s="2" vm="899">
        <f ca="1"/>
        <v>279.31</v>
      </c>
      <c r="BY62" s="2">
        <f t="shared" ca="1" si="37"/>
        <v>1.133318850025344E-2</v>
      </c>
      <c r="BZ62" s="2" vm="2426">
        <f ca="1"/>
        <v>91.93</v>
      </c>
      <c r="CA62" s="2">
        <f t="shared" ca="1" si="38"/>
        <v>8.5573230938014375E-3</v>
      </c>
      <c r="CB62" s="2" vm="2427">
        <f ca="1"/>
        <v>30.25</v>
      </c>
      <c r="CC62" s="2">
        <f t="shared" ca="1" si="39"/>
        <v>5.4777764482203742E-3</v>
      </c>
      <c r="CD62" s="2" t="e" vm="92">
        <f ca="1"/>
        <v>#N/A</v>
      </c>
      <c r="CE62" s="2" t="e" vm="140">
        <f t="shared" ca="1" si="40"/>
        <v>#N/A</v>
      </c>
      <c r="CF62" s="2" vm="2428">
        <f ca="1"/>
        <v>22.44</v>
      </c>
      <c r="CG62" s="2">
        <f t="shared" ca="1" si="41"/>
        <v>-1.112842198976122E-3</v>
      </c>
      <c r="CH62" s="2" vm="2429">
        <f ca="1"/>
        <v>58.16</v>
      </c>
      <c r="CI62" s="2">
        <f t="shared" ca="1" si="42"/>
        <v>-1.7190991920242591E-4</v>
      </c>
      <c r="CJ62" s="2" vm="864">
        <f ca="1"/>
        <v>57.95</v>
      </c>
      <c r="CK62" s="2">
        <f t="shared" ca="1" si="43"/>
        <v>-1.0343044302705598E-3</v>
      </c>
      <c r="CL62" s="2" vm="2430">
        <f ca="1"/>
        <v>55.25</v>
      </c>
      <c r="CM62" s="2">
        <f t="shared" ca="1" si="44"/>
        <v>-2.8875654214040175E-3</v>
      </c>
      <c r="CN62" s="2" vm="2170">
        <f ca="1"/>
        <v>28.59</v>
      </c>
      <c r="CO62" s="2">
        <f t="shared" ca="1" si="45"/>
        <v>-1.3971358714634701E-3</v>
      </c>
      <c r="CP62" s="2" vm="2431">
        <f ca="1"/>
        <v>21.73</v>
      </c>
      <c r="CQ62" s="2">
        <f t="shared" ca="1" si="46"/>
        <v>1.4013261968203008E-2</v>
      </c>
    </row>
    <row r="63" spans="1:95" x14ac:dyDescent="0.2">
      <c r="A63" s="7" vm="2432">
        <f ca="1"/>
        <v>45663</v>
      </c>
      <c r="B63" s="2" vm="2433">
        <f ca="1"/>
        <v>245</v>
      </c>
      <c r="C63" s="2">
        <f t="shared" ca="1" si="0"/>
        <v>6.7389875082182211E-3</v>
      </c>
      <c r="D63" s="2" vm="2434">
        <f ca="1"/>
        <v>149.43</v>
      </c>
      <c r="E63" s="2">
        <f t="shared" ca="1" si="1"/>
        <v>3.4332387346854072E-2</v>
      </c>
      <c r="F63" s="2" vm="2435">
        <f ca="1"/>
        <v>427.85</v>
      </c>
      <c r="G63" s="2">
        <f t="shared" ca="1" si="2"/>
        <v>1.0629502775481279E-2</v>
      </c>
      <c r="H63" s="2" vm="2436">
        <f ca="1"/>
        <v>630.20000000000005</v>
      </c>
      <c r="I63" s="2">
        <f t="shared" ca="1" si="3"/>
        <v>4.2290326315267274E-2</v>
      </c>
      <c r="J63" s="2" vm="2437">
        <f ca="1"/>
        <v>196.87</v>
      </c>
      <c r="K63" s="2">
        <f t="shared" ca="1" si="4"/>
        <v>2.6487303821888589E-2</v>
      </c>
      <c r="L63" s="2" vm="2438">
        <f ca="1"/>
        <v>595.36</v>
      </c>
      <c r="M63" s="2">
        <f t="shared" ca="1" si="5"/>
        <v>5.7606216741278278E-3</v>
      </c>
      <c r="N63" s="2" vm="2439">
        <f ca="1"/>
        <v>86.9</v>
      </c>
      <c r="O63" s="2">
        <f t="shared" ca="1" si="6"/>
        <v>-4.4678657349066396E-3</v>
      </c>
      <c r="P63" s="2" vm="2440">
        <f ca="1"/>
        <v>243.19</v>
      </c>
      <c r="Q63" s="2">
        <f t="shared" ca="1" si="7"/>
        <v>-1.2320834531192712E-3</v>
      </c>
      <c r="R63" s="2" vm="2441">
        <f ca="1"/>
        <v>77.3</v>
      </c>
      <c r="S63" s="2">
        <f t="shared" ca="1" si="8"/>
        <v>-7.9568788501027284E-3</v>
      </c>
      <c r="T63" s="2" vm="2442">
        <f ca="1"/>
        <v>92.26</v>
      </c>
      <c r="U63" s="2">
        <f t="shared" ca="1" si="9"/>
        <v>-9.7455332972375965E-4</v>
      </c>
      <c r="V63" s="2" vm="2443">
        <f ca="1"/>
        <v>46.555</v>
      </c>
      <c r="W63" s="2">
        <f t="shared" ca="1" si="10"/>
        <v>-1.2699992706084635E-3</v>
      </c>
      <c r="X63" s="2" vm="2444">
        <f ca="1"/>
        <v>169.1</v>
      </c>
      <c r="Y63" s="2">
        <f t="shared" ca="1" si="11"/>
        <v>2.3660238968408874E-4</v>
      </c>
      <c r="Z63" s="2" vm="2445">
        <f ca="1"/>
        <v>87.07</v>
      </c>
      <c r="AA63" s="2">
        <f t="shared" ca="1" si="12"/>
        <v>-4.5729964559278113E-3</v>
      </c>
      <c r="AB63" s="2" vm="1851">
        <f ca="1"/>
        <v>14.59</v>
      </c>
      <c r="AC63" s="2">
        <f t="shared" ca="1" si="13"/>
        <v>-6.8073519400952791E-3</v>
      </c>
      <c r="AD63" s="2" vm="2446">
        <f ca="1"/>
        <v>4.0999999999999996</v>
      </c>
      <c r="AE63" s="2">
        <f t="shared" ca="1" si="14"/>
        <v>-4.6511627906976785E-2</v>
      </c>
      <c r="AF63" s="2" vm="2447">
        <f ca="1"/>
        <v>27.24</v>
      </c>
      <c r="AG63" s="2">
        <f t="shared" ca="1" si="15"/>
        <v>9.6367679762786509E-3</v>
      </c>
      <c r="AH63" s="2" vm="1667">
        <f ca="1"/>
        <v>26.43</v>
      </c>
      <c r="AI63" s="2">
        <f t="shared" ca="1" si="16"/>
        <v>-2.2650056625141083E-3</v>
      </c>
      <c r="AJ63" s="2" vm="1587">
        <f ca="1"/>
        <v>4.7699999999999996</v>
      </c>
      <c r="AK63" s="2">
        <f t="shared" ca="1" si="17"/>
        <v>2.1413276231263309E-2</v>
      </c>
      <c r="AL63" s="2" vm="2223">
        <f ca="1"/>
        <v>52.19</v>
      </c>
      <c r="AM63" s="2">
        <f t="shared" ca="1" si="18"/>
        <v>-1.7214996174445946E-3</v>
      </c>
      <c r="AN63" s="2" vm="2448">
        <f ca="1"/>
        <v>85.55</v>
      </c>
      <c r="AO63" s="2">
        <f t="shared" ca="1" si="19"/>
        <v>-1.7502917152859472E-3</v>
      </c>
      <c r="AP63" s="2" vm="2449">
        <f ca="1"/>
        <v>25.78</v>
      </c>
      <c r="AQ63" s="2">
        <f t="shared" ca="1" si="20"/>
        <v>3.8804811796668855E-4</v>
      </c>
      <c r="AR63" s="2" vm="167">
        <f ca="1"/>
        <v>50.91</v>
      </c>
      <c r="AS63" s="2">
        <f t="shared" ca="1" si="21"/>
        <v>0</v>
      </c>
      <c r="AT63" s="2" vm="1090">
        <f ca="1"/>
        <v>28.97</v>
      </c>
      <c r="AU63" s="2">
        <f t="shared" ca="1" si="22"/>
        <v>3.4530386740324622E-4</v>
      </c>
      <c r="AV63" s="2" vm="2267">
        <f ca="1"/>
        <v>26.05</v>
      </c>
      <c r="AW63" s="2">
        <f t="shared" ca="1" si="23"/>
        <v>-2.6799387442572849E-3</v>
      </c>
      <c r="AX63" s="2" vm="1592">
        <f ca="1"/>
        <v>91.47</v>
      </c>
      <c r="AY63" s="2">
        <f t="shared" ca="1" si="24"/>
        <v>1.0933741526355911E-4</v>
      </c>
      <c r="AZ63" s="2" vm="2450">
        <f ca="1"/>
        <v>451.41</v>
      </c>
      <c r="BA63" s="2">
        <f t="shared" ca="1" si="25"/>
        <v>-4.7402769203632976E-3</v>
      </c>
      <c r="BB63" s="2" vm="2451">
        <f ca="1"/>
        <v>240.85</v>
      </c>
      <c r="BC63" s="2">
        <f t="shared" ca="1" si="26"/>
        <v>-9.9884906280828956E-3</v>
      </c>
      <c r="BD63" s="2" vm="2452">
        <f ca="1"/>
        <v>45.4</v>
      </c>
      <c r="BE63" s="2">
        <f t="shared" ca="1" si="27"/>
        <v>1.3166703860745286E-2</v>
      </c>
      <c r="BF63" s="2" vm="2453">
        <f ca="1"/>
        <v>107.74</v>
      </c>
      <c r="BG63" s="2">
        <f t="shared" ca="1" si="28"/>
        <v>-1.112553309846139E-3</v>
      </c>
      <c r="BH63" s="2" vm="2454">
        <f ca="1"/>
        <v>147.26</v>
      </c>
      <c r="BI63" s="2">
        <f t="shared" ca="1" si="29"/>
        <v>-3.9905309435238649E-3</v>
      </c>
      <c r="BJ63" s="2" vm="2455">
        <f ca="1"/>
        <v>143.66</v>
      </c>
      <c r="BK63" s="2">
        <f t="shared" ca="1" si="30"/>
        <v>-3.6757056661349688E-3</v>
      </c>
      <c r="BL63" s="2" vm="2456">
        <f ca="1"/>
        <v>60.81</v>
      </c>
      <c r="BM63" s="2">
        <f t="shared" ca="1" si="31"/>
        <v>-1.5222672064777291E-2</v>
      </c>
      <c r="BN63" s="2" vm="2457">
        <f ca="1"/>
        <v>292.18</v>
      </c>
      <c r="BO63" s="2">
        <f t="shared" ca="1" si="32"/>
        <v>-8.8201370513602221E-3</v>
      </c>
      <c r="BP63" s="2" vm="2458">
        <f ca="1"/>
        <v>111.05</v>
      </c>
      <c r="BQ63" s="2">
        <f t="shared" ca="1" si="33"/>
        <v>-9.8956459157969979E-4</v>
      </c>
      <c r="BR63" s="2" vm="2459">
        <f ca="1"/>
        <v>881.79</v>
      </c>
      <c r="BS63" s="2">
        <f t="shared" ca="1" si="34"/>
        <v>8.3990692923217652E-4</v>
      </c>
      <c r="BT63" s="2" vm="2460">
        <f ca="1"/>
        <v>160.6</v>
      </c>
      <c r="BU63" s="2">
        <f t="shared" ca="1" si="35"/>
        <v>-2.7432931629625151E-2</v>
      </c>
      <c r="BV63" s="2" vm="1111">
        <f ca="1"/>
        <v>146.27000000000001</v>
      </c>
      <c r="BW63" s="2">
        <f t="shared" ca="1" si="36"/>
        <v>-2.2586034079518848E-2</v>
      </c>
      <c r="BX63" s="2" vm="2461">
        <f ca="1"/>
        <v>279.74</v>
      </c>
      <c r="BY63" s="2">
        <f t="shared" ca="1" si="37"/>
        <v>1.5395080734667817E-3</v>
      </c>
      <c r="BZ63" s="2" vm="1049">
        <f ca="1"/>
        <v>91.57</v>
      </c>
      <c r="CA63" s="2">
        <f t="shared" ca="1" si="38"/>
        <v>-3.9160230610248408E-3</v>
      </c>
      <c r="CB63" s="2" vm="2462">
        <f ca="1"/>
        <v>30.1</v>
      </c>
      <c r="CC63" s="2">
        <f t="shared" ca="1" si="39"/>
        <v>-4.9586776859503658E-3</v>
      </c>
      <c r="CD63" s="2" t="e" vm="92">
        <f ca="1"/>
        <v>#N/A</v>
      </c>
      <c r="CE63" s="2" t="e" vm="140">
        <f t="shared" ca="1" si="40"/>
        <v>#N/A</v>
      </c>
      <c r="CF63" s="2" vm="2092">
        <f ca="1"/>
        <v>22.43</v>
      </c>
      <c r="CG63" s="2">
        <f t="shared" ca="1" si="41"/>
        <v>-4.4563279857404468E-4</v>
      </c>
      <c r="CH63" s="2" vm="2053">
        <f ca="1"/>
        <v>58.18</v>
      </c>
      <c r="CI63" s="2">
        <f t="shared" ca="1" si="42"/>
        <v>3.4387895460803177E-4</v>
      </c>
      <c r="CJ63" s="2" vm="2463">
        <f ca="1"/>
        <v>57.93</v>
      </c>
      <c r="CK63" s="2">
        <f t="shared" ca="1" si="43"/>
        <v>-3.4512510785165014E-4</v>
      </c>
      <c r="CL63" s="2" vm="2464">
        <f ca="1"/>
        <v>55.05</v>
      </c>
      <c r="CM63" s="2">
        <f t="shared" ca="1" si="44"/>
        <v>-3.6199095022624948E-3</v>
      </c>
      <c r="CN63" s="2" vm="206">
        <f ca="1"/>
        <v>28.54</v>
      </c>
      <c r="CO63" s="2">
        <f t="shared" ca="1" si="45"/>
        <v>-1.7488632388947432E-3</v>
      </c>
      <c r="CP63" s="2" vm="2465">
        <f ca="1"/>
        <v>21.3658</v>
      </c>
      <c r="CQ63" s="2">
        <f t="shared" ca="1" si="46"/>
        <v>-1.6760239300506227E-2</v>
      </c>
    </row>
    <row r="64" spans="1:95" x14ac:dyDescent="0.2">
      <c r="A64" s="7" vm="2466">
        <f ca="1"/>
        <v>45664</v>
      </c>
      <c r="B64" s="2" vm="2467">
        <f ca="1"/>
        <v>242.21</v>
      </c>
      <c r="C64" s="2">
        <f t="shared" ca="1" si="0"/>
        <v>-1.1387755102040783E-2</v>
      </c>
      <c r="D64" s="2" vm="2468">
        <f ca="1"/>
        <v>140.13999999999999</v>
      </c>
      <c r="E64" s="2">
        <f t="shared" ca="1" si="1"/>
        <v>-6.2169577728702539E-2</v>
      </c>
      <c r="F64" s="2" vm="2469">
        <f ca="1"/>
        <v>422.37</v>
      </c>
      <c r="G64" s="2">
        <f t="shared" ca="1" si="2"/>
        <v>-1.2808227182423788E-2</v>
      </c>
      <c r="H64" s="2" vm="2470">
        <f ca="1"/>
        <v>617.89</v>
      </c>
      <c r="I64" s="2">
        <f t="shared" ca="1" si="3"/>
        <v>-1.9533481434465341E-2</v>
      </c>
      <c r="J64" s="2" vm="2471">
        <f ca="1"/>
        <v>195.49</v>
      </c>
      <c r="K64" s="2">
        <f t="shared" ca="1" si="4"/>
        <v>-7.0097018336973405E-3</v>
      </c>
      <c r="L64" s="2" vm="2472">
        <f ca="1"/>
        <v>588.63</v>
      </c>
      <c r="M64" s="2">
        <f t="shared" ca="1" si="5"/>
        <v>-1.1304084923407716E-2</v>
      </c>
      <c r="N64" s="2" vm="2473">
        <f ca="1"/>
        <v>85.92</v>
      </c>
      <c r="O64" s="2">
        <f t="shared" ca="1" si="6"/>
        <v>-1.1277330264672081E-2</v>
      </c>
      <c r="P64" s="2" vm="2474">
        <f ca="1"/>
        <v>244.56</v>
      </c>
      <c r="Q64" s="2">
        <f t="shared" ca="1" si="7"/>
        <v>5.6334553229984976E-3</v>
      </c>
      <c r="R64" s="2" vm="2475">
        <f ca="1"/>
        <v>78.17</v>
      </c>
      <c r="S64" s="2">
        <f t="shared" ca="1" si="8"/>
        <v>1.1254851228978067E-2</v>
      </c>
      <c r="T64" s="2" vm="2476">
        <f ca="1"/>
        <v>91.84</v>
      </c>
      <c r="U64" s="2">
        <f t="shared" ca="1" si="9"/>
        <v>-4.5523520485584402E-3</v>
      </c>
      <c r="V64" s="2" vm="2477">
        <f ca="1"/>
        <v>46.396900000000002</v>
      </c>
      <c r="W64" s="2">
        <f t="shared" ca="1" si="10"/>
        <v>-3.3959832456234018E-3</v>
      </c>
      <c r="X64" s="2" vm="2478">
        <f ca="1"/>
        <v>162.44999999999999</v>
      </c>
      <c r="Y64" s="2">
        <f t="shared" ca="1" si="11"/>
        <v>-3.9325842696629247E-2</v>
      </c>
      <c r="Z64" s="2" vm="2479">
        <f ca="1"/>
        <v>87.94</v>
      </c>
      <c r="AA64" s="2">
        <f t="shared" ca="1" si="12"/>
        <v>9.9919604915585693E-3</v>
      </c>
      <c r="AB64" s="2" vm="2480">
        <f ca="1"/>
        <v>14.75</v>
      </c>
      <c r="AC64" s="2">
        <f t="shared" ca="1" si="13"/>
        <v>1.0966415352981504E-2</v>
      </c>
      <c r="AD64" s="2" vm="2446">
        <f ca="1"/>
        <v>4.0999999999999996</v>
      </c>
      <c r="AE64" s="2">
        <f t="shared" ca="1" si="14"/>
        <v>0</v>
      </c>
      <c r="AF64" s="2" vm="636">
        <f ca="1"/>
        <v>27.33</v>
      </c>
      <c r="AG64" s="2">
        <f t="shared" ca="1" si="15"/>
        <v>3.303964757709246E-3</v>
      </c>
      <c r="AH64" s="2" vm="2481">
        <f ca="1"/>
        <v>26.5</v>
      </c>
      <c r="AI64" s="2">
        <f t="shared" ca="1" si="16"/>
        <v>2.6485054861899466E-3</v>
      </c>
      <c r="AJ64" s="2" vm="1514">
        <f ca="1"/>
        <v>4.79</v>
      </c>
      <c r="AK64" s="2">
        <f t="shared" ca="1" si="17"/>
        <v>4.1928721174005167E-3</v>
      </c>
      <c r="AL64" s="2" vm="1665">
        <f ca="1"/>
        <v>52.5</v>
      </c>
      <c r="AM64" s="2">
        <f t="shared" ca="1" si="18"/>
        <v>5.9398352174746556E-3</v>
      </c>
      <c r="AN64" s="2" vm="2482">
        <f ca="1"/>
        <v>87.15</v>
      </c>
      <c r="AO64" s="2">
        <f t="shared" ca="1" si="19"/>
        <v>1.8702513150204658E-2</v>
      </c>
      <c r="AP64" s="2" vm="2264">
        <f ca="1"/>
        <v>25.74</v>
      </c>
      <c r="AQ64" s="2">
        <f t="shared" ca="1" si="20"/>
        <v>-1.5515903801397478E-3</v>
      </c>
      <c r="AR64" s="2" vm="1048">
        <f ca="1"/>
        <v>50.93</v>
      </c>
      <c r="AS64" s="2">
        <f t="shared" ca="1" si="21"/>
        <v>3.9285012767635292E-4</v>
      </c>
      <c r="AT64" s="2" vm="1090">
        <f ca="1"/>
        <v>28.97</v>
      </c>
      <c r="AU64" s="2">
        <f t="shared" ca="1" si="22"/>
        <v>0</v>
      </c>
      <c r="AV64" s="2" vm="2413">
        <f ca="1"/>
        <v>25.77</v>
      </c>
      <c r="AW64" s="2">
        <f t="shared" ca="1" si="23"/>
        <v>-1.0748560460652635E-2</v>
      </c>
      <c r="AX64" s="2" vm="1630">
        <f ca="1"/>
        <v>91.49</v>
      </c>
      <c r="AY64" s="2">
        <f t="shared" ca="1" si="24"/>
        <v>2.1865092380010954E-4</v>
      </c>
      <c r="AZ64" s="2" vm="2483">
        <f ca="1"/>
        <v>452.92</v>
      </c>
      <c r="BA64" s="2">
        <f t="shared" ca="1" si="25"/>
        <v>3.3450743226778115E-3</v>
      </c>
      <c r="BB64" s="2" vm="2484">
        <f ca="1"/>
        <v>243.17</v>
      </c>
      <c r="BC64" s="2">
        <f t="shared" ca="1" si="26"/>
        <v>9.6325513805272708E-3</v>
      </c>
      <c r="BD64" s="2" vm="1052">
        <f ca="1"/>
        <v>46.08</v>
      </c>
      <c r="BE64" s="2">
        <f t="shared" ca="1" si="27"/>
        <v>1.4977973568281932E-2</v>
      </c>
      <c r="BF64" s="2" vm="2485">
        <f ca="1"/>
        <v>108.75</v>
      </c>
      <c r="BG64" s="2">
        <f t="shared" ca="1" si="28"/>
        <v>9.374419899758726E-3</v>
      </c>
      <c r="BH64" s="2" vm="2486">
        <f ca="1"/>
        <v>149.59</v>
      </c>
      <c r="BI64" s="2">
        <f t="shared" ca="1" si="29"/>
        <v>1.5822355018335003E-2</v>
      </c>
      <c r="BJ64" s="2" vm="2487">
        <f ca="1"/>
        <v>146.22999999999999</v>
      </c>
      <c r="BK64" s="2">
        <f t="shared" ca="1" si="30"/>
        <v>1.788946122789916E-2</v>
      </c>
      <c r="BL64" s="2" vm="2488">
        <f ca="1"/>
        <v>60.84</v>
      </c>
      <c r="BM64" s="2">
        <f t="shared" ca="1" si="31"/>
        <v>4.9333991119883468E-4</v>
      </c>
      <c r="BN64" s="2" vm="2489">
        <f ca="1"/>
        <v>289.33999999999997</v>
      </c>
      <c r="BO64" s="2">
        <f t="shared" ca="1" si="32"/>
        <v>-9.7200355944966517E-3</v>
      </c>
      <c r="BP64" s="2" vm="2490">
        <f ca="1"/>
        <v>111.39</v>
      </c>
      <c r="BQ64" s="2">
        <f t="shared" ca="1" si="33"/>
        <v>3.0616839261594186E-3</v>
      </c>
      <c r="BR64" s="2" vm="2491">
        <f ca="1"/>
        <v>879.19</v>
      </c>
      <c r="BS64" s="2">
        <f t="shared" ca="1" si="34"/>
        <v>-2.9485478401886042E-3</v>
      </c>
      <c r="BT64" s="2" vm="2492">
        <f ca="1"/>
        <v>161.30000000000001</v>
      </c>
      <c r="BU64" s="2">
        <f t="shared" ca="1" si="35"/>
        <v>4.3586550435866572E-3</v>
      </c>
      <c r="BV64" s="2" vm="2493">
        <f ca="1"/>
        <v>145.4</v>
      </c>
      <c r="BW64" s="2">
        <f t="shared" ca="1" si="36"/>
        <v>-5.9479045600601931E-3</v>
      </c>
      <c r="BX64" s="2" vm="2494">
        <f ca="1"/>
        <v>283.85000000000002</v>
      </c>
      <c r="BY64" s="2">
        <f t="shared" ca="1" si="37"/>
        <v>1.4692214198899026E-2</v>
      </c>
      <c r="BZ64" s="2" vm="2495">
        <f ca="1"/>
        <v>92.76</v>
      </c>
      <c r="CA64" s="2">
        <f t="shared" ca="1" si="38"/>
        <v>1.299552255105397E-2</v>
      </c>
      <c r="CB64" s="2" vm="2496">
        <f ca="1"/>
        <v>30.4</v>
      </c>
      <c r="CC64" s="2">
        <f t="shared" ca="1" si="39"/>
        <v>9.9667774086377794E-3</v>
      </c>
      <c r="CD64" s="2" t="e" vm="92">
        <f ca="1"/>
        <v>#N/A</v>
      </c>
      <c r="CE64" s="2" t="e" vm="140">
        <f t="shared" ca="1" si="40"/>
        <v>#N/A</v>
      </c>
      <c r="CF64" s="2" vm="2497">
        <f ca="1"/>
        <v>22.35</v>
      </c>
      <c r="CG64" s="2">
        <f t="shared" ca="1" si="41"/>
        <v>-3.5666518056174006E-3</v>
      </c>
      <c r="CH64" s="2" vm="442">
        <f ca="1"/>
        <v>58.14</v>
      </c>
      <c r="CI64" s="2">
        <f t="shared" ca="1" si="42"/>
        <v>-6.875214850463931E-4</v>
      </c>
      <c r="CJ64" s="2" vm="2498">
        <f ca="1"/>
        <v>57.76</v>
      </c>
      <c r="CK64" s="2">
        <f t="shared" ca="1" si="43"/>
        <v>-2.934576212670494E-3</v>
      </c>
      <c r="CL64" s="2" vm="2499">
        <f ca="1"/>
        <v>54.48</v>
      </c>
      <c r="CM64" s="2">
        <f t="shared" ca="1" si="44"/>
        <v>-1.0354223433242512E-2</v>
      </c>
      <c r="CN64" s="2" vm="2500">
        <f ca="1"/>
        <v>28.44</v>
      </c>
      <c r="CO64" s="2">
        <f t="shared" ca="1" si="45"/>
        <v>-3.5038542396635553E-3</v>
      </c>
      <c r="CP64" s="2" vm="2501">
        <f ca="1"/>
        <v>21.138000000000002</v>
      </c>
      <c r="CQ64" s="2">
        <f t="shared" ca="1" si="46"/>
        <v>-1.0661898922577131E-2</v>
      </c>
    </row>
    <row r="65" spans="1:95" x14ac:dyDescent="0.2">
      <c r="A65" s="7" vm="2502">
        <f ca="1"/>
        <v>45665</v>
      </c>
      <c r="B65" s="2" vm="2503">
        <f ca="1"/>
        <v>242.7</v>
      </c>
      <c r="C65" s="2">
        <f t="shared" ca="1" si="0"/>
        <v>2.0230378597084374E-3</v>
      </c>
      <c r="D65" s="2" vm="2504">
        <f ca="1"/>
        <v>140.11000000000001</v>
      </c>
      <c r="E65" s="2">
        <f t="shared" ca="1" si="1"/>
        <v>-2.1407164264287653E-4</v>
      </c>
      <c r="F65" s="2" vm="2505">
        <f ca="1"/>
        <v>424.56</v>
      </c>
      <c r="G65" s="2">
        <f t="shared" ca="1" si="2"/>
        <v>5.1850273456921598E-3</v>
      </c>
      <c r="H65" s="2" vm="2506">
        <f ca="1"/>
        <v>610.72</v>
      </c>
      <c r="I65" s="2">
        <f t="shared" ca="1" si="3"/>
        <v>-1.1604007185744969E-2</v>
      </c>
      <c r="J65" s="2" vm="2507">
        <f ca="1"/>
        <v>193.95</v>
      </c>
      <c r="K65" s="2">
        <f t="shared" ca="1" si="4"/>
        <v>-7.8776408000410265E-3</v>
      </c>
      <c r="L65" s="2" vm="2508">
        <f ca="1"/>
        <v>589.49</v>
      </c>
      <c r="M65" s="2">
        <f t="shared" ca="1" si="5"/>
        <v>1.4610196558109741E-3</v>
      </c>
      <c r="N65" s="2" vm="2509">
        <f ca="1"/>
        <v>86.03</v>
      </c>
      <c r="O65" s="2">
        <f t="shared" ca="1" si="6"/>
        <v>1.2802607076350028E-3</v>
      </c>
      <c r="P65" s="2" vm="2510">
        <f ca="1"/>
        <v>245.86</v>
      </c>
      <c r="Q65" s="2">
        <f t="shared" ca="1" si="7"/>
        <v>5.3156689564933402E-3</v>
      </c>
      <c r="R65" s="2" vm="2441">
        <f ca="1"/>
        <v>77.3</v>
      </c>
      <c r="S65" s="2">
        <f t="shared" ca="1" si="8"/>
        <v>-1.1129589356530696E-2</v>
      </c>
      <c r="T65" s="2" vm="524">
        <f ca="1"/>
        <v>92</v>
      </c>
      <c r="U65" s="2">
        <f t="shared" ca="1" si="9"/>
        <v>1.7421602787456073E-3</v>
      </c>
      <c r="V65" s="2" vm="2511">
        <f ca="1"/>
        <v>46.455800000000004</v>
      </c>
      <c r="W65" s="2">
        <f t="shared" ca="1" si="10"/>
        <v>1.2694813662119944E-3</v>
      </c>
      <c r="X65" s="2" vm="2512">
        <f ca="1"/>
        <v>161.97999999999999</v>
      </c>
      <c r="Y65" s="2">
        <f t="shared" ca="1" si="11"/>
        <v>-2.8931979070483159E-3</v>
      </c>
      <c r="Z65" s="2" vm="794">
        <f ca="1"/>
        <v>88.03</v>
      </c>
      <c r="AA65" s="2">
        <f t="shared" ca="1" si="12"/>
        <v>1.0234250625426814E-3</v>
      </c>
      <c r="AB65" s="2" vm="2513">
        <f ca="1"/>
        <v>14.58</v>
      </c>
      <c r="AC65" s="2">
        <f t="shared" ca="1" si="13"/>
        <v>-1.1525423728813555E-2</v>
      </c>
      <c r="AD65" s="2" t="e" vm="92">
        <f ca="1"/>
        <v>#N/A</v>
      </c>
      <c r="AE65" s="2" t="e" vm="140">
        <f t="shared" ca="1" si="14"/>
        <v>#N/A</v>
      </c>
      <c r="AF65" s="2" vm="2514">
        <f ca="1"/>
        <v>27.4</v>
      </c>
      <c r="AG65" s="2">
        <f t="shared" ca="1" si="15"/>
        <v>2.5612879619465894E-3</v>
      </c>
      <c r="AH65" s="2" vm="1320">
        <f ca="1"/>
        <v>26.36</v>
      </c>
      <c r="AI65" s="2">
        <f t="shared" ca="1" si="16"/>
        <v>-5.2830188679245495E-3</v>
      </c>
      <c r="AJ65" s="2" vm="2515">
        <f ca="1"/>
        <v>4.72</v>
      </c>
      <c r="AK65" s="2">
        <f t="shared" ca="1" si="17"/>
        <v>-1.4613778705636802E-2</v>
      </c>
      <c r="AL65" s="2" vm="2516">
        <f ca="1"/>
        <v>52.78</v>
      </c>
      <c r="AM65" s="2">
        <f t="shared" ca="1" si="18"/>
        <v>5.3333333333333548E-3</v>
      </c>
      <c r="AN65" s="2" vm="2517">
        <f ca="1"/>
        <v>87.62</v>
      </c>
      <c r="AO65" s="2">
        <f t="shared" ca="1" si="19"/>
        <v>5.3930005737234518E-3</v>
      </c>
      <c r="AP65" s="2" vm="2113">
        <f ca="1"/>
        <v>25.79</v>
      </c>
      <c r="AQ65" s="2">
        <f t="shared" ca="1" si="20"/>
        <v>1.9425019425019703E-3</v>
      </c>
      <c r="AR65" s="2" vm="339">
        <f ca="1"/>
        <v>50.94</v>
      </c>
      <c r="AS65" s="2">
        <f t="shared" ca="1" si="21"/>
        <v>1.9634792852931494E-4</v>
      </c>
      <c r="AT65" s="2" vm="1782">
        <f ca="1"/>
        <v>28.98</v>
      </c>
      <c r="AU65" s="2">
        <f t="shared" ca="1" si="22"/>
        <v>3.4518467380053724E-4</v>
      </c>
      <c r="AV65" s="2" vm="207">
        <f ca="1"/>
        <v>25.81</v>
      </c>
      <c r="AW65" s="2">
        <f t="shared" ca="1" si="23"/>
        <v>1.5521924718664784E-3</v>
      </c>
      <c r="AX65" s="2" vm="1706">
        <f ca="1"/>
        <v>91.51</v>
      </c>
      <c r="AY65" s="2">
        <f t="shared" ca="1" si="24"/>
        <v>2.1860312602481401E-4</v>
      </c>
      <c r="AZ65" s="2" vm="2518">
        <f ca="1"/>
        <v>451.84</v>
      </c>
      <c r="BA65" s="2">
        <f t="shared" ca="1" si="25"/>
        <v>-2.3845270687981122E-3</v>
      </c>
      <c r="BB65" s="2" vm="2519">
        <f ca="1"/>
        <v>243.13</v>
      </c>
      <c r="BC65" s="2">
        <f t="shared" ca="1" si="26"/>
        <v>-1.6449397540811795E-4</v>
      </c>
      <c r="BD65" s="2" vm="2520">
        <f ca="1"/>
        <v>46.21</v>
      </c>
      <c r="BE65" s="2">
        <f t="shared" ca="1" si="27"/>
        <v>2.821180555555611E-3</v>
      </c>
      <c r="BF65" s="2" vm="2521">
        <f ca="1"/>
        <v>106.93</v>
      </c>
      <c r="BG65" s="2">
        <f t="shared" ca="1" si="28"/>
        <v>-1.6735632183907983E-2</v>
      </c>
      <c r="BH65" s="2" vm="2522">
        <f ca="1"/>
        <v>150.30000000000001</v>
      </c>
      <c r="BI65" s="2">
        <f t="shared" ca="1" si="29"/>
        <v>4.7463065712949259E-3</v>
      </c>
      <c r="BJ65" s="2" vm="2523">
        <f ca="1"/>
        <v>142.27000000000001</v>
      </c>
      <c r="BK65" s="2">
        <f t="shared" ca="1" si="30"/>
        <v>-2.7080626410449154E-2</v>
      </c>
      <c r="BL65" s="2" vm="2524">
        <f ca="1"/>
        <v>61.71</v>
      </c>
      <c r="BM65" s="2">
        <f t="shared" ca="1" si="31"/>
        <v>1.429980276134118E-2</v>
      </c>
      <c r="BN65" s="2" vm="2525">
        <f ca="1"/>
        <v>286.89999999999998</v>
      </c>
      <c r="BO65" s="2">
        <f t="shared" ca="1" si="32"/>
        <v>-8.4329854150825955E-3</v>
      </c>
      <c r="BP65" s="2" vm="2526">
        <f ca="1"/>
        <v>109.76</v>
      </c>
      <c r="BQ65" s="2">
        <f t="shared" ca="1" si="33"/>
        <v>-1.463327049106738E-2</v>
      </c>
      <c r="BR65" s="2" vm="2527">
        <f ca="1"/>
        <v>875</v>
      </c>
      <c r="BS65" s="2">
        <f t="shared" ca="1" si="34"/>
        <v>-4.7657502928832836E-3</v>
      </c>
      <c r="BT65" s="2" vm="2528">
        <f ca="1"/>
        <v>162.1</v>
      </c>
      <c r="BU65" s="2">
        <f t="shared" ca="1" si="35"/>
        <v>4.9597024178548227E-3</v>
      </c>
      <c r="BV65" s="2" vm="2529">
        <f ca="1"/>
        <v>146.54</v>
      </c>
      <c r="BW65" s="2">
        <f t="shared" ca="1" si="36"/>
        <v>7.8404401650618034E-3</v>
      </c>
      <c r="BX65" s="2" vm="2530">
        <f ca="1"/>
        <v>279.8</v>
      </c>
      <c r="BY65" s="2">
        <f t="shared" ca="1" si="37"/>
        <v>-1.4268099348247352E-2</v>
      </c>
      <c r="BZ65" s="2" vm="2531">
        <f ca="1"/>
        <v>93.39</v>
      </c>
      <c r="CA65" s="2">
        <f t="shared" ca="1" si="38"/>
        <v>6.7917205692108176E-3</v>
      </c>
      <c r="CB65" s="2" vm="2532">
        <f ca="1"/>
        <v>30.62</v>
      </c>
      <c r="CC65" s="2">
        <f t="shared" ca="1" si="39"/>
        <v>7.2368421052632376E-3</v>
      </c>
      <c r="CD65" s="2" t="e" vm="92">
        <f ca="1"/>
        <v>#N/A</v>
      </c>
      <c r="CE65" s="2" t="e" vm="140">
        <f t="shared" ca="1" si="40"/>
        <v>#N/A</v>
      </c>
      <c r="CF65" s="2" vm="2533">
        <f ca="1"/>
        <v>22.375</v>
      </c>
      <c r="CG65" s="2">
        <f t="shared" ca="1" si="41"/>
        <v>1.1185682326621288E-3</v>
      </c>
      <c r="CH65" s="2" vm="2053">
        <f ca="1"/>
        <v>58.18</v>
      </c>
      <c r="CI65" s="2">
        <f t="shared" ca="1" si="42"/>
        <v>6.8799449604401699E-4</v>
      </c>
      <c r="CJ65" s="2" vm="2534">
        <f ca="1"/>
        <v>57.84</v>
      </c>
      <c r="CK65" s="2">
        <f t="shared" ca="1" si="43"/>
        <v>1.3850415512466309E-3</v>
      </c>
      <c r="CL65" s="2" vm="2535">
        <f ca="1"/>
        <v>54.56</v>
      </c>
      <c r="CM65" s="2">
        <f t="shared" ca="1" si="44"/>
        <v>1.4684287812042108E-3</v>
      </c>
      <c r="CN65" s="2" vm="1399">
        <f ca="1"/>
        <v>28.47</v>
      </c>
      <c r="CO65" s="2">
        <f t="shared" ca="1" si="45"/>
        <v>1.0548523206750204E-3</v>
      </c>
      <c r="CP65" s="2" vm="2536">
        <f ca="1"/>
        <v>21.215</v>
      </c>
      <c r="CQ65" s="2">
        <f t="shared" ca="1" si="46"/>
        <v>3.6427287349795712E-3</v>
      </c>
    </row>
    <row r="66" spans="1:95" x14ac:dyDescent="0.2">
      <c r="A66" s="7" vm="2537">
        <f ca="1"/>
        <v>45667</v>
      </c>
      <c r="B66" s="2" vm="2538">
        <f ca="1"/>
        <v>236.85</v>
      </c>
      <c r="C66" s="2">
        <f t="shared" ca="1" si="0"/>
        <v>-2.4103831891223712E-2</v>
      </c>
      <c r="D66" s="2" vm="2539">
        <f ca="1"/>
        <v>135.91</v>
      </c>
      <c r="E66" s="2">
        <f t="shared" ca="1" si="1"/>
        <v>-2.997644707729653E-2</v>
      </c>
      <c r="F66" s="2" vm="2540">
        <f ca="1"/>
        <v>418.95</v>
      </c>
      <c r="G66" s="2">
        <f t="shared" ca="1" si="2"/>
        <v>-1.3213680045223322E-2</v>
      </c>
      <c r="H66" s="2" vm="2541">
        <f ca="1"/>
        <v>615.86</v>
      </c>
      <c r="I66" s="2">
        <f t="shared" ca="1" si="3"/>
        <v>8.4162955200418957E-3</v>
      </c>
      <c r="J66" s="2" vm="2542">
        <f ca="1"/>
        <v>192.04</v>
      </c>
      <c r="K66" s="2">
        <f t="shared" ca="1" si="4"/>
        <v>-9.8478989430265361E-3</v>
      </c>
      <c r="L66" s="2" vm="2543">
        <f ca="1"/>
        <v>580.49</v>
      </c>
      <c r="M66" s="2">
        <f t="shared" ca="1" si="5"/>
        <v>-1.5267434562079085E-2</v>
      </c>
      <c r="N66" s="2" vm="2544">
        <f ca="1"/>
        <v>85.46</v>
      </c>
      <c r="O66" s="2">
        <f t="shared" ca="1" si="6"/>
        <v>-6.6255957224224966E-3</v>
      </c>
      <c r="P66" s="2" vm="2545">
        <f ca="1"/>
        <v>248.21</v>
      </c>
      <c r="Q66" s="2">
        <f t="shared" ca="1" si="7"/>
        <v>9.5582852029610105E-3</v>
      </c>
      <c r="R66" s="2" vm="2546">
        <f ca="1"/>
        <v>80.64</v>
      </c>
      <c r="S66" s="2">
        <f t="shared" ca="1" si="8"/>
        <v>4.3208279430789177E-2</v>
      </c>
      <c r="T66" s="2" vm="952">
        <f ca="1"/>
        <v>91.33</v>
      </c>
      <c r="U66" s="2">
        <f t="shared" ca="1" si="9"/>
        <v>-7.2826086956521924E-3</v>
      </c>
      <c r="V66" s="2" vm="2547">
        <f ca="1"/>
        <v>46.172899999999998</v>
      </c>
      <c r="W66" s="2">
        <f t="shared" ca="1" si="10"/>
        <v>-6.0896594181997733E-3</v>
      </c>
      <c r="X66" s="2" vm="2548">
        <f ca="1"/>
        <v>155.38999999999999</v>
      </c>
      <c r="Y66" s="2">
        <f t="shared" ca="1" si="11"/>
        <v>-4.0684035066057563E-2</v>
      </c>
      <c r="Z66" s="2" vm="2549">
        <f ca="1"/>
        <v>88.39</v>
      </c>
      <c r="AA66" s="2">
        <f t="shared" ca="1" si="12"/>
        <v>4.0895149380892814E-3</v>
      </c>
      <c r="AB66" s="2" vm="2550">
        <f ca="1"/>
        <v>15.2</v>
      </c>
      <c r="AC66" s="2">
        <f t="shared" ca="1" si="13"/>
        <v>4.2524005486968393E-2</v>
      </c>
      <c r="AD66" s="2" vm="2551">
        <f ca="1"/>
        <v>4.2</v>
      </c>
      <c r="AE66" s="2" t="e" vm="140">
        <f t="shared" ca="1" si="14"/>
        <v>#N/A</v>
      </c>
      <c r="AF66" s="2" vm="1119">
        <f ca="1"/>
        <v>27.61</v>
      </c>
      <c r="AG66" s="2">
        <f t="shared" ca="1" si="15"/>
        <v>7.664233576642367E-3</v>
      </c>
      <c r="AH66" s="2" vm="2552">
        <f ca="1"/>
        <v>26.45</v>
      </c>
      <c r="AI66" s="2">
        <f t="shared" ca="1" si="16"/>
        <v>3.4142640364188109E-3</v>
      </c>
      <c r="AJ66" s="2" vm="2553">
        <f ca="1"/>
        <v>4.71</v>
      </c>
      <c r="AK66" s="2">
        <f t="shared" ca="1" si="17"/>
        <v>-2.1186440677965651E-3</v>
      </c>
      <c r="AL66" s="2" vm="2554">
        <f ca="1"/>
        <v>53.7</v>
      </c>
      <c r="AM66" s="2">
        <f t="shared" ca="1" si="18"/>
        <v>1.7430845017051947E-2</v>
      </c>
      <c r="AN66" s="2" vm="2555">
        <f ca="1"/>
        <v>87.78</v>
      </c>
      <c r="AO66" s="2">
        <f t="shared" ca="1" si="19"/>
        <v>1.8260671079661788E-3</v>
      </c>
      <c r="AP66" s="2" vm="2556">
        <f ca="1"/>
        <v>25.69</v>
      </c>
      <c r="AQ66" s="2">
        <f t="shared" ca="1" si="20"/>
        <v>-3.8774718883287269E-3</v>
      </c>
      <c r="AR66" s="2" vm="380">
        <f ca="1"/>
        <v>50.95</v>
      </c>
      <c r="AS66" s="2">
        <f t="shared" ca="1" si="21"/>
        <v>1.9630938358863596E-4</v>
      </c>
      <c r="AT66" s="2" vm="2557">
        <f ca="1"/>
        <v>28.94</v>
      </c>
      <c r="AU66" s="2">
        <f t="shared" ca="1" si="22"/>
        <v>-1.3802622498274378E-3</v>
      </c>
      <c r="AV66" s="2" vm="2558">
        <f ca="1"/>
        <v>25.63</v>
      </c>
      <c r="AW66" s="2">
        <f t="shared" ca="1" si="23"/>
        <v>-6.9740410693529533E-3</v>
      </c>
      <c r="AX66" s="2" vm="76">
        <f ca="1"/>
        <v>91.54</v>
      </c>
      <c r="AY66" s="2">
        <f t="shared" ca="1" si="24"/>
        <v>3.2783302371326776E-4</v>
      </c>
      <c r="AZ66" s="2" vm="2559">
        <f ca="1"/>
        <v>442.66</v>
      </c>
      <c r="BA66" s="2">
        <f t="shared" ca="1" si="25"/>
        <v>-2.0316926345608957E-2</v>
      </c>
      <c r="BB66" s="2" vm="2560">
        <f ca="1"/>
        <v>239.87</v>
      </c>
      <c r="BC66" s="2">
        <f t="shared" ca="1" si="26"/>
        <v>-1.3408464607411635E-2</v>
      </c>
      <c r="BD66" s="2" vm="2561">
        <f ca="1"/>
        <v>45.11</v>
      </c>
      <c r="BE66" s="2">
        <f t="shared" ca="1" si="27"/>
        <v>-2.3804371348193062E-2</v>
      </c>
      <c r="BF66" s="2" vm="2562">
        <f ca="1"/>
        <v>106.54</v>
      </c>
      <c r="BG66" s="2">
        <f t="shared" ca="1" si="28"/>
        <v>-3.647245861778739E-3</v>
      </c>
      <c r="BH66" s="2" vm="2563">
        <f ca="1"/>
        <v>153.13999999999999</v>
      </c>
      <c r="BI66" s="2">
        <f t="shared" ca="1" si="29"/>
        <v>1.8895542248835495E-2</v>
      </c>
      <c r="BJ66" s="2" vm="2564">
        <f ca="1"/>
        <v>142.06</v>
      </c>
      <c r="BK66" s="2">
        <f t="shared" ca="1" si="30"/>
        <v>-1.4760666338652418E-3</v>
      </c>
      <c r="BL66" s="2" vm="2565">
        <f ca="1"/>
        <v>61.07</v>
      </c>
      <c r="BM66" s="2">
        <f t="shared" ca="1" si="31"/>
        <v>-1.0371090584994337E-2</v>
      </c>
      <c r="BN66" s="2" vm="2566">
        <f ca="1"/>
        <v>282.31</v>
      </c>
      <c r="BO66" s="2">
        <f t="shared" ca="1" si="32"/>
        <v>-1.5998605785988062E-2</v>
      </c>
      <c r="BP66" s="2" vm="2567">
        <f ca="1"/>
        <v>108.65</v>
      </c>
      <c r="BQ66" s="2">
        <f t="shared" ca="1" si="33"/>
        <v>-1.0112973760932939E-2</v>
      </c>
      <c r="BR66" s="2" vm="2568">
        <f ca="1"/>
        <v>837.69</v>
      </c>
      <c r="BS66" s="2">
        <f t="shared" ca="1" si="34"/>
        <v>-4.2639999999999935E-2</v>
      </c>
      <c r="BT66" s="2" vm="2569">
        <f ca="1"/>
        <v>158.56</v>
      </c>
      <c r="BU66" s="2">
        <f t="shared" ca="1" si="35"/>
        <v>-2.1838371375693968E-2</v>
      </c>
      <c r="BV66" s="2" vm="2570">
        <f ca="1"/>
        <v>142.63999999999999</v>
      </c>
      <c r="BW66" s="2">
        <f t="shared" ca="1" si="36"/>
        <v>-2.6613893817387786E-2</v>
      </c>
      <c r="BX66" s="2" vm="2571">
        <f ca="1"/>
        <v>278.95</v>
      </c>
      <c r="BY66" s="2">
        <f t="shared" ca="1" si="37"/>
        <v>-3.0378842030022255E-3</v>
      </c>
      <c r="BZ66" s="2" vm="999">
        <f ca="1"/>
        <v>94.2</v>
      </c>
      <c r="CA66" s="2">
        <f t="shared" ca="1" si="38"/>
        <v>8.6733054930935027E-3</v>
      </c>
      <c r="CB66" s="2" vm="2572">
        <f ca="1"/>
        <v>31</v>
      </c>
      <c r="CC66" s="2">
        <f t="shared" ca="1" si="39"/>
        <v>1.2410189418680568E-2</v>
      </c>
      <c r="CD66" s="2" t="e" vm="92">
        <f ca="1"/>
        <v>#N/A</v>
      </c>
      <c r="CE66" s="2" t="e" vm="140">
        <f t="shared" ca="1" si="40"/>
        <v>#N/A</v>
      </c>
      <c r="CF66" s="2" vm="2573">
        <f ca="1"/>
        <v>22.27</v>
      </c>
      <c r="CG66" s="2">
        <f t="shared" ca="1" si="41"/>
        <v>-4.6927374301676166E-3</v>
      </c>
      <c r="CH66" s="2" vm="2574">
        <f ca="1"/>
        <v>58.09</v>
      </c>
      <c r="CI66" s="2">
        <f t="shared" ca="1" si="42"/>
        <v>-1.5469233413543538E-3</v>
      </c>
      <c r="CJ66" s="2" vm="2575">
        <f ca="1"/>
        <v>57.51</v>
      </c>
      <c r="CK66" s="2">
        <f t="shared" ca="1" si="43"/>
        <v>-5.7053941908714626E-3</v>
      </c>
      <c r="CL66" s="2" vm="797">
        <f ca="1"/>
        <v>54.17</v>
      </c>
      <c r="CM66" s="2">
        <f t="shared" ca="1" si="44"/>
        <v>-7.1480938416422389E-3</v>
      </c>
      <c r="CN66" s="2" vm="2576">
        <f ca="1"/>
        <v>28.33</v>
      </c>
      <c r="CO66" s="2">
        <f t="shared" ca="1" si="45"/>
        <v>-4.9174569722515125E-3</v>
      </c>
      <c r="CP66" s="2" vm="2577">
        <f ca="1"/>
        <v>20.689399999999999</v>
      </c>
      <c r="CQ66" s="2">
        <f t="shared" ca="1" si="46"/>
        <v>-2.477492340325245E-2</v>
      </c>
    </row>
    <row r="67" spans="1:95" x14ac:dyDescent="0.2">
      <c r="A67" s="7" vm="2578">
        <f ca="1"/>
        <v>45670</v>
      </c>
      <c r="B67" s="2" vm="2579">
        <f ca="1"/>
        <v>234.4</v>
      </c>
      <c r="C67" s="2">
        <f t="shared" ca="1" si="0"/>
        <v>-1.0344099641123025E-2</v>
      </c>
      <c r="D67" s="2" vm="2580">
        <f ca="1"/>
        <v>133.22999999999999</v>
      </c>
      <c r="E67" s="2">
        <f t="shared" ca="1" si="1"/>
        <v>-1.9718931645942218E-2</v>
      </c>
      <c r="F67" s="2" vm="2581">
        <f ca="1"/>
        <v>417.19</v>
      </c>
      <c r="G67" s="2">
        <f t="shared" ca="1" si="2"/>
        <v>-4.2009786370688414E-3</v>
      </c>
      <c r="H67" s="2" vm="2582">
        <f ca="1"/>
        <v>608.33000000000004</v>
      </c>
      <c r="I67" s="2">
        <f t="shared" ca="1" si="3"/>
        <v>-1.2226804793297134E-2</v>
      </c>
      <c r="J67" s="2" vm="2583">
        <f ca="1"/>
        <v>191.01</v>
      </c>
      <c r="K67" s="2">
        <f t="shared" ca="1" si="4"/>
        <v>-5.3634659445948819E-3</v>
      </c>
      <c r="L67" s="2" vm="2584">
        <f ca="1"/>
        <v>581.39</v>
      </c>
      <c r="M67" s="2">
        <f t="shared" ca="1" si="5"/>
        <v>1.5504143051559497E-3</v>
      </c>
      <c r="N67" s="2" vm="2585">
        <f ca="1"/>
        <v>85.43</v>
      </c>
      <c r="O67" s="2">
        <f t="shared" ca="1" si="6"/>
        <v>-3.5104142288774784E-4</v>
      </c>
      <c r="P67" s="2" vm="2586">
        <f ca="1"/>
        <v>245.74</v>
      </c>
      <c r="Q67" s="2">
        <f t="shared" ca="1" si="7"/>
        <v>-9.9512509568510481E-3</v>
      </c>
      <c r="R67" s="2" vm="2587">
        <f ca="1"/>
        <v>82.23</v>
      </c>
      <c r="S67" s="2">
        <f t="shared" ca="1" si="8"/>
        <v>1.9717261904761946E-2</v>
      </c>
      <c r="T67" s="2" vm="2588">
        <f ca="1"/>
        <v>91.17</v>
      </c>
      <c r="U67" s="2">
        <f t="shared" ca="1" si="9"/>
        <v>-1.7518887550640161E-3</v>
      </c>
      <c r="V67" s="2" vm="2589">
        <f ca="1"/>
        <v>46.111699999999999</v>
      </c>
      <c r="W67" s="2">
        <f t="shared" ca="1" si="10"/>
        <v>-1.3254528088987151E-3</v>
      </c>
      <c r="X67" s="2" vm="1598">
        <f ca="1"/>
        <v>154.80000000000001</v>
      </c>
      <c r="Y67" s="2">
        <f t="shared" ca="1" si="11"/>
        <v>-3.7968981272924578E-3</v>
      </c>
      <c r="Z67" s="2" vm="165">
        <f ca="1"/>
        <v>90.25</v>
      </c>
      <c r="AA67" s="2">
        <f t="shared" ca="1" si="12"/>
        <v>2.1043104423577322E-2</v>
      </c>
      <c r="AB67" s="2" vm="2590">
        <f ca="1"/>
        <v>15.46</v>
      </c>
      <c r="AC67" s="2">
        <f t="shared" ca="1" si="13"/>
        <v>1.7105263157894842E-2</v>
      </c>
      <c r="AD67" s="2" vm="2591">
        <f ca="1"/>
        <v>4.3499999999999996</v>
      </c>
      <c r="AE67" s="2">
        <f t="shared" ca="1" si="14"/>
        <v>3.5714285714285587E-2</v>
      </c>
      <c r="AF67" s="2" vm="1962">
        <f ca="1"/>
        <v>26.96</v>
      </c>
      <c r="AG67" s="2">
        <f t="shared" ca="1" si="15"/>
        <v>-2.3542194856935841E-2</v>
      </c>
      <c r="AH67" s="2" vm="2592">
        <f ca="1"/>
        <v>26.75</v>
      </c>
      <c r="AI67" s="2">
        <f t="shared" ca="1" si="16"/>
        <v>1.1342155009451823E-2</v>
      </c>
      <c r="AJ67" s="2" vm="1921">
        <f ca="1"/>
        <v>4.82</v>
      </c>
      <c r="AK67" s="2">
        <f t="shared" ca="1" si="17"/>
        <v>2.3354564755838709E-2</v>
      </c>
      <c r="AL67" s="2" vm="2593">
        <f ca="1"/>
        <v>52.73</v>
      </c>
      <c r="AM67" s="2">
        <f t="shared" ca="1" si="18"/>
        <v>-1.8063314711359513E-2</v>
      </c>
      <c r="AN67" s="2" vm="2445">
        <f ca="1"/>
        <v>87.07</v>
      </c>
      <c r="AO67" s="2">
        <f t="shared" ca="1" si="19"/>
        <v>-8.0884028252450214E-3</v>
      </c>
      <c r="AP67" s="2" vm="2594">
        <f ca="1"/>
        <v>25.72</v>
      </c>
      <c r="AQ67" s="2">
        <f t="shared" ca="1" si="20"/>
        <v>1.1677695601400382E-3</v>
      </c>
      <c r="AR67" s="2" vm="1924">
        <f ca="1"/>
        <v>50.97</v>
      </c>
      <c r="AS67" s="2">
        <f t="shared" ca="1" si="21"/>
        <v>3.9254170755634977E-4</v>
      </c>
      <c r="AT67" s="2" vm="2266">
        <f ca="1"/>
        <v>28.92</v>
      </c>
      <c r="AU67" s="2">
        <f t="shared" ca="1" si="22"/>
        <v>-6.9108500345541025E-4</v>
      </c>
      <c r="AV67" s="2" vm="2595">
        <f ca="1"/>
        <v>25.58</v>
      </c>
      <c r="AW67" s="2">
        <f t="shared" ca="1" si="23"/>
        <v>-1.9508388607101333E-3</v>
      </c>
      <c r="AX67" s="2" vm="124">
        <f ca="1"/>
        <v>91.55</v>
      </c>
      <c r="AY67" s="2">
        <f t="shared" ca="1" si="24"/>
        <v>1.0924186148122028E-4</v>
      </c>
      <c r="AZ67" s="2" vm="2596">
        <f ca="1"/>
        <v>443.91</v>
      </c>
      <c r="BA67" s="2">
        <f t="shared" ca="1" si="25"/>
        <v>2.8238377083992226E-3</v>
      </c>
      <c r="BB67" s="2" vm="2597">
        <f ca="1"/>
        <v>244.21</v>
      </c>
      <c r="BC67" s="2">
        <f t="shared" ca="1" si="26"/>
        <v>1.8093133780797944E-2</v>
      </c>
      <c r="BD67" s="2" vm="2598">
        <f ca="1"/>
        <v>45.06</v>
      </c>
      <c r="BE67" s="2">
        <f t="shared" ca="1" si="27"/>
        <v>-1.1084016847704979E-3</v>
      </c>
      <c r="BF67" s="2" vm="2599">
        <f ca="1"/>
        <v>109.29</v>
      </c>
      <c r="BG67" s="2">
        <f t="shared" ca="1" si="28"/>
        <v>2.5811901633189412E-2</v>
      </c>
      <c r="BH67" s="2" vm="2600">
        <f ca="1"/>
        <v>155.35</v>
      </c>
      <c r="BI67" s="2">
        <f t="shared" ca="1" si="29"/>
        <v>1.443123938879462E-2</v>
      </c>
      <c r="BJ67" s="2" vm="2119">
        <f ca="1"/>
        <v>144.47</v>
      </c>
      <c r="BK67" s="2">
        <f t="shared" ca="1" si="30"/>
        <v>1.6964662818527359E-2</v>
      </c>
      <c r="BL67" s="2" vm="2601">
        <f ca="1"/>
        <v>61.65</v>
      </c>
      <c r="BM67" s="2">
        <f t="shared" ca="1" si="31"/>
        <v>9.4972981824135959E-3</v>
      </c>
      <c r="BN67" s="2" vm="2602">
        <f ca="1"/>
        <v>283.63</v>
      </c>
      <c r="BO67" s="2">
        <f t="shared" ca="1" si="32"/>
        <v>4.6757110977294226E-3</v>
      </c>
      <c r="BP67" s="2" vm="2603">
        <f ca="1"/>
        <v>108.08</v>
      </c>
      <c r="BQ67" s="2">
        <f t="shared" ca="1" si="33"/>
        <v>-5.2462034054303486E-3</v>
      </c>
      <c r="BR67" s="2" vm="2604">
        <f ca="1"/>
        <v>840.29</v>
      </c>
      <c r="BS67" s="2">
        <f t="shared" ca="1" si="34"/>
        <v>3.1037734722867754E-3</v>
      </c>
      <c r="BT67" s="2" vm="2605">
        <f ca="1"/>
        <v>158.84</v>
      </c>
      <c r="BU67" s="2">
        <f t="shared" ca="1" si="35"/>
        <v>1.7658930373360313E-3</v>
      </c>
      <c r="BV67" s="2" vm="2606">
        <f ca="1"/>
        <v>144.5</v>
      </c>
      <c r="BW67" s="2">
        <f t="shared" ca="1" si="36"/>
        <v>1.3039820527201443E-2</v>
      </c>
      <c r="BX67" s="2" vm="2607">
        <f ca="1"/>
        <v>284.70999999999998</v>
      </c>
      <c r="BY67" s="2">
        <f t="shared" ca="1" si="37"/>
        <v>2.0648861803190505E-2</v>
      </c>
      <c r="BZ67" s="2" vm="644">
        <f ca="1"/>
        <v>96.2</v>
      </c>
      <c r="CA67" s="2">
        <f t="shared" ca="1" si="38"/>
        <v>2.1231422505307854E-2</v>
      </c>
      <c r="CB67" s="2" vm="2608">
        <f ca="1"/>
        <v>31.67</v>
      </c>
      <c r="CC67" s="2">
        <f t="shared" ca="1" si="39"/>
        <v>2.1612903225806508E-2</v>
      </c>
      <c r="CD67" s="2" t="e" vm="92">
        <f ca="1"/>
        <v>#N/A</v>
      </c>
      <c r="CE67" s="2" t="e" vm="140">
        <f t="shared" ca="1" si="40"/>
        <v>#N/A</v>
      </c>
      <c r="CF67" s="2" vm="2609">
        <f ca="1"/>
        <v>22.254999999999999</v>
      </c>
      <c r="CG67" s="2">
        <f t="shared" ca="1" si="41"/>
        <v>-6.7355186349351453E-4</v>
      </c>
      <c r="CH67" s="2" vm="2284">
        <f ca="1"/>
        <v>58.07</v>
      </c>
      <c r="CI67" s="2">
        <f t="shared" ca="1" si="42"/>
        <v>-3.4429333792396498E-4</v>
      </c>
      <c r="CJ67" s="2" vm="2610">
        <f ca="1"/>
        <v>57.44</v>
      </c>
      <c r="CK67" s="2">
        <f t="shared" ca="1" si="43"/>
        <v>-1.2171796209354945E-3</v>
      </c>
      <c r="CL67" s="2" vm="2611">
        <f ca="1"/>
        <v>54.07</v>
      </c>
      <c r="CM67" s="2">
        <f t="shared" ca="1" si="44"/>
        <v>-1.8460402436773383E-3</v>
      </c>
      <c r="CN67" s="2" vm="2612">
        <f ca="1"/>
        <v>28.27</v>
      </c>
      <c r="CO67" s="2">
        <f t="shared" ca="1" si="45"/>
        <v>-2.1178962230850237E-3</v>
      </c>
      <c r="CP67" s="2" vm="2613">
        <f ca="1"/>
        <v>20.9664</v>
      </c>
      <c r="CQ67" s="2">
        <f t="shared" ca="1" si="46"/>
        <v>1.3388498458147701E-2</v>
      </c>
    </row>
    <row r="68" spans="1:95" x14ac:dyDescent="0.2">
      <c r="A68" s="7" vm="2614">
        <f ca="1"/>
        <v>45671</v>
      </c>
      <c r="B68" s="2" vm="2615">
        <f ca="1"/>
        <v>233.28</v>
      </c>
      <c r="C68" s="2">
        <f t="shared" ca="1" si="0"/>
        <v>-4.7781569965870503E-3</v>
      </c>
      <c r="D68" s="2" vm="2616">
        <f ca="1"/>
        <v>131.76</v>
      </c>
      <c r="E68" s="2">
        <f t="shared" ca="1" si="1"/>
        <v>-1.1033551002026564E-2</v>
      </c>
      <c r="F68" s="2" vm="2617">
        <f ca="1"/>
        <v>415.67</v>
      </c>
      <c r="G68" s="2">
        <f t="shared" ca="1" si="2"/>
        <v>-3.6434238596322584E-3</v>
      </c>
      <c r="H68" s="2" vm="2618">
        <f ca="1"/>
        <v>594.25</v>
      </c>
      <c r="I68" s="2">
        <f t="shared" ca="1" si="3"/>
        <v>-2.3145332303190769E-2</v>
      </c>
      <c r="J68" s="2" vm="2619">
        <f ca="1"/>
        <v>189.66</v>
      </c>
      <c r="K68" s="2">
        <f t="shared" ca="1" si="4"/>
        <v>-7.0676927909533241E-3</v>
      </c>
      <c r="L68" s="2" vm="2620">
        <f ca="1"/>
        <v>582.19000000000005</v>
      </c>
      <c r="M68" s="2">
        <f t="shared" ca="1" si="5"/>
        <v>1.3760126593165831E-3</v>
      </c>
      <c r="N68" s="2" vm="2621">
        <f ca="1"/>
        <v>85.29</v>
      </c>
      <c r="O68" s="2">
        <f t="shared" ca="1" si="6"/>
        <v>-1.6387685824651827E-3</v>
      </c>
      <c r="P68" s="2" vm="2622">
        <f ca="1"/>
        <v>247.03</v>
      </c>
      <c r="Q68" s="2">
        <f t="shared" ca="1" si="7"/>
        <v>5.2494506388865957E-3</v>
      </c>
      <c r="R68" s="2" vm="2623">
        <f ca="1"/>
        <v>81.67</v>
      </c>
      <c r="S68" s="2">
        <f t="shared" ca="1" si="8"/>
        <v>-6.8101666058616346E-3</v>
      </c>
      <c r="T68" s="2" vm="2624">
        <f ca="1"/>
        <v>91.2</v>
      </c>
      <c r="U68" s="2">
        <f t="shared" ca="1" si="9"/>
        <v>3.2905561039816975E-4</v>
      </c>
      <c r="V68" s="2" vm="2625">
        <f ca="1"/>
        <v>46.1404</v>
      </c>
      <c r="W68" s="2">
        <f t="shared" ca="1" si="10"/>
        <v>6.2240168980975789E-4</v>
      </c>
      <c r="X68" s="2" vm="1710">
        <f ca="1"/>
        <v>159.33000000000001</v>
      </c>
      <c r="Y68" s="2">
        <f t="shared" ca="1" si="11"/>
        <v>2.9263565891472873E-2</v>
      </c>
      <c r="Z68" s="2" vm="2626">
        <f ca="1"/>
        <v>91.22</v>
      </c>
      <c r="AA68" s="2">
        <f t="shared" ca="1" si="12"/>
        <v>1.0747922437673118E-2</v>
      </c>
      <c r="AB68" s="2" vm="2627">
        <f ca="1"/>
        <v>15.37</v>
      </c>
      <c r="AC68" s="2">
        <f t="shared" ca="1" si="13"/>
        <v>-5.8214747736094197E-3</v>
      </c>
      <c r="AD68" s="2" vm="1197">
        <f ca="1"/>
        <v>4.3</v>
      </c>
      <c r="AE68" s="2">
        <f t="shared" ca="1" si="14"/>
        <v>-1.1494252873563178E-2</v>
      </c>
      <c r="AF68" s="2" vm="2628">
        <f ca="1"/>
        <v>27.2</v>
      </c>
      <c r="AG68" s="2">
        <f t="shared" ca="1" si="15"/>
        <v>8.9020771513352529E-3</v>
      </c>
      <c r="AH68" s="2" vm="2629">
        <f ca="1"/>
        <v>26.66</v>
      </c>
      <c r="AI68" s="2">
        <f t="shared" ca="1" si="16"/>
        <v>-3.364485981308406E-3</v>
      </c>
      <c r="AJ68" s="2" vm="2630">
        <f ca="1"/>
        <v>4.83</v>
      </c>
      <c r="AK68" s="2">
        <f t="shared" ca="1" si="17"/>
        <v>2.0746887966804537E-3</v>
      </c>
      <c r="AL68" s="2" vm="2631">
        <f ca="1"/>
        <v>53.03</v>
      </c>
      <c r="AM68" s="2">
        <f t="shared" ca="1" si="18"/>
        <v>5.6893608951261955E-3</v>
      </c>
      <c r="AN68" s="2" vm="2632">
        <f ca="1"/>
        <v>86.1</v>
      </c>
      <c r="AO68" s="2">
        <f t="shared" ca="1" si="19"/>
        <v>-1.114046169748477E-2</v>
      </c>
      <c r="AP68" s="2" vm="291">
        <f ca="1"/>
        <v>25.73</v>
      </c>
      <c r="AQ68" s="2">
        <f t="shared" ca="1" si="20"/>
        <v>3.8880248833598612E-4</v>
      </c>
      <c r="AR68" s="2" vm="466">
        <f ca="1"/>
        <v>50.98</v>
      </c>
      <c r="AS68" s="2">
        <f t="shared" ca="1" si="21"/>
        <v>1.9619383951340025E-4</v>
      </c>
      <c r="AT68" s="2" vm="2557">
        <f ca="1"/>
        <v>28.94</v>
      </c>
      <c r="AU68" s="2">
        <f t="shared" ca="1" si="22"/>
        <v>6.9156293222681782E-4</v>
      </c>
      <c r="AV68" s="2" vm="2633">
        <f ca="1"/>
        <v>25.54</v>
      </c>
      <c r="AW68" s="2">
        <f t="shared" ca="1" si="23"/>
        <v>-1.5637216575449238E-3</v>
      </c>
      <c r="AX68" s="2" vm="1049">
        <f ca="1"/>
        <v>91.57</v>
      </c>
      <c r="AY68" s="2">
        <f t="shared" ca="1" si="24"/>
        <v>2.1845985800104885E-4</v>
      </c>
      <c r="AZ68" s="2" vm="2634">
        <f ca="1"/>
        <v>450.03</v>
      </c>
      <c r="BA68" s="2">
        <f t="shared" ca="1" si="25"/>
        <v>1.3786578360478356E-2</v>
      </c>
      <c r="BB68" s="2" vm="2635">
        <f ca="1"/>
        <v>247.47</v>
      </c>
      <c r="BC68" s="2">
        <f t="shared" ca="1" si="26"/>
        <v>1.3349166700790265E-2</v>
      </c>
      <c r="BD68" s="2" vm="2636">
        <f ca="1"/>
        <v>45.78</v>
      </c>
      <c r="BE68" s="2">
        <f t="shared" ca="1" si="27"/>
        <v>1.5978695073235658E-2</v>
      </c>
      <c r="BF68" s="2" vm="2637">
        <f ca="1"/>
        <v>109.72</v>
      </c>
      <c r="BG68" s="2">
        <f t="shared" ca="1" si="28"/>
        <v>3.93448622929813E-3</v>
      </c>
      <c r="BH68" s="2" vm="2638">
        <f ca="1"/>
        <v>156.9</v>
      </c>
      <c r="BI68" s="2">
        <f t="shared" ca="1" si="29"/>
        <v>9.9774702285163278E-3</v>
      </c>
      <c r="BJ68" s="2" vm="2042">
        <f ca="1"/>
        <v>144.75</v>
      </c>
      <c r="BK68" s="2">
        <f t="shared" ca="1" si="30"/>
        <v>1.9381186405482186E-3</v>
      </c>
      <c r="BL68" s="2" vm="2639">
        <f ca="1"/>
        <v>62.04</v>
      </c>
      <c r="BM68" s="2">
        <f t="shared" ca="1" si="31"/>
        <v>6.3260340632603504E-3</v>
      </c>
      <c r="BN68" s="2" vm="2640">
        <f ca="1"/>
        <v>281.58</v>
      </c>
      <c r="BO68" s="2">
        <f t="shared" ca="1" si="32"/>
        <v>-7.2277262630892763E-3</v>
      </c>
      <c r="BP68" s="2" vm="2641">
        <f ca="1"/>
        <v>108.12</v>
      </c>
      <c r="BQ68" s="2">
        <f t="shared" ca="1" si="33"/>
        <v>3.7009622501856269E-4</v>
      </c>
      <c r="BR68" s="2" vm="2642">
        <f ca="1"/>
        <v>828.4</v>
      </c>
      <c r="BS68" s="2">
        <f t="shared" ca="1" si="34"/>
        <v>-1.4149876828237856E-2</v>
      </c>
      <c r="BT68" s="2" vm="2643">
        <f ca="1"/>
        <v>159.74</v>
      </c>
      <c r="BU68" s="2">
        <f t="shared" ca="1" si="35"/>
        <v>5.6660790732813247E-3</v>
      </c>
      <c r="BV68" s="2" vm="2644">
        <f ca="1"/>
        <v>144.94999999999999</v>
      </c>
      <c r="BW68" s="2">
        <f t="shared" ca="1" si="36"/>
        <v>3.1141868512109942E-3</v>
      </c>
      <c r="BX68" s="2" vm="2645">
        <f ca="1"/>
        <v>287.23</v>
      </c>
      <c r="BY68" s="2">
        <f t="shared" ca="1" si="37"/>
        <v>8.8511116574761638E-3</v>
      </c>
      <c r="BZ68" s="2" vm="2646">
        <f ca="1"/>
        <v>97.06</v>
      </c>
      <c r="CA68" s="2">
        <f t="shared" ca="1" si="38"/>
        <v>8.9397089397089333E-3</v>
      </c>
      <c r="CB68" s="2" vm="2647">
        <f ca="1"/>
        <v>31.96</v>
      </c>
      <c r="CC68" s="2">
        <f t="shared" ca="1" si="39"/>
        <v>9.1569308493842476E-3</v>
      </c>
      <c r="CD68" s="2" t="e" vm="92">
        <f ca="1"/>
        <v>#N/A</v>
      </c>
      <c r="CE68" s="2" t="e" vm="140">
        <f t="shared" ca="1" si="40"/>
        <v>#N/A</v>
      </c>
      <c r="CF68" s="2" vm="2648">
        <f ca="1"/>
        <v>22.25</v>
      </c>
      <c r="CG68" s="2">
        <f t="shared" ca="1" si="41"/>
        <v>-2.2466861379460821E-4</v>
      </c>
      <c r="CH68" s="2" vm="2649">
        <f ca="1"/>
        <v>58.1</v>
      </c>
      <c r="CI68" s="2">
        <f t="shared" ca="1" si="42"/>
        <v>5.1661787497849388E-4</v>
      </c>
      <c r="CJ68" s="2" vm="2650">
        <f ca="1"/>
        <v>57.47</v>
      </c>
      <c r="CK68" s="2">
        <f t="shared" ca="1" si="43"/>
        <v>5.2228412256269386E-4</v>
      </c>
      <c r="CL68" s="2" vm="2651">
        <f ca="1"/>
        <v>53.99</v>
      </c>
      <c r="CM68" s="2">
        <f t="shared" ca="1" si="44"/>
        <v>-1.4795635287589844E-3</v>
      </c>
      <c r="CN68" s="2" vm="2652">
        <f ca="1"/>
        <v>28.29</v>
      </c>
      <c r="CO68" s="2">
        <f t="shared" ca="1" si="45"/>
        <v>7.0746374248318266E-4</v>
      </c>
      <c r="CP68" s="2" vm="2653">
        <f ca="1"/>
        <v>21.07</v>
      </c>
      <c r="CQ68" s="2">
        <f t="shared" ca="1" si="46"/>
        <v>4.941239316239323E-3</v>
      </c>
    </row>
    <row r="69" spans="1:95" x14ac:dyDescent="0.2">
      <c r="A69" s="7" vm="2654">
        <f ca="1"/>
        <v>45672</v>
      </c>
      <c r="B69" s="2" vm="2655">
        <f ca="1"/>
        <v>237.87</v>
      </c>
      <c r="C69" s="2">
        <f t="shared" ref="C69:C132" ca="1" si="47">(B69-B68)/B68</f>
        <v>1.967592592592594E-2</v>
      </c>
      <c r="D69" s="2" vm="2656">
        <f ca="1"/>
        <v>136.24</v>
      </c>
      <c r="E69" s="2">
        <f t="shared" ref="E69:E132" ca="1" si="48">(D69-D68)/D68</f>
        <v>3.4001214329083325E-2</v>
      </c>
      <c r="F69" s="2" vm="2657">
        <f ca="1"/>
        <v>426.31</v>
      </c>
      <c r="G69" s="2">
        <f t="shared" ref="G69:G132" ca="1" si="49">(F69-F68)/F68</f>
        <v>2.559722857074118E-2</v>
      </c>
      <c r="H69" s="2" vm="2658">
        <f ca="1"/>
        <v>617.12</v>
      </c>
      <c r="I69" s="2">
        <f t="shared" ref="I69:I132" ca="1" si="50">(H69-H68)/H68</f>
        <v>3.8485485906604971E-2</v>
      </c>
      <c r="J69" s="2" vm="2659">
        <f ca="1"/>
        <v>195.55</v>
      </c>
      <c r="K69" s="2">
        <f t="shared" ref="K69:K132" ca="1" si="51">(J69-J68)/J68</f>
        <v>3.1055573130865839E-2</v>
      </c>
      <c r="L69" s="2" vm="2660">
        <f ca="1"/>
        <v>592.78</v>
      </c>
      <c r="M69" s="2">
        <f t="shared" ref="M69:M132" ca="1" si="52">(L69-L68)/L68</f>
        <v>1.8189937992751364E-2</v>
      </c>
      <c r="N69" s="2" vm="2661">
        <f ca="1"/>
        <v>86.76</v>
      </c>
      <c r="O69" s="2">
        <f t="shared" ref="O69:O132" ca="1" si="53">(N69-N68)/N68</f>
        <v>1.7235314808301077E-2</v>
      </c>
      <c r="P69" s="2" vm="2662">
        <f ca="1"/>
        <v>248.88</v>
      </c>
      <c r="Q69" s="2">
        <f t="shared" ref="Q69:Q132" ca="1" si="54">(P69-P68)/P68</f>
        <v>7.4889689511395147E-3</v>
      </c>
      <c r="R69" s="2" vm="2663">
        <f ca="1"/>
        <v>84.34</v>
      </c>
      <c r="S69" s="2">
        <f t="shared" ref="S69:S132" ca="1" si="55">(R69-R68)/R68</f>
        <v>3.2692543161503634E-2</v>
      </c>
      <c r="T69" s="2" vm="2664">
        <f ca="1"/>
        <v>92.16</v>
      </c>
      <c r="U69" s="2">
        <f t="shared" ref="U69:U132" ca="1" si="56">(T69-T68)/T68</f>
        <v>1.0526315789473615E-2</v>
      </c>
      <c r="V69" s="2" vm="2665">
        <f ca="1"/>
        <v>46.573900000000002</v>
      </c>
      <c r="W69" s="2">
        <f t="shared" ref="W69:W132" ca="1" si="57">(V69-V68)/V68</f>
        <v>9.3952371457551778E-3</v>
      </c>
      <c r="X69" s="2" vm="2666">
        <f ca="1"/>
        <v>164.85</v>
      </c>
      <c r="Y69" s="2">
        <f t="shared" ref="Y69:Y132" ca="1" si="58">(X69-X68)/X68</f>
        <v>3.4645076256825343E-2</v>
      </c>
      <c r="Z69" s="2" vm="2667">
        <f ca="1"/>
        <v>92.57</v>
      </c>
      <c r="AA69" s="2">
        <f t="shared" ref="AA69:AA132" ca="1" si="59">(Z69-Z68)/Z68</f>
        <v>1.4799386099539513E-2</v>
      </c>
      <c r="AB69" s="2" vm="2668">
        <f ca="1"/>
        <v>15.88</v>
      </c>
      <c r="AC69" s="2">
        <f t="shared" ref="AC69:AC132" ca="1" si="60">(AB69-AB68)/AB68</f>
        <v>3.3181522446324115E-2</v>
      </c>
      <c r="AD69" s="2" t="e" vm="92">
        <f ca="1"/>
        <v>#N/A</v>
      </c>
      <c r="AE69" s="2" t="e" vm="140">
        <f t="shared" ref="AE69:AE132" ca="1" si="61">(AD69-AD68)/AD68</f>
        <v>#N/A</v>
      </c>
      <c r="AF69" s="2" vm="2669">
        <f ca="1"/>
        <v>27.96</v>
      </c>
      <c r="AG69" s="2">
        <f t="shared" ref="AG69:AG132" ca="1" si="62">(AF69-AF68)/AF68</f>
        <v>2.7941176470588292E-2</v>
      </c>
      <c r="AH69" s="2" vm="2670">
        <f ca="1"/>
        <v>26.73</v>
      </c>
      <c r="AI69" s="2">
        <f t="shared" ref="AI69:AI132" ca="1" si="63">(AH69-AH68)/AH68</f>
        <v>2.6256564141035367E-3</v>
      </c>
      <c r="AJ69" s="2" vm="1921">
        <f ca="1"/>
        <v>4.82</v>
      </c>
      <c r="AK69" s="2">
        <f t="shared" ref="AK69:AK132" ca="1" si="64">(AJ69-AJ68)/AJ68</f>
        <v>-2.0703933747411567E-3</v>
      </c>
      <c r="AL69" s="2" vm="2671">
        <f ca="1"/>
        <v>53.43</v>
      </c>
      <c r="AM69" s="2">
        <f t="shared" ref="AM69:AM132" ca="1" si="65">(AL69-AL68)/AL68</f>
        <v>7.5429002451442313E-3</v>
      </c>
      <c r="AN69" s="2" vm="2509">
        <f ca="1"/>
        <v>86.03</v>
      </c>
      <c r="AO69" s="2">
        <f t="shared" ref="AO69:AO132" ca="1" si="66">(AN69-AN68)/AN68</f>
        <v>-8.1300813008122167E-4</v>
      </c>
      <c r="AP69" s="2" vm="2672">
        <f ca="1"/>
        <v>25.9</v>
      </c>
      <c r="AQ69" s="2">
        <f t="shared" ref="AQ69:AQ132" ca="1" si="67">(AP69-AP68)/AP68</f>
        <v>6.6070734551106937E-3</v>
      </c>
      <c r="AR69" s="2" vm="1121">
        <f ca="1"/>
        <v>51</v>
      </c>
      <c r="AS69" s="2">
        <f t="shared" ref="AS69:AS132" ca="1" si="68">(AR69-AR68)/AR68</f>
        <v>3.9231071008244661E-4</v>
      </c>
      <c r="AT69" s="2" vm="924">
        <f ca="1"/>
        <v>28.99</v>
      </c>
      <c r="AU69" s="2">
        <f t="shared" ref="AU69:AU132" ca="1" si="69">(AT69-AT68)/AT68</f>
        <v>1.7277125086384642E-3</v>
      </c>
      <c r="AV69" s="2" vm="2673">
        <f ca="1"/>
        <v>25.97</v>
      </c>
      <c r="AW69" s="2">
        <f t="shared" ref="AW69:AW132" ca="1" si="70">(AV69-AV68)/AV68</f>
        <v>1.6836335160532487E-2</v>
      </c>
      <c r="AX69" s="2" vm="1008">
        <f ca="1"/>
        <v>91.58</v>
      </c>
      <c r="AY69" s="2">
        <f t="shared" ref="AY69:AY132" ca="1" si="71">(AX69-AX68)/AX68</f>
        <v>1.0920607185765116E-4</v>
      </c>
      <c r="AZ69" s="2" vm="2674">
        <f ca="1"/>
        <v>458.51</v>
      </c>
      <c r="BA69" s="2">
        <f t="shared" ref="BA69:BA132" ca="1" si="72">(AZ69-AZ68)/AZ68</f>
        <v>1.8843188231895694E-2</v>
      </c>
      <c r="BB69" s="2" vm="2675">
        <f ca="1"/>
        <v>252.35</v>
      </c>
      <c r="BC69" s="2">
        <f t="shared" ref="BC69:BC132" ca="1" si="73">(BB69-BB68)/BB68</f>
        <v>1.9719561967107106E-2</v>
      </c>
      <c r="BD69" s="2" vm="2676">
        <f ca="1"/>
        <v>47.1</v>
      </c>
      <c r="BE69" s="2">
        <f t="shared" ref="BE69:BE132" ca="1" si="74">(BD69-BD68)/BD68</f>
        <v>2.883355176933159E-2</v>
      </c>
      <c r="BF69" s="2" vm="2677">
        <f ca="1"/>
        <v>111.51</v>
      </c>
      <c r="BG69" s="2">
        <f t="shared" ref="BG69:BG132" ca="1" si="75">(BF69-BF68)/BF68</f>
        <v>1.6314254465913291E-2</v>
      </c>
      <c r="BH69" s="2" vm="1254">
        <f ca="1"/>
        <v>158.33000000000001</v>
      </c>
      <c r="BI69" s="2">
        <f t="shared" ref="BI69:BI132" ca="1" si="76">(BH69-BH68)/BH68</f>
        <v>9.1140854047164228E-3</v>
      </c>
      <c r="BJ69" s="2" vm="2678">
        <f ca="1"/>
        <v>144.97</v>
      </c>
      <c r="BK69" s="2">
        <f t="shared" ref="BK69:BK132" ca="1" si="77">(BJ69-BJ68)/BJ68</f>
        <v>1.5198618307426519E-3</v>
      </c>
      <c r="BL69" s="2" vm="2679">
        <f ca="1"/>
        <v>61.77</v>
      </c>
      <c r="BM69" s="2">
        <f t="shared" ref="BM69:BM132" ca="1" si="78">(BL69-BL68)/BL68</f>
        <v>-4.3520309477755644E-3</v>
      </c>
      <c r="BN69" s="2" vm="2680">
        <f ca="1"/>
        <v>282.3</v>
      </c>
      <c r="BO69" s="2">
        <f t="shared" ref="BO69:BO132" ca="1" si="79">(BN69-BN68)/BN68</f>
        <v>2.5569997869167816E-3</v>
      </c>
      <c r="BP69" s="2" vm="2681">
        <f ca="1"/>
        <v>108.18</v>
      </c>
      <c r="BQ69" s="2">
        <f t="shared" ref="BQ69:BQ132" ca="1" si="80">(BP69-BP68)/BP68</f>
        <v>5.5493895671478242E-4</v>
      </c>
      <c r="BR69" s="2" vm="2682">
        <f ca="1"/>
        <v>848.26</v>
      </c>
      <c r="BS69" s="2">
        <f t="shared" ref="BS69:BS132" ca="1" si="81">(BR69-BR68)/BR68</f>
        <v>2.397392563978756E-2</v>
      </c>
      <c r="BT69" s="2" vm="2683">
        <f ca="1"/>
        <v>159.65</v>
      </c>
      <c r="BU69" s="2">
        <f t="shared" ref="BU69:BU132" ca="1" si="82">(BT69-BT68)/BT68</f>
        <v>-5.6341555026920872E-4</v>
      </c>
      <c r="BV69" s="2" vm="2684">
        <f ca="1"/>
        <v>144.78</v>
      </c>
      <c r="BW69" s="2">
        <f t="shared" ref="BW69:BW132" ca="1" si="83">(BV69-BV68)/BV68</f>
        <v>-1.1728182131768713E-3</v>
      </c>
      <c r="BX69" s="2" vm="2685">
        <f ca="1"/>
        <v>293.64999999999998</v>
      </c>
      <c r="BY69" s="2">
        <f t="shared" ref="BY69:BY132" ca="1" si="84">(BX69-BX68)/BX68</f>
        <v>2.2351425686731742E-2</v>
      </c>
      <c r="BZ69" s="2" vm="2686">
        <f ca="1"/>
        <v>98.66</v>
      </c>
      <c r="CA69" s="2">
        <f t="shared" ref="CA69:CA132" ca="1" si="85">(BZ69-BZ68)/BZ68</f>
        <v>1.6484648670925143E-2</v>
      </c>
      <c r="CB69" s="2" vm="1381">
        <f ca="1"/>
        <v>32.44</v>
      </c>
      <c r="CC69" s="2">
        <f t="shared" ref="CC69:CC132" ca="1" si="86">(CB69-CB68)/CB68</f>
        <v>1.5018773466833444E-2</v>
      </c>
      <c r="CD69" s="2" t="e" vm="92">
        <f ca="1"/>
        <v>#N/A</v>
      </c>
      <c r="CE69" s="2" t="e" vm="140">
        <f t="shared" ref="CE69:CE132" ca="1" si="87">(CD69-CD68)/CD68</f>
        <v>#N/A</v>
      </c>
      <c r="CF69" s="2" vm="2687">
        <f ca="1"/>
        <v>22.41</v>
      </c>
      <c r="CG69" s="2">
        <f t="shared" ref="CG69:CG132" ca="1" si="88">(CF69-CF68)/CF68</f>
        <v>7.1910112359550625E-3</v>
      </c>
      <c r="CH69" s="2" vm="818">
        <f ca="1"/>
        <v>58.23</v>
      </c>
      <c r="CI69" s="2">
        <f t="shared" ref="CI69:CI132" ca="1" si="89">(CH69-CH68)/CH68</f>
        <v>2.2375215146298701E-3</v>
      </c>
      <c r="CJ69" s="2" vm="2688">
        <f ca="1"/>
        <v>57.89</v>
      </c>
      <c r="CK69" s="2">
        <f t="shared" ref="CK69:CK132" ca="1" si="90">(CJ69-CJ68)/CJ68</f>
        <v>7.3081607795371798E-3</v>
      </c>
      <c r="CL69" s="2" vm="2689">
        <f ca="1"/>
        <v>54.88</v>
      </c>
      <c r="CM69" s="2">
        <f t="shared" ref="CM69:CM132" ca="1" si="91">(CL69-CL68)/CL68</f>
        <v>1.6484534172995009E-2</v>
      </c>
      <c r="CN69" s="2" vm="1700">
        <f ca="1"/>
        <v>28.56</v>
      </c>
      <c r="CO69" s="2">
        <f t="shared" ref="CO69:CO132" ca="1" si="92">(CN69-CN68)/CN68</f>
        <v>9.5440084835630816E-3</v>
      </c>
      <c r="CP69" s="2" vm="2690">
        <f ca="1"/>
        <v>21.186399999999999</v>
      </c>
      <c r="CQ69" s="2">
        <f t="shared" ref="CQ69:CQ132" ca="1" si="93">(CP69-CP68)/CP68</f>
        <v>5.5244423350735037E-3</v>
      </c>
    </row>
    <row r="70" spans="1:95" x14ac:dyDescent="0.2">
      <c r="A70" s="7" vm="2691">
        <f ca="1"/>
        <v>45673</v>
      </c>
      <c r="B70" s="2" vm="2692">
        <f ca="1"/>
        <v>228.26</v>
      </c>
      <c r="C70" s="2">
        <f t="shared" ca="1" si="47"/>
        <v>-4.0400218606802089E-2</v>
      </c>
      <c r="D70" s="2" vm="2693">
        <f ca="1"/>
        <v>133.57</v>
      </c>
      <c r="E70" s="2">
        <f t="shared" ca="1" si="48"/>
        <v>-1.9597768643570285E-2</v>
      </c>
      <c r="F70" s="2" vm="2694">
        <f ca="1"/>
        <v>424.58</v>
      </c>
      <c r="G70" s="2">
        <f t="shared" ca="1" si="49"/>
        <v>-4.058079801083761E-3</v>
      </c>
      <c r="H70" s="2" vm="2695">
        <f ca="1"/>
        <v>611.29999999999995</v>
      </c>
      <c r="I70" s="2">
        <f t="shared" ca="1" si="50"/>
        <v>-9.4309048483277973E-3</v>
      </c>
      <c r="J70" s="2" vm="2696">
        <f ca="1"/>
        <v>192.91</v>
      </c>
      <c r="K70" s="2">
        <f t="shared" ca="1" si="51"/>
        <v>-1.3500383533623189E-2</v>
      </c>
      <c r="L70" s="2" vm="2697">
        <f ca="1"/>
        <v>591.64</v>
      </c>
      <c r="M70" s="2">
        <f t="shared" ca="1" si="52"/>
        <v>-1.9231418064037018E-3</v>
      </c>
      <c r="N70" s="2" vm="2698">
        <f ca="1"/>
        <v>87.04</v>
      </c>
      <c r="O70" s="2">
        <f t="shared" ca="1" si="53"/>
        <v>3.2272936837252318E-3</v>
      </c>
      <c r="P70" s="2" vm="2699">
        <f ca="1"/>
        <v>250.6</v>
      </c>
      <c r="Q70" s="2">
        <f t="shared" ca="1" si="54"/>
        <v>6.9109611057537722E-3</v>
      </c>
      <c r="R70" s="2" vm="2700">
        <f ca="1"/>
        <v>82.94</v>
      </c>
      <c r="S70" s="2">
        <f t="shared" ca="1" si="55"/>
        <v>-1.6599478302110574E-2</v>
      </c>
      <c r="T70" s="2" vm="2701">
        <f ca="1"/>
        <v>92.38</v>
      </c>
      <c r="U70" s="2">
        <f t="shared" ca="1" si="56"/>
        <v>2.3871527777777654E-3</v>
      </c>
      <c r="V70" s="2" vm="2702">
        <f ca="1"/>
        <v>46.672899999999998</v>
      </c>
      <c r="W70" s="2">
        <f t="shared" ca="1" si="57"/>
        <v>2.125654068050918E-3</v>
      </c>
      <c r="X70" s="2" vm="2703">
        <f ca="1"/>
        <v>165.92</v>
      </c>
      <c r="Y70" s="2">
        <f t="shared" ca="1" si="58"/>
        <v>6.4907491659083605E-3</v>
      </c>
      <c r="Z70" s="2" vm="2704">
        <f ca="1"/>
        <v>93.24</v>
      </c>
      <c r="AA70" s="2">
        <f t="shared" ca="1" si="59"/>
        <v>7.2377660149076564E-3</v>
      </c>
      <c r="AB70" s="2" vm="2705">
        <f ca="1"/>
        <v>15.61</v>
      </c>
      <c r="AC70" s="2">
        <f t="shared" ca="1" si="60"/>
        <v>-1.7002518891687742E-2</v>
      </c>
      <c r="AD70" s="2" vm="1197">
        <f ca="1"/>
        <v>4.3</v>
      </c>
      <c r="AE70" s="2" t="e" vm="140">
        <f t="shared" ca="1" si="61"/>
        <v>#N/A</v>
      </c>
      <c r="AF70" s="2" vm="1362">
        <f ca="1"/>
        <v>28.04</v>
      </c>
      <c r="AG70" s="2">
        <f t="shared" ca="1" si="62"/>
        <v>2.8612303290414267E-3</v>
      </c>
      <c r="AH70" s="2" vm="508">
        <f ca="1"/>
        <v>26.34</v>
      </c>
      <c r="AI70" s="2">
        <f t="shared" ca="1" si="63"/>
        <v>-1.4590347923681277E-2</v>
      </c>
      <c r="AJ70" s="2" vm="1995">
        <f ca="1"/>
        <v>4.75</v>
      </c>
      <c r="AK70" s="2">
        <f t="shared" ca="1" si="64"/>
        <v>-1.4522821576763543E-2</v>
      </c>
      <c r="AL70" s="2" vm="2706">
        <f ca="1"/>
        <v>53.79</v>
      </c>
      <c r="AM70" s="2">
        <f t="shared" ca="1" si="65"/>
        <v>6.7377877596855595E-3</v>
      </c>
      <c r="AN70" s="2" vm="2707">
        <f ca="1"/>
        <v>85.54</v>
      </c>
      <c r="AO70" s="2">
        <f t="shared" ca="1" si="66"/>
        <v>-5.6956875508542932E-3</v>
      </c>
      <c r="AP70" s="2" vm="2708">
        <f ca="1"/>
        <v>25.93</v>
      </c>
      <c r="AQ70" s="2">
        <f t="shared" ca="1" si="67"/>
        <v>1.1583011583012023E-3</v>
      </c>
      <c r="AR70" s="2" vm="1121">
        <f ca="1"/>
        <v>51</v>
      </c>
      <c r="AS70" s="2">
        <f t="shared" ca="1" si="68"/>
        <v>0</v>
      </c>
      <c r="AT70" s="2" vm="885">
        <f ca="1"/>
        <v>29.02</v>
      </c>
      <c r="AU70" s="2">
        <f t="shared" ca="1" si="69"/>
        <v>1.0348395998620607E-3</v>
      </c>
      <c r="AV70" s="2" vm="2709">
        <f ca="1"/>
        <v>26.06</v>
      </c>
      <c r="AW70" s="2">
        <f t="shared" ca="1" si="70"/>
        <v>3.4655371582595247E-3</v>
      </c>
      <c r="AX70" s="2" vm="1008">
        <f ca="1"/>
        <v>91.58</v>
      </c>
      <c r="AY70" s="2">
        <f t="shared" ca="1" si="71"/>
        <v>0</v>
      </c>
      <c r="AZ70" s="2" vm="2710">
        <f ca="1"/>
        <v>462.81</v>
      </c>
      <c r="BA70" s="2">
        <f t="shared" ca="1" si="72"/>
        <v>9.3782033107238909E-3</v>
      </c>
      <c r="BB70" s="2" vm="2711">
        <f ca="1"/>
        <v>254.27</v>
      </c>
      <c r="BC70" s="2">
        <f t="shared" ca="1" si="73"/>
        <v>7.6084802853180738E-3</v>
      </c>
      <c r="BD70" s="2" vm="2712">
        <f ca="1"/>
        <v>46.64</v>
      </c>
      <c r="BE70" s="2">
        <f t="shared" ca="1" si="74"/>
        <v>-9.7664543524416322E-3</v>
      </c>
      <c r="BF70" s="2" vm="2713">
        <f ca="1"/>
        <v>111.32</v>
      </c>
      <c r="BG70" s="2">
        <f t="shared" ca="1" si="75"/>
        <v>-1.7038830598153701E-3</v>
      </c>
      <c r="BH70" s="2" vm="2714">
        <f ca="1"/>
        <v>159.38</v>
      </c>
      <c r="BI70" s="2">
        <f t="shared" ca="1" si="76"/>
        <v>6.6317185624959439E-3</v>
      </c>
      <c r="BJ70" s="2" vm="2715">
        <f ca="1"/>
        <v>147.77000000000001</v>
      </c>
      <c r="BK70" s="2">
        <f t="shared" ca="1" si="77"/>
        <v>1.9314340898116931E-2</v>
      </c>
      <c r="BL70" s="2" vm="2716">
        <f ca="1"/>
        <v>62.25</v>
      </c>
      <c r="BM70" s="2">
        <f t="shared" ca="1" si="78"/>
        <v>7.7707625060708576E-3</v>
      </c>
      <c r="BN70" s="2" vm="2461">
        <f ca="1"/>
        <v>279.74</v>
      </c>
      <c r="BO70" s="2">
        <f t="shared" ca="1" si="79"/>
        <v>-9.0683669854764518E-3</v>
      </c>
      <c r="BP70" s="2" vm="2717">
        <f ca="1"/>
        <v>106.46</v>
      </c>
      <c r="BQ70" s="2">
        <f t="shared" ca="1" si="80"/>
        <v>-1.5899426881124171E-2</v>
      </c>
      <c r="BR70" s="2" vm="2718">
        <f ca="1"/>
        <v>842.37</v>
      </c>
      <c r="BS70" s="2">
        <f t="shared" ca="1" si="81"/>
        <v>-6.9436257751161043E-3</v>
      </c>
      <c r="BT70" s="2" vm="2719">
        <f ca="1"/>
        <v>160.5</v>
      </c>
      <c r="BU70" s="2">
        <f t="shared" ca="1" si="82"/>
        <v>5.3241465706232024E-3</v>
      </c>
      <c r="BV70" s="2" vm="2529">
        <f ca="1"/>
        <v>146.54</v>
      </c>
      <c r="BW70" s="2">
        <f t="shared" ca="1" si="83"/>
        <v>1.2156375189943299E-2</v>
      </c>
      <c r="BX70" s="2" vm="934">
        <f ca="1"/>
        <v>294</v>
      </c>
      <c r="BY70" s="2">
        <f t="shared" ca="1" si="84"/>
        <v>1.1918951132301133E-3</v>
      </c>
      <c r="BZ70" s="2" vm="2720">
        <f ca="1"/>
        <v>99.13</v>
      </c>
      <c r="CA70" s="2">
        <f t="shared" ca="1" si="85"/>
        <v>4.7638353942833864E-3</v>
      </c>
      <c r="CB70" s="2" vm="2721">
        <f ca="1"/>
        <v>32.520000000000003</v>
      </c>
      <c r="CC70" s="2">
        <f t="shared" ca="1" si="86"/>
        <v>2.4660912453762455E-3</v>
      </c>
      <c r="CD70" s="2" t="e" vm="92">
        <f ca="1"/>
        <v>#N/A</v>
      </c>
      <c r="CE70" s="2" t="e" vm="140">
        <f t="shared" ca="1" si="87"/>
        <v>#N/A</v>
      </c>
      <c r="CF70" s="2" vm="2722">
        <f ca="1"/>
        <v>22.454999999999998</v>
      </c>
      <c r="CG70" s="2">
        <f t="shared" ca="1" si="88"/>
        <v>2.0080321285139736E-3</v>
      </c>
      <c r="CH70" s="2" vm="986">
        <f ca="1"/>
        <v>58.27</v>
      </c>
      <c r="CI70" s="2">
        <f t="shared" ca="1" si="89"/>
        <v>6.8693113515380828E-4</v>
      </c>
      <c r="CJ70" s="2" vm="2723">
        <f ca="1"/>
        <v>58.03</v>
      </c>
      <c r="CK70" s="2">
        <f t="shared" ca="1" si="90"/>
        <v>2.4183796856106507E-3</v>
      </c>
      <c r="CL70" s="2" vm="2724">
        <f ca="1"/>
        <v>55.09</v>
      </c>
      <c r="CM70" s="2">
        <f t="shared" ca="1" si="91"/>
        <v>3.8265306122449135E-3</v>
      </c>
      <c r="CN70" s="2" vm="2725">
        <f ca="1"/>
        <v>28.6</v>
      </c>
      <c r="CO70" s="2">
        <f t="shared" ca="1" si="92"/>
        <v>1.4005602240897304E-3</v>
      </c>
      <c r="CP70" s="2" vm="2726">
        <f ca="1"/>
        <v>21.6479</v>
      </c>
      <c r="CQ70" s="2">
        <f t="shared" ca="1" si="93"/>
        <v>2.1782841823056343E-2</v>
      </c>
    </row>
    <row r="71" spans="1:95" x14ac:dyDescent="0.2">
      <c r="A71" s="7" vm="2727">
        <f ca="1"/>
        <v>45674</v>
      </c>
      <c r="B71" s="2" vm="2728">
        <f ca="1"/>
        <v>229.98</v>
      </c>
      <c r="C71" s="2">
        <f t="shared" ca="1" si="47"/>
        <v>7.5352668010163805E-3</v>
      </c>
      <c r="D71" s="2" vm="2729">
        <f ca="1"/>
        <v>137.71</v>
      </c>
      <c r="E71" s="2">
        <f t="shared" ca="1" si="48"/>
        <v>3.0994983903571274E-2</v>
      </c>
      <c r="F71" s="2" vm="2730">
        <f ca="1"/>
        <v>429.03</v>
      </c>
      <c r="G71" s="2">
        <f t="shared" ca="1" si="49"/>
        <v>1.0480945875924417E-2</v>
      </c>
      <c r="H71" s="2" vm="2731">
        <f ca="1"/>
        <v>612.77</v>
      </c>
      <c r="I71" s="2">
        <f t="shared" ca="1" si="50"/>
        <v>2.4047112710617168E-3</v>
      </c>
      <c r="J71" s="2" vm="2732">
        <f ca="1"/>
        <v>196</v>
      </c>
      <c r="K71" s="2">
        <f t="shared" ca="1" si="51"/>
        <v>1.6017832149707135E-2</v>
      </c>
      <c r="L71" s="2" vm="2733">
        <f ca="1"/>
        <v>597.58000000000004</v>
      </c>
      <c r="M71" s="2">
        <f t="shared" ca="1" si="52"/>
        <v>1.0039889121763327E-2</v>
      </c>
      <c r="N71" s="2" vm="2734">
        <f ca="1"/>
        <v>87.19</v>
      </c>
      <c r="O71" s="2">
        <f t="shared" ca="1" si="53"/>
        <v>1.7233455882351961E-3</v>
      </c>
      <c r="P71" s="2" vm="2735">
        <f ca="1"/>
        <v>249.27</v>
      </c>
      <c r="Q71" s="2">
        <f t="shared" ca="1" si="54"/>
        <v>-5.3072625698323385E-3</v>
      </c>
      <c r="R71" s="2" vm="2736">
        <f ca="1"/>
        <v>82.52</v>
      </c>
      <c r="S71" s="2">
        <f t="shared" ca="1" si="55"/>
        <v>-5.0639016156257743E-3</v>
      </c>
      <c r="T71" s="2" vm="745">
        <f ca="1"/>
        <v>92.45</v>
      </c>
      <c r="U71" s="2">
        <f t="shared" ca="1" si="56"/>
        <v>7.5773977051317811E-4</v>
      </c>
      <c r="V71" s="2" vm="2737">
        <f ca="1"/>
        <v>46.692399999999999</v>
      </c>
      <c r="W71" s="2">
        <f t="shared" ca="1" si="57"/>
        <v>4.1780133653577855E-4</v>
      </c>
      <c r="X71" s="2" vm="2738">
        <f ca="1"/>
        <v>166.99</v>
      </c>
      <c r="Y71" s="2">
        <f t="shared" ca="1" si="58"/>
        <v>6.4488910318226955E-3</v>
      </c>
      <c r="Z71" s="2" vm="2739">
        <f ca="1"/>
        <v>93.96</v>
      </c>
      <c r="AA71" s="2">
        <f t="shared" ca="1" si="59"/>
        <v>7.72200772200771E-3</v>
      </c>
      <c r="AB71" s="2" vm="2740">
        <f ca="1"/>
        <v>15.54</v>
      </c>
      <c r="AC71" s="2">
        <f t="shared" ca="1" si="60"/>
        <v>-4.4843049327354442E-3</v>
      </c>
      <c r="AD71" s="2" vm="1398">
        <f ca="1"/>
        <v>5</v>
      </c>
      <c r="AE71" s="2">
        <f t="shared" ca="1" si="61"/>
        <v>0.16279069767441864</v>
      </c>
      <c r="AF71" s="2" vm="1119">
        <f ca="1"/>
        <v>27.61</v>
      </c>
      <c r="AG71" s="2">
        <f t="shared" ca="1" si="62"/>
        <v>-1.5335235378031374E-2</v>
      </c>
      <c r="AH71" s="2" vm="166">
        <f ca="1"/>
        <v>26.6</v>
      </c>
      <c r="AI71" s="2">
        <f t="shared" ca="1" si="63"/>
        <v>9.8709187547456941E-3</v>
      </c>
      <c r="AJ71" s="2" vm="1995">
        <f ca="1"/>
        <v>4.75</v>
      </c>
      <c r="AK71" s="2">
        <f t="shared" ca="1" si="64"/>
        <v>0</v>
      </c>
      <c r="AL71" s="2" vm="2741">
        <f ca="1"/>
        <v>53.53</v>
      </c>
      <c r="AM71" s="2">
        <f t="shared" ca="1" si="65"/>
        <v>-4.8336121955753486E-3</v>
      </c>
      <c r="AN71" s="2" vm="2050">
        <f ca="1"/>
        <v>86.12</v>
      </c>
      <c r="AO71" s="2">
        <f t="shared" ca="1" si="66"/>
        <v>6.7804535889642069E-3</v>
      </c>
      <c r="AP71" s="2" vm="2742">
        <f ca="1"/>
        <v>25.95</v>
      </c>
      <c r="AQ71" s="2">
        <f t="shared" ca="1" si="67"/>
        <v>7.7130736598532868E-4</v>
      </c>
      <c r="AR71" s="2" vm="1121">
        <f ca="1"/>
        <v>51</v>
      </c>
      <c r="AS71" s="2">
        <f t="shared" ca="1" si="68"/>
        <v>0</v>
      </c>
      <c r="AT71" s="2" vm="885">
        <f ca="1"/>
        <v>29.02</v>
      </c>
      <c r="AU71" s="2">
        <f t="shared" ca="1" si="69"/>
        <v>0</v>
      </c>
      <c r="AV71" s="2" vm="1161">
        <f ca="1"/>
        <v>26.1</v>
      </c>
      <c r="AW71" s="2">
        <f t="shared" ca="1" si="70"/>
        <v>1.5349194167307253E-3</v>
      </c>
      <c r="AX71" s="2" vm="1204">
        <f ca="1"/>
        <v>91.63</v>
      </c>
      <c r="AY71" s="2">
        <f t="shared" ca="1" si="71"/>
        <v>5.4597073596852105E-4</v>
      </c>
      <c r="AZ71" s="2" vm="2743">
        <f ca="1"/>
        <v>467.95</v>
      </c>
      <c r="BA71" s="2">
        <f t="shared" ca="1" si="72"/>
        <v>1.1106069445344712E-2</v>
      </c>
      <c r="BB71" s="2" vm="2744">
        <f ca="1"/>
        <v>259.16000000000003</v>
      </c>
      <c r="BC71" s="2">
        <f t="shared" ca="1" si="73"/>
        <v>1.9231525543713431E-2</v>
      </c>
      <c r="BD71" s="2" vm="2745">
        <f ca="1"/>
        <v>46.53</v>
      </c>
      <c r="BE71" s="2">
        <f t="shared" ca="1" si="74"/>
        <v>-2.3584905660377236E-3</v>
      </c>
      <c r="BF71" s="2" vm="2746">
        <f ca="1"/>
        <v>112.32</v>
      </c>
      <c r="BG71" s="2">
        <f t="shared" ca="1" si="75"/>
        <v>8.9831117499101689E-3</v>
      </c>
      <c r="BH71" s="2" vm="2747">
        <f ca="1"/>
        <v>161.47</v>
      </c>
      <c r="BI71" s="2">
        <f t="shared" ca="1" si="76"/>
        <v>1.3113314092106936E-2</v>
      </c>
      <c r="BJ71" s="2" vm="2748">
        <f ca="1"/>
        <v>147.03</v>
      </c>
      <c r="BK71" s="2">
        <f t="shared" ca="1" si="77"/>
        <v>-5.0077823644854103E-3</v>
      </c>
      <c r="BL71" s="2" vm="2749">
        <f ca="1"/>
        <v>62.71</v>
      </c>
      <c r="BM71" s="2">
        <f t="shared" ca="1" si="78"/>
        <v>7.3895582329317408E-3</v>
      </c>
      <c r="BN71" s="2" vm="2750">
        <f ca="1"/>
        <v>280.95</v>
      </c>
      <c r="BO71" s="2">
        <f t="shared" ca="1" si="79"/>
        <v>4.3254450561234703E-3</v>
      </c>
      <c r="BP71" s="2" vm="2751">
        <f ca="1"/>
        <v>107.02</v>
      </c>
      <c r="BQ71" s="2">
        <f t="shared" ca="1" si="80"/>
        <v>5.2601916212662251E-3</v>
      </c>
      <c r="BR71" s="2" vm="2752">
        <f ca="1"/>
        <v>858.1</v>
      </c>
      <c r="BS71" s="2">
        <f t="shared" ca="1" si="81"/>
        <v>1.8673504517017485E-2</v>
      </c>
      <c r="BT71" s="2" vm="2753">
        <f ca="1"/>
        <v>161.13</v>
      </c>
      <c r="BU71" s="2">
        <f t="shared" ca="1" si="82"/>
        <v>3.9252336448597847E-3</v>
      </c>
      <c r="BV71" s="2" vm="2754">
        <f ca="1"/>
        <v>148.25</v>
      </c>
      <c r="BW71" s="2">
        <f t="shared" ca="1" si="83"/>
        <v>1.1669168827623913E-2</v>
      </c>
      <c r="BX71" s="2" vm="2755">
        <f ca="1"/>
        <v>299.51</v>
      </c>
      <c r="BY71" s="2">
        <f t="shared" ca="1" si="84"/>
        <v>1.8741496598639426E-2</v>
      </c>
      <c r="BZ71" s="2" vm="2756">
        <f ca="1"/>
        <v>99.12</v>
      </c>
      <c r="CA71" s="2">
        <f t="shared" ca="1" si="85"/>
        <v>-1.0087763542813382E-4</v>
      </c>
      <c r="CB71" s="2" vm="2757">
        <f ca="1"/>
        <v>32.4285</v>
      </c>
      <c r="CC71" s="2">
        <f t="shared" ca="1" si="86"/>
        <v>-2.8136531365314716E-3</v>
      </c>
      <c r="CD71" s="2" t="e" vm="92">
        <f ca="1"/>
        <v>#N/A</v>
      </c>
      <c r="CE71" s="2" t="e" vm="140">
        <f t="shared" ca="1" si="87"/>
        <v>#N/A</v>
      </c>
      <c r="CF71" s="2" vm="2722">
        <f ca="1"/>
        <v>22.454999999999998</v>
      </c>
      <c r="CG71" s="2">
        <f t="shared" ca="1" si="88"/>
        <v>0</v>
      </c>
      <c r="CH71" s="2" vm="1299">
        <f ca="1"/>
        <v>58.26</v>
      </c>
      <c r="CI71" s="2">
        <f t="shared" ca="1" si="89"/>
        <v>-1.7161489617307561E-4</v>
      </c>
      <c r="CJ71" s="2" vm="2393">
        <f ca="1"/>
        <v>58.01</v>
      </c>
      <c r="CK71" s="2">
        <f t="shared" ca="1" si="90"/>
        <v>-3.4464931931764821E-4</v>
      </c>
      <c r="CL71" s="2" vm="2758">
        <f ca="1"/>
        <v>55.16</v>
      </c>
      <c r="CM71" s="2">
        <f t="shared" ca="1" si="91"/>
        <v>1.2706480304954288E-3</v>
      </c>
      <c r="CN71" s="2" vm="2395">
        <f ca="1"/>
        <v>28.63</v>
      </c>
      <c r="CO71" s="2">
        <f t="shared" ca="1" si="92"/>
        <v>1.0489510489509644E-3</v>
      </c>
      <c r="CP71" s="2" vm="2759">
        <f ca="1"/>
        <v>21.710599999999999</v>
      </c>
      <c r="CQ71" s="2">
        <f t="shared" ca="1" si="93"/>
        <v>2.8963548427329918E-3</v>
      </c>
    </row>
    <row r="72" spans="1:95" x14ac:dyDescent="0.2">
      <c r="A72" s="7" vm="2760">
        <f ca="1"/>
        <v>45678</v>
      </c>
      <c r="B72" s="2" vm="2761">
        <f ca="1"/>
        <v>222.64</v>
      </c>
      <c r="C72" s="2">
        <f t="shared" ca="1" si="47"/>
        <v>-3.1915818766849305E-2</v>
      </c>
      <c r="D72" s="2" vm="2762">
        <f ca="1"/>
        <v>140.83000000000001</v>
      </c>
      <c r="E72" s="2">
        <f t="shared" ca="1" si="48"/>
        <v>2.2656306731537321E-2</v>
      </c>
      <c r="F72" s="2" vm="2763">
        <f ca="1"/>
        <v>428.5</v>
      </c>
      <c r="G72" s="2">
        <f t="shared" ca="1" si="49"/>
        <v>-1.235344847679586E-3</v>
      </c>
      <c r="H72" s="2" vm="2764">
        <f ca="1"/>
        <v>616.46</v>
      </c>
      <c r="I72" s="2">
        <f t="shared" ca="1" si="50"/>
        <v>6.0218352726146103E-3</v>
      </c>
      <c r="J72" s="2" vm="2765">
        <f ca="1"/>
        <v>198.05</v>
      </c>
      <c r="K72" s="2">
        <f t="shared" ca="1" si="51"/>
        <v>1.0459183673469446E-2</v>
      </c>
      <c r="L72" s="2" vm="2766">
        <f ca="1"/>
        <v>603.04999999999995</v>
      </c>
      <c r="M72" s="2">
        <f t="shared" ca="1" si="52"/>
        <v>9.1535861307271219E-3</v>
      </c>
      <c r="N72" s="2" vm="2767">
        <f ca="1"/>
        <v>87.97</v>
      </c>
      <c r="O72" s="2">
        <f t="shared" ca="1" si="53"/>
        <v>8.9459800435829923E-3</v>
      </c>
      <c r="P72" s="2" vm="2768">
        <f ca="1"/>
        <v>253.13</v>
      </c>
      <c r="Q72" s="2">
        <f t="shared" ca="1" si="54"/>
        <v>1.5485216833152746E-2</v>
      </c>
      <c r="R72" s="2" vm="2769">
        <f ca="1"/>
        <v>81.11</v>
      </c>
      <c r="S72" s="2">
        <f t="shared" ca="1" si="55"/>
        <v>-1.7086766844401316E-2</v>
      </c>
      <c r="T72" s="2" vm="2495">
        <f ca="1"/>
        <v>92.76</v>
      </c>
      <c r="U72" s="2">
        <f t="shared" ca="1" si="56"/>
        <v>3.3531638723634642E-3</v>
      </c>
      <c r="V72" s="2" vm="2770">
        <f ca="1"/>
        <v>46.835000000000001</v>
      </c>
      <c r="W72" s="2">
        <f t="shared" ca="1" si="57"/>
        <v>3.0540302062006153E-3</v>
      </c>
      <c r="X72" s="2" vm="827">
        <f ca="1"/>
        <v>169.24</v>
      </c>
      <c r="Y72" s="2">
        <f t="shared" ca="1" si="58"/>
        <v>1.3473860710222168E-2</v>
      </c>
      <c r="Z72" s="2" vm="2771">
        <f ca="1"/>
        <v>93.48</v>
      </c>
      <c r="AA72" s="2">
        <f t="shared" ca="1" si="59"/>
        <v>-5.1085568326946548E-3</v>
      </c>
      <c r="AB72" s="2" vm="2772">
        <f ca="1"/>
        <v>15.26</v>
      </c>
      <c r="AC72" s="2">
        <f t="shared" ca="1" si="60"/>
        <v>-1.8018018018017976E-2</v>
      </c>
      <c r="AD72" s="2" vm="1276">
        <f ca="1"/>
        <v>4.8</v>
      </c>
      <c r="AE72" s="2">
        <f t="shared" ca="1" si="61"/>
        <v>-4.0000000000000036E-2</v>
      </c>
      <c r="AF72" s="2" vm="1362">
        <f ca="1"/>
        <v>28.04</v>
      </c>
      <c r="AG72" s="2">
        <f t="shared" ca="1" si="62"/>
        <v>1.5574067366896042E-2</v>
      </c>
      <c r="AH72" s="2" vm="1162">
        <f ca="1"/>
        <v>26.92</v>
      </c>
      <c r="AI72" s="2">
        <f t="shared" ca="1" si="63"/>
        <v>1.2030075187969934E-2</v>
      </c>
      <c r="AJ72" s="2" vm="1238">
        <f ca="1"/>
        <v>4.93</v>
      </c>
      <c r="AK72" s="2">
        <f t="shared" ca="1" si="64"/>
        <v>3.7894736842105203E-2</v>
      </c>
      <c r="AL72" s="2" vm="2773">
        <f ca="1"/>
        <v>54.34</v>
      </c>
      <c r="AM72" s="2">
        <f t="shared" ca="1" si="65"/>
        <v>1.5131701849430268E-2</v>
      </c>
      <c r="AN72" s="2" vm="2774">
        <f ca="1"/>
        <v>86.5</v>
      </c>
      <c r="AO72" s="2">
        <f t="shared" ca="1" si="66"/>
        <v>4.4124477473292548E-3</v>
      </c>
      <c r="AP72" s="2" vm="2673">
        <f ca="1"/>
        <v>25.97</v>
      </c>
      <c r="AQ72" s="2">
        <f t="shared" ca="1" si="67"/>
        <v>7.7071290944121678E-4</v>
      </c>
      <c r="AR72" s="2" vm="552">
        <f ca="1"/>
        <v>51.01</v>
      </c>
      <c r="AS72" s="2">
        <f t="shared" ca="1" si="68"/>
        <v>1.9607843137251001E-4</v>
      </c>
      <c r="AT72" s="2" vm="966">
        <f ca="1"/>
        <v>29.03</v>
      </c>
      <c r="AU72" s="2">
        <f t="shared" ca="1" si="69"/>
        <v>3.4458993797386505E-4</v>
      </c>
      <c r="AV72" s="2" vm="758">
        <f ca="1"/>
        <v>26.31</v>
      </c>
      <c r="AW72" s="2">
        <f t="shared" ca="1" si="70"/>
        <v>8.0459770114941487E-3</v>
      </c>
      <c r="AX72" s="2" vm="1204">
        <f ca="1"/>
        <v>91.63</v>
      </c>
      <c r="AY72" s="2">
        <f t="shared" ca="1" si="71"/>
        <v>0</v>
      </c>
      <c r="AZ72" s="2" vm="2775">
        <f ca="1"/>
        <v>468.57</v>
      </c>
      <c r="BA72" s="2">
        <f t="shared" ca="1" si="72"/>
        <v>1.324927876909936E-3</v>
      </c>
      <c r="BB72" s="2" vm="2776">
        <f ca="1"/>
        <v>263.02999999999997</v>
      </c>
      <c r="BC72" s="2">
        <f t="shared" ca="1" si="73"/>
        <v>1.4932860009260486E-2</v>
      </c>
      <c r="BD72" s="2" vm="2777">
        <f ca="1"/>
        <v>46.66</v>
      </c>
      <c r="BE72" s="2">
        <f t="shared" ca="1" si="74"/>
        <v>2.7938964109175896E-3</v>
      </c>
      <c r="BF72" s="2" vm="2778">
        <f ca="1"/>
        <v>111.47</v>
      </c>
      <c r="BG72" s="2">
        <f t="shared" ca="1" si="75"/>
        <v>-7.5676638176637679E-3</v>
      </c>
      <c r="BH72" s="2" vm="851">
        <f ca="1"/>
        <v>158.24</v>
      </c>
      <c r="BI72" s="2">
        <f t="shared" ca="1" si="76"/>
        <v>-2.0003715860531304E-2</v>
      </c>
      <c r="BJ72" s="2" vm="2779">
        <f ca="1"/>
        <v>148.15</v>
      </c>
      <c r="BK72" s="2">
        <f t="shared" ca="1" si="77"/>
        <v>7.6174930286336427E-3</v>
      </c>
      <c r="BL72" s="2" vm="2780">
        <f ca="1"/>
        <v>62.42</v>
      </c>
      <c r="BM72" s="2">
        <f t="shared" ca="1" si="78"/>
        <v>-4.6244618083240178E-3</v>
      </c>
      <c r="BN72" s="2" vm="2781">
        <f ca="1"/>
        <v>282.61</v>
      </c>
      <c r="BO72" s="2">
        <f t="shared" ca="1" si="79"/>
        <v>5.9085246485140594E-3</v>
      </c>
      <c r="BP72" s="2" vm="2782">
        <f ca="1"/>
        <v>108.7</v>
      </c>
      <c r="BQ72" s="2">
        <f t="shared" ca="1" si="80"/>
        <v>1.5698000373761976E-2</v>
      </c>
      <c r="BR72" s="2" vm="2783">
        <f ca="1"/>
        <v>869.68</v>
      </c>
      <c r="BS72" s="2">
        <f t="shared" ca="1" si="81"/>
        <v>1.3494930660762064E-2</v>
      </c>
      <c r="BT72" s="2" vm="2784">
        <f ca="1"/>
        <v>161.72</v>
      </c>
      <c r="BU72" s="2">
        <f t="shared" ca="1" si="82"/>
        <v>3.661639669831834E-3</v>
      </c>
      <c r="BV72" s="2" vm="2785">
        <f ca="1"/>
        <v>148.55000000000001</v>
      </c>
      <c r="BW72" s="2">
        <f t="shared" ca="1" si="83"/>
        <v>2.0236087689714088E-3</v>
      </c>
      <c r="BX72" s="2" vm="2786">
        <f ca="1"/>
        <v>299.62</v>
      </c>
      <c r="BY72" s="2">
        <f t="shared" ca="1" si="84"/>
        <v>3.672665353411026E-4</v>
      </c>
      <c r="BZ72" s="2" vm="1605">
        <f ca="1"/>
        <v>98.15</v>
      </c>
      <c r="CA72" s="2">
        <f t="shared" ca="1" si="85"/>
        <v>-9.7861178369652822E-3</v>
      </c>
      <c r="CB72" s="2" vm="2787">
        <f ca="1"/>
        <v>32.01</v>
      </c>
      <c r="CC72" s="2">
        <f t="shared" ca="1" si="86"/>
        <v>-1.2905314769415843E-2</v>
      </c>
      <c r="CD72" s="2" t="e" vm="92">
        <f ca="1"/>
        <v>#N/A</v>
      </c>
      <c r="CE72" s="2" t="e" vm="140">
        <f t="shared" ca="1" si="87"/>
        <v>#N/A</v>
      </c>
      <c r="CF72" s="2" vm="2788">
        <f ca="1"/>
        <v>22.515000000000001</v>
      </c>
      <c r="CG72" s="2">
        <f t="shared" ca="1" si="88"/>
        <v>2.6720106880428534E-3</v>
      </c>
      <c r="CH72" s="2" vm="986">
        <f ca="1"/>
        <v>58.27</v>
      </c>
      <c r="CI72" s="2">
        <f t="shared" ca="1" si="89"/>
        <v>1.7164435290087737E-4</v>
      </c>
      <c r="CJ72" s="2" vm="779">
        <f ca="1"/>
        <v>58.13</v>
      </c>
      <c r="CK72" s="2">
        <f t="shared" ca="1" si="90"/>
        <v>2.0686088605413643E-3</v>
      </c>
      <c r="CL72" s="2" vm="2789">
        <f ca="1"/>
        <v>55.6</v>
      </c>
      <c r="CM72" s="2">
        <f t="shared" ca="1" si="91"/>
        <v>7.9767947788253243E-3</v>
      </c>
      <c r="CN72" s="2" vm="2790">
        <f ca="1"/>
        <v>28.77</v>
      </c>
      <c r="CO72" s="2">
        <f t="shared" ca="1" si="92"/>
        <v>4.8899755501222693E-3</v>
      </c>
      <c r="CP72" s="2" vm="2791">
        <f ca="1"/>
        <v>21.94</v>
      </c>
      <c r="CQ72" s="2">
        <f t="shared" ca="1" si="93"/>
        <v>1.0566267169032723E-2</v>
      </c>
    </row>
    <row r="73" spans="1:95" x14ac:dyDescent="0.2">
      <c r="A73" s="7" vm="2792">
        <f ca="1"/>
        <v>45679</v>
      </c>
      <c r="B73" s="2" vm="2793">
        <f ca="1"/>
        <v>223.83</v>
      </c>
      <c r="C73" s="2">
        <f t="shared" ca="1" si="47"/>
        <v>5.3449514911966681E-3</v>
      </c>
      <c r="D73" s="2" vm="2794">
        <f ca="1"/>
        <v>147.07</v>
      </c>
      <c r="E73" s="2">
        <f t="shared" ca="1" si="48"/>
        <v>4.4308741035290637E-2</v>
      </c>
      <c r="F73" s="2" vm="2795">
        <f ca="1"/>
        <v>446.2</v>
      </c>
      <c r="G73" s="2">
        <f t="shared" ca="1" si="49"/>
        <v>4.1306884480746764E-2</v>
      </c>
      <c r="H73" s="2" vm="2796">
        <f ca="1"/>
        <v>623.5</v>
      </c>
      <c r="I73" s="2">
        <f t="shared" ca="1" si="50"/>
        <v>1.1420043474029074E-2</v>
      </c>
      <c r="J73" s="2" vm="2797">
        <f ca="1"/>
        <v>198.37</v>
      </c>
      <c r="K73" s="2">
        <f t="shared" ca="1" si="51"/>
        <v>1.6157535975763351E-3</v>
      </c>
      <c r="L73" s="2" vm="2798">
        <f ca="1"/>
        <v>606.44000000000005</v>
      </c>
      <c r="M73" s="2">
        <f t="shared" ca="1" si="52"/>
        <v>5.621424425835503E-3</v>
      </c>
      <c r="N73" s="2" vm="2799">
        <f ca="1"/>
        <v>87.51</v>
      </c>
      <c r="O73" s="2">
        <f t="shared" ca="1" si="53"/>
        <v>-5.229055359781673E-3</v>
      </c>
      <c r="P73" s="2" vm="2800">
        <f ca="1"/>
        <v>254.43</v>
      </c>
      <c r="Q73" s="2">
        <f t="shared" ca="1" si="54"/>
        <v>5.13570102318971E-3</v>
      </c>
      <c r="R73" s="2" vm="2801">
        <f ca="1"/>
        <v>80.430000000000007</v>
      </c>
      <c r="S73" s="2">
        <f t="shared" ca="1" si="55"/>
        <v>-8.383676488718933E-3</v>
      </c>
      <c r="T73" s="2" vm="2802">
        <f ca="1"/>
        <v>92.52</v>
      </c>
      <c r="U73" s="2">
        <f t="shared" ca="1" si="56"/>
        <v>-2.5873221216042375E-3</v>
      </c>
      <c r="V73" s="2" vm="2803">
        <f ca="1"/>
        <v>46.5139</v>
      </c>
      <c r="W73" s="2">
        <f t="shared" ca="1" si="57"/>
        <v>-6.8559837728194998E-3</v>
      </c>
      <c r="X73" s="2" vm="2804">
        <f ca="1"/>
        <v>168.9</v>
      </c>
      <c r="Y73" s="2">
        <f t="shared" ca="1" si="58"/>
        <v>-2.0089813282912041E-3</v>
      </c>
      <c r="Z73" s="2" vm="717">
        <f ca="1"/>
        <v>91.78</v>
      </c>
      <c r="AA73" s="2">
        <f t="shared" ca="1" si="59"/>
        <v>-1.8185708172871233E-2</v>
      </c>
      <c r="AB73" s="2" vm="2805">
        <f ca="1"/>
        <v>15.14</v>
      </c>
      <c r="AC73" s="2">
        <f t="shared" ca="1" si="60"/>
        <v>-7.8636959370903814E-3</v>
      </c>
      <c r="AD73" s="2" vm="1276">
        <f ca="1"/>
        <v>4.8</v>
      </c>
      <c r="AE73" s="2">
        <f t="shared" ca="1" si="61"/>
        <v>0</v>
      </c>
      <c r="AF73" s="2" vm="75">
        <f ca="1"/>
        <v>28.05</v>
      </c>
      <c r="AG73" s="2">
        <f t="shared" ca="1" si="62"/>
        <v>3.5663338088450652E-4</v>
      </c>
      <c r="AH73" s="2" vm="2806">
        <f ca="1"/>
        <v>27.22</v>
      </c>
      <c r="AI73" s="2">
        <f t="shared" ca="1" si="63"/>
        <v>1.1144130757800786E-2</v>
      </c>
      <c r="AJ73" s="2" vm="1819">
        <f ca="1"/>
        <v>4.9000000000000004</v>
      </c>
      <c r="AK73" s="2">
        <f t="shared" ca="1" si="64"/>
        <v>-6.0851926977686334E-3</v>
      </c>
      <c r="AL73" s="2" vm="2807">
        <f ca="1"/>
        <v>54.62</v>
      </c>
      <c r="AM73" s="2">
        <f t="shared" ca="1" si="65"/>
        <v>5.152741994847148E-3</v>
      </c>
      <c r="AN73" s="2" vm="2808">
        <f ca="1"/>
        <v>86.79</v>
      </c>
      <c r="AO73" s="2">
        <f t="shared" ca="1" si="66"/>
        <v>3.3526011560694366E-3</v>
      </c>
      <c r="AP73" s="2" vm="2809">
        <f ca="1"/>
        <v>25.94</v>
      </c>
      <c r="AQ73" s="2">
        <f t="shared" ca="1" si="67"/>
        <v>-1.1551790527530837E-3</v>
      </c>
      <c r="AR73" s="2" vm="552">
        <f ca="1"/>
        <v>51.01</v>
      </c>
      <c r="AS73" s="2">
        <f t="shared" ca="1" si="68"/>
        <v>0</v>
      </c>
      <c r="AT73" s="2" vm="800">
        <f ca="1"/>
        <v>29.01</v>
      </c>
      <c r="AU73" s="2">
        <f t="shared" ca="1" si="69"/>
        <v>-6.8894247330346446E-4</v>
      </c>
      <c r="AV73" s="2" vm="2376">
        <f ca="1"/>
        <v>26.2</v>
      </c>
      <c r="AW73" s="2">
        <f t="shared" ca="1" si="70"/>
        <v>-4.1809198023564972E-3</v>
      </c>
      <c r="AX73" s="2" vm="1963">
        <f ca="1"/>
        <v>91.65</v>
      </c>
      <c r="AY73" s="2">
        <f t="shared" ca="1" si="71"/>
        <v>2.1826912583226271E-4</v>
      </c>
      <c r="AZ73" s="2" vm="2810">
        <f ca="1"/>
        <v>460.51</v>
      </c>
      <c r="BA73" s="2">
        <f t="shared" ca="1" si="72"/>
        <v>-1.7201271955097429E-2</v>
      </c>
      <c r="BB73" s="2" vm="2811">
        <f ca="1"/>
        <v>262.83999999999997</v>
      </c>
      <c r="BC73" s="2">
        <f t="shared" ca="1" si="73"/>
        <v>-7.2235106261642299E-4</v>
      </c>
      <c r="BD73" s="2" vm="2812">
        <f ca="1"/>
        <v>45.79</v>
      </c>
      <c r="BE73" s="2">
        <f t="shared" ca="1" si="74"/>
        <v>-1.8645520788684044E-2</v>
      </c>
      <c r="BF73" s="2" vm="2813">
        <f ca="1"/>
        <v>109.53</v>
      </c>
      <c r="BG73" s="2">
        <f t="shared" ca="1" si="75"/>
        <v>-1.7403785771956559E-2</v>
      </c>
      <c r="BH73" s="2" vm="2814">
        <f ca="1"/>
        <v>156.41</v>
      </c>
      <c r="BI73" s="2">
        <f t="shared" ca="1" si="76"/>
        <v>-1.1564711830131524E-2</v>
      </c>
      <c r="BJ73" s="2" vm="2157">
        <f ca="1"/>
        <v>145.27000000000001</v>
      </c>
      <c r="BK73" s="2">
        <f t="shared" ca="1" si="77"/>
        <v>-1.943975700303743E-2</v>
      </c>
      <c r="BL73" s="2" vm="2815">
        <f ca="1"/>
        <v>61.78</v>
      </c>
      <c r="BM73" s="2">
        <f t="shared" ca="1" si="78"/>
        <v>-1.0253123998718368E-2</v>
      </c>
      <c r="BN73" s="2" vm="2816">
        <f ca="1"/>
        <v>281.35000000000002</v>
      </c>
      <c r="BO73" s="2">
        <f t="shared" ca="1" si="79"/>
        <v>-4.4584409610416856E-3</v>
      </c>
      <c r="BP73" s="2" vm="2817">
        <f ca="1"/>
        <v>108.81</v>
      </c>
      <c r="BQ73" s="2">
        <f t="shared" ca="1" si="80"/>
        <v>1.01195952161913E-3</v>
      </c>
      <c r="BR73" s="2" vm="2818">
        <f ca="1"/>
        <v>953.99</v>
      </c>
      <c r="BS73" s="2">
        <f t="shared" ca="1" si="81"/>
        <v>9.6943703431147166E-2</v>
      </c>
      <c r="BT73" s="2" vm="1136">
        <f ca="1"/>
        <v>164.74</v>
      </c>
      <c r="BU73" s="2">
        <f t="shared" ca="1" si="82"/>
        <v>1.8674251793222917E-2</v>
      </c>
      <c r="BV73" s="2" vm="2819">
        <f ca="1"/>
        <v>148.09</v>
      </c>
      <c r="BW73" s="2">
        <f t="shared" ca="1" si="83"/>
        <v>-3.0966004712218642E-3</v>
      </c>
      <c r="BX73" s="2" vm="2820">
        <f ca="1"/>
        <v>290.99</v>
      </c>
      <c r="BY73" s="2">
        <f t="shared" ca="1" si="84"/>
        <v>-2.8803150657499485E-2</v>
      </c>
      <c r="BZ73" s="2" vm="2821">
        <f ca="1"/>
        <v>97.16</v>
      </c>
      <c r="CA73" s="2">
        <f t="shared" ca="1" si="85"/>
        <v>-1.0086602139582365E-2</v>
      </c>
      <c r="CB73" s="2" vm="184">
        <f ca="1"/>
        <v>31.69</v>
      </c>
      <c r="CC73" s="2">
        <f t="shared" ca="1" si="86"/>
        <v>-9.9968759762573186E-3</v>
      </c>
      <c r="CD73" s="2" t="e" vm="92">
        <f ca="1"/>
        <v>#N/A</v>
      </c>
      <c r="CE73" s="2" t="e" vm="140">
        <f t="shared" ca="1" si="87"/>
        <v>#N/A</v>
      </c>
      <c r="CF73" s="2" vm="2822">
        <f ca="1"/>
        <v>22.48</v>
      </c>
      <c r="CG73" s="2">
        <f t="shared" ca="1" si="88"/>
        <v>-1.5545192094159512E-3</v>
      </c>
      <c r="CH73" s="2" vm="1299">
        <f ca="1"/>
        <v>58.26</v>
      </c>
      <c r="CI73" s="2">
        <f t="shared" ca="1" si="89"/>
        <v>-1.7161489617307561E-4</v>
      </c>
      <c r="CJ73" s="2" vm="2206">
        <f ca="1"/>
        <v>58.02</v>
      </c>
      <c r="CK73" s="2">
        <f t="shared" ca="1" si="90"/>
        <v>-1.8923103388955691E-3</v>
      </c>
      <c r="CL73" s="2" vm="2823">
        <f ca="1"/>
        <v>55.36</v>
      </c>
      <c r="CM73" s="2">
        <f t="shared" ca="1" si="91"/>
        <v>-4.3165467625899635E-3</v>
      </c>
      <c r="CN73" s="2" vm="2325">
        <f ca="1"/>
        <v>28.69</v>
      </c>
      <c r="CO73" s="2">
        <f t="shared" ca="1" si="92"/>
        <v>-2.7806743135209695E-3</v>
      </c>
      <c r="CP73" s="2" vm="2824">
        <f ca="1"/>
        <v>21.475300000000001</v>
      </c>
      <c r="CQ73" s="2">
        <f t="shared" ca="1" si="93"/>
        <v>-2.1180492251595285E-2</v>
      </c>
    </row>
    <row r="74" spans="1:95" x14ac:dyDescent="0.2">
      <c r="A74" s="7" vm="2825">
        <f ca="1"/>
        <v>45680</v>
      </c>
      <c r="B74" s="2" vm="2826">
        <f ca="1"/>
        <v>223.66</v>
      </c>
      <c r="C74" s="2">
        <f t="shared" ca="1" si="47"/>
        <v>-7.5950498145921418E-4</v>
      </c>
      <c r="D74" s="2" vm="2827">
        <f ca="1"/>
        <v>147.22</v>
      </c>
      <c r="E74" s="2">
        <f t="shared" ca="1" si="48"/>
        <v>1.0199224858911109E-3</v>
      </c>
      <c r="F74" s="2" vm="2828">
        <f ca="1"/>
        <v>446.71</v>
      </c>
      <c r="G74" s="2">
        <f t="shared" ca="1" si="49"/>
        <v>1.1429852084266941E-3</v>
      </c>
      <c r="H74" s="2" vm="2829">
        <f ca="1"/>
        <v>636.45000000000005</v>
      </c>
      <c r="I74" s="2">
        <f t="shared" ca="1" si="50"/>
        <v>2.0769847634322446E-2</v>
      </c>
      <c r="J74" s="2" vm="2830">
        <f ca="1"/>
        <v>197.98</v>
      </c>
      <c r="K74" s="2">
        <f t="shared" ca="1" si="51"/>
        <v>-1.9660230881686485E-3</v>
      </c>
      <c r="L74" s="2" vm="2831">
        <f ca="1"/>
        <v>609.75</v>
      </c>
      <c r="M74" s="2">
        <f t="shared" ca="1" si="52"/>
        <v>5.4580832398917374E-3</v>
      </c>
      <c r="N74" s="2" vm="2832">
        <f ca="1"/>
        <v>86.83</v>
      </c>
      <c r="O74" s="2">
        <f t="shared" ca="1" si="53"/>
        <v>-7.770540509656117E-3</v>
      </c>
      <c r="P74" s="2" vm="2833">
        <f ca="1"/>
        <v>254.07</v>
      </c>
      <c r="Q74" s="2">
        <f t="shared" ca="1" si="54"/>
        <v>-1.414927484966449E-3</v>
      </c>
      <c r="R74" s="2" vm="2834">
        <f ca="1"/>
        <v>79.209999999999994</v>
      </c>
      <c r="S74" s="2">
        <f t="shared" ca="1" si="55"/>
        <v>-1.5168469476563633E-2</v>
      </c>
      <c r="T74" s="2" vm="568">
        <f ca="1"/>
        <v>92.28</v>
      </c>
      <c r="U74" s="2">
        <f t="shared" ca="1" si="56"/>
        <v>-2.5940337224383365E-3</v>
      </c>
      <c r="V74" s="2" vm="2835">
        <f ca="1"/>
        <v>46.434699999999999</v>
      </c>
      <c r="W74" s="2">
        <f t="shared" ca="1" si="57"/>
        <v>-1.7027168222832349E-3</v>
      </c>
      <c r="X74" s="2" vm="2836">
        <f ca="1"/>
        <v>169.75</v>
      </c>
      <c r="Y74" s="2">
        <f t="shared" ca="1" si="58"/>
        <v>5.0325636471284449E-3</v>
      </c>
      <c r="Z74" s="2" vm="1844">
        <f ca="1"/>
        <v>92.2</v>
      </c>
      <c r="AA74" s="2">
        <f t="shared" ca="1" si="59"/>
        <v>4.5761603835258414E-3</v>
      </c>
      <c r="AB74" s="2" vm="2837">
        <f ca="1"/>
        <v>14.91</v>
      </c>
      <c r="AC74" s="2">
        <f t="shared" ca="1" si="60"/>
        <v>-1.5191545574636752E-2</v>
      </c>
      <c r="AD74" s="2" vm="2838">
        <f ca="1"/>
        <v>4.5</v>
      </c>
      <c r="AE74" s="2">
        <f t="shared" ca="1" si="61"/>
        <v>-6.2499999999999965E-2</v>
      </c>
      <c r="AF74" s="2" vm="2839">
        <f ca="1"/>
        <v>27.77</v>
      </c>
      <c r="AG74" s="2">
        <f t="shared" ca="1" si="62"/>
        <v>-9.9821746880570817E-3</v>
      </c>
      <c r="AH74" s="2" vm="2840">
        <f ca="1"/>
        <v>27.26</v>
      </c>
      <c r="AI74" s="2">
        <f t="shared" ca="1" si="63"/>
        <v>1.4695077149156025E-3</v>
      </c>
      <c r="AJ74" s="2" vm="1819">
        <f ca="1"/>
        <v>4.9000000000000004</v>
      </c>
      <c r="AK74" s="2">
        <f t="shared" ca="1" si="64"/>
        <v>0</v>
      </c>
      <c r="AL74" s="2" vm="2841">
        <f ca="1"/>
        <v>54.55</v>
      </c>
      <c r="AM74" s="2">
        <f t="shared" ca="1" si="65"/>
        <v>-1.2815818381545275E-3</v>
      </c>
      <c r="AN74" s="2" vm="2832">
        <f ca="1"/>
        <v>86.83</v>
      </c>
      <c r="AO74" s="2">
        <f t="shared" ca="1" si="66"/>
        <v>4.6088259016006499E-4</v>
      </c>
      <c r="AP74" s="2" vm="162">
        <f ca="1"/>
        <v>25.96</v>
      </c>
      <c r="AQ74" s="2">
        <f t="shared" ca="1" si="67"/>
        <v>7.7101002313028418E-4</v>
      </c>
      <c r="AR74" s="2" vm="715">
        <f ca="1"/>
        <v>51.03</v>
      </c>
      <c r="AS74" s="2">
        <f t="shared" ca="1" si="68"/>
        <v>3.9207998431686194E-4</v>
      </c>
      <c r="AT74" s="2" vm="885">
        <f ca="1"/>
        <v>29.02</v>
      </c>
      <c r="AU74" s="2">
        <f t="shared" ca="1" si="69"/>
        <v>3.4470872113057598E-4</v>
      </c>
      <c r="AV74" s="2" vm="2842">
        <f ca="1"/>
        <v>26.02</v>
      </c>
      <c r="AW74" s="2">
        <f t="shared" ca="1" si="70"/>
        <v>-6.8702290076335772E-3</v>
      </c>
      <c r="AX74" s="2" vm="1963">
        <f ca="1"/>
        <v>91.65</v>
      </c>
      <c r="AY74" s="2">
        <f t="shared" ca="1" si="71"/>
        <v>0</v>
      </c>
      <c r="AZ74" s="2" vm="2843">
        <f ca="1"/>
        <v>459.83</v>
      </c>
      <c r="BA74" s="2">
        <f t="shared" ca="1" si="72"/>
        <v>-1.4766237432412039E-3</v>
      </c>
      <c r="BB74" s="2" vm="2844">
        <f ca="1"/>
        <v>265.95</v>
      </c>
      <c r="BC74" s="2">
        <f t="shared" ca="1" si="73"/>
        <v>1.1832293410439865E-2</v>
      </c>
      <c r="BD74" s="2" vm="2845">
        <f ca="1"/>
        <v>46.39</v>
      </c>
      <c r="BE74" s="2">
        <f t="shared" ca="1" si="74"/>
        <v>1.3103297663245281E-2</v>
      </c>
      <c r="BF74" s="2" vm="2846">
        <f ca="1"/>
        <v>110.15</v>
      </c>
      <c r="BG74" s="2">
        <f t="shared" ca="1" si="75"/>
        <v>5.6605496211084138E-3</v>
      </c>
      <c r="BH74" s="2" vm="2847">
        <f ca="1"/>
        <v>156.01</v>
      </c>
      <c r="BI74" s="2">
        <f t="shared" ca="1" si="76"/>
        <v>-2.557381241608629E-3</v>
      </c>
      <c r="BJ74" s="2" vm="1861">
        <f ca="1"/>
        <v>146.63999999999999</v>
      </c>
      <c r="BK74" s="2">
        <f t="shared" ca="1" si="77"/>
        <v>9.4307152199351284E-3</v>
      </c>
      <c r="BL74" s="2" vm="2848">
        <f ca="1"/>
        <v>61.53</v>
      </c>
      <c r="BM74" s="2">
        <f t="shared" ca="1" si="78"/>
        <v>-4.046617028164454E-3</v>
      </c>
      <c r="BN74" s="2" vm="2849">
        <f ca="1"/>
        <v>284.43</v>
      </c>
      <c r="BO74" s="2">
        <f t="shared" ca="1" si="79"/>
        <v>1.0947218766660686E-2</v>
      </c>
      <c r="BP74" s="2" vm="2850">
        <f ca="1"/>
        <v>111.04</v>
      </c>
      <c r="BQ74" s="2">
        <f t="shared" ca="1" si="80"/>
        <v>2.0494439849278595E-2</v>
      </c>
      <c r="BR74" s="2" vm="2851">
        <f ca="1"/>
        <v>984.86</v>
      </c>
      <c r="BS74" s="2">
        <f t="shared" ca="1" si="81"/>
        <v>3.235882975712534E-2</v>
      </c>
      <c r="BT74" s="2" vm="2852">
        <f ca="1"/>
        <v>166.15</v>
      </c>
      <c r="BU74" s="2">
        <f t="shared" ca="1" si="82"/>
        <v>8.5589413621463915E-3</v>
      </c>
      <c r="BV74" s="2" vm="2853">
        <f ca="1"/>
        <v>148.62</v>
      </c>
      <c r="BW74" s="2">
        <f t="shared" ca="1" si="83"/>
        <v>3.578904720102648E-3</v>
      </c>
      <c r="BX74" s="2" vm="2820">
        <f ca="1"/>
        <v>290.99</v>
      </c>
      <c r="BY74" s="2">
        <f t="shared" ca="1" si="84"/>
        <v>0</v>
      </c>
      <c r="BZ74" s="2" vm="2854">
        <f ca="1"/>
        <v>97.79</v>
      </c>
      <c r="CA74" s="2">
        <f t="shared" ca="1" si="85"/>
        <v>6.4841498559078808E-3</v>
      </c>
      <c r="CB74" s="2" vm="2855">
        <f ca="1"/>
        <v>31.86</v>
      </c>
      <c r="CC74" s="2">
        <f t="shared" ca="1" si="86"/>
        <v>5.3644682865256598E-3</v>
      </c>
      <c r="CD74" s="2" t="e" vm="92">
        <f ca="1"/>
        <v>#N/A</v>
      </c>
      <c r="CE74" s="2" t="e" vm="140">
        <f t="shared" ca="1" si="87"/>
        <v>#N/A</v>
      </c>
      <c r="CF74" s="2" vm="2092">
        <f ca="1"/>
        <v>22.43</v>
      </c>
      <c r="CG74" s="2">
        <f t="shared" ca="1" si="88"/>
        <v>-2.2241992882562592E-3</v>
      </c>
      <c r="CH74" s="2" vm="986">
        <f ca="1"/>
        <v>58.27</v>
      </c>
      <c r="CI74" s="2">
        <f t="shared" ca="1" si="89"/>
        <v>1.7164435290087737E-4</v>
      </c>
      <c r="CJ74" s="2" vm="2856">
        <f ca="1"/>
        <v>57.94</v>
      </c>
      <c r="CK74" s="2">
        <f t="shared" ca="1" si="90"/>
        <v>-1.3788348845226715E-3</v>
      </c>
      <c r="CL74" s="2" vm="2857">
        <f ca="1"/>
        <v>54.99</v>
      </c>
      <c r="CM74" s="2">
        <f t="shared" ca="1" si="91"/>
        <v>-6.6835260115606478E-3</v>
      </c>
      <c r="CN74" s="2" vm="2130">
        <f ca="1"/>
        <v>28.66</v>
      </c>
      <c r="CO74" s="2">
        <f t="shared" ca="1" si="92"/>
        <v>-1.045660508888154E-3</v>
      </c>
      <c r="CP74" s="2" vm="2858">
        <f ca="1"/>
        <v>21.597899999999999</v>
      </c>
      <c r="CQ74" s="2">
        <f t="shared" ca="1" si="93"/>
        <v>5.7088841599418159E-3</v>
      </c>
    </row>
    <row r="75" spans="1:95" x14ac:dyDescent="0.2">
      <c r="A75" s="7" vm="2859">
        <f ca="1"/>
        <v>45681</v>
      </c>
      <c r="B75" s="2" vm="2860">
        <f ca="1"/>
        <v>222.78</v>
      </c>
      <c r="C75" s="2">
        <f t="shared" ca="1" si="47"/>
        <v>-3.934543503532127E-3</v>
      </c>
      <c r="D75" s="2" vm="2861">
        <f ca="1"/>
        <v>142.62</v>
      </c>
      <c r="E75" s="2">
        <f t="shared" ca="1" si="48"/>
        <v>-3.1245754652900384E-2</v>
      </c>
      <c r="F75" s="2" vm="2862">
        <f ca="1"/>
        <v>444.06</v>
      </c>
      <c r="G75" s="2">
        <f t="shared" ca="1" si="49"/>
        <v>-5.9322603031048719E-3</v>
      </c>
      <c r="H75" s="2" vm="2863">
        <f ca="1"/>
        <v>647.49</v>
      </c>
      <c r="I75" s="2">
        <f t="shared" ca="1" si="50"/>
        <v>1.7346217299080782E-2</v>
      </c>
      <c r="J75" s="2" vm="2864">
        <f ca="1"/>
        <v>200.21</v>
      </c>
      <c r="K75" s="2">
        <f t="shared" ca="1" si="51"/>
        <v>1.1263764016567422E-2</v>
      </c>
      <c r="L75" s="2" vm="2865">
        <f ca="1"/>
        <v>607.97</v>
      </c>
      <c r="M75" s="2">
        <f t="shared" ca="1" si="52"/>
        <v>-2.9192291922918783E-3</v>
      </c>
      <c r="N75" s="2" vm="2866">
        <f ca="1"/>
        <v>87.22</v>
      </c>
      <c r="O75" s="2">
        <f t="shared" ca="1" si="53"/>
        <v>4.4915351836922789E-3</v>
      </c>
      <c r="P75" s="2" vm="2867">
        <f ca="1"/>
        <v>255.65</v>
      </c>
      <c r="Q75" s="2">
        <f t="shared" ca="1" si="54"/>
        <v>6.2187586098319857E-3</v>
      </c>
      <c r="R75" s="2" vm="2868">
        <f ca="1"/>
        <v>79.599999999999994</v>
      </c>
      <c r="S75" s="2">
        <f t="shared" ca="1" si="55"/>
        <v>4.9236207549551896E-3</v>
      </c>
      <c r="T75" s="2" vm="2869">
        <f ca="1"/>
        <v>92.47</v>
      </c>
      <c r="U75" s="2">
        <f t="shared" ca="1" si="56"/>
        <v>2.0589510186389002E-3</v>
      </c>
      <c r="V75" s="2" vm="2870">
        <f ca="1"/>
        <v>46.515900000000002</v>
      </c>
      <c r="W75" s="2">
        <f t="shared" ca="1" si="57"/>
        <v>1.748692249546193E-3</v>
      </c>
      <c r="X75" s="2" vm="2871">
        <f ca="1"/>
        <v>172.06</v>
      </c>
      <c r="Y75" s="2">
        <f t="shared" ca="1" si="58"/>
        <v>1.3608247422680426E-2</v>
      </c>
      <c r="Z75" s="2" vm="2872">
        <f ca="1"/>
        <v>91.31</v>
      </c>
      <c r="AA75" s="2">
        <f t="shared" ca="1" si="59"/>
        <v>-9.6529284164859064E-3</v>
      </c>
      <c r="AB75" s="2" vm="2873">
        <f ca="1"/>
        <v>14.98</v>
      </c>
      <c r="AC75" s="2">
        <f t="shared" ca="1" si="60"/>
        <v>4.6948356807511929E-3</v>
      </c>
      <c r="AD75" s="2" vm="2874">
        <f ca="1"/>
        <v>4.5999999999999996</v>
      </c>
      <c r="AE75" s="2">
        <f t="shared" ca="1" si="61"/>
        <v>2.2222222222222143E-2</v>
      </c>
      <c r="AF75" s="2" vm="1668">
        <f ca="1"/>
        <v>27.91</v>
      </c>
      <c r="AG75" s="2">
        <f t="shared" ca="1" si="62"/>
        <v>5.0414115952466896E-3</v>
      </c>
      <c r="AH75" s="2" vm="1783">
        <f ca="1"/>
        <v>27.36</v>
      </c>
      <c r="AI75" s="2">
        <f t="shared" ca="1" si="63"/>
        <v>3.6683785766690341E-3</v>
      </c>
      <c r="AJ75" s="2" vm="1200">
        <f ca="1"/>
        <v>4.84</v>
      </c>
      <c r="AK75" s="2">
        <f t="shared" ca="1" si="64"/>
        <v>-1.2244897959183773E-2</v>
      </c>
      <c r="AL75" s="2" vm="2875">
        <f ca="1"/>
        <v>54.91</v>
      </c>
      <c r="AM75" s="2">
        <f t="shared" ca="1" si="65"/>
        <v>6.599450045829504E-3</v>
      </c>
      <c r="AN75" s="2" vm="2876">
        <f ca="1"/>
        <v>86.88</v>
      </c>
      <c r="AO75" s="2">
        <f t="shared" ca="1" si="66"/>
        <v>5.7583784406307914E-4</v>
      </c>
      <c r="AP75" s="2" vm="1199">
        <f ca="1"/>
        <v>26</v>
      </c>
      <c r="AQ75" s="2">
        <f t="shared" ca="1" si="67"/>
        <v>1.5408320493065927E-3</v>
      </c>
      <c r="AR75" s="2" vm="715">
        <f ca="1"/>
        <v>51.03</v>
      </c>
      <c r="AS75" s="2">
        <f t="shared" ca="1" si="68"/>
        <v>0</v>
      </c>
      <c r="AT75" s="2" vm="966">
        <f ca="1"/>
        <v>29.03</v>
      </c>
      <c r="AU75" s="2">
        <f t="shared" ca="1" si="69"/>
        <v>3.4458993797386505E-4</v>
      </c>
      <c r="AV75" s="2" vm="1997">
        <f ca="1"/>
        <v>26.12</v>
      </c>
      <c r="AW75" s="2">
        <f t="shared" ca="1" si="70"/>
        <v>3.843197540353629E-3</v>
      </c>
      <c r="AX75" s="2" vm="424">
        <f ca="1"/>
        <v>91.69</v>
      </c>
      <c r="AY75" s="2">
        <f t="shared" ca="1" si="71"/>
        <v>4.3644298963439211E-4</v>
      </c>
      <c r="AZ75" s="2" vm="2877">
        <f ca="1"/>
        <v>463.19</v>
      </c>
      <c r="BA75" s="2">
        <f t="shared" ca="1" si="72"/>
        <v>7.3070482569645599E-3</v>
      </c>
      <c r="BB75" s="2" vm="2878">
        <f ca="1"/>
        <v>264.83999999999997</v>
      </c>
      <c r="BC75" s="2">
        <f t="shared" ca="1" si="73"/>
        <v>-4.1737168640722452E-3</v>
      </c>
      <c r="BD75" s="2" vm="2879">
        <f ca="1"/>
        <v>46.52</v>
      </c>
      <c r="BE75" s="2">
        <f t="shared" ca="1" si="74"/>
        <v>2.8023280879500441E-3</v>
      </c>
      <c r="BF75" s="2" vm="2880">
        <f ca="1"/>
        <v>108.66</v>
      </c>
      <c r="BG75" s="2">
        <f t="shared" ca="1" si="75"/>
        <v>-1.3527008624602896E-2</v>
      </c>
      <c r="BH75" s="2" vm="2881">
        <f ca="1"/>
        <v>155.65</v>
      </c>
      <c r="BI75" s="2">
        <f t="shared" ca="1" si="76"/>
        <v>-2.3075443881801503E-3</v>
      </c>
      <c r="BJ75" s="2" vm="2882">
        <f ca="1"/>
        <v>146.82</v>
      </c>
      <c r="BK75" s="2">
        <f t="shared" ca="1" si="77"/>
        <v>1.2274959083470188E-3</v>
      </c>
      <c r="BL75" s="2" vm="2883">
        <f ca="1"/>
        <v>61.92</v>
      </c>
      <c r="BM75" s="2">
        <f t="shared" ca="1" si="78"/>
        <v>6.3383715260848456E-3</v>
      </c>
      <c r="BN75" s="2" vm="2884">
        <f ca="1"/>
        <v>285.45999999999998</v>
      </c>
      <c r="BO75" s="2">
        <f t="shared" ca="1" si="79"/>
        <v>3.6212776430052129E-3</v>
      </c>
      <c r="BP75" s="2" vm="2885">
        <f ca="1"/>
        <v>112.16</v>
      </c>
      <c r="BQ75" s="2">
        <f t="shared" ca="1" si="80"/>
        <v>1.0086455331412017E-2</v>
      </c>
      <c r="BR75" s="2" vm="2886">
        <f ca="1"/>
        <v>977.59</v>
      </c>
      <c r="BS75" s="2">
        <f t="shared" ca="1" si="81"/>
        <v>-7.3817598440387277E-3</v>
      </c>
      <c r="BT75" s="2" vm="2887">
        <f ca="1"/>
        <v>164.12</v>
      </c>
      <c r="BU75" s="2">
        <f t="shared" ca="1" si="82"/>
        <v>-1.2217875413782733E-2</v>
      </c>
      <c r="BV75" s="2" vm="2888">
        <f ca="1"/>
        <v>149.12</v>
      </c>
      <c r="BW75" s="2">
        <f t="shared" ca="1" si="83"/>
        <v>3.3642847530614989E-3</v>
      </c>
      <c r="BX75" s="2" vm="2889">
        <f ca="1"/>
        <v>290.18</v>
      </c>
      <c r="BY75" s="2">
        <f t="shared" ca="1" si="84"/>
        <v>-2.7836008110244414E-3</v>
      </c>
      <c r="BZ75" s="2" vm="2890">
        <f ca="1"/>
        <v>96.46</v>
      </c>
      <c r="CA75" s="2">
        <f t="shared" ca="1" si="85"/>
        <v>-1.3600572655690892E-2</v>
      </c>
      <c r="CB75" s="2" vm="2891">
        <f ca="1"/>
        <v>31.41</v>
      </c>
      <c r="CC75" s="2">
        <f t="shared" ca="1" si="86"/>
        <v>-1.4124293785310712E-2</v>
      </c>
      <c r="CD75" s="2" t="e" vm="92">
        <f ca="1"/>
        <v>#N/A</v>
      </c>
      <c r="CE75" s="2" t="e" vm="140">
        <f t="shared" ca="1" si="87"/>
        <v>#N/A</v>
      </c>
      <c r="CF75" s="2" vm="2822">
        <f ca="1"/>
        <v>22.48</v>
      </c>
      <c r="CG75" s="2">
        <f t="shared" ca="1" si="88"/>
        <v>2.2291573785109546E-3</v>
      </c>
      <c r="CH75" s="2" vm="571">
        <f ca="1"/>
        <v>58.31</v>
      </c>
      <c r="CI75" s="2">
        <f t="shared" ca="1" si="89"/>
        <v>6.8645958469193663E-4</v>
      </c>
      <c r="CJ75" s="2" vm="2892">
        <f ca="1"/>
        <v>58.06</v>
      </c>
      <c r="CK75" s="2">
        <f t="shared" ca="1" si="90"/>
        <v>2.0711080428029781E-3</v>
      </c>
      <c r="CL75" s="2" vm="2893">
        <f ca="1"/>
        <v>55.2</v>
      </c>
      <c r="CM75" s="2">
        <f t="shared" ca="1" si="91"/>
        <v>3.8188761593017065E-3</v>
      </c>
      <c r="CN75" s="2" vm="774">
        <f ca="1"/>
        <v>28.72</v>
      </c>
      <c r="CO75" s="2">
        <f t="shared" ca="1" si="92"/>
        <v>2.0935101186321955E-3</v>
      </c>
      <c r="CP75" s="2" vm="2894">
        <f ca="1"/>
        <v>21.584099999999999</v>
      </c>
      <c r="CQ75" s="2">
        <f t="shared" ca="1" si="93"/>
        <v>-6.3895100912587856E-4</v>
      </c>
    </row>
    <row r="76" spans="1:95" x14ac:dyDescent="0.2">
      <c r="A76" s="7" vm="2895">
        <f ca="1"/>
        <v>45684</v>
      </c>
      <c r="B76" s="2" vm="2896">
        <f ca="1"/>
        <v>229.86</v>
      </c>
      <c r="C76" s="2">
        <f t="shared" ca="1" si="47"/>
        <v>3.1780231618637279E-2</v>
      </c>
      <c r="D76" s="2" vm="2897">
        <f ca="1"/>
        <v>118.42</v>
      </c>
      <c r="E76" s="2">
        <f t="shared" ca="1" si="48"/>
        <v>-0.1696816715748142</v>
      </c>
      <c r="F76" s="2" vm="2898">
        <f ca="1"/>
        <v>434.56</v>
      </c>
      <c r="G76" s="2">
        <f t="shared" ca="1" si="49"/>
        <v>-2.1393505382155564E-2</v>
      </c>
      <c r="H76" s="2" vm="2899">
        <f ca="1"/>
        <v>659.88</v>
      </c>
      <c r="I76" s="2">
        <f t="shared" ca="1" si="50"/>
        <v>1.9135430663021803E-2</v>
      </c>
      <c r="J76" s="2" vm="2900">
        <f ca="1"/>
        <v>191.81</v>
      </c>
      <c r="K76" s="2">
        <f t="shared" ca="1" si="51"/>
        <v>-4.1955946256430773E-2</v>
      </c>
      <c r="L76" s="2" vm="2901">
        <f ca="1"/>
        <v>599.37</v>
      </c>
      <c r="M76" s="2">
        <f t="shared" ca="1" si="52"/>
        <v>-1.4145434807638571E-2</v>
      </c>
      <c r="N76" s="2" vm="2902">
        <f ca="1"/>
        <v>88.25</v>
      </c>
      <c r="O76" s="2">
        <f t="shared" ca="1" si="53"/>
        <v>1.1809218069250185E-2</v>
      </c>
      <c r="P76" s="2" vm="2903">
        <f ca="1"/>
        <v>252.99</v>
      </c>
      <c r="Q76" s="2">
        <f t="shared" ca="1" si="54"/>
        <v>-1.0404850381380781E-2</v>
      </c>
      <c r="R76" s="2" vm="2904">
        <f ca="1"/>
        <v>77.930000000000007</v>
      </c>
      <c r="S76" s="2">
        <f t="shared" ca="1" si="55"/>
        <v>-2.097989949748728E-2</v>
      </c>
      <c r="T76" s="2" vm="2905">
        <f ca="1"/>
        <v>93.07</v>
      </c>
      <c r="U76" s="2">
        <f t="shared" ca="1" si="56"/>
        <v>6.48859089434405E-3</v>
      </c>
      <c r="V76" s="2" vm="2906">
        <f ca="1"/>
        <v>46.73</v>
      </c>
      <c r="W76" s="2">
        <f t="shared" ca="1" si="57"/>
        <v>4.602727239502941E-3</v>
      </c>
      <c r="X76" s="2" vm="2907">
        <f ca="1"/>
        <v>167.26</v>
      </c>
      <c r="Y76" s="2">
        <f t="shared" ca="1" si="58"/>
        <v>-2.7897245147041796E-2</v>
      </c>
      <c r="Z76" s="2" vm="2908">
        <f ca="1"/>
        <v>90.36</v>
      </c>
      <c r="AA76" s="2">
        <f t="shared" ca="1" si="59"/>
        <v>-1.0404117840324202E-2</v>
      </c>
      <c r="AB76" s="2" vm="2909">
        <f ca="1"/>
        <v>14.67</v>
      </c>
      <c r="AC76" s="2">
        <f t="shared" ca="1" si="60"/>
        <v>-2.0694259012016054E-2</v>
      </c>
      <c r="AD76" s="2" vm="2874">
        <f ca="1"/>
        <v>4.5999999999999996</v>
      </c>
      <c r="AE76" s="2">
        <f t="shared" ca="1" si="61"/>
        <v>0</v>
      </c>
      <c r="AF76" s="2" vm="1481">
        <f ca="1"/>
        <v>27.46</v>
      </c>
      <c r="AG76" s="2">
        <f t="shared" ca="1" si="62"/>
        <v>-1.6123253314224265E-2</v>
      </c>
      <c r="AH76" s="2" vm="2910">
        <f ca="1"/>
        <v>27.32</v>
      </c>
      <c r="AI76" s="2">
        <f t="shared" ca="1" si="63"/>
        <v>-1.4619883040935362E-3</v>
      </c>
      <c r="AJ76" s="2" vm="1587">
        <f ca="1"/>
        <v>4.7699999999999996</v>
      </c>
      <c r="AK76" s="2">
        <f t="shared" ca="1" si="64"/>
        <v>-1.4462809917355431E-2</v>
      </c>
      <c r="AL76" s="2" vm="2911">
        <f ca="1"/>
        <v>54.32</v>
      </c>
      <c r="AM76" s="2">
        <f t="shared" ca="1" si="65"/>
        <v>-1.0744855217628781E-2</v>
      </c>
      <c r="AN76" s="2" vm="2912">
        <f ca="1"/>
        <v>86.75</v>
      </c>
      <c r="AO76" s="2">
        <f t="shared" ca="1" si="66"/>
        <v>-1.4963167587476458E-3</v>
      </c>
      <c r="AP76" s="2" vm="1997">
        <f ca="1"/>
        <v>26.12</v>
      </c>
      <c r="AQ76" s="2">
        <f t="shared" ca="1" si="67"/>
        <v>4.615384615384654E-3</v>
      </c>
      <c r="AR76" s="2" vm="1404">
        <f ca="1"/>
        <v>51.04</v>
      </c>
      <c r="AS76" s="2">
        <f t="shared" ca="1" si="68"/>
        <v>1.9596315892608289E-4</v>
      </c>
      <c r="AT76" s="2" vm="1747">
        <f ca="1"/>
        <v>29.08</v>
      </c>
      <c r="AU76" s="2">
        <f t="shared" ca="1" si="69"/>
        <v>1.7223561832585999E-3</v>
      </c>
      <c r="AV76" s="2" vm="1625">
        <f ca="1"/>
        <v>26.44</v>
      </c>
      <c r="AW76" s="2">
        <f t="shared" ca="1" si="70"/>
        <v>1.2251148545176121E-2</v>
      </c>
      <c r="AX76" s="2" vm="468">
        <f ca="1"/>
        <v>91.7</v>
      </c>
      <c r="AY76" s="2">
        <f t="shared" ca="1" si="71"/>
        <v>1.0906314756249445E-4</v>
      </c>
      <c r="AZ76" s="2" vm="2913">
        <f ca="1"/>
        <v>474.7</v>
      </c>
      <c r="BA76" s="2">
        <f t="shared" ca="1" si="72"/>
        <v>2.4849413847449191E-2</v>
      </c>
      <c r="BB76" s="2" vm="2914">
        <f ca="1"/>
        <v>265.85000000000002</v>
      </c>
      <c r="BC76" s="2">
        <f t="shared" ca="1" si="73"/>
        <v>3.8136233197404012E-3</v>
      </c>
      <c r="BD76" s="2" vm="2915">
        <f ca="1"/>
        <v>47.09</v>
      </c>
      <c r="BE76" s="2">
        <f t="shared" ca="1" si="74"/>
        <v>1.2252794496990547E-2</v>
      </c>
      <c r="BF76" s="2" vm="2916">
        <f ca="1"/>
        <v>110.17</v>
      </c>
      <c r="BG76" s="2">
        <f t="shared" ca="1" si="75"/>
        <v>1.3896558071047352E-2</v>
      </c>
      <c r="BH76" s="2" vm="2917">
        <f ca="1"/>
        <v>157.22999999999999</v>
      </c>
      <c r="BI76" s="2">
        <f t="shared" ca="1" si="76"/>
        <v>1.015097976228708E-2</v>
      </c>
      <c r="BJ76" s="2" vm="2279">
        <f ca="1"/>
        <v>152.88999999999999</v>
      </c>
      <c r="BK76" s="2">
        <f t="shared" ca="1" si="77"/>
        <v>4.1343141261408485E-2</v>
      </c>
      <c r="BL76" s="2" vm="2918">
        <f ca="1"/>
        <v>63.87</v>
      </c>
      <c r="BM76" s="2">
        <f t="shared" ca="1" si="78"/>
        <v>3.1492248062015435E-2</v>
      </c>
      <c r="BN76" s="2" vm="2919">
        <f ca="1"/>
        <v>293.08999999999997</v>
      </c>
      <c r="BO76" s="2">
        <f t="shared" ca="1" si="79"/>
        <v>2.6728788621873452E-2</v>
      </c>
      <c r="BP76" s="2" vm="1933">
        <f ca="1"/>
        <v>113.34</v>
      </c>
      <c r="BQ76" s="2">
        <f t="shared" ca="1" si="80"/>
        <v>1.0520684736091359E-2</v>
      </c>
      <c r="BR76" s="2" vm="2920">
        <f ca="1"/>
        <v>971.89</v>
      </c>
      <c r="BS76" s="2">
        <f t="shared" ca="1" si="81"/>
        <v>-5.830665207295538E-3</v>
      </c>
      <c r="BT76" s="2" vm="2921">
        <f ca="1"/>
        <v>169.66</v>
      </c>
      <c r="BU76" s="2">
        <f t="shared" ca="1" si="82"/>
        <v>3.3755788447477404E-2</v>
      </c>
      <c r="BV76" s="2" vm="2922">
        <f ca="1"/>
        <v>154.61000000000001</v>
      </c>
      <c r="BW76" s="2">
        <f t="shared" ca="1" si="83"/>
        <v>3.681598712446358E-2</v>
      </c>
      <c r="BX76" s="2" vm="2923">
        <f ca="1"/>
        <v>284.95999999999998</v>
      </c>
      <c r="BY76" s="2">
        <f t="shared" ca="1" si="84"/>
        <v>-1.7988834516507089E-2</v>
      </c>
      <c r="BZ76" s="2" vm="1510">
        <f ca="1"/>
        <v>95.12</v>
      </c>
      <c r="CA76" s="2">
        <f t="shared" ca="1" si="85"/>
        <v>-1.3891768608749629E-2</v>
      </c>
      <c r="CB76" s="2" vm="2924">
        <f ca="1"/>
        <v>30.98</v>
      </c>
      <c r="CC76" s="2">
        <f t="shared" ca="1" si="86"/>
        <v>-1.3689907672715686E-2</v>
      </c>
      <c r="CD76" s="2" t="e" vm="92">
        <f ca="1"/>
        <v>#N/A</v>
      </c>
      <c r="CE76" s="2" t="e" vm="140">
        <f t="shared" ca="1" si="87"/>
        <v>#N/A</v>
      </c>
      <c r="CF76" s="2" vm="2925">
        <f ca="1"/>
        <v>22.59</v>
      </c>
      <c r="CG76" s="2">
        <f t="shared" ca="1" si="88"/>
        <v>4.8932384341636758E-3</v>
      </c>
      <c r="CH76" s="2" vm="2926">
        <f ca="1"/>
        <v>58.39</v>
      </c>
      <c r="CI76" s="2">
        <f t="shared" ca="1" si="89"/>
        <v>1.3719773623734916E-3</v>
      </c>
      <c r="CJ76" s="2" vm="571">
        <f ca="1"/>
        <v>58.31</v>
      </c>
      <c r="CK76" s="2">
        <f t="shared" ca="1" si="90"/>
        <v>4.3058904581467442E-3</v>
      </c>
      <c r="CL76" s="2" vm="2927">
        <f ca="1"/>
        <v>55.87</v>
      </c>
      <c r="CM76" s="2">
        <f t="shared" ca="1" si="91"/>
        <v>1.2137681159420191E-2</v>
      </c>
      <c r="CN76" s="2" vm="2075">
        <f ca="1"/>
        <v>28.88</v>
      </c>
      <c r="CO76" s="2">
        <f t="shared" ca="1" si="92"/>
        <v>5.5710306406685289E-3</v>
      </c>
      <c r="CP76" s="2" vm="2928">
        <f ca="1"/>
        <v>21.702200000000001</v>
      </c>
      <c r="CQ76" s="2">
        <f t="shared" ca="1" si="93"/>
        <v>5.471620313100934E-3</v>
      </c>
    </row>
    <row r="77" spans="1:95" x14ac:dyDescent="0.2">
      <c r="A77" s="7" vm="2929">
        <f ca="1"/>
        <v>45685</v>
      </c>
      <c r="B77" s="2" vm="2930">
        <f ca="1"/>
        <v>238.26</v>
      </c>
      <c r="C77" s="2">
        <f t="shared" ca="1" si="47"/>
        <v>3.6543983294178961E-2</v>
      </c>
      <c r="D77" s="2" vm="2931">
        <f ca="1"/>
        <v>128.99</v>
      </c>
      <c r="E77" s="2">
        <f t="shared" ca="1" si="48"/>
        <v>8.9258571187299504E-2</v>
      </c>
      <c r="F77" s="2" vm="2932">
        <f ca="1"/>
        <v>447.2</v>
      </c>
      <c r="G77" s="2">
        <f t="shared" ca="1" si="49"/>
        <v>2.9086892488954314E-2</v>
      </c>
      <c r="H77" s="2" vm="2933">
        <f ca="1"/>
        <v>674.33</v>
      </c>
      <c r="I77" s="2">
        <f t="shared" ca="1" si="50"/>
        <v>2.1897920834091117E-2</v>
      </c>
      <c r="J77" s="2" vm="2934">
        <f ca="1"/>
        <v>195.3</v>
      </c>
      <c r="K77" s="2">
        <f t="shared" ca="1" si="51"/>
        <v>1.8195088890047489E-2</v>
      </c>
      <c r="L77" s="2" vm="2935">
        <f ca="1"/>
        <v>604.52</v>
      </c>
      <c r="M77" s="2">
        <f t="shared" ca="1" si="52"/>
        <v>8.5923553064050206E-3</v>
      </c>
      <c r="N77" s="2" vm="2936">
        <f ca="1"/>
        <v>88.19</v>
      </c>
      <c r="O77" s="2">
        <f t="shared" ca="1" si="53"/>
        <v>-6.7988668555243371E-4</v>
      </c>
      <c r="P77" s="2" vm="2937">
        <f ca="1"/>
        <v>255.18</v>
      </c>
      <c r="Q77" s="2">
        <f t="shared" ca="1" si="54"/>
        <v>8.6564686351239088E-3</v>
      </c>
      <c r="R77" s="2" vm="2938">
        <f ca="1"/>
        <v>78.86</v>
      </c>
      <c r="S77" s="2">
        <f t="shared" ca="1" si="55"/>
        <v>1.1933786731682184E-2</v>
      </c>
      <c r="T77" s="2" vm="1812">
        <f ca="1"/>
        <v>93.08</v>
      </c>
      <c r="U77" s="2">
        <f t="shared" ca="1" si="56"/>
        <v>1.0744600838084363E-4</v>
      </c>
      <c r="V77" s="2" vm="2939">
        <f ca="1"/>
        <v>46.741799999999998</v>
      </c>
      <c r="W77" s="2">
        <f t="shared" ca="1" si="57"/>
        <v>2.5251444468223674E-4</v>
      </c>
      <c r="X77" s="2" vm="2940">
        <f ca="1"/>
        <v>169.31</v>
      </c>
      <c r="Y77" s="2">
        <f t="shared" ca="1" si="58"/>
        <v>1.2256367332297092E-2</v>
      </c>
      <c r="Z77" s="2" vm="2941">
        <f ca="1"/>
        <v>89.5</v>
      </c>
      <c r="AA77" s="2">
        <f t="shared" ca="1" si="59"/>
        <v>-9.5174856131031368E-3</v>
      </c>
      <c r="AB77" s="2" vm="2942">
        <f ca="1"/>
        <v>14.85</v>
      </c>
      <c r="AC77" s="2">
        <f t="shared" ca="1" si="60"/>
        <v>1.226993865030673E-2</v>
      </c>
      <c r="AD77" s="2" vm="2446">
        <f ca="1"/>
        <v>4.0999999999999996</v>
      </c>
      <c r="AE77" s="2">
        <f t="shared" ca="1" si="61"/>
        <v>-0.10869565217391305</v>
      </c>
      <c r="AF77" s="2" vm="1436">
        <f ca="1"/>
        <v>27.63</v>
      </c>
      <c r="AG77" s="2">
        <f t="shared" ca="1" si="62"/>
        <v>6.1908230152949066E-3</v>
      </c>
      <c r="AH77" s="2" vm="553">
        <f ca="1"/>
        <v>27.56</v>
      </c>
      <c r="AI77" s="2">
        <f t="shared" ca="1" si="63"/>
        <v>8.7847730600292256E-3</v>
      </c>
      <c r="AJ77" s="2" vm="1200">
        <f ca="1"/>
        <v>4.84</v>
      </c>
      <c r="AK77" s="2">
        <f t="shared" ca="1" si="64"/>
        <v>1.4675052410901529E-2</v>
      </c>
      <c r="AL77" s="2" vm="2943">
        <f ca="1"/>
        <v>54.77</v>
      </c>
      <c r="AM77" s="2">
        <f t="shared" ca="1" si="65"/>
        <v>8.2842415316642642E-3</v>
      </c>
      <c r="AN77" s="2" vm="2944">
        <f ca="1"/>
        <v>86.19</v>
      </c>
      <c r="AO77" s="2">
        <f t="shared" ca="1" si="66"/>
        <v>-6.4553314121037729E-3</v>
      </c>
      <c r="AP77" s="2" vm="2945">
        <f ca="1"/>
        <v>26.13</v>
      </c>
      <c r="AQ77" s="2">
        <f t="shared" ca="1" si="67"/>
        <v>3.8284839203667724E-4</v>
      </c>
      <c r="AR77" s="2" vm="595">
        <f ca="1"/>
        <v>51.06</v>
      </c>
      <c r="AS77" s="2">
        <f t="shared" ca="1" si="68"/>
        <v>3.9184952978062551E-4</v>
      </c>
      <c r="AT77" s="2" vm="1747">
        <f ca="1"/>
        <v>29.08</v>
      </c>
      <c r="AU77" s="2">
        <f t="shared" ca="1" si="69"/>
        <v>0</v>
      </c>
      <c r="AV77" s="2" vm="2946">
        <f ca="1"/>
        <v>26.38</v>
      </c>
      <c r="AW77" s="2">
        <f t="shared" ca="1" si="70"/>
        <v>-2.2692889561271661E-3</v>
      </c>
      <c r="AX77" s="2" vm="468">
        <f ca="1"/>
        <v>91.7</v>
      </c>
      <c r="AY77" s="2">
        <f t="shared" ca="1" si="71"/>
        <v>0</v>
      </c>
      <c r="AZ77" s="2" vm="2947">
        <f ca="1"/>
        <v>469.97</v>
      </c>
      <c r="BA77" s="2">
        <f t="shared" ca="1" si="72"/>
        <v>-9.9641879081524363E-3</v>
      </c>
      <c r="BB77" s="2" vm="2948">
        <f ca="1"/>
        <v>267.14</v>
      </c>
      <c r="BC77" s="2">
        <f t="shared" ca="1" si="73"/>
        <v>4.85236035358271E-3</v>
      </c>
      <c r="BD77" s="2" vm="2949">
        <f ca="1"/>
        <v>46.84</v>
      </c>
      <c r="BE77" s="2">
        <f t="shared" ca="1" si="74"/>
        <v>-5.3089827988957311E-3</v>
      </c>
      <c r="BF77" s="2" vm="2950">
        <f ca="1"/>
        <v>108.04</v>
      </c>
      <c r="BG77" s="2">
        <f t="shared" ca="1" si="75"/>
        <v>-1.933375692112186E-2</v>
      </c>
      <c r="BH77" s="2" vm="1860">
        <f ca="1"/>
        <v>156.21</v>
      </c>
      <c r="BI77" s="2">
        <f t="shared" ca="1" si="76"/>
        <v>-6.4873115817590914E-3</v>
      </c>
      <c r="BJ77" s="2" vm="2951">
        <f ca="1"/>
        <v>150.38</v>
      </c>
      <c r="BK77" s="2">
        <f t="shared" ca="1" si="77"/>
        <v>-1.6417031852966127E-2</v>
      </c>
      <c r="BL77" s="2" vm="2952">
        <f ca="1"/>
        <v>62.36</v>
      </c>
      <c r="BM77" s="2">
        <f t="shared" ca="1" si="78"/>
        <v>-2.3641772350086084E-2</v>
      </c>
      <c r="BN77" s="2" vm="2953">
        <f ca="1"/>
        <v>291.14999999999998</v>
      </c>
      <c r="BO77" s="2">
        <f t="shared" ca="1" si="79"/>
        <v>-6.6191272305435121E-3</v>
      </c>
      <c r="BP77" s="2" vm="2954">
        <f ca="1"/>
        <v>112.14</v>
      </c>
      <c r="BQ77" s="2">
        <f t="shared" ca="1" si="80"/>
        <v>-1.0587612493382767E-2</v>
      </c>
      <c r="BR77" s="2" vm="2955">
        <f ca="1"/>
        <v>971.83</v>
      </c>
      <c r="BS77" s="2">
        <f t="shared" ca="1" si="81"/>
        <v>-6.1735381576048147E-5</v>
      </c>
      <c r="BT77" s="2" vm="2956">
        <f ca="1"/>
        <v>166.19</v>
      </c>
      <c r="BU77" s="2">
        <f t="shared" ca="1" si="82"/>
        <v>-2.0452670045974296E-2</v>
      </c>
      <c r="BV77" s="2" vm="2957">
        <f ca="1"/>
        <v>150.25</v>
      </c>
      <c r="BW77" s="2">
        <f t="shared" ca="1" si="83"/>
        <v>-2.8199987064226203E-2</v>
      </c>
      <c r="BX77" s="2" vm="2958">
        <f ca="1"/>
        <v>279.98</v>
      </c>
      <c r="BY77" s="2">
        <f t="shared" ca="1" si="84"/>
        <v>-1.7476137001684312E-2</v>
      </c>
      <c r="BZ77" s="2" vm="2959">
        <f ca="1"/>
        <v>94.37</v>
      </c>
      <c r="CA77" s="2">
        <f t="shared" ca="1" si="85"/>
        <v>-7.8847771236333058E-3</v>
      </c>
      <c r="CB77" s="2" vm="2960">
        <f ca="1"/>
        <v>30.784400000000002</v>
      </c>
      <c r="CC77" s="2">
        <f t="shared" ca="1" si="86"/>
        <v>-6.3137508069722043E-3</v>
      </c>
      <c r="CD77" s="2" t="e" vm="92">
        <f ca="1"/>
        <v>#N/A</v>
      </c>
      <c r="CE77" s="2" t="e" vm="140">
        <f t="shared" ca="1" si="87"/>
        <v>#N/A</v>
      </c>
      <c r="CF77" s="2" vm="2961">
        <f ca="1"/>
        <v>22.585000000000001</v>
      </c>
      <c r="CG77" s="2">
        <f t="shared" ca="1" si="88"/>
        <v>-2.2133687472328486E-4</v>
      </c>
      <c r="CH77" s="2" vm="2926">
        <f ca="1"/>
        <v>58.39</v>
      </c>
      <c r="CI77" s="2">
        <f t="shared" ca="1" si="89"/>
        <v>0</v>
      </c>
      <c r="CJ77" s="2" vm="2962">
        <f ca="1"/>
        <v>58.32</v>
      </c>
      <c r="CK77" s="2">
        <f t="shared" ca="1" si="90"/>
        <v>1.7149717029665598E-4</v>
      </c>
      <c r="CL77" s="2" vm="2963">
        <f ca="1"/>
        <v>55.78</v>
      </c>
      <c r="CM77" s="2">
        <f t="shared" ca="1" si="91"/>
        <v>-1.6108824055843262E-3</v>
      </c>
      <c r="CN77" s="2" vm="2964">
        <f ca="1"/>
        <v>28.84</v>
      </c>
      <c r="CO77" s="2">
        <f t="shared" ca="1" si="92"/>
        <v>-1.3850415512465079E-3</v>
      </c>
      <c r="CP77" s="2" vm="2965">
        <f ca="1"/>
        <v>21.515599999999999</v>
      </c>
      <c r="CQ77" s="2">
        <f t="shared" ca="1" si="93"/>
        <v>-8.5982066334289644E-3</v>
      </c>
    </row>
    <row r="78" spans="1:95" x14ac:dyDescent="0.2">
      <c r="A78" s="7" vm="2966">
        <f ca="1"/>
        <v>45686</v>
      </c>
      <c r="B78" s="2" vm="2967">
        <f ca="1"/>
        <v>239.36</v>
      </c>
      <c r="C78" s="2">
        <f t="shared" ca="1" si="47"/>
        <v>4.6168051708218869E-3</v>
      </c>
      <c r="D78" s="2" vm="2968">
        <f ca="1"/>
        <v>123.7</v>
      </c>
      <c r="E78" s="2">
        <f t="shared" ca="1" si="48"/>
        <v>-4.1010931079928724E-2</v>
      </c>
      <c r="F78" s="2" vm="2969">
        <f ca="1"/>
        <v>442.33</v>
      </c>
      <c r="G78" s="2">
        <f t="shared" ca="1" si="49"/>
        <v>-1.0889982110912353E-2</v>
      </c>
      <c r="H78" s="2" vm="2970">
        <f ca="1"/>
        <v>676.49</v>
      </c>
      <c r="I78" s="2">
        <f t="shared" ca="1" si="50"/>
        <v>3.2031794521969483E-3</v>
      </c>
      <c r="J78" s="2" vm="2971">
        <f ca="1"/>
        <v>195.41</v>
      </c>
      <c r="K78" s="2">
        <f t="shared" ca="1" si="51"/>
        <v>5.6323604710693917E-4</v>
      </c>
      <c r="L78" s="2" vm="2972">
        <f ca="1"/>
        <v>601.80999999999995</v>
      </c>
      <c r="M78" s="2">
        <f t="shared" ca="1" si="52"/>
        <v>-4.4828955204129495E-3</v>
      </c>
      <c r="N78" s="2" vm="2973">
        <f ca="1"/>
        <v>88.01</v>
      </c>
      <c r="O78" s="2">
        <f t="shared" ca="1" si="53"/>
        <v>-2.0410477378386737E-3</v>
      </c>
      <c r="P78" s="2" vm="2974">
        <f ca="1"/>
        <v>254.2</v>
      </c>
      <c r="Q78" s="2">
        <f t="shared" ca="1" si="54"/>
        <v>-3.8404263657027126E-3</v>
      </c>
      <c r="R78" s="2" vm="2975">
        <f ca="1"/>
        <v>77.78</v>
      </c>
      <c r="S78" s="2">
        <f t="shared" ca="1" si="55"/>
        <v>-1.3695155972609667E-2</v>
      </c>
      <c r="T78" s="2" vm="2976">
        <f ca="1"/>
        <v>92.97</v>
      </c>
      <c r="U78" s="2">
        <f t="shared" ca="1" si="56"/>
        <v>-1.1817791147400024E-3</v>
      </c>
      <c r="V78" s="2" vm="2977">
        <f ca="1"/>
        <v>46.729700000000001</v>
      </c>
      <c r="W78" s="2">
        <f t="shared" ca="1" si="57"/>
        <v>-2.5886893529981025E-4</v>
      </c>
      <c r="X78" s="2" vm="2978">
        <f ca="1"/>
        <v>171.1</v>
      </c>
      <c r="Y78" s="2">
        <f t="shared" ca="1" si="58"/>
        <v>1.0572322957887851E-2</v>
      </c>
      <c r="Z78" s="2" vm="2979">
        <f ca="1"/>
        <v>89.7</v>
      </c>
      <c r="AA78" s="2">
        <f t="shared" ca="1" si="59"/>
        <v>2.2346368715084118E-3</v>
      </c>
      <c r="AB78" s="2" vm="2980">
        <f ca="1"/>
        <v>14.66</v>
      </c>
      <c r="AC78" s="2">
        <f t="shared" ca="1" si="60"/>
        <v>-1.2794612794612761E-2</v>
      </c>
      <c r="AD78" s="2" vm="1398">
        <f ca="1"/>
        <v>5</v>
      </c>
      <c r="AE78" s="2">
        <f t="shared" ca="1" si="61"/>
        <v>0.21951219512195133</v>
      </c>
      <c r="AF78" s="2" vm="1748">
        <f ca="1"/>
        <v>28</v>
      </c>
      <c r="AG78" s="2">
        <f t="shared" ca="1" si="62"/>
        <v>1.3391241404270757E-2</v>
      </c>
      <c r="AH78" s="2" vm="381">
        <f ca="1"/>
        <v>27.92</v>
      </c>
      <c r="AI78" s="2">
        <f t="shared" ca="1" si="63"/>
        <v>1.3062409288824493E-2</v>
      </c>
      <c r="AJ78" s="2" vm="2981">
        <f ca="1"/>
        <v>4.9800000000000004</v>
      </c>
      <c r="AK78" s="2">
        <f t="shared" ca="1" si="64"/>
        <v>2.8925619834710863E-2</v>
      </c>
      <c r="AL78" s="2" vm="2982">
        <f ca="1"/>
        <v>54.58</v>
      </c>
      <c r="AM78" s="2">
        <f t="shared" ca="1" si="65"/>
        <v>-3.469052400949513E-3</v>
      </c>
      <c r="AN78" s="2" vm="2698">
        <f ca="1"/>
        <v>87.04</v>
      </c>
      <c r="AO78" s="2">
        <f t="shared" ca="1" si="66"/>
        <v>9.8619329388561147E-3</v>
      </c>
      <c r="AP78" s="2" vm="1123">
        <f ca="1"/>
        <v>26.11</v>
      </c>
      <c r="AQ78" s="2">
        <f t="shared" ca="1" si="67"/>
        <v>-7.654037504783611E-4</v>
      </c>
      <c r="AR78" s="2" vm="1404">
        <f ca="1"/>
        <v>51.04</v>
      </c>
      <c r="AS78" s="2">
        <f t="shared" ca="1" si="68"/>
        <v>-3.916960438700181E-4</v>
      </c>
      <c r="AT78" s="2" vm="1302">
        <f ca="1"/>
        <v>29.07</v>
      </c>
      <c r="AU78" s="2">
        <f t="shared" ca="1" si="69"/>
        <v>-3.4387895460790958E-4</v>
      </c>
      <c r="AV78" s="2" vm="1007">
        <f ca="1"/>
        <v>26.35</v>
      </c>
      <c r="AW78" s="2">
        <f t="shared" ca="1" si="70"/>
        <v>-1.1372251705836841E-3</v>
      </c>
      <c r="AX78" s="2" vm="554">
        <f ca="1"/>
        <v>91.71</v>
      </c>
      <c r="AY78" s="2">
        <f t="shared" ca="1" si="71"/>
        <v>1.0905125408932285E-4</v>
      </c>
      <c r="AZ78" s="2" vm="2983">
        <f ca="1"/>
        <v>469.26</v>
      </c>
      <c r="BA78" s="2">
        <f t="shared" ca="1" si="72"/>
        <v>-1.510734727748657E-3</v>
      </c>
      <c r="BB78" s="2" vm="2984">
        <f ca="1"/>
        <v>266.58</v>
      </c>
      <c r="BC78" s="2">
        <f t="shared" ca="1" si="73"/>
        <v>-2.0962791045893627E-3</v>
      </c>
      <c r="BD78" s="2" vm="1207">
        <f ca="1"/>
        <v>46.75</v>
      </c>
      <c r="BE78" s="2">
        <f t="shared" ca="1" si="74"/>
        <v>-1.9214346712212512E-3</v>
      </c>
      <c r="BF78" s="2" vm="2985">
        <f ca="1"/>
        <v>108.67</v>
      </c>
      <c r="BG78" s="2">
        <f t="shared" ca="1" si="75"/>
        <v>5.8311736393927751E-3</v>
      </c>
      <c r="BH78" s="2" vm="2986">
        <f ca="1"/>
        <v>155.69</v>
      </c>
      <c r="BI78" s="2">
        <f t="shared" ca="1" si="76"/>
        <v>-3.3288521861597224E-3</v>
      </c>
      <c r="BJ78" s="2" vm="2987">
        <f ca="1"/>
        <v>151.15</v>
      </c>
      <c r="BK78" s="2">
        <f t="shared" ca="1" si="77"/>
        <v>5.120361750232812E-3</v>
      </c>
      <c r="BL78" s="2" vm="2988">
        <f ca="1"/>
        <v>62.83</v>
      </c>
      <c r="BM78" s="2">
        <f t="shared" ca="1" si="78"/>
        <v>7.5368826170622016E-3</v>
      </c>
      <c r="BN78" s="2" vm="2989">
        <f ca="1"/>
        <v>290.11</v>
      </c>
      <c r="BO78" s="2">
        <f t="shared" ca="1" si="79"/>
        <v>-3.5720419027991195E-3</v>
      </c>
      <c r="BP78" s="2" vm="2990">
        <f ca="1"/>
        <v>113.19</v>
      </c>
      <c r="BQ78" s="2">
        <f t="shared" ca="1" si="80"/>
        <v>9.363295880149787E-3</v>
      </c>
      <c r="BR78" s="2" vm="2991">
        <f ca="1"/>
        <v>978.15</v>
      </c>
      <c r="BS78" s="2">
        <f t="shared" ca="1" si="81"/>
        <v>6.5031950032412422E-3</v>
      </c>
      <c r="BT78" s="2" vm="2992">
        <f ca="1"/>
        <v>166.23</v>
      </c>
      <c r="BU78" s="2">
        <f t="shared" ca="1" si="82"/>
        <v>2.4068836873453303E-4</v>
      </c>
      <c r="BV78" s="2" vm="2993">
        <f ca="1"/>
        <v>150.37</v>
      </c>
      <c r="BW78" s="2">
        <f t="shared" ca="1" si="83"/>
        <v>7.9866888519137798E-4</v>
      </c>
      <c r="BX78" s="2" vm="2994">
        <f ca="1"/>
        <v>278.27</v>
      </c>
      <c r="BY78" s="2">
        <f t="shared" ca="1" si="84"/>
        <v>-6.1075791127939002E-3</v>
      </c>
      <c r="BZ78" s="2" vm="239">
        <f ca="1"/>
        <v>94.91</v>
      </c>
      <c r="CA78" s="2">
        <f t="shared" ca="1" si="85"/>
        <v>5.7221574652960901E-3</v>
      </c>
      <c r="CB78" s="2" vm="2995">
        <f ca="1"/>
        <v>30.8643</v>
      </c>
      <c r="CC78" s="2">
        <f t="shared" ca="1" si="86"/>
        <v>2.5954704330764453E-3</v>
      </c>
      <c r="CD78" s="2" t="e" vm="92">
        <f ca="1"/>
        <v>#N/A</v>
      </c>
      <c r="CE78" s="2" t="e" vm="140">
        <f t="shared" ca="1" si="87"/>
        <v>#N/A</v>
      </c>
      <c r="CF78" s="2" vm="2996">
        <f ca="1"/>
        <v>22.56</v>
      </c>
      <c r="CG78" s="2">
        <f t="shared" ca="1" si="88"/>
        <v>-1.1069293779057839E-3</v>
      </c>
      <c r="CH78" s="2" vm="1764">
        <f ca="1"/>
        <v>58.36</v>
      </c>
      <c r="CI78" s="2">
        <f t="shared" ca="1" si="89"/>
        <v>-5.137866072957893E-4</v>
      </c>
      <c r="CJ78" s="2" vm="1299">
        <f ca="1"/>
        <v>58.26</v>
      </c>
      <c r="CK78" s="2">
        <f t="shared" ca="1" si="90"/>
        <v>-1.0288065843621788E-3</v>
      </c>
      <c r="CL78" s="2" vm="2997">
        <f ca="1"/>
        <v>55.7</v>
      </c>
      <c r="CM78" s="2">
        <f t="shared" ca="1" si="91"/>
        <v>-1.4342058085334939E-3</v>
      </c>
      <c r="CN78" s="2" vm="2998">
        <f ca="1"/>
        <v>28.81</v>
      </c>
      <c r="CO78" s="2">
        <f t="shared" ca="1" si="92"/>
        <v>-1.0402219140083612E-3</v>
      </c>
      <c r="CP78" s="2" vm="2999">
        <f ca="1"/>
        <v>21.222100000000001</v>
      </c>
      <c r="CQ78" s="2">
        <f t="shared" ca="1" si="93"/>
        <v>-1.3641264942646178E-2</v>
      </c>
    </row>
    <row r="79" spans="1:95" x14ac:dyDescent="0.2">
      <c r="A79" s="7" vm="3000">
        <f ca="1"/>
        <v>45687</v>
      </c>
      <c r="B79" s="2" vm="3001">
        <f ca="1"/>
        <v>237.59</v>
      </c>
      <c r="C79" s="2">
        <f t="shared" ca="1" si="47"/>
        <v>-7.394719251336941E-3</v>
      </c>
      <c r="D79" s="2" vm="3002">
        <f ca="1"/>
        <v>124.65</v>
      </c>
      <c r="E79" s="2">
        <f t="shared" ca="1" si="48"/>
        <v>7.6798706548100474E-3</v>
      </c>
      <c r="F79" s="2" vm="3003">
        <f ca="1"/>
        <v>414.99</v>
      </c>
      <c r="G79" s="2">
        <f t="shared" ca="1" si="49"/>
        <v>-6.1809056586711222E-2</v>
      </c>
      <c r="H79" s="2" vm="3004">
        <f ca="1"/>
        <v>687</v>
      </c>
      <c r="I79" s="2">
        <f t="shared" ca="1" si="50"/>
        <v>1.5536075921299635E-2</v>
      </c>
      <c r="J79" s="2" vm="3005">
        <f ca="1"/>
        <v>200.87</v>
      </c>
      <c r="K79" s="2">
        <f t="shared" ca="1" si="51"/>
        <v>2.7941251727137854E-2</v>
      </c>
      <c r="L79" s="2" vm="3006">
        <f ca="1"/>
        <v>605.04</v>
      </c>
      <c r="M79" s="2">
        <f t="shared" ca="1" si="52"/>
        <v>5.3671424535983421E-3</v>
      </c>
      <c r="N79" s="2" vm="3007">
        <f ca="1"/>
        <v>88.34</v>
      </c>
      <c r="O79" s="2">
        <f t="shared" ca="1" si="53"/>
        <v>3.7495739120554285E-3</v>
      </c>
      <c r="P79" s="2" vm="3008">
        <f ca="1"/>
        <v>258.05</v>
      </c>
      <c r="Q79" s="2">
        <f t="shared" ca="1" si="54"/>
        <v>1.5145554681353356E-2</v>
      </c>
      <c r="R79" s="2" vm="3009">
        <f ca="1"/>
        <v>77.75</v>
      </c>
      <c r="S79" s="2">
        <f t="shared" ca="1" si="55"/>
        <v>-3.8570326562099687E-4</v>
      </c>
      <c r="T79" s="2" vm="3010">
        <f ca="1"/>
        <v>93.17</v>
      </c>
      <c r="U79" s="2">
        <f t="shared" ca="1" si="56"/>
        <v>2.1512315800796262E-3</v>
      </c>
      <c r="V79" s="2" vm="3011">
        <f ca="1"/>
        <v>46.798200000000001</v>
      </c>
      <c r="W79" s="2">
        <f t="shared" ca="1" si="57"/>
        <v>1.4658771616338265E-3</v>
      </c>
      <c r="X79" s="2" vm="3012">
        <f ca="1"/>
        <v>171.76</v>
      </c>
      <c r="Y79" s="2">
        <f t="shared" ca="1" si="58"/>
        <v>3.8573933372296706E-3</v>
      </c>
      <c r="Z79" s="2" vm="3013">
        <f ca="1"/>
        <v>90.16</v>
      </c>
      <c r="AA79" s="2">
        <f t="shared" ca="1" si="59"/>
        <v>5.1282051282050579E-3</v>
      </c>
      <c r="AB79" s="2" vm="3014">
        <f ca="1"/>
        <v>14.64</v>
      </c>
      <c r="AC79" s="2">
        <f t="shared" ca="1" si="60"/>
        <v>-1.364256480218252E-3</v>
      </c>
      <c r="AD79" s="2" vm="1398">
        <f ca="1"/>
        <v>5</v>
      </c>
      <c r="AE79" s="2">
        <f t="shared" ca="1" si="61"/>
        <v>0</v>
      </c>
      <c r="AF79" s="2" vm="774">
        <f ca="1"/>
        <v>28.72</v>
      </c>
      <c r="AG79" s="2">
        <f t="shared" ca="1" si="62"/>
        <v>2.5714285714285672E-2</v>
      </c>
      <c r="AH79" s="2" vm="3015">
        <f ca="1"/>
        <v>27.72</v>
      </c>
      <c r="AI79" s="2">
        <f t="shared" ca="1" si="63"/>
        <v>-7.1633237822350581E-3</v>
      </c>
      <c r="AJ79" s="2" vm="1321">
        <f ca="1"/>
        <v>4.99</v>
      </c>
      <c r="AK79" s="2">
        <f t="shared" ca="1" si="64"/>
        <v>2.0080321285140131E-3</v>
      </c>
      <c r="AL79" s="2" vm="3016">
        <f ca="1"/>
        <v>55.39</v>
      </c>
      <c r="AM79" s="2">
        <f t="shared" ca="1" si="65"/>
        <v>1.4840600952729981E-2</v>
      </c>
      <c r="AN79" s="2" vm="3017">
        <f ca="1"/>
        <v>88.76</v>
      </c>
      <c r="AO79" s="2">
        <f t="shared" ca="1" si="66"/>
        <v>1.9761029411764691E-2</v>
      </c>
      <c r="AP79" s="2" vm="2945">
        <f ca="1"/>
        <v>26.13</v>
      </c>
      <c r="AQ79" s="2">
        <f t="shared" ca="1" si="67"/>
        <v>7.6599004212943604E-4</v>
      </c>
      <c r="AR79" s="2" vm="3018">
        <f ca="1"/>
        <v>51.09</v>
      </c>
      <c r="AS79" s="2">
        <f t="shared" ca="1" si="68"/>
        <v>9.7962382445149427E-4</v>
      </c>
      <c r="AT79" s="2" vm="1747">
        <f ca="1"/>
        <v>29.08</v>
      </c>
      <c r="AU79" s="2">
        <f t="shared" ca="1" si="69"/>
        <v>3.439972480219474E-4</v>
      </c>
      <c r="AV79" s="2" vm="1625">
        <f ca="1"/>
        <v>26.44</v>
      </c>
      <c r="AW79" s="2">
        <f t="shared" ca="1" si="70"/>
        <v>3.4155597722960096E-3</v>
      </c>
      <c r="AX79" s="2" vm="1406">
        <f ca="1"/>
        <v>91.72</v>
      </c>
      <c r="AY79" s="2">
        <f t="shared" ca="1" si="71"/>
        <v>1.0903936321017465E-4</v>
      </c>
      <c r="AZ79" s="2" vm="3019">
        <f ca="1"/>
        <v>472.35</v>
      </c>
      <c r="BA79" s="2">
        <f t="shared" ca="1" si="72"/>
        <v>6.5848356987598172E-3</v>
      </c>
      <c r="BB79" s="2" vm="3020">
        <f ca="1"/>
        <v>268.23</v>
      </c>
      <c r="BC79" s="2">
        <f t="shared" ca="1" si="73"/>
        <v>6.1895115912672903E-3</v>
      </c>
      <c r="BD79" s="2" vm="1245">
        <f ca="1"/>
        <v>46.72</v>
      </c>
      <c r="BE79" s="2">
        <f t="shared" ca="1" si="74"/>
        <v>-6.4171122994654834E-4</v>
      </c>
      <c r="BF79" s="2" vm="3021">
        <f ca="1"/>
        <v>109.57</v>
      </c>
      <c r="BG79" s="2">
        <f t="shared" ca="1" si="75"/>
        <v>8.2819545412716623E-3</v>
      </c>
      <c r="BH79" s="2" vm="3022">
        <f ca="1"/>
        <v>156.32</v>
      </c>
      <c r="BI79" s="2">
        <f t="shared" ca="1" si="76"/>
        <v>4.0465026655533143E-3</v>
      </c>
      <c r="BJ79" s="2" vm="3023">
        <f ca="1"/>
        <v>152.87</v>
      </c>
      <c r="BK79" s="2">
        <f t="shared" ca="1" si="77"/>
        <v>1.1379424412834925E-2</v>
      </c>
      <c r="BL79" s="2" vm="3024">
        <f ca="1"/>
        <v>64.05</v>
      </c>
      <c r="BM79" s="2">
        <f t="shared" ca="1" si="78"/>
        <v>1.9417475728155321E-2</v>
      </c>
      <c r="BN79" s="2" vm="3025">
        <f ca="1"/>
        <v>290.32</v>
      </c>
      <c r="BO79" s="2">
        <f t="shared" ca="1" si="79"/>
        <v>7.2386336217289827E-4</v>
      </c>
      <c r="BP79" s="2" vm="3026">
        <f ca="1"/>
        <v>113.43</v>
      </c>
      <c r="BQ79" s="2">
        <f t="shared" ca="1" si="80"/>
        <v>2.1203286509409764E-3</v>
      </c>
      <c r="BR79" s="2" vm="3027">
        <f ca="1"/>
        <v>973.24</v>
      </c>
      <c r="BS79" s="2">
        <f t="shared" ca="1" si="81"/>
        <v>-5.0196800081786725E-3</v>
      </c>
      <c r="BT79" s="2" vm="3028">
        <f ca="1"/>
        <v>167.41</v>
      </c>
      <c r="BU79" s="2">
        <f t="shared" ca="1" si="82"/>
        <v>7.0985983276184014E-3</v>
      </c>
      <c r="BV79" s="2" vm="3029">
        <f ca="1"/>
        <v>151.9</v>
      </c>
      <c r="BW79" s="2">
        <f t="shared" ca="1" si="83"/>
        <v>1.0174901908625397E-2</v>
      </c>
      <c r="BX79" s="2" vm="3030">
        <f ca="1"/>
        <v>279.36</v>
      </c>
      <c r="BY79" s="2">
        <f t="shared" ca="1" si="84"/>
        <v>3.917058971502612E-3</v>
      </c>
      <c r="BZ79" s="2" vm="1620">
        <f ca="1"/>
        <v>94.62</v>
      </c>
      <c r="CA79" s="2">
        <f t="shared" ca="1" si="85"/>
        <v>-3.0555262880622913E-3</v>
      </c>
      <c r="CB79" s="2" vm="3031">
        <f ca="1"/>
        <v>30.700099999999999</v>
      </c>
      <c r="CC79" s="2">
        <f t="shared" ca="1" si="86"/>
        <v>-5.3200623373930722E-3</v>
      </c>
      <c r="CD79" s="2" t="e" vm="92">
        <f ca="1"/>
        <v>#N/A</v>
      </c>
      <c r="CE79" s="2" t="e" vm="140">
        <f t="shared" ca="1" si="87"/>
        <v>#N/A</v>
      </c>
      <c r="CF79" s="2" vm="941">
        <f ca="1"/>
        <v>22.6</v>
      </c>
      <c r="CG79" s="2">
        <f t="shared" ca="1" si="88"/>
        <v>1.7730496453901908E-3</v>
      </c>
      <c r="CH79" s="2" vm="3032">
        <f ca="1"/>
        <v>58.4</v>
      </c>
      <c r="CI79" s="2">
        <f t="shared" ca="1" si="89"/>
        <v>6.854009595613288E-4</v>
      </c>
      <c r="CJ79" s="2" vm="1419">
        <f ca="1"/>
        <v>58.35</v>
      </c>
      <c r="CK79" s="2">
        <f t="shared" ca="1" si="90"/>
        <v>1.5447991761071646E-3</v>
      </c>
      <c r="CL79" s="2" vm="3033">
        <f ca="1"/>
        <v>55.92</v>
      </c>
      <c r="CM79" s="2">
        <f t="shared" ca="1" si="91"/>
        <v>3.9497307001795127E-3</v>
      </c>
      <c r="CN79" s="2" vm="3034">
        <f ca="1"/>
        <v>28.86</v>
      </c>
      <c r="CO79" s="2">
        <f t="shared" ca="1" si="92"/>
        <v>1.7355085039916943E-3</v>
      </c>
      <c r="CP79" s="2" vm="3035">
        <f ca="1"/>
        <v>21.499099999999999</v>
      </c>
      <c r="CQ79" s="2">
        <f t="shared" ca="1" si="93"/>
        <v>1.3052431192011981E-2</v>
      </c>
    </row>
    <row r="80" spans="1:95" x14ac:dyDescent="0.2">
      <c r="A80" s="7" vm="3036">
        <f ca="1"/>
        <v>45688</v>
      </c>
      <c r="B80" s="2" vm="3037">
        <f ca="1"/>
        <v>236</v>
      </c>
      <c r="C80" s="2">
        <f t="shared" ca="1" si="47"/>
        <v>-6.6922008502041472E-3</v>
      </c>
      <c r="D80" s="2" vm="3038">
        <f ca="1"/>
        <v>120.07</v>
      </c>
      <c r="E80" s="2">
        <f t="shared" ca="1" si="48"/>
        <v>-3.6742880064179799E-2</v>
      </c>
      <c r="F80" s="2" vm="3039">
        <f ca="1"/>
        <v>415.06</v>
      </c>
      <c r="G80" s="2">
        <f t="shared" ca="1" si="49"/>
        <v>1.6867876334367859E-4</v>
      </c>
      <c r="H80" s="2" vm="3040">
        <f ca="1"/>
        <v>689.18</v>
      </c>
      <c r="I80" s="2">
        <f t="shared" ca="1" si="50"/>
        <v>3.1732168850072051E-3</v>
      </c>
      <c r="J80" s="2" vm="3041">
        <f ca="1"/>
        <v>204.02</v>
      </c>
      <c r="K80" s="2">
        <f t="shared" ca="1" si="51"/>
        <v>1.5681784238562282E-2</v>
      </c>
      <c r="L80" s="2" vm="3042">
        <f ca="1"/>
        <v>601.82000000000005</v>
      </c>
      <c r="M80" s="2">
        <f t="shared" ca="1" si="52"/>
        <v>-5.3219621843182494E-3</v>
      </c>
      <c r="N80" s="2" vm="3043">
        <f ca="1"/>
        <v>87.76</v>
      </c>
      <c r="O80" s="2">
        <f t="shared" ca="1" si="53"/>
        <v>-6.5655422232284164E-3</v>
      </c>
      <c r="P80" s="2" vm="3044">
        <f ca="1"/>
        <v>258.56</v>
      </c>
      <c r="Q80" s="2">
        <f t="shared" ca="1" si="54"/>
        <v>1.9763611703157947E-3</v>
      </c>
      <c r="R80" s="2" vm="3045">
        <f ca="1"/>
        <v>78.02</v>
      </c>
      <c r="S80" s="2">
        <f t="shared" ca="1" si="55"/>
        <v>3.4726688102893377E-3</v>
      </c>
      <c r="T80" s="2" vm="3046">
        <f ca="1"/>
        <v>93.02</v>
      </c>
      <c r="U80" s="2">
        <f t="shared" ca="1" si="56"/>
        <v>-1.609960287646299E-3</v>
      </c>
      <c r="V80" s="2" vm="3047">
        <f ca="1"/>
        <v>46.669699999999999</v>
      </c>
      <c r="W80" s="2">
        <f t="shared" ca="1" si="57"/>
        <v>-2.7458321046536513E-3</v>
      </c>
      <c r="X80" s="2" vm="3048">
        <f ca="1"/>
        <v>170.98</v>
      </c>
      <c r="Y80" s="2">
        <f t="shared" ca="1" si="58"/>
        <v>-4.5412203074056889E-3</v>
      </c>
      <c r="Z80" s="2" vm="3049">
        <f ca="1"/>
        <v>87.64</v>
      </c>
      <c r="AA80" s="2">
        <f t="shared" ca="1" si="59"/>
        <v>-2.7950310559006167E-2</v>
      </c>
      <c r="AB80" s="2" vm="3050">
        <f ca="1"/>
        <v>14.72</v>
      </c>
      <c r="AC80" s="2">
        <f t="shared" ca="1" si="60"/>
        <v>5.4644808743169442E-3</v>
      </c>
      <c r="AD80" s="2" t="e" vm="92">
        <f ca="1"/>
        <v>#N/A</v>
      </c>
      <c r="AE80" s="2" t="e" vm="140">
        <f t="shared" ca="1" si="61"/>
        <v>#N/A</v>
      </c>
      <c r="AF80" s="2" vm="3051">
        <f ca="1"/>
        <v>28.51</v>
      </c>
      <c r="AG80" s="2">
        <f t="shared" ca="1" si="62"/>
        <v>-7.3119777158773434E-3</v>
      </c>
      <c r="AH80" s="2" vm="2109">
        <f ca="1"/>
        <v>27.6</v>
      </c>
      <c r="AI80" s="2">
        <f t="shared" ca="1" si="63"/>
        <v>-4.3290043290042371E-3</v>
      </c>
      <c r="AJ80" s="2" vm="1279">
        <f ca="1"/>
        <v>4.95</v>
      </c>
      <c r="AK80" s="2">
        <f t="shared" ca="1" si="64"/>
        <v>-8.0160320641282628E-3</v>
      </c>
      <c r="AL80" s="2" vm="3052">
        <f ca="1"/>
        <v>55.48</v>
      </c>
      <c r="AM80" s="2">
        <f t="shared" ca="1" si="65"/>
        <v>1.6248420292470898E-3</v>
      </c>
      <c r="AN80" s="2" vm="3053">
        <f ca="1"/>
        <v>89.79</v>
      </c>
      <c r="AO80" s="2">
        <f t="shared" ca="1" si="66"/>
        <v>1.1604326273096001E-2</v>
      </c>
      <c r="AP80" s="2" vm="1241">
        <f ca="1"/>
        <v>26.15</v>
      </c>
      <c r="AQ80" s="2">
        <f t="shared" ca="1" si="67"/>
        <v>7.654037504783611E-4</v>
      </c>
      <c r="AR80" s="2" vm="635">
        <f ca="1"/>
        <v>51.08</v>
      </c>
      <c r="AS80" s="2">
        <f t="shared" ca="1" si="68"/>
        <v>-1.9573302016060121E-4</v>
      </c>
      <c r="AT80" s="2" vm="3054">
        <f ca="1"/>
        <v>29.1</v>
      </c>
      <c r="AU80" s="2">
        <f t="shared" ca="1" si="69"/>
        <v>6.8775790921606354E-4</v>
      </c>
      <c r="AV80" s="2" vm="1855">
        <f ca="1"/>
        <v>26.33</v>
      </c>
      <c r="AW80" s="2">
        <f t="shared" ca="1" si="70"/>
        <v>-4.160363086233093E-3</v>
      </c>
      <c r="AX80" s="2" vm="598">
        <f ca="1"/>
        <v>91.75</v>
      </c>
      <c r="AY80" s="2">
        <f t="shared" ca="1" si="71"/>
        <v>3.2708242477105473E-4</v>
      </c>
      <c r="AZ80" s="2" vm="3055">
        <f ca="1"/>
        <v>468.67</v>
      </c>
      <c r="BA80" s="2">
        <f t="shared" ca="1" si="72"/>
        <v>-7.7908330686990721E-3</v>
      </c>
      <c r="BB80" s="2" vm="3056">
        <f ca="1"/>
        <v>267.3</v>
      </c>
      <c r="BC80" s="2">
        <f t="shared" ca="1" si="73"/>
        <v>-3.4671736942176743E-3</v>
      </c>
      <c r="BD80" s="2" vm="3057">
        <f ca="1"/>
        <v>46.3</v>
      </c>
      <c r="BE80" s="2">
        <f t="shared" ca="1" si="74"/>
        <v>-8.9897260273972962E-3</v>
      </c>
      <c r="BF80" s="2" vm="3058">
        <f ca="1"/>
        <v>106.83</v>
      </c>
      <c r="BG80" s="2">
        <f t="shared" ca="1" si="75"/>
        <v>-2.5006844939308159E-2</v>
      </c>
      <c r="BH80" s="2" vm="3059">
        <f ca="1"/>
        <v>149.19</v>
      </c>
      <c r="BI80" s="2">
        <f t="shared" ca="1" si="76"/>
        <v>-4.561156601842372E-2</v>
      </c>
      <c r="BJ80" s="2" vm="3060">
        <f ca="1"/>
        <v>152.15</v>
      </c>
      <c r="BK80" s="2">
        <f t="shared" ca="1" si="77"/>
        <v>-4.709884215346365E-3</v>
      </c>
      <c r="BL80" s="2" vm="3061">
        <f ca="1"/>
        <v>63.48</v>
      </c>
      <c r="BM80" s="2">
        <f t="shared" ca="1" si="78"/>
        <v>-8.8992974238875922E-3</v>
      </c>
      <c r="BN80" s="2" vm="3062">
        <f ca="1"/>
        <v>288.7</v>
      </c>
      <c r="BO80" s="2">
        <f t="shared" ca="1" si="79"/>
        <v>-5.5800496004409089E-3</v>
      </c>
      <c r="BP80" s="2" vm="3063">
        <f ca="1"/>
        <v>113.06</v>
      </c>
      <c r="BQ80" s="2">
        <f t="shared" ca="1" si="80"/>
        <v>-3.2619236533545318E-3</v>
      </c>
      <c r="BR80" s="2" vm="3064">
        <f ca="1"/>
        <v>976.76</v>
      </c>
      <c r="BS80" s="2">
        <f t="shared" ca="1" si="81"/>
        <v>3.6167851711807796E-3</v>
      </c>
      <c r="BT80" s="2" vm="3065">
        <f ca="1"/>
        <v>165.99</v>
      </c>
      <c r="BU80" s="2">
        <f t="shared" ca="1" si="82"/>
        <v>-8.4821695239232272E-3</v>
      </c>
      <c r="BV80" s="2" vm="3066">
        <f ca="1"/>
        <v>150.69</v>
      </c>
      <c r="BW80" s="2">
        <f t="shared" ca="1" si="83"/>
        <v>-7.9657669519421197E-3</v>
      </c>
      <c r="BX80" s="2" vm="3067">
        <f ca="1"/>
        <v>276.95999999999998</v>
      </c>
      <c r="BY80" s="2">
        <f t="shared" ca="1" si="84"/>
        <v>-8.5910652920963421E-3</v>
      </c>
      <c r="BZ80" s="2" vm="1468">
        <f ca="1"/>
        <v>92.37</v>
      </c>
      <c r="CA80" s="2">
        <f t="shared" ca="1" si="85"/>
        <v>-2.3779327837666453E-2</v>
      </c>
      <c r="CB80" s="2" vm="3068">
        <f ca="1"/>
        <v>29.91</v>
      </c>
      <c r="CC80" s="2">
        <f t="shared" ca="1" si="86"/>
        <v>-2.573607252093638E-2</v>
      </c>
      <c r="CD80" s="2" t="e" vm="92">
        <f ca="1"/>
        <v>#N/A</v>
      </c>
      <c r="CE80" s="2" t="e" vm="140">
        <f t="shared" ca="1" si="87"/>
        <v>#N/A</v>
      </c>
      <c r="CF80" s="2" vm="3069">
        <f ca="1"/>
        <v>22.58</v>
      </c>
      <c r="CG80" s="2">
        <f t="shared" ca="1" si="88"/>
        <v>-8.8495575221252771E-4</v>
      </c>
      <c r="CH80" s="2" vm="3070">
        <f ca="1"/>
        <v>58.41</v>
      </c>
      <c r="CI80" s="2">
        <f t="shared" ca="1" si="89"/>
        <v>1.712328767122947E-4</v>
      </c>
      <c r="CJ80" s="2" vm="1833">
        <f ca="1"/>
        <v>58.33</v>
      </c>
      <c r="CK80" s="2">
        <f t="shared" ca="1" si="90"/>
        <v>-3.4275921165386679E-4</v>
      </c>
      <c r="CL80" s="2" vm="3071">
        <f ca="1"/>
        <v>55.67</v>
      </c>
      <c r="CM80" s="2">
        <f t="shared" ca="1" si="91"/>
        <v>-4.4706723891273243E-3</v>
      </c>
      <c r="CN80" s="2" vm="2056">
        <f ca="1"/>
        <v>28.79</v>
      </c>
      <c r="CO80" s="2">
        <f t="shared" ca="1" si="92"/>
        <v>-2.4255024255024353E-3</v>
      </c>
      <c r="CP80" s="2" vm="3072">
        <f ca="1"/>
        <v>21.472300000000001</v>
      </c>
      <c r="CQ80" s="2">
        <f t="shared" ca="1" si="93"/>
        <v>-1.2465638096477499E-3</v>
      </c>
    </row>
    <row r="81" spans="1:95" x14ac:dyDescent="0.2">
      <c r="A81" s="7" vm="3073">
        <f ca="1"/>
        <v>45691</v>
      </c>
      <c r="B81" s="2" vm="3074">
        <f ca="1"/>
        <v>228.01</v>
      </c>
      <c r="C81" s="2">
        <f t="shared" ca="1" si="47"/>
        <v>-3.3855932203389866E-2</v>
      </c>
      <c r="D81" s="2" vm="3075">
        <f ca="1"/>
        <v>116.66</v>
      </c>
      <c r="E81" s="2">
        <f t="shared" ca="1" si="48"/>
        <v>-2.8400099941700646E-2</v>
      </c>
      <c r="F81" s="2" vm="3076">
        <f ca="1"/>
        <v>410.92</v>
      </c>
      <c r="G81" s="2">
        <f t="shared" ca="1" si="49"/>
        <v>-9.9744615236351045E-3</v>
      </c>
      <c r="H81" s="2" vm="3077">
        <f ca="1"/>
        <v>697.46</v>
      </c>
      <c r="I81" s="2">
        <f t="shared" ca="1" si="50"/>
        <v>1.2014277837430115E-2</v>
      </c>
      <c r="J81" s="2" vm="3078">
        <f ca="1"/>
        <v>201.23</v>
      </c>
      <c r="K81" s="2">
        <f t="shared" ca="1" si="51"/>
        <v>-1.3675129889226647E-2</v>
      </c>
      <c r="L81" s="2" vm="3079">
        <f ca="1"/>
        <v>597.77</v>
      </c>
      <c r="M81" s="2">
        <f t="shared" ca="1" si="52"/>
        <v>-6.7295869196770924E-3</v>
      </c>
      <c r="N81" s="2" vm="3080">
        <f ca="1"/>
        <v>88.16</v>
      </c>
      <c r="O81" s="2">
        <f t="shared" ca="1" si="53"/>
        <v>4.5578851412943419E-3</v>
      </c>
      <c r="P81" s="2" vm="3081">
        <f ca="1"/>
        <v>259.94</v>
      </c>
      <c r="Q81" s="2">
        <f t="shared" ca="1" si="54"/>
        <v>5.3372524752475069E-3</v>
      </c>
      <c r="R81" s="2" vm="3082">
        <f ca="1"/>
        <v>77.819999999999993</v>
      </c>
      <c r="S81" s="2">
        <f t="shared" ca="1" si="55"/>
        <v>-2.5634452704435128E-3</v>
      </c>
      <c r="T81" s="2" vm="3083">
        <f ca="1"/>
        <v>92.79</v>
      </c>
      <c r="U81" s="2">
        <f t="shared" ca="1" si="56"/>
        <v>-2.4725865405288085E-3</v>
      </c>
      <c r="V81" s="2" vm="1245">
        <f ca="1"/>
        <v>46.72</v>
      </c>
      <c r="W81" s="2">
        <f t="shared" ca="1" si="57"/>
        <v>1.0777870866965078E-3</v>
      </c>
      <c r="X81" s="2" vm="3084">
        <f ca="1"/>
        <v>167.12</v>
      </c>
      <c r="Y81" s="2">
        <f t="shared" ca="1" si="58"/>
        <v>-2.2575739852614254E-2</v>
      </c>
      <c r="Z81" s="2" vm="2936">
        <f ca="1"/>
        <v>88.19</v>
      </c>
      <c r="AA81" s="2">
        <f t="shared" ca="1" si="59"/>
        <v>6.2756732085805242E-3</v>
      </c>
      <c r="AB81" s="2" vm="2980">
        <f ca="1"/>
        <v>14.66</v>
      </c>
      <c r="AC81" s="2">
        <f t="shared" ca="1" si="60"/>
        <v>-4.0760869565217728E-3</v>
      </c>
      <c r="AD81" s="2" vm="1276">
        <f ca="1"/>
        <v>4.8</v>
      </c>
      <c r="AE81" s="2" t="e" vm="140">
        <f t="shared" ca="1" si="61"/>
        <v>#N/A</v>
      </c>
      <c r="AF81" s="2" vm="2240">
        <f ca="1"/>
        <v>28.67</v>
      </c>
      <c r="AG81" s="2">
        <f t="shared" ca="1" si="62"/>
        <v>5.6120659417748207E-3</v>
      </c>
      <c r="AH81" s="2" vm="1519">
        <f ca="1"/>
        <v>27.64</v>
      </c>
      <c r="AI81" s="2">
        <f t="shared" ca="1" si="63"/>
        <v>1.4492753623188096E-3</v>
      </c>
      <c r="AJ81" s="2" vm="3085">
        <f ca="1"/>
        <v>5</v>
      </c>
      <c r="AK81" s="2">
        <f t="shared" ca="1" si="64"/>
        <v>1.0101010101010065E-2</v>
      </c>
      <c r="AL81" s="2" vm="3086">
        <f ca="1"/>
        <v>55.81</v>
      </c>
      <c r="AM81" s="2">
        <f t="shared" ca="1" si="65"/>
        <v>5.9480894015862549E-3</v>
      </c>
      <c r="AN81" s="2" vm="2102">
        <f ca="1"/>
        <v>88.31</v>
      </c>
      <c r="AO81" s="2">
        <f t="shared" ca="1" si="66"/>
        <v>-1.6482904555072991E-2</v>
      </c>
      <c r="AP81" s="2" vm="2376">
        <f ca="1"/>
        <v>26.2</v>
      </c>
      <c r="AQ81" s="2">
        <f t="shared" ca="1" si="67"/>
        <v>1.9120458891013657E-3</v>
      </c>
      <c r="AR81" s="2" vm="73">
        <f ca="1"/>
        <v>50.9</v>
      </c>
      <c r="AS81" s="2">
        <f t="shared" ca="1" si="68"/>
        <v>-3.5238841033672615E-3</v>
      </c>
      <c r="AT81" s="2" vm="1090">
        <f ca="1"/>
        <v>28.97</v>
      </c>
      <c r="AU81" s="2">
        <f t="shared" ca="1" si="69"/>
        <v>-4.4673539518901217E-3</v>
      </c>
      <c r="AV81" s="2" vm="2946">
        <f ca="1"/>
        <v>26.38</v>
      </c>
      <c r="AW81" s="2">
        <f t="shared" ca="1" si="70"/>
        <v>1.8989745537410069E-3</v>
      </c>
      <c r="AX81" s="2" vm="2377">
        <f ca="1"/>
        <v>91.45</v>
      </c>
      <c r="AY81" s="2">
        <f t="shared" ca="1" si="71"/>
        <v>-3.2697547683923395E-3</v>
      </c>
      <c r="AZ81" s="2" vm="3087">
        <f ca="1"/>
        <v>464.61</v>
      </c>
      <c r="BA81" s="2">
        <f t="shared" ca="1" si="72"/>
        <v>-8.6628117865449085E-3</v>
      </c>
      <c r="BB81" s="2" vm="3088">
        <f ca="1"/>
        <v>266.81</v>
      </c>
      <c r="BC81" s="2">
        <f t="shared" ca="1" si="73"/>
        <v>-1.8331462775907561E-3</v>
      </c>
      <c r="BD81" s="2" vm="2520">
        <f ca="1"/>
        <v>46.21</v>
      </c>
      <c r="BE81" s="2">
        <f t="shared" ca="1" si="74"/>
        <v>-1.9438444924405251E-3</v>
      </c>
      <c r="BF81" s="2" vm="3089">
        <f ca="1"/>
        <v>107.09</v>
      </c>
      <c r="BG81" s="2">
        <f t="shared" ca="1" si="75"/>
        <v>2.4337732846579155E-3</v>
      </c>
      <c r="BH81" s="2" vm="3090">
        <f ca="1"/>
        <v>149.34</v>
      </c>
      <c r="BI81" s="2">
        <f t="shared" ca="1" si="76"/>
        <v>1.0054293183189603E-3</v>
      </c>
      <c r="BJ81" s="2" vm="1168">
        <f ca="1"/>
        <v>151.87</v>
      </c>
      <c r="BK81" s="2">
        <f t="shared" ca="1" si="77"/>
        <v>-1.8402891883010262E-3</v>
      </c>
      <c r="BL81" s="2" vm="3091">
        <f ca="1"/>
        <v>63.35</v>
      </c>
      <c r="BM81" s="2">
        <f t="shared" ca="1" si="78"/>
        <v>-2.0478890989287248E-3</v>
      </c>
      <c r="BN81" s="2" vm="3092">
        <f ca="1"/>
        <v>290.05</v>
      </c>
      <c r="BO81" s="2">
        <f t="shared" ca="1" si="79"/>
        <v>4.6761343955664105E-3</v>
      </c>
      <c r="BP81" s="2" vm="3093">
        <f ca="1"/>
        <v>114</v>
      </c>
      <c r="BQ81" s="2">
        <f t="shared" ca="1" si="80"/>
        <v>8.3141694675393386E-3</v>
      </c>
      <c r="BR81" s="2" vm="3094">
        <f ca="1"/>
        <v>978.94</v>
      </c>
      <c r="BS81" s="2">
        <f t="shared" ca="1" si="81"/>
        <v>2.2318686268889632E-3</v>
      </c>
      <c r="BT81" s="2" vm="3095">
        <f ca="1"/>
        <v>168.76</v>
      </c>
      <c r="BU81" s="2">
        <f t="shared" ca="1" si="82"/>
        <v>1.6687752274233279E-2</v>
      </c>
      <c r="BV81" s="2" vm="3096">
        <f ca="1"/>
        <v>150.27000000000001</v>
      </c>
      <c r="BW81" s="2">
        <f t="shared" ca="1" si="83"/>
        <v>-2.7871789767070641E-3</v>
      </c>
      <c r="BX81" s="2" vm="3097">
        <f ca="1"/>
        <v>275.94</v>
      </c>
      <c r="BY81" s="2">
        <f t="shared" ca="1" si="84"/>
        <v>-3.6828422876949087E-3</v>
      </c>
      <c r="BZ81" s="2" vm="539">
        <f ca="1"/>
        <v>92.66</v>
      </c>
      <c r="CA81" s="2">
        <f t="shared" ca="1" si="85"/>
        <v>3.1395474721228975E-3</v>
      </c>
      <c r="CB81" s="2" vm="525">
        <f ca="1"/>
        <v>29.83</v>
      </c>
      <c r="CC81" s="2">
        <f t="shared" ca="1" si="86"/>
        <v>-2.6746907388833785E-3</v>
      </c>
      <c r="CD81" s="2" t="e" vm="92">
        <f ca="1"/>
        <v>#N/A</v>
      </c>
      <c r="CE81" s="2" t="e" vm="140">
        <f t="shared" ca="1" si="87"/>
        <v>#N/A</v>
      </c>
      <c r="CF81" s="2" vm="3098">
        <f ca="1"/>
        <v>22.53</v>
      </c>
      <c r="CG81" s="2">
        <f t="shared" ca="1" si="88"/>
        <v>-2.214348981399343E-3</v>
      </c>
      <c r="CH81" s="2" vm="486">
        <f ca="1"/>
        <v>58.17</v>
      </c>
      <c r="CI81" s="2">
        <f t="shared" ca="1" si="89"/>
        <v>-4.1088854648175807E-3</v>
      </c>
      <c r="CJ81" s="2" vm="779">
        <f ca="1"/>
        <v>58.13</v>
      </c>
      <c r="CK81" s="2">
        <f t="shared" ca="1" si="90"/>
        <v>-3.4287673581346774E-3</v>
      </c>
      <c r="CL81" s="2" vm="3099">
        <f ca="1"/>
        <v>55.77</v>
      </c>
      <c r="CM81" s="2">
        <f t="shared" ca="1" si="91"/>
        <v>1.7962996227771047E-3</v>
      </c>
      <c r="CN81" s="2" vm="3100">
        <f ca="1"/>
        <v>28.7</v>
      </c>
      <c r="CO81" s="2">
        <f t="shared" ca="1" si="92"/>
        <v>-3.1260854463355282E-3</v>
      </c>
      <c r="CP81" s="2" vm="3101">
        <f ca="1"/>
        <v>21.387899999999998</v>
      </c>
      <c r="CQ81" s="2">
        <f t="shared" ca="1" si="93"/>
        <v>-3.9306455293565317E-3</v>
      </c>
    </row>
    <row r="82" spans="1:95" x14ac:dyDescent="0.2">
      <c r="A82" s="7" vm="3102">
        <f ca="1"/>
        <v>45692</v>
      </c>
      <c r="B82" s="2" vm="3103">
        <f ca="1"/>
        <v>232.8</v>
      </c>
      <c r="C82" s="2">
        <f t="shared" ca="1" si="47"/>
        <v>2.1007850532871457E-2</v>
      </c>
      <c r="D82" s="2" vm="3104">
        <f ca="1"/>
        <v>118.65</v>
      </c>
      <c r="E82" s="2">
        <f t="shared" ca="1" si="48"/>
        <v>1.7058117606720463E-2</v>
      </c>
      <c r="F82" s="2" vm="3105">
        <f ca="1"/>
        <v>412.37</v>
      </c>
      <c r="G82" s="2">
        <f t="shared" ca="1" si="49"/>
        <v>3.528667380511994E-3</v>
      </c>
      <c r="H82" s="2" vm="3106">
        <f ca="1"/>
        <v>704.19</v>
      </c>
      <c r="I82" s="2">
        <f t="shared" ca="1" si="50"/>
        <v>9.6492988845238697E-3</v>
      </c>
      <c r="J82" s="2" vm="3107">
        <f ca="1"/>
        <v>206.38</v>
      </c>
      <c r="K82" s="2">
        <f t="shared" ca="1" si="51"/>
        <v>2.5592605476320657E-2</v>
      </c>
      <c r="L82" s="2" vm="3108">
        <f ca="1"/>
        <v>601.78</v>
      </c>
      <c r="M82" s="2">
        <f t="shared" ca="1" si="52"/>
        <v>6.7082657209294391E-3</v>
      </c>
      <c r="N82" s="2" vm="3109">
        <f ca="1"/>
        <v>88.43</v>
      </c>
      <c r="O82" s="2">
        <f t="shared" ca="1" si="53"/>
        <v>3.0626134301271579E-3</v>
      </c>
      <c r="P82" s="2" vm="3110">
        <f ca="1"/>
        <v>262.5</v>
      </c>
      <c r="Q82" s="2">
        <f t="shared" ca="1" si="54"/>
        <v>9.8484265599753876E-3</v>
      </c>
      <c r="R82" s="2" vm="3111">
        <f ca="1"/>
        <v>77.510000000000005</v>
      </c>
      <c r="S82" s="2">
        <f t="shared" ca="1" si="55"/>
        <v>-3.9835517861730669E-3</v>
      </c>
      <c r="T82" s="2" vm="3046">
        <f ca="1"/>
        <v>93.02</v>
      </c>
      <c r="U82" s="2">
        <f t="shared" ca="1" si="56"/>
        <v>2.4787153788122618E-3</v>
      </c>
      <c r="V82" s="2" vm="3112">
        <f ca="1"/>
        <v>46.83</v>
      </c>
      <c r="W82" s="2">
        <f t="shared" ca="1" si="57"/>
        <v>2.3544520547945083E-3</v>
      </c>
      <c r="X82" s="2" vm="3113">
        <f ca="1"/>
        <v>162.59</v>
      </c>
      <c r="Y82" s="2">
        <f t="shared" ca="1" si="58"/>
        <v>-2.710627094303495E-2</v>
      </c>
      <c r="Z82" s="2" vm="3114">
        <f ca="1"/>
        <v>90.04</v>
      </c>
      <c r="AA82" s="2">
        <f t="shared" ca="1" si="59"/>
        <v>2.097743508334288E-2</v>
      </c>
      <c r="AB82" s="2" vm="1851">
        <f ca="1"/>
        <v>14.59</v>
      </c>
      <c r="AC82" s="2">
        <f t="shared" ca="1" si="60"/>
        <v>-4.7748976807640026E-3</v>
      </c>
      <c r="AD82" s="2" vm="1236">
        <f ca="1"/>
        <v>4.4000000000000004</v>
      </c>
      <c r="AE82" s="2">
        <f t="shared" ca="1" si="61"/>
        <v>-8.3333333333333232E-2</v>
      </c>
      <c r="AF82" s="2" vm="530">
        <f ca="1"/>
        <v>29.22</v>
      </c>
      <c r="AG82" s="2">
        <f t="shared" ca="1" si="62"/>
        <v>1.9183815835367879E-2</v>
      </c>
      <c r="AH82" s="2" vm="3115">
        <f ca="1"/>
        <v>27.73</v>
      </c>
      <c r="AI82" s="2">
        <f t="shared" ca="1" si="63"/>
        <v>3.2561505065122958E-3</v>
      </c>
      <c r="AJ82" s="2" vm="3116">
        <f ca="1"/>
        <v>5.09</v>
      </c>
      <c r="AK82" s="2">
        <f t="shared" ca="1" si="64"/>
        <v>1.7999999999999971E-2</v>
      </c>
      <c r="AL82" s="2" vm="3117">
        <f ca="1"/>
        <v>56.36</v>
      </c>
      <c r="AM82" s="2">
        <f t="shared" ca="1" si="65"/>
        <v>9.8548647195842529E-3</v>
      </c>
      <c r="AN82" s="2" vm="3118">
        <f ca="1"/>
        <v>88.5</v>
      </c>
      <c r="AO82" s="2">
        <f t="shared" ca="1" si="66"/>
        <v>2.1515117200769755E-3</v>
      </c>
      <c r="AP82" s="2" vm="3119">
        <f ca="1"/>
        <v>26.24</v>
      </c>
      <c r="AQ82" s="2">
        <f t="shared" ca="1" si="67"/>
        <v>1.5267175572518759E-3</v>
      </c>
      <c r="AR82" s="2" vm="1746">
        <f ca="1"/>
        <v>50.92</v>
      </c>
      <c r="AS82" s="2">
        <f t="shared" ca="1" si="68"/>
        <v>3.9292730844799859E-4</v>
      </c>
      <c r="AT82" s="2" vm="1345">
        <f ca="1"/>
        <v>29</v>
      </c>
      <c r="AU82" s="2">
        <f t="shared" ca="1" si="69"/>
        <v>1.035554021401489E-3</v>
      </c>
      <c r="AV82" s="2" vm="2552">
        <f ca="1"/>
        <v>26.45</v>
      </c>
      <c r="AW82" s="2">
        <f t="shared" ca="1" si="70"/>
        <v>2.6535253980288207E-3</v>
      </c>
      <c r="AX82" s="2" vm="2377">
        <f ca="1"/>
        <v>91.45</v>
      </c>
      <c r="AY82" s="2">
        <f t="shared" ca="1" si="71"/>
        <v>0</v>
      </c>
      <c r="AZ82" s="2" vm="3120">
        <f ca="1"/>
        <v>467.49</v>
      </c>
      <c r="BA82" s="2">
        <f t="shared" ca="1" si="72"/>
        <v>6.1987473364757441E-3</v>
      </c>
      <c r="BB82" s="2" vm="3121">
        <f ca="1"/>
        <v>267.94</v>
      </c>
      <c r="BC82" s="2">
        <f t="shared" ca="1" si="73"/>
        <v>4.2352235673325418E-3</v>
      </c>
      <c r="BD82" s="2" vm="3122">
        <f ca="1"/>
        <v>46.71</v>
      </c>
      <c r="BE82" s="2">
        <f t="shared" ca="1" si="74"/>
        <v>1.0820168794633196E-2</v>
      </c>
      <c r="BF82" s="2" vm="3123">
        <f ca="1"/>
        <v>109.96</v>
      </c>
      <c r="BG82" s="2">
        <f t="shared" ca="1" si="75"/>
        <v>2.6799887944719304E-2</v>
      </c>
      <c r="BH82" s="2" vm="3124">
        <f ca="1"/>
        <v>153.22</v>
      </c>
      <c r="BI82" s="2">
        <f t="shared" ca="1" si="76"/>
        <v>2.598098299183069E-2</v>
      </c>
      <c r="BJ82" s="2" vm="3125">
        <f ca="1"/>
        <v>153.49</v>
      </c>
      <c r="BK82" s="2">
        <f t="shared" ca="1" si="77"/>
        <v>1.0667017844208893E-2</v>
      </c>
      <c r="BL82" s="2" vm="3126">
        <f ca="1"/>
        <v>62.67</v>
      </c>
      <c r="BM82" s="2">
        <f t="shared" ca="1" si="78"/>
        <v>-1.0734017363851614E-2</v>
      </c>
      <c r="BN82" s="2" vm="3127">
        <f ca="1"/>
        <v>289.77</v>
      </c>
      <c r="BO82" s="2">
        <f t="shared" ca="1" si="79"/>
        <v>-9.6535080158603531E-4</v>
      </c>
      <c r="BP82" s="2" vm="3128">
        <f ca="1"/>
        <v>113.3</v>
      </c>
      <c r="BQ82" s="2">
        <f t="shared" ca="1" si="80"/>
        <v>-6.1403508771930076E-3</v>
      </c>
      <c r="BR82" s="2" vm="3129">
        <f ca="1"/>
        <v>994.87</v>
      </c>
      <c r="BS82" s="2">
        <f t="shared" ca="1" si="81"/>
        <v>1.6272703127872955E-2</v>
      </c>
      <c r="BT82" s="2" vm="3130">
        <f ca="1"/>
        <v>168.13</v>
      </c>
      <c r="BU82" s="2">
        <f t="shared" ca="1" si="82"/>
        <v>-3.7331121118748252E-3</v>
      </c>
      <c r="BV82" s="2" vm="3131">
        <f ca="1"/>
        <v>143.49</v>
      </c>
      <c r="BW82" s="2">
        <f t="shared" ca="1" si="83"/>
        <v>-4.5118786184867241E-2</v>
      </c>
      <c r="BX82" s="2" vm="3132">
        <f ca="1"/>
        <v>283.08</v>
      </c>
      <c r="BY82" s="2">
        <f t="shared" ca="1" si="84"/>
        <v>2.5875190258751853E-2</v>
      </c>
      <c r="BZ82" s="2" vm="3133">
        <f ca="1"/>
        <v>94.93</v>
      </c>
      <c r="CA82" s="2">
        <f t="shared" ca="1" si="85"/>
        <v>2.4498165335635768E-2</v>
      </c>
      <c r="CB82" s="2" vm="2532">
        <f ca="1"/>
        <v>30.62</v>
      </c>
      <c r="CC82" s="2">
        <f t="shared" ca="1" si="86"/>
        <v>2.648340596714726E-2</v>
      </c>
      <c r="CD82" s="2" t="e" vm="92">
        <f ca="1"/>
        <v>#N/A</v>
      </c>
      <c r="CE82" s="2" t="e" vm="140">
        <f t="shared" ca="1" si="87"/>
        <v>#N/A</v>
      </c>
      <c r="CF82" s="2" vm="3134">
        <f ca="1"/>
        <v>22.565000000000001</v>
      </c>
      <c r="CG82" s="2">
        <f t="shared" ca="1" si="88"/>
        <v>1.5534842432312534E-3</v>
      </c>
      <c r="CH82" s="2" vm="1220">
        <f ca="1"/>
        <v>58.22</v>
      </c>
      <c r="CI82" s="2">
        <f t="shared" ca="1" si="89"/>
        <v>8.5954959601164101E-4</v>
      </c>
      <c r="CJ82" s="2" vm="1179">
        <f ca="1"/>
        <v>58.21</v>
      </c>
      <c r="CK82" s="2">
        <f t="shared" ca="1" si="90"/>
        <v>1.3762257010149371E-3</v>
      </c>
      <c r="CL82" s="2" vm="3135">
        <f ca="1"/>
        <v>55.94</v>
      </c>
      <c r="CM82" s="2">
        <f t="shared" ca="1" si="91"/>
        <v>3.0482338174644898E-3</v>
      </c>
      <c r="CN82" s="2" vm="3136">
        <f ca="1"/>
        <v>28.75</v>
      </c>
      <c r="CO82" s="2">
        <f t="shared" ca="1" si="92"/>
        <v>1.7421602787456693E-3</v>
      </c>
      <c r="CP82" s="2" vm="3137">
        <f ca="1"/>
        <v>21.623100000000001</v>
      </c>
      <c r="CQ82" s="2">
        <f t="shared" ca="1" si="93"/>
        <v>1.0996872063176026E-2</v>
      </c>
    </row>
    <row r="83" spans="1:95" x14ac:dyDescent="0.2">
      <c r="A83" s="7" vm="3138">
        <f ca="1"/>
        <v>45693</v>
      </c>
      <c r="B83" s="2" vm="3139">
        <f ca="1"/>
        <v>232.47</v>
      </c>
      <c r="C83" s="2">
        <f t="shared" ca="1" si="47"/>
        <v>-1.41752577319593E-3</v>
      </c>
      <c r="D83" s="2" vm="3140">
        <f ca="1"/>
        <v>124.83</v>
      </c>
      <c r="E83" s="2">
        <f t="shared" ca="1" si="48"/>
        <v>5.208596713021485E-2</v>
      </c>
      <c r="F83" s="2" vm="3141">
        <f ca="1"/>
        <v>413.29</v>
      </c>
      <c r="G83" s="2">
        <f t="shared" ca="1" si="49"/>
        <v>2.2310061352669107E-3</v>
      </c>
      <c r="H83" s="2" vm="3142">
        <f ca="1"/>
        <v>704.87</v>
      </c>
      <c r="I83" s="2">
        <f t="shared" ca="1" si="50"/>
        <v>9.6564847555340172E-4</v>
      </c>
      <c r="J83" s="2" vm="3143">
        <f ca="1"/>
        <v>191.33</v>
      </c>
      <c r="K83" s="2">
        <f t="shared" ca="1" si="51"/>
        <v>-7.2923732919856488E-2</v>
      </c>
      <c r="L83" s="2" vm="3144">
        <f ca="1"/>
        <v>604.22</v>
      </c>
      <c r="M83" s="2">
        <f t="shared" ca="1" si="52"/>
        <v>4.0546379075410525E-3</v>
      </c>
      <c r="N83" s="2" vm="3145">
        <f ca="1"/>
        <v>89.89</v>
      </c>
      <c r="O83" s="2">
        <f t="shared" ca="1" si="53"/>
        <v>1.6510234083455769E-2</v>
      </c>
      <c r="P83" s="2" vm="3146">
        <f ca="1"/>
        <v>264.13</v>
      </c>
      <c r="Q83" s="2">
        <f t="shared" ca="1" si="54"/>
        <v>6.2095238095237924E-3</v>
      </c>
      <c r="R83" s="2" vm="3147">
        <f ca="1"/>
        <v>76.09</v>
      </c>
      <c r="S83" s="2">
        <f t="shared" ca="1" si="55"/>
        <v>-1.8320216746226314E-2</v>
      </c>
      <c r="T83" s="2" vm="918">
        <f ca="1"/>
        <v>93.56</v>
      </c>
      <c r="U83" s="2">
        <f t="shared" ca="1" si="56"/>
        <v>5.8052031821114415E-3</v>
      </c>
      <c r="V83" s="2" vm="3148">
        <f ca="1"/>
        <v>47.094999999999999</v>
      </c>
      <c r="W83" s="2">
        <f t="shared" ca="1" si="57"/>
        <v>5.6587657484518591E-3</v>
      </c>
      <c r="X83" s="2" vm="3149">
        <f ca="1"/>
        <v>165.75</v>
      </c>
      <c r="Y83" s="2">
        <f t="shared" ca="1" si="58"/>
        <v>1.9435389630358551E-2</v>
      </c>
      <c r="Z83" s="2" vm="1976">
        <f ca="1"/>
        <v>90.23</v>
      </c>
      <c r="AA83" s="2">
        <f t="shared" ca="1" si="59"/>
        <v>2.1101732563304945E-3</v>
      </c>
      <c r="AB83" s="2" vm="1317">
        <f ca="1"/>
        <v>14.34</v>
      </c>
      <c r="AC83" s="2">
        <f t="shared" ca="1" si="60"/>
        <v>-1.7135023989033583E-2</v>
      </c>
      <c r="AD83" s="2" vm="1236">
        <f ca="1"/>
        <v>4.4000000000000004</v>
      </c>
      <c r="AE83" s="2">
        <f t="shared" ca="1" si="61"/>
        <v>0</v>
      </c>
      <c r="AF83" s="2" vm="3150">
        <f ca="1"/>
        <v>29.35</v>
      </c>
      <c r="AG83" s="2">
        <f t="shared" ca="1" si="62"/>
        <v>4.4490075290897525E-3</v>
      </c>
      <c r="AH83" s="2" vm="169">
        <f ca="1"/>
        <v>27.87</v>
      </c>
      <c r="AI83" s="2">
        <f t="shared" ca="1" si="63"/>
        <v>5.0486837360259849E-3</v>
      </c>
      <c r="AJ83" s="2" vm="3151">
        <f ca="1"/>
        <v>5.05</v>
      </c>
      <c r="AK83" s="2">
        <f t="shared" ca="1" si="64"/>
        <v>-7.858546168958749E-3</v>
      </c>
      <c r="AL83" s="2" vm="3152">
        <f ca="1"/>
        <v>56.73</v>
      </c>
      <c r="AM83" s="2">
        <f t="shared" ca="1" si="65"/>
        <v>6.5649396735272788E-3</v>
      </c>
      <c r="AN83" s="2" vm="3153">
        <f ca="1"/>
        <v>89.84</v>
      </c>
      <c r="AO83" s="2">
        <f t="shared" ca="1" si="66"/>
        <v>1.5141242937853145E-2</v>
      </c>
      <c r="AP83" s="2" vm="1320">
        <f ca="1"/>
        <v>26.36</v>
      </c>
      <c r="AQ83" s="2">
        <f t="shared" ca="1" si="67"/>
        <v>4.573170731707355E-3</v>
      </c>
      <c r="AR83" s="2" vm="1746">
        <f ca="1"/>
        <v>50.92</v>
      </c>
      <c r="AS83" s="2">
        <f t="shared" ca="1" si="68"/>
        <v>0</v>
      </c>
      <c r="AT83" s="2" vm="800">
        <f ca="1"/>
        <v>29.01</v>
      </c>
      <c r="AU83" s="2">
        <f t="shared" ca="1" si="69"/>
        <v>3.4482758620695046E-4</v>
      </c>
      <c r="AV83" s="2" vm="3154">
        <f ca="1"/>
        <v>26.86</v>
      </c>
      <c r="AW83" s="2">
        <f t="shared" ca="1" si="70"/>
        <v>1.5500945179584127E-2</v>
      </c>
      <c r="AX83" s="2" vm="2414">
        <f ca="1"/>
        <v>91.46</v>
      </c>
      <c r="AY83" s="2">
        <f t="shared" ca="1" si="71"/>
        <v>1.093493712410159E-4</v>
      </c>
      <c r="AZ83" s="2" vm="3155">
        <f ca="1"/>
        <v>473.73</v>
      </c>
      <c r="BA83" s="2">
        <f t="shared" ca="1" si="72"/>
        <v>1.3347879099018181E-2</v>
      </c>
      <c r="BB83" s="2" vm="3156">
        <f ca="1"/>
        <v>270.43</v>
      </c>
      <c r="BC83" s="2">
        <f t="shared" ca="1" si="73"/>
        <v>9.2931253265656835E-3</v>
      </c>
      <c r="BD83" s="2" vm="3157">
        <f ca="1"/>
        <v>47.11</v>
      </c>
      <c r="BE83" s="2">
        <f t="shared" ca="1" si="74"/>
        <v>8.5634767715692273E-3</v>
      </c>
      <c r="BF83" s="2" vm="3158">
        <f ca="1"/>
        <v>109.88</v>
      </c>
      <c r="BG83" s="2">
        <f t="shared" ca="1" si="75"/>
        <v>-7.2753728628590665E-4</v>
      </c>
      <c r="BH83" s="2" vm="3159">
        <f ca="1"/>
        <v>152.99</v>
      </c>
      <c r="BI83" s="2">
        <f t="shared" ca="1" si="76"/>
        <v>-1.5011095157289503E-3</v>
      </c>
      <c r="BJ83" s="2" vm="3160">
        <f ca="1"/>
        <v>154.69</v>
      </c>
      <c r="BK83" s="2">
        <f t="shared" ca="1" si="77"/>
        <v>7.8180988989509977E-3</v>
      </c>
      <c r="BL83" s="2" vm="1931">
        <f ca="1"/>
        <v>63.12</v>
      </c>
      <c r="BM83" s="2">
        <f t="shared" ca="1" si="78"/>
        <v>7.1804691239826983E-3</v>
      </c>
      <c r="BN83" s="2" vm="3161">
        <f ca="1"/>
        <v>288.83</v>
      </c>
      <c r="BO83" s="2">
        <f t="shared" ca="1" si="79"/>
        <v>-3.2439520999413252E-3</v>
      </c>
      <c r="BP83" s="2" vm="3162">
        <f ca="1"/>
        <v>110.54</v>
      </c>
      <c r="BQ83" s="2">
        <f t="shared" ca="1" si="80"/>
        <v>-2.4360105913503891E-2</v>
      </c>
      <c r="BR83" s="2" vm="3163">
        <f ca="1"/>
        <v>1011.11</v>
      </c>
      <c r="BS83" s="2">
        <f t="shared" ca="1" si="81"/>
        <v>1.6323740790254011E-2</v>
      </c>
      <c r="BT83" s="2" vm="3164">
        <f ca="1"/>
        <v>169.01</v>
      </c>
      <c r="BU83" s="2">
        <f t="shared" ca="1" si="82"/>
        <v>5.2340450841610389E-3</v>
      </c>
      <c r="BV83" s="2" vm="3165">
        <f ca="1"/>
        <v>145.66</v>
      </c>
      <c r="BW83" s="2">
        <f t="shared" ca="1" si="83"/>
        <v>1.5123005087462452E-2</v>
      </c>
      <c r="BX83" s="2" vm="3166">
        <f ca="1"/>
        <v>285.29000000000002</v>
      </c>
      <c r="BY83" s="2">
        <f t="shared" ca="1" si="84"/>
        <v>7.806980358909271E-3</v>
      </c>
      <c r="BZ83" s="2" vm="3167">
        <f ca="1"/>
        <v>94.83</v>
      </c>
      <c r="CA83" s="2">
        <f t="shared" ca="1" si="85"/>
        <v>-1.053407774149463E-3</v>
      </c>
      <c r="CB83" s="2" vm="3168">
        <f ca="1"/>
        <v>30.48</v>
      </c>
      <c r="CC83" s="2">
        <f t="shared" ca="1" si="86"/>
        <v>-4.5721750489876086E-3</v>
      </c>
      <c r="CD83" s="2" t="e" vm="92">
        <f ca="1"/>
        <v>#N/A</v>
      </c>
      <c r="CE83" s="2" t="e" vm="140">
        <f t="shared" ca="1" si="87"/>
        <v>#N/A</v>
      </c>
      <c r="CF83" s="2" vm="1940">
        <f ca="1"/>
        <v>22.67</v>
      </c>
      <c r="CG83" s="2">
        <f t="shared" ca="1" si="88"/>
        <v>4.6532240194992434E-3</v>
      </c>
      <c r="CH83" s="2" vm="1299">
        <f ca="1"/>
        <v>58.26</v>
      </c>
      <c r="CI83" s="2">
        <f t="shared" ca="1" si="89"/>
        <v>6.8704912401235227E-4</v>
      </c>
      <c r="CJ83" s="2" vm="819">
        <f ca="1"/>
        <v>58.42</v>
      </c>
      <c r="CK83" s="2">
        <f t="shared" ca="1" si="90"/>
        <v>3.6076275554028665E-3</v>
      </c>
      <c r="CL83" s="2" vm="3169">
        <f ca="1"/>
        <v>56.76</v>
      </c>
      <c r="CM83" s="2">
        <f t="shared" ca="1" si="91"/>
        <v>1.4658562745799075E-2</v>
      </c>
      <c r="CN83" s="2" vm="2266">
        <f ca="1"/>
        <v>28.92</v>
      </c>
      <c r="CO83" s="2">
        <f t="shared" ca="1" si="92"/>
        <v>5.9130434782609289E-3</v>
      </c>
      <c r="CP83" s="2" vm="3170">
        <f ca="1"/>
        <v>21.67</v>
      </c>
      <c r="CQ83" s="2">
        <f t="shared" ca="1" si="93"/>
        <v>2.1689766962184344E-3</v>
      </c>
    </row>
    <row r="84" spans="1:95" x14ac:dyDescent="0.2">
      <c r="A84" s="7" vm="3171">
        <f ca="1"/>
        <v>45694</v>
      </c>
      <c r="B84" s="2" vm="3172">
        <f ca="1"/>
        <v>233.22</v>
      </c>
      <c r="C84" s="2">
        <f t="shared" ca="1" si="47"/>
        <v>3.2262227384178602E-3</v>
      </c>
      <c r="D84" s="2" vm="3173">
        <f ca="1"/>
        <v>128.68</v>
      </c>
      <c r="E84" s="2">
        <f t="shared" ca="1" si="48"/>
        <v>3.0841945045261623E-2</v>
      </c>
      <c r="F84" s="2" vm="3174">
        <f ca="1"/>
        <v>415.82</v>
      </c>
      <c r="G84" s="2">
        <f t="shared" ca="1" si="49"/>
        <v>6.1216095235790188E-3</v>
      </c>
      <c r="H84" s="2" vm="3175">
        <f ca="1"/>
        <v>711.99</v>
      </c>
      <c r="I84" s="2">
        <f t="shared" ca="1" si="50"/>
        <v>1.0101153404173826E-2</v>
      </c>
      <c r="J84" s="2" vm="3176">
        <f ca="1"/>
        <v>191.6</v>
      </c>
      <c r="K84" s="2">
        <f t="shared" ca="1" si="51"/>
        <v>1.4111744107039241E-3</v>
      </c>
      <c r="L84" s="2" vm="3177">
        <f ca="1"/>
        <v>606.32000000000005</v>
      </c>
      <c r="M84" s="2">
        <f t="shared" ca="1" si="52"/>
        <v>3.4755552613286926E-3</v>
      </c>
      <c r="N84" s="2" vm="3178">
        <f ca="1"/>
        <v>89.85</v>
      </c>
      <c r="O84" s="2">
        <f t="shared" ca="1" si="53"/>
        <v>-4.4498831905669432E-4</v>
      </c>
      <c r="P84" s="2" vm="3179">
        <f ca="1"/>
        <v>263.43</v>
      </c>
      <c r="Q84" s="2">
        <f t="shared" ca="1" si="54"/>
        <v>-2.6502101238026301E-3</v>
      </c>
      <c r="R84" s="2" vm="3180">
        <f ca="1"/>
        <v>75.45</v>
      </c>
      <c r="S84" s="2">
        <f t="shared" ca="1" si="55"/>
        <v>-8.4110921277434688E-3</v>
      </c>
      <c r="T84" s="2" vm="3181">
        <f ca="1"/>
        <v>93.45</v>
      </c>
      <c r="U84" s="2">
        <f t="shared" ca="1" si="56"/>
        <v>-1.1757161179991389E-3</v>
      </c>
      <c r="V84" s="2" vm="3182">
        <f ca="1"/>
        <v>47.055</v>
      </c>
      <c r="W84" s="2">
        <f t="shared" ca="1" si="57"/>
        <v>-8.4934706444419041E-4</v>
      </c>
      <c r="X84" s="2" vm="3183">
        <f ca="1"/>
        <v>164.88</v>
      </c>
      <c r="Y84" s="2">
        <f t="shared" ca="1" si="58"/>
        <v>-5.2488687782805705E-3</v>
      </c>
      <c r="Z84" s="2" vm="3184">
        <f ca="1"/>
        <v>88.57</v>
      </c>
      <c r="AA84" s="2">
        <f t="shared" ca="1" si="59"/>
        <v>-1.839742879308446E-2</v>
      </c>
      <c r="AB84" s="2" vm="3185">
        <f ca="1"/>
        <v>14.22</v>
      </c>
      <c r="AC84" s="2">
        <f t="shared" ca="1" si="60"/>
        <v>-8.3682008368200292E-3</v>
      </c>
      <c r="AD84" s="2" vm="1236">
        <f ca="1"/>
        <v>4.4000000000000004</v>
      </c>
      <c r="AE84" s="2">
        <f t="shared" ca="1" si="61"/>
        <v>0</v>
      </c>
      <c r="AF84" s="2" vm="1608">
        <f ca="1"/>
        <v>29.38</v>
      </c>
      <c r="AG84" s="2">
        <f t="shared" ca="1" si="62"/>
        <v>1.0221465076660165E-3</v>
      </c>
      <c r="AH84" s="2" vm="3186">
        <f ca="1"/>
        <v>27.68</v>
      </c>
      <c r="AI84" s="2">
        <f t="shared" ca="1" si="63"/>
        <v>-6.8173663437388326E-3</v>
      </c>
      <c r="AJ84" s="2" vm="3187">
        <f ca="1"/>
        <v>5.17</v>
      </c>
      <c r="AK84" s="2">
        <f t="shared" ca="1" si="64"/>
        <v>2.3762376237623783E-2</v>
      </c>
      <c r="AL84" s="2" vm="3188">
        <f ca="1"/>
        <v>56.57</v>
      </c>
      <c r="AM84" s="2">
        <f t="shared" ca="1" si="65"/>
        <v>-2.8203772254538446E-3</v>
      </c>
      <c r="AN84" s="2" vm="3189">
        <f ca="1"/>
        <v>90.73</v>
      </c>
      <c r="AO84" s="2">
        <f t="shared" ca="1" si="66"/>
        <v>9.9065004452359804E-3</v>
      </c>
      <c r="AP84" s="2" vm="1440">
        <f ca="1"/>
        <v>26.32</v>
      </c>
      <c r="AQ84" s="2">
        <f t="shared" ca="1" si="67"/>
        <v>-1.517450682852775E-3</v>
      </c>
      <c r="AR84" s="2" vm="339">
        <f ca="1"/>
        <v>50.94</v>
      </c>
      <c r="AS84" s="2">
        <f t="shared" ca="1" si="68"/>
        <v>3.9277297721908918E-4</v>
      </c>
      <c r="AT84" s="2" vm="1345">
        <f ca="1"/>
        <v>29</v>
      </c>
      <c r="AU84" s="2">
        <f t="shared" ca="1" si="69"/>
        <v>-3.447087211306985E-4</v>
      </c>
      <c r="AV84" s="2" vm="3154">
        <f ca="1"/>
        <v>26.86</v>
      </c>
      <c r="AW84" s="2">
        <f t="shared" ca="1" si="70"/>
        <v>0</v>
      </c>
      <c r="AX84" s="2" vm="802">
        <f ca="1"/>
        <v>91.48</v>
      </c>
      <c r="AY84" s="2">
        <f t="shared" ca="1" si="71"/>
        <v>2.1867483052711822E-4</v>
      </c>
      <c r="AZ84" s="2" vm="3190">
        <f ca="1"/>
        <v>477.22</v>
      </c>
      <c r="BA84" s="2">
        <f t="shared" ca="1" si="72"/>
        <v>7.3670656281004136E-3</v>
      </c>
      <c r="BB84" s="2" vm="3191">
        <f ca="1"/>
        <v>276.89999999999998</v>
      </c>
      <c r="BC84" s="2">
        <f t="shared" ca="1" si="73"/>
        <v>2.3924860407499058E-2</v>
      </c>
      <c r="BD84" s="2" vm="3192">
        <f ca="1"/>
        <v>47.74</v>
      </c>
      <c r="BE84" s="2">
        <f t="shared" ca="1" si="74"/>
        <v>1.3372956909361125E-2</v>
      </c>
      <c r="BF84" s="2" vm="3193">
        <f ca="1"/>
        <v>108.43</v>
      </c>
      <c r="BG84" s="2">
        <f t="shared" ca="1" si="75"/>
        <v>-1.3196214051692653E-2</v>
      </c>
      <c r="BH84" s="2" vm="3029">
        <f ca="1"/>
        <v>151.9</v>
      </c>
      <c r="BI84" s="2">
        <f t="shared" ca="1" si="76"/>
        <v>-7.1246486698477241E-3</v>
      </c>
      <c r="BJ84" s="2" vm="3194">
        <f ca="1"/>
        <v>153.51</v>
      </c>
      <c r="BK84" s="2">
        <f t="shared" ca="1" si="77"/>
        <v>-7.6281595448962885E-3</v>
      </c>
      <c r="BL84" s="2" vm="1056">
        <f ca="1"/>
        <v>63.36</v>
      </c>
      <c r="BM84" s="2">
        <f t="shared" ca="1" si="78"/>
        <v>3.8022813688213244E-3</v>
      </c>
      <c r="BN84" s="2" vm="3195">
        <f ca="1"/>
        <v>294.36</v>
      </c>
      <c r="BO84" s="2">
        <f t="shared" ca="1" si="79"/>
        <v>1.9146210573693971E-2</v>
      </c>
      <c r="BP84" s="2" vm="3196">
        <f ca="1"/>
        <v>112.09</v>
      </c>
      <c r="BQ84" s="2">
        <f t="shared" ca="1" si="80"/>
        <v>1.4022073457571893E-2</v>
      </c>
      <c r="BR84" s="2" vm="3197">
        <f ca="1"/>
        <v>1015.68</v>
      </c>
      <c r="BS84" s="2">
        <f t="shared" ca="1" si="81"/>
        <v>4.5197851865770647E-3</v>
      </c>
      <c r="BT84" s="2" vm="3198">
        <f ca="1"/>
        <v>168.88</v>
      </c>
      <c r="BU84" s="2">
        <f t="shared" ca="1" si="82"/>
        <v>-7.6918525531030982E-4</v>
      </c>
      <c r="BV84" s="2" vm="3199">
        <f ca="1"/>
        <v>145.35</v>
      </c>
      <c r="BW84" s="2">
        <f t="shared" ca="1" si="83"/>
        <v>-2.1282438555540457E-3</v>
      </c>
      <c r="BX84" s="2" vm="3067">
        <f ca="1"/>
        <v>276.95999999999998</v>
      </c>
      <c r="BY84" s="2">
        <f t="shared" ca="1" si="84"/>
        <v>-2.919835956395261E-2</v>
      </c>
      <c r="BZ84" s="2" vm="3200">
        <f ca="1"/>
        <v>93.03</v>
      </c>
      <c r="CA84" s="2">
        <f t="shared" ca="1" si="85"/>
        <v>-1.8981335020563084E-2</v>
      </c>
      <c r="CB84" s="2" vm="3201">
        <f ca="1"/>
        <v>29.77</v>
      </c>
      <c r="CC84" s="2">
        <f t="shared" ca="1" si="86"/>
        <v>-2.3293963254593205E-2</v>
      </c>
      <c r="CD84" s="2" t="e" vm="92">
        <f ca="1"/>
        <v>#N/A</v>
      </c>
      <c r="CE84" s="2" t="e" vm="140">
        <f t="shared" ca="1" si="87"/>
        <v>#N/A</v>
      </c>
      <c r="CF84" s="2" vm="3202">
        <f ca="1"/>
        <v>22.66</v>
      </c>
      <c r="CG84" s="2">
        <f t="shared" ca="1" si="88"/>
        <v>-4.4111160123518143E-4</v>
      </c>
      <c r="CH84" s="2" vm="818">
        <f ca="1"/>
        <v>58.23</v>
      </c>
      <c r="CI84" s="2">
        <f t="shared" ca="1" si="89"/>
        <v>-5.1493305870238819E-4</v>
      </c>
      <c r="CJ84" s="2" vm="1259">
        <f ca="1"/>
        <v>58.37</v>
      </c>
      <c r="CK84" s="2">
        <f t="shared" ca="1" si="90"/>
        <v>-8.558712769600182E-4</v>
      </c>
      <c r="CL84" s="2" vm="3203">
        <f ca="1"/>
        <v>56.77</v>
      </c>
      <c r="CM84" s="2">
        <f t="shared" ca="1" si="91"/>
        <v>1.7618040873863841E-4</v>
      </c>
      <c r="CN84" s="2" vm="2075">
        <f ca="1"/>
        <v>28.88</v>
      </c>
      <c r="CO84" s="2">
        <f t="shared" ca="1" si="92"/>
        <v>-1.3831258644537586E-3</v>
      </c>
      <c r="CP84" s="2" vm="3204">
        <f ca="1"/>
        <v>21.774100000000001</v>
      </c>
      <c r="CQ84" s="2">
        <f t="shared" ca="1" si="93"/>
        <v>4.8038763267189187E-3</v>
      </c>
    </row>
    <row r="85" spans="1:95" x14ac:dyDescent="0.2">
      <c r="A85" s="7" vm="3205">
        <f ca="1"/>
        <v>45695</v>
      </c>
      <c r="B85" s="2" vm="3206">
        <f ca="1"/>
        <v>227.63</v>
      </c>
      <c r="C85" s="2">
        <f t="shared" ca="1" si="47"/>
        <v>-2.396878483835007E-2</v>
      </c>
      <c r="D85" s="2" vm="3207">
        <f ca="1"/>
        <v>129.84</v>
      </c>
      <c r="E85" s="2">
        <f t="shared" ca="1" si="48"/>
        <v>9.0146098849859854E-3</v>
      </c>
      <c r="F85" s="2" vm="3208">
        <f ca="1"/>
        <v>409.75</v>
      </c>
      <c r="G85" s="2">
        <f t="shared" ca="1" si="49"/>
        <v>-1.4597662450098584E-2</v>
      </c>
      <c r="H85" s="2" vm="3209">
        <f ca="1"/>
        <v>714.52</v>
      </c>
      <c r="I85" s="2">
        <f t="shared" ca="1" si="50"/>
        <v>3.5534206941108342E-3</v>
      </c>
      <c r="J85" s="2" vm="3210">
        <f ca="1"/>
        <v>185.34</v>
      </c>
      <c r="K85" s="2">
        <f t="shared" ca="1" si="51"/>
        <v>-3.2672233820459244E-2</v>
      </c>
      <c r="L85" s="2" vm="3211">
        <f ca="1"/>
        <v>600.77</v>
      </c>
      <c r="M85" s="2">
        <f t="shared" ca="1" si="52"/>
        <v>-9.1535822667899256E-3</v>
      </c>
      <c r="N85" s="2" vm="3212">
        <f ca="1"/>
        <v>89.27</v>
      </c>
      <c r="O85" s="2">
        <f t="shared" ca="1" si="53"/>
        <v>-6.4552031163049341E-3</v>
      </c>
      <c r="P85" s="2" vm="3213">
        <f ca="1"/>
        <v>263.89999999999998</v>
      </c>
      <c r="Q85" s="2">
        <f t="shared" ca="1" si="54"/>
        <v>1.7841551835401071E-3</v>
      </c>
      <c r="R85" s="2" vm="3214">
        <f ca="1"/>
        <v>75.86</v>
      </c>
      <c r="S85" s="2">
        <f t="shared" ca="1" si="55"/>
        <v>5.4340622929091656E-3</v>
      </c>
      <c r="T85" s="2" vm="3215">
        <f ca="1"/>
        <v>93.14</v>
      </c>
      <c r="U85" s="2">
        <f t="shared" ca="1" si="56"/>
        <v>-3.3172819689673864E-3</v>
      </c>
      <c r="V85" s="2" vm="3216">
        <f ca="1"/>
        <v>46.908999999999999</v>
      </c>
      <c r="W85" s="2">
        <f t="shared" ca="1" si="57"/>
        <v>-3.1027520986080287E-3</v>
      </c>
      <c r="X85" s="2" vm="474">
        <f ca="1"/>
        <v>163.44999999999999</v>
      </c>
      <c r="Y85" s="2">
        <f t="shared" ca="1" si="58"/>
        <v>-8.6729742843280385E-3</v>
      </c>
      <c r="Z85" s="2" vm="3217">
        <f ca="1"/>
        <v>88.56</v>
      </c>
      <c r="AA85" s="2">
        <f t="shared" ca="1" si="59"/>
        <v>-1.1290504685549177E-4</v>
      </c>
      <c r="AB85" s="2" vm="1661">
        <f ca="1"/>
        <v>14.3</v>
      </c>
      <c r="AC85" s="2">
        <f t="shared" ca="1" si="60"/>
        <v>5.625879043600567E-3</v>
      </c>
      <c r="AD85" s="2" t="e" vm="92">
        <f ca="1"/>
        <v>#N/A</v>
      </c>
      <c r="AE85" s="2" t="e" vm="140">
        <f t="shared" ca="1" si="61"/>
        <v>#N/A</v>
      </c>
      <c r="AF85" s="2" vm="966">
        <f ca="1"/>
        <v>29.03</v>
      </c>
      <c r="AG85" s="2">
        <f t="shared" ca="1" si="62"/>
        <v>-1.1912865895166708E-2</v>
      </c>
      <c r="AH85" s="2" vm="1198">
        <f ca="1"/>
        <v>27.57</v>
      </c>
      <c r="AI85" s="2">
        <f t="shared" ca="1" si="63"/>
        <v>-3.9739884393063382E-3</v>
      </c>
      <c r="AJ85" s="2" vm="839">
        <f ca="1"/>
        <v>5.12</v>
      </c>
      <c r="AK85" s="2">
        <f t="shared" ca="1" si="64"/>
        <v>-9.6711798839458074E-3</v>
      </c>
      <c r="AL85" s="2" vm="3218">
        <f ca="1"/>
        <v>56.69</v>
      </c>
      <c r="AM85" s="2">
        <f t="shared" ca="1" si="65"/>
        <v>2.1212656885274427E-3</v>
      </c>
      <c r="AN85" s="2" vm="3219">
        <f ca="1"/>
        <v>88.97</v>
      </c>
      <c r="AO85" s="2">
        <f t="shared" ca="1" si="66"/>
        <v>-1.9398214482530641E-2</v>
      </c>
      <c r="AP85" s="2" vm="2222">
        <f ca="1"/>
        <v>26.25</v>
      </c>
      <c r="AQ85" s="2">
        <f t="shared" ca="1" si="67"/>
        <v>-2.6595744680851172E-3</v>
      </c>
      <c r="AR85" s="2" vm="380">
        <f ca="1"/>
        <v>50.95</v>
      </c>
      <c r="AS85" s="2">
        <f t="shared" ca="1" si="68"/>
        <v>1.9630938358863596E-4</v>
      </c>
      <c r="AT85" s="2" vm="924">
        <f ca="1"/>
        <v>28.99</v>
      </c>
      <c r="AU85" s="2">
        <f t="shared" ca="1" si="69"/>
        <v>-3.4482758620695046E-4</v>
      </c>
      <c r="AV85" s="2" vm="3220">
        <f ca="1"/>
        <v>26.7</v>
      </c>
      <c r="AW85" s="2">
        <f t="shared" ca="1" si="70"/>
        <v>-5.9568131049888362E-3</v>
      </c>
      <c r="AX85" s="2" vm="845">
        <f ca="1"/>
        <v>91.5</v>
      </c>
      <c r="AY85" s="2">
        <f t="shared" ca="1" si="71"/>
        <v>2.1862702229991278E-4</v>
      </c>
      <c r="AZ85" s="2" vm="3221">
        <f ca="1"/>
        <v>472.74</v>
      </c>
      <c r="BA85" s="2">
        <f t="shared" ca="1" si="72"/>
        <v>-9.3877037844181249E-3</v>
      </c>
      <c r="BB85" s="2" vm="3222">
        <f ca="1"/>
        <v>275.8</v>
      </c>
      <c r="BC85" s="2">
        <f t="shared" ca="1" si="73"/>
        <v>-3.9725532683277933E-3</v>
      </c>
      <c r="BD85" s="2" vm="584">
        <f ca="1"/>
        <v>47.4</v>
      </c>
      <c r="BE85" s="2">
        <f t="shared" ca="1" si="74"/>
        <v>-7.1219103477168704E-3</v>
      </c>
      <c r="BF85" s="2" vm="3223">
        <f ca="1"/>
        <v>108.89</v>
      </c>
      <c r="BG85" s="2">
        <f t="shared" ca="1" si="75"/>
        <v>4.2423683482430479E-3</v>
      </c>
      <c r="BH85" s="2" vm="3224">
        <f ca="1"/>
        <v>152.62</v>
      </c>
      <c r="BI85" s="2">
        <f t="shared" ca="1" si="76"/>
        <v>4.7399605003291562E-3</v>
      </c>
      <c r="BJ85" s="2" vm="3225">
        <f ca="1"/>
        <v>153.12</v>
      </c>
      <c r="BK85" s="2">
        <f t="shared" ca="1" si="77"/>
        <v>-2.5405511041625066E-3</v>
      </c>
      <c r="BL85" s="2" vm="1893">
        <f ca="1"/>
        <v>63.84</v>
      </c>
      <c r="BM85" s="2">
        <f t="shared" ca="1" si="78"/>
        <v>7.5757575757576384E-3</v>
      </c>
      <c r="BN85" s="2" vm="3226">
        <f ca="1"/>
        <v>294.3</v>
      </c>
      <c r="BO85" s="2">
        <f t="shared" ca="1" si="79"/>
        <v>-2.0383204239707254E-4</v>
      </c>
      <c r="BP85" s="2" vm="3227">
        <f ca="1"/>
        <v>110.86</v>
      </c>
      <c r="BQ85" s="2">
        <f t="shared" ca="1" si="80"/>
        <v>-1.0973325006691088E-2</v>
      </c>
      <c r="BR85" s="2" vm="3228">
        <f ca="1"/>
        <v>1013.93</v>
      </c>
      <c r="BS85" s="2">
        <f t="shared" ca="1" si="81"/>
        <v>-1.7229836168872086E-3</v>
      </c>
      <c r="BT85" s="2" vm="3229">
        <f ca="1"/>
        <v>167.97</v>
      </c>
      <c r="BU85" s="2">
        <f t="shared" ca="1" si="82"/>
        <v>-5.3884414969208707E-3</v>
      </c>
      <c r="BV85" s="2" vm="3230">
        <f ca="1"/>
        <v>144.58000000000001</v>
      </c>
      <c r="BW85" s="2">
        <f t="shared" ca="1" si="83"/>
        <v>-5.2975576195389189E-3</v>
      </c>
      <c r="BX85" s="2" vm="3231">
        <f ca="1"/>
        <v>275.44</v>
      </c>
      <c r="BY85" s="2">
        <f t="shared" ca="1" si="84"/>
        <v>-5.4881571346042093E-3</v>
      </c>
      <c r="BZ85" s="2" vm="3232">
        <f ca="1"/>
        <v>92.39</v>
      </c>
      <c r="CA85" s="2">
        <f t="shared" ca="1" si="85"/>
        <v>-6.8795012361603843E-3</v>
      </c>
      <c r="CB85" s="2" vm="3233">
        <f ca="1"/>
        <v>29.7</v>
      </c>
      <c r="CC85" s="2">
        <f t="shared" ca="1" si="86"/>
        <v>-2.3513604299630598E-3</v>
      </c>
      <c r="CD85" s="2" t="e" vm="92">
        <f ca="1"/>
        <v>#N/A</v>
      </c>
      <c r="CE85" s="2" t="e" vm="140">
        <f t="shared" ca="1" si="87"/>
        <v>#N/A</v>
      </c>
      <c r="CF85" s="2" vm="2925">
        <f ca="1"/>
        <v>22.59</v>
      </c>
      <c r="CG85" s="2">
        <f t="shared" ca="1" si="88"/>
        <v>-3.0891438658429073E-3</v>
      </c>
      <c r="CH85" s="2" vm="2053">
        <f ca="1"/>
        <v>58.18</v>
      </c>
      <c r="CI85" s="2">
        <f t="shared" ca="1" si="89"/>
        <v>-8.5866391894207734E-4</v>
      </c>
      <c r="CJ85" s="2" vm="1220">
        <f ca="1"/>
        <v>58.22</v>
      </c>
      <c r="CK85" s="2">
        <f t="shared" ca="1" si="90"/>
        <v>-2.5698132602363986E-3</v>
      </c>
      <c r="CL85" s="2" vm="3234">
        <f ca="1"/>
        <v>56.44</v>
      </c>
      <c r="CM85" s="2">
        <f t="shared" ca="1" si="91"/>
        <v>-5.8129293641008524E-3</v>
      </c>
      <c r="CN85" s="2" vm="3235">
        <f ca="1"/>
        <v>28.78</v>
      </c>
      <c r="CO85" s="2">
        <f t="shared" ca="1" si="92"/>
        <v>-3.4626038781162697E-3</v>
      </c>
      <c r="CP85" s="2" vm="2431">
        <f ca="1"/>
        <v>21.73</v>
      </c>
      <c r="CQ85" s="2">
        <f t="shared" ca="1" si="93"/>
        <v>-2.0253420348028276E-3</v>
      </c>
    </row>
    <row r="86" spans="1:95" x14ac:dyDescent="0.2">
      <c r="A86" s="7" vm="3236">
        <f ca="1"/>
        <v>45698</v>
      </c>
      <c r="B86" s="2" vm="3237">
        <f ca="1"/>
        <v>227.65</v>
      </c>
      <c r="C86" s="2">
        <f t="shared" ca="1" si="47"/>
        <v>8.7861881122919789E-5</v>
      </c>
      <c r="D86" s="2" vm="2693">
        <f ca="1"/>
        <v>133.57</v>
      </c>
      <c r="E86" s="2">
        <f t="shared" ca="1" si="48"/>
        <v>2.8727664818237752E-2</v>
      </c>
      <c r="F86" s="2" vm="3238">
        <f ca="1"/>
        <v>412.22</v>
      </c>
      <c r="G86" s="2">
        <f t="shared" ca="1" si="49"/>
        <v>6.0280658938377729E-3</v>
      </c>
      <c r="H86" s="2" vm="3239">
        <f ca="1"/>
        <v>717.4</v>
      </c>
      <c r="I86" s="2">
        <f t="shared" ca="1" si="50"/>
        <v>4.0306779376364493E-3</v>
      </c>
      <c r="J86" s="2" vm="3240">
        <f ca="1"/>
        <v>186.47</v>
      </c>
      <c r="K86" s="2">
        <f t="shared" ca="1" si="51"/>
        <v>6.096902989101087E-3</v>
      </c>
      <c r="L86" s="2" vm="3241">
        <f ca="1"/>
        <v>604.85</v>
      </c>
      <c r="M86" s="2">
        <f t="shared" ca="1" si="52"/>
        <v>6.7912845182017097E-3</v>
      </c>
      <c r="N86" s="2" vm="3242">
        <f ca="1"/>
        <v>89</v>
      </c>
      <c r="O86" s="2">
        <f t="shared" ca="1" si="53"/>
        <v>-3.0245323176878685E-3</v>
      </c>
      <c r="P86" s="2" vm="3243">
        <f ca="1"/>
        <v>268.37</v>
      </c>
      <c r="Q86" s="2">
        <f t="shared" ca="1" si="54"/>
        <v>1.6938234179613595E-2</v>
      </c>
      <c r="R86" s="2" vm="3244">
        <f ca="1"/>
        <v>77.400000000000006</v>
      </c>
      <c r="S86" s="2">
        <f t="shared" ca="1" si="55"/>
        <v>2.0300553651463306E-2</v>
      </c>
      <c r="T86" s="2" vm="3245">
        <f ca="1"/>
        <v>93.12</v>
      </c>
      <c r="U86" s="2">
        <f t="shared" ca="1" si="56"/>
        <v>-2.1473051320588385E-4</v>
      </c>
      <c r="V86" s="2" vm="3246">
        <f ca="1"/>
        <v>46.884999999999998</v>
      </c>
      <c r="W86" s="2">
        <f t="shared" ca="1" si="57"/>
        <v>-5.1162889850563662E-4</v>
      </c>
      <c r="X86" s="2" vm="3247">
        <f ca="1"/>
        <v>162.16999999999999</v>
      </c>
      <c r="Y86" s="2">
        <f t="shared" ca="1" si="58"/>
        <v>-7.831141021719187E-3</v>
      </c>
      <c r="Z86" s="2" vm="3248">
        <f ca="1"/>
        <v>90.51</v>
      </c>
      <c r="AA86" s="2">
        <f t="shared" ca="1" si="59"/>
        <v>2.201897018970193E-2</v>
      </c>
      <c r="AB86" s="2" vm="2513">
        <f ca="1"/>
        <v>14.58</v>
      </c>
      <c r="AC86" s="2">
        <f t="shared" ca="1" si="60"/>
        <v>1.9580419580419534E-2</v>
      </c>
      <c r="AD86" s="2" vm="1197">
        <f ca="1"/>
        <v>4.3</v>
      </c>
      <c r="AE86" s="2" t="e" vm="140">
        <f t="shared" ca="1" si="61"/>
        <v>#N/A</v>
      </c>
      <c r="AF86" s="2" vm="168">
        <f ca="1"/>
        <v>29.2</v>
      </c>
      <c r="AG86" s="2">
        <f t="shared" ca="1" si="62"/>
        <v>5.8560110230795092E-3</v>
      </c>
      <c r="AH86" s="2" vm="340">
        <f ca="1"/>
        <v>27.89</v>
      </c>
      <c r="AI86" s="2">
        <f t="shared" ca="1" si="63"/>
        <v>1.1606819006166133E-2</v>
      </c>
      <c r="AJ86" s="2" vm="3249">
        <f ca="1"/>
        <v>5.0999999999999996</v>
      </c>
      <c r="AK86" s="2">
        <f t="shared" ca="1" si="64"/>
        <v>-3.9062500000000902E-3</v>
      </c>
      <c r="AL86" s="2" vm="3250">
        <f ca="1"/>
        <v>57.61</v>
      </c>
      <c r="AM86" s="2">
        <f t="shared" ca="1" si="65"/>
        <v>1.6228611748103753E-2</v>
      </c>
      <c r="AN86" s="2" vm="3251">
        <f ca="1"/>
        <v>90.53</v>
      </c>
      <c r="AO86" s="2">
        <f t="shared" ca="1" si="66"/>
        <v>1.7534000224794899E-2</v>
      </c>
      <c r="AP86" s="2" vm="634">
        <f ca="1"/>
        <v>26.26</v>
      </c>
      <c r="AQ86" s="2">
        <f t="shared" ca="1" si="67"/>
        <v>3.8095238095244049E-4</v>
      </c>
      <c r="AR86" s="2" vm="339">
        <f ca="1"/>
        <v>50.94</v>
      </c>
      <c r="AS86" s="2">
        <f t="shared" ca="1" si="68"/>
        <v>-1.9627085377831434E-4</v>
      </c>
      <c r="AT86" s="2" vm="924">
        <f ca="1"/>
        <v>28.99</v>
      </c>
      <c r="AU86" s="2">
        <f t="shared" ca="1" si="69"/>
        <v>0</v>
      </c>
      <c r="AV86" s="2" vm="3252">
        <f ca="1"/>
        <v>26.63</v>
      </c>
      <c r="AW86" s="2">
        <f t="shared" ca="1" si="70"/>
        <v>-2.6217228464419581E-3</v>
      </c>
      <c r="AX86" s="2" vm="1706">
        <f ca="1"/>
        <v>91.51</v>
      </c>
      <c r="AY86" s="2">
        <f t="shared" ca="1" si="71"/>
        <v>1.0928961748639472E-4</v>
      </c>
      <c r="AZ86" s="2" vm="3253">
        <f ca="1"/>
        <v>470.17</v>
      </c>
      <c r="BA86" s="2">
        <f t="shared" ca="1" si="72"/>
        <v>-5.4363920971358315E-3</v>
      </c>
      <c r="BB86" s="2" vm="3254">
        <f ca="1"/>
        <v>271.04000000000002</v>
      </c>
      <c r="BC86" s="2">
        <f t="shared" ca="1" si="73"/>
        <v>-1.7258883248730931E-2</v>
      </c>
      <c r="BD86" s="2" vm="3255">
        <f ca="1"/>
        <v>46.67</v>
      </c>
      <c r="BE86" s="2">
        <f t="shared" ca="1" si="74"/>
        <v>-1.5400843881856474E-2</v>
      </c>
      <c r="BF86" s="2" vm="3256">
        <f ca="1"/>
        <v>110.97</v>
      </c>
      <c r="BG86" s="2">
        <f t="shared" ca="1" si="75"/>
        <v>1.9101845899531622E-2</v>
      </c>
      <c r="BH86" s="2" vm="3257">
        <f ca="1"/>
        <v>155.77000000000001</v>
      </c>
      <c r="BI86" s="2">
        <f t="shared" ca="1" si="76"/>
        <v>2.0639496789411647E-2</v>
      </c>
      <c r="BJ86" s="2" vm="3258">
        <f ca="1"/>
        <v>154.24</v>
      </c>
      <c r="BK86" s="2">
        <f t="shared" ca="1" si="77"/>
        <v>7.314524555903896E-3</v>
      </c>
      <c r="BL86" s="2" vm="1487">
        <f ca="1"/>
        <v>64.55</v>
      </c>
      <c r="BM86" s="2">
        <f t="shared" ca="1" si="78"/>
        <v>1.1121553884711682E-2</v>
      </c>
      <c r="BN86" s="2" vm="3259">
        <f ca="1"/>
        <v>308.42</v>
      </c>
      <c r="BO86" s="2">
        <f t="shared" ca="1" si="79"/>
        <v>4.7978253482840655E-2</v>
      </c>
      <c r="BP86" s="2" vm="3260">
        <f ca="1"/>
        <v>109.28</v>
      </c>
      <c r="BQ86" s="2">
        <f t="shared" ca="1" si="80"/>
        <v>-1.4252209994587752E-2</v>
      </c>
      <c r="BR86" s="2" vm="3261">
        <f ca="1"/>
        <v>1027.5999999999999</v>
      </c>
      <c r="BS86" s="2">
        <f t="shared" ca="1" si="81"/>
        <v>1.3482193050802284E-2</v>
      </c>
      <c r="BT86" s="2" vm="3262">
        <f ca="1"/>
        <v>167.53</v>
      </c>
      <c r="BU86" s="2">
        <f t="shared" ca="1" si="82"/>
        <v>-2.6195153896529009E-3</v>
      </c>
      <c r="BV86" s="2" vm="3263">
        <f ca="1"/>
        <v>144.35</v>
      </c>
      <c r="BW86" s="2">
        <f t="shared" ca="1" si="83"/>
        <v>-1.5908147738277643E-3</v>
      </c>
      <c r="BX86" s="2" vm="3264">
        <f ca="1"/>
        <v>283.39999999999998</v>
      </c>
      <c r="BY86" s="2">
        <f t="shared" ca="1" si="84"/>
        <v>2.8899215800174193E-2</v>
      </c>
      <c r="BZ86" s="2" vm="3265">
        <f ca="1"/>
        <v>95.16</v>
      </c>
      <c r="CA86" s="2">
        <f t="shared" ca="1" si="85"/>
        <v>2.9981599740231582E-2</v>
      </c>
      <c r="CB86" s="2" vm="630">
        <f ca="1"/>
        <v>30.73</v>
      </c>
      <c r="CC86" s="2">
        <f t="shared" ca="1" si="86"/>
        <v>3.4680134680134721E-2</v>
      </c>
      <c r="CD86" s="2" t="e" vm="92">
        <f ca="1"/>
        <v>#N/A</v>
      </c>
      <c r="CE86" s="2" t="e" vm="140">
        <f t="shared" ca="1" si="87"/>
        <v>#N/A</v>
      </c>
      <c r="CF86" s="2" vm="2961">
        <f ca="1"/>
        <v>22.585000000000001</v>
      </c>
      <c r="CG86" s="2">
        <f t="shared" ca="1" si="88"/>
        <v>-2.2133687472328486E-4</v>
      </c>
      <c r="CH86" s="2" vm="2053">
        <f ca="1"/>
        <v>58.18</v>
      </c>
      <c r="CI86" s="2">
        <f t="shared" ca="1" si="89"/>
        <v>0</v>
      </c>
      <c r="CJ86" s="2" vm="1220">
        <f ca="1"/>
        <v>58.22</v>
      </c>
      <c r="CK86" s="2">
        <f t="shared" ca="1" si="90"/>
        <v>0</v>
      </c>
      <c r="CL86" s="2" vm="3266">
        <f ca="1"/>
        <v>56.31</v>
      </c>
      <c r="CM86" s="2">
        <f t="shared" ca="1" si="91"/>
        <v>-2.3033309709425136E-3</v>
      </c>
      <c r="CN86" s="2" vm="3235">
        <f ca="1"/>
        <v>28.78</v>
      </c>
      <c r="CO86" s="2">
        <f t="shared" ca="1" si="92"/>
        <v>0</v>
      </c>
      <c r="CP86" s="2" vm="3267">
        <f ca="1"/>
        <v>21.658200000000001</v>
      </c>
      <c r="CQ86" s="2">
        <f t="shared" ca="1" si="93"/>
        <v>-3.3041877588587043E-3</v>
      </c>
    </row>
    <row r="87" spans="1:95" x14ac:dyDescent="0.2">
      <c r="A87" s="7" vm="3268">
        <f ca="1"/>
        <v>45699</v>
      </c>
      <c r="B87" s="2" vm="3269">
        <f ca="1"/>
        <v>232.62</v>
      </c>
      <c r="C87" s="2">
        <f t="shared" ca="1" si="47"/>
        <v>2.1831759279595866E-2</v>
      </c>
      <c r="D87" s="2" vm="3270">
        <f ca="1"/>
        <v>132.80000000000001</v>
      </c>
      <c r="E87" s="2">
        <f t="shared" ca="1" si="48"/>
        <v>-5.7647675376205874E-3</v>
      </c>
      <c r="F87" s="2" vm="3271">
        <f ca="1"/>
        <v>411.44</v>
      </c>
      <c r="G87" s="2">
        <f t="shared" ca="1" si="49"/>
        <v>-1.8921934889137584E-3</v>
      </c>
      <c r="H87" s="2" vm="3272">
        <f ca="1"/>
        <v>719.8</v>
      </c>
      <c r="I87" s="2">
        <f t="shared" ca="1" si="50"/>
        <v>3.3454139949818476E-3</v>
      </c>
      <c r="J87" s="2" vm="3273">
        <f ca="1"/>
        <v>185.32</v>
      </c>
      <c r="K87" s="2">
        <f t="shared" ca="1" si="51"/>
        <v>-6.1672118839491913E-3</v>
      </c>
      <c r="L87" s="2" vm="3274">
        <f ca="1"/>
        <v>605.30999999999995</v>
      </c>
      <c r="M87" s="2">
        <f t="shared" ca="1" si="52"/>
        <v>7.6051913697598196E-4</v>
      </c>
      <c r="N87" s="2" vm="3109">
        <f ca="1"/>
        <v>88.43</v>
      </c>
      <c r="O87" s="2">
        <f t="shared" ca="1" si="53"/>
        <v>-6.4044943820223956E-3</v>
      </c>
      <c r="P87" s="2" vm="3275">
        <f ca="1"/>
        <v>267.39</v>
      </c>
      <c r="Q87" s="2">
        <f t="shared" ca="1" si="54"/>
        <v>-3.6516749264076396E-3</v>
      </c>
      <c r="R87" s="2" vm="3276">
        <f ca="1"/>
        <v>78.27</v>
      </c>
      <c r="S87" s="2">
        <f t="shared" ca="1" si="55"/>
        <v>1.1240310077519255E-2</v>
      </c>
      <c r="T87" s="2" vm="3277">
        <f ca="1"/>
        <v>92.88</v>
      </c>
      <c r="U87" s="2">
        <f t="shared" ca="1" si="56"/>
        <v>-2.5773195876289635E-3</v>
      </c>
      <c r="V87" s="2" vm="3278">
        <f ca="1"/>
        <v>46.814999999999998</v>
      </c>
      <c r="W87" s="2">
        <f t="shared" ca="1" si="57"/>
        <v>-1.4930148235043253E-3</v>
      </c>
      <c r="X87" s="2" vm="3279">
        <f ca="1"/>
        <v>158.08000000000001</v>
      </c>
      <c r="Y87" s="2">
        <f t="shared" ca="1" si="58"/>
        <v>-2.5220447678362061E-2</v>
      </c>
      <c r="Z87" s="2" vm="3280">
        <f ca="1"/>
        <v>91.24</v>
      </c>
      <c r="AA87" s="2">
        <f t="shared" ca="1" si="59"/>
        <v>8.0654071373327772E-3</v>
      </c>
      <c r="AB87" s="2" vm="3281">
        <f ca="1"/>
        <v>14.744999999999999</v>
      </c>
      <c r="AC87" s="2">
        <f t="shared" ca="1" si="60"/>
        <v>1.1316872427983481E-2</v>
      </c>
      <c r="AD87" s="2" vm="1236">
        <f ca="1"/>
        <v>4.4000000000000004</v>
      </c>
      <c r="AE87" s="2">
        <f t="shared" ca="1" si="61"/>
        <v>2.3255813953488497E-2</v>
      </c>
      <c r="AF87" s="2" vm="1345">
        <f ca="1"/>
        <v>29</v>
      </c>
      <c r="AG87" s="2">
        <f t="shared" ca="1" si="62"/>
        <v>-6.8493150684931269E-3</v>
      </c>
      <c r="AH87" s="2" vm="340">
        <f ca="1"/>
        <v>27.89</v>
      </c>
      <c r="AI87" s="2">
        <f t="shared" ca="1" si="63"/>
        <v>0</v>
      </c>
      <c r="AJ87" s="2" vm="3249">
        <f ca="1"/>
        <v>5.0999999999999996</v>
      </c>
      <c r="AK87" s="2">
        <f t="shared" ca="1" si="64"/>
        <v>0</v>
      </c>
      <c r="AL87" s="2" vm="3282">
        <f ca="1"/>
        <v>57.41</v>
      </c>
      <c r="AM87" s="2">
        <f t="shared" ca="1" si="65"/>
        <v>-3.4716195105016982E-3</v>
      </c>
      <c r="AN87" s="2" vm="288">
        <f ca="1"/>
        <v>90.21</v>
      </c>
      <c r="AO87" s="2">
        <f t="shared" ca="1" si="66"/>
        <v>-3.5347398652381241E-3</v>
      </c>
      <c r="AP87" s="2" vm="2222">
        <f ca="1"/>
        <v>26.25</v>
      </c>
      <c r="AQ87" s="2">
        <f t="shared" ca="1" si="67"/>
        <v>-3.8080731150044034E-4</v>
      </c>
      <c r="AR87" s="2" vm="422">
        <f ca="1"/>
        <v>50.96</v>
      </c>
      <c r="AS87" s="2">
        <f t="shared" ca="1" si="68"/>
        <v>3.9261876717713244E-4</v>
      </c>
      <c r="AT87" s="2" vm="924">
        <f ca="1"/>
        <v>28.99</v>
      </c>
      <c r="AU87" s="2">
        <f t="shared" ca="1" si="69"/>
        <v>0</v>
      </c>
      <c r="AV87" s="2" vm="3283">
        <f ca="1"/>
        <v>26.48</v>
      </c>
      <c r="AW87" s="2">
        <f t="shared" ca="1" si="70"/>
        <v>-5.6327450244085088E-3</v>
      </c>
      <c r="AX87" s="2" vm="926">
        <f ca="1"/>
        <v>91.52</v>
      </c>
      <c r="AY87" s="2">
        <f t="shared" ca="1" si="71"/>
        <v>1.0927767457098573E-4</v>
      </c>
      <c r="AZ87" s="2" vm="3284">
        <f ca="1"/>
        <v>472.61</v>
      </c>
      <c r="BA87" s="2">
        <f t="shared" ca="1" si="72"/>
        <v>5.1896122679030935E-3</v>
      </c>
      <c r="BB87" s="2" vm="3285">
        <f ca="1"/>
        <v>274.99</v>
      </c>
      <c r="BC87" s="2">
        <f t="shared" ca="1" si="73"/>
        <v>1.4573494687131008E-2</v>
      </c>
      <c r="BD87" s="2" vm="3286">
        <f ca="1"/>
        <v>46.79</v>
      </c>
      <c r="BE87" s="2">
        <f t="shared" ca="1" si="74"/>
        <v>2.5712449110777253E-3</v>
      </c>
      <c r="BF87" s="2" vm="3287">
        <f ca="1"/>
        <v>111.67</v>
      </c>
      <c r="BG87" s="2">
        <f t="shared" ca="1" si="75"/>
        <v>6.3080111741912488E-3</v>
      </c>
      <c r="BH87" s="2" vm="3288">
        <f ca="1"/>
        <v>157.44</v>
      </c>
      <c r="BI87" s="2">
        <f t="shared" ca="1" si="76"/>
        <v>1.0720934711433443E-2</v>
      </c>
      <c r="BJ87" s="2" vm="3289">
        <f ca="1"/>
        <v>156.13</v>
      </c>
      <c r="BK87" s="2">
        <f t="shared" ca="1" si="77"/>
        <v>1.2253630705394102E-2</v>
      </c>
      <c r="BL87" s="2" vm="3290">
        <f ca="1"/>
        <v>67.599999999999994</v>
      </c>
      <c r="BM87" s="2">
        <f t="shared" ca="1" si="78"/>
        <v>4.7250193648334583E-2</v>
      </c>
      <c r="BN87" s="2" vm="3291">
        <f ca="1"/>
        <v>310.20999999999998</v>
      </c>
      <c r="BO87" s="2">
        <f t="shared" ca="1" si="79"/>
        <v>5.8037740743141289E-3</v>
      </c>
      <c r="BP87" s="2" vm="3292">
        <f ca="1"/>
        <v>109.02</v>
      </c>
      <c r="BQ87" s="2">
        <f t="shared" ca="1" si="80"/>
        <v>-2.3792093704246443E-3</v>
      </c>
      <c r="BR87" s="2" vm="3293">
        <f ca="1"/>
        <v>1008.08</v>
      </c>
      <c r="BS87" s="2">
        <f t="shared" ca="1" si="81"/>
        <v>-1.8995718178279358E-2</v>
      </c>
      <c r="BT87" s="2" vm="3294">
        <f ca="1"/>
        <v>169.43</v>
      </c>
      <c r="BU87" s="2">
        <f t="shared" ca="1" si="82"/>
        <v>1.1341252313018598E-2</v>
      </c>
      <c r="BV87" s="2" vm="3295">
        <f ca="1"/>
        <v>145.63999999999999</v>
      </c>
      <c r="BW87" s="2">
        <f t="shared" ca="1" si="83"/>
        <v>8.9366124004156017E-3</v>
      </c>
      <c r="BX87" s="2" vm="3296">
        <f ca="1"/>
        <v>285.13</v>
      </c>
      <c r="BY87" s="2">
        <f t="shared" ca="1" si="84"/>
        <v>6.104446012702958E-3</v>
      </c>
      <c r="BZ87" s="2" vm="3297">
        <f ca="1"/>
        <v>96.39</v>
      </c>
      <c r="CA87" s="2">
        <f t="shared" ca="1" si="85"/>
        <v>1.2925598991172804E-2</v>
      </c>
      <c r="CB87" s="2" vm="3298">
        <f ca="1"/>
        <v>31.079899999999999</v>
      </c>
      <c r="CC87" s="2">
        <f t="shared" ca="1" si="86"/>
        <v>1.1386267491051028E-2</v>
      </c>
      <c r="CD87" s="2" t="e" vm="92">
        <f ca="1"/>
        <v>#N/A</v>
      </c>
      <c r="CE87" s="2" t="e" vm="140">
        <f t="shared" ca="1" si="87"/>
        <v>#N/A</v>
      </c>
      <c r="CF87" s="2" vm="3299">
        <f ca="1"/>
        <v>22.55</v>
      </c>
      <c r="CG87" s="2">
        <f t="shared" ca="1" si="88"/>
        <v>-1.5497011290679717E-3</v>
      </c>
      <c r="CH87" s="2" vm="3300">
        <f ca="1"/>
        <v>58.19</v>
      </c>
      <c r="CI87" s="2">
        <f t="shared" ca="1" si="89"/>
        <v>1.7188037126156773E-4</v>
      </c>
      <c r="CJ87" s="2" vm="1178">
        <f ca="1"/>
        <v>58.15</v>
      </c>
      <c r="CK87" s="2">
        <f t="shared" ca="1" si="90"/>
        <v>-1.2023359670216469E-3</v>
      </c>
      <c r="CL87" s="2" vm="3301">
        <f ca="1"/>
        <v>55.98</v>
      </c>
      <c r="CM87" s="2">
        <f t="shared" ca="1" si="91"/>
        <v>-5.8604155567395736E-3</v>
      </c>
      <c r="CN87" s="2" vm="774">
        <f ca="1"/>
        <v>28.72</v>
      </c>
      <c r="CO87" s="2">
        <f t="shared" ca="1" si="92"/>
        <v>-2.0847810979847904E-3</v>
      </c>
      <c r="CP87" s="2" vm="3302">
        <f ca="1"/>
        <v>21.699100000000001</v>
      </c>
      <c r="CQ87" s="2">
        <f t="shared" ca="1" si="93"/>
        <v>1.8884302481277577E-3</v>
      </c>
    </row>
    <row r="88" spans="1:95" x14ac:dyDescent="0.2">
      <c r="A88" s="7" vm="3303">
        <f ca="1"/>
        <v>45700</v>
      </c>
      <c r="B88" s="2" vm="3304">
        <f ca="1"/>
        <v>236.87</v>
      </c>
      <c r="C88" s="2">
        <f t="shared" ca="1" si="47"/>
        <v>1.8270140142722036E-2</v>
      </c>
      <c r="D88" s="2" vm="3305">
        <f ca="1"/>
        <v>131.13999999999999</v>
      </c>
      <c r="E88" s="2">
        <f t="shared" ca="1" si="48"/>
        <v>-1.2500000000000188E-2</v>
      </c>
      <c r="F88" s="2" vm="3306">
        <f ca="1"/>
        <v>409.04</v>
      </c>
      <c r="G88" s="2">
        <f t="shared" ca="1" si="49"/>
        <v>-5.8331713007971448E-3</v>
      </c>
      <c r="H88" s="2" vm="3307">
        <f ca="1"/>
        <v>725.38</v>
      </c>
      <c r="I88" s="2">
        <f t="shared" ca="1" si="50"/>
        <v>7.7521533759378177E-3</v>
      </c>
      <c r="J88" s="2" vm="3308">
        <f ca="1"/>
        <v>183.61</v>
      </c>
      <c r="K88" s="2">
        <f t="shared" ca="1" si="51"/>
        <v>-9.227282538311999E-3</v>
      </c>
      <c r="L88" s="2" vm="3309">
        <f ca="1"/>
        <v>603.36</v>
      </c>
      <c r="M88" s="2">
        <f t="shared" ca="1" si="52"/>
        <v>-3.2214898151359337E-3</v>
      </c>
      <c r="N88" s="2" vm="3310">
        <f ca="1"/>
        <v>87.23</v>
      </c>
      <c r="O88" s="2">
        <f t="shared" ca="1" si="53"/>
        <v>-1.3570055411059627E-2</v>
      </c>
      <c r="P88" s="2" vm="3311">
        <f ca="1"/>
        <v>267.67</v>
      </c>
      <c r="Q88" s="2">
        <f t="shared" ca="1" si="54"/>
        <v>1.0471595796403366E-3</v>
      </c>
      <c r="R88" s="2" vm="3312">
        <f ca="1"/>
        <v>76.319999999999993</v>
      </c>
      <c r="S88" s="2">
        <f t="shared" ca="1" si="55"/>
        <v>-2.4913760061326215E-2</v>
      </c>
      <c r="T88" s="2" vm="112">
        <f ca="1"/>
        <v>92.24</v>
      </c>
      <c r="U88" s="2">
        <f t="shared" ca="1" si="56"/>
        <v>-6.8906115417743385E-3</v>
      </c>
      <c r="V88" s="2" vm="3313">
        <f ca="1"/>
        <v>46.578600000000002</v>
      </c>
      <c r="W88" s="2">
        <f t="shared" ca="1" si="57"/>
        <v>-5.0496635693687104E-3</v>
      </c>
      <c r="X88" s="2" vm="3288">
        <f ca="1"/>
        <v>157.44</v>
      </c>
      <c r="Y88" s="2">
        <f t="shared" ca="1" si="58"/>
        <v>-4.0485829959515099E-3</v>
      </c>
      <c r="Z88" s="2" vm="3314">
        <f ca="1"/>
        <v>89.04</v>
      </c>
      <c r="AA88" s="2">
        <f t="shared" ca="1" si="59"/>
        <v>-2.4112231477422062E-2</v>
      </c>
      <c r="AB88" s="2" vm="417">
        <f ca="1"/>
        <v>14.37</v>
      </c>
      <c r="AC88" s="2">
        <f t="shared" ca="1" si="60"/>
        <v>-2.5432349949135302E-2</v>
      </c>
      <c r="AD88" s="2" vm="3315">
        <f ca="1"/>
        <v>4.1500000000000004</v>
      </c>
      <c r="AE88" s="2">
        <f t="shared" ca="1" si="61"/>
        <v>-5.6818181818181816E-2</v>
      </c>
      <c r="AF88" s="2" vm="3316">
        <f ca="1"/>
        <v>29.34</v>
      </c>
      <c r="AG88" s="2">
        <f t="shared" ca="1" si="62"/>
        <v>1.1724137931034478E-2</v>
      </c>
      <c r="AH88" s="2" vm="1043">
        <f ca="1"/>
        <v>27.97</v>
      </c>
      <c r="AI88" s="2">
        <f t="shared" ca="1" si="63"/>
        <v>2.8684116170669877E-3</v>
      </c>
      <c r="AJ88" s="2" vm="3317">
        <f ca="1"/>
        <v>5.07</v>
      </c>
      <c r="AK88" s="2">
        <f t="shared" ca="1" si="64"/>
        <v>-5.8823529411763456E-3</v>
      </c>
      <c r="AL88" s="2" vm="987">
        <f ca="1"/>
        <v>57.48</v>
      </c>
      <c r="AM88" s="2">
        <f t="shared" ca="1" si="65"/>
        <v>1.2192997735586185E-3</v>
      </c>
      <c r="AN88" s="2" vm="3318">
        <f ca="1"/>
        <v>90.85</v>
      </c>
      <c r="AO88" s="2">
        <f t="shared" ca="1" si="66"/>
        <v>7.0945571444407558E-3</v>
      </c>
      <c r="AP88" s="2" vm="1123">
        <f ca="1"/>
        <v>26.11</v>
      </c>
      <c r="AQ88" s="2">
        <f t="shared" ca="1" si="67"/>
        <v>-5.3333333333333548E-3</v>
      </c>
      <c r="AR88" s="2" vm="422">
        <f ca="1"/>
        <v>50.96</v>
      </c>
      <c r="AS88" s="2">
        <f t="shared" ca="1" si="68"/>
        <v>0</v>
      </c>
      <c r="AT88" s="2" vm="2557">
        <f ca="1"/>
        <v>28.94</v>
      </c>
      <c r="AU88" s="2">
        <f t="shared" ca="1" si="69"/>
        <v>-1.7247326664366043E-3</v>
      </c>
      <c r="AV88" s="2" vm="2945">
        <f ca="1"/>
        <v>26.13</v>
      </c>
      <c r="AW88" s="2">
        <f t="shared" ca="1" si="70"/>
        <v>-1.3217522658610325E-2</v>
      </c>
      <c r="AX88" s="2" vm="968">
        <f ca="1"/>
        <v>91.53</v>
      </c>
      <c r="AY88" s="2">
        <f t="shared" ca="1" si="71"/>
        <v>1.0926573426579017E-4</v>
      </c>
      <c r="AZ88" s="2" vm="3319">
        <f ca="1"/>
        <v>471.73</v>
      </c>
      <c r="BA88" s="2">
        <f t="shared" ca="1" si="72"/>
        <v>-1.8620003808637047E-3</v>
      </c>
      <c r="BB88" s="2" vm="3320">
        <f ca="1"/>
        <v>275.45</v>
      </c>
      <c r="BC88" s="2">
        <f t="shared" ca="1" si="73"/>
        <v>1.6727881013854304E-3</v>
      </c>
      <c r="BD88" s="2" vm="2520">
        <f ca="1"/>
        <v>46.21</v>
      </c>
      <c r="BE88" s="2">
        <f t="shared" ca="1" si="74"/>
        <v>-1.2395811070741575E-2</v>
      </c>
      <c r="BF88" s="2" vm="3321">
        <f ca="1"/>
        <v>107.35</v>
      </c>
      <c r="BG88" s="2">
        <f t="shared" ca="1" si="75"/>
        <v>-3.8685412375750045E-2</v>
      </c>
      <c r="BH88" s="2" vm="3322">
        <f ca="1"/>
        <v>154.9</v>
      </c>
      <c r="BI88" s="2">
        <f t="shared" ca="1" si="76"/>
        <v>-1.6133130081300764E-2</v>
      </c>
      <c r="BJ88" s="2" vm="3323">
        <f ca="1"/>
        <v>155.26</v>
      </c>
      <c r="BK88" s="2">
        <f t="shared" ca="1" si="77"/>
        <v>-5.5722795106642195E-3</v>
      </c>
      <c r="BL88" s="2" vm="3324">
        <f ca="1"/>
        <v>68.709999999999994</v>
      </c>
      <c r="BM88" s="2">
        <f t="shared" ca="1" si="78"/>
        <v>1.6420118343195258E-2</v>
      </c>
      <c r="BN88" s="2" vm="3325">
        <f ca="1"/>
        <v>307.60000000000002</v>
      </c>
      <c r="BO88" s="2">
        <f t="shared" ca="1" si="79"/>
        <v>-8.4136552657875542E-3</v>
      </c>
      <c r="BP88" s="2" vm="3326">
        <f ca="1"/>
        <v>109.23</v>
      </c>
      <c r="BQ88" s="2">
        <f t="shared" ca="1" si="80"/>
        <v>1.9262520638415701E-3</v>
      </c>
      <c r="BR88" s="2" vm="3327">
        <f ca="1"/>
        <v>1027.31</v>
      </c>
      <c r="BS88" s="2">
        <f t="shared" ca="1" si="81"/>
        <v>1.9075866994682868E-2</v>
      </c>
      <c r="BT88" s="2" vm="521">
        <f ca="1"/>
        <v>169.58</v>
      </c>
      <c r="BU88" s="2">
        <f t="shared" ca="1" si="82"/>
        <v>8.8532137165794531E-4</v>
      </c>
      <c r="BV88" s="2" vm="3328">
        <f ca="1"/>
        <v>143.99</v>
      </c>
      <c r="BW88" s="2">
        <f t="shared" ca="1" si="83"/>
        <v>-1.1329305135951507E-2</v>
      </c>
      <c r="BX88" s="2" vm="3329">
        <f ca="1"/>
        <v>279.76</v>
      </c>
      <c r="BY88" s="2">
        <f t="shared" ca="1" si="84"/>
        <v>-1.883351453722865E-2</v>
      </c>
      <c r="BZ88" s="2" vm="1192">
        <f ca="1"/>
        <v>93.32</v>
      </c>
      <c r="CA88" s="2">
        <f t="shared" ca="1" si="85"/>
        <v>-3.1849776947816238E-2</v>
      </c>
      <c r="CB88" s="2" vm="3330">
        <f ca="1"/>
        <v>30.01</v>
      </c>
      <c r="CC88" s="2">
        <f t="shared" ca="1" si="86"/>
        <v>-3.4424177683969284E-2</v>
      </c>
      <c r="CD88" s="2" t="e" vm="92">
        <f ca="1"/>
        <v>#N/A</v>
      </c>
      <c r="CE88" s="2" t="e" vm="140">
        <f t="shared" ca="1" si="87"/>
        <v>#N/A</v>
      </c>
      <c r="CF88" s="2" vm="2092">
        <f ca="1"/>
        <v>22.43</v>
      </c>
      <c r="CG88" s="2">
        <f t="shared" ca="1" si="88"/>
        <v>-5.321507760532195E-3</v>
      </c>
      <c r="CH88" s="2" vm="3331">
        <f ca="1"/>
        <v>58.11</v>
      </c>
      <c r="CI88" s="2">
        <f t="shared" ca="1" si="89"/>
        <v>-1.3748066678123097E-3</v>
      </c>
      <c r="CJ88" s="2" vm="653">
        <f ca="1"/>
        <v>57.86</v>
      </c>
      <c r="CK88" s="2">
        <f t="shared" ca="1" si="90"/>
        <v>-4.9871023215821006E-3</v>
      </c>
      <c r="CL88" s="2" vm="3332">
        <f ca="1"/>
        <v>55.26</v>
      </c>
      <c r="CM88" s="2">
        <f t="shared" ca="1" si="91"/>
        <v>-1.2861736334405125E-2</v>
      </c>
      <c r="CN88" s="2" vm="2725">
        <f ca="1"/>
        <v>28.6</v>
      </c>
      <c r="CO88" s="2">
        <f t="shared" ca="1" si="92"/>
        <v>-4.1782729805013036E-3</v>
      </c>
      <c r="CP88" s="2" vm="3333">
        <f ca="1"/>
        <v>21.530100000000001</v>
      </c>
      <c r="CQ88" s="2">
        <f t="shared" ca="1" si="93"/>
        <v>-7.7883414519496416E-3</v>
      </c>
    </row>
    <row r="89" spans="1:95" x14ac:dyDescent="0.2">
      <c r="A89" s="7" vm="3334">
        <f ca="1"/>
        <v>45701</v>
      </c>
      <c r="B89" s="2" vm="1889">
        <f ca="1"/>
        <v>241.53</v>
      </c>
      <c r="C89" s="2">
        <f t="shared" ca="1" si="47"/>
        <v>1.9673238485245055E-2</v>
      </c>
      <c r="D89" s="2" vm="3335">
        <f ca="1"/>
        <v>135.29</v>
      </c>
      <c r="E89" s="2">
        <f t="shared" ca="1" si="48"/>
        <v>3.1645569620253208E-2</v>
      </c>
      <c r="F89" s="2" vm="3336">
        <f ca="1"/>
        <v>410.54</v>
      </c>
      <c r="G89" s="2">
        <f t="shared" ca="1" si="49"/>
        <v>3.667123019753569E-3</v>
      </c>
      <c r="H89" s="2" vm="3337">
        <f ca="1"/>
        <v>728.56</v>
      </c>
      <c r="I89" s="2">
        <f t="shared" ca="1" si="50"/>
        <v>4.3839091234938237E-3</v>
      </c>
      <c r="J89" s="2" vm="3338">
        <f ca="1"/>
        <v>186.14</v>
      </c>
      <c r="K89" s="2">
        <f t="shared" ca="1" si="51"/>
        <v>1.3779205925603031E-2</v>
      </c>
      <c r="L89" s="2" vm="3339">
        <f ca="1"/>
        <v>609.73</v>
      </c>
      <c r="M89" s="2">
        <f t="shared" ca="1" si="52"/>
        <v>1.0557544417926288E-2</v>
      </c>
      <c r="N89" s="2" vm="3340">
        <f ca="1"/>
        <v>88.68</v>
      </c>
      <c r="O89" s="2">
        <f t="shared" ca="1" si="53"/>
        <v>1.6622721540754358E-2</v>
      </c>
      <c r="P89" s="2" vm="3341">
        <f ca="1"/>
        <v>270.31</v>
      </c>
      <c r="Q89" s="2">
        <f t="shared" ca="1" si="54"/>
        <v>9.8628908730899467E-3</v>
      </c>
      <c r="R89" s="2" vm="3342">
        <f ca="1"/>
        <v>76.39</v>
      </c>
      <c r="S89" s="2">
        <f t="shared" ca="1" si="55"/>
        <v>9.1719077568143859E-4</v>
      </c>
      <c r="T89" s="2" vm="3343">
        <f ca="1"/>
        <v>92.93</v>
      </c>
      <c r="U89" s="2">
        <f t="shared" ca="1" si="56"/>
        <v>7.480485689505767E-3</v>
      </c>
      <c r="V89" s="2" vm="3344">
        <f ca="1"/>
        <v>46.87</v>
      </c>
      <c r="W89" s="2">
        <f t="shared" ca="1" si="57"/>
        <v>6.2560918533402865E-3</v>
      </c>
      <c r="X89" s="2" vm="3345">
        <f ca="1"/>
        <v>157.91999999999999</v>
      </c>
      <c r="Y89" s="2">
        <f t="shared" ca="1" si="58"/>
        <v>3.0487804878048131E-3</v>
      </c>
      <c r="Z89" s="2" vm="3346">
        <f ca="1"/>
        <v>89.71</v>
      </c>
      <c r="AA89" s="2">
        <f t="shared" ca="1" si="59"/>
        <v>7.5247079964059684E-3</v>
      </c>
      <c r="AB89" s="2" vm="289">
        <f ca="1"/>
        <v>14.41</v>
      </c>
      <c r="AC89" s="2">
        <f t="shared" ca="1" si="60"/>
        <v>2.783576896311825E-3</v>
      </c>
      <c r="AD89" s="2" vm="2446">
        <f ca="1"/>
        <v>4.0999999999999996</v>
      </c>
      <c r="AE89" s="2">
        <f t="shared" ca="1" si="61"/>
        <v>-1.2048192771084508E-2</v>
      </c>
      <c r="AF89" s="2" vm="3347">
        <f ca="1"/>
        <v>29.46</v>
      </c>
      <c r="AG89" s="2">
        <f t="shared" ca="1" si="62"/>
        <v>4.0899795501022837E-3</v>
      </c>
      <c r="AH89" s="2" vm="3348">
        <f ca="1"/>
        <v>28.19</v>
      </c>
      <c r="AI89" s="2">
        <f t="shared" ca="1" si="63"/>
        <v>7.8655702538434902E-3</v>
      </c>
      <c r="AJ89" s="2" vm="3249">
        <f ca="1"/>
        <v>5.0999999999999996</v>
      </c>
      <c r="AK89" s="2">
        <f t="shared" ca="1" si="64"/>
        <v>5.9171597633134827E-3</v>
      </c>
      <c r="AL89" s="2" vm="2723">
        <f ca="1"/>
        <v>58.03</v>
      </c>
      <c r="AM89" s="2">
        <f t="shared" ca="1" si="65"/>
        <v>9.568545581071751E-3</v>
      </c>
      <c r="AN89" s="2" vm="845">
        <f ca="1"/>
        <v>91.5</v>
      </c>
      <c r="AO89" s="2">
        <f t="shared" ca="1" si="66"/>
        <v>7.1546505228399088E-3</v>
      </c>
      <c r="AP89" s="2" vm="2222">
        <f ca="1"/>
        <v>26.25</v>
      </c>
      <c r="AQ89" s="2">
        <f t="shared" ca="1" si="67"/>
        <v>5.361930294906188E-3</v>
      </c>
      <c r="AR89" s="2" vm="509">
        <f ca="1"/>
        <v>50.99</v>
      </c>
      <c r="AS89" s="2">
        <f t="shared" ca="1" si="68"/>
        <v>5.8869701726846813E-4</v>
      </c>
      <c r="AT89" s="2" vm="1782">
        <f ca="1"/>
        <v>28.98</v>
      </c>
      <c r="AU89" s="2">
        <f t="shared" ca="1" si="69"/>
        <v>1.3821700069108205E-3</v>
      </c>
      <c r="AV89" s="2" vm="1437">
        <f ca="1"/>
        <v>26.53</v>
      </c>
      <c r="AW89" s="2">
        <f t="shared" ca="1" si="70"/>
        <v>1.5308075009567629E-2</v>
      </c>
      <c r="AX89" s="2" vm="124">
        <f ca="1"/>
        <v>91.55</v>
      </c>
      <c r="AY89" s="2">
        <f t="shared" ca="1" si="71"/>
        <v>2.1850759313881809E-4</v>
      </c>
      <c r="AZ89" s="2" vm="3349">
        <f ca="1"/>
        <v>480.49</v>
      </c>
      <c r="BA89" s="2">
        <f t="shared" ca="1" si="72"/>
        <v>1.8569944671740172E-2</v>
      </c>
      <c r="BB89" s="2" vm="3350">
        <f ca="1"/>
        <v>276.32</v>
      </c>
      <c r="BC89" s="2">
        <f t="shared" ca="1" si="73"/>
        <v>3.1584679615175334E-3</v>
      </c>
      <c r="BD89" s="2" vm="3351">
        <f ca="1"/>
        <v>46.33</v>
      </c>
      <c r="BE89" s="2">
        <f t="shared" ca="1" si="74"/>
        <v>2.5968405107119116E-3</v>
      </c>
      <c r="BF89" s="2" vm="3352">
        <f ca="1"/>
        <v>108.13</v>
      </c>
      <c r="BG89" s="2">
        <f t="shared" ca="1" si="75"/>
        <v>7.2659524918491031E-3</v>
      </c>
      <c r="BH89" s="2" vm="3353">
        <f ca="1"/>
        <v>155.88</v>
      </c>
      <c r="BI89" s="2">
        <f t="shared" ca="1" si="76"/>
        <v>6.3266623628146527E-3</v>
      </c>
      <c r="BJ89" s="2" vm="3354">
        <f ca="1"/>
        <v>157.25</v>
      </c>
      <c r="BK89" s="2">
        <f t="shared" ca="1" si="77"/>
        <v>1.2817209841556159E-2</v>
      </c>
      <c r="BL89" s="2" vm="3355">
        <f ca="1"/>
        <v>69.5</v>
      </c>
      <c r="BM89" s="2">
        <f t="shared" ca="1" si="78"/>
        <v>1.1497598602823553E-2</v>
      </c>
      <c r="BN89" s="2" vm="3356">
        <f ca="1"/>
        <v>310.02</v>
      </c>
      <c r="BO89" s="2">
        <f t="shared" ca="1" si="79"/>
        <v>7.8673602080622847E-3</v>
      </c>
      <c r="BP89" s="2" vm="3357">
        <f ca="1"/>
        <v>109.59</v>
      </c>
      <c r="BQ89" s="2">
        <f t="shared" ca="1" si="80"/>
        <v>3.2957978577313873E-3</v>
      </c>
      <c r="BR89" s="2" vm="3358">
        <f ca="1"/>
        <v>1043.69</v>
      </c>
      <c r="BS89" s="2">
        <f t="shared" ca="1" si="81"/>
        <v>1.5944554224138877E-2</v>
      </c>
      <c r="BT89" s="2" vm="3359">
        <f ca="1"/>
        <v>171.02</v>
      </c>
      <c r="BU89" s="2">
        <f t="shared" ca="1" si="82"/>
        <v>8.4915674018162385E-3</v>
      </c>
      <c r="BV89" s="2" vm="3230">
        <f ca="1"/>
        <v>144.58000000000001</v>
      </c>
      <c r="BW89" s="2">
        <f t="shared" ca="1" si="83"/>
        <v>4.097506771303586E-3</v>
      </c>
      <c r="BX89" s="2" vm="3360">
        <f ca="1"/>
        <v>282.05</v>
      </c>
      <c r="BY89" s="2">
        <f t="shared" ca="1" si="84"/>
        <v>8.1855876465542626E-3</v>
      </c>
      <c r="BZ89" s="2" vm="3361">
        <f ca="1"/>
        <v>93.62</v>
      </c>
      <c r="CA89" s="2">
        <f t="shared" ca="1" si="85"/>
        <v>3.2147449635663459E-3</v>
      </c>
      <c r="CB89" s="2" vm="3362">
        <f ca="1"/>
        <v>30.17</v>
      </c>
      <c r="CC89" s="2">
        <f t="shared" ca="1" si="86"/>
        <v>5.3315561479506876E-3</v>
      </c>
      <c r="CD89" s="2" t="e" vm="92">
        <f ca="1"/>
        <v>#N/A</v>
      </c>
      <c r="CE89" s="2" t="e" vm="140">
        <f t="shared" ca="1" si="87"/>
        <v>#N/A</v>
      </c>
      <c r="CF89" s="2" vm="3363">
        <f ca="1"/>
        <v>22.555</v>
      </c>
      <c r="CG89" s="2">
        <f t="shared" ca="1" si="88"/>
        <v>5.5728934462773074E-3</v>
      </c>
      <c r="CH89" s="2" vm="2053">
        <f ca="1"/>
        <v>58.18</v>
      </c>
      <c r="CI89" s="2">
        <f t="shared" ca="1" si="89"/>
        <v>1.2046119428669813E-3</v>
      </c>
      <c r="CJ89" s="2" vm="3331">
        <f ca="1"/>
        <v>58.11</v>
      </c>
      <c r="CK89" s="2">
        <f t="shared" ca="1" si="90"/>
        <v>4.3207742827514693E-3</v>
      </c>
      <c r="CL89" s="2" vm="3364">
        <f ca="1"/>
        <v>56.08</v>
      </c>
      <c r="CM89" s="2">
        <f t="shared" ca="1" si="91"/>
        <v>1.4838943177705398E-2</v>
      </c>
      <c r="CN89" s="2" vm="2056">
        <f ca="1"/>
        <v>28.79</v>
      </c>
      <c r="CO89" s="2">
        <f t="shared" ca="1" si="92"/>
        <v>6.6433566433565638E-3</v>
      </c>
      <c r="CP89" s="2" vm="3365">
        <f ca="1"/>
        <v>21.662099999999999</v>
      </c>
      <c r="CQ89" s="2">
        <f t="shared" ca="1" si="93"/>
        <v>6.1309515515486643E-3</v>
      </c>
    </row>
    <row r="90" spans="1:95" x14ac:dyDescent="0.2">
      <c r="A90" s="7" vm="3366">
        <f ca="1"/>
        <v>45702</v>
      </c>
      <c r="B90" s="2" vm="3367">
        <f ca="1"/>
        <v>244.6</v>
      </c>
      <c r="C90" s="2">
        <f t="shared" ca="1" si="47"/>
        <v>1.2710636359872452E-2</v>
      </c>
      <c r="D90" s="2" vm="3368">
        <f ca="1"/>
        <v>138.85</v>
      </c>
      <c r="E90" s="2">
        <f t="shared" ca="1" si="48"/>
        <v>2.6313844334392805E-2</v>
      </c>
      <c r="F90" s="2" vm="3369">
        <f ca="1"/>
        <v>408.43</v>
      </c>
      <c r="G90" s="2">
        <f t="shared" ca="1" si="49"/>
        <v>-5.1395722706679336E-3</v>
      </c>
      <c r="H90" s="2" vm="3370">
        <f ca="1"/>
        <v>736.67</v>
      </c>
      <c r="I90" s="2">
        <f t="shared" ca="1" si="50"/>
        <v>1.1131547161524123E-2</v>
      </c>
      <c r="J90" s="2" vm="3371">
        <f ca="1"/>
        <v>185.23</v>
      </c>
      <c r="K90" s="2">
        <f t="shared" ca="1" si="51"/>
        <v>-4.8887933813258656E-3</v>
      </c>
      <c r="L90" s="2" vm="3372">
        <f ca="1"/>
        <v>609.70000000000005</v>
      </c>
      <c r="M90" s="2">
        <f t="shared" ca="1" si="52"/>
        <v>-4.9202105850085635E-5</v>
      </c>
      <c r="N90" s="2" vm="3373">
        <f ca="1"/>
        <v>89.15</v>
      </c>
      <c r="O90" s="2">
        <f t="shared" ca="1" si="53"/>
        <v>5.2999548940008889E-3</v>
      </c>
      <c r="P90" s="2" vm="3374">
        <f ca="1"/>
        <v>266.29000000000002</v>
      </c>
      <c r="Q90" s="2">
        <f t="shared" ca="1" si="54"/>
        <v>-1.4871813843364957E-2</v>
      </c>
      <c r="R90" s="2" vm="3375">
        <f ca="1"/>
        <v>75.819999999999993</v>
      </c>
      <c r="S90" s="2">
        <f t="shared" ca="1" si="55"/>
        <v>-7.4617096478597645E-3</v>
      </c>
      <c r="T90" s="2" vm="1192">
        <f ca="1"/>
        <v>93.32</v>
      </c>
      <c r="U90" s="2">
        <f t="shared" ca="1" si="56"/>
        <v>4.196707198966817E-3</v>
      </c>
      <c r="V90" s="2" vm="3376">
        <f ca="1"/>
        <v>47.015000000000001</v>
      </c>
      <c r="W90" s="2">
        <f t="shared" ca="1" si="57"/>
        <v>3.0936633240879695E-3</v>
      </c>
      <c r="X90" s="2" vm="3377">
        <f ca="1"/>
        <v>162.81</v>
      </c>
      <c r="Y90" s="2">
        <f t="shared" ca="1" si="58"/>
        <v>3.0965045592705263E-2</v>
      </c>
      <c r="Z90" s="2" vm="416">
        <f ca="1"/>
        <v>90.07</v>
      </c>
      <c r="AA90" s="2">
        <f t="shared" ca="1" si="59"/>
        <v>4.0129305540073509E-3</v>
      </c>
      <c r="AB90" s="2" vm="1661">
        <f ca="1"/>
        <v>14.3</v>
      </c>
      <c r="AC90" s="2">
        <f t="shared" ca="1" si="60"/>
        <v>-7.6335877862595027E-3</v>
      </c>
      <c r="AD90" s="2" vm="1197">
        <f ca="1"/>
        <v>4.3</v>
      </c>
      <c r="AE90" s="2">
        <f t="shared" ca="1" si="61"/>
        <v>4.8780487804878099E-2</v>
      </c>
      <c r="AF90" s="2" vm="1647">
        <f ca="1"/>
        <v>29.31</v>
      </c>
      <c r="AG90" s="2">
        <f t="shared" ca="1" si="62"/>
        <v>-5.0916496945010905E-3</v>
      </c>
      <c r="AH90" s="2" vm="3378">
        <f ca="1"/>
        <v>28.17</v>
      </c>
      <c r="AI90" s="2">
        <f t="shared" ca="1" si="63"/>
        <v>-7.0947144377437297E-4</v>
      </c>
      <c r="AJ90" s="2" vm="3379">
        <f ca="1"/>
        <v>5.3</v>
      </c>
      <c r="AK90" s="2">
        <f t="shared" ca="1" si="64"/>
        <v>3.9215686274509838E-2</v>
      </c>
      <c r="AL90" s="2" vm="3380">
        <f ca="1"/>
        <v>57.17</v>
      </c>
      <c r="AM90" s="2">
        <f t="shared" ca="1" si="65"/>
        <v>-1.4819920730656548E-2</v>
      </c>
      <c r="AN90" s="2" vm="3381">
        <f ca="1"/>
        <v>89.61</v>
      </c>
      <c r="AO90" s="2">
        <f t="shared" ca="1" si="66"/>
        <v>-2.0655737704918038E-2</v>
      </c>
      <c r="AP90" s="2" vm="965">
        <f ca="1"/>
        <v>26.3</v>
      </c>
      <c r="AQ90" s="2">
        <f t="shared" ca="1" si="67"/>
        <v>1.9047619047619319E-3</v>
      </c>
      <c r="AR90" s="2" vm="552">
        <f ca="1"/>
        <v>51.01</v>
      </c>
      <c r="AS90" s="2">
        <f t="shared" ca="1" si="68"/>
        <v>3.9223377132763324E-4</v>
      </c>
      <c r="AT90" s="2" vm="885">
        <f ca="1"/>
        <v>29.02</v>
      </c>
      <c r="AU90" s="2">
        <f t="shared" ca="1" si="69"/>
        <v>1.3802622498274378E-3</v>
      </c>
      <c r="AV90" s="2" vm="3382">
        <f ca="1"/>
        <v>26.69</v>
      </c>
      <c r="AW90" s="2">
        <f t="shared" ca="1" si="70"/>
        <v>6.0309084055785956E-3</v>
      </c>
      <c r="AX90" s="2" vm="1008">
        <f ca="1"/>
        <v>91.58</v>
      </c>
      <c r="AY90" s="2">
        <f t="shared" ca="1" si="71"/>
        <v>3.276897870016509E-4</v>
      </c>
      <c r="AZ90" s="2" vm="3383">
        <f ca="1"/>
        <v>479.59</v>
      </c>
      <c r="BA90" s="2">
        <f t="shared" ca="1" si="72"/>
        <v>-1.8730878894462613E-3</v>
      </c>
      <c r="BB90" s="2" vm="3384">
        <f ca="1"/>
        <v>276.58999999999997</v>
      </c>
      <c r="BC90" s="2">
        <f t="shared" ca="1" si="73"/>
        <v>9.7712796757376172E-4</v>
      </c>
      <c r="BD90" s="2" vm="3385">
        <f ca="1"/>
        <v>46.96</v>
      </c>
      <c r="BE90" s="2">
        <f t="shared" ca="1" si="74"/>
        <v>1.3598100582775795E-2</v>
      </c>
      <c r="BF90" s="2" vm="3386">
        <f ca="1"/>
        <v>108.24</v>
      </c>
      <c r="BG90" s="2">
        <f t="shared" ca="1" si="75"/>
        <v>1.0172939979654068E-3</v>
      </c>
      <c r="BH90" s="2" vm="3387">
        <f ca="1"/>
        <v>155.34</v>
      </c>
      <c r="BI90" s="2">
        <f t="shared" ca="1" si="76"/>
        <v>-3.4642032332563E-3</v>
      </c>
      <c r="BJ90" s="2" vm="3388">
        <f ca="1"/>
        <v>156.15</v>
      </c>
      <c r="BK90" s="2">
        <f t="shared" ca="1" si="77"/>
        <v>-6.9952305246422531E-3</v>
      </c>
      <c r="BL90" s="2" vm="3389">
        <f ca="1"/>
        <v>68.87</v>
      </c>
      <c r="BM90" s="2">
        <f t="shared" ca="1" si="78"/>
        <v>-9.0647482014387833E-3</v>
      </c>
      <c r="BN90" s="2" vm="3390">
        <f ca="1"/>
        <v>308.55</v>
      </c>
      <c r="BO90" s="2">
        <f t="shared" ca="1" si="79"/>
        <v>-4.7416295722855642E-3</v>
      </c>
      <c r="BP90" s="2" vm="3391">
        <f ca="1"/>
        <v>110.38</v>
      </c>
      <c r="BQ90" s="2">
        <f t="shared" ca="1" si="80"/>
        <v>7.2086869239893422E-3</v>
      </c>
      <c r="BR90" s="2" vm="3392">
        <f ca="1"/>
        <v>1058.5999999999999</v>
      </c>
      <c r="BS90" s="2">
        <f t="shared" ca="1" si="81"/>
        <v>1.4285851162701427E-2</v>
      </c>
      <c r="BT90" s="2" vm="1315">
        <f ca="1"/>
        <v>162.88999999999999</v>
      </c>
      <c r="BU90" s="2">
        <f t="shared" ca="1" si="82"/>
        <v>-4.7538299614080362E-2</v>
      </c>
      <c r="BV90" s="2" vm="3393">
        <f ca="1"/>
        <v>143.38999999999999</v>
      </c>
      <c r="BW90" s="2">
        <f t="shared" ca="1" si="83"/>
        <v>-8.2307373080649192E-3</v>
      </c>
      <c r="BX90" s="2" vm="3394">
        <f ca="1"/>
        <v>280.02</v>
      </c>
      <c r="BY90" s="2">
        <f t="shared" ca="1" si="84"/>
        <v>-7.1973054422975694E-3</v>
      </c>
      <c r="BZ90" s="2" vm="3395">
        <f ca="1"/>
        <v>94.3</v>
      </c>
      <c r="CA90" s="2">
        <f t="shared" ca="1" si="85"/>
        <v>7.2634052552872528E-3</v>
      </c>
      <c r="CB90" s="2" vm="3396">
        <f ca="1"/>
        <v>30.51</v>
      </c>
      <c r="CC90" s="2">
        <f t="shared" ca="1" si="86"/>
        <v>1.1269472986410336E-2</v>
      </c>
      <c r="CD90" s="2" t="e" vm="92">
        <f ca="1"/>
        <v>#N/A</v>
      </c>
      <c r="CE90" s="2" t="e" vm="140">
        <f t="shared" ca="1" si="87"/>
        <v>#N/A</v>
      </c>
      <c r="CF90" s="2" vm="3397">
        <f ca="1"/>
        <v>22.625</v>
      </c>
      <c r="CG90" s="2">
        <f t="shared" ca="1" si="88"/>
        <v>3.1035247173575829E-3</v>
      </c>
      <c r="CH90" s="2" vm="1299">
        <f ca="1"/>
        <v>58.26</v>
      </c>
      <c r="CI90" s="2">
        <f t="shared" ca="1" si="89"/>
        <v>1.3750429700927862E-3</v>
      </c>
      <c r="CJ90" s="2" vm="1221">
        <f ca="1"/>
        <v>58.29</v>
      </c>
      <c r="CK90" s="2">
        <f t="shared" ca="1" si="90"/>
        <v>3.0975735673722201E-3</v>
      </c>
      <c r="CL90" s="2" vm="3398">
        <f ca="1"/>
        <v>56.42</v>
      </c>
      <c r="CM90" s="2">
        <f t="shared" ca="1" si="91"/>
        <v>6.0627674750357245E-3</v>
      </c>
      <c r="CN90" s="2" vm="333">
        <f ca="1"/>
        <v>28.89</v>
      </c>
      <c r="CO90" s="2">
        <f t="shared" ca="1" si="92"/>
        <v>3.4734282737061972E-3</v>
      </c>
      <c r="CP90" s="2" vm="3399">
        <f ca="1"/>
        <v>21.603999999999999</v>
      </c>
      <c r="CQ90" s="2">
        <f t="shared" ca="1" si="93"/>
        <v>-2.6821037664861488E-3</v>
      </c>
    </row>
    <row r="91" spans="1:95" x14ac:dyDescent="0.2">
      <c r="A91" s="7" vm="3400">
        <f ca="1"/>
        <v>45706</v>
      </c>
      <c r="B91" s="2" vm="3401">
        <f ca="1"/>
        <v>244.47</v>
      </c>
      <c r="C91" s="2">
        <f t="shared" ca="1" si="47"/>
        <v>-5.3147996729352193E-4</v>
      </c>
      <c r="D91" s="2" vm="3402">
        <f ca="1"/>
        <v>139.4</v>
      </c>
      <c r="E91" s="2">
        <f t="shared" ca="1" si="48"/>
        <v>3.9611091105510362E-3</v>
      </c>
      <c r="F91" s="2" vm="3403">
        <f ca="1"/>
        <v>409.64</v>
      </c>
      <c r="G91" s="2">
        <f t="shared" ca="1" si="49"/>
        <v>2.9625639644491821E-3</v>
      </c>
      <c r="H91" s="2" vm="3404">
        <f ca="1"/>
        <v>716.37</v>
      </c>
      <c r="I91" s="2">
        <f t="shared" ca="1" si="50"/>
        <v>-2.7556436396215342E-2</v>
      </c>
      <c r="J91" s="2" vm="3405">
        <f ca="1"/>
        <v>183.77</v>
      </c>
      <c r="K91" s="2">
        <f t="shared" ca="1" si="51"/>
        <v>-7.8820925336067563E-3</v>
      </c>
      <c r="L91" s="2" vm="3406">
        <f ca="1"/>
        <v>611.49</v>
      </c>
      <c r="M91" s="2">
        <f t="shared" ca="1" si="52"/>
        <v>2.9358701000491445E-3</v>
      </c>
      <c r="N91" s="2" vm="3407">
        <f ca="1"/>
        <v>88.1</v>
      </c>
      <c r="O91" s="2">
        <f t="shared" ca="1" si="53"/>
        <v>-1.1777902411665859E-2</v>
      </c>
      <c r="P91" s="2" vm="3408">
        <f ca="1"/>
        <v>270.7</v>
      </c>
      <c r="Q91" s="2">
        <f t="shared" ca="1" si="54"/>
        <v>1.6560892260317577E-2</v>
      </c>
      <c r="R91" s="2" vm="3409">
        <f ca="1"/>
        <v>76.959999999999994</v>
      </c>
      <c r="S91" s="2">
        <f t="shared" ca="1" si="55"/>
        <v>1.503561065681879E-2</v>
      </c>
      <c r="T91" s="2" vm="3410">
        <f ca="1"/>
        <v>92.82</v>
      </c>
      <c r="U91" s="2">
        <f t="shared" ca="1" si="56"/>
        <v>-5.3579082726103733E-3</v>
      </c>
      <c r="V91" s="2" vm="3411">
        <f ca="1"/>
        <v>46.8444</v>
      </c>
      <c r="W91" s="2">
        <f t="shared" ca="1" si="57"/>
        <v>-3.6286291609061005E-3</v>
      </c>
      <c r="X91" s="2" vm="3412">
        <f ca="1"/>
        <v>162.06</v>
      </c>
      <c r="Y91" s="2">
        <f t="shared" ca="1" si="58"/>
        <v>-4.6065966463976413E-3</v>
      </c>
      <c r="Z91" s="2" vm="3413">
        <f ca="1"/>
        <v>91.3</v>
      </c>
      <c r="AA91" s="2">
        <f t="shared" ca="1" si="59"/>
        <v>1.3656045298101521E-2</v>
      </c>
      <c r="AB91" s="2" vm="752">
        <f ca="1"/>
        <v>14.52</v>
      </c>
      <c r="AC91" s="2">
        <f t="shared" ca="1" si="60"/>
        <v>1.5384615384615304E-2</v>
      </c>
      <c r="AD91" s="2" vm="3414">
        <f ca="1"/>
        <v>4.09</v>
      </c>
      <c r="AE91" s="2">
        <f t="shared" ca="1" si="61"/>
        <v>-4.8837209302325574E-2</v>
      </c>
      <c r="AF91" s="2" vm="3068">
        <f ca="1"/>
        <v>29.91</v>
      </c>
      <c r="AG91" s="2">
        <f t="shared" ca="1" si="62"/>
        <v>2.0470829068577327E-2</v>
      </c>
      <c r="AH91" s="2" vm="115">
        <f ca="1"/>
        <v>28.38</v>
      </c>
      <c r="AI91" s="2">
        <f t="shared" ca="1" si="63"/>
        <v>7.4547390841319594E-3</v>
      </c>
      <c r="AJ91" s="2" vm="3415">
        <f ca="1"/>
        <v>5.33</v>
      </c>
      <c r="AK91" s="2">
        <f t="shared" ca="1" si="64"/>
        <v>5.6603773584906134E-3</v>
      </c>
      <c r="AL91" s="2" vm="1026">
        <f ca="1"/>
        <v>58.12</v>
      </c>
      <c r="AM91" s="2">
        <f t="shared" ca="1" si="65"/>
        <v>1.6617106874234663E-2</v>
      </c>
      <c r="AN91" s="2" vm="3416">
        <f ca="1"/>
        <v>90.02</v>
      </c>
      <c r="AO91" s="2">
        <f t="shared" ca="1" si="66"/>
        <v>4.5753822118066801E-3</v>
      </c>
      <c r="AP91" s="2" vm="1278">
        <f ca="1"/>
        <v>26.22</v>
      </c>
      <c r="AQ91" s="2">
        <f t="shared" ca="1" si="67"/>
        <v>-3.0418250950571043E-3</v>
      </c>
      <c r="AR91" s="2" vm="1324">
        <f ca="1"/>
        <v>51.02</v>
      </c>
      <c r="AS91" s="2">
        <f t="shared" ca="1" si="68"/>
        <v>1.960399921585006E-4</v>
      </c>
      <c r="AT91" s="2" vm="1345">
        <f ca="1"/>
        <v>29</v>
      </c>
      <c r="AU91" s="2">
        <f t="shared" ca="1" si="69"/>
        <v>-6.8917987594760768E-4</v>
      </c>
      <c r="AV91" s="2" vm="1745">
        <f ca="1"/>
        <v>26.4</v>
      </c>
      <c r="AW91" s="2">
        <f t="shared" ca="1" si="70"/>
        <v>-1.0865492693892944E-2</v>
      </c>
      <c r="AX91" s="2" vm="170">
        <f ca="1"/>
        <v>91.6</v>
      </c>
      <c r="AY91" s="2">
        <f t="shared" ca="1" si="71"/>
        <v>2.183882943873774E-4</v>
      </c>
      <c r="AZ91" s="2" vm="3417">
        <f ca="1"/>
        <v>482.82</v>
      </c>
      <c r="BA91" s="2">
        <f t="shared" ca="1" si="72"/>
        <v>6.7349194103296945E-3</v>
      </c>
      <c r="BB91" s="2" vm="3418">
        <f ca="1"/>
        <v>279.95</v>
      </c>
      <c r="BC91" s="2">
        <f t="shared" ca="1" si="73"/>
        <v>1.214794461115736E-2</v>
      </c>
      <c r="BD91" s="2" vm="2745">
        <f ca="1"/>
        <v>46.53</v>
      </c>
      <c r="BE91" s="2">
        <f t="shared" ca="1" si="74"/>
        <v>-9.1567291311754617E-3</v>
      </c>
      <c r="BF91" s="2" vm="3419">
        <f ca="1"/>
        <v>110.14</v>
      </c>
      <c r="BG91" s="2">
        <f t="shared" ca="1" si="75"/>
        <v>1.7553584626755412E-2</v>
      </c>
      <c r="BH91" s="2" vm="3420">
        <f ca="1"/>
        <v>156.16</v>
      </c>
      <c r="BI91" s="2">
        <f t="shared" ca="1" si="76"/>
        <v>5.2787434015707036E-3</v>
      </c>
      <c r="BJ91" s="2" vm="3421">
        <f ca="1"/>
        <v>154.99</v>
      </c>
      <c r="BK91" s="2">
        <f t="shared" ca="1" si="77"/>
        <v>-7.428754402817781E-3</v>
      </c>
      <c r="BL91" s="2" vm="3422">
        <f ca="1"/>
        <v>69.05</v>
      </c>
      <c r="BM91" s="2">
        <f t="shared" ca="1" si="78"/>
        <v>2.613619863510855E-3</v>
      </c>
      <c r="BN91" s="2" vm="3423">
        <f ca="1"/>
        <v>304.83</v>
      </c>
      <c r="BO91" s="2">
        <f t="shared" ca="1" si="79"/>
        <v>-1.2056392805055995E-2</v>
      </c>
      <c r="BP91" s="2" vm="3424">
        <f ca="1"/>
        <v>109.56</v>
      </c>
      <c r="BQ91" s="2">
        <f t="shared" ca="1" si="80"/>
        <v>-7.4288820438484617E-3</v>
      </c>
      <c r="BR91" s="2" vm="3425">
        <f ca="1"/>
        <v>1035.8499999999999</v>
      </c>
      <c r="BS91" s="2">
        <f t="shared" ca="1" si="81"/>
        <v>-2.1490648025694316E-2</v>
      </c>
      <c r="BT91" s="2" vm="3426">
        <f ca="1"/>
        <v>165.43</v>
      </c>
      <c r="BU91" s="2">
        <f t="shared" ca="1" si="82"/>
        <v>1.5593345202283877E-2</v>
      </c>
      <c r="BV91" s="2" vm="3427">
        <f ca="1"/>
        <v>144.1</v>
      </c>
      <c r="BW91" s="2">
        <f t="shared" ca="1" si="83"/>
        <v>4.9515307901527861E-3</v>
      </c>
      <c r="BX91" s="2" vm="3428">
        <f ca="1"/>
        <v>284.68</v>
      </c>
      <c r="BY91" s="2">
        <f t="shared" ca="1" si="84"/>
        <v>1.66416684522535E-2</v>
      </c>
      <c r="BZ91" s="2" vm="3429">
        <f ca="1"/>
        <v>95.48</v>
      </c>
      <c r="CA91" s="2">
        <f t="shared" ca="1" si="85"/>
        <v>1.2513255567338354E-2</v>
      </c>
      <c r="CB91" s="2" vm="3430">
        <f ca="1"/>
        <v>30.84</v>
      </c>
      <c r="CC91" s="2">
        <f t="shared" ca="1" si="86"/>
        <v>1.0816125860373591E-2</v>
      </c>
      <c r="CD91" s="2" t="e" vm="92">
        <f ca="1"/>
        <v>#N/A</v>
      </c>
      <c r="CE91" s="2" t="e" vm="140">
        <f t="shared" ca="1" si="87"/>
        <v>#N/A</v>
      </c>
      <c r="CF91" s="2" vm="3431">
        <f ca="1"/>
        <v>22.535</v>
      </c>
      <c r="CG91" s="2">
        <f t="shared" ca="1" si="88"/>
        <v>-3.9779005524861813E-3</v>
      </c>
      <c r="CH91" s="2" vm="818">
        <f ca="1"/>
        <v>58.23</v>
      </c>
      <c r="CI91" s="2">
        <f t="shared" ca="1" si="89"/>
        <v>-5.1493305870238819E-4</v>
      </c>
      <c r="CJ91" s="2" vm="1026">
        <f ca="1"/>
        <v>58.12</v>
      </c>
      <c r="CK91" s="2">
        <f t="shared" ca="1" si="90"/>
        <v>-2.9164522216503981E-3</v>
      </c>
      <c r="CL91" s="2" vm="3432">
        <f ca="1"/>
        <v>55.82</v>
      </c>
      <c r="CM91" s="2">
        <f t="shared" ca="1" si="91"/>
        <v>-1.0634526763559046E-2</v>
      </c>
      <c r="CN91" s="2" vm="2056">
        <f ca="1"/>
        <v>28.79</v>
      </c>
      <c r="CO91" s="2">
        <f t="shared" ca="1" si="92"/>
        <v>-3.4614053305642581E-3</v>
      </c>
      <c r="CP91" s="2" vm="3433">
        <f ca="1"/>
        <v>21.692799999999998</v>
      </c>
      <c r="CQ91" s="2">
        <f t="shared" ca="1" si="93"/>
        <v>4.1103499351971447E-3</v>
      </c>
    </row>
    <row r="92" spans="1:95" x14ac:dyDescent="0.2">
      <c r="A92" s="7" vm="3434">
        <f ca="1"/>
        <v>45707</v>
      </c>
      <c r="B92" s="2" vm="3435">
        <f ca="1"/>
        <v>244.87</v>
      </c>
      <c r="C92" s="2">
        <f t="shared" ca="1" si="47"/>
        <v>1.6361925798666736E-3</v>
      </c>
      <c r="D92" s="2" vm="3436">
        <f ca="1"/>
        <v>139.22999999999999</v>
      </c>
      <c r="E92" s="2">
        <f t="shared" ca="1" si="48"/>
        <v>-1.2195121951220653E-3</v>
      </c>
      <c r="F92" s="2" vm="3437">
        <f ca="1"/>
        <v>414.77</v>
      </c>
      <c r="G92" s="2">
        <f t="shared" ca="1" si="49"/>
        <v>1.2523191094619655E-2</v>
      </c>
      <c r="H92" s="2" vm="3438">
        <f ca="1"/>
        <v>703.77</v>
      </c>
      <c r="I92" s="2">
        <f t="shared" ca="1" si="50"/>
        <v>-1.7588676242723762E-2</v>
      </c>
      <c r="J92" s="2" vm="3439">
        <f ca="1"/>
        <v>185.27</v>
      </c>
      <c r="K92" s="2">
        <f t="shared" ca="1" si="51"/>
        <v>8.162376884148663E-3</v>
      </c>
      <c r="L92" s="2" vm="3440">
        <f ca="1"/>
        <v>612.92999999999995</v>
      </c>
      <c r="M92" s="2">
        <f t="shared" ca="1" si="52"/>
        <v>2.3549035961339367E-3</v>
      </c>
      <c r="N92" s="2" vm="3441">
        <f ca="1"/>
        <v>88.21</v>
      </c>
      <c r="O92" s="2">
        <f t="shared" ca="1" si="53"/>
        <v>1.2485811577752489E-3</v>
      </c>
      <c r="P92" s="2" vm="3442">
        <f ca="1"/>
        <v>270.85000000000002</v>
      </c>
      <c r="Q92" s="2">
        <f t="shared" ca="1" si="54"/>
        <v>5.5411895086824572E-4</v>
      </c>
      <c r="R92" s="2" vm="3443">
        <f ca="1"/>
        <v>77.45</v>
      </c>
      <c r="S92" s="2">
        <f t="shared" ca="1" si="55"/>
        <v>6.3669438669439853E-3</v>
      </c>
      <c r="T92" s="2" vm="2976">
        <f ca="1"/>
        <v>92.97</v>
      </c>
      <c r="U92" s="2">
        <f t="shared" ca="1" si="56"/>
        <v>1.6160310277957949E-3</v>
      </c>
      <c r="V92" s="2" vm="3444">
        <f ca="1"/>
        <v>46.933799999999998</v>
      </c>
      <c r="W92" s="2">
        <f t="shared" ca="1" si="57"/>
        <v>1.9084458334400207E-3</v>
      </c>
      <c r="X92" s="2" vm="3445">
        <f ca="1"/>
        <v>160.27000000000001</v>
      </c>
      <c r="Y92" s="2">
        <f t="shared" ca="1" si="58"/>
        <v>-1.1045291867209626E-2</v>
      </c>
      <c r="Z92" s="2" vm="3446">
        <f ca="1"/>
        <v>92.02</v>
      </c>
      <c r="AA92" s="2">
        <f t="shared" ca="1" si="59"/>
        <v>7.8860898138006456E-3</v>
      </c>
      <c r="AB92" s="2" vm="3447">
        <f ca="1"/>
        <v>14.61</v>
      </c>
      <c r="AC92" s="2">
        <f t="shared" ca="1" si="60"/>
        <v>6.1983471074380072E-3</v>
      </c>
      <c r="AD92" s="2" vm="3448">
        <f ca="1"/>
        <v>4.21</v>
      </c>
      <c r="AE92" s="2">
        <f t="shared" ca="1" si="61"/>
        <v>2.9339853300733524E-2</v>
      </c>
      <c r="AF92" s="2" vm="754">
        <f ca="1"/>
        <v>29.81</v>
      </c>
      <c r="AG92" s="2">
        <f t="shared" ca="1" si="62"/>
        <v>-3.3433634236041932E-3</v>
      </c>
      <c r="AH92" s="2" vm="3449">
        <f ca="1"/>
        <v>28.22</v>
      </c>
      <c r="AI92" s="2">
        <f t="shared" ca="1" si="63"/>
        <v>-5.6377730796335502E-3</v>
      </c>
      <c r="AJ92" s="2" vm="3450">
        <f ca="1"/>
        <v>5.24</v>
      </c>
      <c r="AK92" s="2">
        <f t="shared" ca="1" si="64"/>
        <v>-1.6885553470919298E-2</v>
      </c>
      <c r="AL92" s="2" vm="2429">
        <f ca="1"/>
        <v>58.16</v>
      </c>
      <c r="AM92" s="2">
        <f t="shared" ca="1" si="65"/>
        <v>6.8823124569854005E-4</v>
      </c>
      <c r="AN92" s="2" vm="3451">
        <f ca="1"/>
        <v>89.4</v>
      </c>
      <c r="AO92" s="2">
        <f t="shared" ca="1" si="66"/>
        <v>-6.8873583648077132E-3</v>
      </c>
      <c r="AP92" s="2" vm="634">
        <f ca="1"/>
        <v>26.26</v>
      </c>
      <c r="AQ92" s="2">
        <f t="shared" ca="1" si="67"/>
        <v>1.5255530129673037E-3</v>
      </c>
      <c r="AR92" s="2" vm="1404">
        <f ca="1"/>
        <v>51.04</v>
      </c>
      <c r="AS92" s="2">
        <f t="shared" ca="1" si="68"/>
        <v>3.9200313602501019E-4</v>
      </c>
      <c r="AT92" s="2" vm="800">
        <f ca="1"/>
        <v>29.01</v>
      </c>
      <c r="AU92" s="2">
        <f t="shared" ca="1" si="69"/>
        <v>3.4482758620695046E-4</v>
      </c>
      <c r="AV92" s="2" vm="1625">
        <f ca="1"/>
        <v>26.44</v>
      </c>
      <c r="AW92" s="2">
        <f t="shared" ca="1" si="70"/>
        <v>1.5151515151516175E-3</v>
      </c>
      <c r="AX92" s="2" vm="1887">
        <f ca="1"/>
        <v>91.61</v>
      </c>
      <c r="AY92" s="2">
        <f t="shared" ca="1" si="71"/>
        <v>1.0917030567691175E-4</v>
      </c>
      <c r="AZ92" s="2" vm="3452">
        <f ca="1"/>
        <v>483.77</v>
      </c>
      <c r="BA92" s="2">
        <f t="shared" ca="1" si="72"/>
        <v>1.9676069756844965E-3</v>
      </c>
      <c r="BB92" s="2" vm="3453">
        <f ca="1"/>
        <v>279.25</v>
      </c>
      <c r="BC92" s="2">
        <f t="shared" ca="1" si="73"/>
        <v>-2.5004465083050139E-3</v>
      </c>
      <c r="BD92" s="2" vm="3454">
        <f ca="1"/>
        <v>46.01</v>
      </c>
      <c r="BE92" s="2">
        <f t="shared" ca="1" si="74"/>
        <v>-1.1175585643670816E-2</v>
      </c>
      <c r="BF92" s="2" vm="3455">
        <f ca="1"/>
        <v>110.3</v>
      </c>
      <c r="BG92" s="2">
        <f t="shared" ca="1" si="75"/>
        <v>1.452696568004327E-3</v>
      </c>
      <c r="BH92" s="2" vm="2917">
        <f ca="1"/>
        <v>157.22999999999999</v>
      </c>
      <c r="BI92" s="2">
        <f t="shared" ca="1" si="76"/>
        <v>6.8519467213114318E-3</v>
      </c>
      <c r="BJ92" s="2" vm="3456">
        <f ca="1"/>
        <v>157.88999999999999</v>
      </c>
      <c r="BK92" s="2">
        <f t="shared" ca="1" si="77"/>
        <v>1.8710884573198121E-2</v>
      </c>
      <c r="BL92" s="2" vm="3457">
        <f ca="1"/>
        <v>70.069999999999993</v>
      </c>
      <c r="BM92" s="2">
        <f t="shared" ca="1" si="78"/>
        <v>1.4771904417089008E-2</v>
      </c>
      <c r="BN92" s="2" vm="3458">
        <f ca="1"/>
        <v>301.94</v>
      </c>
      <c r="BO92" s="2">
        <f t="shared" ca="1" si="79"/>
        <v>-9.480694157399161E-3</v>
      </c>
      <c r="BP92" s="2" vm="2045">
        <f ca="1"/>
        <v>111.35</v>
      </c>
      <c r="BQ92" s="2">
        <f t="shared" ca="1" si="80"/>
        <v>1.6338079591091566E-2</v>
      </c>
      <c r="BR92" s="2" vm="3459">
        <f ca="1"/>
        <v>1043.33</v>
      </c>
      <c r="BS92" s="2">
        <f t="shared" ca="1" si="81"/>
        <v>7.2211227494328508E-3</v>
      </c>
      <c r="BT92" s="2" vm="3460">
        <f ca="1"/>
        <v>166.49</v>
      </c>
      <c r="BU92" s="2">
        <f t="shared" ca="1" si="82"/>
        <v>6.4075439763041902E-3</v>
      </c>
      <c r="BV92" s="2" vm="3461">
        <f ca="1"/>
        <v>145.81</v>
      </c>
      <c r="BW92" s="2">
        <f t="shared" ca="1" si="83"/>
        <v>1.1866759195003525E-2</v>
      </c>
      <c r="BX92" s="2" vm="3462">
        <f ca="1"/>
        <v>280.37</v>
      </c>
      <c r="BY92" s="2">
        <f t="shared" ca="1" si="84"/>
        <v>-1.513980609807504E-2</v>
      </c>
      <c r="BZ92" s="2" vm="3463">
        <f ca="1"/>
        <v>96.9</v>
      </c>
      <c r="CA92" s="2">
        <f t="shared" ca="1" si="85"/>
        <v>1.4872224549643922E-2</v>
      </c>
      <c r="CB92" s="2" vm="3464">
        <f ca="1"/>
        <v>31.32</v>
      </c>
      <c r="CC92" s="2">
        <f t="shared" ca="1" si="86"/>
        <v>1.5564202334630364E-2</v>
      </c>
      <c r="CD92" s="2" t="e" vm="92">
        <f ca="1"/>
        <v>#N/A</v>
      </c>
      <c r="CE92" s="2" t="e" vm="140">
        <f t="shared" ca="1" si="87"/>
        <v>#N/A</v>
      </c>
      <c r="CF92" s="2" vm="3134">
        <f ca="1"/>
        <v>22.565000000000001</v>
      </c>
      <c r="CG92" s="2">
        <f t="shared" ca="1" si="88"/>
        <v>1.3312624805858059E-3</v>
      </c>
      <c r="CH92" s="2" vm="903">
        <f ca="1"/>
        <v>58.25</v>
      </c>
      <c r="CI92" s="2">
        <f t="shared" ca="1" si="89"/>
        <v>3.4346556757690414E-4</v>
      </c>
      <c r="CJ92" s="2" vm="1179">
        <f ca="1"/>
        <v>58.21</v>
      </c>
      <c r="CK92" s="2">
        <f t="shared" ca="1" si="90"/>
        <v>1.5485203028218068E-3</v>
      </c>
      <c r="CL92" s="2" vm="2927">
        <f ca="1"/>
        <v>55.87</v>
      </c>
      <c r="CM92" s="2">
        <f t="shared" ca="1" si="91"/>
        <v>8.9573629523463194E-4</v>
      </c>
      <c r="CN92" s="2" vm="2998">
        <f ca="1"/>
        <v>28.81</v>
      </c>
      <c r="CO92" s="2">
        <f t="shared" ca="1" si="92"/>
        <v>6.9468565474121481E-4</v>
      </c>
      <c r="CP92" s="2" vm="3465">
        <f ca="1"/>
        <v>21.6739</v>
      </c>
      <c r="CQ92" s="2">
        <f t="shared" ca="1" si="93"/>
        <v>-8.7125682254013252E-4</v>
      </c>
    </row>
    <row r="93" spans="1:95" x14ac:dyDescent="0.2">
      <c r="A93" s="7" vm="3466">
        <f ca="1"/>
        <v>45708</v>
      </c>
      <c r="B93" s="2" vm="3467">
        <f ca="1"/>
        <v>245.83</v>
      </c>
      <c r="C93" s="2">
        <f t="shared" ca="1" si="47"/>
        <v>3.9204475844325888E-3</v>
      </c>
      <c r="D93" s="2" vm="2504">
        <f ca="1"/>
        <v>140.11000000000001</v>
      </c>
      <c r="E93" s="2">
        <f t="shared" ca="1" si="48"/>
        <v>6.3204769087123747E-3</v>
      </c>
      <c r="F93" s="2" vm="3468">
        <f ca="1"/>
        <v>416.13</v>
      </c>
      <c r="G93" s="2">
        <f t="shared" ca="1" si="49"/>
        <v>3.278925669648272E-3</v>
      </c>
      <c r="H93" s="2" vm="3469">
        <f ca="1"/>
        <v>694.84</v>
      </c>
      <c r="I93" s="2">
        <f t="shared" ca="1" si="50"/>
        <v>-1.2688804581042032E-2</v>
      </c>
      <c r="J93" s="2" vm="3470">
        <f ca="1"/>
        <v>184.56</v>
      </c>
      <c r="K93" s="2">
        <f t="shared" ca="1" si="51"/>
        <v>-3.8322448318670477E-3</v>
      </c>
      <c r="L93" s="2" vm="3471">
        <f ca="1"/>
        <v>610.38</v>
      </c>
      <c r="M93" s="2">
        <f t="shared" ca="1" si="52"/>
        <v>-4.1603445744211485E-3</v>
      </c>
      <c r="N93" s="2" vm="3472">
        <f ca="1"/>
        <v>88.54</v>
      </c>
      <c r="O93" s="2">
        <f t="shared" ca="1" si="53"/>
        <v>3.7410724407664952E-3</v>
      </c>
      <c r="P93" s="2" vm="3473">
        <f ca="1"/>
        <v>270.99</v>
      </c>
      <c r="Q93" s="2">
        <f t="shared" ca="1" si="54"/>
        <v>5.1689126822959696E-4</v>
      </c>
      <c r="R93" s="2" vm="3474">
        <f ca="1"/>
        <v>77.760000000000005</v>
      </c>
      <c r="S93" s="2">
        <f t="shared" ca="1" si="55"/>
        <v>4.0025823111685252E-3</v>
      </c>
      <c r="T93" s="2" vm="3475">
        <f ca="1"/>
        <v>93.16</v>
      </c>
      <c r="U93" s="2">
        <f t="shared" ca="1" si="56"/>
        <v>2.0436700010755915E-3</v>
      </c>
      <c r="V93" s="2" vm="3476">
        <f ca="1"/>
        <v>46.979900000000001</v>
      </c>
      <c r="W93" s="2">
        <f t="shared" ca="1" si="57"/>
        <v>9.8223455164514061E-4</v>
      </c>
      <c r="X93" s="2" vm="3477">
        <f ca="1"/>
        <v>156.79</v>
      </c>
      <c r="Y93" s="2">
        <f t="shared" ca="1" si="58"/>
        <v>-2.1713358707181742E-2</v>
      </c>
      <c r="Z93" s="2" vm="3478">
        <f ca="1"/>
        <v>92.86</v>
      </c>
      <c r="AA93" s="2">
        <f t="shared" ca="1" si="59"/>
        <v>9.1284503368833231E-3</v>
      </c>
      <c r="AB93" s="2" vm="3014">
        <f ca="1"/>
        <v>14.64</v>
      </c>
      <c r="AC93" s="2">
        <f t="shared" ca="1" si="60"/>
        <v>2.0533880903491537E-3</v>
      </c>
      <c r="AD93" s="2" vm="2446">
        <f ca="1"/>
        <v>4.0999999999999996</v>
      </c>
      <c r="AE93" s="2">
        <f t="shared" ca="1" si="61"/>
        <v>-2.6128266033254233E-2</v>
      </c>
      <c r="AF93" s="2" vm="3479">
        <f ca="1"/>
        <v>29.95</v>
      </c>
      <c r="AG93" s="2">
        <f t="shared" ca="1" si="62"/>
        <v>4.6964106004696599E-3</v>
      </c>
      <c r="AH93" s="2" vm="381">
        <f ca="1"/>
        <v>27.92</v>
      </c>
      <c r="AI93" s="2">
        <f t="shared" ca="1" si="63"/>
        <v>-1.0630758327427256E-2</v>
      </c>
      <c r="AJ93" s="2" vm="249">
        <f ca="1"/>
        <v>5.2</v>
      </c>
      <c r="AK93" s="2">
        <f t="shared" ca="1" si="64"/>
        <v>-7.6335877862595486E-3</v>
      </c>
      <c r="AL93" s="2" vm="3300">
        <f ca="1"/>
        <v>58.19</v>
      </c>
      <c r="AM93" s="2">
        <f t="shared" ca="1" si="65"/>
        <v>5.1581843191198656E-4</v>
      </c>
      <c r="AN93" s="2" vm="3480">
        <f ca="1"/>
        <v>89.62</v>
      </c>
      <c r="AO93" s="2">
        <f t="shared" ca="1" si="66"/>
        <v>2.4608501118568104E-3</v>
      </c>
      <c r="AP93" s="2" vm="1440">
        <f ca="1"/>
        <v>26.32</v>
      </c>
      <c r="AQ93" s="2">
        <f t="shared" ca="1" si="67"/>
        <v>2.284843869002236E-3</v>
      </c>
      <c r="AR93" s="2" vm="1404">
        <f ca="1"/>
        <v>51.04</v>
      </c>
      <c r="AS93" s="2">
        <f t="shared" ca="1" si="68"/>
        <v>0</v>
      </c>
      <c r="AT93" s="2" vm="885">
        <f ca="1"/>
        <v>29.02</v>
      </c>
      <c r="AU93" s="2">
        <f t="shared" ca="1" si="69"/>
        <v>3.4470872113057598E-4</v>
      </c>
      <c r="AV93" s="2" vm="338">
        <f ca="1"/>
        <v>26.52</v>
      </c>
      <c r="AW93" s="2">
        <f t="shared" ca="1" si="70"/>
        <v>3.0257186081693757E-3</v>
      </c>
      <c r="AX93" s="2" vm="1204">
        <f ca="1"/>
        <v>91.63</v>
      </c>
      <c r="AY93" s="2">
        <f t="shared" ca="1" si="71"/>
        <v>2.1831677764431854E-4</v>
      </c>
      <c r="AZ93" s="2" vm="3481">
        <f ca="1"/>
        <v>481.8</v>
      </c>
      <c r="BA93" s="2">
        <f t="shared" ca="1" si="72"/>
        <v>-4.0721830621989179E-3</v>
      </c>
      <c r="BB93" s="2" vm="3482">
        <f ca="1"/>
        <v>266.8</v>
      </c>
      <c r="BC93" s="2">
        <f t="shared" ca="1" si="73"/>
        <v>-4.4583706356311509E-2</v>
      </c>
      <c r="BD93" s="2" vm="3483">
        <f ca="1"/>
        <v>45.3</v>
      </c>
      <c r="BE93" s="2">
        <f t="shared" ca="1" si="74"/>
        <v>-1.5431427950445574E-2</v>
      </c>
      <c r="BF93" s="2" vm="3484">
        <f ca="1"/>
        <v>112</v>
      </c>
      <c r="BG93" s="2">
        <f t="shared" ca="1" si="75"/>
        <v>1.5412511332728947E-2</v>
      </c>
      <c r="BH93" s="2" vm="3485">
        <f ca="1"/>
        <v>158.79</v>
      </c>
      <c r="BI93" s="2">
        <f t="shared" ca="1" si="76"/>
        <v>9.9217706544552711E-3</v>
      </c>
      <c r="BJ93" s="2" vm="3486">
        <f ca="1"/>
        <v>159.68</v>
      </c>
      <c r="BK93" s="2">
        <f t="shared" ca="1" si="77"/>
        <v>1.1337006776870103E-2</v>
      </c>
      <c r="BL93" s="2" vm="3487">
        <f ca="1"/>
        <v>70.040000000000006</v>
      </c>
      <c r="BM93" s="2">
        <f t="shared" ca="1" si="78"/>
        <v>-4.2814328528595591E-4</v>
      </c>
      <c r="BN93" s="2" vm="3488">
        <f ca="1"/>
        <v>303.05</v>
      </c>
      <c r="BO93" s="2">
        <f t="shared" ca="1" si="79"/>
        <v>3.6762270649798425E-3</v>
      </c>
      <c r="BP93" s="2" vm="3489">
        <f ca="1"/>
        <v>110.55</v>
      </c>
      <c r="BQ93" s="2">
        <f t="shared" ca="1" si="80"/>
        <v>-7.1845532105971905E-3</v>
      </c>
      <c r="BR93" s="2" vm="3490">
        <f ca="1"/>
        <v>1024.54</v>
      </c>
      <c r="BS93" s="2">
        <f t="shared" ca="1" si="81"/>
        <v>-1.8009642203329689E-2</v>
      </c>
      <c r="BT93" s="2" vm="3491">
        <f ca="1"/>
        <v>167.21</v>
      </c>
      <c r="BU93" s="2">
        <f t="shared" ca="1" si="82"/>
        <v>4.3245840591026414E-3</v>
      </c>
      <c r="BV93" s="2" vm="3492">
        <f ca="1"/>
        <v>149.1</v>
      </c>
      <c r="BW93" s="2">
        <f t="shared" ca="1" si="83"/>
        <v>2.2563610177628365E-2</v>
      </c>
      <c r="BX93" s="2" vm="3493">
        <f ca="1"/>
        <v>281.10000000000002</v>
      </c>
      <c r="BY93" s="2">
        <f t="shared" ca="1" si="84"/>
        <v>2.6037022505974896E-3</v>
      </c>
      <c r="BZ93" s="2" vm="3494">
        <f ca="1"/>
        <v>97.51</v>
      </c>
      <c r="CA93" s="2">
        <f t="shared" ca="1" si="85"/>
        <v>6.2951496388028837E-3</v>
      </c>
      <c r="CB93" s="2" vm="3495">
        <f ca="1"/>
        <v>31.3</v>
      </c>
      <c r="CC93" s="2">
        <f t="shared" ca="1" si="86"/>
        <v>-6.3856960408683184E-4</v>
      </c>
      <c r="CD93" s="2" t="e" vm="92">
        <f ca="1"/>
        <v>#N/A</v>
      </c>
      <c r="CE93" s="2" t="e" vm="140">
        <f t="shared" ca="1" si="87"/>
        <v>#N/A</v>
      </c>
      <c r="CF93" s="2" vm="3496">
        <f ca="1"/>
        <v>22.594999999999999</v>
      </c>
      <c r="CG93" s="2">
        <f t="shared" ca="1" si="88"/>
        <v>1.3294925769996712E-3</v>
      </c>
      <c r="CH93" s="2" vm="986">
        <f ca="1"/>
        <v>58.27</v>
      </c>
      <c r="CI93" s="2">
        <f t="shared" ca="1" si="89"/>
        <v>3.4334763948503223E-4</v>
      </c>
      <c r="CJ93" s="2" vm="1221">
        <f ca="1"/>
        <v>58.29</v>
      </c>
      <c r="CK93" s="2">
        <f t="shared" ca="1" si="90"/>
        <v>1.3743343068201048E-3</v>
      </c>
      <c r="CL93" s="2" vm="3497">
        <f ca="1"/>
        <v>56.05</v>
      </c>
      <c r="CM93" s="2">
        <f t="shared" ca="1" si="91"/>
        <v>3.2217648111687799E-3</v>
      </c>
      <c r="CN93" s="2" vm="3034">
        <f ca="1"/>
        <v>28.86</v>
      </c>
      <c r="CO93" s="2">
        <f t="shared" ca="1" si="92"/>
        <v>1.7355085039916943E-3</v>
      </c>
      <c r="CP93" s="2" vm="3498">
        <f ca="1"/>
        <v>21.835000000000001</v>
      </c>
      <c r="CQ93" s="2">
        <f t="shared" ca="1" si="93"/>
        <v>7.432903169249703E-3</v>
      </c>
    </row>
    <row r="94" spans="1:95" x14ac:dyDescent="0.2">
      <c r="A94" s="7" vm="3499">
        <f ca="1"/>
        <v>45709</v>
      </c>
      <c r="B94" s="2" vm="3500">
        <f ca="1"/>
        <v>245.55</v>
      </c>
      <c r="C94" s="2">
        <f t="shared" ca="1" si="47"/>
        <v>-1.1389984948948506E-3</v>
      </c>
      <c r="D94" s="2" vm="3501">
        <f ca="1"/>
        <v>134.43</v>
      </c>
      <c r="E94" s="2">
        <f t="shared" ca="1" si="48"/>
        <v>-4.0539576047391383E-2</v>
      </c>
      <c r="F94" s="2" vm="3502">
        <f ca="1"/>
        <v>408.21</v>
      </c>
      <c r="G94" s="2">
        <f t="shared" ca="1" si="49"/>
        <v>-1.9032513877874743E-2</v>
      </c>
      <c r="H94" s="2" vm="3503">
        <f ca="1"/>
        <v>683.55</v>
      </c>
      <c r="I94" s="2">
        <f t="shared" ca="1" si="50"/>
        <v>-1.6248344942720736E-2</v>
      </c>
      <c r="J94" s="2" vm="3504">
        <f ca="1"/>
        <v>179.66</v>
      </c>
      <c r="K94" s="2">
        <f t="shared" ca="1" si="51"/>
        <v>-2.6549631556133536E-2</v>
      </c>
      <c r="L94" s="2" vm="3505">
        <f ca="1"/>
        <v>599.94000000000005</v>
      </c>
      <c r="M94" s="2">
        <f t="shared" ca="1" si="52"/>
        <v>-1.7104099085815297E-2</v>
      </c>
      <c r="N94" s="2" vm="3381">
        <f ca="1"/>
        <v>89.61</v>
      </c>
      <c r="O94" s="2">
        <f t="shared" ca="1" si="53"/>
        <v>1.2084933363451469E-2</v>
      </c>
      <c r="P94" s="2" vm="3506">
        <f ca="1"/>
        <v>270.74</v>
      </c>
      <c r="Q94" s="2">
        <f t="shared" ca="1" si="54"/>
        <v>-9.2254326727923537E-4</v>
      </c>
      <c r="R94" s="2" vm="3507">
        <f ca="1"/>
        <v>75.349999999999994</v>
      </c>
      <c r="S94" s="2">
        <f t="shared" ca="1" si="55"/>
        <v>-3.0992798353909601E-2</v>
      </c>
      <c r="T94" s="2" vm="3508">
        <f ca="1"/>
        <v>93.71</v>
      </c>
      <c r="U94" s="2">
        <f t="shared" ca="1" si="56"/>
        <v>5.9038213825675957E-3</v>
      </c>
      <c r="V94" s="2" vm="3509">
        <f ca="1"/>
        <v>47.144300000000001</v>
      </c>
      <c r="W94" s="2">
        <f t="shared" ca="1" si="57"/>
        <v>3.4993688790312567E-3</v>
      </c>
      <c r="X94" s="2" vm="3510">
        <f ca="1"/>
        <v>150.55000000000001</v>
      </c>
      <c r="Y94" s="2">
        <f t="shared" ca="1" si="58"/>
        <v>-3.9798456534217624E-2</v>
      </c>
      <c r="Z94" s="2" vm="3511">
        <f ca="1"/>
        <v>90.93</v>
      </c>
      <c r="AA94" s="2">
        <f t="shared" ca="1" si="59"/>
        <v>-2.0783975877665221E-2</v>
      </c>
      <c r="AB94" s="2" vm="1156">
        <f ca="1"/>
        <v>14.2</v>
      </c>
      <c r="AC94" s="2">
        <f t="shared" ca="1" si="60"/>
        <v>-3.0054644808743255E-2</v>
      </c>
      <c r="AD94" s="2" t="e" vm="92">
        <f ca="1"/>
        <v>#N/A</v>
      </c>
      <c r="AE94" s="2" t="e" vm="140">
        <f t="shared" ca="1" si="61"/>
        <v>#N/A</v>
      </c>
      <c r="AF94" s="2" vm="3512">
        <f ca="1"/>
        <v>29.59</v>
      </c>
      <c r="AG94" s="2">
        <f t="shared" ca="1" si="62"/>
        <v>-1.2020033388981617E-2</v>
      </c>
      <c r="AH94" s="2" vm="3513">
        <f ca="1"/>
        <v>27.55</v>
      </c>
      <c r="AI94" s="2">
        <f t="shared" ca="1" si="63"/>
        <v>-1.3252148997134705E-2</v>
      </c>
      <c r="AJ94" s="2" vm="3514">
        <f ca="1"/>
        <v>5.23</v>
      </c>
      <c r="AK94" s="2">
        <f t="shared" ca="1" si="64"/>
        <v>5.7692307692308173E-3</v>
      </c>
      <c r="AL94" s="2" vm="442">
        <f ca="1"/>
        <v>58.14</v>
      </c>
      <c r="AM94" s="2">
        <f t="shared" ca="1" si="65"/>
        <v>-8.5925416738266301E-4</v>
      </c>
      <c r="AN94" s="2" vm="3515">
        <f ca="1"/>
        <v>88.69</v>
      </c>
      <c r="AO94" s="2">
        <f t="shared" ca="1" si="66"/>
        <v>-1.0377147958045155E-2</v>
      </c>
      <c r="AP94" s="2" vm="1705">
        <f ca="1"/>
        <v>26.39</v>
      </c>
      <c r="AQ94" s="2">
        <f t="shared" ca="1" si="67"/>
        <v>2.6595744680851172E-3</v>
      </c>
      <c r="AR94" s="2" vm="1517">
        <f ca="1"/>
        <v>51.05</v>
      </c>
      <c r="AS94" s="2">
        <f t="shared" ca="1" si="68"/>
        <v>1.9592476489024315E-4</v>
      </c>
      <c r="AT94" s="2" vm="1747">
        <f ca="1"/>
        <v>29.08</v>
      </c>
      <c r="AU94" s="2">
        <f t="shared" ca="1" si="69"/>
        <v>2.0675396278428231E-3</v>
      </c>
      <c r="AV94" s="2" vm="3516">
        <f ca="1"/>
        <v>26.82</v>
      </c>
      <c r="AW94" s="2">
        <f t="shared" ca="1" si="70"/>
        <v>1.1312217194570163E-2</v>
      </c>
      <c r="AX94" s="2" vm="1998">
        <f ca="1"/>
        <v>91.66</v>
      </c>
      <c r="AY94" s="2">
        <f t="shared" ca="1" si="71"/>
        <v>3.2740368874823898E-4</v>
      </c>
      <c r="AZ94" s="2" vm="3517">
        <f ca="1"/>
        <v>478.74</v>
      </c>
      <c r="BA94" s="2">
        <f t="shared" ca="1" si="72"/>
        <v>-6.3511830635118354E-3</v>
      </c>
      <c r="BB94" s="2" vm="3518">
        <f ca="1"/>
        <v>264.24</v>
      </c>
      <c r="BC94" s="2">
        <f t="shared" ca="1" si="73"/>
        <v>-9.5952023988006077E-3</v>
      </c>
      <c r="BD94" s="2" vm="2417">
        <f ca="1"/>
        <v>44.81</v>
      </c>
      <c r="BE94" s="2">
        <f t="shared" ca="1" si="74"/>
        <v>-1.0816777041942493E-2</v>
      </c>
      <c r="BF94" s="2" vm="3519">
        <f ca="1"/>
        <v>110.69</v>
      </c>
      <c r="BG94" s="2">
        <f t="shared" ca="1" si="75"/>
        <v>-1.1696428571428592E-2</v>
      </c>
      <c r="BH94" s="2" vm="3520">
        <f ca="1"/>
        <v>156.91999999999999</v>
      </c>
      <c r="BI94" s="2">
        <f t="shared" ca="1" si="76"/>
        <v>-1.1776560236790759E-2</v>
      </c>
      <c r="BJ94" s="2" vm="3521">
        <f ca="1"/>
        <v>162.30000000000001</v>
      </c>
      <c r="BK94" s="2">
        <f t="shared" ca="1" si="77"/>
        <v>1.6407815631262552E-2</v>
      </c>
      <c r="BL94" s="2" vm="3522">
        <f ca="1"/>
        <v>71.349999999999994</v>
      </c>
      <c r="BM94" s="2">
        <f t="shared" ca="1" si="78"/>
        <v>1.870359794403181E-2</v>
      </c>
      <c r="BN94" s="2" vm="3523">
        <f ca="1"/>
        <v>304.81</v>
      </c>
      <c r="BO94" s="2">
        <f t="shared" ca="1" si="79"/>
        <v>5.8076225045371752E-3</v>
      </c>
      <c r="BP94" s="2" vm="2880">
        <f ca="1"/>
        <v>108.66</v>
      </c>
      <c r="BQ94" s="2">
        <f t="shared" ca="1" si="80"/>
        <v>-1.7096336499321581E-2</v>
      </c>
      <c r="BR94" s="2" vm="3524">
        <f ca="1"/>
        <v>1003.15</v>
      </c>
      <c r="BS94" s="2">
        <f t="shared" ca="1" si="81"/>
        <v>-2.0877662170339848E-2</v>
      </c>
      <c r="BT94" s="2" vm="3525">
        <f ca="1"/>
        <v>170.23</v>
      </c>
      <c r="BU94" s="2">
        <f t="shared" ca="1" si="82"/>
        <v>1.8061120746366736E-2</v>
      </c>
      <c r="BV94" s="2" vm="3526">
        <f ca="1"/>
        <v>153.5</v>
      </c>
      <c r="BW94" s="2">
        <f t="shared" ca="1" si="83"/>
        <v>2.9510395707578845E-2</v>
      </c>
      <c r="BX94" s="2" vm="3527">
        <f ca="1"/>
        <v>272.83</v>
      </c>
      <c r="BY94" s="2">
        <f t="shared" ca="1" si="84"/>
        <v>-2.9420135183208958E-2</v>
      </c>
      <c r="BZ94" s="2" vm="3528">
        <f ca="1"/>
        <v>94.44</v>
      </c>
      <c r="CA94" s="2">
        <f t="shared" ca="1" si="85"/>
        <v>-3.1483950364065295E-2</v>
      </c>
      <c r="CB94" s="2" vm="3529">
        <f ca="1"/>
        <v>30.367699999999999</v>
      </c>
      <c r="CC94" s="2">
        <f t="shared" ca="1" si="86"/>
        <v>-2.9785942492012826E-2</v>
      </c>
      <c r="CD94" s="2" t="e" vm="92">
        <f ca="1"/>
        <v>#N/A</v>
      </c>
      <c r="CE94" s="2" t="e" vm="140">
        <f t="shared" ca="1" si="87"/>
        <v>#N/A</v>
      </c>
      <c r="CF94" s="2" vm="3530">
        <f ca="1"/>
        <v>22.695</v>
      </c>
      <c r="CG94" s="2">
        <f t="shared" ca="1" si="88"/>
        <v>4.425757911042329E-3</v>
      </c>
      <c r="CH94" s="2" vm="1259">
        <f ca="1"/>
        <v>58.37</v>
      </c>
      <c r="CI94" s="2">
        <f t="shared" ca="1" si="89"/>
        <v>1.7161489617297805E-3</v>
      </c>
      <c r="CJ94" s="2" vm="484">
        <f ca="1"/>
        <v>58.53</v>
      </c>
      <c r="CK94" s="2">
        <f t="shared" ca="1" si="90"/>
        <v>4.117344312918202E-3</v>
      </c>
      <c r="CL94" s="2" vm="1140">
        <f ca="1"/>
        <v>56.68</v>
      </c>
      <c r="CM94" s="2">
        <f t="shared" ca="1" si="91"/>
        <v>1.1239964317573641E-2</v>
      </c>
      <c r="CN94" s="2" vm="943">
        <f ca="1"/>
        <v>28.95</v>
      </c>
      <c r="CO94" s="2">
        <f t="shared" ca="1" si="92"/>
        <v>3.1185031185031135E-3</v>
      </c>
      <c r="CP94" s="2" vm="3531">
        <f ca="1"/>
        <v>21.630099999999999</v>
      </c>
      <c r="CQ94" s="2">
        <f t="shared" ca="1" si="93"/>
        <v>-9.3840164872911417E-3</v>
      </c>
    </row>
    <row r="95" spans="1:95" x14ac:dyDescent="0.2">
      <c r="A95" s="7" vm="3532">
        <f ca="1"/>
        <v>45712</v>
      </c>
      <c r="B95" s="2" vm="3533">
        <f ca="1"/>
        <v>247.1</v>
      </c>
      <c r="C95" s="2">
        <f t="shared" ca="1" si="47"/>
        <v>6.3123600081449113E-3</v>
      </c>
      <c r="D95" s="2" vm="3534">
        <f ca="1"/>
        <v>130.28</v>
      </c>
      <c r="E95" s="2">
        <f t="shared" ca="1" si="48"/>
        <v>-3.0871085323216585E-2</v>
      </c>
      <c r="F95" s="2" vm="3535">
        <f ca="1"/>
        <v>404</v>
      </c>
      <c r="G95" s="2">
        <f t="shared" ca="1" si="49"/>
        <v>-1.0313319124960143E-2</v>
      </c>
      <c r="H95" s="2" vm="3536">
        <f ca="1"/>
        <v>668.13</v>
      </c>
      <c r="I95" s="2">
        <f t="shared" ca="1" si="50"/>
        <v>-2.2558700899714665E-2</v>
      </c>
      <c r="J95" s="2" vm="3537">
        <f ca="1"/>
        <v>179.25</v>
      </c>
      <c r="K95" s="2">
        <f t="shared" ca="1" si="51"/>
        <v>-2.2820883891795426E-3</v>
      </c>
      <c r="L95" s="2" vm="3538">
        <f ca="1"/>
        <v>597.21</v>
      </c>
      <c r="M95" s="2">
        <f t="shared" ca="1" si="52"/>
        <v>-4.5504550455045803E-3</v>
      </c>
      <c r="N95" s="2" vm="689">
        <f ca="1"/>
        <v>89.87</v>
      </c>
      <c r="O95" s="2">
        <f t="shared" ca="1" si="53"/>
        <v>2.9014618904140733E-3</v>
      </c>
      <c r="P95" s="2" vm="3539">
        <f ca="1"/>
        <v>272.20999999999998</v>
      </c>
      <c r="Q95" s="2">
        <f t="shared" ca="1" si="54"/>
        <v>5.429563418778054E-3</v>
      </c>
      <c r="R95" s="2" vm="3540">
        <f ca="1"/>
        <v>75.97</v>
      </c>
      <c r="S95" s="2">
        <f t="shared" ca="1" si="55"/>
        <v>8.2282680822827418E-3</v>
      </c>
      <c r="T95" s="2" vm="3541">
        <f ca="1"/>
        <v>93.91</v>
      </c>
      <c r="U95" s="2">
        <f t="shared" ca="1" si="56"/>
        <v>2.1342439440828393E-3</v>
      </c>
      <c r="V95" s="2" vm="3542">
        <f ca="1"/>
        <v>47.21</v>
      </c>
      <c r="W95" s="2">
        <f t="shared" ca="1" si="57"/>
        <v>1.3935937112227702E-3</v>
      </c>
      <c r="X95" s="2" vm="3543">
        <f ca="1"/>
        <v>147.87</v>
      </c>
      <c r="Y95" s="2">
        <f t="shared" ca="1" si="58"/>
        <v>-1.7801394885420169E-2</v>
      </c>
      <c r="Z95" s="2" vm="3544">
        <f ca="1"/>
        <v>90.95</v>
      </c>
      <c r="AA95" s="2">
        <f t="shared" ca="1" si="59"/>
        <v>2.1994941163528011E-4</v>
      </c>
      <c r="AB95" s="2" vm="3545">
        <f ca="1"/>
        <v>14.33</v>
      </c>
      <c r="AC95" s="2">
        <f t="shared" ca="1" si="60"/>
        <v>9.1549295774648442E-3</v>
      </c>
      <c r="AD95" s="2" vm="2302">
        <f ca="1"/>
        <v>4</v>
      </c>
      <c r="AE95" s="2" t="e" vm="140">
        <f t="shared" ca="1" si="61"/>
        <v>#N/A</v>
      </c>
      <c r="AF95" s="2" vm="3546">
        <f ca="1"/>
        <v>29.44</v>
      </c>
      <c r="AG95" s="2">
        <f t="shared" ca="1" si="62"/>
        <v>-5.0692801622169168E-3</v>
      </c>
      <c r="AH95" s="2" vm="3547">
        <f ca="1"/>
        <v>27.03</v>
      </c>
      <c r="AI95" s="2">
        <f t="shared" ca="1" si="63"/>
        <v>-1.88747731397459E-2</v>
      </c>
      <c r="AJ95" s="2" vm="712">
        <f ca="1"/>
        <v>5.15</v>
      </c>
      <c r="AK95" s="2">
        <f t="shared" ca="1" si="64"/>
        <v>-1.5296367112810719E-2</v>
      </c>
      <c r="AL95" s="2" vm="1066">
        <f ca="1"/>
        <v>58.46</v>
      </c>
      <c r="AM95" s="2">
        <f t="shared" ca="1" si="65"/>
        <v>5.5039559683522582E-3</v>
      </c>
      <c r="AN95" s="2" vm="3548">
        <f ca="1"/>
        <v>88.2</v>
      </c>
      <c r="AO95" s="2">
        <f t="shared" ca="1" si="66"/>
        <v>-5.5248618784529812E-3</v>
      </c>
      <c r="AP95" s="2" vm="3549">
        <f ca="1"/>
        <v>26.42</v>
      </c>
      <c r="AQ95" s="2">
        <f t="shared" ca="1" si="67"/>
        <v>1.1367942402425591E-3</v>
      </c>
      <c r="AR95" s="2" vm="1517">
        <f ca="1"/>
        <v>51.05</v>
      </c>
      <c r="AS95" s="2">
        <f t="shared" ca="1" si="68"/>
        <v>0</v>
      </c>
      <c r="AT95" s="2" vm="1747">
        <f ca="1"/>
        <v>29.08</v>
      </c>
      <c r="AU95" s="2">
        <f t="shared" ca="1" si="69"/>
        <v>0</v>
      </c>
      <c r="AV95" s="2" vm="1242">
        <f ca="1"/>
        <v>26.9</v>
      </c>
      <c r="AW95" s="2">
        <f t="shared" ca="1" si="70"/>
        <v>2.9828486204324495E-3</v>
      </c>
      <c r="AX95" s="2" vm="382">
        <f ca="1"/>
        <v>91.67</v>
      </c>
      <c r="AY95" s="2">
        <f t="shared" ca="1" si="71"/>
        <v>1.0909884355231416E-4</v>
      </c>
      <c r="AZ95" s="2" vm="3550">
        <f ca="1"/>
        <v>498.42</v>
      </c>
      <c r="BA95" s="2">
        <f t="shared" ca="1" si="72"/>
        <v>4.1107908259180363E-2</v>
      </c>
      <c r="BB95" s="2" vm="3551">
        <f ca="1"/>
        <v>261.33999999999997</v>
      </c>
      <c r="BC95" s="2">
        <f t="shared" ca="1" si="73"/>
        <v>-1.0974871329094891E-2</v>
      </c>
      <c r="BD95" s="2" vm="3552">
        <f ca="1"/>
        <v>44.46</v>
      </c>
      <c r="BE95" s="2">
        <f t="shared" ca="1" si="74"/>
        <v>-7.8107565275608434E-3</v>
      </c>
      <c r="BF95" s="2" vm="3553">
        <f ca="1"/>
        <v>111.27</v>
      </c>
      <c r="BG95" s="2">
        <f t="shared" ca="1" si="75"/>
        <v>5.2398590658595924E-3</v>
      </c>
      <c r="BH95" s="2" vm="3456">
        <f ca="1"/>
        <v>157.88999999999999</v>
      </c>
      <c r="BI95" s="2">
        <f t="shared" ca="1" si="76"/>
        <v>6.181493754779499E-3</v>
      </c>
      <c r="BJ95" s="2" vm="3554">
        <f ca="1"/>
        <v>163.74</v>
      </c>
      <c r="BK95" s="2">
        <f t="shared" ca="1" si="77"/>
        <v>8.8724584103511868E-3</v>
      </c>
      <c r="BL95" s="2" vm="3555">
        <f ca="1"/>
        <v>70.59</v>
      </c>
      <c r="BM95" s="2">
        <f t="shared" ca="1" si="78"/>
        <v>-1.0651716888577309E-2</v>
      </c>
      <c r="BN95" s="2" vm="3556">
        <f ca="1"/>
        <v>307.57</v>
      </c>
      <c r="BO95" s="2">
        <f t="shared" ca="1" si="79"/>
        <v>9.0548210360552172E-3</v>
      </c>
      <c r="BP95" s="2" vm="3557">
        <f ca="1"/>
        <v>111.2</v>
      </c>
      <c r="BQ95" s="2">
        <f t="shared" ca="1" si="80"/>
        <v>2.3375667218847842E-2</v>
      </c>
      <c r="BR95" s="2" vm="3558">
        <f ca="1"/>
        <v>988.47</v>
      </c>
      <c r="BS95" s="2">
        <f t="shared" ca="1" si="81"/>
        <v>-1.4633903204904502E-2</v>
      </c>
      <c r="BT95" s="2" vm="3559">
        <f ca="1"/>
        <v>170.54</v>
      </c>
      <c r="BU95" s="2">
        <f t="shared" ca="1" si="82"/>
        <v>1.8210656171062814E-3</v>
      </c>
      <c r="BV95" s="2" vm="3560">
        <f ca="1"/>
        <v>153.85</v>
      </c>
      <c r="BW95" s="2">
        <f t="shared" ca="1" si="83"/>
        <v>2.2801302931595721E-3</v>
      </c>
      <c r="BX95" s="2" vm="3561">
        <f ca="1"/>
        <v>271.51</v>
      </c>
      <c r="BY95" s="2">
        <f t="shared" ca="1" si="84"/>
        <v>-4.8381776197631982E-3</v>
      </c>
      <c r="BZ95" s="2" vm="3562">
        <f ca="1"/>
        <v>94.31</v>
      </c>
      <c r="CA95" s="2">
        <f t="shared" ca="1" si="85"/>
        <v>-1.376535366370134E-3</v>
      </c>
      <c r="CB95" s="2" vm="3563">
        <f ca="1"/>
        <v>30.3</v>
      </c>
      <c r="CC95" s="2">
        <f t="shared" ca="1" si="86"/>
        <v>-2.2293423604684759E-3</v>
      </c>
      <c r="CD95" s="2" t="e" vm="92">
        <f ca="1"/>
        <v>#N/A</v>
      </c>
      <c r="CE95" s="2" t="e" vm="140">
        <f t="shared" ca="1" si="87"/>
        <v>#N/A</v>
      </c>
      <c r="CF95" s="2" vm="1902">
        <f ca="1"/>
        <v>22.734999999999999</v>
      </c>
      <c r="CG95" s="2">
        <f t="shared" ca="1" si="88"/>
        <v>1.7625027539105154E-3</v>
      </c>
      <c r="CH95" s="2" vm="2926">
        <f ca="1"/>
        <v>58.39</v>
      </c>
      <c r="CI95" s="2">
        <f t="shared" ca="1" si="89"/>
        <v>3.4264176803157662E-4</v>
      </c>
      <c r="CJ95" s="2" vm="313">
        <f ca="1"/>
        <v>58.62</v>
      </c>
      <c r="CK95" s="2">
        <f t="shared" ca="1" si="90"/>
        <v>1.5376729882111105E-3</v>
      </c>
      <c r="CL95" s="2" vm="3564">
        <f ca="1"/>
        <v>56.83</v>
      </c>
      <c r="CM95" s="2">
        <f t="shared" ca="1" si="91"/>
        <v>2.6464361326746398E-3</v>
      </c>
      <c r="CN95" s="2" vm="885">
        <f ca="1"/>
        <v>29.02</v>
      </c>
      <c r="CO95" s="2">
        <f t="shared" ca="1" si="92"/>
        <v>2.4179620034542413E-3</v>
      </c>
      <c r="CP95" s="2" vm="3565">
        <f ca="1"/>
        <v>21.6495</v>
      </c>
      <c r="CQ95" s="2">
        <f t="shared" ca="1" si="93"/>
        <v>8.9689830375268601E-4</v>
      </c>
    </row>
    <row r="96" spans="1:95" x14ac:dyDescent="0.2">
      <c r="A96" s="7" vm="3566">
        <f ca="1"/>
        <v>45713</v>
      </c>
      <c r="B96" s="2" vm="3567">
        <f ca="1"/>
        <v>247.04</v>
      </c>
      <c r="C96" s="2">
        <f t="shared" ca="1" si="47"/>
        <v>-2.4281667341158347E-4</v>
      </c>
      <c r="D96" s="2" vm="3568">
        <f ca="1"/>
        <v>126.63</v>
      </c>
      <c r="E96" s="2">
        <f t="shared" ca="1" si="48"/>
        <v>-2.8016579674547171E-2</v>
      </c>
      <c r="F96" s="2" vm="3569">
        <f ca="1"/>
        <v>397.9</v>
      </c>
      <c r="G96" s="2">
        <f t="shared" ca="1" si="49"/>
        <v>-1.5099009900990156E-2</v>
      </c>
      <c r="H96" s="2" vm="3570">
        <f ca="1"/>
        <v>657.5</v>
      </c>
      <c r="I96" s="2">
        <f t="shared" ca="1" si="50"/>
        <v>-1.5910077380150562E-2</v>
      </c>
      <c r="J96" s="2" vm="1641">
        <f ca="1"/>
        <v>175.42</v>
      </c>
      <c r="K96" s="2">
        <f t="shared" ca="1" si="51"/>
        <v>-2.1366806136680683E-2</v>
      </c>
      <c r="L96" s="2" vm="3571">
        <f ca="1"/>
        <v>594.24</v>
      </c>
      <c r="M96" s="2">
        <f t="shared" ca="1" si="52"/>
        <v>-4.9731250313960369E-3</v>
      </c>
      <c r="N96" s="2" vm="3572">
        <f ca="1"/>
        <v>91.42</v>
      </c>
      <c r="O96" s="2">
        <f t="shared" ca="1" si="53"/>
        <v>1.7247134750194692E-2</v>
      </c>
      <c r="P96" s="2" vm="3573">
        <f ca="1"/>
        <v>268.62</v>
      </c>
      <c r="Q96" s="2">
        <f t="shared" ca="1" si="54"/>
        <v>-1.3188347231916444E-2</v>
      </c>
      <c r="R96" s="2" vm="3574">
        <f ca="1"/>
        <v>74.13</v>
      </c>
      <c r="S96" s="2">
        <f t="shared" ca="1" si="55"/>
        <v>-2.4220086876398622E-2</v>
      </c>
      <c r="T96" s="2" vm="3575">
        <f ca="1"/>
        <v>94.65</v>
      </c>
      <c r="U96" s="2">
        <f t="shared" ca="1" si="56"/>
        <v>7.879884996273125E-3</v>
      </c>
      <c r="V96" s="2" vm="3576">
        <f ca="1"/>
        <v>47.465000000000003</v>
      </c>
      <c r="W96" s="2">
        <f t="shared" ca="1" si="57"/>
        <v>5.4013980088964747E-3</v>
      </c>
      <c r="X96" s="2" vm="3577">
        <f ca="1"/>
        <v>145.30000000000001</v>
      </c>
      <c r="Y96" s="2">
        <f t="shared" ca="1" si="58"/>
        <v>-1.7380131196321046E-2</v>
      </c>
      <c r="Z96" s="2" vm="3578">
        <f ca="1"/>
        <v>89.64</v>
      </c>
      <c r="AA96" s="2">
        <f t="shared" ca="1" si="59"/>
        <v>-1.4403518416712504E-2</v>
      </c>
      <c r="AB96" s="2" vm="1739">
        <f ca="1"/>
        <v>13.99</v>
      </c>
      <c r="AC96" s="2">
        <f t="shared" ca="1" si="60"/>
        <v>-2.3726448011165378E-2</v>
      </c>
      <c r="AD96" s="2" vm="2446">
        <f ca="1"/>
        <v>4.0999999999999996</v>
      </c>
      <c r="AE96" s="2">
        <f t="shared" ca="1" si="61"/>
        <v>2.4999999999999911E-2</v>
      </c>
      <c r="AF96" s="2" vm="3579">
        <f ca="1"/>
        <v>28.83</v>
      </c>
      <c r="AG96" s="2">
        <f t="shared" ca="1" si="62"/>
        <v>-2.0720108695652273E-2</v>
      </c>
      <c r="AH96" s="2" vm="3580">
        <f ca="1"/>
        <v>27.06</v>
      </c>
      <c r="AI96" s="2">
        <f t="shared" ca="1" si="63"/>
        <v>1.1098779134294334E-3</v>
      </c>
      <c r="AJ96" s="2" vm="3249">
        <f ca="1"/>
        <v>5.0999999999999996</v>
      </c>
      <c r="AK96" s="2">
        <f t="shared" ca="1" si="64"/>
        <v>-9.7087378640778078E-3</v>
      </c>
      <c r="AL96" s="2" vm="3581">
        <f ca="1"/>
        <v>57.69</v>
      </c>
      <c r="AM96" s="2">
        <f t="shared" ca="1" si="65"/>
        <v>-1.3171399247348668E-2</v>
      </c>
      <c r="AN96" s="2" vm="3109">
        <f ca="1"/>
        <v>88.43</v>
      </c>
      <c r="AO96" s="2">
        <f t="shared" ca="1" si="66"/>
        <v>2.6077097505669386E-3</v>
      </c>
      <c r="AP96" s="2" vm="72">
        <f ca="1"/>
        <v>26.54</v>
      </c>
      <c r="AQ96" s="2">
        <f t="shared" ca="1" si="67"/>
        <v>4.542013626040781E-3</v>
      </c>
      <c r="AR96" s="2" vm="674">
        <f ca="1"/>
        <v>51.07</v>
      </c>
      <c r="AS96" s="2">
        <f t="shared" ca="1" si="68"/>
        <v>3.9177277179242167E-4</v>
      </c>
      <c r="AT96" s="2" vm="759">
        <f ca="1"/>
        <v>29.12</v>
      </c>
      <c r="AU96" s="2">
        <f t="shared" ca="1" si="69"/>
        <v>1.3755158184320048E-3</v>
      </c>
      <c r="AV96" s="2" vm="3582">
        <f ca="1"/>
        <v>27.29</v>
      </c>
      <c r="AW96" s="2">
        <f t="shared" ca="1" si="70"/>
        <v>1.4498141263940542E-2</v>
      </c>
      <c r="AX96" s="2" vm="382">
        <f ca="1"/>
        <v>91.67</v>
      </c>
      <c r="AY96" s="2">
        <f t="shared" ca="1" si="71"/>
        <v>0</v>
      </c>
      <c r="AZ96" s="2" vm="3583">
        <f ca="1"/>
        <v>499.82</v>
      </c>
      <c r="BA96" s="2">
        <f t="shared" ca="1" si="72"/>
        <v>2.8088760483126222E-3</v>
      </c>
      <c r="BB96" s="2" vm="3584">
        <f ca="1"/>
        <v>257.39999999999998</v>
      </c>
      <c r="BC96" s="2">
        <f t="shared" ca="1" si="73"/>
        <v>-1.507614601668324E-2</v>
      </c>
      <c r="BD96" s="2" vm="3585">
        <f ca="1"/>
        <v>43.94</v>
      </c>
      <c r="BE96" s="2">
        <f t="shared" ca="1" si="74"/>
        <v>-1.1695906432748608E-2</v>
      </c>
      <c r="BF96" s="2" vm="3586">
        <f ca="1"/>
        <v>109.73</v>
      </c>
      <c r="BG96" s="2">
        <f t="shared" ca="1" si="75"/>
        <v>-1.3840208501842295E-2</v>
      </c>
      <c r="BH96" s="2" vm="3587">
        <f ca="1"/>
        <v>156.41999999999999</v>
      </c>
      <c r="BI96" s="2">
        <f t="shared" ca="1" si="76"/>
        <v>-9.3102793083792452E-3</v>
      </c>
      <c r="BJ96" s="2" vm="3588">
        <f ca="1"/>
        <v>166.09</v>
      </c>
      <c r="BK96" s="2">
        <f t="shared" ca="1" si="77"/>
        <v>1.4352021497495995E-2</v>
      </c>
      <c r="BL96" s="2" vm="3589">
        <f ca="1"/>
        <v>71.489999999999995</v>
      </c>
      <c r="BM96" s="2">
        <f t="shared" ca="1" si="78"/>
        <v>1.274968125796843E-2</v>
      </c>
      <c r="BN96" s="2" vm="3590">
        <f ca="1"/>
        <v>310.72000000000003</v>
      </c>
      <c r="BO96" s="2">
        <f t="shared" ca="1" si="79"/>
        <v>1.0241571024482343E-2</v>
      </c>
      <c r="BP96" s="2" vm="3591">
        <f ca="1"/>
        <v>110.53</v>
      </c>
      <c r="BQ96" s="2">
        <f t="shared" ca="1" si="80"/>
        <v>-6.0251798561151227E-3</v>
      </c>
      <c r="BR96" s="2" vm="3592">
        <f ca="1"/>
        <v>977.24</v>
      </c>
      <c r="BS96" s="2">
        <f t="shared" ca="1" si="81"/>
        <v>-1.1360992240533368E-2</v>
      </c>
      <c r="BT96" s="2" vm="3593">
        <f ca="1"/>
        <v>172.65</v>
      </c>
      <c r="BU96" s="2">
        <f t="shared" ca="1" si="82"/>
        <v>1.2372463938079123E-2</v>
      </c>
      <c r="BV96" s="2" vm="3587">
        <f ca="1"/>
        <v>156.41999999999999</v>
      </c>
      <c r="BW96" s="2">
        <f t="shared" ca="1" si="83"/>
        <v>1.6704582385440321E-2</v>
      </c>
      <c r="BX96" s="2" vm="3594">
        <f ca="1"/>
        <v>267.01</v>
      </c>
      <c r="BY96" s="2">
        <f t="shared" ca="1" si="84"/>
        <v>-1.6573975175868293E-2</v>
      </c>
      <c r="BZ96" s="2" vm="3595">
        <f ca="1"/>
        <v>92.56</v>
      </c>
      <c r="CA96" s="2">
        <f t="shared" ca="1" si="85"/>
        <v>-1.8555826529530271E-2</v>
      </c>
      <c r="CB96" s="2" vm="2354">
        <f ca="1"/>
        <v>29.6</v>
      </c>
      <c r="CC96" s="2">
        <f t="shared" ca="1" si="86"/>
        <v>-2.310231023102308E-2</v>
      </c>
      <c r="CD96" s="2" t="e" vm="92">
        <f ca="1"/>
        <v>#N/A</v>
      </c>
      <c r="CE96" s="2" t="e" vm="140">
        <f t="shared" ca="1" si="87"/>
        <v>#N/A</v>
      </c>
      <c r="CF96" s="2" vm="3596">
        <f ca="1"/>
        <v>22.864999999999998</v>
      </c>
      <c r="CG96" s="2">
        <f t="shared" ca="1" si="88"/>
        <v>5.718055861007214E-3</v>
      </c>
      <c r="CH96" s="2" vm="777">
        <f ca="1"/>
        <v>58.48</v>
      </c>
      <c r="CI96" s="2">
        <f t="shared" ca="1" si="89"/>
        <v>1.5413598218872462E-3</v>
      </c>
      <c r="CJ96" s="2" vm="692">
        <f ca="1"/>
        <v>58.93</v>
      </c>
      <c r="CK96" s="2">
        <f t="shared" ca="1" si="90"/>
        <v>5.2882975093825023E-3</v>
      </c>
      <c r="CL96" s="2" vm="3597">
        <f ca="1"/>
        <v>57.7</v>
      </c>
      <c r="CM96" s="2">
        <f t="shared" ca="1" si="91"/>
        <v>1.5308815766320686E-2</v>
      </c>
      <c r="CN96" s="2" vm="253">
        <f ca="1"/>
        <v>29.19</v>
      </c>
      <c r="CO96" s="2">
        <f t="shared" ca="1" si="92"/>
        <v>5.8580289455548483E-3</v>
      </c>
      <c r="CP96" s="2" vm="3598">
        <f ca="1"/>
        <v>21.895099999999999</v>
      </c>
      <c r="CQ96" s="2">
        <f t="shared" ca="1" si="93"/>
        <v>1.134437284925747E-2</v>
      </c>
    </row>
    <row r="97" spans="1:95" x14ac:dyDescent="0.2">
      <c r="A97" s="7" vm="3599">
        <f ca="1"/>
        <v>45714</v>
      </c>
      <c r="B97" s="2" vm="3600">
        <f ca="1"/>
        <v>240.36</v>
      </c>
      <c r="C97" s="2">
        <f t="shared" ca="1" si="47"/>
        <v>-2.704015544041442E-2</v>
      </c>
      <c r="D97" s="2" vm="3601">
        <f ca="1"/>
        <v>131.28</v>
      </c>
      <c r="E97" s="2">
        <f t="shared" ca="1" si="48"/>
        <v>3.6721156124141244E-2</v>
      </c>
      <c r="F97" s="2" vm="3602">
        <f ca="1"/>
        <v>399.73</v>
      </c>
      <c r="G97" s="2">
        <f t="shared" ca="1" si="49"/>
        <v>4.5991455139483316E-3</v>
      </c>
      <c r="H97" s="2" vm="3603">
        <f ca="1"/>
        <v>673.7</v>
      </c>
      <c r="I97" s="2">
        <f t="shared" ca="1" si="50"/>
        <v>2.4638783269962047E-2</v>
      </c>
      <c r="J97" s="2" vm="3604">
        <f ca="1"/>
        <v>172.73</v>
      </c>
      <c r="K97" s="2">
        <f t="shared" ca="1" si="51"/>
        <v>-1.533462547029984E-2</v>
      </c>
      <c r="L97" s="2" vm="3605">
        <f ca="1"/>
        <v>594.54</v>
      </c>
      <c r="M97" s="2">
        <f t="shared" ca="1" si="52"/>
        <v>5.0484652665582007E-4</v>
      </c>
      <c r="N97" s="2" vm="3606">
        <f ca="1"/>
        <v>91.96</v>
      </c>
      <c r="O97" s="2">
        <f t="shared" ca="1" si="53"/>
        <v>5.9068037628526799E-3</v>
      </c>
      <c r="P97" s="2" vm="3607">
        <f ca="1"/>
        <v>269.02999999999997</v>
      </c>
      <c r="Q97" s="2">
        <f t="shared" ca="1" si="54"/>
        <v>1.5263197081377715E-3</v>
      </c>
      <c r="R97" s="2" vm="2256">
        <f ca="1"/>
        <v>73.849999999999994</v>
      </c>
      <c r="S97" s="2">
        <f t="shared" ca="1" si="55"/>
        <v>-3.7771482530689483E-3</v>
      </c>
      <c r="T97" s="2" vm="239">
        <f ca="1"/>
        <v>94.91</v>
      </c>
      <c r="U97" s="2">
        <f t="shared" ca="1" si="56"/>
        <v>2.7469624933966286E-3</v>
      </c>
      <c r="V97" s="2" vm="626">
        <f ca="1"/>
        <v>47.35</v>
      </c>
      <c r="W97" s="2">
        <f t="shared" ca="1" si="57"/>
        <v>-2.4228378805436E-3</v>
      </c>
      <c r="X97" s="2" vm="3608">
        <f ca="1"/>
        <v>147.65</v>
      </c>
      <c r="Y97" s="2">
        <f t="shared" ca="1" si="58"/>
        <v>1.6173434273915994E-2</v>
      </c>
      <c r="Z97" s="2" vm="3609">
        <f ca="1"/>
        <v>89.13</v>
      </c>
      <c r="AA97" s="2">
        <f t="shared" ca="1" si="59"/>
        <v>-5.6894243641232162E-3</v>
      </c>
      <c r="AB97" s="2" vm="3610">
        <f ca="1"/>
        <v>13.93</v>
      </c>
      <c r="AC97" s="2">
        <f t="shared" ca="1" si="60"/>
        <v>-4.2887776983560038E-3</v>
      </c>
      <c r="AD97" s="2" vm="2446">
        <f ca="1"/>
        <v>4.0999999999999996</v>
      </c>
      <c r="AE97" s="2">
        <f t="shared" ca="1" si="61"/>
        <v>0</v>
      </c>
      <c r="AF97" s="2" vm="2557">
        <f ca="1"/>
        <v>28.94</v>
      </c>
      <c r="AG97" s="2">
        <f t="shared" ca="1" si="62"/>
        <v>3.8154699965314946E-3</v>
      </c>
      <c r="AH97" s="2" vm="3611">
        <f ca="1"/>
        <v>27.12</v>
      </c>
      <c r="AI97" s="2">
        <f t="shared" ca="1" si="63"/>
        <v>2.2172949002218136E-3</v>
      </c>
      <c r="AJ97" s="2" vm="3612">
        <f ca="1"/>
        <v>5.03</v>
      </c>
      <c r="AK97" s="2">
        <f t="shared" ca="1" si="64"/>
        <v>-1.3725490196078313E-2</v>
      </c>
      <c r="AL97" s="2" vm="2285">
        <f ca="1"/>
        <v>57.78</v>
      </c>
      <c r="AM97" s="2">
        <f t="shared" ca="1" si="65"/>
        <v>1.5600624024961591E-3</v>
      </c>
      <c r="AN97" s="2" vm="3613">
        <f ca="1"/>
        <v>88.45</v>
      </c>
      <c r="AO97" s="2">
        <f t="shared" ca="1" si="66"/>
        <v>2.2616759018428156E-4</v>
      </c>
      <c r="AP97" s="2" vm="1586">
        <f ca="1"/>
        <v>26.56</v>
      </c>
      <c r="AQ97" s="2">
        <f t="shared" ca="1" si="67"/>
        <v>7.5357950263751222E-4</v>
      </c>
      <c r="AR97" s="2" vm="595">
        <f ca="1"/>
        <v>51.06</v>
      </c>
      <c r="AS97" s="2">
        <f t="shared" ca="1" si="68"/>
        <v>-1.9580967299780714E-4</v>
      </c>
      <c r="AT97" s="2" vm="596">
        <f ca="1"/>
        <v>29.15</v>
      </c>
      <c r="AU97" s="2">
        <f t="shared" ca="1" si="69"/>
        <v>1.0302197802196972E-3</v>
      </c>
      <c r="AV97" s="2" vm="1856">
        <f ca="1"/>
        <v>27.44</v>
      </c>
      <c r="AW97" s="2">
        <f t="shared" ca="1" si="70"/>
        <v>5.496518871381537E-3</v>
      </c>
      <c r="AX97" s="2" vm="424">
        <f ca="1"/>
        <v>91.69</v>
      </c>
      <c r="AY97" s="2">
        <f t="shared" ca="1" si="71"/>
        <v>2.1817388458597164E-4</v>
      </c>
      <c r="AZ97" s="2" vm="3614">
        <f ca="1"/>
        <v>494.1</v>
      </c>
      <c r="BA97" s="2">
        <f t="shared" ca="1" si="72"/>
        <v>-1.1444119883157878E-2</v>
      </c>
      <c r="BB97" s="2" vm="3615">
        <f ca="1"/>
        <v>258.79000000000002</v>
      </c>
      <c r="BC97" s="2">
        <f t="shared" ca="1" si="73"/>
        <v>5.4001554001555686E-3</v>
      </c>
      <c r="BD97" s="2" vm="3585">
        <f ca="1"/>
        <v>43.94</v>
      </c>
      <c r="BE97" s="2">
        <f t="shared" ca="1" si="74"/>
        <v>0</v>
      </c>
      <c r="BF97" s="2" vm="3616">
        <f ca="1"/>
        <v>109.46</v>
      </c>
      <c r="BG97" s="2">
        <f t="shared" ca="1" si="75"/>
        <v>-2.4605850724506535E-3</v>
      </c>
      <c r="BH97" s="2" vm="3617">
        <f ca="1"/>
        <v>155.13999999999999</v>
      </c>
      <c r="BI97" s="2">
        <f t="shared" ca="1" si="76"/>
        <v>-8.1830967906917351E-3</v>
      </c>
      <c r="BJ97" s="2" vm="3618">
        <f ca="1"/>
        <v>163.08000000000001</v>
      </c>
      <c r="BK97" s="2">
        <f t="shared" ca="1" si="77"/>
        <v>-1.812270455776983E-2</v>
      </c>
      <c r="BL97" s="2" vm="3619">
        <f ca="1"/>
        <v>70.8</v>
      </c>
      <c r="BM97" s="2">
        <f t="shared" ca="1" si="78"/>
        <v>-9.6516995383969482E-3</v>
      </c>
      <c r="BN97" s="2" vm="3620">
        <f ca="1"/>
        <v>304.27</v>
      </c>
      <c r="BO97" s="2">
        <f t="shared" ca="1" si="79"/>
        <v>-2.0758238928939382E-2</v>
      </c>
      <c r="BP97" s="2" vm="3621">
        <f ca="1"/>
        <v>111.83</v>
      </c>
      <c r="BQ97" s="2">
        <f t="shared" ca="1" si="80"/>
        <v>1.176151271148102E-2</v>
      </c>
      <c r="BR97" s="2" vm="3622">
        <f ca="1"/>
        <v>990.06</v>
      </c>
      <c r="BS97" s="2">
        <f t="shared" ca="1" si="81"/>
        <v>1.3118578854733675E-2</v>
      </c>
      <c r="BT97" s="2" vm="3623">
        <f ca="1"/>
        <v>171.3</v>
      </c>
      <c r="BU97" s="2">
        <f t="shared" ca="1" si="82"/>
        <v>-7.819287576020819E-3</v>
      </c>
      <c r="BV97" s="2" vm="3624">
        <f ca="1"/>
        <v>151.51</v>
      </c>
      <c r="BW97" s="2">
        <f t="shared" ca="1" si="83"/>
        <v>-3.1389847845544029E-2</v>
      </c>
      <c r="BX97" s="2" vm="3625">
        <f ca="1"/>
        <v>263.83999999999997</v>
      </c>
      <c r="BY97" s="2">
        <f t="shared" ca="1" si="84"/>
        <v>-1.1872214523800667E-2</v>
      </c>
      <c r="BZ97" s="2" vm="3626">
        <f ca="1"/>
        <v>91.86</v>
      </c>
      <c r="CA97" s="2">
        <f t="shared" ca="1" si="85"/>
        <v>-7.5626620570441103E-3</v>
      </c>
      <c r="CB97" s="2" vm="2013">
        <f ca="1"/>
        <v>29.275300000000001</v>
      </c>
      <c r="CC97" s="2">
        <f t="shared" ca="1" si="86"/>
        <v>-1.0969594594594593E-2</v>
      </c>
      <c r="CD97" s="2" t="e" vm="92">
        <f ca="1"/>
        <v>#N/A</v>
      </c>
      <c r="CE97" s="2" t="e" vm="140">
        <f t="shared" ca="1" si="87"/>
        <v>#N/A</v>
      </c>
      <c r="CF97" s="2" vm="1802">
        <f ca="1"/>
        <v>22.92</v>
      </c>
      <c r="CG97" s="2">
        <f t="shared" ca="1" si="88"/>
        <v>2.4054231357972127E-3</v>
      </c>
      <c r="CH97" s="2" vm="1834">
        <f ca="1"/>
        <v>58.52</v>
      </c>
      <c r="CI97" s="2">
        <f t="shared" ca="1" si="89"/>
        <v>6.8399452804388265E-4</v>
      </c>
      <c r="CJ97" s="2" vm="1765">
        <f ca="1"/>
        <v>59.04</v>
      </c>
      <c r="CK97" s="2">
        <f t="shared" ca="1" si="90"/>
        <v>1.8666214152384089E-3</v>
      </c>
      <c r="CL97" s="2" vm="2206">
        <f ca="1"/>
        <v>58.02</v>
      </c>
      <c r="CM97" s="2">
        <f t="shared" ca="1" si="91"/>
        <v>5.5459272097053772E-3</v>
      </c>
      <c r="CN97" s="2" vm="3627">
        <f ca="1"/>
        <v>29.25</v>
      </c>
      <c r="CO97" s="2">
        <f t="shared" ca="1" si="92"/>
        <v>2.0554984583761125E-3</v>
      </c>
      <c r="CP97" s="2" vm="3628">
        <f ca="1"/>
        <v>21.784199999999998</v>
      </c>
      <c r="CQ97" s="2">
        <f t="shared" ca="1" si="93"/>
        <v>-5.06506021895314E-3</v>
      </c>
    </row>
    <row r="98" spans="1:95" x14ac:dyDescent="0.2">
      <c r="A98" s="7" vm="3629">
        <f ca="1"/>
        <v>45715</v>
      </c>
      <c r="B98" s="2" vm="3630">
        <f ca="1"/>
        <v>237.3</v>
      </c>
      <c r="C98" s="2">
        <f t="shared" ca="1" si="47"/>
        <v>-1.273090364453321E-2</v>
      </c>
      <c r="D98" s="2" vm="3631">
        <f ca="1"/>
        <v>120.15</v>
      </c>
      <c r="E98" s="2">
        <f t="shared" ca="1" si="48"/>
        <v>-8.4780621572212028E-2</v>
      </c>
      <c r="F98" s="2" vm="3632">
        <f ca="1"/>
        <v>392.53</v>
      </c>
      <c r="G98" s="2">
        <f t="shared" ca="1" si="49"/>
        <v>-1.8012158206789697E-2</v>
      </c>
      <c r="H98" s="2" vm="3633">
        <f ca="1"/>
        <v>658.24</v>
      </c>
      <c r="I98" s="2">
        <f t="shared" ca="1" si="50"/>
        <v>-2.2947899658601802E-2</v>
      </c>
      <c r="J98" s="2" vm="3634">
        <f ca="1"/>
        <v>168.5</v>
      </c>
      <c r="K98" s="2">
        <f t="shared" ca="1" si="51"/>
        <v>-2.4489087014415503E-2</v>
      </c>
      <c r="L98" s="2" vm="3635">
        <f ca="1"/>
        <v>585.04999999999995</v>
      </c>
      <c r="M98" s="2">
        <f t="shared" ca="1" si="52"/>
        <v>-1.5961920139940137E-2</v>
      </c>
      <c r="N98" s="2" vm="2872">
        <f ca="1"/>
        <v>91.31</v>
      </c>
      <c r="O98" s="2">
        <f t="shared" ca="1" si="53"/>
        <v>-7.0682905611134357E-3</v>
      </c>
      <c r="P98" s="2" vm="3636">
        <f ca="1"/>
        <v>264.93</v>
      </c>
      <c r="Q98" s="2">
        <f t="shared" ca="1" si="54"/>
        <v>-1.5239936066609547E-2</v>
      </c>
      <c r="R98" s="2" vm="3637">
        <f ca="1"/>
        <v>75.28</v>
      </c>
      <c r="S98" s="2">
        <f t="shared" ca="1" si="55"/>
        <v>1.9363574813811874E-2</v>
      </c>
      <c r="T98" s="2" vm="3638">
        <f ca="1"/>
        <v>94.8</v>
      </c>
      <c r="U98" s="2">
        <f t="shared" ca="1" si="56"/>
        <v>-1.158992729954688E-3</v>
      </c>
      <c r="V98" s="2" vm="3639">
        <f ca="1"/>
        <v>47.22</v>
      </c>
      <c r="W98" s="2">
        <f t="shared" ca="1" si="57"/>
        <v>-2.7455121436114585E-3</v>
      </c>
      <c r="X98" s="2" vm="3640">
        <f ca="1"/>
        <v>147.44</v>
      </c>
      <c r="Y98" s="2">
        <f t="shared" ca="1" si="58"/>
        <v>-1.4222824246529493E-3</v>
      </c>
      <c r="Z98" s="2" vm="3381">
        <f ca="1"/>
        <v>89.61</v>
      </c>
      <c r="AA98" s="2">
        <f t="shared" ca="1" si="59"/>
        <v>5.3853921238640641E-3</v>
      </c>
      <c r="AB98" s="2" vm="3641">
        <f ca="1"/>
        <v>14.21</v>
      </c>
      <c r="AC98" s="2">
        <f t="shared" ca="1" si="60"/>
        <v>2.0100502512562898E-2</v>
      </c>
      <c r="AD98" s="2" vm="2302">
        <f ca="1"/>
        <v>4</v>
      </c>
      <c r="AE98" s="2">
        <f t="shared" ca="1" si="61"/>
        <v>-2.4390243902438939E-2</v>
      </c>
      <c r="AF98" s="2" vm="3642">
        <f ca="1"/>
        <v>28.4</v>
      </c>
      <c r="AG98" s="2">
        <f t="shared" ca="1" si="62"/>
        <v>-1.8659295093296568E-2</v>
      </c>
      <c r="AH98" s="2" vm="3643">
        <f ca="1"/>
        <v>26.81</v>
      </c>
      <c r="AI98" s="2">
        <f t="shared" ca="1" si="63"/>
        <v>-1.1430678466076779E-2</v>
      </c>
      <c r="AJ98" s="2" vm="1819">
        <f ca="1"/>
        <v>4.9000000000000004</v>
      </c>
      <c r="AK98" s="2">
        <f t="shared" ca="1" si="64"/>
        <v>-2.5844930417495006E-2</v>
      </c>
      <c r="AL98" s="2" vm="3644">
        <f ca="1"/>
        <v>56.91</v>
      </c>
      <c r="AM98" s="2">
        <f t="shared" ca="1" si="65"/>
        <v>-1.5057113187954389E-2</v>
      </c>
      <c r="AN98" s="2" vm="1088">
        <f ca="1"/>
        <v>86.78</v>
      </c>
      <c r="AO98" s="2">
        <f t="shared" ca="1" si="66"/>
        <v>-1.8880723572639927E-2</v>
      </c>
      <c r="AP98" s="2" vm="72">
        <f ca="1"/>
        <v>26.54</v>
      </c>
      <c r="AQ98" s="2">
        <f t="shared" ca="1" si="67"/>
        <v>-7.5301204819275508E-4</v>
      </c>
      <c r="AR98" s="2" vm="595">
        <f ca="1"/>
        <v>51.06</v>
      </c>
      <c r="AS98" s="2">
        <f t="shared" ca="1" si="68"/>
        <v>0</v>
      </c>
      <c r="AT98" s="2" vm="3645">
        <f ca="1"/>
        <v>29.16</v>
      </c>
      <c r="AU98" s="2">
        <f t="shared" ca="1" si="69"/>
        <v>3.4305317324190613E-4</v>
      </c>
      <c r="AV98" s="2" vm="3582">
        <f ca="1"/>
        <v>27.29</v>
      </c>
      <c r="AW98" s="2">
        <f t="shared" ca="1" si="70"/>
        <v>-5.4664723032070749E-3</v>
      </c>
      <c r="AX98" s="2" vm="468">
        <f ca="1"/>
        <v>91.7</v>
      </c>
      <c r="AY98" s="2">
        <f t="shared" ca="1" si="71"/>
        <v>1.0906314756249445E-4</v>
      </c>
      <c r="AZ98" s="2" vm="3646">
        <f ca="1"/>
        <v>502.41</v>
      </c>
      <c r="BA98" s="2">
        <f t="shared" ca="1" si="72"/>
        <v>1.6818457802064365E-2</v>
      </c>
      <c r="BB98" s="2" vm="3647">
        <f ca="1"/>
        <v>259.05</v>
      </c>
      <c r="BC98" s="2">
        <f t="shared" ca="1" si="73"/>
        <v>1.004675605703431E-3</v>
      </c>
      <c r="BD98" s="2" vm="3648">
        <f ca="1"/>
        <v>44.12</v>
      </c>
      <c r="BE98" s="2">
        <f t="shared" ca="1" si="74"/>
        <v>4.0964952207555696E-3</v>
      </c>
      <c r="BF98" s="2" vm="2846">
        <f ca="1"/>
        <v>110.15</v>
      </c>
      <c r="BG98" s="2">
        <f t="shared" ca="1" si="75"/>
        <v>6.3036725744565316E-3</v>
      </c>
      <c r="BH98" s="2" vm="3649">
        <f ca="1"/>
        <v>156.66999999999999</v>
      </c>
      <c r="BI98" s="2">
        <f t="shared" ca="1" si="76"/>
        <v>9.8620600747711829E-3</v>
      </c>
      <c r="BJ98" s="2" vm="3650">
        <f ca="1"/>
        <v>163.72999999999999</v>
      </c>
      <c r="BK98" s="2">
        <f t="shared" ca="1" si="77"/>
        <v>3.9857738533233822E-3</v>
      </c>
      <c r="BL98" s="2" vm="3651">
        <f ca="1"/>
        <v>70.87</v>
      </c>
      <c r="BM98" s="2">
        <f t="shared" ca="1" si="78"/>
        <v>9.8870056497185588E-4</v>
      </c>
      <c r="BN98" s="2" vm="3652">
        <f ca="1"/>
        <v>309.95</v>
      </c>
      <c r="BO98" s="2">
        <f t="shared" ca="1" si="79"/>
        <v>1.8667630722713404E-2</v>
      </c>
      <c r="BP98" s="2" vm="3653">
        <f ca="1"/>
        <v>111.31</v>
      </c>
      <c r="BQ98" s="2">
        <f t="shared" ca="1" si="80"/>
        <v>-4.6499150496288654E-3</v>
      </c>
      <c r="BR98" s="2" vm="3654">
        <f ca="1"/>
        <v>963.07</v>
      </c>
      <c r="BS98" s="2">
        <f t="shared" ca="1" si="81"/>
        <v>-2.7260974082378743E-2</v>
      </c>
      <c r="BT98" s="2" vm="3655">
        <f ca="1"/>
        <v>171.97</v>
      </c>
      <c r="BU98" s="2">
        <f t="shared" ca="1" si="82"/>
        <v>3.9112667834208257E-3</v>
      </c>
      <c r="BV98" s="2" vm="3656">
        <f ca="1"/>
        <v>152.02000000000001</v>
      </c>
      <c r="BW98" s="2">
        <f t="shared" ca="1" si="83"/>
        <v>3.3661144478913559E-3</v>
      </c>
      <c r="BX98" s="2" vm="3657">
        <f ca="1"/>
        <v>264.19</v>
      </c>
      <c r="BY98" s="2">
        <f t="shared" ca="1" si="84"/>
        <v>1.3265615524561203E-3</v>
      </c>
      <c r="BZ98" s="2" vm="717">
        <f ca="1"/>
        <v>91.78</v>
      </c>
      <c r="CA98" s="2">
        <f t="shared" ca="1" si="85"/>
        <v>-8.7089048552142713E-4</v>
      </c>
      <c r="CB98" s="2" vm="732">
        <f ca="1"/>
        <v>29.04</v>
      </c>
      <c r="CC98" s="2">
        <f t="shared" ca="1" si="86"/>
        <v>-8.0374923570382638E-3</v>
      </c>
      <c r="CD98" s="2" t="e" vm="92">
        <f ca="1"/>
        <v>#N/A</v>
      </c>
      <c r="CE98" s="2" t="e" vm="140">
        <f t="shared" ca="1" si="87"/>
        <v>#N/A</v>
      </c>
      <c r="CF98" s="2" vm="569">
        <f ca="1"/>
        <v>22.895</v>
      </c>
      <c r="CG98" s="2">
        <f t="shared" ca="1" si="88"/>
        <v>-1.0907504363002675E-3</v>
      </c>
      <c r="CH98" s="2" vm="484">
        <f ca="1"/>
        <v>58.53</v>
      </c>
      <c r="CI98" s="2">
        <f t="shared" ca="1" si="89"/>
        <v>1.7088174982908425E-4</v>
      </c>
      <c r="CJ98" s="2" vm="1569">
        <f ca="1"/>
        <v>59.03</v>
      </c>
      <c r="CK98" s="2">
        <f t="shared" ca="1" si="90"/>
        <v>-1.6937669376690398E-4</v>
      </c>
      <c r="CL98" s="2" vm="3658">
        <f ca="1"/>
        <v>57.68</v>
      </c>
      <c r="CM98" s="2">
        <f t="shared" ca="1" si="91"/>
        <v>-5.8600482592210167E-3</v>
      </c>
      <c r="CN98" s="2" vm="3645">
        <f ca="1"/>
        <v>29.16</v>
      </c>
      <c r="CO98" s="2">
        <f t="shared" ca="1" si="92"/>
        <v>-3.0769230769230721E-3</v>
      </c>
      <c r="CP98" s="2" vm="3659">
        <f ca="1"/>
        <v>21.939599999999999</v>
      </c>
      <c r="CQ98" s="2">
        <f t="shared" ca="1" si="93"/>
        <v>7.1336105985071851E-3</v>
      </c>
    </row>
    <row r="99" spans="1:95" x14ac:dyDescent="0.2">
      <c r="A99" s="7" vm="3660">
        <f ca="1"/>
        <v>45716</v>
      </c>
      <c r="B99" s="2" vm="3661">
        <f ca="1"/>
        <v>241.84</v>
      </c>
      <c r="C99" s="2">
        <f t="shared" ca="1" si="47"/>
        <v>1.9131900547829716E-2</v>
      </c>
      <c r="D99" s="2" vm="3662">
        <f ca="1"/>
        <v>124.92</v>
      </c>
      <c r="E99" s="2">
        <f t="shared" ca="1" si="48"/>
        <v>3.970037453183517E-2</v>
      </c>
      <c r="F99" s="2" vm="3663">
        <f ca="1"/>
        <v>396.99</v>
      </c>
      <c r="G99" s="2">
        <f t="shared" ca="1" si="49"/>
        <v>1.1362188877283359E-2</v>
      </c>
      <c r="H99" s="2" vm="3664">
        <f ca="1"/>
        <v>668.2</v>
      </c>
      <c r="I99" s="2">
        <f t="shared" ca="1" si="50"/>
        <v>1.513125911521639E-2</v>
      </c>
      <c r="J99" s="2" vm="2259">
        <f ca="1"/>
        <v>170.28</v>
      </c>
      <c r="K99" s="2">
        <f t="shared" ca="1" si="51"/>
        <v>1.0563798219584577E-2</v>
      </c>
      <c r="L99" s="2" vm="3665">
        <f ca="1"/>
        <v>594.17999999999995</v>
      </c>
      <c r="M99" s="2">
        <f t="shared" ca="1" si="52"/>
        <v>1.5605503803093746E-2</v>
      </c>
      <c r="N99" s="2" vm="3666">
        <f ca="1"/>
        <v>92.43</v>
      </c>
      <c r="O99" s="2">
        <f t="shared" ca="1" si="53"/>
        <v>1.2265907348592755E-2</v>
      </c>
      <c r="P99" s="2" vm="3667">
        <f ca="1"/>
        <v>263.27</v>
      </c>
      <c r="Q99" s="2">
        <f t="shared" ca="1" si="54"/>
        <v>-6.2658060619787299E-3</v>
      </c>
      <c r="R99" s="2" vm="3668">
        <f ca="1"/>
        <v>75.22</v>
      </c>
      <c r="S99" s="2">
        <f t="shared" ca="1" si="55"/>
        <v>-7.9702444208292074E-4</v>
      </c>
      <c r="T99" s="2" vm="3669">
        <f ca="1"/>
        <v>95.32</v>
      </c>
      <c r="U99" s="2">
        <f t="shared" ca="1" si="56"/>
        <v>5.4852320675105063E-3</v>
      </c>
      <c r="V99" s="2" vm="3670">
        <f ca="1"/>
        <v>47.356099999999998</v>
      </c>
      <c r="W99" s="2">
        <f t="shared" ca="1" si="57"/>
        <v>2.8822532825073912E-3</v>
      </c>
      <c r="X99" s="2" vm="878">
        <f ca="1"/>
        <v>149.27000000000001</v>
      </c>
      <c r="Y99" s="2">
        <f t="shared" ca="1" si="58"/>
        <v>1.2411828540423308E-2</v>
      </c>
      <c r="Z99" s="2" vm="3671">
        <f ca="1"/>
        <v>91</v>
      </c>
      <c r="AA99" s="2">
        <f t="shared" ca="1" si="59"/>
        <v>1.5511661644905708E-2</v>
      </c>
      <c r="AB99" s="2" vm="375">
        <f ca="1"/>
        <v>14.19</v>
      </c>
      <c r="AC99" s="2">
        <f t="shared" ca="1" si="60"/>
        <v>-1.4074595355384482E-3</v>
      </c>
      <c r="AD99" s="2" vm="3672">
        <f ca="1"/>
        <v>3.9</v>
      </c>
      <c r="AE99" s="2">
        <f t="shared" ca="1" si="61"/>
        <v>-2.5000000000000022E-2</v>
      </c>
      <c r="AF99" s="2" vm="3673">
        <f ca="1"/>
        <v>28.31</v>
      </c>
      <c r="AG99" s="2">
        <f t="shared" ca="1" si="62"/>
        <v>-3.1690140845070376E-3</v>
      </c>
      <c r="AH99" s="2" vm="2410">
        <f ca="1"/>
        <v>26.49</v>
      </c>
      <c r="AI99" s="2">
        <f t="shared" ca="1" si="63"/>
        <v>-1.1935844834017169E-2</v>
      </c>
      <c r="AJ99" s="2" vm="2630">
        <f ca="1"/>
        <v>4.83</v>
      </c>
      <c r="AK99" s="2">
        <f t="shared" ca="1" si="64"/>
        <v>-1.4285714285714343E-2</v>
      </c>
      <c r="AL99" s="2" vm="3674">
        <f ca="1"/>
        <v>56.54</v>
      </c>
      <c r="AM99" s="2">
        <f t="shared" ca="1" si="65"/>
        <v>-6.5014935863643908E-3</v>
      </c>
      <c r="AN99" s="2" vm="3675">
        <f ca="1"/>
        <v>86.39</v>
      </c>
      <c r="AO99" s="2">
        <f t="shared" ca="1" si="66"/>
        <v>-4.4941230698317645E-3</v>
      </c>
      <c r="AP99" s="2" vm="3676">
        <f ca="1"/>
        <v>26.71</v>
      </c>
      <c r="AQ99" s="2">
        <f t="shared" ca="1" si="67"/>
        <v>6.4054257724190542E-3</v>
      </c>
      <c r="AR99" s="2" vm="3018">
        <f ca="1"/>
        <v>51.09</v>
      </c>
      <c r="AS99" s="2">
        <f t="shared" ca="1" si="68"/>
        <v>5.8754406580495758E-4</v>
      </c>
      <c r="AT99" s="2" vm="168">
        <f ca="1"/>
        <v>29.2</v>
      </c>
      <c r="AU99" s="2">
        <f t="shared" ca="1" si="69"/>
        <v>1.3717421124828241E-3</v>
      </c>
      <c r="AV99" s="2" vm="3677">
        <f ca="1"/>
        <v>27.59</v>
      </c>
      <c r="AW99" s="2">
        <f t="shared" ca="1" si="70"/>
        <v>1.0993037742762944E-2</v>
      </c>
      <c r="AX99" s="2" vm="1406">
        <f ca="1"/>
        <v>91.72</v>
      </c>
      <c r="AY99" s="2">
        <f t="shared" ca="1" si="71"/>
        <v>2.1810250817880066E-4</v>
      </c>
      <c r="AZ99" s="2" vm="3678">
        <f ca="1"/>
        <v>513.83000000000004</v>
      </c>
      <c r="BA99" s="2">
        <f t="shared" ca="1" si="72"/>
        <v>2.2730439282657621E-2</v>
      </c>
      <c r="BB99" s="2" vm="3679">
        <f ca="1"/>
        <v>264.64999999999998</v>
      </c>
      <c r="BC99" s="2">
        <f t="shared" ca="1" si="73"/>
        <v>2.1617448369040594E-2</v>
      </c>
      <c r="BD99" s="2" vm="3680">
        <f ca="1"/>
        <v>46.1</v>
      </c>
      <c r="BE99" s="2">
        <f t="shared" ca="1" si="74"/>
        <v>4.487760652765195E-2</v>
      </c>
      <c r="BF99" s="2" vm="3681">
        <f ca="1"/>
        <v>111.33</v>
      </c>
      <c r="BG99" s="2">
        <f t="shared" ca="1" si="75"/>
        <v>1.07126645483431E-2</v>
      </c>
      <c r="BH99" s="2" vm="1215">
        <f ca="1"/>
        <v>158.62</v>
      </c>
      <c r="BI99" s="2">
        <f t="shared" ca="1" si="76"/>
        <v>1.2446543690559884E-2</v>
      </c>
      <c r="BJ99" s="2" vm="1358">
        <f ca="1"/>
        <v>165.02</v>
      </c>
      <c r="BK99" s="2">
        <f t="shared" ca="1" si="77"/>
        <v>7.8788248946437458E-3</v>
      </c>
      <c r="BL99" s="2" vm="3682">
        <f ca="1"/>
        <v>71.209999999999994</v>
      </c>
      <c r="BM99" s="2">
        <f t="shared" ca="1" si="78"/>
        <v>4.7975165796527329E-3</v>
      </c>
      <c r="BN99" s="2" vm="3683">
        <f ca="1"/>
        <v>308.33</v>
      </c>
      <c r="BO99" s="2">
        <f t="shared" ca="1" si="79"/>
        <v>-5.2266494595902711E-3</v>
      </c>
      <c r="BP99" s="2" vm="3684">
        <f ca="1"/>
        <v>113.8</v>
      </c>
      <c r="BQ99" s="2">
        <f t="shared" ca="1" si="80"/>
        <v>2.2369957775581661E-2</v>
      </c>
      <c r="BR99" s="2" vm="3685">
        <f ca="1"/>
        <v>980.56</v>
      </c>
      <c r="BS99" s="2">
        <f t="shared" ca="1" si="81"/>
        <v>1.8160673678964036E-2</v>
      </c>
      <c r="BT99" s="2" vm="3686">
        <f ca="1"/>
        <v>173.84</v>
      </c>
      <c r="BU99" s="2">
        <f t="shared" ca="1" si="82"/>
        <v>1.0873989649357473E-2</v>
      </c>
      <c r="BV99" s="2" vm="3687">
        <f ca="1"/>
        <v>153.47</v>
      </c>
      <c r="BW99" s="2">
        <f t="shared" ca="1" si="83"/>
        <v>9.5382186554399985E-3</v>
      </c>
      <c r="BX99" s="2" vm="3688">
        <f ca="1"/>
        <v>266.38</v>
      </c>
      <c r="BY99" s="2">
        <f t="shared" ca="1" si="84"/>
        <v>8.2894886256103476E-3</v>
      </c>
      <c r="BZ99" s="2" vm="3689">
        <f ca="1"/>
        <v>92.91</v>
      </c>
      <c r="CA99" s="2">
        <f t="shared" ca="1" si="85"/>
        <v>1.2312050555676569E-2</v>
      </c>
      <c r="CB99" s="2" vm="2322">
        <f ca="1"/>
        <v>29.18</v>
      </c>
      <c r="CC99" s="2">
        <f t="shared" ca="1" si="86"/>
        <v>4.8209366391184774E-3</v>
      </c>
      <c r="CD99" s="2" t="e" vm="92">
        <f ca="1"/>
        <v>#N/A</v>
      </c>
      <c r="CE99" s="2" t="e" vm="140">
        <f t="shared" ca="1" si="87"/>
        <v>#N/A</v>
      </c>
      <c r="CF99" s="2" vm="228">
        <f ca="1"/>
        <v>23</v>
      </c>
      <c r="CG99" s="2">
        <f t="shared" ca="1" si="88"/>
        <v>4.5861541821358561E-3</v>
      </c>
      <c r="CH99" s="2" vm="399">
        <f ca="1"/>
        <v>58.63</v>
      </c>
      <c r="CI99" s="2">
        <f t="shared" ca="1" si="89"/>
        <v>1.7085255424568839E-3</v>
      </c>
      <c r="CJ99" s="2" vm="3690">
        <f ca="1"/>
        <v>59.25</v>
      </c>
      <c r="CK99" s="2">
        <f t="shared" ca="1" si="90"/>
        <v>3.7269185160087896E-3</v>
      </c>
      <c r="CL99" s="2" vm="2962">
        <f ca="1"/>
        <v>58.32</v>
      </c>
      <c r="CM99" s="2">
        <f t="shared" ca="1" si="91"/>
        <v>1.1095700416088776E-2</v>
      </c>
      <c r="CN99" s="2" vm="3691">
        <f ca="1"/>
        <v>29.28</v>
      </c>
      <c r="CO99" s="2">
        <f t="shared" ca="1" si="92"/>
        <v>4.1152263374485938E-3</v>
      </c>
      <c r="CP99" s="2" vm="3692">
        <f ca="1"/>
        <v>22.1065</v>
      </c>
      <c r="CQ99" s="2">
        <f t="shared" ca="1" si="93"/>
        <v>7.6072489926891024E-3</v>
      </c>
    </row>
    <row r="100" spans="1:95" x14ac:dyDescent="0.2">
      <c r="A100" s="7" vm="3693">
        <f ca="1"/>
        <v>45719</v>
      </c>
      <c r="B100" s="2" vm="3694">
        <f ca="1"/>
        <v>238.03</v>
      </c>
      <c r="C100" s="2">
        <f t="shared" ca="1" si="47"/>
        <v>-1.5754217664571628E-2</v>
      </c>
      <c r="D100" s="2" vm="3695">
        <f ca="1"/>
        <v>114.06</v>
      </c>
      <c r="E100" s="2">
        <f t="shared" ca="1" si="48"/>
        <v>-8.6935638808837645E-2</v>
      </c>
      <c r="F100" s="2" vm="3696">
        <f ca="1"/>
        <v>388.49</v>
      </c>
      <c r="G100" s="2">
        <f t="shared" ca="1" si="49"/>
        <v>-2.1411118667976521E-2</v>
      </c>
      <c r="H100" s="2" vm="3697">
        <f ca="1"/>
        <v>655.04999999999995</v>
      </c>
      <c r="I100" s="2">
        <f t="shared" ca="1" si="50"/>
        <v>-1.9679736605806779E-2</v>
      </c>
      <c r="J100" s="2" vm="3698">
        <f ca="1"/>
        <v>167.01</v>
      </c>
      <c r="K100" s="2">
        <f t="shared" ca="1" si="51"/>
        <v>-1.9203664552501821E-2</v>
      </c>
      <c r="L100" s="2" vm="3699">
        <f ca="1"/>
        <v>583.77</v>
      </c>
      <c r="M100" s="2">
        <f t="shared" ca="1" si="52"/>
        <v>-1.7519943451479298E-2</v>
      </c>
      <c r="N100" s="2" vm="2667">
        <f ca="1"/>
        <v>92.57</v>
      </c>
      <c r="O100" s="2">
        <f t="shared" ca="1" si="53"/>
        <v>1.514659742507696E-3</v>
      </c>
      <c r="P100" s="2" vm="3700">
        <f ca="1"/>
        <v>266.74</v>
      </c>
      <c r="Q100" s="2">
        <f t="shared" ca="1" si="54"/>
        <v>1.3180385155923681E-2</v>
      </c>
      <c r="R100" s="2" vm="3701">
        <f ca="1"/>
        <v>73.319999999999993</v>
      </c>
      <c r="S100" s="2">
        <f t="shared" ca="1" si="55"/>
        <v>-2.5259239563945834E-2</v>
      </c>
      <c r="T100" s="2" vm="3702">
        <f ca="1"/>
        <v>95.39</v>
      </c>
      <c r="U100" s="2">
        <f t="shared" ca="1" si="56"/>
        <v>7.3436844313897809E-4</v>
      </c>
      <c r="V100" s="2" vm="3703">
        <f ca="1"/>
        <v>47.4696</v>
      </c>
      <c r="W100" s="2">
        <f t="shared" ca="1" si="57"/>
        <v>2.3967345283923704E-3</v>
      </c>
      <c r="X100" s="2" vm="3230">
        <f ca="1"/>
        <v>144.58000000000001</v>
      </c>
      <c r="Y100" s="2">
        <f t="shared" ca="1" si="58"/>
        <v>-3.1419575266295956E-2</v>
      </c>
      <c r="Z100" s="2" vm="2217">
        <f ca="1"/>
        <v>87.82</v>
      </c>
      <c r="AA100" s="2">
        <f t="shared" ca="1" si="59"/>
        <v>-3.4945054945055017E-2</v>
      </c>
      <c r="AB100" s="2" vm="3704">
        <f ca="1"/>
        <v>13.83</v>
      </c>
      <c r="AC100" s="2">
        <f t="shared" ca="1" si="60"/>
        <v>-2.5369978858350913E-2</v>
      </c>
      <c r="AD100" s="2" t="e" vm="92">
        <f ca="1"/>
        <v>#N/A</v>
      </c>
      <c r="AE100" s="2" t="e" vm="140">
        <f t="shared" ca="1" si="61"/>
        <v>#N/A</v>
      </c>
      <c r="AF100" s="2" vm="3136">
        <f ca="1"/>
        <v>28.75</v>
      </c>
      <c r="AG100" s="2">
        <f t="shared" ca="1" si="62"/>
        <v>1.5542211232779983E-2</v>
      </c>
      <c r="AH100" s="2" vm="2267">
        <f ca="1"/>
        <v>26.05</v>
      </c>
      <c r="AI100" s="2">
        <f t="shared" ca="1" si="63"/>
        <v>-1.6610041525103727E-2</v>
      </c>
      <c r="AJ100" s="2" vm="1664">
        <f ca="1"/>
        <v>4.76</v>
      </c>
      <c r="AK100" s="2">
        <f t="shared" ca="1" si="64"/>
        <v>-1.4492753623188465E-2</v>
      </c>
      <c r="AL100" s="2" vm="3705">
        <f ca="1"/>
        <v>57.27</v>
      </c>
      <c r="AM100" s="2">
        <f t="shared" ca="1" si="65"/>
        <v>1.2911213300318429E-2</v>
      </c>
      <c r="AN100" s="2" vm="3706">
        <f ca="1"/>
        <v>87.18</v>
      </c>
      <c r="AO100" s="2">
        <f t="shared" ca="1" si="66"/>
        <v>9.1445769186249137E-3</v>
      </c>
      <c r="AP100" s="2" vm="1477">
        <f ca="1"/>
        <v>26.77</v>
      </c>
      <c r="AQ100" s="2">
        <f t="shared" ca="1" si="67"/>
        <v>2.2463496817670806E-3</v>
      </c>
      <c r="AR100" s="2" vm="167">
        <f ca="1"/>
        <v>50.91</v>
      </c>
      <c r="AS100" s="2">
        <f t="shared" ca="1" si="68"/>
        <v>-3.5231943628891526E-3</v>
      </c>
      <c r="AT100" s="2" vm="716">
        <f ca="1"/>
        <v>29.13</v>
      </c>
      <c r="AU100" s="2">
        <f t="shared" ca="1" si="69"/>
        <v>-2.3972602739726124E-3</v>
      </c>
      <c r="AV100" s="2" vm="1519">
        <f ca="1"/>
        <v>27.64</v>
      </c>
      <c r="AW100" s="2">
        <f t="shared" ca="1" si="70"/>
        <v>1.8122508155128927E-3</v>
      </c>
      <c r="AX100" s="2" vm="2377">
        <f ca="1"/>
        <v>91.45</v>
      </c>
      <c r="AY100" s="2">
        <f t="shared" ca="1" si="71"/>
        <v>-2.9437418229393375E-3</v>
      </c>
      <c r="AZ100" s="2" vm="3707">
        <f ca="1"/>
        <v>510.08</v>
      </c>
      <c r="BA100" s="2">
        <f t="shared" ca="1" si="72"/>
        <v>-7.2981336239613427E-3</v>
      </c>
      <c r="BB100" s="2" vm="3708">
        <f ca="1"/>
        <v>260.62</v>
      </c>
      <c r="BC100" s="2">
        <f t="shared" ca="1" si="73"/>
        <v>-1.5227659172491869E-2</v>
      </c>
      <c r="BD100" s="2" vm="3709">
        <f ca="1"/>
        <v>45.56</v>
      </c>
      <c r="BE100" s="2">
        <f t="shared" ca="1" si="74"/>
        <v>-1.1713665943600848E-2</v>
      </c>
      <c r="BF100" s="2" vm="3710">
        <f ca="1"/>
        <v>107.76</v>
      </c>
      <c r="BG100" s="2">
        <f t="shared" ca="1" si="75"/>
        <v>-3.2066828348154074E-2</v>
      </c>
      <c r="BH100" s="2" vm="3711">
        <f ca="1"/>
        <v>153.09</v>
      </c>
      <c r="BI100" s="2">
        <f t="shared" ca="1" si="76"/>
        <v>-3.4863195057369824E-2</v>
      </c>
      <c r="BJ100" s="2" vm="3712">
        <f ca="1"/>
        <v>167.28</v>
      </c>
      <c r="BK100" s="2">
        <f t="shared" ca="1" si="77"/>
        <v>1.3695309659435164E-2</v>
      </c>
      <c r="BL100" s="2" vm="3713">
        <f ca="1"/>
        <v>72.319999999999993</v>
      </c>
      <c r="BM100" s="2">
        <f t="shared" ca="1" si="78"/>
        <v>1.5587698356972329E-2</v>
      </c>
      <c r="BN100" s="2" vm="3714">
        <f ca="1"/>
        <v>304.29000000000002</v>
      </c>
      <c r="BO100" s="2">
        <f t="shared" ca="1" si="79"/>
        <v>-1.3102844355073992E-2</v>
      </c>
      <c r="BP100" s="2" vm="3715">
        <f ca="1"/>
        <v>112.79</v>
      </c>
      <c r="BQ100" s="2">
        <f t="shared" ca="1" si="80"/>
        <v>-8.8752196836554571E-3</v>
      </c>
      <c r="BR100" s="2" vm="3716">
        <f ca="1"/>
        <v>973.7</v>
      </c>
      <c r="BS100" s="2">
        <f t="shared" ca="1" si="81"/>
        <v>-6.9960022844088076E-3</v>
      </c>
      <c r="BT100" s="2" vm="3717">
        <f ca="1"/>
        <v>175.59</v>
      </c>
      <c r="BU100" s="2">
        <f t="shared" ca="1" si="82"/>
        <v>1.0066728025770823E-2</v>
      </c>
      <c r="BV100" s="2" vm="3718">
        <f ca="1"/>
        <v>155.99</v>
      </c>
      <c r="BW100" s="2">
        <f t="shared" ca="1" si="83"/>
        <v>1.642014726005089E-2</v>
      </c>
      <c r="BX100" s="2" vm="2675">
        <f ca="1"/>
        <v>252.35</v>
      </c>
      <c r="BY100" s="2">
        <f t="shared" ca="1" si="84"/>
        <v>-5.2669119303251001E-2</v>
      </c>
      <c r="BZ100" s="2" vm="3515">
        <f ca="1"/>
        <v>88.69</v>
      </c>
      <c r="CA100" s="2">
        <f t="shared" ca="1" si="85"/>
        <v>-4.5420299214293393E-2</v>
      </c>
      <c r="CB100" s="2" vm="3015">
        <f ca="1"/>
        <v>27.72</v>
      </c>
      <c r="CC100" s="2">
        <f t="shared" ca="1" si="86"/>
        <v>-5.0034270047978099E-2</v>
      </c>
      <c r="CD100" s="2" t="e" vm="92">
        <f ca="1"/>
        <v>#N/A</v>
      </c>
      <c r="CE100" s="2" t="e" vm="140">
        <f t="shared" ca="1" si="87"/>
        <v>#N/A</v>
      </c>
      <c r="CF100" s="2" vm="3719">
        <f ca="1"/>
        <v>22.984999999999999</v>
      </c>
      <c r="CG100" s="2">
        <f t="shared" ca="1" si="88"/>
        <v>-6.5217391304350292E-4</v>
      </c>
      <c r="CH100" s="2" vm="777">
        <f ca="1"/>
        <v>58.48</v>
      </c>
      <c r="CI100" s="2">
        <f t="shared" ca="1" si="89"/>
        <v>-2.5584171925636307E-3</v>
      </c>
      <c r="CJ100" s="2" vm="3720">
        <f ca="1"/>
        <v>59.22</v>
      </c>
      <c r="CK100" s="2">
        <f t="shared" ca="1" si="90"/>
        <v>-5.0632911392406985E-4</v>
      </c>
      <c r="CL100" s="2" vm="1941">
        <f ca="1"/>
        <v>58.43</v>
      </c>
      <c r="CM100" s="2">
        <f t="shared" ca="1" si="91"/>
        <v>1.8861454046639134E-3</v>
      </c>
      <c r="CN100" s="2" vm="736">
        <f ca="1"/>
        <v>29.21</v>
      </c>
      <c r="CO100" s="2">
        <f t="shared" ca="1" si="92"/>
        <v>-2.3907103825136708E-3</v>
      </c>
      <c r="CP100" s="2" vm="3721">
        <f ca="1"/>
        <v>22.251200000000001</v>
      </c>
      <c r="CQ100" s="2">
        <f t="shared" ca="1" si="93"/>
        <v>6.5455861398231409E-3</v>
      </c>
    </row>
    <row r="101" spans="1:95" x14ac:dyDescent="0.2">
      <c r="A101" s="7" vm="3722">
        <f ca="1"/>
        <v>45720</v>
      </c>
      <c r="B101" s="2" vm="3723">
        <f ca="1"/>
        <v>235.93</v>
      </c>
      <c r="C101" s="2">
        <f t="shared" ca="1" si="47"/>
        <v>-8.8224173423517797E-3</v>
      </c>
      <c r="D101" s="2" vm="3724">
        <f ca="1"/>
        <v>115.99</v>
      </c>
      <c r="E101" s="2">
        <f t="shared" ca="1" si="48"/>
        <v>1.6920918814658886E-2</v>
      </c>
      <c r="F101" s="2" vm="3725">
        <f ca="1"/>
        <v>388.61</v>
      </c>
      <c r="G101" s="2">
        <f t="shared" ca="1" si="49"/>
        <v>3.0888825967207535E-4</v>
      </c>
      <c r="H101" s="2" vm="3726">
        <f ca="1"/>
        <v>640</v>
      </c>
      <c r="I101" s="2">
        <f t="shared" ca="1" si="50"/>
        <v>-2.2975345393481346E-2</v>
      </c>
      <c r="J101" s="2" vm="3727">
        <f ca="1"/>
        <v>170.92</v>
      </c>
      <c r="K101" s="2">
        <f t="shared" ca="1" si="51"/>
        <v>2.3411771750194581E-2</v>
      </c>
      <c r="L101" s="2" vm="3728">
        <f ca="1"/>
        <v>576.86</v>
      </c>
      <c r="M101" s="2">
        <f t="shared" ca="1" si="52"/>
        <v>-1.1836853555338521E-2</v>
      </c>
      <c r="N101" s="2" vm="2342">
        <f ca="1"/>
        <v>91.43</v>
      </c>
      <c r="O101" s="2">
        <f t="shared" ca="1" si="53"/>
        <v>-1.2315004861185983E-2</v>
      </c>
      <c r="P101" s="2" vm="3729">
        <f ca="1"/>
        <v>269.06</v>
      </c>
      <c r="Q101" s="2">
        <f t="shared" ca="1" si="54"/>
        <v>8.6976081577565915E-3</v>
      </c>
      <c r="R101" s="2" vm="3730">
        <f ca="1"/>
        <v>73.31</v>
      </c>
      <c r="S101" s="2">
        <f t="shared" ca="1" si="55"/>
        <v>-1.3638843426065064E-4</v>
      </c>
      <c r="T101" s="2" vm="3731">
        <f ca="1"/>
        <v>95.09</v>
      </c>
      <c r="U101" s="2">
        <f t="shared" ca="1" si="56"/>
        <v>-3.1449837509172573E-3</v>
      </c>
      <c r="V101" s="2" vm="3732">
        <f ca="1"/>
        <v>47.377499999999998</v>
      </c>
      <c r="W101" s="2">
        <f t="shared" ca="1" si="57"/>
        <v>-1.9401890894383367E-3</v>
      </c>
      <c r="X101" s="2" vm="111">
        <f ca="1"/>
        <v>137.91999999999999</v>
      </c>
      <c r="Y101" s="2">
        <f t="shared" ca="1" si="58"/>
        <v>-4.6064462581270053E-2</v>
      </c>
      <c r="Z101" s="2" vm="3733">
        <f ca="1"/>
        <v>86.97</v>
      </c>
      <c r="AA101" s="2">
        <f t="shared" ca="1" si="59"/>
        <v>-9.6788886358459853E-3</v>
      </c>
      <c r="AB101" s="2" vm="3704">
        <f ca="1"/>
        <v>13.83</v>
      </c>
      <c r="AC101" s="2">
        <f t="shared" ca="1" si="60"/>
        <v>0</v>
      </c>
      <c r="AD101" s="2" vm="1883">
        <f ca="1"/>
        <v>3.8</v>
      </c>
      <c r="AE101" s="2" t="e" vm="140">
        <f t="shared" ca="1" si="61"/>
        <v>#N/A</v>
      </c>
      <c r="AF101" s="2" vm="1345">
        <f ca="1"/>
        <v>29</v>
      </c>
      <c r="AG101" s="2">
        <f t="shared" ca="1" si="62"/>
        <v>8.6956521739130436E-3</v>
      </c>
      <c r="AH101" s="2" vm="1323">
        <f ca="1"/>
        <v>26.19</v>
      </c>
      <c r="AI101" s="2">
        <f t="shared" ca="1" si="63"/>
        <v>5.3742802303263174E-3</v>
      </c>
      <c r="AJ101" s="2" vm="2186">
        <f ca="1"/>
        <v>4.7</v>
      </c>
      <c r="AK101" s="2">
        <f t="shared" ca="1" si="64"/>
        <v>-1.2605042016806641E-2</v>
      </c>
      <c r="AL101" s="2" vm="3734">
        <f ca="1"/>
        <v>57.79</v>
      </c>
      <c r="AM101" s="2">
        <f t="shared" ca="1" si="65"/>
        <v>9.0797974506721842E-3</v>
      </c>
      <c r="AN101" s="2" vm="3735">
        <f ca="1"/>
        <v>87.75</v>
      </c>
      <c r="AO101" s="2">
        <f t="shared" ca="1" si="66"/>
        <v>6.5381968341361911E-3</v>
      </c>
      <c r="AP101" s="2" vm="3382">
        <f ca="1"/>
        <v>26.69</v>
      </c>
      <c r="AQ101" s="2">
        <f t="shared" ca="1" si="67"/>
        <v>-2.9884198729920918E-3</v>
      </c>
      <c r="AR101" s="2" vm="2265">
        <f ca="1"/>
        <v>50.87</v>
      </c>
      <c r="AS101" s="2">
        <f t="shared" ca="1" si="68"/>
        <v>-7.8570025535256631E-4</v>
      </c>
      <c r="AT101" s="2" vm="596">
        <f ca="1"/>
        <v>29.15</v>
      </c>
      <c r="AU101" s="2">
        <f t="shared" ca="1" si="69"/>
        <v>6.8657741160314367E-4</v>
      </c>
      <c r="AV101" s="2" vm="675">
        <f ca="1"/>
        <v>27.35</v>
      </c>
      <c r="AW101" s="2">
        <f t="shared" ca="1" si="70"/>
        <v>-1.049204052098405E-2</v>
      </c>
      <c r="AX101" s="2" vm="2377">
        <f ca="1"/>
        <v>91.45</v>
      </c>
      <c r="AY101" s="2">
        <f t="shared" ca="1" si="71"/>
        <v>0</v>
      </c>
      <c r="AZ101" s="2" vm="3736">
        <f ca="1"/>
        <v>495.86</v>
      </c>
      <c r="BA101" s="2">
        <f t="shared" ca="1" si="72"/>
        <v>-2.7877979924717633E-2</v>
      </c>
      <c r="BB101" s="2" vm="3737">
        <f ca="1"/>
        <v>250.25</v>
      </c>
      <c r="BC101" s="2">
        <f t="shared" ca="1" si="73"/>
        <v>-3.9789732177116122E-2</v>
      </c>
      <c r="BD101" s="2" vm="3738">
        <f ca="1"/>
        <v>42.67</v>
      </c>
      <c r="BE101" s="2">
        <f t="shared" ca="1" si="74"/>
        <v>-6.3432835820895525E-2</v>
      </c>
      <c r="BF101" s="2" vm="3739">
        <f ca="1"/>
        <v>107.54</v>
      </c>
      <c r="BG101" s="2">
        <f t="shared" ca="1" si="75"/>
        <v>-2.0415738678544806E-3</v>
      </c>
      <c r="BH101" s="2" vm="3740">
        <f ca="1"/>
        <v>152</v>
      </c>
      <c r="BI101" s="2">
        <f t="shared" ca="1" si="76"/>
        <v>-7.1199947743157844E-3</v>
      </c>
      <c r="BJ101" s="2" vm="3741">
        <f ca="1"/>
        <v>165.42</v>
      </c>
      <c r="BK101" s="2">
        <f t="shared" ca="1" si="77"/>
        <v>-1.1119081779053167E-2</v>
      </c>
      <c r="BL101" s="2" vm="3742">
        <f ca="1"/>
        <v>70.19</v>
      </c>
      <c r="BM101" s="2">
        <f t="shared" ca="1" si="78"/>
        <v>-2.9452433628318522E-2</v>
      </c>
      <c r="BN101" s="2" vm="3743">
        <f ca="1"/>
        <v>305.77</v>
      </c>
      <c r="BO101" s="2">
        <f t="shared" ca="1" si="79"/>
        <v>4.8637812612966616E-3</v>
      </c>
      <c r="BP101" s="2" vm="3744">
        <f ca="1"/>
        <v>109.01</v>
      </c>
      <c r="BQ101" s="2">
        <f t="shared" ca="1" si="80"/>
        <v>-3.351360936253215E-2</v>
      </c>
      <c r="BR101" s="2" vm="3745">
        <f ca="1"/>
        <v>972.58</v>
      </c>
      <c r="BS101" s="2">
        <f t="shared" ca="1" si="81"/>
        <v>-1.1502516175413418E-3</v>
      </c>
      <c r="BT101" s="2" vm="3746">
        <f ca="1"/>
        <v>173.18</v>
      </c>
      <c r="BU101" s="2">
        <f t="shared" ca="1" si="82"/>
        <v>-1.3725155191070086E-2</v>
      </c>
      <c r="BV101" s="2" vm="3747">
        <f ca="1"/>
        <v>154.19</v>
      </c>
      <c r="BW101" s="2">
        <f t="shared" ca="1" si="83"/>
        <v>-1.1539201230848204E-2</v>
      </c>
      <c r="BX101" s="2" vm="3748">
        <f ca="1"/>
        <v>247.98</v>
      </c>
      <c r="BY101" s="2">
        <f t="shared" ca="1" si="84"/>
        <v>-1.7317218149395699E-2</v>
      </c>
      <c r="BZ101" s="2" vm="3749">
        <f ca="1"/>
        <v>88.02</v>
      </c>
      <c r="CA101" s="2">
        <f t="shared" ca="1" si="85"/>
        <v>-7.5544029766602969E-3</v>
      </c>
      <c r="CB101" s="2" vm="3750">
        <f ca="1"/>
        <v>27.5</v>
      </c>
      <c r="CC101" s="2">
        <f t="shared" ca="1" si="86"/>
        <v>-7.9365079365078962E-3</v>
      </c>
      <c r="CD101" s="2" t="e" vm="92">
        <f ca="1"/>
        <v>#N/A</v>
      </c>
      <c r="CE101" s="2" t="e" vm="140">
        <f t="shared" ca="1" si="87"/>
        <v>#N/A</v>
      </c>
      <c r="CF101" s="2" vm="1721">
        <f ca="1"/>
        <v>22.93</v>
      </c>
      <c r="CG101" s="2">
        <f t="shared" ca="1" si="88"/>
        <v>-2.3928649118990521E-3</v>
      </c>
      <c r="CH101" s="2" vm="94">
        <f ca="1"/>
        <v>58.49</v>
      </c>
      <c r="CI101" s="2">
        <f t="shared" ca="1" si="89"/>
        <v>1.7099863201103141E-4</v>
      </c>
      <c r="CJ101" s="2" vm="3751">
        <f ca="1"/>
        <v>59.14</v>
      </c>
      <c r="CK101" s="2">
        <f t="shared" ca="1" si="90"/>
        <v>-1.3508949679162158E-3</v>
      </c>
      <c r="CL101" s="2" vm="3752">
        <f ca="1"/>
        <v>57.82</v>
      </c>
      <c r="CM101" s="2">
        <f t="shared" ca="1" si="91"/>
        <v>-1.0439842546636992E-2</v>
      </c>
      <c r="CN101" s="2" vm="74">
        <f ca="1"/>
        <v>29.14</v>
      </c>
      <c r="CO101" s="2">
        <f t="shared" ca="1" si="92"/>
        <v>-2.3964395754878564E-3</v>
      </c>
      <c r="CP101" s="2" vm="3753">
        <f ca="1"/>
        <v>22.0092</v>
      </c>
      <c r="CQ101" s="2">
        <f t="shared" ca="1" si="93"/>
        <v>-1.0875817933414866E-2</v>
      </c>
    </row>
    <row r="102" spans="1:95" x14ac:dyDescent="0.2">
      <c r="A102" s="7" vm="3754">
        <f ca="1"/>
        <v>45721</v>
      </c>
      <c r="B102" s="2" vm="3755">
        <f ca="1"/>
        <v>235.74</v>
      </c>
      <c r="C102" s="2">
        <f t="shared" ca="1" si="47"/>
        <v>-8.0532361293603064E-4</v>
      </c>
      <c r="D102" s="2" vm="3756">
        <f ca="1"/>
        <v>117.3</v>
      </c>
      <c r="E102" s="2">
        <f t="shared" ca="1" si="48"/>
        <v>1.1294077075609987E-2</v>
      </c>
      <c r="F102" s="2" vm="3757">
        <f ca="1"/>
        <v>401.02</v>
      </c>
      <c r="G102" s="2">
        <f t="shared" ca="1" si="49"/>
        <v>3.1934330048120144E-2</v>
      </c>
      <c r="H102" s="2" vm="3758">
        <f ca="1"/>
        <v>656.47</v>
      </c>
      <c r="I102" s="2">
        <f t="shared" ca="1" si="50"/>
        <v>2.5734375000000042E-2</v>
      </c>
      <c r="J102" s="2" vm="3759">
        <f ca="1"/>
        <v>173.02</v>
      </c>
      <c r="K102" s="2">
        <f t="shared" ca="1" si="51"/>
        <v>1.2286449801076661E-2</v>
      </c>
      <c r="L102" s="2" vm="3760">
        <f ca="1"/>
        <v>583.05999999999995</v>
      </c>
      <c r="M102" s="2">
        <f t="shared" ca="1" si="52"/>
        <v>1.074784176403275E-2</v>
      </c>
      <c r="N102" s="2" vm="1269">
        <f ca="1"/>
        <v>90.7</v>
      </c>
      <c r="O102" s="2">
        <f t="shared" ca="1" si="53"/>
        <v>-7.9842502460899471E-3</v>
      </c>
      <c r="P102" s="2" vm="3761">
        <f ca="1"/>
        <v>269.62</v>
      </c>
      <c r="Q102" s="2">
        <f t="shared" ca="1" si="54"/>
        <v>2.0813201516390479E-3</v>
      </c>
      <c r="R102" s="2" vm="3762">
        <f ca="1"/>
        <v>71.42</v>
      </c>
      <c r="S102" s="2">
        <f t="shared" ca="1" si="55"/>
        <v>-2.5780930296003281E-2</v>
      </c>
      <c r="T102" s="2" vm="3763">
        <f ca="1"/>
        <v>94.56</v>
      </c>
      <c r="U102" s="2">
        <f t="shared" ca="1" si="56"/>
        <v>-5.5736670522662859E-3</v>
      </c>
      <c r="V102" s="2" vm="3764">
        <f ca="1"/>
        <v>47.25</v>
      </c>
      <c r="W102" s="2">
        <f t="shared" ca="1" si="57"/>
        <v>-2.6911508627512582E-3</v>
      </c>
      <c r="X102" s="2" vm="3765">
        <f ca="1"/>
        <v>140.53</v>
      </c>
      <c r="Y102" s="2">
        <f t="shared" ca="1" si="58"/>
        <v>1.8924013921113789E-2</v>
      </c>
      <c r="Z102" s="2" vm="2412">
        <f ca="1"/>
        <v>85.7</v>
      </c>
      <c r="AA102" s="2">
        <f t="shared" ca="1" si="59"/>
        <v>-1.4602736575830701E-2</v>
      </c>
      <c r="AB102" s="2" vm="3766">
        <f ca="1"/>
        <v>13.49</v>
      </c>
      <c r="AC102" s="2">
        <f t="shared" ca="1" si="60"/>
        <v>-2.4584237165582057E-2</v>
      </c>
      <c r="AD102" s="2" vm="3767">
        <f ca="1"/>
        <v>3.99</v>
      </c>
      <c r="AE102" s="2">
        <f t="shared" ca="1" si="61"/>
        <v>5.0000000000000107E-2</v>
      </c>
      <c r="AF102" s="2" vm="3201">
        <f ca="1"/>
        <v>29.77</v>
      </c>
      <c r="AG102" s="2">
        <f t="shared" ca="1" si="62"/>
        <v>2.655172413793102E-2</v>
      </c>
      <c r="AH102" s="2" vm="1705">
        <f ca="1"/>
        <v>26.39</v>
      </c>
      <c r="AI102" s="2">
        <f t="shared" ca="1" si="63"/>
        <v>7.6365024818632792E-3</v>
      </c>
      <c r="AJ102" s="2" vm="1514">
        <f ca="1"/>
        <v>4.79</v>
      </c>
      <c r="AK102" s="2">
        <f t="shared" ca="1" si="64"/>
        <v>1.9148936170212735E-2</v>
      </c>
      <c r="AL102" s="2" vm="1067">
        <f ca="1"/>
        <v>57.9</v>
      </c>
      <c r="AM102" s="2">
        <f t="shared" ca="1" si="65"/>
        <v>1.9034435023360344E-3</v>
      </c>
      <c r="AN102" s="2" vm="3768">
        <f ca="1"/>
        <v>88.47</v>
      </c>
      <c r="AO102" s="2">
        <f t="shared" ca="1" si="66"/>
        <v>8.205128205128193E-3</v>
      </c>
      <c r="AP102" s="2" vm="72">
        <f ca="1"/>
        <v>26.54</v>
      </c>
      <c r="AQ102" s="2">
        <f t="shared" ca="1" si="67"/>
        <v>-5.6200824278756882E-3</v>
      </c>
      <c r="AR102" s="2" vm="167">
        <f ca="1"/>
        <v>50.91</v>
      </c>
      <c r="AS102" s="2">
        <f t="shared" ca="1" si="68"/>
        <v>7.8631806565754173E-4</v>
      </c>
      <c r="AT102" s="2" vm="3054">
        <f ca="1"/>
        <v>29.1</v>
      </c>
      <c r="AU102" s="2">
        <f t="shared" ca="1" si="69"/>
        <v>-1.715265866209165E-3</v>
      </c>
      <c r="AV102" s="2" vm="3769">
        <f ca="1"/>
        <v>27.15</v>
      </c>
      <c r="AW102" s="2">
        <f t="shared" ca="1" si="70"/>
        <v>-7.3126142595979094E-3</v>
      </c>
      <c r="AX102" s="2" vm="2414">
        <f ca="1"/>
        <v>91.46</v>
      </c>
      <c r="AY102" s="2">
        <f t="shared" ca="1" si="71"/>
        <v>1.093493712410159E-4</v>
      </c>
      <c r="AZ102" s="2" vm="3770">
        <f ca="1"/>
        <v>498.5</v>
      </c>
      <c r="BA102" s="2">
        <f t="shared" ca="1" si="72"/>
        <v>5.3240834106400726E-3</v>
      </c>
      <c r="BB102" s="2" vm="3771">
        <f ca="1"/>
        <v>251.53</v>
      </c>
      <c r="BC102" s="2">
        <f t="shared" ca="1" si="73"/>
        <v>5.1148851148851192E-3</v>
      </c>
      <c r="BD102" s="2" vm="3772">
        <f ca="1"/>
        <v>42.29</v>
      </c>
      <c r="BE102" s="2">
        <f t="shared" ca="1" si="74"/>
        <v>-8.9055542535739999E-3</v>
      </c>
      <c r="BF102" s="2" vm="3773">
        <f ca="1"/>
        <v>105.44</v>
      </c>
      <c r="BG102" s="2">
        <f t="shared" ca="1" si="75"/>
        <v>-1.9527617630649138E-2</v>
      </c>
      <c r="BH102" s="2" vm="603">
        <f ca="1"/>
        <v>150.81</v>
      </c>
      <c r="BI102" s="2">
        <f t="shared" ca="1" si="76"/>
        <v>-7.8289473684210378E-3</v>
      </c>
      <c r="BJ102" s="2" vm="388">
        <f ca="1"/>
        <v>165.12</v>
      </c>
      <c r="BK102" s="2">
        <f t="shared" ca="1" si="77"/>
        <v>-1.8135654697133538E-3</v>
      </c>
      <c r="BL102" s="2" vm="3774">
        <f ca="1"/>
        <v>70.08</v>
      </c>
      <c r="BM102" s="2">
        <f t="shared" ca="1" si="78"/>
        <v>-1.5671748112266624E-3</v>
      </c>
      <c r="BN102" s="2" vm="3775">
        <f ca="1"/>
        <v>307.45</v>
      </c>
      <c r="BO102" s="2">
        <f t="shared" ca="1" si="79"/>
        <v>5.4943258004382604E-3</v>
      </c>
      <c r="BP102" s="2" vm="3776">
        <f ca="1"/>
        <v>109.31</v>
      </c>
      <c r="BQ102" s="2">
        <f t="shared" ca="1" si="80"/>
        <v>2.7520410971470246E-3</v>
      </c>
      <c r="BR102" s="2" vm="3777">
        <f ca="1"/>
        <v>990.92</v>
      </c>
      <c r="BS102" s="2">
        <f t="shared" ca="1" si="81"/>
        <v>1.8857060601698492E-2</v>
      </c>
      <c r="BT102" s="2" vm="3778">
        <f ca="1"/>
        <v>174.61</v>
      </c>
      <c r="BU102" s="2">
        <f t="shared" ca="1" si="82"/>
        <v>8.257304538630366E-3</v>
      </c>
      <c r="BV102" s="2" vm="3779">
        <f ca="1"/>
        <v>153.88</v>
      </c>
      <c r="BW102" s="2">
        <f t="shared" ca="1" si="83"/>
        <v>-2.0105065179324357E-3</v>
      </c>
      <c r="BX102" s="2" vm="3780">
        <f ca="1"/>
        <v>247.88</v>
      </c>
      <c r="BY102" s="2">
        <f t="shared" ca="1" si="84"/>
        <v>-4.0325832728443554E-4</v>
      </c>
      <c r="BZ102" s="2" vm="3781">
        <f ca="1"/>
        <v>86.68</v>
      </c>
      <c r="CA102" s="2">
        <f t="shared" ca="1" si="85"/>
        <v>-1.5223812769824917E-2</v>
      </c>
      <c r="CB102" s="2" vm="3782">
        <f ca="1"/>
        <v>27.07</v>
      </c>
      <c r="CC102" s="2">
        <f t="shared" ca="1" si="86"/>
        <v>-1.5636363636363625E-2</v>
      </c>
      <c r="CD102" s="2" t="e" vm="92">
        <f ca="1"/>
        <v>#N/A</v>
      </c>
      <c r="CE102" s="2" t="e" vm="140">
        <f t="shared" ca="1" si="87"/>
        <v>#N/A</v>
      </c>
      <c r="CF102" s="2" vm="1458">
        <f ca="1"/>
        <v>22.84</v>
      </c>
      <c r="CG102" s="2">
        <f t="shared" ca="1" si="88"/>
        <v>-3.9249890972525014E-3</v>
      </c>
      <c r="CH102" s="2" vm="1941">
        <f ca="1"/>
        <v>58.43</v>
      </c>
      <c r="CI102" s="2">
        <f t="shared" ca="1" si="89"/>
        <v>-1.0258163788682214E-3</v>
      </c>
      <c r="CJ102" s="2" vm="1685">
        <f ca="1"/>
        <v>58.91</v>
      </c>
      <c r="CK102" s="2">
        <f t="shared" ca="1" si="90"/>
        <v>-3.8890767669936418E-3</v>
      </c>
      <c r="CL102" s="2" vm="3783">
        <f ca="1"/>
        <v>57.34</v>
      </c>
      <c r="CM102" s="2">
        <f t="shared" ca="1" si="91"/>
        <v>-8.3016257350397252E-3</v>
      </c>
      <c r="CN102" s="2" vm="865">
        <f ca="1"/>
        <v>29.06</v>
      </c>
      <c r="CO102" s="2">
        <f t="shared" ca="1" si="92"/>
        <v>-2.7453671928621085E-3</v>
      </c>
      <c r="CP102" s="2" vm="3784">
        <f ca="1"/>
        <v>22.1785</v>
      </c>
      <c r="CQ102" s="2">
        <f t="shared" ca="1" si="93"/>
        <v>7.6922377914690121E-3</v>
      </c>
    </row>
    <row r="103" spans="1:95" x14ac:dyDescent="0.2">
      <c r="A103" s="7" vm="3785">
        <f ca="1"/>
        <v>45722</v>
      </c>
      <c r="B103" s="2" vm="3786">
        <f ca="1"/>
        <v>235.33</v>
      </c>
      <c r="C103" s="2">
        <f t="shared" ca="1" si="47"/>
        <v>-1.7392042080257766E-3</v>
      </c>
      <c r="D103" s="2" vm="3787">
        <f ca="1"/>
        <v>110.57</v>
      </c>
      <c r="E103" s="2">
        <f t="shared" ca="1" si="48"/>
        <v>-5.7374254049445898E-2</v>
      </c>
      <c r="F103" s="2" vm="3788">
        <f ca="1"/>
        <v>396.89</v>
      </c>
      <c r="G103" s="2">
        <f t="shared" ca="1" si="49"/>
        <v>-1.0298738217545249E-2</v>
      </c>
      <c r="H103" s="2" vm="3789">
        <f ca="1"/>
        <v>627.92999999999995</v>
      </c>
      <c r="I103" s="2">
        <f t="shared" ca="1" si="50"/>
        <v>-4.3474949350313152E-2</v>
      </c>
      <c r="J103" s="2" vm="3790">
        <f ca="1"/>
        <v>172.35</v>
      </c>
      <c r="K103" s="2">
        <f t="shared" ca="1" si="51"/>
        <v>-3.8723846954110269E-3</v>
      </c>
      <c r="L103" s="2" vm="3791">
        <f ca="1"/>
        <v>572.71</v>
      </c>
      <c r="M103" s="2">
        <f t="shared" ca="1" si="52"/>
        <v>-1.7751174836208812E-2</v>
      </c>
      <c r="N103" s="2" vm="1850">
        <f ca="1"/>
        <v>90.4</v>
      </c>
      <c r="O103" s="2">
        <f t="shared" ca="1" si="53"/>
        <v>-3.3076074972436288E-3</v>
      </c>
      <c r="P103" s="2" vm="3792">
        <f ca="1"/>
        <v>268.25</v>
      </c>
      <c r="Q103" s="2">
        <f t="shared" ca="1" si="54"/>
        <v>-5.0812254283807007E-3</v>
      </c>
      <c r="R103" s="2" vm="3793">
        <f ca="1"/>
        <v>71.13</v>
      </c>
      <c r="S103" s="2">
        <f t="shared" ca="1" si="55"/>
        <v>-4.0604872584711037E-3</v>
      </c>
      <c r="T103" s="2" vm="464">
        <f ca="1"/>
        <v>94.51</v>
      </c>
      <c r="U103" s="2">
        <f t="shared" ca="1" si="56"/>
        <v>-5.2876480541452157E-4</v>
      </c>
      <c r="V103" s="2" vm="3794">
        <f ca="1"/>
        <v>47.085900000000002</v>
      </c>
      <c r="W103" s="2">
        <f t="shared" ca="1" si="57"/>
        <v>-3.473015873015824E-3</v>
      </c>
      <c r="X103" s="2" vm="3795">
        <f ca="1"/>
        <v>134.78</v>
      </c>
      <c r="Y103" s="2">
        <f t="shared" ca="1" si="58"/>
        <v>-4.0916530278232409E-2</v>
      </c>
      <c r="Z103" s="2" vm="3796">
        <f ca="1"/>
        <v>85.96</v>
      </c>
      <c r="AA103" s="2">
        <f t="shared" ca="1" si="59"/>
        <v>3.0338389731620874E-3</v>
      </c>
      <c r="AB103" s="2" vm="3797">
        <f ca="1"/>
        <v>13.44</v>
      </c>
      <c r="AC103" s="2">
        <f t="shared" ca="1" si="60"/>
        <v>-3.7064492216457162E-3</v>
      </c>
      <c r="AD103" s="2" vm="3798">
        <f ca="1"/>
        <v>3.69</v>
      </c>
      <c r="AE103" s="2">
        <f t="shared" ca="1" si="61"/>
        <v>-7.5187969924812095E-2</v>
      </c>
      <c r="AF103" s="2" vm="3799">
        <f ca="1"/>
        <v>29.69</v>
      </c>
      <c r="AG103" s="2">
        <f t="shared" ca="1" si="62"/>
        <v>-2.687269062814857E-3</v>
      </c>
      <c r="AH103" s="2" vm="594">
        <f ca="1"/>
        <v>26.29</v>
      </c>
      <c r="AI103" s="2">
        <f t="shared" ca="1" si="63"/>
        <v>-3.7893141341417743E-3</v>
      </c>
      <c r="AJ103" s="2" vm="2630">
        <f ca="1"/>
        <v>4.83</v>
      </c>
      <c r="AK103" s="2">
        <f t="shared" ca="1" si="64"/>
        <v>8.3507306889352897E-3</v>
      </c>
      <c r="AL103" s="2" vm="3800">
        <f ca="1"/>
        <v>57.62</v>
      </c>
      <c r="AM103" s="2">
        <f t="shared" ca="1" si="65"/>
        <v>-4.8359240069084826E-3</v>
      </c>
      <c r="AN103" s="2" vm="3768">
        <f ca="1"/>
        <v>88.47</v>
      </c>
      <c r="AO103" s="2">
        <f t="shared" ca="1" si="66"/>
        <v>0</v>
      </c>
      <c r="AP103" s="2" vm="1437">
        <f ca="1"/>
        <v>26.53</v>
      </c>
      <c r="AQ103" s="2">
        <f t="shared" ca="1" si="67"/>
        <v>-3.7678975131868916E-4</v>
      </c>
      <c r="AR103" s="2" vm="167">
        <f ca="1"/>
        <v>50.91</v>
      </c>
      <c r="AS103" s="2">
        <f t="shared" ca="1" si="68"/>
        <v>0</v>
      </c>
      <c r="AT103" s="2" vm="716">
        <f ca="1"/>
        <v>29.13</v>
      </c>
      <c r="AU103" s="2">
        <f t="shared" ca="1" si="69"/>
        <v>1.0309278350514634E-3</v>
      </c>
      <c r="AV103" s="2" vm="3801">
        <f ca="1"/>
        <v>27.08</v>
      </c>
      <c r="AW103" s="2">
        <f t="shared" ca="1" si="70"/>
        <v>-2.5782688766114287E-3</v>
      </c>
      <c r="AX103" s="2" vm="1592">
        <f ca="1"/>
        <v>91.47</v>
      </c>
      <c r="AY103" s="2">
        <f t="shared" ca="1" si="71"/>
        <v>1.0933741526355911E-4</v>
      </c>
      <c r="AZ103" s="2" vm="3802">
        <f ca="1"/>
        <v>497.84</v>
      </c>
      <c r="BA103" s="2">
        <f t="shared" ca="1" si="72"/>
        <v>-1.323971915747292E-3</v>
      </c>
      <c r="BB103" s="2" vm="3803">
        <f ca="1"/>
        <v>246.54</v>
      </c>
      <c r="BC103" s="2">
        <f t="shared" ca="1" si="73"/>
        <v>-1.9838587842404519E-2</v>
      </c>
      <c r="BD103" s="2" vm="3804">
        <f ca="1"/>
        <v>41.46</v>
      </c>
      <c r="BE103" s="2">
        <f t="shared" ca="1" si="74"/>
        <v>-1.9626389217309016E-2</v>
      </c>
      <c r="BF103" s="2" vm="3805">
        <f ca="1"/>
        <v>107.62</v>
      </c>
      <c r="BG103" s="2">
        <f t="shared" ca="1" si="75"/>
        <v>2.0675265553869563E-2</v>
      </c>
      <c r="BH103" s="2" vm="3806">
        <f ca="1"/>
        <v>152.94999999999999</v>
      </c>
      <c r="BI103" s="2">
        <f t="shared" ca="1" si="76"/>
        <v>1.4190040448246047E-2</v>
      </c>
      <c r="BJ103" s="2" vm="3807">
        <f ca="1"/>
        <v>165.83</v>
      </c>
      <c r="BK103" s="2">
        <f t="shared" ca="1" si="77"/>
        <v>4.2999031007752422E-3</v>
      </c>
      <c r="BL103" s="2" vm="3808">
        <f ca="1"/>
        <v>70.459999999999994</v>
      </c>
      <c r="BM103" s="2">
        <f t="shared" ca="1" si="78"/>
        <v>5.4223744292236798E-3</v>
      </c>
      <c r="BN103" s="2" vm="3809">
        <f ca="1"/>
        <v>310.37</v>
      </c>
      <c r="BO103" s="2">
        <f t="shared" ca="1" si="79"/>
        <v>9.4974792649211767E-3</v>
      </c>
      <c r="BP103" s="2" vm="3810">
        <f ca="1"/>
        <v>105.43</v>
      </c>
      <c r="BQ103" s="2">
        <f t="shared" ca="1" si="80"/>
        <v>-3.5495380111609146E-2</v>
      </c>
      <c r="BR103" s="2" vm="3811">
        <f ca="1"/>
        <v>906.36</v>
      </c>
      <c r="BS103" s="2">
        <f t="shared" ca="1" si="81"/>
        <v>-8.5334840350381413E-2</v>
      </c>
      <c r="BT103" s="2" vm="3812">
        <f ca="1"/>
        <v>174.66</v>
      </c>
      <c r="BU103" s="2">
        <f t="shared" ca="1" si="82"/>
        <v>2.863524425862376E-4</v>
      </c>
      <c r="BV103" s="2" vm="2922">
        <f ca="1"/>
        <v>154.61000000000001</v>
      </c>
      <c r="BW103" s="2">
        <f t="shared" ca="1" si="83"/>
        <v>4.7439563296076048E-3</v>
      </c>
      <c r="BX103" s="2" vm="3813">
        <f ca="1"/>
        <v>247.62</v>
      </c>
      <c r="BY103" s="2">
        <f t="shared" ca="1" si="84"/>
        <v>-1.0488946264321079E-3</v>
      </c>
      <c r="BZ103" s="2" vm="3814">
        <f ca="1"/>
        <v>86.02</v>
      </c>
      <c r="CA103" s="2">
        <f t="shared" ca="1" si="85"/>
        <v>-7.6142131979696675E-3</v>
      </c>
      <c r="CB103" s="2" vm="3676">
        <f ca="1"/>
        <v>26.71</v>
      </c>
      <c r="CC103" s="2">
        <f t="shared" ca="1" si="86"/>
        <v>-1.3298854820834852E-2</v>
      </c>
      <c r="CD103" s="2" t="e" vm="92">
        <f ca="1"/>
        <v>#N/A</v>
      </c>
      <c r="CE103" s="2" t="e" vm="140">
        <f t="shared" ca="1" si="87"/>
        <v>#N/A</v>
      </c>
      <c r="CF103" s="2" vm="691">
        <f ca="1"/>
        <v>22.835000000000001</v>
      </c>
      <c r="CG103" s="2">
        <f t="shared" ca="1" si="88"/>
        <v>-2.1891418563918587E-4</v>
      </c>
      <c r="CH103" s="2" vm="3815">
        <f ca="1"/>
        <v>58.47</v>
      </c>
      <c r="CI103" s="2">
        <f t="shared" ca="1" si="89"/>
        <v>6.8457983912372324E-4</v>
      </c>
      <c r="CJ103" s="2" vm="1607">
        <f ca="1"/>
        <v>58.92</v>
      </c>
      <c r="CK103" s="2">
        <f t="shared" ca="1" si="90"/>
        <v>1.6975046681387058E-4</v>
      </c>
      <c r="CL103" s="2" vm="3816">
        <f ca="1"/>
        <v>57.19</v>
      </c>
      <c r="CM103" s="2">
        <f t="shared" ca="1" si="91"/>
        <v>-2.6159748866411872E-3</v>
      </c>
      <c r="CN103" s="2" vm="924">
        <f ca="1"/>
        <v>28.99</v>
      </c>
      <c r="CO103" s="2">
        <f t="shared" ca="1" si="92"/>
        <v>-2.4088093599449515E-3</v>
      </c>
      <c r="CP103" s="2" vm="3817">
        <f ca="1"/>
        <v>21.667899999999999</v>
      </c>
      <c r="CQ103" s="2">
        <f t="shared" ca="1" si="93"/>
        <v>-2.3022296368104253E-2</v>
      </c>
    </row>
    <row r="104" spans="1:95" x14ac:dyDescent="0.2">
      <c r="A104" s="7" vm="3818">
        <f ca="1"/>
        <v>45723</v>
      </c>
      <c r="B104" s="2" vm="3819">
        <f ca="1"/>
        <v>239.07</v>
      </c>
      <c r="C104" s="2">
        <f t="shared" ca="1" si="47"/>
        <v>1.5892576382101647E-2</v>
      </c>
      <c r="D104" s="2" vm="3820">
        <f ca="1"/>
        <v>112.69</v>
      </c>
      <c r="E104" s="2">
        <f t="shared" ca="1" si="48"/>
        <v>1.9173374333001762E-2</v>
      </c>
      <c r="F104" s="2" vm="3821">
        <f ca="1"/>
        <v>393.31</v>
      </c>
      <c r="G104" s="2">
        <f t="shared" ca="1" si="49"/>
        <v>-9.0201315225880829E-3</v>
      </c>
      <c r="H104" s="2" vm="3822">
        <f ca="1"/>
        <v>625.66</v>
      </c>
      <c r="I104" s="2">
        <f t="shared" ca="1" si="50"/>
        <v>-3.6150526332552704E-3</v>
      </c>
      <c r="J104" s="2" vm="3823">
        <f ca="1"/>
        <v>173.86</v>
      </c>
      <c r="K104" s="2">
        <f t="shared" ca="1" si="51"/>
        <v>8.7612416594140957E-3</v>
      </c>
      <c r="L104" s="2" vm="3824">
        <f ca="1"/>
        <v>575.91999999999996</v>
      </c>
      <c r="M104" s="2">
        <f t="shared" ca="1" si="52"/>
        <v>5.6049309423616186E-3</v>
      </c>
      <c r="N104" s="2" vm="3825">
        <f ca="1"/>
        <v>90.11</v>
      </c>
      <c r="O104" s="2">
        <f t="shared" ca="1" si="53"/>
        <v>-3.2079646017699804E-3</v>
      </c>
      <c r="P104" s="2" vm="3826">
        <f ca="1"/>
        <v>268.39</v>
      </c>
      <c r="Q104" s="2">
        <f t="shared" ca="1" si="54"/>
        <v>5.2190121155633307E-4</v>
      </c>
      <c r="R104" s="2" vm="3827">
        <f ca="1"/>
        <v>72.09</v>
      </c>
      <c r="S104" s="2">
        <f t="shared" ca="1" si="55"/>
        <v>1.3496415014761816E-2</v>
      </c>
      <c r="T104" s="2" vm="1733">
        <f ca="1"/>
        <v>94.39</v>
      </c>
      <c r="U104" s="2">
        <f t="shared" ca="1" si="56"/>
        <v>-1.2697069093218129E-3</v>
      </c>
      <c r="V104" s="2" vm="3828">
        <f ca="1"/>
        <v>47.060400000000001</v>
      </c>
      <c r="W104" s="2">
        <f t="shared" ca="1" si="57"/>
        <v>-5.4156339795991936E-4</v>
      </c>
      <c r="X104" s="2" vm="3829">
        <f ca="1"/>
        <v>132.4</v>
      </c>
      <c r="Y104" s="2">
        <f t="shared" ca="1" si="58"/>
        <v>-1.7658406291734645E-2</v>
      </c>
      <c r="Z104" s="2" vm="3830">
        <f ca="1"/>
        <v>87.43</v>
      </c>
      <c r="AA104" s="2">
        <f t="shared" ca="1" si="59"/>
        <v>1.7100977198697222E-2</v>
      </c>
      <c r="AB104" s="2" vm="3831">
        <f ca="1"/>
        <v>13.61</v>
      </c>
      <c r="AC104" s="2">
        <f t="shared" ca="1" si="60"/>
        <v>1.2648809523809519E-2</v>
      </c>
      <c r="AD104" s="2" vm="1584">
        <f ca="1"/>
        <v>3.6</v>
      </c>
      <c r="AE104" s="2">
        <f t="shared" ca="1" si="61"/>
        <v>-2.4390243902438987E-2</v>
      </c>
      <c r="AF104" s="2" vm="3512">
        <f ca="1"/>
        <v>29.59</v>
      </c>
      <c r="AG104" s="2">
        <f t="shared" ca="1" si="62"/>
        <v>-3.3681374200067839E-3</v>
      </c>
      <c r="AH104" s="2" vm="2481">
        <f ca="1"/>
        <v>26.5</v>
      </c>
      <c r="AI104" s="2">
        <f t="shared" ca="1" si="63"/>
        <v>7.9878280715101127E-3</v>
      </c>
      <c r="AJ104" s="2" vm="2304">
        <f ca="1"/>
        <v>4.8099999999999996</v>
      </c>
      <c r="AK104" s="2">
        <f t="shared" ca="1" si="64"/>
        <v>-4.1407867494824974E-3</v>
      </c>
      <c r="AL104" s="2" vm="3832">
        <f ca="1"/>
        <v>57.65</v>
      </c>
      <c r="AM104" s="2">
        <f t="shared" ca="1" si="65"/>
        <v>5.206525511975206E-4</v>
      </c>
      <c r="AN104" s="2" vm="3407">
        <f ca="1"/>
        <v>88.1</v>
      </c>
      <c r="AO104" s="2">
        <f t="shared" ca="1" si="66"/>
        <v>-4.1822086583023005E-3</v>
      </c>
      <c r="AP104" s="2" vm="2410">
        <f ca="1"/>
        <v>26.49</v>
      </c>
      <c r="AQ104" s="2">
        <f t="shared" ca="1" si="67"/>
        <v>-1.5077271013947493E-3</v>
      </c>
      <c r="AR104" s="2" vm="422">
        <f ca="1"/>
        <v>50.96</v>
      </c>
      <c r="AS104" s="2">
        <f t="shared" ca="1" si="68"/>
        <v>9.8212531919081259E-4</v>
      </c>
      <c r="AT104" s="2" vm="961">
        <f ca="1"/>
        <v>29.11</v>
      </c>
      <c r="AU104" s="2">
        <f t="shared" ca="1" si="69"/>
        <v>-6.8657741160314367E-4</v>
      </c>
      <c r="AV104" s="2" vm="2409">
        <f ca="1"/>
        <v>26.98</v>
      </c>
      <c r="AW104" s="2">
        <f t="shared" ca="1" si="70"/>
        <v>-3.6927621861151355E-3</v>
      </c>
      <c r="AX104" s="2" vm="1706">
        <f ca="1"/>
        <v>91.51</v>
      </c>
      <c r="AY104" s="2">
        <f t="shared" ca="1" si="71"/>
        <v>4.3730184760037446E-4</v>
      </c>
      <c r="AZ104" s="2" vm="3833">
        <f ca="1"/>
        <v>495.62</v>
      </c>
      <c r="BA104" s="2">
        <f t="shared" ca="1" si="72"/>
        <v>-4.4592640205687985E-3</v>
      </c>
      <c r="BB104" s="2" vm="3834">
        <f ca="1"/>
        <v>242.28</v>
      </c>
      <c r="BC104" s="2">
        <f t="shared" ca="1" si="73"/>
        <v>-1.7279143343879252E-2</v>
      </c>
      <c r="BD104" s="2" vm="3835">
        <f ca="1"/>
        <v>41.4</v>
      </c>
      <c r="BE104" s="2">
        <f t="shared" ca="1" si="74"/>
        <v>-1.4471780028944108E-3</v>
      </c>
      <c r="BF104" s="2" vm="3292">
        <f ca="1"/>
        <v>109.02</v>
      </c>
      <c r="BG104" s="2">
        <f t="shared" ca="1" si="75"/>
        <v>1.3008734435978364E-2</v>
      </c>
      <c r="BH104" s="2" vm="3836">
        <f ca="1"/>
        <v>156.34</v>
      </c>
      <c r="BI104" s="2">
        <f t="shared" ca="1" si="76"/>
        <v>2.2164105916966426E-2</v>
      </c>
      <c r="BJ104" s="2" vm="3837">
        <f ca="1"/>
        <v>166.69</v>
      </c>
      <c r="BK104" s="2">
        <f t="shared" ca="1" si="77"/>
        <v>5.1860338901283552E-3</v>
      </c>
      <c r="BL104" s="2" vm="3838">
        <f ca="1"/>
        <v>71.430000000000007</v>
      </c>
      <c r="BM104" s="2">
        <f t="shared" ca="1" si="78"/>
        <v>1.3766676128299932E-2</v>
      </c>
      <c r="BN104" s="2" vm="3839">
        <f ca="1"/>
        <v>321.29000000000002</v>
      </c>
      <c r="BO104" s="2">
        <f t="shared" ca="1" si="79"/>
        <v>3.5183812868511827E-2</v>
      </c>
      <c r="BP104" s="2" vm="2080">
        <f ca="1"/>
        <v>105.51</v>
      </c>
      <c r="BQ104" s="2">
        <f t="shared" ca="1" si="80"/>
        <v>7.5879730626954647E-4</v>
      </c>
      <c r="BR104" s="2" vm="3840">
        <f ca="1"/>
        <v>891.11</v>
      </c>
      <c r="BS104" s="2">
        <f t="shared" ca="1" si="81"/>
        <v>-1.6825543933977668E-2</v>
      </c>
      <c r="BT104" s="2" vm="3841">
        <f ca="1"/>
        <v>175.95</v>
      </c>
      <c r="BU104" s="2">
        <f t="shared" ca="1" si="82"/>
        <v>7.385778083132899E-3</v>
      </c>
      <c r="BV104" s="2" vm="3842">
        <f ca="1"/>
        <v>154.44</v>
      </c>
      <c r="BW104" s="2">
        <f t="shared" ca="1" si="83"/>
        <v>-1.099540780027268E-3</v>
      </c>
      <c r="BX104" s="2" vm="3843">
        <f ca="1"/>
        <v>255.91</v>
      </c>
      <c r="BY104" s="2">
        <f t="shared" ca="1" si="84"/>
        <v>3.3478717389548468E-2</v>
      </c>
      <c r="BZ104" s="2" vm="3049">
        <f ca="1"/>
        <v>87.64</v>
      </c>
      <c r="CA104" s="2">
        <f t="shared" ca="1" si="85"/>
        <v>1.8832829574517609E-2</v>
      </c>
      <c r="CB104" s="2" vm="3844">
        <f ca="1"/>
        <v>27.18</v>
      </c>
      <c r="CC104" s="2">
        <f t="shared" ca="1" si="86"/>
        <v>1.759640584050913E-2</v>
      </c>
      <c r="CD104" s="2" t="e" vm="92">
        <f ca="1"/>
        <v>#N/A</v>
      </c>
      <c r="CE104" s="2" t="e" vm="140">
        <f t="shared" ca="1" si="87"/>
        <v>#N/A</v>
      </c>
      <c r="CF104" s="2" vm="1495">
        <f ca="1"/>
        <v>22.805</v>
      </c>
      <c r="CG104" s="2">
        <f t="shared" ca="1" si="88"/>
        <v>-1.3137727173199534E-3</v>
      </c>
      <c r="CH104" s="2" vm="1066">
        <f ca="1"/>
        <v>58.46</v>
      </c>
      <c r="CI104" s="2">
        <f t="shared" ca="1" si="89"/>
        <v>-1.7102787754400564E-4</v>
      </c>
      <c r="CJ104" s="2" vm="3845">
        <f ca="1"/>
        <v>58.88</v>
      </c>
      <c r="CK104" s="2">
        <f t="shared" ca="1" si="90"/>
        <v>-6.7888662593345466E-4</v>
      </c>
      <c r="CL104" s="2" vm="3846">
        <f ca="1"/>
        <v>57.02</v>
      </c>
      <c r="CM104" s="2">
        <f t="shared" ca="1" si="91"/>
        <v>-2.9725476481901486E-3</v>
      </c>
      <c r="CN104" s="2" vm="943">
        <f ca="1"/>
        <v>28.95</v>
      </c>
      <c r="CO104" s="2">
        <f t="shared" ca="1" si="92"/>
        <v>-1.3797861331493325E-3</v>
      </c>
      <c r="CP104" s="2" vm="3847">
        <f ca="1"/>
        <v>21.886199999999999</v>
      </c>
      <c r="CQ104" s="2">
        <f t="shared" ca="1" si="93"/>
        <v>1.0074811126135863E-2</v>
      </c>
    </row>
    <row r="105" spans="1:95" x14ac:dyDescent="0.2">
      <c r="A105" s="7" vm="3848">
        <f ca="1"/>
        <v>45726</v>
      </c>
      <c r="B105" s="2" vm="946">
        <f ca="1"/>
        <v>227.48</v>
      </c>
      <c r="C105" s="2">
        <f t="shared" ca="1" si="47"/>
        <v>-4.8479524825364974E-2</v>
      </c>
      <c r="D105" s="2" vm="3849">
        <f ca="1"/>
        <v>106.98</v>
      </c>
      <c r="E105" s="2">
        <f t="shared" ca="1" si="48"/>
        <v>-5.0669979590025678E-2</v>
      </c>
      <c r="F105" s="2" vm="3850">
        <f ca="1"/>
        <v>380.16</v>
      </c>
      <c r="G105" s="2">
        <f t="shared" ca="1" si="49"/>
        <v>-3.3434186773791605E-2</v>
      </c>
      <c r="H105" s="2" vm="3851">
        <f ca="1"/>
        <v>597.99</v>
      </c>
      <c r="I105" s="2">
        <f t="shared" ca="1" si="50"/>
        <v>-4.4225298085221944E-2</v>
      </c>
      <c r="J105" s="2" vm="3852">
        <f ca="1"/>
        <v>165.87</v>
      </c>
      <c r="K105" s="2">
        <f t="shared" ca="1" si="51"/>
        <v>-4.5956516737605022E-2</v>
      </c>
      <c r="L105" s="2" vm="3853">
        <f ca="1"/>
        <v>560.58000000000004</v>
      </c>
      <c r="M105" s="2">
        <f t="shared" ca="1" si="52"/>
        <v>-2.6635643839422001E-2</v>
      </c>
      <c r="N105" s="2" vm="3854">
        <f ca="1"/>
        <v>91.05</v>
      </c>
      <c r="O105" s="2">
        <f t="shared" ca="1" si="53"/>
        <v>1.0431694595494371E-2</v>
      </c>
      <c r="P105" s="2" vm="3855">
        <f ca="1"/>
        <v>266.04000000000002</v>
      </c>
      <c r="Q105" s="2">
        <f t="shared" ca="1" si="54"/>
        <v>-8.7559148999588887E-3</v>
      </c>
      <c r="R105" s="2" vm="3856">
        <f ca="1"/>
        <v>70.89</v>
      </c>
      <c r="S105" s="2">
        <f t="shared" ca="1" si="55"/>
        <v>-1.6645859342488595E-2</v>
      </c>
      <c r="T105" s="2" vm="3857">
        <f ca="1"/>
        <v>95.05</v>
      </c>
      <c r="U105" s="2">
        <f t="shared" ca="1" si="56"/>
        <v>6.9922661298866045E-3</v>
      </c>
      <c r="V105" s="2" vm="3858">
        <f ca="1"/>
        <v>47.171999999999997</v>
      </c>
      <c r="W105" s="2">
        <f t="shared" ca="1" si="57"/>
        <v>2.3714205574112352E-3</v>
      </c>
      <c r="X105" s="2" vm="3859">
        <f ca="1"/>
        <v>126.01</v>
      </c>
      <c r="Y105" s="2">
        <f t="shared" ca="1" si="58"/>
        <v>-4.8262839879154078E-2</v>
      </c>
      <c r="Z105" s="2" vm="3860">
        <f ca="1"/>
        <v>88.08</v>
      </c>
      <c r="AA105" s="2">
        <f t="shared" ca="1" si="59"/>
        <v>7.4345190438063757E-3</v>
      </c>
      <c r="AB105" s="2" vm="3861">
        <f ca="1"/>
        <v>13.36</v>
      </c>
      <c r="AC105" s="2">
        <f t="shared" ca="1" si="60"/>
        <v>-1.8368846436443792E-2</v>
      </c>
      <c r="AD105" s="2" vm="205">
        <f ca="1"/>
        <v>2.9</v>
      </c>
      <c r="AE105" s="2">
        <f t="shared" ca="1" si="61"/>
        <v>-0.19444444444444448</v>
      </c>
      <c r="AF105" s="2" vm="961">
        <f ca="1"/>
        <v>29.11</v>
      </c>
      <c r="AG105" s="2">
        <f t="shared" ca="1" si="62"/>
        <v>-1.6221696519094303E-2</v>
      </c>
      <c r="AH105" s="2" vm="3252">
        <f ca="1"/>
        <v>26.63</v>
      </c>
      <c r="AI105" s="2">
        <f t="shared" ca="1" si="63"/>
        <v>4.9056603773584527E-3</v>
      </c>
      <c r="AJ105" s="2" vm="1819">
        <f ca="1"/>
        <v>4.9000000000000004</v>
      </c>
      <c r="AK105" s="2">
        <f t="shared" ca="1" si="64"/>
        <v>1.8711018711018868E-2</v>
      </c>
      <c r="AL105" s="2" vm="3380">
        <f ca="1"/>
        <v>57.17</v>
      </c>
      <c r="AM105" s="2">
        <f t="shared" ca="1" si="65"/>
        <v>-8.3261058109279605E-3</v>
      </c>
      <c r="AN105" s="2" vm="3862">
        <f ca="1"/>
        <v>87.55</v>
      </c>
      <c r="AO105" s="2">
        <f t="shared" ca="1" si="66"/>
        <v>-6.2429057888762447E-3</v>
      </c>
      <c r="AP105" s="2" vm="166">
        <f ca="1"/>
        <v>26.6</v>
      </c>
      <c r="AQ105" s="2">
        <f t="shared" ca="1" si="67"/>
        <v>4.1525103812760662E-3</v>
      </c>
      <c r="AR105" s="2" vm="339">
        <f ca="1"/>
        <v>50.94</v>
      </c>
      <c r="AS105" s="2">
        <f t="shared" ca="1" si="68"/>
        <v>-3.9246467817902523E-4</v>
      </c>
      <c r="AT105" s="2" vm="122">
        <f ca="1"/>
        <v>29.17</v>
      </c>
      <c r="AU105" s="2">
        <f t="shared" ca="1" si="69"/>
        <v>2.061147372037179E-3</v>
      </c>
      <c r="AV105" s="2" vm="1742">
        <f ca="1"/>
        <v>27.25</v>
      </c>
      <c r="AW105" s="2">
        <f t="shared" ca="1" si="70"/>
        <v>1.0007412898443275E-2</v>
      </c>
      <c r="AX105" s="2" vm="926">
        <f ca="1"/>
        <v>91.52</v>
      </c>
      <c r="AY105" s="2">
        <f t="shared" ca="1" si="71"/>
        <v>1.0927767457098573E-4</v>
      </c>
      <c r="AZ105" s="2" vm="3863">
        <f ca="1"/>
        <v>497.1</v>
      </c>
      <c r="BA105" s="2">
        <f t="shared" ca="1" si="72"/>
        <v>2.9861587506557811E-3</v>
      </c>
      <c r="BB105" s="2" vm="3864">
        <f ca="1"/>
        <v>232.22</v>
      </c>
      <c r="BC105" s="2">
        <f t="shared" ca="1" si="73"/>
        <v>-4.1522205712398889E-2</v>
      </c>
      <c r="BD105" s="2" vm="3865">
        <f ca="1"/>
        <v>39.83</v>
      </c>
      <c r="BE105" s="2">
        <f t="shared" ca="1" si="74"/>
        <v>-3.7922705314009673E-2</v>
      </c>
      <c r="BF105" s="2" vm="3866">
        <f ca="1"/>
        <v>111.8</v>
      </c>
      <c r="BG105" s="2">
        <f t="shared" ca="1" si="75"/>
        <v>2.5499908273711257E-2</v>
      </c>
      <c r="BH105" s="2" vm="3867">
        <f ca="1"/>
        <v>157.57</v>
      </c>
      <c r="BI105" s="2">
        <f t="shared" ca="1" si="76"/>
        <v>7.8674683382371092E-3</v>
      </c>
      <c r="BJ105" s="2" vm="3868">
        <f ca="1"/>
        <v>167.7</v>
      </c>
      <c r="BK105" s="2">
        <f t="shared" ca="1" si="77"/>
        <v>6.059151718759319E-3</v>
      </c>
      <c r="BL105" s="2" vm="3869">
        <f ca="1"/>
        <v>71.45</v>
      </c>
      <c r="BM105" s="2">
        <f t="shared" ca="1" si="78"/>
        <v>2.7999440011194205E-4</v>
      </c>
      <c r="BN105" s="2" vm="3870">
        <f ca="1"/>
        <v>317.25</v>
      </c>
      <c r="BO105" s="2">
        <f t="shared" ca="1" si="79"/>
        <v>-1.2574309813564133E-2</v>
      </c>
      <c r="BP105" s="2" vm="3871">
        <f ca="1"/>
        <v>103.08</v>
      </c>
      <c r="BQ105" s="2">
        <f t="shared" ca="1" si="80"/>
        <v>-2.3030992323002621E-2</v>
      </c>
      <c r="BR105" s="2" vm="3872">
        <f ca="1"/>
        <v>866.68</v>
      </c>
      <c r="BS105" s="2">
        <f t="shared" ca="1" si="81"/>
        <v>-2.7415246153673578E-2</v>
      </c>
      <c r="BT105" s="2" vm="3873">
        <f ca="1"/>
        <v>176.26</v>
      </c>
      <c r="BU105" s="2">
        <f t="shared" ca="1" si="82"/>
        <v>1.7618641659562506E-3</v>
      </c>
      <c r="BV105" s="2" vm="3874">
        <f ca="1"/>
        <v>156.25</v>
      </c>
      <c r="BW105" s="2">
        <f t="shared" ca="1" si="83"/>
        <v>1.1719761719761735E-2</v>
      </c>
      <c r="BX105" s="2" vm="3875">
        <f ca="1"/>
        <v>249.42</v>
      </c>
      <c r="BY105" s="2">
        <f t="shared" ca="1" si="84"/>
        <v>-2.5360478293149972E-2</v>
      </c>
      <c r="BZ105" s="2" vm="3876">
        <f ca="1"/>
        <v>88.11</v>
      </c>
      <c r="CA105" s="2">
        <f t="shared" ca="1" si="85"/>
        <v>5.3628480146051902E-3</v>
      </c>
      <c r="CB105" s="2" vm="3877">
        <f ca="1"/>
        <v>27.16</v>
      </c>
      <c r="CC105" s="2">
        <f t="shared" ca="1" si="86"/>
        <v>-7.3583517292124991E-4</v>
      </c>
      <c r="CD105" s="2" t="e" vm="92">
        <f ca="1"/>
        <v>#N/A</v>
      </c>
      <c r="CE105" s="2" t="e" vm="140">
        <f t="shared" ca="1" si="87"/>
        <v>#N/A</v>
      </c>
      <c r="CF105" s="2" vm="1683">
        <f ca="1"/>
        <v>22.925000000000001</v>
      </c>
      <c r="CG105" s="2">
        <f t="shared" ca="1" si="88"/>
        <v>5.2620039465030039E-3</v>
      </c>
      <c r="CH105" s="2" vm="3878">
        <f ca="1"/>
        <v>58.57</v>
      </c>
      <c r="CI105" s="2">
        <f t="shared" ca="1" si="89"/>
        <v>1.8816284639069352E-3</v>
      </c>
      <c r="CJ105" s="2" vm="3879">
        <f ca="1"/>
        <v>59.18</v>
      </c>
      <c r="CK105" s="2">
        <f t="shared" ca="1" si="90"/>
        <v>5.0951086956521254E-3</v>
      </c>
      <c r="CL105" s="2" vm="3880">
        <f ca="1"/>
        <v>57.6</v>
      </c>
      <c r="CM105" s="2">
        <f t="shared" ca="1" si="91"/>
        <v>1.0171869519466824E-2</v>
      </c>
      <c r="CN105" s="2" vm="732">
        <f ca="1"/>
        <v>29.04</v>
      </c>
      <c r="CO105" s="2">
        <f t="shared" ca="1" si="92"/>
        <v>3.1088082901554355E-3</v>
      </c>
      <c r="CP105" s="2" vm="3881">
        <f ca="1"/>
        <v>21.698699999999999</v>
      </c>
      <c r="CQ105" s="2">
        <f t="shared" ca="1" si="93"/>
        <v>-8.5670422457987238E-3</v>
      </c>
    </row>
    <row r="106" spans="1:95" x14ac:dyDescent="0.2">
      <c r="A106" s="7" vm="3882">
        <f ca="1"/>
        <v>45727</v>
      </c>
      <c r="B106" s="2" vm="3883">
        <f ca="1"/>
        <v>220.84</v>
      </c>
      <c r="C106" s="2">
        <f t="shared" ca="1" si="47"/>
        <v>-2.9189379286091027E-2</v>
      </c>
      <c r="D106" s="2" vm="3884">
        <f ca="1"/>
        <v>108.76</v>
      </c>
      <c r="E106" s="2">
        <f t="shared" ca="1" si="48"/>
        <v>1.6638624041876996E-2</v>
      </c>
      <c r="F106" s="2" vm="3885">
        <f ca="1"/>
        <v>380.45</v>
      </c>
      <c r="G106" s="2">
        <f t="shared" ca="1" si="49"/>
        <v>7.628367003366046E-4</v>
      </c>
      <c r="H106" s="2" vm="3886">
        <f ca="1"/>
        <v>605.71</v>
      </c>
      <c r="I106" s="2">
        <f t="shared" ca="1" si="50"/>
        <v>1.2909914881519803E-2</v>
      </c>
      <c r="J106" s="2" vm="3887">
        <f ca="1"/>
        <v>164.04</v>
      </c>
      <c r="K106" s="2">
        <f t="shared" ca="1" si="51"/>
        <v>-1.1032736480376273E-2</v>
      </c>
      <c r="L106" s="2" vm="3888">
        <f ca="1"/>
        <v>555.91999999999996</v>
      </c>
      <c r="M106" s="2">
        <f t="shared" ca="1" si="52"/>
        <v>-8.3128188661744651E-3</v>
      </c>
      <c r="N106" s="2" vm="1850">
        <f ca="1"/>
        <v>90.4</v>
      </c>
      <c r="O106" s="2">
        <f t="shared" ca="1" si="53"/>
        <v>-7.1389346512904066E-3</v>
      </c>
      <c r="P106" s="2" vm="3889">
        <f ca="1"/>
        <v>269.16000000000003</v>
      </c>
      <c r="Q106" s="2">
        <f t="shared" ca="1" si="54"/>
        <v>1.1727559765448821E-2</v>
      </c>
      <c r="R106" s="2" vm="3869">
        <f ca="1"/>
        <v>71.45</v>
      </c>
      <c r="S106" s="2">
        <f t="shared" ca="1" si="55"/>
        <v>7.8995627027789849E-3</v>
      </c>
      <c r="T106" s="2" vm="665">
        <f ca="1"/>
        <v>94.71</v>
      </c>
      <c r="U106" s="2">
        <f t="shared" ca="1" si="56"/>
        <v>-3.5770647027880422E-3</v>
      </c>
      <c r="V106" s="2" vm="3890">
        <f ca="1"/>
        <v>46.969700000000003</v>
      </c>
      <c r="W106" s="2">
        <f t="shared" ca="1" si="57"/>
        <v>-4.2885610107689723E-3</v>
      </c>
      <c r="X106" s="2" vm="3891">
        <f ca="1"/>
        <v>130.41999999999999</v>
      </c>
      <c r="Y106" s="2">
        <f t="shared" ca="1" si="58"/>
        <v>3.4997222442663137E-2</v>
      </c>
      <c r="Z106" s="2" vm="3892">
        <f ca="1"/>
        <v>87.38</v>
      </c>
      <c r="AA106" s="2">
        <f t="shared" ca="1" si="59"/>
        <v>-7.9473206176203775E-3</v>
      </c>
      <c r="AB106" s="2" vm="3893">
        <f ca="1"/>
        <v>13.46</v>
      </c>
      <c r="AC106" s="2">
        <f t="shared" ca="1" si="60"/>
        <v>7.4850299401198672E-3</v>
      </c>
      <c r="AD106" s="2" vm="3894">
        <f ca="1"/>
        <v>3.38</v>
      </c>
      <c r="AE106" s="2">
        <f t="shared" ca="1" si="61"/>
        <v>0.16551724137931034</v>
      </c>
      <c r="AF106" s="2" vm="3895">
        <f ca="1"/>
        <v>29.96</v>
      </c>
      <c r="AG106" s="2">
        <f t="shared" ca="1" si="62"/>
        <v>2.9199587770525642E-2</v>
      </c>
      <c r="AH106" s="2" vm="3896">
        <f ca="1"/>
        <v>26.64</v>
      </c>
      <c r="AI106" s="2">
        <f t="shared" ca="1" si="63"/>
        <v>3.7551633496062949E-4</v>
      </c>
      <c r="AJ106" s="2" vm="1702">
        <f ca="1"/>
        <v>4.8499999999999996</v>
      </c>
      <c r="AK106" s="2">
        <f t="shared" ca="1" si="64"/>
        <v>-1.0204081632653206E-2</v>
      </c>
      <c r="AL106" s="2" vm="3752">
        <f ca="1"/>
        <v>57.82</v>
      </c>
      <c r="AM106" s="2">
        <f t="shared" ca="1" si="65"/>
        <v>1.1369599440265849E-2</v>
      </c>
      <c r="AN106" s="2" vm="3897">
        <f ca="1"/>
        <v>89.93</v>
      </c>
      <c r="AO106" s="2">
        <f t="shared" ca="1" si="66"/>
        <v>2.7184466019417586E-2</v>
      </c>
      <c r="AP106" s="2" vm="338">
        <f ca="1"/>
        <v>26.52</v>
      </c>
      <c r="AQ106" s="2">
        <f t="shared" ca="1" si="67"/>
        <v>-3.0075187969925503E-3</v>
      </c>
      <c r="AR106" s="2" vm="339">
        <f ca="1"/>
        <v>50.94</v>
      </c>
      <c r="AS106" s="2">
        <f t="shared" ca="1" si="68"/>
        <v>0</v>
      </c>
      <c r="AT106" s="2" vm="596">
        <f ca="1"/>
        <v>29.15</v>
      </c>
      <c r="AU106" s="2">
        <f t="shared" ca="1" si="69"/>
        <v>-6.8563592732269886E-4</v>
      </c>
      <c r="AV106" s="2" vm="3898">
        <f ca="1"/>
        <v>27.05</v>
      </c>
      <c r="AW106" s="2">
        <f t="shared" ca="1" si="70"/>
        <v>-7.3394495412843772E-3</v>
      </c>
      <c r="AX106" s="2" vm="968">
        <f ca="1"/>
        <v>91.53</v>
      </c>
      <c r="AY106" s="2">
        <f t="shared" ca="1" si="71"/>
        <v>1.0926573426579017E-4</v>
      </c>
      <c r="AZ106" s="2" vm="3899">
        <f ca="1"/>
        <v>496.25</v>
      </c>
      <c r="BA106" s="2">
        <f t="shared" ca="1" si="72"/>
        <v>-1.7099175216254731E-3</v>
      </c>
      <c r="BB106" s="2" vm="3900">
        <f ca="1"/>
        <v>229.14</v>
      </c>
      <c r="BC106" s="2">
        <f t="shared" ca="1" si="73"/>
        <v>-1.3263284816122696E-2</v>
      </c>
      <c r="BD106" s="2" vm="3901">
        <f ca="1"/>
        <v>39.61</v>
      </c>
      <c r="BE106" s="2">
        <f t="shared" ca="1" si="74"/>
        <v>-5.5234747677629648E-3</v>
      </c>
      <c r="BF106" s="2" vm="3902">
        <f ca="1"/>
        <v>109.16</v>
      </c>
      <c r="BG106" s="2">
        <f t="shared" ca="1" si="75"/>
        <v>-2.3613595706618969E-2</v>
      </c>
      <c r="BH106" s="2" vm="3903">
        <f ca="1"/>
        <v>154.08000000000001</v>
      </c>
      <c r="BI106" s="2">
        <f t="shared" ca="1" si="76"/>
        <v>-2.2148886209303678E-2</v>
      </c>
      <c r="BJ106" s="2" vm="516">
        <f ca="1"/>
        <v>165.86</v>
      </c>
      <c r="BK106" s="2">
        <f t="shared" ca="1" si="77"/>
        <v>-1.0971973762671288E-2</v>
      </c>
      <c r="BL106" s="2" vm="1580">
        <f ca="1"/>
        <v>71.040000000000006</v>
      </c>
      <c r="BM106" s="2">
        <f t="shared" ca="1" si="78"/>
        <v>-5.7382785164450181E-3</v>
      </c>
      <c r="BN106" s="2" vm="3904">
        <f ca="1"/>
        <v>306.76</v>
      </c>
      <c r="BO106" s="2">
        <f t="shared" ca="1" si="79"/>
        <v>-3.3065405831363304E-2</v>
      </c>
      <c r="BP106" s="2" vm="3905">
        <f ca="1"/>
        <v>97.9</v>
      </c>
      <c r="BQ106" s="2">
        <f t="shared" ca="1" si="80"/>
        <v>-5.0252231276678237E-2</v>
      </c>
      <c r="BR106" s="2" vm="3906">
        <f ca="1"/>
        <v>895.1</v>
      </c>
      <c r="BS106" s="2">
        <f t="shared" ca="1" si="81"/>
        <v>3.2791803203027735E-2</v>
      </c>
      <c r="BT106" s="2" vm="3907">
        <f ca="1"/>
        <v>173.12</v>
      </c>
      <c r="BU106" s="2">
        <f t="shared" ca="1" si="82"/>
        <v>-1.7814592079881918E-2</v>
      </c>
      <c r="BV106" s="2" vm="3908">
        <f ca="1"/>
        <v>152.33000000000001</v>
      </c>
      <c r="BW106" s="2">
        <f t="shared" ca="1" si="83"/>
        <v>-2.5087999999999919E-2</v>
      </c>
      <c r="BX106" s="2" vm="3909">
        <f ca="1"/>
        <v>248.61</v>
      </c>
      <c r="BY106" s="2">
        <f t="shared" ca="1" si="84"/>
        <v>-3.2475342795284016E-3</v>
      </c>
      <c r="BZ106" s="2" vm="3910">
        <f ca="1"/>
        <v>88.63</v>
      </c>
      <c r="CA106" s="2">
        <f t="shared" ca="1" si="85"/>
        <v>5.9017137668822611E-3</v>
      </c>
      <c r="CB106" s="2" vm="3911">
        <f ca="1"/>
        <v>27.31</v>
      </c>
      <c r="CC106" s="2">
        <f t="shared" ca="1" si="86"/>
        <v>5.5228276877760888E-3</v>
      </c>
      <c r="CD106" s="2" t="e" vm="92">
        <f ca="1"/>
        <v>#N/A</v>
      </c>
      <c r="CE106" s="2" t="e" vm="140">
        <f t="shared" ca="1" si="87"/>
        <v>#N/A</v>
      </c>
      <c r="CF106" s="2" vm="3596">
        <f ca="1"/>
        <v>22.864999999999998</v>
      </c>
      <c r="CG106" s="2">
        <f t="shared" ca="1" si="88"/>
        <v>-2.6172300981462276E-3</v>
      </c>
      <c r="CH106" s="2" vm="1834">
        <f ca="1"/>
        <v>58.52</v>
      </c>
      <c r="CI106" s="2">
        <f t="shared" ca="1" si="89"/>
        <v>-8.536793580330742E-4</v>
      </c>
      <c r="CJ106" s="2" vm="1765">
        <f ca="1"/>
        <v>59.04</v>
      </c>
      <c r="CK106" s="2">
        <f t="shared" ca="1" si="90"/>
        <v>-2.3656640757012599E-3</v>
      </c>
      <c r="CL106" s="2" vm="3912">
        <f ca="1"/>
        <v>57.22</v>
      </c>
      <c r="CM106" s="2">
        <f t="shared" ca="1" si="91"/>
        <v>-6.5972222222222664E-3</v>
      </c>
      <c r="CN106" s="2" vm="2075">
        <f ca="1"/>
        <v>28.88</v>
      </c>
      <c r="CO106" s="2">
        <f t="shared" ca="1" si="92"/>
        <v>-5.5096418732782423E-3</v>
      </c>
      <c r="CP106" s="2" vm="3913">
        <f ca="1"/>
        <v>21.4223</v>
      </c>
      <c r="CQ106" s="2">
        <f t="shared" ca="1" si="93"/>
        <v>-1.2738090300340522E-2</v>
      </c>
    </row>
    <row r="107" spans="1:95" x14ac:dyDescent="0.2">
      <c r="A107" s="7" vm="3914">
        <f ca="1"/>
        <v>45728</v>
      </c>
      <c r="B107" s="2" vm="3915">
        <f ca="1"/>
        <v>216.98</v>
      </c>
      <c r="C107" s="2">
        <f t="shared" ca="1" si="47"/>
        <v>-1.747871762361897E-2</v>
      </c>
      <c r="D107" s="2" vm="3916">
        <f ca="1"/>
        <v>115.74</v>
      </c>
      <c r="E107" s="2">
        <f t="shared" ca="1" si="48"/>
        <v>6.4178006620080816E-2</v>
      </c>
      <c r="F107" s="2" vm="3917">
        <f ca="1"/>
        <v>383.27</v>
      </c>
      <c r="G107" s="2">
        <f t="shared" ca="1" si="49"/>
        <v>7.4122749375739082E-3</v>
      </c>
      <c r="H107" s="2" vm="3918">
        <f ca="1"/>
        <v>619.55999999999995</v>
      </c>
      <c r="I107" s="2">
        <f t="shared" ca="1" si="50"/>
        <v>2.2865727823545769E-2</v>
      </c>
      <c r="J107" s="2" vm="3919">
        <f ca="1"/>
        <v>167.11</v>
      </c>
      <c r="K107" s="2">
        <f t="shared" ca="1" si="51"/>
        <v>1.871494757376263E-2</v>
      </c>
      <c r="L107" s="2" vm="3920">
        <f ca="1"/>
        <v>558.87</v>
      </c>
      <c r="M107" s="2">
        <f t="shared" ca="1" si="52"/>
        <v>5.3065189235862098E-3</v>
      </c>
      <c r="N107" s="2" vm="3921">
        <f ca="1"/>
        <v>89.86</v>
      </c>
      <c r="O107" s="2">
        <f t="shared" ca="1" si="53"/>
        <v>-5.9734513274336968E-3</v>
      </c>
      <c r="P107" s="2" vm="3922">
        <f ca="1"/>
        <v>270.33</v>
      </c>
      <c r="Q107" s="2">
        <f t="shared" ca="1" si="54"/>
        <v>4.3468568880961475E-3</v>
      </c>
      <c r="R107" s="2" vm="3923">
        <f ca="1"/>
        <v>72.8</v>
      </c>
      <c r="S107" s="2">
        <f t="shared" ca="1" si="55"/>
        <v>1.8894331700489774E-2</v>
      </c>
      <c r="T107" s="2" vm="3924">
        <f ca="1"/>
        <v>94.43</v>
      </c>
      <c r="U107" s="2">
        <f t="shared" ca="1" si="56"/>
        <v>-2.9563932002955014E-3</v>
      </c>
      <c r="V107" s="2" vm="3925">
        <f ca="1"/>
        <v>46.874600000000001</v>
      </c>
      <c r="W107" s="2">
        <f t="shared" ca="1" si="57"/>
        <v>-2.0247095467929789E-3</v>
      </c>
      <c r="X107" s="2" vm="3926">
        <f ca="1"/>
        <v>134.91999999999999</v>
      </c>
      <c r="Y107" s="2">
        <f t="shared" ca="1" si="58"/>
        <v>3.4503910443183565E-2</v>
      </c>
      <c r="Z107" s="2" vm="2555">
        <f ca="1"/>
        <v>87.78</v>
      </c>
      <c r="AA107" s="2">
        <f t="shared" ca="1" si="59"/>
        <v>4.5777065690089918E-3</v>
      </c>
      <c r="AB107" s="2" vm="3927">
        <f ca="1"/>
        <v>13.7</v>
      </c>
      <c r="AC107" s="2">
        <f t="shared" ca="1" si="60"/>
        <v>1.7830609212481308E-2</v>
      </c>
      <c r="AD107" s="2" t="e" vm="92">
        <f ca="1"/>
        <v>#N/A</v>
      </c>
      <c r="AE107" s="2" t="e" vm="140">
        <f t="shared" ca="1" si="61"/>
        <v>#N/A</v>
      </c>
      <c r="AF107" s="2" vm="3928">
        <f ca="1"/>
        <v>30.22</v>
      </c>
      <c r="AG107" s="2">
        <f t="shared" ca="1" si="62"/>
        <v>8.6782376502002011E-3</v>
      </c>
      <c r="AH107" s="2" vm="3929">
        <f ca="1"/>
        <v>26.58</v>
      </c>
      <c r="AI107" s="2">
        <f t="shared" ca="1" si="63"/>
        <v>-2.2522522522523377E-3</v>
      </c>
      <c r="AJ107" s="2" vm="1702">
        <f ca="1"/>
        <v>4.8499999999999996</v>
      </c>
      <c r="AK107" s="2">
        <f t="shared" ca="1" si="64"/>
        <v>0</v>
      </c>
      <c r="AL107" s="2" vm="2284">
        <f ca="1"/>
        <v>58.07</v>
      </c>
      <c r="AM107" s="2">
        <f t="shared" ca="1" si="65"/>
        <v>4.3237634036665511E-3</v>
      </c>
      <c r="AN107" s="2" vm="330">
        <f ca="1"/>
        <v>90.64</v>
      </c>
      <c r="AO107" s="2">
        <f t="shared" ca="1" si="66"/>
        <v>7.895029467363434E-3</v>
      </c>
      <c r="AP107" s="2" vm="1400">
        <f ca="1"/>
        <v>26.51</v>
      </c>
      <c r="AQ107" s="2">
        <f t="shared" ca="1" si="67"/>
        <v>-3.7707390648559618E-4</v>
      </c>
      <c r="AR107" s="2" vm="339">
        <f ca="1"/>
        <v>50.94</v>
      </c>
      <c r="AS107" s="2">
        <f t="shared" ca="1" si="68"/>
        <v>0</v>
      </c>
      <c r="AT107" s="2" vm="74">
        <f ca="1"/>
        <v>29.14</v>
      </c>
      <c r="AU107" s="2">
        <f t="shared" ca="1" si="69"/>
        <v>-3.4305317324178426E-4</v>
      </c>
      <c r="AV107" s="2" vm="1366">
        <f ca="1"/>
        <v>26.91</v>
      </c>
      <c r="AW107" s="2">
        <f t="shared" ca="1" si="70"/>
        <v>-5.1756007393715551E-3</v>
      </c>
      <c r="AX107" s="2" vm="76">
        <f ca="1"/>
        <v>91.54</v>
      </c>
      <c r="AY107" s="2">
        <f t="shared" ca="1" si="71"/>
        <v>1.0925379656948667E-4</v>
      </c>
      <c r="AZ107" s="2" vm="3930">
        <f ca="1"/>
        <v>495.94</v>
      </c>
      <c r="BA107" s="2">
        <f t="shared" ca="1" si="72"/>
        <v>-6.2468513853904735E-4</v>
      </c>
      <c r="BB107" s="2" vm="3931">
        <f ca="1"/>
        <v>227.9</v>
      </c>
      <c r="BC107" s="2">
        <f t="shared" ca="1" si="73"/>
        <v>-5.4115387972417765E-3</v>
      </c>
      <c r="BD107" s="2" vm="3932">
        <f ca="1"/>
        <v>39.909999999999997</v>
      </c>
      <c r="BE107" s="2">
        <f t="shared" ca="1" si="74"/>
        <v>7.5738449886391607E-3</v>
      </c>
      <c r="BF107" s="2" vm="3933">
        <f ca="1"/>
        <v>109.13</v>
      </c>
      <c r="BG107" s="2">
        <f t="shared" ca="1" si="75"/>
        <v>-2.7482594356908335E-4</v>
      </c>
      <c r="BH107" s="2" vm="3934">
        <f ca="1"/>
        <v>152.66999999999999</v>
      </c>
      <c r="BI107" s="2">
        <f t="shared" ca="1" si="76"/>
        <v>-9.1510903426792901E-3</v>
      </c>
      <c r="BJ107" s="2" vm="3935">
        <f ca="1"/>
        <v>162.85</v>
      </c>
      <c r="BK107" s="2">
        <f t="shared" ca="1" si="77"/>
        <v>-1.8147835523935965E-2</v>
      </c>
      <c r="BL107" s="2" vm="3936">
        <f ca="1"/>
        <v>69.94</v>
      </c>
      <c r="BM107" s="2">
        <f t="shared" ca="1" si="78"/>
        <v>-1.5484234234234354E-2</v>
      </c>
      <c r="BN107" s="2" vm="3937">
        <f ca="1"/>
        <v>299.39999999999998</v>
      </c>
      <c r="BO107" s="2">
        <f t="shared" ca="1" si="79"/>
        <v>-2.3992697874559963E-2</v>
      </c>
      <c r="BP107" s="2" vm="3938">
        <f ca="1"/>
        <v>98.76</v>
      </c>
      <c r="BQ107" s="2">
        <f t="shared" ca="1" si="80"/>
        <v>8.7844739530132717E-3</v>
      </c>
      <c r="BR107" s="2" vm="3939">
        <f ca="1"/>
        <v>919.68</v>
      </c>
      <c r="BS107" s="2">
        <f t="shared" ca="1" si="81"/>
        <v>2.7460618925259667E-2</v>
      </c>
      <c r="BT107" s="2" vm="3940">
        <f ca="1"/>
        <v>168.37</v>
      </c>
      <c r="BU107" s="2">
        <f t="shared" ca="1" si="82"/>
        <v>-2.7437615526802218E-2</v>
      </c>
      <c r="BV107" s="2" vm="3941">
        <f ca="1"/>
        <v>148.16999999999999</v>
      </c>
      <c r="BW107" s="2">
        <f t="shared" ca="1" si="83"/>
        <v>-2.7309131490842412E-2</v>
      </c>
      <c r="BX107" s="2" vm="3942">
        <f ca="1"/>
        <v>249.48</v>
      </c>
      <c r="BY107" s="2">
        <f t="shared" ca="1" si="84"/>
        <v>3.499456980813226E-3</v>
      </c>
      <c r="BZ107" s="2" vm="2353">
        <f ca="1"/>
        <v>89.63</v>
      </c>
      <c r="CA107" s="2">
        <f t="shared" ca="1" si="85"/>
        <v>1.128286133363421E-2</v>
      </c>
      <c r="CB107" s="2" vm="1519">
        <f ca="1"/>
        <v>27.64</v>
      </c>
      <c r="CC107" s="2">
        <f t="shared" ca="1" si="86"/>
        <v>1.2083485902599849E-2</v>
      </c>
      <c r="CD107" s="2" t="e" vm="92">
        <f ca="1"/>
        <v>#N/A</v>
      </c>
      <c r="CE107" s="2" t="e" vm="140">
        <f t="shared" ca="1" si="87"/>
        <v>#N/A</v>
      </c>
      <c r="CF107" s="2" vm="1495">
        <f ca="1"/>
        <v>22.805</v>
      </c>
      <c r="CG107" s="2">
        <f t="shared" ca="1" si="88"/>
        <v>-2.6240979663240205E-3</v>
      </c>
      <c r="CH107" s="2" vm="777">
        <f ca="1"/>
        <v>58.48</v>
      </c>
      <c r="CI107" s="2">
        <f t="shared" ca="1" si="89"/>
        <v>-6.8352699931657985E-4</v>
      </c>
      <c r="CJ107" s="2" vm="1607">
        <f ca="1"/>
        <v>58.92</v>
      </c>
      <c r="CK107" s="2">
        <f t="shared" ca="1" si="90"/>
        <v>-2.0325203252032089E-3</v>
      </c>
      <c r="CL107" s="2" vm="3943">
        <f ca="1"/>
        <v>56.89</v>
      </c>
      <c r="CM107" s="2">
        <f t="shared" ca="1" si="91"/>
        <v>-5.7672142607479602E-3</v>
      </c>
      <c r="CN107" s="2" vm="3235">
        <f ca="1"/>
        <v>28.78</v>
      </c>
      <c r="CO107" s="2">
        <f t="shared" ca="1" si="92"/>
        <v>-3.4626038781162697E-3</v>
      </c>
      <c r="CP107" s="2" vm="3944">
        <f ca="1"/>
        <v>21.3521</v>
      </c>
      <c r="CQ107" s="2">
        <f t="shared" ca="1" si="93"/>
        <v>-3.2769590566839144E-3</v>
      </c>
    </row>
    <row r="108" spans="1:95" x14ac:dyDescent="0.2">
      <c r="A108" s="7" vm="3945">
        <f ca="1"/>
        <v>45729</v>
      </c>
      <c r="B108" s="2" vm="3946">
        <f ca="1"/>
        <v>209.68</v>
      </c>
      <c r="C108" s="2">
        <f t="shared" ca="1" si="47"/>
        <v>-3.3643653792976236E-2</v>
      </c>
      <c r="D108" s="2" vm="3947">
        <f ca="1"/>
        <v>115.58</v>
      </c>
      <c r="E108" s="2">
        <f t="shared" ca="1" si="48"/>
        <v>-1.382408847416594E-3</v>
      </c>
      <c r="F108" s="2" vm="3948">
        <f ca="1"/>
        <v>378.77</v>
      </c>
      <c r="G108" s="2">
        <f t="shared" ca="1" si="49"/>
        <v>-1.1741070263782712E-2</v>
      </c>
      <c r="H108" s="2" vm="3949">
        <f ca="1"/>
        <v>590.64</v>
      </c>
      <c r="I108" s="2">
        <f t="shared" ca="1" si="50"/>
        <v>-4.6678287817160505E-2</v>
      </c>
      <c r="J108" s="2" vm="3950">
        <f ca="1"/>
        <v>162.76</v>
      </c>
      <c r="K108" s="2">
        <f t="shared" ca="1" si="51"/>
        <v>-2.6030758183232736E-2</v>
      </c>
      <c r="L108" s="2" vm="3951">
        <f ca="1"/>
        <v>551.41999999999996</v>
      </c>
      <c r="M108" s="2">
        <f t="shared" ca="1" si="52"/>
        <v>-1.3330470413513063E-2</v>
      </c>
      <c r="N108" s="2" vm="3952">
        <f ca="1"/>
        <v>90.65</v>
      </c>
      <c r="O108" s="2">
        <f t="shared" ca="1" si="53"/>
        <v>8.791453371911933E-3</v>
      </c>
      <c r="P108" s="2" vm="3953">
        <f ca="1"/>
        <v>275.13</v>
      </c>
      <c r="Q108" s="2">
        <f t="shared" ca="1" si="54"/>
        <v>1.7756075907224545E-2</v>
      </c>
      <c r="R108" s="2" vm="3954">
        <f ca="1"/>
        <v>71.62</v>
      </c>
      <c r="S108" s="2">
        <f t="shared" ca="1" si="55"/>
        <v>-1.620879120879111E-2</v>
      </c>
      <c r="T108" s="2" vm="3955">
        <f ca="1"/>
        <v>94.81</v>
      </c>
      <c r="U108" s="2">
        <f t="shared" ca="1" si="56"/>
        <v>4.0241448692152435E-3</v>
      </c>
      <c r="V108" s="2" vm="3956">
        <f ca="1"/>
        <v>46.951900000000002</v>
      </c>
      <c r="W108" s="2">
        <f t="shared" ca="1" si="57"/>
        <v>1.6490807388223267E-3</v>
      </c>
      <c r="X108" s="2" vm="3957">
        <f ca="1"/>
        <v>130.24</v>
      </c>
      <c r="Y108" s="2">
        <f t="shared" ca="1" si="58"/>
        <v>-3.4687222057515406E-2</v>
      </c>
      <c r="Z108" s="2" vm="3706">
        <f ca="1"/>
        <v>87.18</v>
      </c>
      <c r="AA108" s="2">
        <f t="shared" ca="1" si="59"/>
        <v>-6.8352699931646648E-3</v>
      </c>
      <c r="AB108" s="2" vm="3766">
        <f ca="1"/>
        <v>13.49</v>
      </c>
      <c r="AC108" s="2">
        <f t="shared" ca="1" si="60"/>
        <v>-1.5328467153284606E-2</v>
      </c>
      <c r="AD108" s="2" vm="1551">
        <f ca="1"/>
        <v>3.3</v>
      </c>
      <c r="AE108" s="2" t="e" vm="140">
        <f t="shared" ca="1" si="61"/>
        <v>#N/A</v>
      </c>
      <c r="AF108" s="2" vm="3958">
        <f ca="1"/>
        <v>30.74</v>
      </c>
      <c r="AG108" s="2">
        <f t="shared" ca="1" si="62"/>
        <v>1.7207147584381192E-2</v>
      </c>
      <c r="AH108" s="2" vm="2373">
        <f ca="1"/>
        <v>26.62</v>
      </c>
      <c r="AI108" s="2">
        <f t="shared" ca="1" si="63"/>
        <v>1.5048908954101844E-3</v>
      </c>
      <c r="AJ108" s="2" vm="1819">
        <f ca="1"/>
        <v>4.9000000000000004</v>
      </c>
      <c r="AK108" s="2">
        <f t="shared" ca="1" si="64"/>
        <v>1.0309278350515611E-2</v>
      </c>
      <c r="AL108" s="2" vm="401">
        <f ca="1"/>
        <v>59.08</v>
      </c>
      <c r="AM108" s="2">
        <f t="shared" ca="1" si="65"/>
        <v>1.7392801790941933E-2</v>
      </c>
      <c r="AN108" s="2" vm="3671">
        <f ca="1"/>
        <v>91</v>
      </c>
      <c r="AO108" s="2">
        <f t="shared" ca="1" si="66"/>
        <v>3.9717563989408585E-3</v>
      </c>
      <c r="AP108" s="2" vm="72">
        <f ca="1"/>
        <v>26.54</v>
      </c>
      <c r="AQ108" s="2">
        <f t="shared" ca="1" si="67"/>
        <v>1.1316484345529076E-3</v>
      </c>
      <c r="AR108" s="2" vm="1746">
        <f ca="1"/>
        <v>50.92</v>
      </c>
      <c r="AS108" s="2">
        <f t="shared" ca="1" si="68"/>
        <v>-3.9261876717699295E-4</v>
      </c>
      <c r="AT108" s="2" vm="122">
        <f ca="1"/>
        <v>29.17</v>
      </c>
      <c r="AU108" s="2">
        <f t="shared" ca="1" si="69"/>
        <v>1.0295126973233059E-3</v>
      </c>
      <c r="AV108" s="2" vm="3959">
        <f ca="1"/>
        <v>27.13</v>
      </c>
      <c r="AW108" s="2">
        <f t="shared" ca="1" si="70"/>
        <v>8.1753994797472643E-3</v>
      </c>
      <c r="AX108" s="2" vm="1786">
        <f ca="1"/>
        <v>91.56</v>
      </c>
      <c r="AY108" s="2">
        <f t="shared" ca="1" si="71"/>
        <v>2.184837229625958E-4</v>
      </c>
      <c r="AZ108" s="2" vm="3960">
        <f ca="1"/>
        <v>504.25</v>
      </c>
      <c r="BA108" s="2">
        <f t="shared" ca="1" si="72"/>
        <v>1.6756059200709768E-2</v>
      </c>
      <c r="BB108" s="2" vm="3961">
        <f ca="1"/>
        <v>225.19</v>
      </c>
      <c r="BC108" s="2">
        <f t="shared" ca="1" si="73"/>
        <v>-1.1891180342255409E-2</v>
      </c>
      <c r="BD108" s="2" vm="3962">
        <f ca="1"/>
        <v>39.67</v>
      </c>
      <c r="BE108" s="2">
        <f t="shared" ca="1" si="74"/>
        <v>-6.0135304434977424E-3</v>
      </c>
      <c r="BF108" s="2" vm="2985">
        <f ca="1"/>
        <v>108.67</v>
      </c>
      <c r="BG108" s="2">
        <f t="shared" ca="1" si="75"/>
        <v>-4.2151562356821564E-3</v>
      </c>
      <c r="BH108" s="2" vm="3963">
        <f ca="1"/>
        <v>153.61000000000001</v>
      </c>
      <c r="BI108" s="2">
        <f t="shared" ca="1" si="76"/>
        <v>6.1570708063144446E-3</v>
      </c>
      <c r="BJ108" s="2" vm="3964">
        <f ca="1"/>
        <v>162.99</v>
      </c>
      <c r="BK108" s="2">
        <f t="shared" ca="1" si="77"/>
        <v>8.5968682836975617E-4</v>
      </c>
      <c r="BL108" s="2" vm="3965">
        <f ca="1"/>
        <v>69.62</v>
      </c>
      <c r="BM108" s="2">
        <f t="shared" ca="1" si="78"/>
        <v>-4.5753503002572658E-3</v>
      </c>
      <c r="BN108" s="2" vm="3966">
        <f ca="1"/>
        <v>297.5</v>
      </c>
      <c r="BO108" s="2">
        <f t="shared" ca="1" si="79"/>
        <v>-6.3460253841014606E-3</v>
      </c>
      <c r="BP108" s="2" vm="3967">
        <f ca="1"/>
        <v>96.87</v>
      </c>
      <c r="BQ108" s="2">
        <f t="shared" ca="1" si="80"/>
        <v>-1.9137302551640346E-2</v>
      </c>
      <c r="BR108" s="2" vm="3968">
        <f ca="1"/>
        <v>890.17</v>
      </c>
      <c r="BS108" s="2">
        <f t="shared" ca="1" si="81"/>
        <v>-3.208724773834376E-2</v>
      </c>
      <c r="BT108" s="2" vm="3969">
        <f ca="1"/>
        <v>168.59</v>
      </c>
      <c r="BU108" s="2">
        <f t="shared" ca="1" si="82"/>
        <v>1.3066460770921118E-3</v>
      </c>
      <c r="BV108" s="2" vm="3970">
        <f ca="1"/>
        <v>148.34</v>
      </c>
      <c r="BW108" s="2">
        <f t="shared" ca="1" si="83"/>
        <v>1.1473307687117225E-3</v>
      </c>
      <c r="BX108" s="2" vm="3971">
        <f ca="1"/>
        <v>246.39</v>
      </c>
      <c r="BY108" s="2">
        <f t="shared" ca="1" si="84"/>
        <v>-1.2385762385762399E-2</v>
      </c>
      <c r="BZ108" s="2" vm="3972">
        <f ca="1"/>
        <v>88.3</v>
      </c>
      <c r="CA108" s="2">
        <f t="shared" ca="1" si="85"/>
        <v>-1.4838781657927015E-2</v>
      </c>
      <c r="CB108" s="2" vm="2840">
        <f ca="1"/>
        <v>27.26</v>
      </c>
      <c r="CC108" s="2">
        <f t="shared" ca="1" si="86"/>
        <v>-1.3748191027496345E-2</v>
      </c>
      <c r="CD108" s="2" t="e" vm="92">
        <f ca="1"/>
        <v>#N/A</v>
      </c>
      <c r="CE108" s="2" t="e" vm="140">
        <f t="shared" ca="1" si="87"/>
        <v>#N/A</v>
      </c>
      <c r="CF108" s="2" vm="3973">
        <f ca="1"/>
        <v>22.88</v>
      </c>
      <c r="CG108" s="2">
        <f t="shared" ca="1" si="88"/>
        <v>3.2887524665643187E-3</v>
      </c>
      <c r="CH108" s="2" vm="484">
        <f ca="1"/>
        <v>58.53</v>
      </c>
      <c r="CI108" s="2">
        <f t="shared" ca="1" si="89"/>
        <v>8.5499316005479252E-4</v>
      </c>
      <c r="CJ108" s="2" vm="3974">
        <f ca="1"/>
        <v>59.09</v>
      </c>
      <c r="CK108" s="2">
        <f t="shared" ca="1" si="90"/>
        <v>2.8852681602172725E-3</v>
      </c>
      <c r="CL108" s="2" vm="3975">
        <f ca="1"/>
        <v>57.35</v>
      </c>
      <c r="CM108" s="2">
        <f t="shared" ca="1" si="91"/>
        <v>8.0857795746176984E-3</v>
      </c>
      <c r="CN108" s="2" vm="860">
        <f ca="1"/>
        <v>28.87</v>
      </c>
      <c r="CO108" s="2">
        <f t="shared" ca="1" si="92"/>
        <v>3.1271716469770624E-3</v>
      </c>
      <c r="CP108" s="2" vm="3976">
        <f ca="1"/>
        <v>20.995899999999999</v>
      </c>
      <c r="CQ108" s="2">
        <f t="shared" ca="1" si="93"/>
        <v>-1.6682199877295498E-2</v>
      </c>
    </row>
    <row r="109" spans="1:95" x14ac:dyDescent="0.2">
      <c r="A109" s="7" vm="3977">
        <f ca="1"/>
        <v>45730</v>
      </c>
      <c r="B109" s="2" vm="3978">
        <f ca="1"/>
        <v>213.49</v>
      </c>
      <c r="C109" s="2">
        <f t="shared" ca="1" si="47"/>
        <v>1.8170545593285015E-2</v>
      </c>
      <c r="D109" s="2" vm="3979">
        <f ca="1"/>
        <v>121.67</v>
      </c>
      <c r="E109" s="2">
        <f t="shared" ca="1" si="48"/>
        <v>5.2690776951029618E-2</v>
      </c>
      <c r="F109" s="2" vm="3980">
        <f ca="1"/>
        <v>388.56</v>
      </c>
      <c r="G109" s="2">
        <f t="shared" ca="1" si="49"/>
        <v>2.5846819969902634E-2</v>
      </c>
      <c r="H109" s="2" vm="3981">
        <f ca="1"/>
        <v>607.6</v>
      </c>
      <c r="I109" s="2">
        <f t="shared" ca="1" si="50"/>
        <v>2.8714614655289239E-2</v>
      </c>
      <c r="J109" s="2" vm="3982">
        <f ca="1"/>
        <v>165.49</v>
      </c>
      <c r="K109" s="2">
        <f t="shared" ca="1" si="51"/>
        <v>1.6773162939297238E-2</v>
      </c>
      <c r="L109" s="2" vm="3983">
        <f ca="1"/>
        <v>562.80999999999995</v>
      </c>
      <c r="M109" s="2">
        <f t="shared" ca="1" si="52"/>
        <v>2.0655761488520524E-2</v>
      </c>
      <c r="N109" s="2" vm="879">
        <f ca="1"/>
        <v>90.17</v>
      </c>
      <c r="O109" s="2">
        <f t="shared" ca="1" si="53"/>
        <v>-5.2950910093767676E-3</v>
      </c>
      <c r="P109" s="2" vm="3984">
        <f ca="1"/>
        <v>275.24</v>
      </c>
      <c r="Q109" s="2">
        <f t="shared" ca="1" si="54"/>
        <v>3.9981099843715203E-4</v>
      </c>
      <c r="R109" s="2" vm="3985">
        <f ca="1"/>
        <v>72.28</v>
      </c>
      <c r="S109" s="2">
        <f t="shared" ca="1" si="55"/>
        <v>9.2153029879921324E-3</v>
      </c>
      <c r="T109" s="2" vm="3986">
        <f ca="1"/>
        <v>94.48</v>
      </c>
      <c r="U109" s="2">
        <f t="shared" ca="1" si="56"/>
        <v>-3.4806455015293563E-3</v>
      </c>
      <c r="V109" s="2" vm="3987">
        <f ca="1"/>
        <v>46.957599999999999</v>
      </c>
      <c r="W109" s="2">
        <f t="shared" ca="1" si="57"/>
        <v>1.2140083787870935E-4</v>
      </c>
      <c r="X109" s="2" vm="3988">
        <f ca="1"/>
        <v>134.32</v>
      </c>
      <c r="Y109" s="2">
        <f t="shared" ca="1" si="58"/>
        <v>3.1326781326781204E-2</v>
      </c>
      <c r="Z109" s="2" vm="3989">
        <f ca="1"/>
        <v>89.76</v>
      </c>
      <c r="AA109" s="2">
        <f t="shared" ca="1" si="59"/>
        <v>2.959394356503783E-2</v>
      </c>
      <c r="AB109" s="2" vm="3831">
        <f ca="1"/>
        <v>13.61</v>
      </c>
      <c r="AC109" s="2">
        <f t="shared" ca="1" si="60"/>
        <v>8.8954781319495347E-3</v>
      </c>
      <c r="AD109" s="2" vm="3990">
        <f ca="1"/>
        <v>3.1</v>
      </c>
      <c r="AE109" s="2">
        <f t="shared" ca="1" si="61"/>
        <v>-6.0606060606060531E-2</v>
      </c>
      <c r="AF109" s="2" vm="503">
        <f ca="1"/>
        <v>30.71</v>
      </c>
      <c r="AG109" s="2">
        <f t="shared" ca="1" si="62"/>
        <v>-9.7592713077415693E-4</v>
      </c>
      <c r="AH109" s="2" vm="3991">
        <f ca="1"/>
        <v>26.46</v>
      </c>
      <c r="AI109" s="2">
        <f t="shared" ca="1" si="63"/>
        <v>-6.0105184072126276E-3</v>
      </c>
      <c r="AJ109" s="2" vm="3992">
        <f ca="1"/>
        <v>4.8899999999999997</v>
      </c>
      <c r="AK109" s="2">
        <f t="shared" ca="1" si="64"/>
        <v>-2.0408163265307499E-3</v>
      </c>
      <c r="AL109" s="2" vm="485">
        <f ca="1"/>
        <v>59.12</v>
      </c>
      <c r="AM109" s="2">
        <f t="shared" ca="1" si="65"/>
        <v>6.7704807041298488E-4</v>
      </c>
      <c r="AN109" s="2" vm="3993">
        <f ca="1"/>
        <v>90.92</v>
      </c>
      <c r="AO109" s="2">
        <f t="shared" ca="1" si="66"/>
        <v>-8.7912087912086036E-4</v>
      </c>
      <c r="AP109" s="2" vm="3991">
        <f ca="1"/>
        <v>26.46</v>
      </c>
      <c r="AQ109" s="2">
        <f t="shared" ca="1" si="67"/>
        <v>-3.0143180105500489E-3</v>
      </c>
      <c r="AR109" s="2" vm="1924">
        <f ca="1"/>
        <v>50.97</v>
      </c>
      <c r="AS109" s="2">
        <f t="shared" ca="1" si="68"/>
        <v>9.8193244304786253E-4</v>
      </c>
      <c r="AT109" s="2" vm="74">
        <f ca="1"/>
        <v>29.14</v>
      </c>
      <c r="AU109" s="2">
        <f t="shared" ca="1" si="69"/>
        <v>-1.0284538909839265E-3</v>
      </c>
      <c r="AV109" s="2" vm="1701">
        <f ca="1"/>
        <v>27</v>
      </c>
      <c r="AW109" s="2">
        <f t="shared" ca="1" si="70"/>
        <v>-4.7917434574271658E-3</v>
      </c>
      <c r="AX109" s="2" vm="1008">
        <f ca="1"/>
        <v>91.58</v>
      </c>
      <c r="AY109" s="2">
        <f t="shared" ca="1" si="71"/>
        <v>2.1843599825246854E-4</v>
      </c>
      <c r="AZ109" s="2" vm="3994">
        <f ca="1"/>
        <v>514.6</v>
      </c>
      <c r="BA109" s="2">
        <f t="shared" ca="1" si="72"/>
        <v>2.0525532969757111E-2</v>
      </c>
      <c r="BB109" s="2" vm="3995">
        <f ca="1"/>
        <v>232.44</v>
      </c>
      <c r="BC109" s="2">
        <f t="shared" ca="1" si="73"/>
        <v>3.2195035303521469E-2</v>
      </c>
      <c r="BD109" s="2" vm="3996">
        <f ca="1"/>
        <v>40.89</v>
      </c>
      <c r="BE109" s="2">
        <f t="shared" ca="1" si="74"/>
        <v>3.0753718174943254E-2</v>
      </c>
      <c r="BF109" s="2" vm="3997">
        <f ca="1"/>
        <v>111.9</v>
      </c>
      <c r="BG109" s="2">
        <f t="shared" ca="1" si="75"/>
        <v>2.9723014631453059E-2</v>
      </c>
      <c r="BH109" s="2" vm="3998">
        <f ca="1"/>
        <v>157.02000000000001</v>
      </c>
      <c r="BI109" s="2">
        <f t="shared" ca="1" si="76"/>
        <v>2.2199075581016837E-2</v>
      </c>
      <c r="BJ109" s="2" vm="3377">
        <f ca="1"/>
        <v>162.81</v>
      </c>
      <c r="BK109" s="2">
        <f t="shared" ca="1" si="77"/>
        <v>-1.104362230811748E-3</v>
      </c>
      <c r="BL109" s="2" vm="3999">
        <f ca="1"/>
        <v>69.16</v>
      </c>
      <c r="BM109" s="2">
        <f t="shared" ca="1" si="78"/>
        <v>-6.6072967538064915E-3</v>
      </c>
      <c r="BN109" s="2" vm="4000">
        <f ca="1"/>
        <v>299.83</v>
      </c>
      <c r="BO109" s="2">
        <f t="shared" ca="1" si="79"/>
        <v>7.831932773109191E-3</v>
      </c>
      <c r="BP109" s="2" vm="1176">
        <f ca="1"/>
        <v>98.64</v>
      </c>
      <c r="BQ109" s="2">
        <f t="shared" ca="1" si="80"/>
        <v>1.8271910808299742E-2</v>
      </c>
      <c r="BR109" s="2" vm="4001">
        <f ca="1"/>
        <v>918</v>
      </c>
      <c r="BS109" s="2">
        <f t="shared" ca="1" si="81"/>
        <v>3.1263691205050771E-2</v>
      </c>
      <c r="BT109" s="2" vm="3229">
        <f ca="1"/>
        <v>167.97</v>
      </c>
      <c r="BU109" s="2">
        <f t="shared" ca="1" si="82"/>
        <v>-3.6775609466753933E-3</v>
      </c>
      <c r="BV109" s="2" vm="4002">
        <f ca="1"/>
        <v>148.59</v>
      </c>
      <c r="BW109" s="2">
        <f t="shared" ca="1" si="83"/>
        <v>1.6853175138196036E-3</v>
      </c>
      <c r="BX109" s="2" vm="4003">
        <f ca="1"/>
        <v>254.12</v>
      </c>
      <c r="BY109" s="2">
        <f t="shared" ca="1" si="84"/>
        <v>3.1373026502699047E-2</v>
      </c>
      <c r="BZ109" s="2" vm="4004">
        <f ca="1"/>
        <v>91.04</v>
      </c>
      <c r="CA109" s="2">
        <f t="shared" ca="1" si="85"/>
        <v>3.1030577576444045E-2</v>
      </c>
      <c r="CB109" s="2" vm="3348">
        <f ca="1"/>
        <v>28.19</v>
      </c>
      <c r="CC109" s="2">
        <f t="shared" ca="1" si="86"/>
        <v>3.4115920763022729E-2</v>
      </c>
      <c r="CD109" s="2" t="e" vm="92">
        <f ca="1"/>
        <v>#N/A</v>
      </c>
      <c r="CE109" s="2" t="e" vm="140">
        <f t="shared" ca="1" si="87"/>
        <v>#N/A</v>
      </c>
      <c r="CF109" s="2" vm="776">
        <f ca="1"/>
        <v>22.82</v>
      </c>
      <c r="CG109" s="2">
        <f t="shared" ca="1" si="88"/>
        <v>-2.6223776223775665E-3</v>
      </c>
      <c r="CH109" s="2" vm="777">
        <f ca="1"/>
        <v>58.48</v>
      </c>
      <c r="CI109" s="2">
        <f t="shared" ca="1" si="89"/>
        <v>-8.5426277122850267E-4</v>
      </c>
      <c r="CJ109" s="2" vm="1607">
        <f ca="1"/>
        <v>58.92</v>
      </c>
      <c r="CK109" s="2">
        <f t="shared" ca="1" si="90"/>
        <v>-2.8769673379590742E-3</v>
      </c>
      <c r="CL109" s="2" vm="4005">
        <f ca="1"/>
        <v>57.06</v>
      </c>
      <c r="CM109" s="2">
        <f t="shared" ca="1" si="91"/>
        <v>-5.0566695727985904E-3</v>
      </c>
      <c r="CN109" s="2" vm="690">
        <f ca="1"/>
        <v>28.85</v>
      </c>
      <c r="CO109" s="2">
        <f t="shared" ca="1" si="92"/>
        <v>-6.9276065119499729E-4</v>
      </c>
      <c r="CP109" s="2" vm="4006">
        <f ca="1"/>
        <v>21.476500000000001</v>
      </c>
      <c r="CQ109" s="2">
        <f t="shared" ca="1" si="93"/>
        <v>2.2890183321505751E-2</v>
      </c>
    </row>
    <row r="110" spans="1:95" x14ac:dyDescent="0.2">
      <c r="A110" s="7" vm="4007">
        <f ca="1"/>
        <v>45733</v>
      </c>
      <c r="B110" s="2" vm="4008">
        <f ca="1"/>
        <v>214</v>
      </c>
      <c r="C110" s="2">
        <f t="shared" ca="1" si="47"/>
        <v>2.3888706730994E-3</v>
      </c>
      <c r="D110" s="2" vm="4009">
        <f ca="1"/>
        <v>119.53</v>
      </c>
      <c r="E110" s="2">
        <f t="shared" ca="1" si="48"/>
        <v>-1.7588559217555689E-2</v>
      </c>
      <c r="F110" s="2" vm="4010">
        <f ca="1"/>
        <v>388.7</v>
      </c>
      <c r="G110" s="2">
        <f t="shared" ca="1" si="49"/>
        <v>3.6030471484451912E-4</v>
      </c>
      <c r="H110" s="2" vm="4011">
        <f ca="1"/>
        <v>604.9</v>
      </c>
      <c r="I110" s="2">
        <f t="shared" ca="1" si="50"/>
        <v>-4.4437129690586656E-3</v>
      </c>
      <c r="J110" s="2" vm="4012">
        <f ca="1"/>
        <v>164.29</v>
      </c>
      <c r="K110" s="2">
        <f t="shared" ca="1" si="51"/>
        <v>-7.2511934255847302E-3</v>
      </c>
      <c r="L110" s="2" vm="4013">
        <f ca="1"/>
        <v>567.15</v>
      </c>
      <c r="M110" s="2">
        <f t="shared" ca="1" si="52"/>
        <v>7.7113057692649953E-3</v>
      </c>
      <c r="N110" s="2" vm="4014">
        <f ca="1"/>
        <v>90.62</v>
      </c>
      <c r="O110" s="2">
        <f t="shared" ca="1" si="53"/>
        <v>4.9905733614284443E-3</v>
      </c>
      <c r="P110" s="2" vm="4015">
        <f ca="1"/>
        <v>276.73</v>
      </c>
      <c r="Q110" s="2">
        <f t="shared" ca="1" si="54"/>
        <v>5.413457346315975E-3</v>
      </c>
      <c r="R110" s="2" vm="4016">
        <f ca="1"/>
        <v>72.709999999999994</v>
      </c>
      <c r="S110" s="2">
        <f t="shared" ca="1" si="55"/>
        <v>5.9490868843385808E-3</v>
      </c>
      <c r="T110" s="2" vm="3763">
        <f ca="1"/>
        <v>94.56</v>
      </c>
      <c r="U110" s="2">
        <f t="shared" ca="1" si="56"/>
        <v>8.4674005080438491E-4</v>
      </c>
      <c r="V110" s="2" vm="4017">
        <f ca="1"/>
        <v>47.034999999999997</v>
      </c>
      <c r="W110" s="2">
        <f t="shared" ca="1" si="57"/>
        <v>1.6482954835851332E-3</v>
      </c>
      <c r="X110" s="2" vm="4018">
        <f ca="1"/>
        <v>138.69999999999999</v>
      </c>
      <c r="Y110" s="2">
        <f t="shared" ca="1" si="58"/>
        <v>3.2608695652173877E-2</v>
      </c>
      <c r="Z110" s="2" vm="4019">
        <f ca="1"/>
        <v>91.19</v>
      </c>
      <c r="AA110" s="2">
        <f t="shared" ca="1" si="59"/>
        <v>1.5931372549019523E-2</v>
      </c>
      <c r="AB110" s="2" vm="4020">
        <f ca="1"/>
        <v>13.72</v>
      </c>
      <c r="AC110" s="2">
        <f t="shared" ca="1" si="60"/>
        <v>8.0822924320353567E-3</v>
      </c>
      <c r="AD110" s="2" t="e" vm="92">
        <f ca="1"/>
        <v>#N/A</v>
      </c>
      <c r="AE110" s="2" t="e" vm="140">
        <f t="shared" ca="1" si="61"/>
        <v>#N/A</v>
      </c>
      <c r="AF110" s="2" vm="710">
        <f ca="1"/>
        <v>30.81</v>
      </c>
      <c r="AG110" s="2">
        <f t="shared" ca="1" si="62"/>
        <v>3.2562683165092109E-3</v>
      </c>
      <c r="AH110" s="2" vm="3154">
        <f ca="1"/>
        <v>26.86</v>
      </c>
      <c r="AI110" s="2">
        <f t="shared" ca="1" si="63"/>
        <v>1.5117157974300778E-2</v>
      </c>
      <c r="AJ110" s="2" vm="1363">
        <f ca="1"/>
        <v>4.97</v>
      </c>
      <c r="AK110" s="2">
        <f t="shared" ca="1" si="64"/>
        <v>1.6359918200409013E-2</v>
      </c>
      <c r="AL110" s="2" vm="4021">
        <f ca="1"/>
        <v>59.44</v>
      </c>
      <c r="AM110" s="2">
        <f t="shared" ca="1" si="65"/>
        <v>5.4127198917456069E-3</v>
      </c>
      <c r="AN110" s="2" vm="717">
        <f ca="1"/>
        <v>91.78</v>
      </c>
      <c r="AO110" s="2">
        <f t="shared" ca="1" si="66"/>
        <v>9.4588649362076487E-3</v>
      </c>
      <c r="AP110" s="2" vm="2410">
        <f ca="1"/>
        <v>26.49</v>
      </c>
      <c r="AQ110" s="2">
        <f t="shared" ca="1" si="67"/>
        <v>1.1337868480724711E-3</v>
      </c>
      <c r="AR110" s="2" vm="1924">
        <f ca="1"/>
        <v>50.97</v>
      </c>
      <c r="AS110" s="2">
        <f t="shared" ca="1" si="68"/>
        <v>0</v>
      </c>
      <c r="AT110" s="2" vm="759">
        <f ca="1"/>
        <v>29.12</v>
      </c>
      <c r="AU110" s="2">
        <f t="shared" ca="1" si="69"/>
        <v>-6.8634179821549666E-4</v>
      </c>
      <c r="AV110" s="2" vm="3611">
        <f ca="1"/>
        <v>27.12</v>
      </c>
      <c r="AW110" s="2">
        <f t="shared" ca="1" si="70"/>
        <v>4.4444444444444809E-3</v>
      </c>
      <c r="AX110" s="2" vm="170">
        <f ca="1"/>
        <v>91.6</v>
      </c>
      <c r="AY110" s="2">
        <f t="shared" ca="1" si="71"/>
        <v>2.183882943873774E-4</v>
      </c>
      <c r="AZ110" s="2" vm="4022">
        <f ca="1"/>
        <v>523.01</v>
      </c>
      <c r="BA110" s="2">
        <f t="shared" ca="1" si="72"/>
        <v>1.6342790516906274E-2</v>
      </c>
      <c r="BB110" s="2" vm="4023">
        <f ca="1"/>
        <v>233.93</v>
      </c>
      <c r="BC110" s="2">
        <f t="shared" ca="1" si="73"/>
        <v>6.4102564102564491E-3</v>
      </c>
      <c r="BD110" s="2" vm="4024">
        <f ca="1"/>
        <v>41.44</v>
      </c>
      <c r="BE110" s="2">
        <f t="shared" ca="1" si="74"/>
        <v>1.3450721447786675E-2</v>
      </c>
      <c r="BF110" s="2" vm="4025">
        <f ca="1"/>
        <v>113.76</v>
      </c>
      <c r="BG110" s="2">
        <f t="shared" ca="1" si="75"/>
        <v>1.6621983914209111E-2</v>
      </c>
      <c r="BH110" s="2" vm="1129">
        <f ca="1"/>
        <v>158.72</v>
      </c>
      <c r="BI110" s="2">
        <f t="shared" ca="1" si="76"/>
        <v>1.0826646287097112E-2</v>
      </c>
      <c r="BJ110" s="2" vm="4026">
        <f ca="1"/>
        <v>162.84</v>
      </c>
      <c r="BK110" s="2">
        <f t="shared" ca="1" si="77"/>
        <v>1.8426386585591262E-4</v>
      </c>
      <c r="BL110" s="2" vm="4027">
        <f ca="1"/>
        <v>70.12</v>
      </c>
      <c r="BM110" s="2">
        <f t="shared" ca="1" si="78"/>
        <v>1.388085598611926E-2</v>
      </c>
      <c r="BN110" s="2" vm="4028">
        <f ca="1"/>
        <v>303.97000000000003</v>
      </c>
      <c r="BO110" s="2">
        <f t="shared" ca="1" si="79"/>
        <v>1.380782443384599E-2</v>
      </c>
      <c r="BP110" s="2" vm="4029">
        <f ca="1"/>
        <v>99.36</v>
      </c>
      <c r="BQ110" s="2">
        <f t="shared" ca="1" si="80"/>
        <v>7.2992700729926892E-3</v>
      </c>
      <c r="BR110" s="2" vm="4030">
        <f ca="1"/>
        <v>950.02</v>
      </c>
      <c r="BS110" s="2">
        <f t="shared" ca="1" si="81"/>
        <v>3.488017429193898E-2</v>
      </c>
      <c r="BT110" s="2" vm="4031">
        <f ca="1"/>
        <v>169.76</v>
      </c>
      <c r="BU110" s="2">
        <f t="shared" ca="1" si="82"/>
        <v>1.0656664880633399E-2</v>
      </c>
      <c r="BV110" s="2" vm="4032">
        <f ca="1"/>
        <v>151.34</v>
      </c>
      <c r="BW110" s="2">
        <f t="shared" ca="1" si="83"/>
        <v>1.8507301971868902E-2</v>
      </c>
      <c r="BX110" s="2" vm="4033">
        <f ca="1"/>
        <v>257.75</v>
      </c>
      <c r="BY110" s="2">
        <f t="shared" ca="1" si="84"/>
        <v>1.4284589957500376E-2</v>
      </c>
      <c r="BZ110" s="2" vm="2802">
        <f ca="1"/>
        <v>92.52</v>
      </c>
      <c r="CA110" s="2">
        <f t="shared" ca="1" si="85"/>
        <v>1.6256590509665967E-2</v>
      </c>
      <c r="CB110" s="2" vm="4034">
        <f ca="1"/>
        <v>28.76</v>
      </c>
      <c r="CC110" s="2">
        <f t="shared" ca="1" si="86"/>
        <v>2.0219936147570068E-2</v>
      </c>
      <c r="CD110" s="2" t="e" vm="92">
        <f ca="1"/>
        <v>#N/A</v>
      </c>
      <c r="CE110" s="2" t="e" vm="140">
        <f t="shared" ca="1" si="87"/>
        <v>#N/A</v>
      </c>
      <c r="CF110" s="2" vm="691">
        <f ca="1"/>
        <v>22.835000000000001</v>
      </c>
      <c r="CG110" s="2">
        <f t="shared" ca="1" si="88"/>
        <v>6.5731814198074362E-4</v>
      </c>
      <c r="CH110" s="2" vm="1066">
        <f ca="1"/>
        <v>58.46</v>
      </c>
      <c r="CI110" s="2">
        <f t="shared" ca="1" si="89"/>
        <v>-3.4199726402181979E-4</v>
      </c>
      <c r="CJ110" s="2" vm="1607">
        <f ca="1"/>
        <v>58.92</v>
      </c>
      <c r="CK110" s="2">
        <f t="shared" ca="1" si="90"/>
        <v>0</v>
      </c>
      <c r="CL110" s="2" vm="4035">
        <f ca="1"/>
        <v>57.28</v>
      </c>
      <c r="CM110" s="2">
        <f t="shared" ca="1" si="91"/>
        <v>3.8555906063792297E-3</v>
      </c>
      <c r="CN110" s="2" vm="333">
        <f ca="1"/>
        <v>28.89</v>
      </c>
      <c r="CO110" s="2">
        <f t="shared" ca="1" si="92"/>
        <v>1.3864818024263135E-3</v>
      </c>
      <c r="CP110" s="2" vm="4036">
        <f ca="1"/>
        <v>21.8429</v>
      </c>
      <c r="CQ110" s="2">
        <f t="shared" ca="1" si="93"/>
        <v>1.7060507997113065E-2</v>
      </c>
    </row>
    <row r="111" spans="1:95" x14ac:dyDescent="0.2">
      <c r="A111" s="7" vm="4037">
        <f ca="1"/>
        <v>45734</v>
      </c>
      <c r="B111" s="2" vm="4038">
        <f ca="1"/>
        <v>212.69</v>
      </c>
      <c r="C111" s="2">
        <f t="shared" ca="1" si="47"/>
        <v>-6.1214953271028147E-3</v>
      </c>
      <c r="D111" s="2" vm="4039">
        <f ca="1"/>
        <v>115.43</v>
      </c>
      <c r="E111" s="2">
        <f t="shared" ca="1" si="48"/>
        <v>-3.4301012298167774E-2</v>
      </c>
      <c r="F111" s="2" vm="4040">
        <f ca="1"/>
        <v>383.52</v>
      </c>
      <c r="G111" s="2">
        <f t="shared" ca="1" si="49"/>
        <v>-1.3326472858245451E-2</v>
      </c>
      <c r="H111" s="2" vm="4041">
        <f ca="1"/>
        <v>582.36</v>
      </c>
      <c r="I111" s="2">
        <f t="shared" ca="1" si="50"/>
        <v>-3.726235741444861E-2</v>
      </c>
      <c r="J111" s="2" vm="4042">
        <f ca="1"/>
        <v>160.66999999999999</v>
      </c>
      <c r="K111" s="2">
        <f t="shared" ca="1" si="51"/>
        <v>-2.2034207803274725E-2</v>
      </c>
      <c r="L111" s="2" vm="4043">
        <f ca="1"/>
        <v>561.02</v>
      </c>
      <c r="M111" s="2">
        <f t="shared" ca="1" si="52"/>
        <v>-1.080842810543947E-2</v>
      </c>
      <c r="N111" s="2" vm="4044">
        <f ca="1"/>
        <v>90.71</v>
      </c>
      <c r="O111" s="2">
        <f t="shared" ca="1" si="53"/>
        <v>9.9315824321329939E-4</v>
      </c>
      <c r="P111" s="2" vm="4045">
        <f ca="1"/>
        <v>279.95999999999998</v>
      </c>
      <c r="Q111" s="2">
        <f t="shared" ca="1" si="54"/>
        <v>1.1672026885411633E-2</v>
      </c>
      <c r="R111" s="2" vm="4046">
        <f ca="1"/>
        <v>72.209999999999994</v>
      </c>
      <c r="S111" s="2">
        <f t="shared" ca="1" si="55"/>
        <v>-6.8766332003850923E-3</v>
      </c>
      <c r="T111" s="2" vm="625">
        <f ca="1"/>
        <v>94.67</v>
      </c>
      <c r="U111" s="2">
        <f t="shared" ca="1" si="56"/>
        <v>1.1632825719120074E-3</v>
      </c>
      <c r="V111" s="2" vm="4047">
        <f ca="1"/>
        <v>47.087899999999998</v>
      </c>
      <c r="W111" s="2">
        <f t="shared" ca="1" si="57"/>
        <v>1.1246943765281399E-3</v>
      </c>
      <c r="X111" s="2" vm="4048">
        <f ca="1"/>
        <v>137.44</v>
      </c>
      <c r="Y111" s="2">
        <f t="shared" ca="1" si="58"/>
        <v>-9.0843547224224303E-3</v>
      </c>
      <c r="Z111" s="2" vm="4049">
        <f ca="1"/>
        <v>91.34</v>
      </c>
      <c r="AA111" s="2">
        <f t="shared" ca="1" si="59"/>
        <v>1.6449172058340354E-3</v>
      </c>
      <c r="AB111" s="2" vm="4050">
        <f ca="1"/>
        <v>13.66</v>
      </c>
      <c r="AC111" s="2">
        <f t="shared" ca="1" si="60"/>
        <v>-4.3731778425656334E-3</v>
      </c>
      <c r="AD111" s="2" vm="1740">
        <f ca="1"/>
        <v>3.2</v>
      </c>
      <c r="AE111" s="2" t="e" vm="140">
        <f t="shared" ca="1" si="61"/>
        <v>#N/A</v>
      </c>
      <c r="AF111" s="2" vm="418">
        <f ca="1"/>
        <v>30.85</v>
      </c>
      <c r="AG111" s="2">
        <f t="shared" ca="1" si="62"/>
        <v>1.2982797792925253E-3</v>
      </c>
      <c r="AH111" s="2" vm="3154">
        <f ca="1"/>
        <v>26.86</v>
      </c>
      <c r="AI111" s="2">
        <f t="shared" ca="1" si="63"/>
        <v>0</v>
      </c>
      <c r="AJ111" s="2" vm="1279">
        <f ca="1"/>
        <v>4.95</v>
      </c>
      <c r="AK111" s="2">
        <f t="shared" ca="1" si="64"/>
        <v>-4.0241448692152062E-3</v>
      </c>
      <c r="AL111" s="2" vm="4051">
        <f ca="1"/>
        <v>60.17</v>
      </c>
      <c r="AM111" s="2">
        <f t="shared" ca="1" si="65"/>
        <v>1.2281292059219448E-2</v>
      </c>
      <c r="AN111" s="2" vm="1963">
        <f ca="1"/>
        <v>91.65</v>
      </c>
      <c r="AO111" s="2">
        <f t="shared" ca="1" si="66"/>
        <v>-1.4164305949008003E-3</v>
      </c>
      <c r="AP111" s="2" vm="338">
        <f ca="1"/>
        <v>26.52</v>
      </c>
      <c r="AQ111" s="2">
        <f t="shared" ca="1" si="67"/>
        <v>1.1325028312571212E-3</v>
      </c>
      <c r="AR111" s="2" vm="466">
        <f ca="1"/>
        <v>50.98</v>
      </c>
      <c r="AS111" s="2">
        <f t="shared" ca="1" si="68"/>
        <v>1.9619383951340025E-4</v>
      </c>
      <c r="AT111" s="2" vm="74">
        <f ca="1"/>
        <v>29.14</v>
      </c>
      <c r="AU111" s="2">
        <f t="shared" ca="1" si="69"/>
        <v>6.8681318681317212E-4</v>
      </c>
      <c r="AV111" s="2" vm="3877">
        <f ca="1"/>
        <v>27.16</v>
      </c>
      <c r="AW111" s="2">
        <f t="shared" ca="1" si="70"/>
        <v>1.4749262536872842E-3</v>
      </c>
      <c r="AX111" s="2" vm="170">
        <f ca="1"/>
        <v>91.6</v>
      </c>
      <c r="AY111" s="2">
        <f t="shared" ca="1" si="71"/>
        <v>0</v>
      </c>
      <c r="AZ111" s="2" vm="4052">
        <f ca="1"/>
        <v>523.14</v>
      </c>
      <c r="BA111" s="2">
        <f t="shared" ca="1" si="72"/>
        <v>2.4856121297871063E-4</v>
      </c>
      <c r="BB111" s="2" vm="4053">
        <f ca="1"/>
        <v>234.97</v>
      </c>
      <c r="BC111" s="2">
        <f t="shared" ca="1" si="73"/>
        <v>4.445774376950336E-3</v>
      </c>
      <c r="BD111" s="2" vm="4054">
        <f ca="1"/>
        <v>41.65</v>
      </c>
      <c r="BE111" s="2">
        <f t="shared" ca="1" si="74"/>
        <v>5.0675675675675887E-3</v>
      </c>
      <c r="BF111" s="2" vm="4055">
        <f ca="1"/>
        <v>113.64</v>
      </c>
      <c r="BG111" s="2">
        <f t="shared" ca="1" si="75"/>
        <v>-1.0548523206751455E-3</v>
      </c>
      <c r="BH111" s="2" vm="4056">
        <f ca="1"/>
        <v>160.81</v>
      </c>
      <c r="BI111" s="2">
        <f t="shared" ca="1" si="76"/>
        <v>1.3167842741935505E-2</v>
      </c>
      <c r="BJ111" s="2" vm="4057">
        <f ca="1"/>
        <v>164.25</v>
      </c>
      <c r="BK111" s="2">
        <f t="shared" ca="1" si="77"/>
        <v>8.6588061901252556E-3</v>
      </c>
      <c r="BL111" s="2" vm="4058">
        <f ca="1"/>
        <v>69.38</v>
      </c>
      <c r="BM111" s="2">
        <f t="shared" ca="1" si="78"/>
        <v>-1.0553337136337836E-2</v>
      </c>
      <c r="BN111" s="2" vm="4059">
        <f ca="1"/>
        <v>303.60000000000002</v>
      </c>
      <c r="BO111" s="2">
        <f t="shared" ca="1" si="79"/>
        <v>-1.2172253840839705E-3</v>
      </c>
      <c r="BP111" s="2" vm="4060">
        <f ca="1"/>
        <v>99.35</v>
      </c>
      <c r="BQ111" s="2">
        <f t="shared" ca="1" si="80"/>
        <v>-1.006441223833043E-4</v>
      </c>
      <c r="BR111" s="2" vm="4061">
        <f ca="1"/>
        <v>929.98</v>
      </c>
      <c r="BS111" s="2">
        <f t="shared" ca="1" si="81"/>
        <v>-2.1094292751731504E-2</v>
      </c>
      <c r="BT111" s="2" vm="1019">
        <f ca="1"/>
        <v>167.71</v>
      </c>
      <c r="BU111" s="2">
        <f t="shared" ca="1" si="82"/>
        <v>-1.2075871819038544E-2</v>
      </c>
      <c r="BV111" s="2" vm="4062">
        <f ca="1"/>
        <v>148.99</v>
      </c>
      <c r="BW111" s="2">
        <f t="shared" ca="1" si="83"/>
        <v>-1.5527950310558968E-2</v>
      </c>
      <c r="BX111" s="2" vm="4063">
        <f ca="1"/>
        <v>257.93</v>
      </c>
      <c r="BY111" s="2">
        <f t="shared" ca="1" si="84"/>
        <v>6.983511154219469E-4</v>
      </c>
      <c r="BZ111" s="2" vm="2802">
        <f ca="1"/>
        <v>92.52</v>
      </c>
      <c r="CA111" s="2">
        <f t="shared" ca="1" si="85"/>
        <v>0</v>
      </c>
      <c r="CB111" s="2" vm="2557">
        <f ca="1"/>
        <v>28.94</v>
      </c>
      <c r="CC111" s="2">
        <f t="shared" ca="1" si="86"/>
        <v>6.2586926286508941E-3</v>
      </c>
      <c r="CD111" s="2" t="e" vm="92">
        <f ca="1"/>
        <v>#N/A</v>
      </c>
      <c r="CE111" s="2" t="e" vm="140">
        <f t="shared" ca="1" si="87"/>
        <v>#N/A</v>
      </c>
      <c r="CF111" s="2" vm="3596">
        <f ca="1"/>
        <v>22.864999999999998</v>
      </c>
      <c r="CG111" s="2">
        <f t="shared" ca="1" si="88"/>
        <v>1.3137727173197979E-3</v>
      </c>
      <c r="CH111" s="2" vm="777">
        <f ca="1"/>
        <v>58.48</v>
      </c>
      <c r="CI111" s="2">
        <f t="shared" ca="1" si="89"/>
        <v>3.4211426616483103E-4</v>
      </c>
      <c r="CJ111" s="2" vm="4064">
        <f ca="1"/>
        <v>58.98</v>
      </c>
      <c r="CK111" s="2">
        <f t="shared" ca="1" si="90"/>
        <v>1.0183299389001216E-3</v>
      </c>
      <c r="CL111" s="2" vm="4065">
        <f ca="1"/>
        <v>57.38</v>
      </c>
      <c r="CM111" s="2">
        <f t="shared" ca="1" si="91"/>
        <v>1.7458100558659466E-3</v>
      </c>
      <c r="CN111" s="2" vm="2307">
        <f ca="1"/>
        <v>28.96</v>
      </c>
      <c r="CO111" s="2">
        <f t="shared" ca="1" si="92"/>
        <v>2.422983731394956E-3</v>
      </c>
      <c r="CP111" s="2" vm="4066">
        <f ca="1"/>
        <v>21.769300000000001</v>
      </c>
      <c r="CQ111" s="2">
        <f t="shared" ca="1" si="93"/>
        <v>-3.369515952552042E-3</v>
      </c>
    </row>
    <row r="112" spans="1:95" x14ac:dyDescent="0.2">
      <c r="A112" s="7" vm="4067">
        <f ca="1"/>
        <v>45735</v>
      </c>
      <c r="B112" s="2" vm="4068">
        <f ca="1"/>
        <v>215.24</v>
      </c>
      <c r="C112" s="2">
        <f t="shared" ca="1" si="47"/>
        <v>1.1989280173021822E-2</v>
      </c>
      <c r="D112" s="2" vm="4069">
        <f ca="1"/>
        <v>117.52</v>
      </c>
      <c r="E112" s="2">
        <f t="shared" ca="1" si="48"/>
        <v>1.8106211556787568E-2</v>
      </c>
      <c r="F112" s="2" vm="4070">
        <f ca="1"/>
        <v>387.82</v>
      </c>
      <c r="G112" s="2">
        <f t="shared" ca="1" si="49"/>
        <v>1.1211931581143126E-2</v>
      </c>
      <c r="H112" s="2" vm="4071">
        <f ca="1"/>
        <v>584.05999999999995</v>
      </c>
      <c r="I112" s="2">
        <f t="shared" ca="1" si="50"/>
        <v>2.9191565354762207E-3</v>
      </c>
      <c r="J112" s="2" vm="4072">
        <f ca="1"/>
        <v>163.89</v>
      </c>
      <c r="K112" s="2">
        <f t="shared" ca="1" si="51"/>
        <v>2.0041077985933898E-2</v>
      </c>
      <c r="L112" s="2" vm="4073">
        <f ca="1"/>
        <v>567.13</v>
      </c>
      <c r="M112" s="2">
        <f t="shared" ca="1" si="52"/>
        <v>1.0890877330576474E-2</v>
      </c>
      <c r="N112" s="2" vm="4074">
        <f ca="1"/>
        <v>91.18</v>
      </c>
      <c r="O112" s="2">
        <f t="shared" ca="1" si="53"/>
        <v>5.1813471502592115E-3</v>
      </c>
      <c r="P112" s="2" vm="4075">
        <f ca="1"/>
        <v>281.11</v>
      </c>
      <c r="Q112" s="2">
        <f t="shared" ca="1" si="54"/>
        <v>4.1077296756680745E-3</v>
      </c>
      <c r="R112" s="2" vm="4076">
        <f ca="1"/>
        <v>72.42</v>
      </c>
      <c r="S112" s="2">
        <f t="shared" ca="1" si="55"/>
        <v>2.9081844619859849E-3</v>
      </c>
      <c r="T112" s="2" vm="4077">
        <f ca="1"/>
        <v>94.96</v>
      </c>
      <c r="U112" s="2">
        <f t="shared" ca="1" si="56"/>
        <v>3.0632724199851275E-3</v>
      </c>
      <c r="V112" s="2" vm="4078">
        <f ca="1"/>
        <v>47.26</v>
      </c>
      <c r="W112" s="2">
        <f t="shared" ca="1" si="57"/>
        <v>3.6548667492073412E-3</v>
      </c>
      <c r="X112" s="2" vm="4079">
        <f ca="1"/>
        <v>143.4</v>
      </c>
      <c r="Y112" s="2">
        <f t="shared" ca="1" si="58"/>
        <v>4.3364377182770725E-2</v>
      </c>
      <c r="Z112" s="2" vm="4080">
        <f ca="1"/>
        <v>92.83</v>
      </c>
      <c r="AA112" s="2">
        <f t="shared" ca="1" si="59"/>
        <v>1.631267790672208E-2</v>
      </c>
      <c r="AB112" s="2" vm="4081">
        <f ca="1"/>
        <v>13.69</v>
      </c>
      <c r="AC112" s="2">
        <f t="shared" ca="1" si="60"/>
        <v>2.1961932650072739E-3</v>
      </c>
      <c r="AD112" s="2" t="e" vm="92">
        <f ca="1"/>
        <v>#N/A</v>
      </c>
      <c r="AE112" s="2" t="e" vm="140">
        <f t="shared" ca="1" si="61"/>
        <v>#N/A</v>
      </c>
      <c r="AF112" s="2" vm="4082">
        <f ca="1"/>
        <v>30.75</v>
      </c>
      <c r="AG112" s="2">
        <f t="shared" ca="1" si="62"/>
        <v>-3.2414910858995596E-3</v>
      </c>
      <c r="AH112" s="2" vm="2030">
        <f ca="1"/>
        <v>26.85</v>
      </c>
      <c r="AI112" s="2">
        <f t="shared" ca="1" si="63"/>
        <v>-3.7230081906172789E-4</v>
      </c>
      <c r="AJ112" s="2" vm="1086">
        <f ca="1"/>
        <v>4.9400000000000004</v>
      </c>
      <c r="AK112" s="2">
        <f t="shared" ca="1" si="64"/>
        <v>-2.0202020202019773E-3</v>
      </c>
      <c r="AL112" s="2" vm="4083">
        <f ca="1"/>
        <v>60.4</v>
      </c>
      <c r="AM112" s="2">
        <f t="shared" ca="1" si="65"/>
        <v>3.8225029084260737E-3</v>
      </c>
      <c r="AN112" s="2" vm="964">
        <f ca="1"/>
        <v>91.27</v>
      </c>
      <c r="AO112" s="2">
        <f t="shared" ca="1" si="66"/>
        <v>-4.1462084015276559E-3</v>
      </c>
      <c r="AP112" s="2" vm="4084">
        <f ca="1"/>
        <v>26.65</v>
      </c>
      <c r="AQ112" s="2">
        <f t="shared" ca="1" si="67"/>
        <v>4.9019607843136881E-3</v>
      </c>
      <c r="AR112" s="2" vm="509">
        <f ca="1"/>
        <v>50.99</v>
      </c>
      <c r="AS112" s="2">
        <f t="shared" ca="1" si="68"/>
        <v>1.9615535504129299E-4</v>
      </c>
      <c r="AT112" s="2" vm="122">
        <f ca="1"/>
        <v>29.17</v>
      </c>
      <c r="AU112" s="2">
        <f t="shared" ca="1" si="69"/>
        <v>1.0295126973233059E-3</v>
      </c>
      <c r="AV112" s="2" vm="4085">
        <f ca="1"/>
        <v>27.27</v>
      </c>
      <c r="AW112" s="2">
        <f t="shared" ca="1" si="70"/>
        <v>4.0500736377024824E-3</v>
      </c>
      <c r="AX112" s="2" vm="1887">
        <f ca="1"/>
        <v>91.61</v>
      </c>
      <c r="AY112" s="2">
        <f t="shared" ca="1" si="71"/>
        <v>1.0917030567691175E-4</v>
      </c>
      <c r="AZ112" s="2" vm="4086">
        <f ca="1"/>
        <v>525.27</v>
      </c>
      <c r="BA112" s="2">
        <f t="shared" ca="1" si="72"/>
        <v>4.0715678403486551E-3</v>
      </c>
      <c r="BB112" s="2" vm="4087">
        <f ca="1"/>
        <v>239.11</v>
      </c>
      <c r="BC112" s="2">
        <f t="shared" ca="1" si="73"/>
        <v>1.7619270545176043E-2</v>
      </c>
      <c r="BD112" s="2" vm="4088">
        <f ca="1"/>
        <v>42.21</v>
      </c>
      <c r="BE112" s="2">
        <f t="shared" ca="1" si="74"/>
        <v>1.3445378151260559E-2</v>
      </c>
      <c r="BF112" s="2" vm="4089">
        <f ca="1"/>
        <v>115.41</v>
      </c>
      <c r="BG112" s="2">
        <f t="shared" ca="1" si="75"/>
        <v>1.5575501583949278E-2</v>
      </c>
      <c r="BH112" s="2" vm="4090">
        <f ca="1"/>
        <v>164.05</v>
      </c>
      <c r="BI112" s="2">
        <f t="shared" ca="1" si="76"/>
        <v>2.0148000746222305E-2</v>
      </c>
      <c r="BJ112" s="2" vm="3964">
        <f ca="1"/>
        <v>162.99</v>
      </c>
      <c r="BK112" s="2">
        <f t="shared" ca="1" si="77"/>
        <v>-7.6712328767122731E-3</v>
      </c>
      <c r="BL112" s="2" vm="4091">
        <f ca="1"/>
        <v>69.28</v>
      </c>
      <c r="BM112" s="2">
        <f t="shared" ca="1" si="78"/>
        <v>-1.4413375612567646E-3</v>
      </c>
      <c r="BN112" s="2" vm="4092">
        <f ca="1"/>
        <v>306.92</v>
      </c>
      <c r="BO112" s="2">
        <f t="shared" ca="1" si="79"/>
        <v>1.0935441370223956E-2</v>
      </c>
      <c r="BP112" s="2" vm="4093">
        <f ca="1"/>
        <v>100.29</v>
      </c>
      <c r="BQ112" s="2">
        <f t="shared" ca="1" si="80"/>
        <v>9.4614997483644884E-3</v>
      </c>
      <c r="BR112" s="2" vm="4094">
        <f ca="1"/>
        <v>959.49</v>
      </c>
      <c r="BS112" s="2">
        <f t="shared" ca="1" si="81"/>
        <v>3.1731865201402171E-2</v>
      </c>
      <c r="BT112" s="2" vm="4095">
        <f ca="1"/>
        <v>168.57</v>
      </c>
      <c r="BU112" s="2">
        <f t="shared" ca="1" si="82"/>
        <v>5.127899350068482E-3</v>
      </c>
      <c r="BV112" s="2" vm="2003">
        <f ca="1"/>
        <v>148.11000000000001</v>
      </c>
      <c r="BW112" s="2">
        <f t="shared" ca="1" si="83"/>
        <v>-5.9064366736022245E-3</v>
      </c>
      <c r="BX112" s="2" vm="4096">
        <f ca="1"/>
        <v>260.88</v>
      </c>
      <c r="BY112" s="2">
        <f t="shared" ca="1" si="84"/>
        <v>1.143721164657073E-2</v>
      </c>
      <c r="BZ112" s="2" vm="4097">
        <f ca="1"/>
        <v>94.23</v>
      </c>
      <c r="CA112" s="2">
        <f t="shared" ca="1" si="85"/>
        <v>1.8482490272373628E-2</v>
      </c>
      <c r="CB112" s="2" vm="4098">
        <f ca="1"/>
        <v>29.61</v>
      </c>
      <c r="CC112" s="2">
        <f t="shared" ca="1" si="86"/>
        <v>2.3151347615756674E-2</v>
      </c>
      <c r="CD112" s="2" t="e" vm="92">
        <f ca="1"/>
        <v>#N/A</v>
      </c>
      <c r="CE112" s="2" t="e" vm="140">
        <f t="shared" ca="1" si="87"/>
        <v>#N/A</v>
      </c>
      <c r="CF112" s="2" vm="4099">
        <f ca="1"/>
        <v>22.914999999999999</v>
      </c>
      <c r="CG112" s="2">
        <f t="shared" ca="1" si="88"/>
        <v>2.1867483052700944E-3</v>
      </c>
      <c r="CH112" s="2" vm="4100">
        <f ca="1"/>
        <v>58.54</v>
      </c>
      <c r="CI112" s="2">
        <f t="shared" ca="1" si="89"/>
        <v>1.0259917920657025E-3</v>
      </c>
      <c r="CJ112" s="2" vm="1723">
        <f ca="1"/>
        <v>59.13</v>
      </c>
      <c r="CK112" s="2">
        <f t="shared" ca="1" si="90"/>
        <v>2.5432349949136264E-3</v>
      </c>
      <c r="CL112" s="2" vm="3250">
        <f ca="1"/>
        <v>57.61</v>
      </c>
      <c r="CM112" s="2">
        <f t="shared" ca="1" si="91"/>
        <v>4.0083652840710504E-3</v>
      </c>
      <c r="CN112" s="2" vm="1747">
        <f ca="1"/>
        <v>29.08</v>
      </c>
      <c r="CO112" s="2">
        <f t="shared" ca="1" si="92"/>
        <v>4.1436464088396904E-3</v>
      </c>
      <c r="CP112" s="2" vm="4101">
        <f ca="1"/>
        <v>21.792200000000001</v>
      </c>
      <c r="CQ112" s="2">
        <f t="shared" ca="1" si="93"/>
        <v>1.051940117504923E-3</v>
      </c>
    </row>
    <row r="113" spans="1:95" x14ac:dyDescent="0.2">
      <c r="A113" s="7" vm="4102">
        <f ca="1"/>
        <v>45736</v>
      </c>
      <c r="B113" s="2" vm="4103">
        <f ca="1"/>
        <v>214.1</v>
      </c>
      <c r="C113" s="2">
        <f t="shared" ca="1" si="47"/>
        <v>-5.2964133060770056E-3</v>
      </c>
      <c r="D113" s="2" vm="4104">
        <f ca="1"/>
        <v>118.53</v>
      </c>
      <c r="E113" s="2">
        <f t="shared" ca="1" si="48"/>
        <v>8.5942818243703641E-3</v>
      </c>
      <c r="F113" s="2" vm="4105">
        <f ca="1"/>
        <v>386.84</v>
      </c>
      <c r="G113" s="2">
        <f t="shared" ca="1" si="49"/>
        <v>-2.5269454901759017E-3</v>
      </c>
      <c r="H113" s="2" vm="4106">
        <f ca="1"/>
        <v>586</v>
      </c>
      <c r="I113" s="2">
        <f t="shared" ca="1" si="50"/>
        <v>3.3215765503545095E-3</v>
      </c>
      <c r="J113" s="2" vm="4107">
        <f ca="1"/>
        <v>162.80000000000001</v>
      </c>
      <c r="K113" s="2">
        <f t="shared" ca="1" si="51"/>
        <v>-6.6508023674414244E-3</v>
      </c>
      <c r="L113" s="2" vm="4108">
        <f ca="1"/>
        <v>565.49</v>
      </c>
      <c r="M113" s="2">
        <f t="shared" ca="1" si="52"/>
        <v>-2.8917532135488977E-3</v>
      </c>
      <c r="N113" s="2" vm="3280">
        <f ca="1"/>
        <v>91.24</v>
      </c>
      <c r="O113" s="2">
        <f t="shared" ca="1" si="53"/>
        <v>6.5803904364979224E-4</v>
      </c>
      <c r="P113" s="2" vm="4109">
        <f ca="1"/>
        <v>280.75</v>
      </c>
      <c r="Q113" s="2">
        <f t="shared" ca="1" si="54"/>
        <v>-1.2806374728754353E-3</v>
      </c>
      <c r="R113" s="2" vm="4110">
        <f ca="1"/>
        <v>73.73</v>
      </c>
      <c r="S113" s="2">
        <f t="shared" ca="1" si="55"/>
        <v>1.8088925711129553E-2</v>
      </c>
      <c r="T113" s="2" vm="542">
        <f ca="1"/>
        <v>95.1</v>
      </c>
      <c r="U113" s="2">
        <f t="shared" ca="1" si="56"/>
        <v>1.4743049705139067E-3</v>
      </c>
      <c r="V113" s="2" vm="4111">
        <f ca="1"/>
        <v>47.27</v>
      </c>
      <c r="W113" s="2">
        <f t="shared" ca="1" si="57"/>
        <v>2.1159542953883023E-4</v>
      </c>
      <c r="X113" s="2" vm="4112">
        <f ca="1"/>
        <v>144.77000000000001</v>
      </c>
      <c r="Y113" s="2">
        <f t="shared" ca="1" si="58"/>
        <v>9.5536959553696264E-3</v>
      </c>
      <c r="Z113" s="2" vm="3010">
        <f ca="1"/>
        <v>93.17</v>
      </c>
      <c r="AA113" s="2">
        <f t="shared" ca="1" si="59"/>
        <v>3.6626090703436756E-3</v>
      </c>
      <c r="AB113" s="2" vm="1196">
        <f ca="1"/>
        <v>13.89</v>
      </c>
      <c r="AC113" s="2">
        <f t="shared" ca="1" si="60"/>
        <v>1.4609203798393066E-2</v>
      </c>
      <c r="AD113" s="2" t="e" vm="92">
        <f ca="1"/>
        <v>#N/A</v>
      </c>
      <c r="AE113" s="2" t="e" vm="140">
        <f t="shared" ca="1" si="61"/>
        <v>#N/A</v>
      </c>
      <c r="AF113" s="2" vm="4113">
        <f ca="1"/>
        <v>30.5</v>
      </c>
      <c r="AG113" s="2">
        <f t="shared" ca="1" si="62"/>
        <v>-8.130081300813009E-3</v>
      </c>
      <c r="AH113" s="2" vm="1242">
        <f ca="1"/>
        <v>26.9</v>
      </c>
      <c r="AI113" s="2">
        <f t="shared" ca="1" si="63"/>
        <v>1.8621973929235439E-3</v>
      </c>
      <c r="AJ113" s="2" vm="1120">
        <f ca="1"/>
        <v>4.8600000000000003</v>
      </c>
      <c r="AK113" s="2">
        <f t="shared" ca="1" si="64"/>
        <v>-1.6194331983805682E-2</v>
      </c>
      <c r="AL113" s="2" vm="4114">
        <f ca="1"/>
        <v>60.31</v>
      </c>
      <c r="AM113" s="2">
        <f t="shared" ca="1" si="65"/>
        <v>-1.4900662251655019E-3</v>
      </c>
      <c r="AN113" s="2" vm="4115">
        <f ca="1"/>
        <v>90.09</v>
      </c>
      <c r="AO113" s="2">
        <f t="shared" ca="1" si="66"/>
        <v>-1.2928673167524846E-2</v>
      </c>
      <c r="AP113" s="2" vm="2036">
        <f ca="1"/>
        <v>26.68</v>
      </c>
      <c r="AQ113" s="2">
        <f t="shared" ca="1" si="67"/>
        <v>1.1257035647279977E-3</v>
      </c>
      <c r="AR113" s="2" vm="466">
        <f ca="1"/>
        <v>50.98</v>
      </c>
      <c r="AS113" s="2">
        <f t="shared" ca="1" si="68"/>
        <v>-1.9611688566395597E-4</v>
      </c>
      <c r="AT113" s="2" vm="2322">
        <f ca="1"/>
        <v>29.18</v>
      </c>
      <c r="AU113" s="2">
        <f t="shared" ca="1" si="69"/>
        <v>3.4281796366122762E-4</v>
      </c>
      <c r="AV113" s="2" vm="3911">
        <f ca="1"/>
        <v>27.31</v>
      </c>
      <c r="AW113" s="2">
        <f t="shared" ca="1" si="70"/>
        <v>1.4668133480014356E-3</v>
      </c>
      <c r="AX113" s="2" vm="1204">
        <f ca="1"/>
        <v>91.63</v>
      </c>
      <c r="AY113" s="2">
        <f t="shared" ca="1" si="71"/>
        <v>2.1831677764431854E-4</v>
      </c>
      <c r="AZ113" s="2" vm="4116">
        <f ca="1"/>
        <v>528.73</v>
      </c>
      <c r="BA113" s="2">
        <f t="shared" ca="1" si="72"/>
        <v>6.5870885449388628E-3</v>
      </c>
      <c r="BB113" s="2" vm="4117">
        <f ca="1"/>
        <v>239.01</v>
      </c>
      <c r="BC113" s="2">
        <f t="shared" ca="1" si="73"/>
        <v>-4.1821755677312839E-4</v>
      </c>
      <c r="BD113" s="2" vm="4118">
        <f ca="1"/>
        <v>42.48</v>
      </c>
      <c r="BE113" s="2">
        <f t="shared" ca="1" si="74"/>
        <v>6.3965884861406303E-3</v>
      </c>
      <c r="BF113" s="2" vm="4119">
        <f ca="1"/>
        <v>115.9</v>
      </c>
      <c r="BG113" s="2">
        <f t="shared" ca="1" si="75"/>
        <v>4.2457326054935367E-3</v>
      </c>
      <c r="BH113" s="2" vm="4120">
        <f ca="1"/>
        <v>164.77</v>
      </c>
      <c r="BI113" s="2">
        <f t="shared" ca="1" si="76"/>
        <v>4.388905821395909E-3</v>
      </c>
      <c r="BJ113" s="2" vm="4121">
        <f ca="1"/>
        <v>163.02000000000001</v>
      </c>
      <c r="BK113" s="2">
        <f t="shared" ca="1" si="77"/>
        <v>1.8406037180195801E-4</v>
      </c>
      <c r="BL113" s="2" vm="4122">
        <f ca="1"/>
        <v>69.709999999999994</v>
      </c>
      <c r="BM113" s="2">
        <f t="shared" ca="1" si="78"/>
        <v>6.206697459584189E-3</v>
      </c>
      <c r="BN113" s="2" vm="4123">
        <f ca="1"/>
        <v>307</v>
      </c>
      <c r="BO113" s="2">
        <f t="shared" ca="1" si="79"/>
        <v>2.6065424214773906E-4</v>
      </c>
      <c r="BP113" s="2" vm="4124">
        <f ca="1"/>
        <v>98.86</v>
      </c>
      <c r="BQ113" s="2">
        <f t="shared" ca="1" si="80"/>
        <v>-1.4258649915245855E-2</v>
      </c>
      <c r="BR113" s="2" vm="4125">
        <f ca="1"/>
        <v>950.84</v>
      </c>
      <c r="BS113" s="2">
        <f t="shared" ca="1" si="81"/>
        <v>-9.0152059948514079E-3</v>
      </c>
      <c r="BT113" s="2" vm="4126">
        <f ca="1"/>
        <v>167.55</v>
      </c>
      <c r="BU113" s="2">
        <f t="shared" ca="1" si="82"/>
        <v>-6.0508987364298623E-3</v>
      </c>
      <c r="BV113" s="2" vm="4127">
        <f ca="1"/>
        <v>147.15</v>
      </c>
      <c r="BW113" s="2">
        <f t="shared" ca="1" si="83"/>
        <v>-6.4816690297752203E-3</v>
      </c>
      <c r="BX113" s="2" vm="4128">
        <f ca="1"/>
        <v>261.74</v>
      </c>
      <c r="BY113" s="2">
        <f t="shared" ca="1" si="84"/>
        <v>3.2965348052745079E-3</v>
      </c>
      <c r="BZ113" s="2" vm="3924">
        <f ca="1"/>
        <v>94.43</v>
      </c>
      <c r="CA113" s="2">
        <f t="shared" ca="1" si="85"/>
        <v>2.1224663058474246E-3</v>
      </c>
      <c r="CB113" s="2" vm="3512">
        <f ca="1"/>
        <v>29.59</v>
      </c>
      <c r="CC113" s="2">
        <f t="shared" ca="1" si="86"/>
        <v>-6.7544748395810788E-4</v>
      </c>
      <c r="CD113" s="2" t="e" vm="92">
        <f ca="1"/>
        <v>#N/A</v>
      </c>
      <c r="CE113" s="2" t="e" vm="140">
        <f t="shared" ca="1" si="87"/>
        <v>#N/A</v>
      </c>
      <c r="CF113" s="2" vm="4129">
        <f ca="1"/>
        <v>22.934999999999999</v>
      </c>
      <c r="CG113" s="2">
        <f t="shared" ca="1" si="88"/>
        <v>8.7279074841804815E-4</v>
      </c>
      <c r="CH113" s="2" vm="3878">
        <f ca="1"/>
        <v>58.57</v>
      </c>
      <c r="CI113" s="2">
        <f t="shared" ca="1" si="89"/>
        <v>5.1247010591050802E-4</v>
      </c>
      <c r="CJ113" s="2" vm="4130">
        <f ca="1"/>
        <v>59.19</v>
      </c>
      <c r="CK113" s="2">
        <f t="shared" ca="1" si="90"/>
        <v>1.014713343480385E-3</v>
      </c>
      <c r="CL113" s="2" vm="4131">
        <f ca="1"/>
        <v>57.73</v>
      </c>
      <c r="CM113" s="2">
        <f t="shared" ca="1" si="91"/>
        <v>2.0829717063009451E-3</v>
      </c>
      <c r="CN113" s="2" vm="1302">
        <f ca="1"/>
        <v>29.07</v>
      </c>
      <c r="CO113" s="2">
        <f t="shared" ca="1" si="92"/>
        <v>-3.4387895460790958E-4</v>
      </c>
      <c r="CP113" s="2" vm="4132">
        <f ca="1"/>
        <v>21.802199999999999</v>
      </c>
      <c r="CQ113" s="2">
        <f t="shared" ca="1" si="93"/>
        <v>4.5887978267444363E-4</v>
      </c>
    </row>
    <row r="114" spans="1:95" x14ac:dyDescent="0.2">
      <c r="A114" s="7" vm="4133">
        <f ca="1"/>
        <v>45737</v>
      </c>
      <c r="B114" s="2" vm="4134">
        <f ca="1"/>
        <v>218.27</v>
      </c>
      <c r="C114" s="2">
        <f t="shared" ca="1" si="47"/>
        <v>1.9476879962634357E-2</v>
      </c>
      <c r="D114" s="2" vm="4135">
        <f ca="1"/>
        <v>117.7</v>
      </c>
      <c r="E114" s="2">
        <f t="shared" ca="1" si="48"/>
        <v>-7.002446637981931E-3</v>
      </c>
      <c r="F114" s="2" vm="4136">
        <f ca="1"/>
        <v>391.26</v>
      </c>
      <c r="G114" s="2">
        <f t="shared" ca="1" si="49"/>
        <v>1.1425912521972951E-2</v>
      </c>
      <c r="H114" s="2" vm="4137">
        <f ca="1"/>
        <v>596.25</v>
      </c>
      <c r="I114" s="2">
        <f t="shared" ca="1" si="50"/>
        <v>1.7491467576791809E-2</v>
      </c>
      <c r="J114" s="2" vm="4138">
        <f ca="1"/>
        <v>163.99</v>
      </c>
      <c r="K114" s="2">
        <f t="shared" ca="1" si="51"/>
        <v>7.3095823095822949E-3</v>
      </c>
      <c r="L114" s="2" vm="4139">
        <f ca="1"/>
        <v>563.98</v>
      </c>
      <c r="M114" s="2">
        <f t="shared" ca="1" si="52"/>
        <v>-2.6702505791437355E-3</v>
      </c>
      <c r="N114" s="2" vm="1269">
        <f ca="1"/>
        <v>90.7</v>
      </c>
      <c r="O114" s="2">
        <f t="shared" ca="1" si="53"/>
        <v>-5.9184568171853583E-3</v>
      </c>
      <c r="P114" s="2" vm="4140">
        <f ca="1"/>
        <v>278.49</v>
      </c>
      <c r="Q114" s="2">
        <f t="shared" ca="1" si="54"/>
        <v>-8.0498664292074484E-3</v>
      </c>
      <c r="R114" s="2" vm="4141">
        <f ca="1"/>
        <v>73.790000000000006</v>
      </c>
      <c r="S114" s="2">
        <f t="shared" ca="1" si="55"/>
        <v>8.1378000813783085E-4</v>
      </c>
      <c r="T114" s="2" vm="4142">
        <f ca="1"/>
        <v>95.02</v>
      </c>
      <c r="U114" s="2">
        <f t="shared" ca="1" si="56"/>
        <v>-8.4121976866454579E-4</v>
      </c>
      <c r="V114" s="2" vm="4143">
        <f ca="1"/>
        <v>47.233600000000003</v>
      </c>
      <c r="W114" s="2">
        <f t="shared" ca="1" si="57"/>
        <v>-7.7004442563994983E-4</v>
      </c>
      <c r="X114" s="2" vm="4144">
        <f ca="1"/>
        <v>143.41</v>
      </c>
      <c r="Y114" s="2">
        <f t="shared" ca="1" si="58"/>
        <v>-9.3942115079091899E-3</v>
      </c>
      <c r="Z114" s="2" vm="2802">
        <f ca="1"/>
        <v>92.52</v>
      </c>
      <c r="AA114" s="2">
        <f t="shared" ca="1" si="59"/>
        <v>-6.9764945798004262E-3</v>
      </c>
      <c r="AB114" s="2" vm="4145">
        <f ca="1"/>
        <v>13.87</v>
      </c>
      <c r="AC114" s="2">
        <f t="shared" ca="1" si="60"/>
        <v>-1.4398848092153599E-3</v>
      </c>
      <c r="AD114" s="2" vm="1511">
        <f ca="1"/>
        <v>3.4</v>
      </c>
      <c r="AE114" s="2" t="e" vm="140">
        <f t="shared" ca="1" si="61"/>
        <v>#N/A</v>
      </c>
      <c r="AF114" s="2" vm="4146">
        <f ca="1"/>
        <v>30.02</v>
      </c>
      <c r="AG114" s="2">
        <f t="shared" ca="1" si="62"/>
        <v>-1.5737704918032801E-2</v>
      </c>
      <c r="AH114" s="2" vm="4147">
        <f ca="1"/>
        <v>26.74</v>
      </c>
      <c r="AI114" s="2">
        <f t="shared" ca="1" si="63"/>
        <v>-5.9479553903345785E-3</v>
      </c>
      <c r="AJ114" s="2" vm="3992">
        <f ca="1"/>
        <v>4.8899999999999997</v>
      </c>
      <c r="AK114" s="2">
        <f t="shared" ca="1" si="64"/>
        <v>6.1728395061727073E-3</v>
      </c>
      <c r="AL114" s="2" vm="4148">
        <f ca="1"/>
        <v>59.83</v>
      </c>
      <c r="AM114" s="2">
        <f t="shared" ca="1" si="65"/>
        <v>-7.9588791245233624E-3</v>
      </c>
      <c r="AN114" s="2" vm="3897">
        <f ca="1"/>
        <v>89.93</v>
      </c>
      <c r="AO114" s="2">
        <f t="shared" ca="1" si="66"/>
        <v>-1.7760017760017381E-3</v>
      </c>
      <c r="AP114" s="2" vm="2629">
        <f ca="1"/>
        <v>26.66</v>
      </c>
      <c r="AQ114" s="2">
        <f t="shared" ca="1" si="67"/>
        <v>-7.4962518740628089E-4</v>
      </c>
      <c r="AR114" s="2" vm="552">
        <f ca="1"/>
        <v>51.01</v>
      </c>
      <c r="AS114" s="2">
        <f t="shared" ca="1" si="68"/>
        <v>5.8846606512360025E-4</v>
      </c>
      <c r="AT114" s="2" vm="253">
        <f ca="1"/>
        <v>29.19</v>
      </c>
      <c r="AU114" s="2">
        <f t="shared" ca="1" si="69"/>
        <v>3.4270047978072528E-4</v>
      </c>
      <c r="AV114" s="2" vm="3844">
        <f ca="1"/>
        <v>27.18</v>
      </c>
      <c r="AW114" s="2">
        <f t="shared" ca="1" si="70"/>
        <v>-4.7601611131453314E-3</v>
      </c>
      <c r="AX114" s="2" vm="1998">
        <f ca="1"/>
        <v>91.66</v>
      </c>
      <c r="AY114" s="2">
        <f t="shared" ca="1" si="71"/>
        <v>3.2740368874823898E-4</v>
      </c>
      <c r="AZ114" s="2" vm="4149">
        <f ca="1"/>
        <v>521.91</v>
      </c>
      <c r="BA114" s="2">
        <f t="shared" ca="1" si="72"/>
        <v>-1.2898833052786961E-2</v>
      </c>
      <c r="BB114" s="2" vm="4150">
        <f ca="1"/>
        <v>241.63</v>
      </c>
      <c r="BC114" s="2">
        <f t="shared" ca="1" si="73"/>
        <v>1.096188443998161E-2</v>
      </c>
      <c r="BD114" s="2" vm="4151">
        <f ca="1"/>
        <v>42.47</v>
      </c>
      <c r="BE114" s="2">
        <f t="shared" ca="1" si="74"/>
        <v>-2.3540489642179875E-4</v>
      </c>
      <c r="BF114" s="2" vm="4152">
        <f ca="1"/>
        <v>115.5</v>
      </c>
      <c r="BG114" s="2">
        <f t="shared" ca="1" si="75"/>
        <v>-3.4512510785160108E-3</v>
      </c>
      <c r="BH114" s="2" vm="4153">
        <f ca="1"/>
        <v>164.75</v>
      </c>
      <c r="BI114" s="2">
        <f t="shared" ca="1" si="76"/>
        <v>-1.2138131941500413E-4</v>
      </c>
      <c r="BJ114" s="2" vm="1194">
        <f ca="1"/>
        <v>163.63</v>
      </c>
      <c r="BK114" s="2">
        <f t="shared" ca="1" si="77"/>
        <v>3.7418721629247035E-3</v>
      </c>
      <c r="BL114" s="2" vm="4154">
        <f ca="1"/>
        <v>68.67</v>
      </c>
      <c r="BM114" s="2">
        <f t="shared" ca="1" si="78"/>
        <v>-1.4918949935446738E-2</v>
      </c>
      <c r="BN114" s="2" vm="4155">
        <f ca="1"/>
        <v>305.44</v>
      </c>
      <c r="BO114" s="2">
        <f t="shared" ca="1" si="79"/>
        <v>-5.0814332247557078E-3</v>
      </c>
      <c r="BP114" s="2" vm="4156">
        <f ca="1"/>
        <v>99.46</v>
      </c>
      <c r="BQ114" s="2">
        <f t="shared" ca="1" si="80"/>
        <v>6.0691887517701224E-3</v>
      </c>
      <c r="BR114" s="2" vm="4157">
        <f ca="1"/>
        <v>960.29</v>
      </c>
      <c r="BS114" s="2">
        <f t="shared" ca="1" si="81"/>
        <v>9.9385806234486684E-3</v>
      </c>
      <c r="BT114" s="2" vm="3837">
        <f ca="1"/>
        <v>166.69</v>
      </c>
      <c r="BU114" s="2">
        <f t="shared" ca="1" si="82"/>
        <v>-5.1327961802447837E-3</v>
      </c>
      <c r="BV114" s="2" vm="4158">
        <f ca="1"/>
        <v>145.44999999999999</v>
      </c>
      <c r="BW114" s="2">
        <f t="shared" ca="1" si="83"/>
        <v>-1.1552837240910751E-2</v>
      </c>
      <c r="BX114" s="2" vm="4159">
        <f ca="1"/>
        <v>259</v>
      </c>
      <c r="BY114" s="2">
        <f t="shared" ca="1" si="84"/>
        <v>-1.0468403759455984E-2</v>
      </c>
      <c r="BZ114" s="2" vm="1118">
        <f ca="1"/>
        <v>93.29</v>
      </c>
      <c r="CA114" s="2">
        <f t="shared" ca="1" si="85"/>
        <v>-1.207243460764588E-2</v>
      </c>
      <c r="CB114" s="2" vm="4160">
        <f ca="1"/>
        <v>29.23</v>
      </c>
      <c r="CC114" s="2">
        <f t="shared" ca="1" si="86"/>
        <v>-1.2166272389320698E-2</v>
      </c>
      <c r="CD114" s="2" t="e" vm="92">
        <f ca="1"/>
        <v>#N/A</v>
      </c>
      <c r="CE114" s="2" t="e" vm="140">
        <f t="shared" ca="1" si="87"/>
        <v>#N/A</v>
      </c>
      <c r="CF114" s="2" vm="1802">
        <f ca="1"/>
        <v>22.92</v>
      </c>
      <c r="CG114" s="2">
        <f t="shared" ca="1" si="88"/>
        <v>-6.5402223675591965E-4</v>
      </c>
      <c r="CH114" s="2" vm="863">
        <f ca="1"/>
        <v>58.61</v>
      </c>
      <c r="CI114" s="2">
        <f t="shared" ca="1" si="89"/>
        <v>6.829434864264836E-4</v>
      </c>
      <c r="CJ114" s="2" vm="4130">
        <f ca="1"/>
        <v>59.19</v>
      </c>
      <c r="CK114" s="2">
        <f t="shared" ca="1" si="90"/>
        <v>0</v>
      </c>
      <c r="CL114" s="2" vm="4161">
        <f ca="1"/>
        <v>57.43</v>
      </c>
      <c r="CM114" s="2">
        <f t="shared" ca="1" si="91"/>
        <v>-5.1966048848085429E-3</v>
      </c>
      <c r="CN114" s="2" vm="966">
        <f ca="1"/>
        <v>29.03</v>
      </c>
      <c r="CO114" s="2">
        <f t="shared" ca="1" si="92"/>
        <v>-1.375988992088034E-3</v>
      </c>
      <c r="CP114" s="2" vm="4162">
        <f ca="1"/>
        <v>21.628900000000002</v>
      </c>
      <c r="CQ114" s="2">
        <f t="shared" ca="1" si="93"/>
        <v>-7.9487391180705427E-3</v>
      </c>
    </row>
    <row r="115" spans="1:95" x14ac:dyDescent="0.2">
      <c r="A115" s="7" vm="4163">
        <f ca="1"/>
        <v>45740</v>
      </c>
      <c r="B115" s="2" vm="4164">
        <f ca="1"/>
        <v>220.73</v>
      </c>
      <c r="C115" s="2">
        <f t="shared" ca="1" si="47"/>
        <v>1.1270444861868234E-2</v>
      </c>
      <c r="D115" s="2" vm="4165">
        <f ca="1"/>
        <v>121.41</v>
      </c>
      <c r="E115" s="2">
        <f t="shared" ca="1" si="48"/>
        <v>3.1520815632965112E-2</v>
      </c>
      <c r="F115" s="2" vm="4166">
        <f ca="1"/>
        <v>393.08</v>
      </c>
      <c r="G115" s="2">
        <f t="shared" ca="1" si="49"/>
        <v>4.6516382967847292E-3</v>
      </c>
      <c r="H115" s="2" vm="4167">
        <f ca="1"/>
        <v>618.85</v>
      </c>
      <c r="I115" s="2">
        <f t="shared" ca="1" si="50"/>
        <v>3.7903563941299831E-2</v>
      </c>
      <c r="J115" s="2" vm="4168">
        <f ca="1"/>
        <v>167.68</v>
      </c>
      <c r="K115" s="2">
        <f t="shared" ca="1" si="51"/>
        <v>2.250137203488016E-2</v>
      </c>
      <c r="L115" s="2" vm="4169">
        <f ca="1"/>
        <v>574.08000000000004</v>
      </c>
      <c r="M115" s="2">
        <f t="shared" ca="1" si="52"/>
        <v>1.7908436469378387E-2</v>
      </c>
      <c r="N115" s="2" vm="586">
        <f ca="1"/>
        <v>89.77</v>
      </c>
      <c r="O115" s="2">
        <f t="shared" ca="1" si="53"/>
        <v>-1.0253583241455422E-2</v>
      </c>
      <c r="P115" s="2" vm="4170">
        <f ca="1"/>
        <v>277.25</v>
      </c>
      <c r="Q115" s="2">
        <f t="shared" ca="1" si="54"/>
        <v>-4.4525835757119074E-3</v>
      </c>
      <c r="R115" s="2" vm="4171">
        <f ca="1"/>
        <v>74.88</v>
      </c>
      <c r="S115" s="2">
        <f t="shared" ca="1" si="55"/>
        <v>1.4771649274969361E-2</v>
      </c>
      <c r="T115" s="2" vm="4172">
        <f ca="1"/>
        <v>94.47</v>
      </c>
      <c r="U115" s="2">
        <f t="shared" ca="1" si="56"/>
        <v>-5.7882551041885623E-3</v>
      </c>
      <c r="V115" s="2" vm="4173">
        <f ca="1"/>
        <v>47.052999999999997</v>
      </c>
      <c r="W115" s="2">
        <f t="shared" ca="1" si="57"/>
        <v>-3.8235493377596756E-3</v>
      </c>
      <c r="X115" s="2" vm="4174">
        <f ca="1"/>
        <v>148.4</v>
      </c>
      <c r="Y115" s="2">
        <f t="shared" ca="1" si="58"/>
        <v>3.4795342026358062E-2</v>
      </c>
      <c r="Z115" s="2" vm="4175">
        <f ca="1"/>
        <v>92.85</v>
      </c>
      <c r="AA115" s="2">
        <f t="shared" ca="1" si="59"/>
        <v>3.5667963683527703E-3</v>
      </c>
      <c r="AB115" s="2" vm="4176">
        <f ca="1"/>
        <v>14.14</v>
      </c>
      <c r="AC115" s="2">
        <f t="shared" ca="1" si="60"/>
        <v>1.9466474405191159E-2</v>
      </c>
      <c r="AD115" s="2" vm="1511">
        <f ca="1"/>
        <v>3.4</v>
      </c>
      <c r="AE115" s="2">
        <f t="shared" ca="1" si="61"/>
        <v>0</v>
      </c>
      <c r="AF115" s="2" vm="3895">
        <f ca="1"/>
        <v>29.96</v>
      </c>
      <c r="AG115" s="2">
        <f t="shared" ca="1" si="62"/>
        <v>-1.9986675549633153E-3</v>
      </c>
      <c r="AH115" s="2" vm="2036">
        <f ca="1"/>
        <v>26.68</v>
      </c>
      <c r="AI115" s="2">
        <f t="shared" ca="1" si="63"/>
        <v>-2.2438294689603113E-3</v>
      </c>
      <c r="AJ115" s="2" vm="2304">
        <f ca="1"/>
        <v>4.8099999999999996</v>
      </c>
      <c r="AK115" s="2">
        <f t="shared" ca="1" si="64"/>
        <v>-1.6359918200409013E-2</v>
      </c>
      <c r="AL115" s="2" vm="4177">
        <f ca="1"/>
        <v>59.55</v>
      </c>
      <c r="AM115" s="2">
        <f t="shared" ca="1" si="65"/>
        <v>-4.679926458298532E-3</v>
      </c>
      <c r="AN115" s="2" vm="4178">
        <f ca="1"/>
        <v>88.88</v>
      </c>
      <c r="AO115" s="2">
        <f t="shared" ca="1" si="66"/>
        <v>-1.1675747803847562E-2</v>
      </c>
      <c r="AP115" s="2" vm="1586">
        <f ca="1"/>
        <v>26.56</v>
      </c>
      <c r="AQ115" s="2">
        <f t="shared" ca="1" si="67"/>
        <v>-3.7509377344336617E-3</v>
      </c>
      <c r="AR115" s="2" vm="715">
        <f ca="1"/>
        <v>51.03</v>
      </c>
      <c r="AS115" s="2">
        <f t="shared" ca="1" si="68"/>
        <v>3.9207998431686194E-4</v>
      </c>
      <c r="AT115" s="2" vm="596">
        <f ca="1"/>
        <v>29.15</v>
      </c>
      <c r="AU115" s="2">
        <f t="shared" ca="1" si="69"/>
        <v>-1.3703323055841965E-3</v>
      </c>
      <c r="AV115" s="2" vm="1366">
        <f ca="1"/>
        <v>26.91</v>
      </c>
      <c r="AW115" s="2">
        <f t="shared" ca="1" si="70"/>
        <v>-9.9337748344370709E-3</v>
      </c>
      <c r="AX115" s="2" vm="1998">
        <f ca="1"/>
        <v>91.66</v>
      </c>
      <c r="AY115" s="2">
        <f t="shared" ca="1" si="71"/>
        <v>0</v>
      </c>
      <c r="AZ115" s="2" vm="4179">
        <f ca="1"/>
        <v>525.85</v>
      </c>
      <c r="BA115" s="2">
        <f t="shared" ca="1" si="72"/>
        <v>7.5491943055317097E-3</v>
      </c>
      <c r="BB115" s="2" vm="4180">
        <f ca="1"/>
        <v>248.06</v>
      </c>
      <c r="BC115" s="2">
        <f t="shared" ca="1" si="73"/>
        <v>2.6610934072755894E-2</v>
      </c>
      <c r="BD115" s="2" vm="4181">
        <f ca="1"/>
        <v>43.07</v>
      </c>
      <c r="BE115" s="2">
        <f t="shared" ca="1" si="74"/>
        <v>1.4127619496114938E-2</v>
      </c>
      <c r="BF115" s="2" vm="4182">
        <f ca="1"/>
        <v>115.8</v>
      </c>
      <c r="BG115" s="2">
        <f t="shared" ca="1" si="75"/>
        <v>2.5974025974025727E-3</v>
      </c>
      <c r="BH115" s="2" vm="1358">
        <f ca="1"/>
        <v>165.02</v>
      </c>
      <c r="BI115" s="2">
        <f t="shared" ca="1" si="76"/>
        <v>1.638846737481094E-3</v>
      </c>
      <c r="BJ115" s="2" vm="4183">
        <f ca="1"/>
        <v>163.29</v>
      </c>
      <c r="BK115" s="2">
        <f t="shared" ca="1" si="77"/>
        <v>-2.0778585833893751E-3</v>
      </c>
      <c r="BL115" s="2" vm="4184">
        <f ca="1"/>
        <v>68.95</v>
      </c>
      <c r="BM115" s="2">
        <f t="shared" ca="1" si="78"/>
        <v>4.0774719673802411E-3</v>
      </c>
      <c r="BN115" s="2" vm="4185">
        <f ca="1"/>
        <v>305.67</v>
      </c>
      <c r="BO115" s="2">
        <f t="shared" ca="1" si="79"/>
        <v>7.5301204819283065E-4</v>
      </c>
      <c r="BP115" s="2" vm="4186">
        <f ca="1"/>
        <v>100.18</v>
      </c>
      <c r="BQ115" s="2">
        <f t="shared" ca="1" si="80"/>
        <v>7.2390910918963712E-3</v>
      </c>
      <c r="BR115" s="2" vm="4187">
        <f ca="1"/>
        <v>971.99</v>
      </c>
      <c r="BS115" s="2">
        <f t="shared" ca="1" si="81"/>
        <v>1.2183819471201457E-2</v>
      </c>
      <c r="BT115" s="2" vm="4188">
        <f ca="1"/>
        <v>165.65</v>
      </c>
      <c r="BU115" s="2">
        <f t="shared" ca="1" si="82"/>
        <v>-6.2391265222868321E-3</v>
      </c>
      <c r="BV115" s="2" vm="4189">
        <f ca="1"/>
        <v>146.44999999999999</v>
      </c>
      <c r="BW115" s="2">
        <f t="shared" ca="1" si="83"/>
        <v>6.8752148504640778E-3</v>
      </c>
      <c r="BX115" s="2" vm="4190">
        <f ca="1"/>
        <v>263.7</v>
      </c>
      <c r="BY115" s="2">
        <f t="shared" ca="1" si="84"/>
        <v>1.8146718146718102E-2</v>
      </c>
      <c r="BZ115" s="2" vm="464">
        <f ca="1"/>
        <v>94.51</v>
      </c>
      <c r="CA115" s="2">
        <f t="shared" ca="1" si="85"/>
        <v>1.3077500267981549E-2</v>
      </c>
      <c r="CB115" s="2" vm="3546">
        <f ca="1"/>
        <v>29.44</v>
      </c>
      <c r="CC115" s="2">
        <f t="shared" ca="1" si="86"/>
        <v>7.1843995894629101E-3</v>
      </c>
      <c r="CD115" s="2" t="e" vm="92">
        <f ca="1"/>
        <v>#N/A</v>
      </c>
      <c r="CE115" s="2" t="e" vm="140">
        <f t="shared" ca="1" si="87"/>
        <v>#N/A</v>
      </c>
      <c r="CF115" s="2" vm="776">
        <f ca="1"/>
        <v>22.82</v>
      </c>
      <c r="CG115" s="2">
        <f t="shared" ca="1" si="88"/>
        <v>-4.3630017452007596E-3</v>
      </c>
      <c r="CH115" s="2" vm="570">
        <f ca="1"/>
        <v>58.51</v>
      </c>
      <c r="CI115" s="2">
        <f t="shared" ca="1" si="89"/>
        <v>-1.7061934823409217E-3</v>
      </c>
      <c r="CJ115" s="2" vm="4191">
        <f ca="1"/>
        <v>58.94</v>
      </c>
      <c r="CK115" s="2">
        <f t="shared" ca="1" si="90"/>
        <v>-4.2236864335191754E-3</v>
      </c>
      <c r="CL115" s="2" vm="942">
        <f ca="1"/>
        <v>56.85</v>
      </c>
      <c r="CM115" s="2">
        <f t="shared" ca="1" si="91"/>
        <v>-1.0099251262406378E-2</v>
      </c>
      <c r="CN115" s="2" vm="2266">
        <f ca="1"/>
        <v>28.92</v>
      </c>
      <c r="CO115" s="2">
        <f t="shared" ca="1" si="92"/>
        <v>-3.7891836031691156E-3</v>
      </c>
      <c r="CP115" s="2" vm="4192">
        <f ca="1"/>
        <v>21.863800000000001</v>
      </c>
      <c r="CQ115" s="2">
        <f t="shared" ca="1" si="93"/>
        <v>1.0860469094591017E-2</v>
      </c>
    </row>
    <row r="116" spans="1:95" x14ac:dyDescent="0.2">
      <c r="A116" s="7" vm="4193">
        <f ca="1"/>
        <v>45741</v>
      </c>
      <c r="B116" s="2" vm="4194">
        <f ca="1"/>
        <v>223.75</v>
      </c>
      <c r="C116" s="2">
        <f t="shared" ca="1" si="47"/>
        <v>1.3681873782449193E-2</v>
      </c>
      <c r="D116" s="2" vm="4195">
        <f ca="1"/>
        <v>120.69</v>
      </c>
      <c r="E116" s="2">
        <f t="shared" ca="1" si="48"/>
        <v>-5.9303187546330526E-3</v>
      </c>
      <c r="F116" s="2" vm="4196">
        <f ca="1"/>
        <v>395.16</v>
      </c>
      <c r="G116" s="2">
        <f t="shared" ca="1" si="49"/>
        <v>5.291543706115908E-3</v>
      </c>
      <c r="H116" s="2" vm="4197">
        <f ca="1"/>
        <v>626.30999999999995</v>
      </c>
      <c r="I116" s="2">
        <f t="shared" ca="1" si="50"/>
        <v>1.2054617435565844E-2</v>
      </c>
      <c r="J116" s="2" vm="4198">
        <f ca="1"/>
        <v>170.56</v>
      </c>
      <c r="K116" s="2">
        <f t="shared" ca="1" si="51"/>
        <v>1.7175572519083943E-2</v>
      </c>
      <c r="L116" s="2" vm="4199">
        <f ca="1"/>
        <v>575.46</v>
      </c>
      <c r="M116" s="2">
        <f t="shared" ca="1" si="52"/>
        <v>2.4038461538461457E-3</v>
      </c>
      <c r="N116" s="2" vm="3989">
        <f ca="1"/>
        <v>89.76</v>
      </c>
      <c r="O116" s="2">
        <f t="shared" ca="1" si="53"/>
        <v>-1.1139578923906545E-4</v>
      </c>
      <c r="P116" s="2" vm="4200">
        <f ca="1"/>
        <v>278.47000000000003</v>
      </c>
      <c r="Q116" s="2">
        <f t="shared" ca="1" si="54"/>
        <v>4.4003606853021725E-3</v>
      </c>
      <c r="R116" s="2" vm="2297">
        <f ca="1"/>
        <v>74.819999999999993</v>
      </c>
      <c r="S116" s="2">
        <f t="shared" ca="1" si="55"/>
        <v>-8.0128205128208172E-4</v>
      </c>
      <c r="T116" s="2" vm="4201">
        <f ca="1"/>
        <v>94.63</v>
      </c>
      <c r="U116" s="2">
        <f t="shared" ca="1" si="56"/>
        <v>1.6936593627606287E-3</v>
      </c>
      <c r="V116" s="2" vm="4202">
        <f ca="1"/>
        <v>47.138399999999997</v>
      </c>
      <c r="W116" s="2">
        <f t="shared" ca="1" si="57"/>
        <v>1.8149746031071328E-3</v>
      </c>
      <c r="X116" s="2" vm="4203">
        <f ca="1"/>
        <v>147.9</v>
      </c>
      <c r="Y116" s="2">
        <f t="shared" ca="1" si="58"/>
        <v>-3.3692722371967652E-3</v>
      </c>
      <c r="Z116" s="2" vm="4204">
        <f ca="1"/>
        <v>93.23</v>
      </c>
      <c r="AA116" s="2">
        <f t="shared" ca="1" si="59"/>
        <v>4.0926225094239065E-3</v>
      </c>
      <c r="AB116" s="2" vm="4205">
        <f ca="1"/>
        <v>14.03</v>
      </c>
      <c r="AC116" s="2">
        <f t="shared" ca="1" si="60"/>
        <v>-7.7793493635078641E-3</v>
      </c>
      <c r="AD116" s="2" vm="4206">
        <f ca="1"/>
        <v>3.5</v>
      </c>
      <c r="AE116" s="2">
        <f t="shared" ca="1" si="61"/>
        <v>2.941176470588238E-2</v>
      </c>
      <c r="AF116" s="2" vm="4207">
        <f ca="1"/>
        <v>30.58</v>
      </c>
      <c r="AG116" s="2">
        <f t="shared" ca="1" si="62"/>
        <v>2.0694259012015936E-2</v>
      </c>
      <c r="AH116" s="2" vm="1477">
        <f ca="1"/>
        <v>26.77</v>
      </c>
      <c r="AI116" s="2">
        <f t="shared" ca="1" si="63"/>
        <v>3.3733133433283304E-3</v>
      </c>
      <c r="AJ116" s="2" vm="1626">
        <f ca="1"/>
        <v>4.78</v>
      </c>
      <c r="AK116" s="2">
        <f t="shared" ca="1" si="64"/>
        <v>-6.2370062370061046E-3</v>
      </c>
      <c r="AL116" s="2" vm="4148">
        <f ca="1"/>
        <v>59.83</v>
      </c>
      <c r="AM116" s="2">
        <f t="shared" ca="1" si="65"/>
        <v>4.7019311502938897E-3</v>
      </c>
      <c r="AN116" s="2" vm="4208">
        <f ca="1"/>
        <v>89.47</v>
      </c>
      <c r="AO116" s="2">
        <f t="shared" ca="1" si="66"/>
        <v>6.6381638163816765E-3</v>
      </c>
      <c r="AP116" s="2" vm="2373">
        <f ca="1"/>
        <v>26.62</v>
      </c>
      <c r="AQ116" s="2">
        <f t="shared" ca="1" si="67"/>
        <v>2.259036144578399E-3</v>
      </c>
      <c r="AR116" s="2" vm="1324">
        <f ca="1"/>
        <v>51.02</v>
      </c>
      <c r="AS116" s="2">
        <f t="shared" ca="1" si="68"/>
        <v>-1.9596315892608289E-4</v>
      </c>
      <c r="AT116" s="2" vm="122">
        <f ca="1"/>
        <v>29.17</v>
      </c>
      <c r="AU116" s="2">
        <f t="shared" ca="1" si="69"/>
        <v>6.8610634648381226E-4</v>
      </c>
      <c r="AV116" s="2" vm="2372">
        <f ca="1"/>
        <v>26.93</v>
      </c>
      <c r="AW116" s="2">
        <f t="shared" ca="1" si="70"/>
        <v>7.4321813452246654E-4</v>
      </c>
      <c r="AX116" s="2" vm="382">
        <f ca="1"/>
        <v>91.67</v>
      </c>
      <c r="AY116" s="2">
        <f t="shared" ca="1" si="71"/>
        <v>1.0909884355231416E-4</v>
      </c>
      <c r="AZ116" s="2" vm="4209">
        <f ca="1"/>
        <v>528.87</v>
      </c>
      <c r="BA116" s="2">
        <f t="shared" ca="1" si="72"/>
        <v>5.7430826281258569E-3</v>
      </c>
      <c r="BB116" s="2" vm="4210">
        <f ca="1"/>
        <v>251.13</v>
      </c>
      <c r="BC116" s="2">
        <f t="shared" ca="1" si="73"/>
        <v>1.2376038055309171E-2</v>
      </c>
      <c r="BD116" s="2" vm="4211">
        <f ca="1"/>
        <v>43.28</v>
      </c>
      <c r="BE116" s="2">
        <f t="shared" ca="1" si="74"/>
        <v>4.8757836080798901E-3</v>
      </c>
      <c r="BF116" s="2" vm="4212">
        <f ca="1"/>
        <v>116.59</v>
      </c>
      <c r="BG116" s="2">
        <f t="shared" ca="1" si="75"/>
        <v>6.8221070811744925E-3</v>
      </c>
      <c r="BH116" s="2" vm="4213">
        <f ca="1"/>
        <v>165.94</v>
      </c>
      <c r="BI116" s="2">
        <f t="shared" ca="1" si="76"/>
        <v>5.575081808265589E-3</v>
      </c>
      <c r="BJ116" s="2" vm="4214">
        <f ca="1"/>
        <v>161.02000000000001</v>
      </c>
      <c r="BK116" s="2">
        <f t="shared" ca="1" si="77"/>
        <v>-1.3901647375834294E-2</v>
      </c>
      <c r="BL116" s="2" vm="4215">
        <f ca="1"/>
        <v>68.81</v>
      </c>
      <c r="BM116" s="2">
        <f t="shared" ca="1" si="78"/>
        <v>-2.0304568527918865E-3</v>
      </c>
      <c r="BN116" s="2" vm="4092">
        <f ca="1"/>
        <v>306.92</v>
      </c>
      <c r="BO116" s="2">
        <f t="shared" ca="1" si="79"/>
        <v>4.0893774331795729E-3</v>
      </c>
      <c r="BP116" s="2" vm="4216">
        <f ca="1"/>
        <v>101.61</v>
      </c>
      <c r="BQ116" s="2">
        <f t="shared" ca="1" si="80"/>
        <v>1.427430624875217E-2</v>
      </c>
      <c r="BR116" s="2" vm="4217">
        <f ca="1"/>
        <v>997.28</v>
      </c>
      <c r="BS116" s="2">
        <f t="shared" ca="1" si="81"/>
        <v>2.6018786201504093E-2</v>
      </c>
      <c r="BT116" s="2" vm="3935">
        <f ca="1"/>
        <v>162.85</v>
      </c>
      <c r="BU116" s="2">
        <f t="shared" ca="1" si="82"/>
        <v>-1.6903108964684645E-2</v>
      </c>
      <c r="BV116" s="2" vm="4218">
        <f ca="1"/>
        <v>145.54</v>
      </c>
      <c r="BW116" s="2">
        <f t="shared" ca="1" si="83"/>
        <v>-6.2137248207579151E-3</v>
      </c>
      <c r="BX116" s="2" vm="4219">
        <f ca="1"/>
        <v>265.86</v>
      </c>
      <c r="BY116" s="2">
        <f t="shared" ca="1" si="84"/>
        <v>8.1911262798635767E-3</v>
      </c>
      <c r="BZ116" s="2" vm="4220">
        <f ca="1"/>
        <v>94.59</v>
      </c>
      <c r="CA116" s="2">
        <f t="shared" ca="1" si="85"/>
        <v>8.4647127288115854E-4</v>
      </c>
      <c r="CB116" s="2" vm="4221">
        <f ca="1"/>
        <v>29.45</v>
      </c>
      <c r="CC116" s="2">
        <f t="shared" ca="1" si="86"/>
        <v>3.3967391304341065E-4</v>
      </c>
      <c r="CD116" s="2" t="e" vm="92">
        <f ca="1"/>
        <v>#N/A</v>
      </c>
      <c r="CE116" s="2" t="e" vm="140">
        <f t="shared" ca="1" si="87"/>
        <v>#N/A</v>
      </c>
      <c r="CF116" s="2" vm="1458">
        <f ca="1"/>
        <v>22.84</v>
      </c>
      <c r="CG116" s="2">
        <f t="shared" ca="1" si="88"/>
        <v>8.7642418930760615E-4</v>
      </c>
      <c r="CH116" s="2" vm="142">
        <f ca="1"/>
        <v>58.55</v>
      </c>
      <c r="CI116" s="2">
        <f t="shared" ca="1" si="89"/>
        <v>6.8364382156894802E-4</v>
      </c>
      <c r="CJ116" s="2" vm="1765">
        <f ca="1"/>
        <v>59.04</v>
      </c>
      <c r="CK116" s="2">
        <f t="shared" ca="1" si="90"/>
        <v>1.6966406515100344E-3</v>
      </c>
      <c r="CL116" s="2" vm="3644">
        <f ca="1"/>
        <v>56.91</v>
      </c>
      <c r="CM116" s="2">
        <f t="shared" ca="1" si="91"/>
        <v>1.0554089709761683E-3</v>
      </c>
      <c r="CN116" s="2" vm="943">
        <f ca="1"/>
        <v>28.95</v>
      </c>
      <c r="CO116" s="2">
        <f t="shared" ca="1" si="92"/>
        <v>1.0373443983401653E-3</v>
      </c>
      <c r="CP116" s="2" vm="4222">
        <f ca="1"/>
        <v>21.439599999999999</v>
      </c>
      <c r="CQ116" s="2">
        <f t="shared" ca="1" si="93"/>
        <v>-1.9401933790100648E-2</v>
      </c>
    </row>
    <row r="117" spans="1:95" x14ac:dyDescent="0.2">
      <c r="A117" s="7" vm="4223">
        <f ca="1"/>
        <v>45742</v>
      </c>
      <c r="B117" s="2" vm="4224">
        <f ca="1"/>
        <v>221.53</v>
      </c>
      <c r="C117" s="2">
        <f t="shared" ca="1" si="47"/>
        <v>-9.9217877094972019E-3</v>
      </c>
      <c r="D117" s="2" vm="4025">
        <f ca="1"/>
        <v>113.76</v>
      </c>
      <c r="E117" s="2">
        <f t="shared" ca="1" si="48"/>
        <v>-5.7419835943325816E-2</v>
      </c>
      <c r="F117" s="2" vm="4225">
        <f ca="1"/>
        <v>389.97</v>
      </c>
      <c r="G117" s="2">
        <f t="shared" ca="1" si="49"/>
        <v>-1.3133920437291217E-2</v>
      </c>
      <c r="H117" s="2" vm="4226">
        <f ca="1"/>
        <v>610.98</v>
      </c>
      <c r="I117" s="2">
        <f t="shared" ca="1" si="50"/>
        <v>-2.4476696843416086E-2</v>
      </c>
      <c r="J117" s="2" vm="4227">
        <f ca="1"/>
        <v>165.06</v>
      </c>
      <c r="K117" s="2">
        <f t="shared" ca="1" si="51"/>
        <v>-3.224671669793621E-2</v>
      </c>
      <c r="L117" s="2" vm="4228">
        <f ca="1"/>
        <v>568.59</v>
      </c>
      <c r="M117" s="2">
        <f t="shared" ca="1" si="52"/>
        <v>-1.1938275466583262E-2</v>
      </c>
      <c r="N117" s="2" vm="4229">
        <f ca="1"/>
        <v>89.17</v>
      </c>
      <c r="O117" s="2">
        <f t="shared" ca="1" si="53"/>
        <v>-6.5730837789661697E-3</v>
      </c>
      <c r="P117" s="2" vm="4230">
        <f ca="1"/>
        <v>278.24</v>
      </c>
      <c r="Q117" s="2">
        <f t="shared" ca="1" si="54"/>
        <v>-8.2594175315121258E-4</v>
      </c>
      <c r="R117" s="2" vm="4231">
        <f ca="1"/>
        <v>75.42</v>
      </c>
      <c r="S117" s="2">
        <f t="shared" ca="1" si="55"/>
        <v>8.0192461908581737E-3</v>
      </c>
      <c r="T117" s="2" vm="1471">
        <f ca="1"/>
        <v>94.41</v>
      </c>
      <c r="U117" s="2">
        <f t="shared" ca="1" si="56"/>
        <v>-2.3248441297685604E-3</v>
      </c>
      <c r="V117" s="2" vm="4232">
        <f ca="1"/>
        <v>46.789200000000001</v>
      </c>
      <c r="W117" s="2">
        <f t="shared" ca="1" si="57"/>
        <v>-7.4079731174582974E-3</v>
      </c>
      <c r="X117" s="2" vm="4233">
        <f ca="1"/>
        <v>144.63999999999999</v>
      </c>
      <c r="Y117" s="2">
        <f t="shared" ca="1" si="58"/>
        <v>-2.2041920216362539E-2</v>
      </c>
      <c r="Z117" s="2" vm="1082">
        <f ca="1"/>
        <v>93.78</v>
      </c>
      <c r="AA117" s="2">
        <f t="shared" ca="1" si="59"/>
        <v>5.8993886088168739E-3</v>
      </c>
      <c r="AB117" s="2" vm="4234">
        <f ca="1"/>
        <v>14.11</v>
      </c>
      <c r="AC117" s="2">
        <f t="shared" ca="1" si="60"/>
        <v>5.7020669992872471E-3</v>
      </c>
      <c r="AD117" s="2" t="e" vm="92">
        <f ca="1"/>
        <v>#N/A</v>
      </c>
      <c r="AE117" s="2" t="e" vm="140">
        <f t="shared" ca="1" si="61"/>
        <v>#N/A</v>
      </c>
      <c r="AF117" s="2" vm="4235">
        <f ca="1"/>
        <v>30.53</v>
      </c>
      <c r="AG117" s="2">
        <f t="shared" ca="1" si="62"/>
        <v>-1.6350555918900314E-3</v>
      </c>
      <c r="AH117" s="2" vm="4236">
        <f ca="1"/>
        <v>26.57</v>
      </c>
      <c r="AI117" s="2">
        <f t="shared" ca="1" si="63"/>
        <v>-7.4710496824803617E-3</v>
      </c>
      <c r="AJ117" s="2" vm="4237">
        <f ca="1"/>
        <v>4.6900000000000004</v>
      </c>
      <c r="AK117" s="2">
        <f t="shared" ca="1" si="64"/>
        <v>-1.8828451882845158E-2</v>
      </c>
      <c r="AL117" s="2" vm="4238">
        <f ca="1"/>
        <v>59.78</v>
      </c>
      <c r="AM117" s="2">
        <f t="shared" ca="1" si="65"/>
        <v>-8.3570115326754406E-4</v>
      </c>
      <c r="AN117" s="2" vm="4239">
        <f ca="1"/>
        <v>89.34</v>
      </c>
      <c r="AO117" s="2">
        <f t="shared" ca="1" si="66"/>
        <v>-1.4530010059237224E-3</v>
      </c>
      <c r="AP117" s="2" vm="3929">
        <f ca="1"/>
        <v>26.58</v>
      </c>
      <c r="AQ117" s="2">
        <f t="shared" ca="1" si="67"/>
        <v>-1.5026296018032569E-3</v>
      </c>
      <c r="AR117" s="2" vm="715">
        <f ca="1"/>
        <v>51.03</v>
      </c>
      <c r="AS117" s="2">
        <f t="shared" ca="1" si="68"/>
        <v>1.960015680125051E-4</v>
      </c>
      <c r="AT117" s="2" vm="122">
        <f ca="1"/>
        <v>29.17</v>
      </c>
      <c r="AU117" s="2">
        <f t="shared" ca="1" si="69"/>
        <v>0</v>
      </c>
      <c r="AV117" s="2" vm="1477">
        <f ca="1"/>
        <v>26.77</v>
      </c>
      <c r="AW117" s="2">
        <f t="shared" ca="1" si="70"/>
        <v>-5.9413293724470901E-3</v>
      </c>
      <c r="AX117" s="2" vm="1326">
        <f ca="1"/>
        <v>91.68</v>
      </c>
      <c r="AY117" s="2">
        <f t="shared" ca="1" si="71"/>
        <v>1.0908694229306334E-4</v>
      </c>
      <c r="AZ117" s="2" vm="4240">
        <f ca="1"/>
        <v>533.21</v>
      </c>
      <c r="BA117" s="2">
        <f t="shared" ca="1" si="72"/>
        <v>8.2061754306351885E-3</v>
      </c>
      <c r="BB117" s="2" vm="4241">
        <f ca="1"/>
        <v>251.03</v>
      </c>
      <c r="BC117" s="2">
        <f t="shared" ca="1" si="73"/>
        <v>-3.9820013538802341E-4</v>
      </c>
      <c r="BD117" s="2" vm="4242">
        <f ca="1"/>
        <v>42.82</v>
      </c>
      <c r="BE117" s="2">
        <f t="shared" ca="1" si="74"/>
        <v>-1.0628465804066563E-2</v>
      </c>
      <c r="BF117" s="2" vm="4243">
        <f ca="1"/>
        <v>118.27</v>
      </c>
      <c r="BG117" s="2">
        <f t="shared" ca="1" si="75"/>
        <v>1.4409469079680869E-2</v>
      </c>
      <c r="BH117" s="2" vm="3229">
        <f ca="1"/>
        <v>167.97</v>
      </c>
      <c r="BI117" s="2">
        <f t="shared" ca="1" si="76"/>
        <v>1.2233337350849713E-2</v>
      </c>
      <c r="BJ117" s="2" vm="2784">
        <f ca="1"/>
        <v>161.72</v>
      </c>
      <c r="BK117" s="2">
        <f t="shared" ca="1" si="77"/>
        <v>4.3472860514221128E-3</v>
      </c>
      <c r="BL117" s="2" vm="4244">
        <f ca="1"/>
        <v>70.02</v>
      </c>
      <c r="BM117" s="2">
        <f t="shared" ca="1" si="78"/>
        <v>1.7584653393402032E-2</v>
      </c>
      <c r="BN117" s="2" vm="4245">
        <f ca="1"/>
        <v>313.58</v>
      </c>
      <c r="BO117" s="2">
        <f t="shared" ca="1" si="79"/>
        <v>2.1699465658803492E-2</v>
      </c>
      <c r="BP117" s="2" vm="4246">
        <f ca="1"/>
        <v>100.78</v>
      </c>
      <c r="BQ117" s="2">
        <f t="shared" ca="1" si="80"/>
        <v>-8.1684873536069114E-3</v>
      </c>
      <c r="BR117" s="2" vm="4247">
        <f ca="1"/>
        <v>970.65</v>
      </c>
      <c r="BS117" s="2">
        <f t="shared" ca="1" si="81"/>
        <v>-2.6702631156746346E-2</v>
      </c>
      <c r="BT117" s="2" vm="1135">
        <f ca="1"/>
        <v>166.58</v>
      </c>
      <c r="BU117" s="2">
        <f t="shared" ca="1" si="82"/>
        <v>2.2904513355849053E-2</v>
      </c>
      <c r="BV117" s="2" vm="4248">
        <f ca="1"/>
        <v>148.63999999999999</v>
      </c>
      <c r="BW117" s="2">
        <f t="shared" ca="1" si="83"/>
        <v>2.1299986258073344E-2</v>
      </c>
      <c r="BX117" s="2" vm="3482">
        <f ca="1"/>
        <v>266.8</v>
      </c>
      <c r="BY117" s="2">
        <f t="shared" ca="1" si="84"/>
        <v>3.535695478823432E-3</v>
      </c>
      <c r="BZ117" s="2" vm="4249">
        <f ca="1"/>
        <v>95.06</v>
      </c>
      <c r="CA117" s="2">
        <f t="shared" ca="1" si="85"/>
        <v>4.9688127709060035E-3</v>
      </c>
      <c r="CB117" s="2" vm="4250">
        <f ca="1"/>
        <v>29.55</v>
      </c>
      <c r="CC117" s="2">
        <f t="shared" ca="1" si="86"/>
        <v>3.3955857385399467E-3</v>
      </c>
      <c r="CD117" s="2" t="e" vm="92">
        <f ca="1"/>
        <v>#N/A</v>
      </c>
      <c r="CE117" s="2" t="e" vm="140">
        <f t="shared" ca="1" si="87"/>
        <v>#N/A</v>
      </c>
      <c r="CF117" s="2" vm="4251">
        <f ca="1"/>
        <v>22.795000000000002</v>
      </c>
      <c r="CG117" s="2">
        <f t="shared" ca="1" si="88"/>
        <v>-1.9702276707529837E-3</v>
      </c>
      <c r="CH117" s="2" vm="4100">
        <f ca="1"/>
        <v>58.54</v>
      </c>
      <c r="CI117" s="2">
        <f t="shared" ca="1" si="89"/>
        <v>-1.7079419299740413E-4</v>
      </c>
      <c r="CJ117" s="2" vm="230">
        <f ca="1"/>
        <v>58.97</v>
      </c>
      <c r="CK117" s="2">
        <f t="shared" ca="1" si="90"/>
        <v>-1.1856368563685686E-3</v>
      </c>
      <c r="CL117" s="2" vm="3188">
        <f ca="1"/>
        <v>56.57</v>
      </c>
      <c r="CM117" s="2">
        <f t="shared" ca="1" si="91"/>
        <v>-5.9743454577402275E-3</v>
      </c>
      <c r="CN117" s="2" vm="3034">
        <f ca="1"/>
        <v>28.86</v>
      </c>
      <c r="CO117" s="2">
        <f t="shared" ca="1" si="92"/>
        <v>-3.1088082901554355E-3</v>
      </c>
      <c r="CP117" s="2" vm="4252">
        <f ca="1"/>
        <v>21.52</v>
      </c>
      <c r="CQ117" s="2">
        <f t="shared" ca="1" si="93"/>
        <v>3.7500699639919084E-3</v>
      </c>
    </row>
    <row r="118" spans="1:95" x14ac:dyDescent="0.2">
      <c r="A118" s="7" vm="4253">
        <f ca="1"/>
        <v>45743</v>
      </c>
      <c r="B118" s="2" vm="4254">
        <f ca="1"/>
        <v>223.85</v>
      </c>
      <c r="C118" s="2">
        <f t="shared" ca="1" si="47"/>
        <v>1.0472622218209693E-2</v>
      </c>
      <c r="D118" s="2" vm="4255">
        <f ca="1"/>
        <v>111.43</v>
      </c>
      <c r="E118" s="2">
        <f t="shared" ca="1" si="48"/>
        <v>-2.0481715893108283E-2</v>
      </c>
      <c r="F118" s="2" vm="4256">
        <f ca="1"/>
        <v>390.58</v>
      </c>
      <c r="G118" s="2">
        <f t="shared" ca="1" si="49"/>
        <v>1.564222888940064E-3</v>
      </c>
      <c r="H118" s="2" vm="4257">
        <f ca="1"/>
        <v>602.58000000000004</v>
      </c>
      <c r="I118" s="2">
        <f t="shared" ca="1" si="50"/>
        <v>-1.3748404203083533E-2</v>
      </c>
      <c r="J118" s="2" vm="4258">
        <f ca="1"/>
        <v>162.24</v>
      </c>
      <c r="K118" s="2">
        <f t="shared" ca="1" si="51"/>
        <v>-1.7084696474009408E-2</v>
      </c>
      <c r="L118" s="2" vm="4259">
        <f ca="1"/>
        <v>567.08000000000004</v>
      </c>
      <c r="M118" s="2">
        <f t="shared" ca="1" si="52"/>
        <v>-2.6556921507588788E-3</v>
      </c>
      <c r="N118" s="2" vm="4260">
        <f ca="1"/>
        <v>88.91</v>
      </c>
      <c r="O118" s="2">
        <f t="shared" ca="1" si="53"/>
        <v>-2.9157788493888652E-3</v>
      </c>
      <c r="P118" s="2" vm="4261">
        <f ca="1"/>
        <v>281.97000000000003</v>
      </c>
      <c r="Q118" s="2">
        <f t="shared" ca="1" si="54"/>
        <v>1.3405692926969588E-2</v>
      </c>
      <c r="R118" s="2" vm="4262">
        <f ca="1"/>
        <v>75.48</v>
      </c>
      <c r="S118" s="2">
        <f t="shared" ca="1" si="55"/>
        <v>7.9554494828960854E-4</v>
      </c>
      <c r="T118" s="2" vm="4263">
        <f ca="1"/>
        <v>94.33</v>
      </c>
      <c r="U118" s="2">
        <f t="shared" ca="1" si="56"/>
        <v>-8.4736786357375593E-4</v>
      </c>
      <c r="V118" s="2" vm="4264">
        <f ca="1"/>
        <v>46.755200000000002</v>
      </c>
      <c r="W118" s="2">
        <f t="shared" ca="1" si="57"/>
        <v>-7.2666341805371578E-4</v>
      </c>
      <c r="X118" s="2" vm="4265">
        <f ca="1"/>
        <v>142.03</v>
      </c>
      <c r="Y118" s="2">
        <f t="shared" ca="1" si="58"/>
        <v>-1.804480088495565E-2</v>
      </c>
      <c r="Z118" s="2" vm="4266">
        <f ca="1"/>
        <v>92.87</v>
      </c>
      <c r="AA118" s="2">
        <f t="shared" ca="1" si="59"/>
        <v>-9.7035615269779971E-3</v>
      </c>
      <c r="AB118" s="2" vm="4267">
        <f ca="1"/>
        <v>14.13</v>
      </c>
      <c r="AC118" s="2">
        <f t="shared" ca="1" si="60"/>
        <v>1.4174344436570765E-3</v>
      </c>
      <c r="AD118" s="2" t="e" vm="92">
        <f ca="1"/>
        <v>#N/A</v>
      </c>
      <c r="AE118" s="2" t="e" vm="140">
        <f t="shared" ca="1" si="61"/>
        <v>#N/A</v>
      </c>
      <c r="AF118" s="2" vm="3464">
        <f ca="1"/>
        <v>31.32</v>
      </c>
      <c r="AG118" s="2">
        <f t="shared" ca="1" si="62"/>
        <v>2.5876187356698301E-2</v>
      </c>
      <c r="AH118" s="2" vm="1667">
        <f ca="1"/>
        <v>26.43</v>
      </c>
      <c r="AI118" s="2">
        <f t="shared" ca="1" si="63"/>
        <v>-5.2691004892736386E-3</v>
      </c>
      <c r="AJ118" s="2" vm="2070">
        <f ca="1"/>
        <v>4.67</v>
      </c>
      <c r="AK118" s="2">
        <f t="shared" ca="1" si="64"/>
        <v>-4.2643923240939146E-3</v>
      </c>
      <c r="AL118" s="2" vm="4268">
        <f ca="1"/>
        <v>60.56</v>
      </c>
      <c r="AM118" s="2">
        <f t="shared" ca="1" si="65"/>
        <v>1.3047842087654752E-2</v>
      </c>
      <c r="AN118" s="2" vm="913">
        <f ca="1"/>
        <v>90.2</v>
      </c>
      <c r="AO118" s="2">
        <f t="shared" ca="1" si="66"/>
        <v>9.6261473024401092E-3</v>
      </c>
      <c r="AP118" s="2" vm="3252">
        <f ca="1"/>
        <v>26.63</v>
      </c>
      <c r="AQ118" s="2">
        <f t="shared" ca="1" si="67"/>
        <v>1.8811136192626303E-3</v>
      </c>
      <c r="AR118" s="2" vm="1404">
        <f ca="1"/>
        <v>51.04</v>
      </c>
      <c r="AS118" s="2">
        <f t="shared" ca="1" si="68"/>
        <v>1.9596315892608289E-4</v>
      </c>
      <c r="AT118" s="2" vm="122">
        <f ca="1"/>
        <v>29.17</v>
      </c>
      <c r="AU118" s="2">
        <f t="shared" ca="1" si="69"/>
        <v>0</v>
      </c>
      <c r="AV118" s="2" vm="3220">
        <f ca="1"/>
        <v>26.7</v>
      </c>
      <c r="AW118" s="2">
        <f t="shared" ca="1" si="70"/>
        <v>-2.6148673888681468E-3</v>
      </c>
      <c r="AX118" s="2" vm="468">
        <f ca="1"/>
        <v>91.7</v>
      </c>
      <c r="AY118" s="2">
        <f t="shared" ca="1" si="71"/>
        <v>2.1815008725999149E-4</v>
      </c>
      <c r="AZ118" s="2" vm="4269">
        <f ca="1"/>
        <v>534.52</v>
      </c>
      <c r="BA118" s="2">
        <f t="shared" ca="1" si="72"/>
        <v>2.4568181391945863E-3</v>
      </c>
      <c r="BB118" s="2" vm="4270">
        <f ca="1"/>
        <v>248.12</v>
      </c>
      <c r="BC118" s="2">
        <f t="shared" ca="1" si="73"/>
        <v>-1.1592239971318155E-2</v>
      </c>
      <c r="BD118" s="2" vm="4271">
        <f ca="1"/>
        <v>42.56</v>
      </c>
      <c r="BE118" s="2">
        <f t="shared" ca="1" si="74"/>
        <v>-6.0719290051377394E-3</v>
      </c>
      <c r="BF118" s="2" vm="4272">
        <f ca="1"/>
        <v>117.89</v>
      </c>
      <c r="BG118" s="2">
        <f t="shared" ca="1" si="75"/>
        <v>-3.2129872326033268E-3</v>
      </c>
      <c r="BH118" s="2" vm="4273">
        <f ca="1"/>
        <v>166.65</v>
      </c>
      <c r="BI118" s="2">
        <f t="shared" ca="1" si="76"/>
        <v>-7.8585461689587022E-3</v>
      </c>
      <c r="BJ118" s="2" vm="4274">
        <f ca="1"/>
        <v>163.13</v>
      </c>
      <c r="BK118" s="2">
        <f t="shared" ca="1" si="77"/>
        <v>8.7187731882265428E-3</v>
      </c>
      <c r="BL118" s="2" vm="4275">
        <f ca="1"/>
        <v>70.739999999999995</v>
      </c>
      <c r="BM118" s="2">
        <f t="shared" ca="1" si="78"/>
        <v>1.028277634961438E-2</v>
      </c>
      <c r="BN118" s="2" vm="4276">
        <f ca="1"/>
        <v>312.69</v>
      </c>
      <c r="BO118" s="2">
        <f t="shared" ca="1" si="79"/>
        <v>-2.8381912111741388E-3</v>
      </c>
      <c r="BP118" s="2" vm="4277">
        <f ca="1"/>
        <v>100.45</v>
      </c>
      <c r="BQ118" s="2">
        <f t="shared" ca="1" si="80"/>
        <v>-3.274459218098812E-3</v>
      </c>
      <c r="BR118" s="2" vm="4278">
        <f ca="1"/>
        <v>976.72</v>
      </c>
      <c r="BS118" s="2">
        <f t="shared" ca="1" si="81"/>
        <v>6.2535414413022721E-3</v>
      </c>
      <c r="BT118" s="2" vm="4279">
        <f ca="1"/>
        <v>168.71</v>
      </c>
      <c r="BU118" s="2">
        <f t="shared" ca="1" si="82"/>
        <v>1.2786649057509878E-2</v>
      </c>
      <c r="BV118" s="2" vm="4280">
        <f ca="1"/>
        <v>149.66999999999999</v>
      </c>
      <c r="BW118" s="2">
        <f t="shared" ca="1" si="83"/>
        <v>6.9294940796555517E-3</v>
      </c>
      <c r="BX118" s="2" vm="4281">
        <f ca="1"/>
        <v>264.81</v>
      </c>
      <c r="BY118" s="2">
        <f t="shared" ca="1" si="84"/>
        <v>-7.4587706146926874E-3</v>
      </c>
      <c r="BZ118" s="2" vm="1544">
        <f ca="1"/>
        <v>93.97</v>
      </c>
      <c r="CA118" s="2">
        <f t="shared" ca="1" si="85"/>
        <v>-1.146644224700193E-2</v>
      </c>
      <c r="CB118" s="2" vm="443">
        <f ca="1"/>
        <v>29.3</v>
      </c>
      <c r="CC118" s="2">
        <f t="shared" ca="1" si="86"/>
        <v>-8.4602368866328256E-3</v>
      </c>
      <c r="CD118" s="2" t="e" vm="92">
        <f ca="1"/>
        <v>#N/A</v>
      </c>
      <c r="CE118" s="2" t="e" vm="140">
        <f t="shared" ca="1" si="87"/>
        <v>#N/A</v>
      </c>
      <c r="CF118" s="2" vm="4282">
        <f ca="1"/>
        <v>22.79</v>
      </c>
      <c r="CG118" s="2">
        <f t="shared" ca="1" si="88"/>
        <v>-2.1934634788341994E-4</v>
      </c>
      <c r="CH118" s="2" vm="4283">
        <f ca="1"/>
        <v>58.56</v>
      </c>
      <c r="CI118" s="2">
        <f t="shared" ca="1" si="89"/>
        <v>3.4164673727371243E-4</v>
      </c>
      <c r="CJ118" s="2" vm="4284">
        <f ca="1"/>
        <v>58.96</v>
      </c>
      <c r="CK118" s="2">
        <f t="shared" ca="1" si="90"/>
        <v>-1.6957775139898271E-4</v>
      </c>
      <c r="CL118" s="2" vm="4285">
        <f ca="1"/>
        <v>56.4</v>
      </c>
      <c r="CM118" s="2">
        <f t="shared" ca="1" si="91"/>
        <v>-3.0051263920806382E-3</v>
      </c>
      <c r="CN118" s="2" vm="3579">
        <f ca="1"/>
        <v>28.83</v>
      </c>
      <c r="CO118" s="2">
        <f t="shared" ca="1" si="92"/>
        <v>-1.0395010395010788E-3</v>
      </c>
      <c r="CP118" s="2" vm="4286">
        <f ca="1"/>
        <v>21.485399999999998</v>
      </c>
      <c r="CQ118" s="2">
        <f t="shared" ca="1" si="93"/>
        <v>-1.607806691449864E-3</v>
      </c>
    </row>
    <row r="119" spans="1:95" x14ac:dyDescent="0.2">
      <c r="A119" s="7" vm="4287">
        <f ca="1"/>
        <v>45744</v>
      </c>
      <c r="B119" s="2" vm="4288">
        <f ca="1"/>
        <v>217.9</v>
      </c>
      <c r="C119" s="2">
        <f t="shared" ca="1" si="47"/>
        <v>-2.6580299307571983E-2</v>
      </c>
      <c r="D119" s="2" vm="4289">
        <f ca="1"/>
        <v>109.67</v>
      </c>
      <c r="E119" s="2">
        <f t="shared" ca="1" si="48"/>
        <v>-1.5794669299111594E-2</v>
      </c>
      <c r="F119" s="2" vm="4290">
        <f ca="1"/>
        <v>378.8</v>
      </c>
      <c r="G119" s="2">
        <f t="shared" ca="1" si="49"/>
        <v>-3.0160274463618141E-2</v>
      </c>
      <c r="H119" s="2" vm="4291">
        <f ca="1"/>
        <v>576.74</v>
      </c>
      <c r="I119" s="2">
        <f t="shared" ca="1" si="50"/>
        <v>-4.2882272893225847E-2</v>
      </c>
      <c r="J119" s="2" vm="4292">
        <f ca="1"/>
        <v>154.33000000000001</v>
      </c>
      <c r="K119" s="2">
        <f t="shared" ca="1" si="51"/>
        <v>-4.8754930966469406E-2</v>
      </c>
      <c r="L119" s="2" vm="4293">
        <f ca="1"/>
        <v>555.66</v>
      </c>
      <c r="M119" s="2">
        <f t="shared" ca="1" si="52"/>
        <v>-2.0138252098469478E-2</v>
      </c>
      <c r="N119" s="2" vm="4294">
        <f ca="1"/>
        <v>90.14</v>
      </c>
      <c r="O119" s="2">
        <f t="shared" ca="1" si="53"/>
        <v>1.38342143740862E-2</v>
      </c>
      <c r="P119" s="2" vm="4295">
        <f ca="1"/>
        <v>284.06</v>
      </c>
      <c r="Q119" s="2">
        <f t="shared" ca="1" si="54"/>
        <v>7.4121360428413474E-3</v>
      </c>
      <c r="R119" s="2" vm="4296">
        <f ca="1"/>
        <v>74.77</v>
      </c>
      <c r="S119" s="2">
        <f t="shared" ca="1" si="55"/>
        <v>-9.4064652888183348E-3</v>
      </c>
      <c r="T119" s="2" vm="3731">
        <f ca="1"/>
        <v>95.09</v>
      </c>
      <c r="U119" s="2">
        <f t="shared" ca="1" si="56"/>
        <v>8.056821795823229E-3</v>
      </c>
      <c r="V119" s="2" vm="4297">
        <f ca="1"/>
        <v>46.884799999999998</v>
      </c>
      <c r="W119" s="2">
        <f t="shared" ca="1" si="57"/>
        <v>2.7718841968379215E-3</v>
      </c>
      <c r="X119" s="2" vm="4298">
        <f ca="1"/>
        <v>136.96</v>
      </c>
      <c r="Y119" s="2">
        <f t="shared" ca="1" si="58"/>
        <v>-3.5696683799197305E-2</v>
      </c>
      <c r="Z119" s="2" vm="3666">
        <f ca="1"/>
        <v>92.43</v>
      </c>
      <c r="AA119" s="2">
        <f t="shared" ca="1" si="59"/>
        <v>-4.7378055346182588E-3</v>
      </c>
      <c r="AB119" s="2" vm="4299">
        <f ca="1"/>
        <v>13.97</v>
      </c>
      <c r="AC119" s="2">
        <f t="shared" ca="1" si="60"/>
        <v>-1.1323425336164199E-2</v>
      </c>
      <c r="AD119" s="2" t="e" vm="92">
        <f ca="1"/>
        <v>#N/A</v>
      </c>
      <c r="AE119" s="2" t="e" vm="140">
        <f t="shared" ca="1" si="61"/>
        <v>#N/A</v>
      </c>
      <c r="AF119" s="2" vm="2572">
        <f ca="1"/>
        <v>31</v>
      </c>
      <c r="AG119" s="2">
        <f t="shared" ca="1" si="62"/>
        <v>-1.0217113665389537E-2</v>
      </c>
      <c r="AH119" s="2" vm="4300">
        <f ca="1"/>
        <v>26.47</v>
      </c>
      <c r="AI119" s="2">
        <f t="shared" ca="1" si="63"/>
        <v>1.5134317063942168E-3</v>
      </c>
      <c r="AJ119" s="2" vm="4301">
        <f ca="1"/>
        <v>4.62</v>
      </c>
      <c r="AK119" s="2">
        <f t="shared" ca="1" si="64"/>
        <v>-1.0706638115631655E-2</v>
      </c>
      <c r="AL119" s="2" vm="4302">
        <f ca="1"/>
        <v>61.03</v>
      </c>
      <c r="AM119" s="2">
        <f t="shared" ca="1" si="65"/>
        <v>7.7608982826948289E-3</v>
      </c>
      <c r="AN119" s="2" vm="4303">
        <f ca="1"/>
        <v>89.96</v>
      </c>
      <c r="AO119" s="2">
        <f t="shared" ca="1" si="66"/>
        <v>-2.660753880266176E-3</v>
      </c>
      <c r="AP119" s="2" vm="4304">
        <f ca="1"/>
        <v>26.78</v>
      </c>
      <c r="AQ119" s="2">
        <f t="shared" ca="1" si="67"/>
        <v>5.6327450244086424E-3</v>
      </c>
      <c r="AR119" s="2" vm="1517">
        <f ca="1"/>
        <v>51.05</v>
      </c>
      <c r="AS119" s="2">
        <f t="shared" ca="1" si="68"/>
        <v>1.9592476489024315E-4</v>
      </c>
      <c r="AT119" s="2" vm="530">
        <f ca="1"/>
        <v>29.22</v>
      </c>
      <c r="AU119" s="2">
        <f t="shared" ca="1" si="69"/>
        <v>1.7140898183063817E-3</v>
      </c>
      <c r="AV119" s="2" vm="4305">
        <f ca="1"/>
        <v>27.04</v>
      </c>
      <c r="AW119" s="2">
        <f t="shared" ca="1" si="70"/>
        <v>1.273408239700374E-2</v>
      </c>
      <c r="AX119" s="2" vm="1442">
        <f ca="1"/>
        <v>91.73</v>
      </c>
      <c r="AY119" s="2">
        <f t="shared" ca="1" si="71"/>
        <v>3.2715376226827845E-4</v>
      </c>
      <c r="AZ119" s="2" vm="4306">
        <f ca="1"/>
        <v>526.30999999999995</v>
      </c>
      <c r="BA119" s="2">
        <f t="shared" ca="1" si="72"/>
        <v>-1.5359574945745785E-2</v>
      </c>
      <c r="BB119" s="2" vm="4307">
        <f ca="1"/>
        <v>242.85</v>
      </c>
      <c r="BC119" s="2">
        <f t="shared" ca="1" si="73"/>
        <v>-2.1239722714815452E-2</v>
      </c>
      <c r="BD119" s="2" vm="4308">
        <f ca="1"/>
        <v>41.25</v>
      </c>
      <c r="BE119" s="2">
        <f t="shared" ca="1" si="74"/>
        <v>-3.0780075187969977E-2</v>
      </c>
      <c r="BF119" s="2" vm="4309">
        <f ca="1"/>
        <v>117.73</v>
      </c>
      <c r="BG119" s="2">
        <f t="shared" ca="1" si="75"/>
        <v>-1.3571973873950003E-3</v>
      </c>
      <c r="BH119" s="2" vm="3588">
        <f ca="1"/>
        <v>166.09</v>
      </c>
      <c r="BI119" s="2">
        <f t="shared" ca="1" si="76"/>
        <v>-3.3603360336033738E-3</v>
      </c>
      <c r="BJ119" s="2" vm="4310">
        <f ca="1"/>
        <v>163.71</v>
      </c>
      <c r="BK119" s="2">
        <f t="shared" ca="1" si="77"/>
        <v>3.555446576350227E-3</v>
      </c>
      <c r="BL119" s="2" vm="4311">
        <f ca="1"/>
        <v>70.37</v>
      </c>
      <c r="BM119" s="2">
        <f t="shared" ca="1" si="78"/>
        <v>-5.2304212609554758E-3</v>
      </c>
      <c r="BN119" s="2" vm="4312">
        <f ca="1"/>
        <v>307.08999999999997</v>
      </c>
      <c r="BO119" s="2">
        <f t="shared" ca="1" si="79"/>
        <v>-1.7909111260353779E-2</v>
      </c>
      <c r="BP119" s="2" vm="4313">
        <f ca="1"/>
        <v>98.07</v>
      </c>
      <c r="BQ119" s="2">
        <f t="shared" ca="1" si="80"/>
        <v>-2.3693379790940862E-2</v>
      </c>
      <c r="BR119" s="2" vm="4314">
        <f ca="1"/>
        <v>933.85</v>
      </c>
      <c r="BS119" s="2">
        <f t="shared" ca="1" si="81"/>
        <v>-4.3891801130313705E-2</v>
      </c>
      <c r="BT119" s="2" vm="4315">
        <f ca="1"/>
        <v>168.03</v>
      </c>
      <c r="BU119" s="2">
        <f t="shared" ca="1" si="82"/>
        <v>-4.0305850275621294E-3</v>
      </c>
      <c r="BV119" s="2" vm="878">
        <f ca="1"/>
        <v>149.27000000000001</v>
      </c>
      <c r="BW119" s="2">
        <f t="shared" ca="1" si="83"/>
        <v>-2.6725462684571212E-3</v>
      </c>
      <c r="BX119" s="2" vm="4316">
        <f ca="1"/>
        <v>261.36</v>
      </c>
      <c r="BY119" s="2">
        <f t="shared" ca="1" si="84"/>
        <v>-1.3028208904497521E-2</v>
      </c>
      <c r="BZ119" s="2" vm="2704">
        <f ca="1"/>
        <v>93.24</v>
      </c>
      <c r="CA119" s="2">
        <f t="shared" ca="1" si="85"/>
        <v>-7.7684367351282752E-3</v>
      </c>
      <c r="CB119" s="2" vm="966">
        <f ca="1"/>
        <v>29.03</v>
      </c>
      <c r="CC119" s="2">
        <f t="shared" ca="1" si="86"/>
        <v>-9.2150170648464015E-3</v>
      </c>
      <c r="CD119" s="2" t="e" vm="92">
        <f ca="1"/>
        <v>#N/A</v>
      </c>
      <c r="CE119" s="2" t="e" vm="140">
        <f t="shared" ca="1" si="87"/>
        <v>#N/A</v>
      </c>
      <c r="CF119" s="2" vm="1721">
        <f ca="1"/>
        <v>22.93</v>
      </c>
      <c r="CG119" s="2">
        <f t="shared" ca="1" si="88"/>
        <v>6.1430451952611048E-3</v>
      </c>
      <c r="CH119" s="2" vm="4317">
        <f ca="1"/>
        <v>58.68</v>
      </c>
      <c r="CI119" s="2">
        <f t="shared" ca="1" si="89"/>
        <v>2.0491803278688088E-3</v>
      </c>
      <c r="CJ119" s="2" vm="4318">
        <f ca="1"/>
        <v>59.3</v>
      </c>
      <c r="CK119" s="2">
        <f t="shared" ca="1" si="90"/>
        <v>5.7666214382631666E-3</v>
      </c>
      <c r="CL119" s="2" vm="3380">
        <f ca="1"/>
        <v>57.17</v>
      </c>
      <c r="CM119" s="2">
        <f t="shared" ca="1" si="91"/>
        <v>1.3652482269503602E-2</v>
      </c>
      <c r="CN119" s="2" vm="1782">
        <f ca="1"/>
        <v>28.98</v>
      </c>
      <c r="CO119" s="2">
        <f t="shared" ca="1" si="92"/>
        <v>5.2029136316337895E-3</v>
      </c>
      <c r="CP119" s="2" vm="4319">
        <f ca="1"/>
        <v>21.401499999999999</v>
      </c>
      <c r="CQ119" s="2">
        <f t="shared" ca="1" si="93"/>
        <v>-3.9049773334450311E-3</v>
      </c>
    </row>
    <row r="120" spans="1:95" x14ac:dyDescent="0.2">
      <c r="A120" s="7" vm="4320">
        <f ca="1"/>
        <v>45747</v>
      </c>
      <c r="B120" s="2" vm="4321">
        <f ca="1"/>
        <v>222.13</v>
      </c>
      <c r="C120" s="2">
        <f t="shared" ca="1" si="47"/>
        <v>1.9412574575493297E-2</v>
      </c>
      <c r="D120" s="2" vm="4322">
        <f ca="1"/>
        <v>108.38</v>
      </c>
      <c r="E120" s="2">
        <f t="shared" ca="1" si="48"/>
        <v>-1.1762560408498279E-2</v>
      </c>
      <c r="F120" s="2" vm="4323">
        <f ca="1"/>
        <v>375.39</v>
      </c>
      <c r="G120" s="2">
        <f t="shared" ca="1" si="49"/>
        <v>-9.0021119324182278E-3</v>
      </c>
      <c r="H120" s="2" vm="4324">
        <f ca="1"/>
        <v>576.36</v>
      </c>
      <c r="I120" s="2">
        <f t="shared" ca="1" si="50"/>
        <v>-6.5887574990462848E-4</v>
      </c>
      <c r="J120" s="2" vm="4325">
        <f ca="1"/>
        <v>154.63999999999999</v>
      </c>
      <c r="K120" s="2">
        <f t="shared" ca="1" si="51"/>
        <v>2.0086826929305631E-3</v>
      </c>
      <c r="L120" s="2" vm="4326">
        <f ca="1"/>
        <v>559.39</v>
      </c>
      <c r="M120" s="2">
        <f t="shared" ca="1" si="52"/>
        <v>6.7127380052550449E-3</v>
      </c>
      <c r="N120" s="2" vm="4327">
        <f ca="1"/>
        <v>91.03</v>
      </c>
      <c r="O120" s="2">
        <f t="shared" ca="1" si="53"/>
        <v>9.8735300643443599E-3</v>
      </c>
      <c r="P120" s="2" vm="4328">
        <f ca="1"/>
        <v>288.14</v>
      </c>
      <c r="Q120" s="2">
        <f t="shared" ca="1" si="54"/>
        <v>1.4363162712103021E-2</v>
      </c>
      <c r="R120" s="2" vm="4329">
        <f ca="1"/>
        <v>77.33</v>
      </c>
      <c r="S120" s="2">
        <f t="shared" ca="1" si="55"/>
        <v>3.4238330881369565E-2</v>
      </c>
      <c r="T120" s="2" vm="4330">
        <f ca="1"/>
        <v>95.37</v>
      </c>
      <c r="U120" s="2">
        <f t="shared" ca="1" si="56"/>
        <v>2.9445788200652134E-3</v>
      </c>
      <c r="V120" s="2" vm="4331">
        <f ca="1"/>
        <v>47.104999999999997</v>
      </c>
      <c r="W120" s="2">
        <f t="shared" ca="1" si="57"/>
        <v>4.6966180937105077E-3</v>
      </c>
      <c r="X120" s="2" vm="4332">
        <f ca="1"/>
        <v>136.94</v>
      </c>
      <c r="Y120" s="2">
        <f t="shared" ca="1" si="58"/>
        <v>-1.4602803738325226E-4</v>
      </c>
      <c r="Z120" s="2" vm="3181">
        <f ca="1"/>
        <v>93.45</v>
      </c>
      <c r="AA120" s="2">
        <f t="shared" ca="1" si="59"/>
        <v>1.1035378123985674E-2</v>
      </c>
      <c r="AB120" s="2" vm="3545">
        <f ca="1"/>
        <v>14.33</v>
      </c>
      <c r="AC120" s="2">
        <f t="shared" ca="1" si="60"/>
        <v>2.5769506084466671E-2</v>
      </c>
      <c r="AD120" s="2" vm="4333">
        <f ca="1"/>
        <v>3.97</v>
      </c>
      <c r="AE120" s="2" t="e" vm="140">
        <f t="shared" ca="1" si="61"/>
        <v>#N/A</v>
      </c>
      <c r="AF120" s="2" vm="4334">
        <f ca="1"/>
        <v>30.99</v>
      </c>
      <c r="AG120" s="2">
        <f t="shared" ca="1" si="62"/>
        <v>-3.2258064516134074E-4</v>
      </c>
      <c r="AH120" s="2" vm="508">
        <f ca="1"/>
        <v>26.34</v>
      </c>
      <c r="AI120" s="2">
        <f t="shared" ca="1" si="63"/>
        <v>-4.9112202493388369E-3</v>
      </c>
      <c r="AJ120" s="2" vm="4335">
        <f ca="1"/>
        <v>4.68</v>
      </c>
      <c r="AK120" s="2">
        <f t="shared" ca="1" si="64"/>
        <v>1.2987012987012903E-2</v>
      </c>
      <c r="AL120" s="2" vm="4336">
        <f ca="1"/>
        <v>61.89</v>
      </c>
      <c r="AM120" s="2">
        <f t="shared" ca="1" si="65"/>
        <v>1.4091430444043903E-2</v>
      </c>
      <c r="AN120" s="2" vm="2225">
        <f ca="1"/>
        <v>91.37</v>
      </c>
      <c r="AO120" s="2">
        <f t="shared" ca="1" si="66"/>
        <v>1.5673632725655969E-2</v>
      </c>
      <c r="AP120" s="2" vm="1513">
        <f ca="1"/>
        <v>26.89</v>
      </c>
      <c r="AQ120" s="2">
        <f t="shared" ca="1" si="67"/>
        <v>4.1075429424943773E-3</v>
      </c>
      <c r="AR120" s="2" vm="1517">
        <f ca="1"/>
        <v>51.05</v>
      </c>
      <c r="AS120" s="2">
        <f t="shared" ca="1" si="68"/>
        <v>0</v>
      </c>
      <c r="AT120" s="2" vm="694">
        <f ca="1"/>
        <v>29.24</v>
      </c>
      <c r="AU120" s="2">
        <f t="shared" ca="1" si="69"/>
        <v>6.8446269678301079E-4</v>
      </c>
      <c r="AV120" s="2" vm="2840">
        <f ca="1"/>
        <v>27.26</v>
      </c>
      <c r="AW120" s="2">
        <f t="shared" ca="1" si="70"/>
        <v>8.1360946745563031E-3</v>
      </c>
      <c r="AX120" s="2" vm="1442">
        <f ca="1"/>
        <v>91.73</v>
      </c>
      <c r="AY120" s="2">
        <f t="shared" ca="1" si="71"/>
        <v>0</v>
      </c>
      <c r="AZ120" s="2" vm="4337">
        <f ca="1"/>
        <v>532.58000000000004</v>
      </c>
      <c r="BA120" s="2">
        <f t="shared" ca="1" si="72"/>
        <v>1.1913131044441671E-2</v>
      </c>
      <c r="BB120" s="2" vm="4338">
        <f ca="1"/>
        <v>245.3</v>
      </c>
      <c r="BC120" s="2">
        <f t="shared" ca="1" si="73"/>
        <v>1.008853201564759E-2</v>
      </c>
      <c r="BD120" s="2" vm="4339">
        <f ca="1"/>
        <v>41.73</v>
      </c>
      <c r="BE120" s="2">
        <f t="shared" ca="1" si="74"/>
        <v>1.1636363636363561E-2</v>
      </c>
      <c r="BF120" s="2" vm="4340">
        <f ca="1"/>
        <v>118.93</v>
      </c>
      <c r="BG120" s="2">
        <f t="shared" ca="1" si="75"/>
        <v>1.0192814066083435E-2</v>
      </c>
      <c r="BH120" s="2" vm="4341">
        <f ca="1"/>
        <v>167.29</v>
      </c>
      <c r="BI120" s="2">
        <f t="shared" ca="1" si="76"/>
        <v>7.2249984947919113E-3</v>
      </c>
      <c r="BJ120" s="2" vm="1101">
        <f ca="1"/>
        <v>165.84</v>
      </c>
      <c r="BK120" s="2">
        <f t="shared" ca="1" si="77"/>
        <v>1.3010811801356027E-2</v>
      </c>
      <c r="BL120" s="2" vm="3954">
        <f ca="1"/>
        <v>71.62</v>
      </c>
      <c r="BM120" s="2">
        <f t="shared" ca="1" si="78"/>
        <v>1.7763251385533606E-2</v>
      </c>
      <c r="BN120" s="2" vm="4342">
        <f ca="1"/>
        <v>312.37</v>
      </c>
      <c r="BO120" s="2">
        <f t="shared" ca="1" si="79"/>
        <v>1.7193656582760852E-2</v>
      </c>
      <c r="BP120" s="2" vm="4343">
        <f ca="1"/>
        <v>98.7</v>
      </c>
      <c r="BQ120" s="2">
        <f t="shared" ca="1" si="80"/>
        <v>6.4239828693791138E-3</v>
      </c>
      <c r="BR120" s="2" vm="4344">
        <f ca="1"/>
        <v>932.53</v>
      </c>
      <c r="BS120" s="2">
        <f t="shared" ca="1" si="81"/>
        <v>-1.4135032392783103E-3</v>
      </c>
      <c r="BT120" s="2" vm="4345">
        <f ca="1"/>
        <v>170.42</v>
      </c>
      <c r="BU120" s="2">
        <f t="shared" ca="1" si="82"/>
        <v>1.4223650538594217E-2</v>
      </c>
      <c r="BV120" s="2" vm="4346">
        <f ca="1"/>
        <v>149.94</v>
      </c>
      <c r="BW120" s="2">
        <f t="shared" ca="1" si="83"/>
        <v>4.488510752327912E-3</v>
      </c>
      <c r="BX120" s="2" vm="4347">
        <f ca="1"/>
        <v>262.12</v>
      </c>
      <c r="BY120" s="2">
        <f t="shared" ca="1" si="84"/>
        <v>2.9078665442301456E-3</v>
      </c>
      <c r="BZ120" s="2" vm="4348">
        <f ca="1"/>
        <v>94.58</v>
      </c>
      <c r="CA120" s="2">
        <f t="shared" ca="1" si="85"/>
        <v>1.437151437151441E-2</v>
      </c>
      <c r="CB120" s="2" vm="3691">
        <f ca="1"/>
        <v>29.28</v>
      </c>
      <c r="CC120" s="2">
        <f t="shared" ca="1" si="86"/>
        <v>8.6117809162934884E-3</v>
      </c>
      <c r="CD120" s="2" t="e" vm="92">
        <f ca="1"/>
        <v>#N/A</v>
      </c>
      <c r="CE120" s="2" t="e" vm="140">
        <f t="shared" ca="1" si="87"/>
        <v>#N/A</v>
      </c>
      <c r="CF120" s="2" vm="3719">
        <f ca="1"/>
        <v>22.984999999999999</v>
      </c>
      <c r="CG120" s="2">
        <f t="shared" ca="1" si="88"/>
        <v>2.3986044483209645E-3</v>
      </c>
      <c r="CH120" s="2" vm="1496">
        <f ca="1"/>
        <v>58.69</v>
      </c>
      <c r="CI120" s="2">
        <f t="shared" ca="1" si="89"/>
        <v>1.7041581458755983E-4</v>
      </c>
      <c r="CJ120" s="2" vm="186">
        <f ca="1"/>
        <v>59.4</v>
      </c>
      <c r="CK120" s="2">
        <f t="shared" ca="1" si="90"/>
        <v>1.6863406408094675E-3</v>
      </c>
      <c r="CL120" s="2" vm="3250">
        <f ca="1"/>
        <v>57.61</v>
      </c>
      <c r="CM120" s="2">
        <f t="shared" ca="1" si="91"/>
        <v>7.696344236487628E-3</v>
      </c>
      <c r="CN120" s="2" vm="966">
        <f ca="1"/>
        <v>29.03</v>
      </c>
      <c r="CO120" s="2">
        <f t="shared" ca="1" si="92"/>
        <v>1.7253278122843585E-3</v>
      </c>
      <c r="CP120" s="2" vm="4349">
        <f ca="1"/>
        <v>21.64</v>
      </c>
      <c r="CQ120" s="2">
        <f t="shared" ca="1" si="93"/>
        <v>1.1144078686073497E-2</v>
      </c>
    </row>
    <row r="121" spans="1:95" x14ac:dyDescent="0.2">
      <c r="A121" s="7" vm="4350">
        <f ca="1"/>
        <v>45748</v>
      </c>
      <c r="B121" s="2" vm="4351">
        <f ca="1"/>
        <v>223.19</v>
      </c>
      <c r="C121" s="2">
        <f t="shared" ca="1" si="47"/>
        <v>4.7719803718543298E-3</v>
      </c>
      <c r="D121" s="2" vm="2846">
        <f ca="1"/>
        <v>110.15</v>
      </c>
      <c r="E121" s="2">
        <f t="shared" ca="1" si="48"/>
        <v>1.6331426462447042E-2</v>
      </c>
      <c r="F121" s="2" vm="4352">
        <f ca="1"/>
        <v>382.19</v>
      </c>
      <c r="G121" s="2">
        <f t="shared" ca="1" si="49"/>
        <v>1.8114494259303688E-2</v>
      </c>
      <c r="H121" s="2" vm="4106">
        <f ca="1"/>
        <v>586</v>
      </c>
      <c r="I121" s="2">
        <f t="shared" ca="1" si="50"/>
        <v>1.6725657575126632E-2</v>
      </c>
      <c r="J121" s="2" vm="4353">
        <f ca="1"/>
        <v>157.07</v>
      </c>
      <c r="K121" s="2">
        <f t="shared" ca="1" si="51"/>
        <v>1.5713916192447018E-2</v>
      </c>
      <c r="L121" s="2" vm="4354">
        <f ca="1"/>
        <v>560.97</v>
      </c>
      <c r="M121" s="2">
        <f t="shared" ca="1" si="52"/>
        <v>2.8245052646633673E-3</v>
      </c>
      <c r="N121" s="2" vm="1630">
        <f ca="1"/>
        <v>91.49</v>
      </c>
      <c r="O121" s="2">
        <f t="shared" ca="1" si="53"/>
        <v>5.0532791387453996E-3</v>
      </c>
      <c r="P121" s="2" vm="4355">
        <f ca="1"/>
        <v>287.57</v>
      </c>
      <c r="Q121" s="2">
        <f t="shared" ca="1" si="54"/>
        <v>-1.9782050392170235E-3</v>
      </c>
      <c r="R121" s="2" vm="4356">
        <f ca="1"/>
        <v>77.08</v>
      </c>
      <c r="S121" s="2">
        <f t="shared" ca="1" si="55"/>
        <v>-3.2328979697400749E-3</v>
      </c>
      <c r="T121" s="2" vm="563">
        <f ca="1"/>
        <v>95.4</v>
      </c>
      <c r="U121" s="2">
        <f t="shared" ca="1" si="56"/>
        <v>3.1456432840517077E-4</v>
      </c>
      <c r="V121" s="2" vm="4357">
        <f ca="1"/>
        <v>47.205199999999998</v>
      </c>
      <c r="W121" s="2">
        <f t="shared" ca="1" si="57"/>
        <v>2.1271627215794704E-3</v>
      </c>
      <c r="X121" s="2" vm="4358">
        <f ca="1"/>
        <v>138.37</v>
      </c>
      <c r="Y121" s="2">
        <f t="shared" ca="1" si="58"/>
        <v>1.0442529574996398E-2</v>
      </c>
      <c r="Z121" s="2" vm="955">
        <f ca="1"/>
        <v>94</v>
      </c>
      <c r="AA121" s="2">
        <f t="shared" ca="1" si="59"/>
        <v>5.885500267522709E-3</v>
      </c>
      <c r="AB121" s="2" vm="3545">
        <f ca="1"/>
        <v>14.33</v>
      </c>
      <c r="AC121" s="2">
        <f t="shared" ca="1" si="60"/>
        <v>0</v>
      </c>
      <c r="AD121" s="2" t="e" vm="92">
        <f ca="1"/>
        <v>#N/A</v>
      </c>
      <c r="AE121" s="2" t="e" vm="140">
        <f t="shared" ca="1" si="61"/>
        <v>#N/A</v>
      </c>
      <c r="AF121" s="2" vm="589">
        <f ca="1"/>
        <v>30.63</v>
      </c>
      <c r="AG121" s="2">
        <f t="shared" ca="1" si="62"/>
        <v>-1.1616650532429799E-2</v>
      </c>
      <c r="AH121" s="2" vm="2372">
        <f ca="1"/>
        <v>26.93</v>
      </c>
      <c r="AI121" s="2">
        <f t="shared" ca="1" si="63"/>
        <v>2.2399392558845856E-2</v>
      </c>
      <c r="AJ121" s="2" vm="2515">
        <f ca="1"/>
        <v>4.72</v>
      </c>
      <c r="AK121" s="2">
        <f t="shared" ca="1" si="64"/>
        <v>8.5470085470085548E-3</v>
      </c>
      <c r="AL121" s="2" vm="4359">
        <f ca="1"/>
        <v>61.79</v>
      </c>
      <c r="AM121" s="2">
        <f t="shared" ca="1" si="65"/>
        <v>-1.6157699143642176E-3</v>
      </c>
      <c r="AN121" s="2" vm="1189">
        <f ca="1"/>
        <v>90.08</v>
      </c>
      <c r="AO121" s="2">
        <f t="shared" ca="1" si="66"/>
        <v>-1.4118419612564367E-2</v>
      </c>
      <c r="AP121" s="2" vm="4360">
        <f ca="1"/>
        <v>26.8</v>
      </c>
      <c r="AQ121" s="2">
        <f t="shared" ca="1" si="67"/>
        <v>-3.3469691335068744E-3</v>
      </c>
      <c r="AR121" s="2" vm="843">
        <f ca="1"/>
        <v>50.88</v>
      </c>
      <c r="AS121" s="2">
        <f t="shared" ca="1" si="68"/>
        <v>-3.3300685602349581E-3</v>
      </c>
      <c r="AT121" s="2" vm="596">
        <f ca="1"/>
        <v>29.15</v>
      </c>
      <c r="AU121" s="2">
        <f t="shared" ca="1" si="69"/>
        <v>-3.0779753761969856E-3</v>
      </c>
      <c r="AV121" s="2" vm="1783">
        <f ca="1"/>
        <v>27.36</v>
      </c>
      <c r="AW121" s="2">
        <f t="shared" ca="1" si="70"/>
        <v>3.6683785766690341E-3</v>
      </c>
      <c r="AX121" s="2" vm="2342">
        <f ca="1"/>
        <v>91.43</v>
      </c>
      <c r="AY121" s="2">
        <f t="shared" ca="1" si="71"/>
        <v>-3.2704676768777626E-3</v>
      </c>
      <c r="AZ121" s="2" vm="4361">
        <f ca="1"/>
        <v>532.99</v>
      </c>
      <c r="BA121" s="2">
        <f t="shared" ca="1" si="72"/>
        <v>7.6983739532083097E-4</v>
      </c>
      <c r="BB121" s="2" vm="4362">
        <f ca="1"/>
        <v>243.66</v>
      </c>
      <c r="BC121" s="2">
        <f t="shared" ca="1" si="73"/>
        <v>-6.6856909906237863E-3</v>
      </c>
      <c r="BD121" s="2" vm="4363">
        <f ca="1"/>
        <v>41.49</v>
      </c>
      <c r="BE121" s="2">
        <f t="shared" ca="1" si="74"/>
        <v>-5.7512580877065638E-3</v>
      </c>
      <c r="BF121" s="2" vm="4364">
        <f ca="1"/>
        <v>119.04</v>
      </c>
      <c r="BG121" s="2">
        <f t="shared" ca="1" si="75"/>
        <v>9.2491381484906602E-4</v>
      </c>
      <c r="BH121" s="2" vm="4365">
        <f ca="1"/>
        <v>168.51</v>
      </c>
      <c r="BI121" s="2">
        <f t="shared" ca="1" si="76"/>
        <v>7.2927252077231094E-3</v>
      </c>
      <c r="BJ121" s="2" vm="4366">
        <f ca="1"/>
        <v>153.25</v>
      </c>
      <c r="BK121" s="2">
        <f t="shared" ca="1" si="77"/>
        <v>-7.5916546068499777E-2</v>
      </c>
      <c r="BL121" s="2" vm="4367">
        <f ca="1"/>
        <v>71.87</v>
      </c>
      <c r="BM121" s="2">
        <f t="shared" ca="1" si="78"/>
        <v>3.4906450712091593E-3</v>
      </c>
      <c r="BN121" s="2" vm="4368">
        <f ca="1"/>
        <v>313.63</v>
      </c>
      <c r="BO121" s="2">
        <f t="shared" ca="1" si="79"/>
        <v>4.0336780100521524E-3</v>
      </c>
      <c r="BP121" s="2" vm="4369">
        <f ca="1"/>
        <v>97.68</v>
      </c>
      <c r="BQ121" s="2">
        <f t="shared" ca="1" si="80"/>
        <v>-1.0334346504559231E-2</v>
      </c>
      <c r="BR121" s="2" vm="4370">
        <f ca="1"/>
        <v>928.38</v>
      </c>
      <c r="BS121" s="2">
        <f t="shared" ca="1" si="81"/>
        <v>-4.4502589729016519E-3</v>
      </c>
      <c r="BT121" s="2" vm="4198">
        <f ca="1"/>
        <v>170.56</v>
      </c>
      <c r="BU121" s="2">
        <f t="shared" ca="1" si="82"/>
        <v>8.2149982396441021E-4</v>
      </c>
      <c r="BV121" s="2" vm="4280">
        <f ca="1"/>
        <v>149.66999999999999</v>
      </c>
      <c r="BW121" s="2">
        <f t="shared" ca="1" si="83"/>
        <v>-1.8007202881153144E-3</v>
      </c>
      <c r="BX121" s="2" vm="4371">
        <f ca="1"/>
        <v>266.11</v>
      </c>
      <c r="BY121" s="2">
        <f t="shared" ca="1" si="84"/>
        <v>1.5222035708835683E-2</v>
      </c>
      <c r="BZ121" s="2" vm="4372">
        <f ca="1"/>
        <v>95.18</v>
      </c>
      <c r="CA121" s="2">
        <f t="shared" ca="1" si="85"/>
        <v>6.3438359061113187E-3</v>
      </c>
      <c r="CB121" s="2" vm="1686">
        <f ca="1"/>
        <v>29.42</v>
      </c>
      <c r="CC121" s="2">
        <f t="shared" ca="1" si="86"/>
        <v>4.7814207650273416E-3</v>
      </c>
      <c r="CD121" s="2" t="e" vm="92">
        <f ca="1"/>
        <v>#N/A</v>
      </c>
      <c r="CE121" s="2" t="e" vm="140">
        <f t="shared" ca="1" si="87"/>
        <v>#N/A</v>
      </c>
      <c r="CF121" s="2" vm="4373">
        <f ca="1"/>
        <v>22.97</v>
      </c>
      <c r="CG121" s="2">
        <f t="shared" ca="1" si="88"/>
        <v>-6.525995214270424E-4</v>
      </c>
      <c r="CH121" s="2" vm="570">
        <f ca="1"/>
        <v>58.51</v>
      </c>
      <c r="CI121" s="2">
        <f t="shared" ca="1" si="89"/>
        <v>-3.0669620037485044E-3</v>
      </c>
      <c r="CJ121" s="2" vm="4374">
        <f ca="1"/>
        <v>59.33</v>
      </c>
      <c r="CK121" s="2">
        <f t="shared" ca="1" si="90"/>
        <v>-1.1784511784511834E-3</v>
      </c>
      <c r="CL121" s="2" vm="2534">
        <f ca="1"/>
        <v>57.84</v>
      </c>
      <c r="CM121" s="2">
        <f t="shared" ca="1" si="91"/>
        <v>3.9923624370769651E-3</v>
      </c>
      <c r="CN121" s="2" vm="1782">
        <f ca="1"/>
        <v>28.98</v>
      </c>
      <c r="CO121" s="2">
        <f t="shared" ca="1" si="92"/>
        <v>-1.7223561832587224E-3</v>
      </c>
      <c r="CP121" s="2" vm="4375">
        <f ca="1"/>
        <v>21.668700000000001</v>
      </c>
      <c r="CQ121" s="2">
        <f t="shared" ca="1" si="93"/>
        <v>1.326247689463984E-3</v>
      </c>
    </row>
    <row r="122" spans="1:95" x14ac:dyDescent="0.2">
      <c r="A122" s="7" vm="4376">
        <f ca="1"/>
        <v>45749</v>
      </c>
      <c r="B122" s="2" vm="4377">
        <f ca="1"/>
        <v>223.89</v>
      </c>
      <c r="C122" s="2">
        <f t="shared" ca="1" si="47"/>
        <v>3.1363412339262004E-3</v>
      </c>
      <c r="D122" s="2" vm="4378">
        <f ca="1"/>
        <v>110.42</v>
      </c>
      <c r="E122" s="2">
        <f t="shared" ca="1" si="48"/>
        <v>2.4512029051293326E-3</v>
      </c>
      <c r="F122" s="2" vm="4379">
        <f ca="1"/>
        <v>382.14</v>
      </c>
      <c r="G122" s="2">
        <f t="shared" ca="1" si="49"/>
        <v>-1.3082498233865712E-4</v>
      </c>
      <c r="H122" s="2" vm="4380">
        <f ca="1"/>
        <v>583.92999999999995</v>
      </c>
      <c r="I122" s="2">
        <f t="shared" ca="1" si="50"/>
        <v>-3.5324232081912115E-3</v>
      </c>
      <c r="J122" s="2" vm="4381">
        <f ca="1"/>
        <v>157.04</v>
      </c>
      <c r="K122" s="2">
        <f t="shared" ca="1" si="51"/>
        <v>-1.9099764436239345E-4</v>
      </c>
      <c r="L122" s="2" vm="4382">
        <f ca="1"/>
        <v>564.52</v>
      </c>
      <c r="M122" s="2">
        <f t="shared" ca="1" si="52"/>
        <v>6.3283241528066638E-3</v>
      </c>
      <c r="N122" s="2" vm="2342">
        <f ca="1"/>
        <v>91.43</v>
      </c>
      <c r="O122" s="2">
        <f t="shared" ca="1" si="53"/>
        <v>-6.5580937807397603E-4</v>
      </c>
      <c r="P122" s="2" vm="4383">
        <f ca="1"/>
        <v>288.16000000000003</v>
      </c>
      <c r="Q122" s="2">
        <f t="shared" ca="1" si="54"/>
        <v>2.0516743749349094E-3</v>
      </c>
      <c r="R122" s="2" vm="4384">
        <f ca="1"/>
        <v>77.739999999999995</v>
      </c>
      <c r="S122" s="2">
        <f t="shared" ca="1" si="55"/>
        <v>8.5625324338349327E-3</v>
      </c>
      <c r="T122" s="2" vm="282">
        <f ca="1"/>
        <v>95.31</v>
      </c>
      <c r="U122" s="2">
        <f t="shared" ca="1" si="56"/>
        <v>-9.4339622641513002E-4</v>
      </c>
      <c r="V122" s="2" vm="4385">
        <f ca="1"/>
        <v>47.201599999999999</v>
      </c>
      <c r="W122" s="2">
        <f t="shared" ca="1" si="57"/>
        <v>-7.6262784608448127E-5</v>
      </c>
      <c r="X122" s="2" vm="4386">
        <f ca="1"/>
        <v>141.52000000000001</v>
      </c>
      <c r="Y122" s="2">
        <f t="shared" ca="1" si="58"/>
        <v>2.2765050227650543E-2</v>
      </c>
      <c r="Z122" s="2" vm="178">
        <f ca="1"/>
        <v>94.13</v>
      </c>
      <c r="AA122" s="2">
        <f t="shared" ca="1" si="59"/>
        <v>1.382978723404207E-3</v>
      </c>
      <c r="AB122" s="2" vm="4387">
        <f ca="1"/>
        <v>14.42</v>
      </c>
      <c r="AC122" s="2">
        <f t="shared" ca="1" si="60"/>
        <v>6.28053035589671E-3</v>
      </c>
      <c r="AD122" s="2" t="e" vm="92">
        <f ca="1"/>
        <v>#N/A</v>
      </c>
      <c r="AE122" s="2" t="e" vm="140">
        <f t="shared" ca="1" si="61"/>
        <v>#N/A</v>
      </c>
      <c r="AF122" s="2" vm="4388">
        <f ca="1"/>
        <v>30.76</v>
      </c>
      <c r="AG122" s="2">
        <f t="shared" ca="1" si="62"/>
        <v>4.2442050277506551E-3</v>
      </c>
      <c r="AH122" s="2" vm="3844">
        <f ca="1"/>
        <v>27.18</v>
      </c>
      <c r="AI122" s="2">
        <f t="shared" ca="1" si="63"/>
        <v>9.2833271444485704E-3</v>
      </c>
      <c r="AJ122" s="2" vm="2186">
        <f ca="1"/>
        <v>4.7</v>
      </c>
      <c r="AK122" s="2">
        <f t="shared" ca="1" si="64"/>
        <v>-4.2372881355931301E-3</v>
      </c>
      <c r="AL122" s="2" vm="4389">
        <f ca="1"/>
        <v>61.87</v>
      </c>
      <c r="AM122" s="2">
        <f t="shared" ca="1" si="65"/>
        <v>1.2947078815342013E-3</v>
      </c>
      <c r="AN122" s="2" vm="4390">
        <f ca="1"/>
        <v>88.78</v>
      </c>
      <c r="AO122" s="2">
        <f t="shared" ca="1" si="66"/>
        <v>-1.4431616341030164E-2</v>
      </c>
      <c r="AP122" s="2" vm="1477">
        <f ca="1"/>
        <v>26.77</v>
      </c>
      <c r="AQ122" s="2">
        <f t="shared" ca="1" si="67"/>
        <v>-1.1194029850746692E-3</v>
      </c>
      <c r="AR122" s="2" vm="73">
        <f ca="1"/>
        <v>50.9</v>
      </c>
      <c r="AS122" s="2">
        <f t="shared" ca="1" si="68"/>
        <v>3.930817610062111E-4</v>
      </c>
      <c r="AT122" s="2" vm="74">
        <f ca="1"/>
        <v>29.14</v>
      </c>
      <c r="AU122" s="2">
        <f t="shared" ca="1" si="69"/>
        <v>-3.4305317324178426E-4</v>
      </c>
      <c r="AV122" s="2" vm="675">
        <f ca="1"/>
        <v>27.35</v>
      </c>
      <c r="AW122" s="2">
        <f t="shared" ca="1" si="70"/>
        <v>-3.654970760233191E-4</v>
      </c>
      <c r="AX122" s="2" vm="4391">
        <f ca="1"/>
        <v>91.44</v>
      </c>
      <c r="AY122" s="2">
        <f t="shared" ca="1" si="71"/>
        <v>1.0937329104222798E-4</v>
      </c>
      <c r="AZ122" s="2" vm="4392">
        <f ca="1"/>
        <v>537.72</v>
      </c>
      <c r="BA122" s="2">
        <f t="shared" ca="1" si="72"/>
        <v>8.8744629355147712E-3</v>
      </c>
      <c r="BB122" s="2" vm="4393">
        <f ca="1"/>
        <v>245.82</v>
      </c>
      <c r="BC122" s="2">
        <f t="shared" ca="1" si="73"/>
        <v>8.8648116227530022E-3</v>
      </c>
      <c r="BD122" s="2" vm="4394">
        <f ca="1"/>
        <v>41.85</v>
      </c>
      <c r="BE122" s="2">
        <f t="shared" ca="1" si="74"/>
        <v>8.676789587852481E-3</v>
      </c>
      <c r="BF122" s="2" vm="4395">
        <f ca="1"/>
        <v>118.67</v>
      </c>
      <c r="BG122" s="2">
        <f t="shared" ca="1" si="75"/>
        <v>-3.1081989247312208E-3</v>
      </c>
      <c r="BH122" s="2" vm="4396">
        <f ca="1"/>
        <v>166.47</v>
      </c>
      <c r="BI122" s="2">
        <f t="shared" ca="1" si="76"/>
        <v>-1.2106106462524432E-2</v>
      </c>
      <c r="BJ122" s="2" vm="4397">
        <f ca="1"/>
        <v>155.36000000000001</v>
      </c>
      <c r="BK122" s="2">
        <f t="shared" ca="1" si="77"/>
        <v>1.3768352365416075E-2</v>
      </c>
      <c r="BL122" s="2" vm="4398">
        <f ca="1"/>
        <v>71.33</v>
      </c>
      <c r="BM122" s="2">
        <f t="shared" ca="1" si="78"/>
        <v>-7.5135661611243389E-3</v>
      </c>
      <c r="BN122" s="2" vm="4399">
        <f ca="1"/>
        <v>311.58</v>
      </c>
      <c r="BO122" s="2">
        <f t="shared" ca="1" si="79"/>
        <v>-6.536364505946534E-3</v>
      </c>
      <c r="BP122" s="2" vm="4400">
        <f ca="1"/>
        <v>97.88</v>
      </c>
      <c r="BQ122" s="2">
        <f t="shared" ca="1" si="80"/>
        <v>2.0475020475019309E-3</v>
      </c>
      <c r="BR122" s="2" vm="4401">
        <f ca="1"/>
        <v>935.52</v>
      </c>
      <c r="BS122" s="2">
        <f t="shared" ca="1" si="81"/>
        <v>7.6908162605829359E-3</v>
      </c>
      <c r="BT122" s="2" vm="4402">
        <f ca="1"/>
        <v>169.5</v>
      </c>
      <c r="BU122" s="2">
        <f t="shared" ca="1" si="82"/>
        <v>-6.2148217636022645E-3</v>
      </c>
      <c r="BV122" s="2" vm="2888">
        <f ca="1"/>
        <v>149.12</v>
      </c>
      <c r="BW122" s="2">
        <f t="shared" ca="1" si="83"/>
        <v>-3.6747511191286362E-3</v>
      </c>
      <c r="BX122" s="2" vm="4403">
        <f ca="1"/>
        <v>266.32</v>
      </c>
      <c r="BY122" s="2">
        <f t="shared" ca="1" si="84"/>
        <v>7.8914734508278355E-4</v>
      </c>
      <c r="BZ122" s="2" vm="4404">
        <f ca="1"/>
        <v>95.92</v>
      </c>
      <c r="CA122" s="2">
        <f t="shared" ca="1" si="85"/>
        <v>7.7747425929816649E-3</v>
      </c>
      <c r="CB122" s="2" vm="4405">
        <f ca="1"/>
        <v>29.724499999999999</v>
      </c>
      <c r="CC122" s="2">
        <f t="shared" ca="1" si="86"/>
        <v>1.0350101971447903E-2</v>
      </c>
      <c r="CD122" s="2" t="e" vm="92">
        <f ca="1"/>
        <v>#N/A</v>
      </c>
      <c r="CE122" s="2" t="e" vm="140">
        <f t="shared" ca="1" si="87"/>
        <v>#N/A</v>
      </c>
      <c r="CF122" s="2" vm="4406">
        <f ca="1"/>
        <v>22.95</v>
      </c>
      <c r="CG122" s="2">
        <f t="shared" ca="1" si="88"/>
        <v>-8.7070091423594148E-4</v>
      </c>
      <c r="CH122" s="2" vm="777">
        <f ca="1"/>
        <v>58.48</v>
      </c>
      <c r="CI122" s="2">
        <f t="shared" ca="1" si="89"/>
        <v>-5.1273286617674134E-4</v>
      </c>
      <c r="CJ122" s="2" vm="4407">
        <f ca="1"/>
        <v>59.27</v>
      </c>
      <c r="CK122" s="2">
        <f t="shared" ca="1" si="90"/>
        <v>-1.0112927692566185E-3</v>
      </c>
      <c r="CL122" s="2" vm="3734">
        <f ca="1"/>
        <v>57.79</v>
      </c>
      <c r="CM122" s="2">
        <f t="shared" ca="1" si="91"/>
        <v>-8.6445366528361449E-4</v>
      </c>
      <c r="CN122" s="2" vm="966">
        <f ca="1"/>
        <v>29.03</v>
      </c>
      <c r="CO122" s="2">
        <f t="shared" ca="1" si="92"/>
        <v>1.7253278122843585E-3</v>
      </c>
      <c r="CP122" s="2" vm="4408">
        <f ca="1"/>
        <v>21.785299999999999</v>
      </c>
      <c r="CQ122" s="2">
        <f t="shared" ca="1" si="93"/>
        <v>5.3810334722432934E-3</v>
      </c>
    </row>
    <row r="123" spans="1:95" x14ac:dyDescent="0.2">
      <c r="A123" s="7" vm="4409">
        <f ca="1"/>
        <v>45750</v>
      </c>
      <c r="B123" s="2" vm="4410">
        <f ca="1"/>
        <v>203.19</v>
      </c>
      <c r="C123" s="2">
        <f t="shared" ca="1" si="47"/>
        <v>-9.2456116843092545E-2</v>
      </c>
      <c r="D123" s="2" vm="4411">
        <f ca="1"/>
        <v>101.8</v>
      </c>
      <c r="E123" s="2">
        <f t="shared" ca="1" si="48"/>
        <v>-7.8065567831914554E-2</v>
      </c>
      <c r="F123" s="2" vm="4412">
        <f ca="1"/>
        <v>373.11</v>
      </c>
      <c r="G123" s="2">
        <f t="shared" ca="1" si="49"/>
        <v>-2.3630083215575373E-2</v>
      </c>
      <c r="H123" s="2" vm="4413">
        <f ca="1"/>
        <v>531.62</v>
      </c>
      <c r="I123" s="2">
        <f t="shared" ca="1" si="50"/>
        <v>-8.9582655455277091E-2</v>
      </c>
      <c r="J123" s="2" vm="4414">
        <f ca="1"/>
        <v>150.72</v>
      </c>
      <c r="K123" s="2">
        <f t="shared" ca="1" si="51"/>
        <v>-4.0244523688232253E-2</v>
      </c>
      <c r="L123" s="2" vm="4415">
        <f ca="1"/>
        <v>536.70000000000005</v>
      </c>
      <c r="M123" s="2">
        <f t="shared" ca="1" si="52"/>
        <v>-4.9280804931623214E-2</v>
      </c>
      <c r="N123" s="2" vm="4416">
        <f ca="1"/>
        <v>91.85</v>
      </c>
      <c r="O123" s="2">
        <f t="shared" ca="1" si="53"/>
        <v>4.5936782237776166E-3</v>
      </c>
      <c r="P123" s="2" vm="4417">
        <f ca="1"/>
        <v>286.42</v>
      </c>
      <c r="Q123" s="2">
        <f t="shared" ca="1" si="54"/>
        <v>-6.0383120488617745E-3</v>
      </c>
      <c r="R123" s="2" vm="4418">
        <f ca="1"/>
        <v>72.25</v>
      </c>
      <c r="S123" s="2">
        <f t="shared" ca="1" si="55"/>
        <v>-7.0620015436068884E-2</v>
      </c>
      <c r="T123" s="2" vm="4419">
        <f ca="1"/>
        <v>96.29</v>
      </c>
      <c r="U123" s="2">
        <f t="shared" ca="1" si="56"/>
        <v>1.0282236911132137E-2</v>
      </c>
      <c r="V123" s="2" vm="4420">
        <f ca="1"/>
        <v>47.255200000000002</v>
      </c>
      <c r="W123" s="2">
        <f t="shared" ca="1" si="57"/>
        <v>1.1355547269584713E-3</v>
      </c>
      <c r="X123" s="2" vm="4421">
        <f ca="1"/>
        <v>123.45</v>
      </c>
      <c r="Y123" s="2">
        <f t="shared" ca="1" si="58"/>
        <v>-0.1276851328434144</v>
      </c>
      <c r="Z123" s="2" vm="4422">
        <f ca="1"/>
        <v>86.74</v>
      </c>
      <c r="AA123" s="2">
        <f t="shared" ca="1" si="59"/>
        <v>-7.8508445766493157E-2</v>
      </c>
      <c r="AB123" s="2" vm="4423">
        <f ca="1"/>
        <v>13.48</v>
      </c>
      <c r="AC123" s="2">
        <f t="shared" ca="1" si="60"/>
        <v>-6.5187239944521469E-2</v>
      </c>
      <c r="AD123" s="2" vm="3767">
        <f ca="1"/>
        <v>3.99</v>
      </c>
      <c r="AE123" s="2" t="e" vm="140">
        <f t="shared" ca="1" si="61"/>
        <v>#N/A</v>
      </c>
      <c r="AF123" s="2" vm="333">
        <f ca="1"/>
        <v>28.89</v>
      </c>
      <c r="AG123" s="2">
        <f t="shared" ca="1" si="62"/>
        <v>-6.0793237971391446E-2</v>
      </c>
      <c r="AH123" s="2" vm="2409">
        <f ca="1"/>
        <v>26.98</v>
      </c>
      <c r="AI123" s="2">
        <f t="shared" ca="1" si="63"/>
        <v>-7.3583517292126303E-3</v>
      </c>
      <c r="AJ123" s="2" vm="4237">
        <f ca="1"/>
        <v>4.6900000000000004</v>
      </c>
      <c r="AK123" s="2">
        <f t="shared" ca="1" si="64"/>
        <v>-2.1276595744680396E-3</v>
      </c>
      <c r="AL123" s="2" vm="4424">
        <f ca="1"/>
        <v>61.54</v>
      </c>
      <c r="AM123" s="2">
        <f t="shared" ca="1" si="65"/>
        <v>-5.3337643445934748E-3</v>
      </c>
      <c r="AN123" s="2" vm="4425">
        <f ca="1"/>
        <v>86.54</v>
      </c>
      <c r="AO123" s="2">
        <f t="shared" ca="1" si="66"/>
        <v>-2.5230907862131054E-2</v>
      </c>
      <c r="AP123" s="2" vm="2372">
        <f ca="1"/>
        <v>26.93</v>
      </c>
      <c r="AQ123" s="2">
        <f t="shared" ca="1" si="67"/>
        <v>5.9768397459843163E-3</v>
      </c>
      <c r="AR123" s="2" vm="4426">
        <f ca="1"/>
        <v>50.83</v>
      </c>
      <c r="AS123" s="2">
        <f t="shared" ca="1" si="68"/>
        <v>-1.3752455795677857E-3</v>
      </c>
      <c r="AT123" s="2" vm="694">
        <f ca="1"/>
        <v>29.24</v>
      </c>
      <c r="AU123" s="2">
        <f t="shared" ca="1" si="69"/>
        <v>3.4317089910774834E-3</v>
      </c>
      <c r="AV123" s="2" vm="4427">
        <f ca="1"/>
        <v>27.52</v>
      </c>
      <c r="AW123" s="2">
        <f t="shared" ca="1" si="70"/>
        <v>6.2157221206580677E-3</v>
      </c>
      <c r="AX123" s="2" vm="2377">
        <f ca="1"/>
        <v>91.45</v>
      </c>
      <c r="AY123" s="2">
        <f t="shared" ca="1" si="71"/>
        <v>1.0936132983382673E-4</v>
      </c>
      <c r="AZ123" s="2" vm="4428">
        <f ca="1"/>
        <v>530.16</v>
      </c>
      <c r="BA123" s="2">
        <f t="shared" ca="1" si="72"/>
        <v>-1.4059361749609572E-2</v>
      </c>
      <c r="BB123" s="2" vm="4429">
        <f ca="1"/>
        <v>228.69</v>
      </c>
      <c r="BC123" s="2">
        <f t="shared" ca="1" si="73"/>
        <v>-6.968513546497436E-2</v>
      </c>
      <c r="BD123" s="2" vm="4430">
        <f ca="1"/>
        <v>37.22</v>
      </c>
      <c r="BE123" s="2">
        <f t="shared" ca="1" si="74"/>
        <v>-0.11063321385902036</v>
      </c>
      <c r="BF123" s="2" vm="4431">
        <f ca="1"/>
        <v>112.43</v>
      </c>
      <c r="BG123" s="2">
        <f t="shared" ca="1" si="75"/>
        <v>-5.258279261818484E-2</v>
      </c>
      <c r="BH123" s="2" vm="4432">
        <f ca="1"/>
        <v>156.12</v>
      </c>
      <c r="BI123" s="2">
        <f t="shared" ca="1" si="76"/>
        <v>-6.2173364570192791E-2</v>
      </c>
      <c r="BJ123" s="2" vm="957">
        <f ca="1"/>
        <v>159.82</v>
      </c>
      <c r="BK123" s="2">
        <f t="shared" ca="1" si="77"/>
        <v>2.8707518022656919E-2</v>
      </c>
      <c r="BL123" s="2" vm="4433">
        <f ca="1"/>
        <v>73.180000000000007</v>
      </c>
      <c r="BM123" s="2">
        <f t="shared" ca="1" si="78"/>
        <v>2.5935791392121248E-2</v>
      </c>
      <c r="BN123" s="2" vm="4434">
        <f ca="1"/>
        <v>318.27</v>
      </c>
      <c r="BO123" s="2">
        <f t="shared" ca="1" si="79"/>
        <v>2.1471211245907947E-2</v>
      </c>
      <c r="BP123" s="2" vm="4435">
        <f ca="1"/>
        <v>88.84</v>
      </c>
      <c r="BQ123" s="2">
        <f t="shared" ca="1" si="80"/>
        <v>-9.2357989374744515E-2</v>
      </c>
      <c r="BR123" s="2" vm="4436">
        <f ca="1"/>
        <v>917.05</v>
      </c>
      <c r="BS123" s="2">
        <f t="shared" ca="1" si="81"/>
        <v>-1.974303061399011E-2</v>
      </c>
      <c r="BT123" s="2" vm="4437">
        <f ca="1"/>
        <v>172.39</v>
      </c>
      <c r="BU123" s="2">
        <f t="shared" ca="1" si="82"/>
        <v>1.7050147492625289E-2</v>
      </c>
      <c r="BV123" s="2" vm="4438">
        <f ca="1"/>
        <v>151.37</v>
      </c>
      <c r="BW123" s="2">
        <f t="shared" ca="1" si="83"/>
        <v>1.5088519313304721E-2</v>
      </c>
      <c r="BX123" s="2" vm="4439">
        <f ca="1"/>
        <v>236.83</v>
      </c>
      <c r="BY123" s="2">
        <f t="shared" ca="1" si="84"/>
        <v>-0.11073145088615192</v>
      </c>
      <c r="BZ123" s="2" vm="4440">
        <f ca="1"/>
        <v>86.15</v>
      </c>
      <c r="CA123" s="2">
        <f t="shared" ca="1" si="85"/>
        <v>-0.10185571309424517</v>
      </c>
      <c r="CB123" s="2" vm="4236">
        <f ca="1"/>
        <v>26.57</v>
      </c>
      <c r="CC123" s="2">
        <f t="shared" ca="1" si="86"/>
        <v>-0.10612457736883711</v>
      </c>
      <c r="CD123" s="2" t="e" vm="92">
        <f ca="1"/>
        <v>#N/A</v>
      </c>
      <c r="CE123" s="2" t="e" vm="140">
        <f t="shared" ca="1" si="87"/>
        <v>#N/A</v>
      </c>
      <c r="CF123" s="2" vm="312">
        <f ca="1"/>
        <v>23.12</v>
      </c>
      <c r="CG123" s="2">
        <f t="shared" ca="1" si="88"/>
        <v>7.4074074074074823E-3</v>
      </c>
      <c r="CH123" s="2" vm="4441">
        <f ca="1"/>
        <v>58.71</v>
      </c>
      <c r="CI123" s="2">
        <f t="shared" ca="1" si="89"/>
        <v>3.9329685362517785E-3</v>
      </c>
      <c r="CJ123" s="2" vm="4442">
        <f ca="1"/>
        <v>59.81</v>
      </c>
      <c r="CK123" s="2">
        <f t="shared" ca="1" si="90"/>
        <v>9.1108486586805992E-3</v>
      </c>
      <c r="CL123" s="2" vm="3300">
        <f ca="1"/>
        <v>58.19</v>
      </c>
      <c r="CM123" s="2">
        <f t="shared" ca="1" si="91"/>
        <v>6.9216127357674094E-3</v>
      </c>
      <c r="CN123" s="2" vm="732">
        <f ca="1"/>
        <v>29.04</v>
      </c>
      <c r="CO123" s="2">
        <f t="shared" ca="1" si="92"/>
        <v>3.4447123665167103E-4</v>
      </c>
      <c r="CP123" s="2" vm="4443">
        <f ca="1"/>
        <v>21.1812</v>
      </c>
      <c r="CQ123" s="2">
        <f t="shared" ca="1" si="93"/>
        <v>-2.7729707646899467E-2</v>
      </c>
    </row>
    <row r="124" spans="1:95" x14ac:dyDescent="0.2">
      <c r="A124" s="7" vm="4444">
        <f ca="1"/>
        <v>45751</v>
      </c>
      <c r="B124" s="2" vm="4445">
        <f ca="1"/>
        <v>188.38</v>
      </c>
      <c r="C124" s="2">
        <f t="shared" ca="1" si="47"/>
        <v>-7.2887445248289787E-2</v>
      </c>
      <c r="D124" s="2" vm="3562">
        <f ca="1"/>
        <v>94.31</v>
      </c>
      <c r="E124" s="2">
        <f t="shared" ca="1" si="48"/>
        <v>-7.3575638506876179E-2</v>
      </c>
      <c r="F124" s="2" vm="4446">
        <f ca="1"/>
        <v>359.84</v>
      </c>
      <c r="G124" s="2">
        <f t="shared" ca="1" si="49"/>
        <v>-3.5565918897912246E-2</v>
      </c>
      <c r="H124" s="2" vm="4447">
        <f ca="1"/>
        <v>504.73</v>
      </c>
      <c r="I124" s="2">
        <f t="shared" ca="1" si="50"/>
        <v>-5.0581242240698217E-2</v>
      </c>
      <c r="J124" s="2" vm="4448">
        <f ca="1"/>
        <v>145.6</v>
      </c>
      <c r="K124" s="2">
        <f t="shared" ca="1" si="51"/>
        <v>-3.3970276008492596E-2</v>
      </c>
      <c r="L124" s="2" vm="4449">
        <f ca="1"/>
        <v>505.28</v>
      </c>
      <c r="M124" s="2">
        <f t="shared" ca="1" si="52"/>
        <v>-5.8542947643003669E-2</v>
      </c>
      <c r="N124" s="2" vm="4175">
        <f ca="1"/>
        <v>92.85</v>
      </c>
      <c r="O124" s="2">
        <f t="shared" ca="1" si="53"/>
        <v>1.0887316276537834E-2</v>
      </c>
      <c r="P124" s="2" vm="4450">
        <f ca="1"/>
        <v>279.72000000000003</v>
      </c>
      <c r="Q124" s="2">
        <f t="shared" ca="1" si="54"/>
        <v>-2.3392221213602363E-2</v>
      </c>
      <c r="R124" s="2" vm="4451">
        <f ca="1"/>
        <v>67.92</v>
      </c>
      <c r="S124" s="2">
        <f t="shared" ca="1" si="55"/>
        <v>-5.9930795847750844E-2</v>
      </c>
      <c r="T124" s="2" vm="4452">
        <f ca="1"/>
        <v>96.56</v>
      </c>
      <c r="U124" s="2">
        <f t="shared" ca="1" si="56"/>
        <v>2.8040294942361199E-3</v>
      </c>
      <c r="V124" s="2" vm="4453">
        <f ca="1"/>
        <v>46.7</v>
      </c>
      <c r="W124" s="2">
        <f t="shared" ca="1" si="57"/>
        <v>-1.1748971541756234E-2</v>
      </c>
      <c r="X124" s="2" vm="4454">
        <f ca="1"/>
        <v>108.68</v>
      </c>
      <c r="Y124" s="2">
        <f t="shared" ca="1" si="58"/>
        <v>-0.1196435803969218</v>
      </c>
      <c r="Z124" s="2" vm="4455">
        <f ca="1"/>
        <v>78.760000000000005</v>
      </c>
      <c r="AA124" s="2">
        <f t="shared" ca="1" si="59"/>
        <v>-9.1999077703481563E-2</v>
      </c>
      <c r="AB124" s="2" vm="4456">
        <f ca="1"/>
        <v>12.81</v>
      </c>
      <c r="AC124" s="2">
        <f t="shared" ca="1" si="60"/>
        <v>-4.9703264094955485E-2</v>
      </c>
      <c r="AD124" s="2" vm="2302">
        <f ca="1"/>
        <v>4</v>
      </c>
      <c r="AE124" s="2">
        <f t="shared" ca="1" si="61"/>
        <v>2.5062656641603475E-3</v>
      </c>
      <c r="AF124" s="2" vm="3801">
        <f ca="1"/>
        <v>27.08</v>
      </c>
      <c r="AG124" s="2">
        <f t="shared" ca="1" si="62"/>
        <v>-6.2651436483212267E-2</v>
      </c>
      <c r="AH124" s="2" vm="1089">
        <f ca="1"/>
        <v>26.14</v>
      </c>
      <c r="AI124" s="2">
        <f t="shared" ca="1" si="63"/>
        <v>-3.1134173461823567E-2</v>
      </c>
      <c r="AJ124" s="2" vm="4301">
        <f ca="1"/>
        <v>4.62</v>
      </c>
      <c r="AK124" s="2">
        <f t="shared" ca="1" si="64"/>
        <v>-1.4925373134328417E-2</v>
      </c>
      <c r="AL124" s="2" vm="4457">
        <f ca="1"/>
        <v>60.15</v>
      </c>
      <c r="AM124" s="2">
        <f t="shared" ca="1" si="65"/>
        <v>-2.2586935326616844E-2</v>
      </c>
      <c r="AN124" s="2" vm="4458">
        <f ca="1"/>
        <v>83.9</v>
      </c>
      <c r="AO124" s="2">
        <f t="shared" ca="1" si="66"/>
        <v>-3.0506124335567372E-2</v>
      </c>
      <c r="AP124" s="2" vm="2030">
        <f ca="1"/>
        <v>26.85</v>
      </c>
      <c r="AQ124" s="2">
        <f t="shared" ca="1" si="67"/>
        <v>-2.9706646862234791E-3</v>
      </c>
      <c r="AR124" s="2" vm="4459">
        <f ca="1"/>
        <v>50.1</v>
      </c>
      <c r="AS124" s="2">
        <f t="shared" ca="1" si="68"/>
        <v>-1.4361597481802024E-2</v>
      </c>
      <c r="AT124" s="2" vm="3691">
        <f ca="1"/>
        <v>29.28</v>
      </c>
      <c r="AU124" s="2">
        <f t="shared" ca="1" si="69"/>
        <v>1.3679890560876437E-3</v>
      </c>
      <c r="AV124" s="2" vm="4460">
        <f ca="1"/>
        <v>27.78</v>
      </c>
      <c r="AW124" s="2">
        <f t="shared" ca="1" si="70"/>
        <v>9.4476744186047078E-3</v>
      </c>
      <c r="AX124" s="2" vm="802">
        <f ca="1"/>
        <v>91.48</v>
      </c>
      <c r="AY124" s="2">
        <f t="shared" ca="1" si="71"/>
        <v>3.2804811372335853E-4</v>
      </c>
      <c r="AZ124" s="2" vm="4461">
        <f ca="1"/>
        <v>493.54</v>
      </c>
      <c r="BA124" s="2">
        <f t="shared" ca="1" si="72"/>
        <v>-6.9073487249132245E-2</v>
      </c>
      <c r="BB124" s="2" vm="4462">
        <f ca="1"/>
        <v>210.28</v>
      </c>
      <c r="BC124" s="2">
        <f t="shared" ca="1" si="73"/>
        <v>-8.0501989592898671E-2</v>
      </c>
      <c r="BD124" s="2" vm="4463">
        <f ca="1"/>
        <v>34.39</v>
      </c>
      <c r="BE124" s="2">
        <f t="shared" ca="1" si="74"/>
        <v>-7.603439011284252E-2</v>
      </c>
      <c r="BF124" s="2" vm="4464">
        <f ca="1"/>
        <v>104.34</v>
      </c>
      <c r="BG124" s="2">
        <f t="shared" ca="1" si="75"/>
        <v>-7.1955883660944617E-2</v>
      </c>
      <c r="BH124" s="2" vm="4465">
        <f ca="1"/>
        <v>143.28</v>
      </c>
      <c r="BI124" s="2">
        <f t="shared" ca="1" si="76"/>
        <v>-8.2244427363566505E-2</v>
      </c>
      <c r="BJ124" s="2" vm="1130">
        <f ca="1"/>
        <v>153.24</v>
      </c>
      <c r="BK124" s="2">
        <f t="shared" ca="1" si="77"/>
        <v>-4.1171317732448906E-2</v>
      </c>
      <c r="BL124" s="2" vm="4466">
        <f ca="1"/>
        <v>69.930000000000007</v>
      </c>
      <c r="BM124" s="2">
        <f t="shared" ca="1" si="78"/>
        <v>-4.4411041268106036E-2</v>
      </c>
      <c r="BN124" s="2" vm="4467">
        <f ca="1"/>
        <v>300.11</v>
      </c>
      <c r="BO124" s="2">
        <f t="shared" ca="1" si="79"/>
        <v>-5.7058472366229837E-2</v>
      </c>
      <c r="BP124" s="2" vm="4468">
        <f ca="1"/>
        <v>83.53</v>
      </c>
      <c r="BQ124" s="2">
        <f t="shared" ca="1" si="80"/>
        <v>-5.9770373705538067E-2</v>
      </c>
      <c r="BR124" s="2" vm="4469">
        <f ca="1"/>
        <v>855.86</v>
      </c>
      <c r="BS124" s="2">
        <f t="shared" ca="1" si="81"/>
        <v>-6.6724824164440269E-2</v>
      </c>
      <c r="BT124" s="2" vm="1081">
        <f ca="1"/>
        <v>163.75</v>
      </c>
      <c r="BU124" s="2">
        <f t="shared" ca="1" si="82"/>
        <v>-5.0118916410464572E-2</v>
      </c>
      <c r="BV124" s="2" vm="4470">
        <f ca="1"/>
        <v>146.61000000000001</v>
      </c>
      <c r="BW124" s="2">
        <f t="shared" ca="1" si="83"/>
        <v>-3.1446125388121762E-2</v>
      </c>
      <c r="BX124" s="2" vm="4471">
        <f ca="1"/>
        <v>207.77</v>
      </c>
      <c r="BY124" s="2">
        <f t="shared" ca="1" si="84"/>
        <v>-0.12270404931807626</v>
      </c>
      <c r="BZ124" s="2" vm="4472">
        <f ca="1"/>
        <v>77.599999999999994</v>
      </c>
      <c r="CA124" s="2">
        <f t="shared" ca="1" si="85"/>
        <v>-9.9245502031340804E-2</v>
      </c>
      <c r="CB124" s="2" vm="4473">
        <f ca="1"/>
        <v>23.67</v>
      </c>
      <c r="CC124" s="2">
        <f t="shared" ca="1" si="86"/>
        <v>-0.10914565299209629</v>
      </c>
      <c r="CD124" s="2" t="e" vm="92">
        <f ca="1"/>
        <v>#N/A</v>
      </c>
      <c r="CE124" s="2" t="e" vm="140">
        <f t="shared" ca="1" si="87"/>
        <v>#N/A</v>
      </c>
      <c r="CF124" s="2" vm="4474">
        <f ca="1"/>
        <v>23.17</v>
      </c>
      <c r="CG124" s="2">
        <f t="shared" ca="1" si="88"/>
        <v>2.1626297577854977E-3</v>
      </c>
      <c r="CH124" s="2" vm="1459">
        <f ca="1"/>
        <v>58.75</v>
      </c>
      <c r="CI124" s="2">
        <f t="shared" ca="1" si="89"/>
        <v>6.8131493782999739E-4</v>
      </c>
      <c r="CJ124" s="2" vm="4475">
        <f ca="1"/>
        <v>59.9</v>
      </c>
      <c r="CK124" s="2">
        <f t="shared" ca="1" si="90"/>
        <v>1.504765089449863E-3</v>
      </c>
      <c r="CL124" s="2" vm="4441">
        <f ca="1"/>
        <v>58.71</v>
      </c>
      <c r="CM124" s="2">
        <f t="shared" ca="1" si="91"/>
        <v>8.9362433407802564E-3</v>
      </c>
      <c r="CN124" s="2" vm="800">
        <f ca="1"/>
        <v>29.01</v>
      </c>
      <c r="CO124" s="2">
        <f t="shared" ca="1" si="92"/>
        <v>-1.0330578512395862E-3</v>
      </c>
      <c r="CP124" s="2" vm="4476">
        <f ca="1"/>
        <v>20.422799999999999</v>
      </c>
      <c r="CQ124" s="2">
        <f t="shared" ca="1" si="93"/>
        <v>-3.5805336808112938E-2</v>
      </c>
    </row>
    <row r="125" spans="1:95" x14ac:dyDescent="0.2">
      <c r="A125" s="7" vm="4477">
        <f ca="1"/>
        <v>45754</v>
      </c>
      <c r="B125" s="2" vm="4478">
        <f ca="1"/>
        <v>181.46</v>
      </c>
      <c r="C125" s="2">
        <f t="shared" ca="1" si="47"/>
        <v>-3.6734260537211953E-2</v>
      </c>
      <c r="D125" s="2" vm="4479">
        <f ca="1"/>
        <v>97.64</v>
      </c>
      <c r="E125" s="2">
        <f t="shared" ca="1" si="48"/>
        <v>3.5309087053334728E-2</v>
      </c>
      <c r="F125" s="2" vm="4480">
        <f ca="1"/>
        <v>357.86</v>
      </c>
      <c r="G125" s="2">
        <f t="shared" ca="1" si="49"/>
        <v>-5.502445531347158E-3</v>
      </c>
      <c r="H125" s="2" vm="4481">
        <f ca="1"/>
        <v>516.25</v>
      </c>
      <c r="I125" s="2">
        <f t="shared" ca="1" si="50"/>
        <v>2.2824084163810317E-2</v>
      </c>
      <c r="J125" s="2" vm="4482">
        <f ca="1"/>
        <v>146.75</v>
      </c>
      <c r="K125" s="2">
        <f t="shared" ca="1" si="51"/>
        <v>7.8983516483516879E-3</v>
      </c>
      <c r="L125" s="2" vm="4483">
        <f ca="1"/>
        <v>504.38</v>
      </c>
      <c r="M125" s="2">
        <f t="shared" ca="1" si="52"/>
        <v>-1.7811906269790559E-3</v>
      </c>
      <c r="N125" s="2" vm="4484">
        <f ca="1"/>
        <v>90.05</v>
      </c>
      <c r="O125" s="2">
        <f t="shared" ca="1" si="53"/>
        <v>-3.0156165858912197E-2</v>
      </c>
      <c r="P125" s="2" vm="4485">
        <f ca="1"/>
        <v>273.70999999999998</v>
      </c>
      <c r="Q125" s="2">
        <f t="shared" ca="1" si="54"/>
        <v>-2.1485771485771653E-2</v>
      </c>
      <c r="R125" s="2" vm="4486">
        <f ca="1"/>
        <v>65.98</v>
      </c>
      <c r="S125" s="2">
        <f t="shared" ca="1" si="55"/>
        <v>-2.8563015312131887E-2</v>
      </c>
      <c r="T125" s="2" vm="4487">
        <f ca="1"/>
        <v>95.41</v>
      </c>
      <c r="U125" s="2">
        <f t="shared" ca="1" si="56"/>
        <v>-1.1909693454846786E-2</v>
      </c>
      <c r="V125" s="2" vm="4488">
        <f ca="1"/>
        <v>46.147100000000002</v>
      </c>
      <c r="W125" s="2">
        <f t="shared" ca="1" si="57"/>
        <v>-1.1839400428265546E-2</v>
      </c>
      <c r="X125" s="2" vm="4489">
        <f ca="1"/>
        <v>112.36</v>
      </c>
      <c r="Y125" s="2">
        <f t="shared" ca="1" si="58"/>
        <v>3.3860875966139056E-2</v>
      </c>
      <c r="Z125" s="2" vm="4490">
        <f ca="1"/>
        <v>78.25</v>
      </c>
      <c r="AA125" s="2">
        <f t="shared" ca="1" si="59"/>
        <v>-6.4753682072118471E-3</v>
      </c>
      <c r="AB125" s="2" vm="4491">
        <f ca="1"/>
        <v>12.6</v>
      </c>
      <c r="AC125" s="2">
        <f t="shared" ca="1" si="60"/>
        <v>-1.6393442622950886E-2</v>
      </c>
      <c r="AD125" s="2" vm="3672">
        <f ca="1"/>
        <v>3.9</v>
      </c>
      <c r="AE125" s="2">
        <f t="shared" ca="1" si="61"/>
        <v>-2.5000000000000022E-2</v>
      </c>
      <c r="AF125" s="2" vm="1886">
        <f ca="1"/>
        <v>27.14</v>
      </c>
      <c r="AG125" s="2">
        <f t="shared" ca="1" si="62"/>
        <v>2.2156573116692128E-3</v>
      </c>
      <c r="AH125" s="2" vm="1004">
        <f ca="1"/>
        <v>25.47</v>
      </c>
      <c r="AI125" s="2">
        <f t="shared" ca="1" si="63"/>
        <v>-2.5631216526396394E-2</v>
      </c>
      <c r="AJ125" s="2" vm="2110">
        <f ca="1"/>
        <v>4.66</v>
      </c>
      <c r="AK125" s="2">
        <f t="shared" ca="1" si="64"/>
        <v>8.6580086580086649E-3</v>
      </c>
      <c r="AL125" s="2" vm="4284">
        <f ca="1"/>
        <v>58.96</v>
      </c>
      <c r="AM125" s="2">
        <f t="shared" ca="1" si="65"/>
        <v>-1.9783873649210269E-2</v>
      </c>
      <c r="AN125" s="2" vm="4492">
        <f ca="1"/>
        <v>83.41</v>
      </c>
      <c r="AO125" s="2">
        <f t="shared" ca="1" si="66"/>
        <v>-5.8402860548272834E-3</v>
      </c>
      <c r="AP125" s="2" vm="211">
        <f ca="1"/>
        <v>26.55</v>
      </c>
      <c r="AQ125" s="2">
        <f t="shared" ca="1" si="67"/>
        <v>-1.1173184357541926E-2</v>
      </c>
      <c r="AR125" s="2" vm="4493">
        <f ca="1"/>
        <v>50.31</v>
      </c>
      <c r="AS125" s="2">
        <f t="shared" ca="1" si="68"/>
        <v>4.1916167664670829E-3</v>
      </c>
      <c r="AT125" s="2" vm="530">
        <f ca="1"/>
        <v>29.22</v>
      </c>
      <c r="AU125" s="2">
        <f t="shared" ca="1" si="69"/>
        <v>-2.0491803278689302E-3</v>
      </c>
      <c r="AV125" s="2" vm="1282">
        <f ca="1"/>
        <v>27.02</v>
      </c>
      <c r="AW125" s="2">
        <f t="shared" ca="1" si="70"/>
        <v>-2.7357811375090049E-2</v>
      </c>
      <c r="AX125" s="2" vm="1630">
        <f ca="1"/>
        <v>91.49</v>
      </c>
      <c r="AY125" s="2">
        <f t="shared" ca="1" si="71"/>
        <v>1.0931351114987872E-4</v>
      </c>
      <c r="AZ125" s="2" vm="4494">
        <f ca="1"/>
        <v>490.38</v>
      </c>
      <c r="BA125" s="2">
        <f t="shared" ca="1" si="72"/>
        <v>-6.4027231835312734E-3</v>
      </c>
      <c r="BB125" s="2" vm="4495">
        <f ca="1"/>
        <v>214.44</v>
      </c>
      <c r="BC125" s="2">
        <f t="shared" ca="1" si="73"/>
        <v>1.9783146281148929E-2</v>
      </c>
      <c r="BD125" s="2" vm="4496">
        <f ca="1"/>
        <v>35.58</v>
      </c>
      <c r="BE125" s="2">
        <f t="shared" ca="1" si="74"/>
        <v>3.4603082291363704E-2</v>
      </c>
      <c r="BF125" s="2" vm="4497">
        <f ca="1"/>
        <v>102.94</v>
      </c>
      <c r="BG125" s="2">
        <f t="shared" ca="1" si="75"/>
        <v>-1.3417672992141132E-2</v>
      </c>
      <c r="BH125" s="2" vm="1226">
        <f ca="1"/>
        <v>140.15</v>
      </c>
      <c r="BI125" s="2">
        <f t="shared" ca="1" si="76"/>
        <v>-2.1845337800111636E-2</v>
      </c>
      <c r="BJ125" s="2" vm="129">
        <f ca="1"/>
        <v>150.62</v>
      </c>
      <c r="BK125" s="2">
        <f t="shared" ca="1" si="77"/>
        <v>-1.7097363612633806E-2</v>
      </c>
      <c r="BL125" s="2" vm="4498">
        <f ca="1"/>
        <v>68.37</v>
      </c>
      <c r="BM125" s="2">
        <f t="shared" ca="1" si="78"/>
        <v>-2.2308022308022337E-2</v>
      </c>
      <c r="BN125" s="2" vm="4499">
        <f ca="1"/>
        <v>299.89</v>
      </c>
      <c r="BO125" s="2">
        <f t="shared" ca="1" si="79"/>
        <v>-7.3306454300099059E-4</v>
      </c>
      <c r="BP125" s="2" vm="4500">
        <f ca="1"/>
        <v>83.3</v>
      </c>
      <c r="BQ125" s="2">
        <f t="shared" ca="1" si="80"/>
        <v>-2.7535017359033159E-3</v>
      </c>
      <c r="BR125" s="2" vm="4501">
        <f ca="1"/>
        <v>867.83</v>
      </c>
      <c r="BS125" s="2">
        <f t="shared" ca="1" si="81"/>
        <v>1.3985932278643734E-2</v>
      </c>
      <c r="BT125" s="2" vm="4502">
        <f ca="1"/>
        <v>160.22999999999999</v>
      </c>
      <c r="BU125" s="2">
        <f t="shared" ca="1" si="82"/>
        <v>-2.1496183206106932E-2</v>
      </c>
      <c r="BV125" s="2" vm="4503">
        <f ca="1"/>
        <v>143.19</v>
      </c>
      <c r="BW125" s="2">
        <f t="shared" ca="1" si="83"/>
        <v>-2.3327194597912937E-2</v>
      </c>
      <c r="BX125" s="2" vm="4504">
        <f ca="1"/>
        <v>206.09</v>
      </c>
      <c r="BY125" s="2">
        <f t="shared" ca="1" si="84"/>
        <v>-8.0858641767339208E-3</v>
      </c>
      <c r="BZ125" s="2" vm="4505">
        <f ca="1"/>
        <v>77.53</v>
      </c>
      <c r="CA125" s="2">
        <f t="shared" ca="1" si="85"/>
        <v>-9.0206185567001521E-4</v>
      </c>
      <c r="CB125" s="2" vm="4506">
        <f ca="1"/>
        <v>23.55</v>
      </c>
      <c r="CC125" s="2">
        <f t="shared" ca="1" si="86"/>
        <v>-5.069708491761765E-3</v>
      </c>
      <c r="CD125" s="2" t="e" vm="92">
        <f ca="1"/>
        <v>#N/A</v>
      </c>
      <c r="CE125" s="2" t="e" vm="140">
        <f t="shared" ca="1" si="87"/>
        <v>#N/A</v>
      </c>
      <c r="CF125" s="2" vm="4406">
        <f ca="1"/>
        <v>22.95</v>
      </c>
      <c r="CG125" s="2">
        <f t="shared" ca="1" si="88"/>
        <v>-9.4950366853691157E-3</v>
      </c>
      <c r="CH125" s="2" vm="4507">
        <f ca="1"/>
        <v>58.7</v>
      </c>
      <c r="CI125" s="2">
        <f t="shared" ca="1" si="89"/>
        <v>-8.5106382978718568E-4</v>
      </c>
      <c r="CJ125" s="2" vm="4508">
        <f ca="1"/>
        <v>59.47</v>
      </c>
      <c r="CK125" s="2">
        <f t="shared" ca="1" si="90"/>
        <v>-7.1786310517529166E-3</v>
      </c>
      <c r="CL125" s="2" vm="4005">
        <f ca="1"/>
        <v>57.06</v>
      </c>
      <c r="CM125" s="2">
        <f t="shared" ca="1" si="91"/>
        <v>-2.8104241185487967E-2</v>
      </c>
      <c r="CN125" s="2" vm="4509">
        <f ca="1"/>
        <v>28.49</v>
      </c>
      <c r="CO125" s="2">
        <f t="shared" ca="1" si="92"/>
        <v>-1.7924853498793625E-2</v>
      </c>
      <c r="CP125" s="2" vm="4510">
        <f ca="1"/>
        <v>19.789200000000001</v>
      </c>
      <c r="CQ125" s="2">
        <f t="shared" ca="1" si="93"/>
        <v>-3.1024149479992838E-2</v>
      </c>
    </row>
    <row r="126" spans="1:95" x14ac:dyDescent="0.2">
      <c r="A126" s="7" vm="4511">
        <f ca="1"/>
        <v>45755</v>
      </c>
      <c r="B126" s="2" vm="4512">
        <f ca="1"/>
        <v>172.42</v>
      </c>
      <c r="C126" s="2">
        <f t="shared" ca="1" si="47"/>
        <v>-4.9818141739226385E-2</v>
      </c>
      <c r="D126" s="2" vm="4513">
        <f ca="1"/>
        <v>96.3</v>
      </c>
      <c r="E126" s="2">
        <f t="shared" ca="1" si="48"/>
        <v>-1.3723883654240101E-2</v>
      </c>
      <c r="F126" s="2" vm="4514">
        <f ca="1"/>
        <v>354.56</v>
      </c>
      <c r="G126" s="2">
        <f t="shared" ca="1" si="49"/>
        <v>-9.2214832616107165E-3</v>
      </c>
      <c r="H126" s="2" vm="4515">
        <f ca="1"/>
        <v>510.45</v>
      </c>
      <c r="I126" s="2">
        <f t="shared" ca="1" si="50"/>
        <v>-1.1234866828087189E-2</v>
      </c>
      <c r="J126" s="2" vm="4516">
        <f ca="1"/>
        <v>144.69999999999999</v>
      </c>
      <c r="K126" s="2">
        <f t="shared" ca="1" si="51"/>
        <v>-1.3969335604770095E-2</v>
      </c>
      <c r="L126" s="2" vm="4517">
        <f ca="1"/>
        <v>496.48</v>
      </c>
      <c r="M126" s="2">
        <f t="shared" ca="1" si="52"/>
        <v>-1.5662793925215069E-2</v>
      </c>
      <c r="N126" s="2" vm="2321">
        <f ca="1"/>
        <v>88.35</v>
      </c>
      <c r="O126" s="2">
        <f t="shared" ca="1" si="53"/>
        <v>-1.8878400888395368E-2</v>
      </c>
      <c r="P126" s="2" vm="4518">
        <f ca="1"/>
        <v>275.2</v>
      </c>
      <c r="Q126" s="2">
        <f t="shared" ca="1" si="54"/>
        <v>5.4437178035147025E-3</v>
      </c>
      <c r="R126" s="2" vm="4519">
        <f ca="1"/>
        <v>63.34</v>
      </c>
      <c r="S126" s="2">
        <f t="shared" ca="1" si="55"/>
        <v>-4.0012124886329194E-2</v>
      </c>
      <c r="T126" s="2" vm="3133">
        <f ca="1"/>
        <v>94.93</v>
      </c>
      <c r="U126" s="2">
        <f t="shared" ca="1" si="56"/>
        <v>-5.03091919086039E-3</v>
      </c>
      <c r="V126" s="2" vm="4520">
        <f ca="1"/>
        <v>45.660600000000002</v>
      </c>
      <c r="W126" s="2">
        <f t="shared" ca="1" si="57"/>
        <v>-1.054237427704015E-2</v>
      </c>
      <c r="X126" s="2" vm="4521">
        <f ca="1"/>
        <v>110.41</v>
      </c>
      <c r="Y126" s="2">
        <f t="shared" ca="1" si="58"/>
        <v>-1.7354930580277705E-2</v>
      </c>
      <c r="Z126" s="2" vm="4522">
        <f ca="1"/>
        <v>76.44</v>
      </c>
      <c r="AA126" s="2">
        <f t="shared" ca="1" si="59"/>
        <v>-2.3130990415335492E-2</v>
      </c>
      <c r="AB126" s="2" vm="4523">
        <f ca="1"/>
        <v>12.09</v>
      </c>
      <c r="AC126" s="2">
        <f t="shared" ca="1" si="60"/>
        <v>-4.0476190476190457E-2</v>
      </c>
      <c r="AD126" s="2" vm="4206">
        <f ca="1"/>
        <v>3.5</v>
      </c>
      <c r="AE126" s="2">
        <f t="shared" ca="1" si="61"/>
        <v>-0.10256410256410255</v>
      </c>
      <c r="AF126" s="2" vm="1886">
        <f ca="1"/>
        <v>27.14</v>
      </c>
      <c r="AG126" s="2">
        <f t="shared" ca="1" si="62"/>
        <v>0</v>
      </c>
      <c r="AH126" s="2" vm="4524">
        <f ca="1"/>
        <v>25.27</v>
      </c>
      <c r="AI126" s="2">
        <f t="shared" ca="1" si="63"/>
        <v>-7.8523753435413932E-3</v>
      </c>
      <c r="AJ126" s="2" vm="2070">
        <f ca="1"/>
        <v>4.67</v>
      </c>
      <c r="AK126" s="2">
        <f t="shared" ca="1" si="64"/>
        <v>2.1459227467810699E-3</v>
      </c>
      <c r="AL126" s="2" vm="4525">
        <f ca="1"/>
        <v>59.11</v>
      </c>
      <c r="AM126" s="2">
        <f t="shared" ca="1" si="65"/>
        <v>2.5440976933514005E-3</v>
      </c>
      <c r="AN126" s="2" vm="4526">
        <f ca="1"/>
        <v>83.89</v>
      </c>
      <c r="AO126" s="2">
        <f t="shared" ca="1" si="66"/>
        <v>5.7547056707829281E-3</v>
      </c>
      <c r="AP126" s="2" vm="4300">
        <f ca="1"/>
        <v>26.47</v>
      </c>
      <c r="AQ126" s="2">
        <f t="shared" ca="1" si="67"/>
        <v>-3.0131826741996927E-3</v>
      </c>
      <c r="AR126" s="2" vm="4527">
        <f ca="1"/>
        <v>50.17</v>
      </c>
      <c r="AS126" s="2">
        <f t="shared" ca="1" si="68"/>
        <v>-2.7827469687934916E-3</v>
      </c>
      <c r="AT126" s="2" vm="1068">
        <f ca="1"/>
        <v>29.26</v>
      </c>
      <c r="AU126" s="2">
        <f t="shared" ca="1" si="69"/>
        <v>1.368925393566143E-3</v>
      </c>
      <c r="AV126" s="2" vm="211">
        <f ca="1"/>
        <v>26.55</v>
      </c>
      <c r="AW126" s="2">
        <f t="shared" ca="1" si="70"/>
        <v>-1.7394522575869684E-2</v>
      </c>
      <c r="AX126" s="2" vm="1706">
        <f ca="1"/>
        <v>91.51</v>
      </c>
      <c r="AY126" s="2">
        <f t="shared" ca="1" si="71"/>
        <v>2.1860312602481401E-4</v>
      </c>
      <c r="AZ126" s="2" vm="4528">
        <f ca="1"/>
        <v>492.64</v>
      </c>
      <c r="BA126" s="2">
        <f t="shared" ca="1" si="72"/>
        <v>4.6086708267058015E-3</v>
      </c>
      <c r="BB126" s="2" vm="4529">
        <f ca="1"/>
        <v>216.87</v>
      </c>
      <c r="BC126" s="2">
        <f t="shared" ca="1" si="73"/>
        <v>1.1331841074426445E-2</v>
      </c>
      <c r="BD126" s="2" vm="4530">
        <f ca="1"/>
        <v>35.03</v>
      </c>
      <c r="BE126" s="2">
        <f t="shared" ca="1" si="74"/>
        <v>-1.5458122540753154E-2</v>
      </c>
      <c r="BF126" s="2" vm="4531">
        <f ca="1"/>
        <v>100.77</v>
      </c>
      <c r="BG126" s="2">
        <f t="shared" ca="1" si="75"/>
        <v>-2.108024091703907E-2</v>
      </c>
      <c r="BH126" s="2" vm="320">
        <f ca="1"/>
        <v>136.93</v>
      </c>
      <c r="BI126" s="2">
        <f t="shared" ca="1" si="76"/>
        <v>-2.2975383517659643E-2</v>
      </c>
      <c r="BJ126" s="2" vm="4532">
        <f ca="1"/>
        <v>150</v>
      </c>
      <c r="BK126" s="2">
        <f t="shared" ca="1" si="77"/>
        <v>-4.1163192139158445E-3</v>
      </c>
      <c r="BL126" s="2" vm="4533">
        <f ca="1"/>
        <v>68.42</v>
      </c>
      <c r="BM126" s="2">
        <f t="shared" ca="1" si="78"/>
        <v>7.3131490419770591E-4</v>
      </c>
      <c r="BN126" s="2" vm="4000">
        <f ca="1"/>
        <v>299.83</v>
      </c>
      <c r="BO126" s="2">
        <f t="shared" ca="1" si="79"/>
        <v>-2.0007336023209268E-4</v>
      </c>
      <c r="BP126" s="2" vm="4534">
        <f ca="1"/>
        <v>81.72</v>
      </c>
      <c r="BQ126" s="2">
        <f t="shared" ca="1" si="80"/>
        <v>-1.8967587034813906E-2</v>
      </c>
      <c r="BR126" s="2" vm="4535">
        <f ca="1"/>
        <v>870.4</v>
      </c>
      <c r="BS126" s="2">
        <f t="shared" ca="1" si="81"/>
        <v>2.9614094926424949E-3</v>
      </c>
      <c r="BT126" s="2" vm="4536">
        <f ca="1"/>
        <v>158.38999999999999</v>
      </c>
      <c r="BU126" s="2">
        <f t="shared" ca="1" si="82"/>
        <v>-1.1483492479560653E-2</v>
      </c>
      <c r="BV126" s="2" vm="4537">
        <f ca="1"/>
        <v>140.30000000000001</v>
      </c>
      <c r="BW126" s="2">
        <f t="shared" ca="1" si="83"/>
        <v>-2.018297367134567E-2</v>
      </c>
      <c r="BX126" s="2" vm="4538">
        <f ca="1"/>
        <v>196.72</v>
      </c>
      <c r="BY126" s="2">
        <f t="shared" ca="1" si="84"/>
        <v>-4.5465573293221428E-2</v>
      </c>
      <c r="BZ126" s="2" vm="4539">
        <f ca="1"/>
        <v>74.87</v>
      </c>
      <c r="CA126" s="2">
        <f t="shared" ca="1" si="85"/>
        <v>-3.4309299625951202E-2</v>
      </c>
      <c r="CB126" s="2" vm="4540">
        <f ca="1"/>
        <v>22.69</v>
      </c>
      <c r="CC126" s="2">
        <f t="shared" ca="1" si="86"/>
        <v>-3.651804670912949E-2</v>
      </c>
      <c r="CD126" s="2" t="e" vm="92">
        <f ca="1"/>
        <v>#N/A</v>
      </c>
      <c r="CE126" s="2" t="e" vm="140">
        <f t="shared" ca="1" si="87"/>
        <v>#N/A</v>
      </c>
      <c r="CF126" s="2" vm="1646">
        <f ca="1"/>
        <v>22.85</v>
      </c>
      <c r="CG126" s="2">
        <f t="shared" ca="1" si="88"/>
        <v>-4.3572984749454414E-3</v>
      </c>
      <c r="CH126" s="2" vm="4441">
        <f ca="1"/>
        <v>58.71</v>
      </c>
      <c r="CI126" s="2">
        <f t="shared" ca="1" si="89"/>
        <v>1.7035775127764924E-4</v>
      </c>
      <c r="CJ126" s="2" vm="4374">
        <f ca="1"/>
        <v>59.33</v>
      </c>
      <c r="CK126" s="2">
        <f t="shared" ca="1" si="90"/>
        <v>-2.3541281318311849E-3</v>
      </c>
      <c r="CL126" s="2" vm="3364">
        <f ca="1"/>
        <v>56.08</v>
      </c>
      <c r="CM126" s="2">
        <f t="shared" ca="1" si="91"/>
        <v>-1.717490361023491E-2</v>
      </c>
      <c r="CN126" s="2" vm="4541">
        <f ca="1"/>
        <v>28.23</v>
      </c>
      <c r="CO126" s="2">
        <f t="shared" ca="1" si="92"/>
        <v>-9.1260091260090565E-3</v>
      </c>
      <c r="CP126" s="2" vm="4542">
        <f ca="1"/>
        <v>19.311499999999999</v>
      </c>
      <c r="CQ126" s="2">
        <f t="shared" ca="1" si="93"/>
        <v>-2.4139429587856115E-2</v>
      </c>
    </row>
    <row r="127" spans="1:95" x14ac:dyDescent="0.2">
      <c r="A127" s="7" vm="4543">
        <f ca="1"/>
        <v>45756</v>
      </c>
      <c r="B127" s="2" vm="4544">
        <f ca="1"/>
        <v>198.85</v>
      </c>
      <c r="C127" s="2">
        <f t="shared" ca="1" si="47"/>
        <v>0.15328848161466194</v>
      </c>
      <c r="D127" s="2" vm="4545">
        <f ca="1"/>
        <v>114.33</v>
      </c>
      <c r="E127" s="2">
        <f t="shared" ca="1" si="48"/>
        <v>0.18722741433021808</v>
      </c>
      <c r="F127" s="2" vm="4546">
        <f ca="1"/>
        <v>390.49</v>
      </c>
      <c r="G127" s="2">
        <f t="shared" ca="1" si="49"/>
        <v>0.10133686823104696</v>
      </c>
      <c r="H127" s="2" vm="4547">
        <f ca="1"/>
        <v>585.77</v>
      </c>
      <c r="I127" s="2">
        <f t="shared" ca="1" si="50"/>
        <v>0.14755607797041825</v>
      </c>
      <c r="J127" s="2" vm="4548">
        <f ca="1"/>
        <v>158.71</v>
      </c>
      <c r="K127" s="2">
        <f t="shared" ca="1" si="51"/>
        <v>9.6821008984105186E-2</v>
      </c>
      <c r="L127" s="2" vm="4549">
        <f ca="1"/>
        <v>548.62</v>
      </c>
      <c r="M127" s="2">
        <f t="shared" ca="1" si="52"/>
        <v>0.10501933612632933</v>
      </c>
      <c r="N127" s="2" vm="4550">
        <f ca="1"/>
        <v>88.87</v>
      </c>
      <c r="O127" s="2">
        <f t="shared" ca="1" si="53"/>
        <v>5.8856819468026062E-3</v>
      </c>
      <c r="P127" s="2" vm="4551">
        <f ca="1"/>
        <v>285.38</v>
      </c>
      <c r="Q127" s="2">
        <f t="shared" ca="1" si="54"/>
        <v>3.6991279069767471E-2</v>
      </c>
      <c r="R127" s="2" vm="4552">
        <f ca="1"/>
        <v>67.58</v>
      </c>
      <c r="S127" s="2">
        <f t="shared" ca="1" si="55"/>
        <v>6.694032207136083E-2</v>
      </c>
      <c r="T127" s="2" vm="4201">
        <f ca="1"/>
        <v>94.63</v>
      </c>
      <c r="U127" s="2">
        <f t="shared" ca="1" si="56"/>
        <v>-3.1602233224482393E-3</v>
      </c>
      <c r="V127" s="2" vm="4553">
        <f ca="1"/>
        <v>46.060400000000001</v>
      </c>
      <c r="W127" s="2">
        <f t="shared" ca="1" si="57"/>
        <v>8.7559077191276292E-3</v>
      </c>
      <c r="X127" s="2" vm="4554">
        <f ca="1"/>
        <v>128.44999999999999</v>
      </c>
      <c r="Y127" s="2">
        <f t="shared" ca="1" si="58"/>
        <v>0.16339099719228323</v>
      </c>
      <c r="Z127" s="2" vm="4555">
        <f ca="1"/>
        <v>82.36</v>
      </c>
      <c r="AA127" s="2">
        <f t="shared" ca="1" si="59"/>
        <v>7.7446363160648901E-2</v>
      </c>
      <c r="AB127" s="2" vm="4556">
        <f ca="1"/>
        <v>13.32</v>
      </c>
      <c r="AC127" s="2">
        <f t="shared" ca="1" si="60"/>
        <v>0.10173697270471467</v>
      </c>
      <c r="AD127" s="2" vm="4557">
        <f ca="1"/>
        <v>3.46</v>
      </c>
      <c r="AE127" s="2">
        <f t="shared" ca="1" si="61"/>
        <v>-1.1428571428571439E-2</v>
      </c>
      <c r="AF127" s="2" vm="4558">
        <f ca="1"/>
        <v>28.06</v>
      </c>
      <c r="AG127" s="2">
        <f t="shared" ca="1" si="62"/>
        <v>3.3898305084745693E-2</v>
      </c>
      <c r="AH127" s="2" vm="2842">
        <f ca="1"/>
        <v>26.02</v>
      </c>
      <c r="AI127" s="2">
        <f t="shared" ca="1" si="63"/>
        <v>2.9679461812425801E-2</v>
      </c>
      <c r="AJ127" s="2" vm="2146">
        <f ca="1"/>
        <v>4.7300000000000004</v>
      </c>
      <c r="AK127" s="2">
        <f t="shared" ca="1" si="64"/>
        <v>1.2847965738758137E-2</v>
      </c>
      <c r="AL127" s="2" vm="4559">
        <f ca="1"/>
        <v>61.26</v>
      </c>
      <c r="AM127" s="2">
        <f t="shared" ca="1" si="65"/>
        <v>3.6372864151581773E-2</v>
      </c>
      <c r="AN127" s="2" vm="4560">
        <f ca="1"/>
        <v>85.07</v>
      </c>
      <c r="AO127" s="2">
        <f t="shared" ca="1" si="66"/>
        <v>1.4066038860412357E-2</v>
      </c>
      <c r="AP127" s="2" vm="3283">
        <f ca="1"/>
        <v>26.48</v>
      </c>
      <c r="AQ127" s="2">
        <f t="shared" ca="1" si="67"/>
        <v>3.7778617302612632E-4</v>
      </c>
      <c r="AR127" s="2" vm="4561">
        <f ca="1"/>
        <v>50.64</v>
      </c>
      <c r="AS127" s="2">
        <f t="shared" ca="1" si="68"/>
        <v>9.368148295794276E-3</v>
      </c>
      <c r="AT127" s="2" vm="122">
        <f ca="1"/>
        <v>29.17</v>
      </c>
      <c r="AU127" s="2">
        <f t="shared" ca="1" si="69"/>
        <v>-3.0758714969241234E-3</v>
      </c>
      <c r="AV127" s="2" vm="2373">
        <f ca="1"/>
        <v>26.62</v>
      </c>
      <c r="AW127" s="2">
        <f t="shared" ca="1" si="70"/>
        <v>2.6365348399246809E-3</v>
      </c>
      <c r="AX127" s="2" vm="1706">
        <f ca="1"/>
        <v>91.51</v>
      </c>
      <c r="AY127" s="2">
        <f t="shared" ca="1" si="71"/>
        <v>0</v>
      </c>
      <c r="AZ127" s="2" vm="4562">
        <f ca="1"/>
        <v>521.41</v>
      </c>
      <c r="BA127" s="2">
        <f t="shared" ca="1" si="72"/>
        <v>5.8399642741149692E-2</v>
      </c>
      <c r="BB127" s="2" vm="4563">
        <f ca="1"/>
        <v>234.34</v>
      </c>
      <c r="BC127" s="2">
        <f t="shared" ca="1" si="73"/>
        <v>8.0555171300779257E-2</v>
      </c>
      <c r="BD127" s="2" vm="4564">
        <f ca="1"/>
        <v>37.15</v>
      </c>
      <c r="BE127" s="2">
        <f t="shared" ca="1" si="74"/>
        <v>6.0519554667427845E-2</v>
      </c>
      <c r="BF127" s="2" vm="4565">
        <f ca="1"/>
        <v>105.8</v>
      </c>
      <c r="BG127" s="2">
        <f t="shared" ca="1" si="75"/>
        <v>4.9915649498858801E-2</v>
      </c>
      <c r="BH127" s="2" vm="4566">
        <f ca="1"/>
        <v>146.03</v>
      </c>
      <c r="BI127" s="2">
        <f t="shared" ca="1" si="76"/>
        <v>6.6457313956035879E-2</v>
      </c>
      <c r="BJ127" s="2" vm="4567">
        <f ca="1"/>
        <v>150.97</v>
      </c>
      <c r="BK127" s="2">
        <f t="shared" ca="1" si="77"/>
        <v>6.4666666666666588E-3</v>
      </c>
      <c r="BL127" s="2" vm="4568">
        <f ca="1"/>
        <v>69.95</v>
      </c>
      <c r="BM127" s="2">
        <f t="shared" ca="1" si="78"/>
        <v>2.2361882490499869E-2</v>
      </c>
      <c r="BN127" s="2" vm="4569">
        <f ca="1"/>
        <v>303.95999999999998</v>
      </c>
      <c r="BO127" s="2">
        <f t="shared" ca="1" si="79"/>
        <v>1.3774472200913837E-2</v>
      </c>
      <c r="BP127" s="2" vm="4391">
        <f ca="1"/>
        <v>91.44</v>
      </c>
      <c r="BQ127" s="2">
        <f t="shared" ca="1" si="80"/>
        <v>0.11894273127753303</v>
      </c>
      <c r="BR127" s="2" vm="4570">
        <f ca="1"/>
        <v>945.47</v>
      </c>
      <c r="BS127" s="2">
        <f t="shared" ca="1" si="81"/>
        <v>8.6247702205882418E-2</v>
      </c>
      <c r="BT127" s="2" vm="4571">
        <f ca="1"/>
        <v>162.32</v>
      </c>
      <c r="BU127" s="2">
        <f t="shared" ca="1" si="82"/>
        <v>2.4812172485636764E-2</v>
      </c>
      <c r="BV127" s="2" vm="4572">
        <f ca="1"/>
        <v>145.59</v>
      </c>
      <c r="BW127" s="2">
        <f t="shared" ca="1" si="83"/>
        <v>3.7704918032786826E-2</v>
      </c>
      <c r="BX127" s="2" vm="4573">
        <f ca="1"/>
        <v>222.17</v>
      </c>
      <c r="BY127" s="2">
        <f t="shared" ca="1" si="84"/>
        <v>0.12937169581130536</v>
      </c>
      <c r="BZ127" s="2" vm="4574">
        <f ca="1"/>
        <v>82.58</v>
      </c>
      <c r="CA127" s="2">
        <f t="shared" ca="1" si="85"/>
        <v>0.10297849605983696</v>
      </c>
      <c r="CB127" s="2" vm="4575">
        <f ca="1"/>
        <v>25.25</v>
      </c>
      <c r="CC127" s="2">
        <f t="shared" ca="1" si="86"/>
        <v>0.11282503305420884</v>
      </c>
      <c r="CD127" s="2" t="e" vm="92">
        <f ca="1"/>
        <v>#N/A</v>
      </c>
      <c r="CE127" s="2" t="e" vm="140">
        <f t="shared" ca="1" si="87"/>
        <v>#N/A</v>
      </c>
      <c r="CF127" s="2" vm="776">
        <f ca="1"/>
        <v>22.82</v>
      </c>
      <c r="CG127" s="2">
        <f t="shared" ca="1" si="88"/>
        <v>-1.3129102844639446E-3</v>
      </c>
      <c r="CH127" s="2" vm="4283">
        <f ca="1"/>
        <v>58.56</v>
      </c>
      <c r="CI127" s="2">
        <f t="shared" ca="1" si="89"/>
        <v>-2.5549310168625204E-3</v>
      </c>
      <c r="CJ127" s="2" vm="4576">
        <f ca="1"/>
        <v>59.07</v>
      </c>
      <c r="CK127" s="2">
        <f t="shared" ca="1" si="90"/>
        <v>-4.3822686667789991E-3</v>
      </c>
      <c r="CL127" s="2" vm="4577">
        <f ca="1"/>
        <v>56.26</v>
      </c>
      <c r="CM127" s="2">
        <f t="shared" ca="1" si="91"/>
        <v>3.2097004279600522E-3</v>
      </c>
      <c r="CN127" s="2" vm="4578">
        <f ca="1"/>
        <v>28.62</v>
      </c>
      <c r="CO127" s="2">
        <f t="shared" ca="1" si="92"/>
        <v>1.3815090329436789E-2</v>
      </c>
      <c r="CP127" s="2" vm="4579">
        <f ca="1"/>
        <v>20.3916</v>
      </c>
      <c r="CQ127" s="2">
        <f t="shared" ca="1" si="93"/>
        <v>5.5930404163322463E-2</v>
      </c>
    </row>
    <row r="128" spans="1:95" x14ac:dyDescent="0.2">
      <c r="A128" s="7" vm="4580">
        <f ca="1"/>
        <v>45757</v>
      </c>
      <c r="B128" s="2" vm="4581">
        <f ca="1"/>
        <v>190.42</v>
      </c>
      <c r="C128" s="2">
        <f t="shared" ca="1" si="47"/>
        <v>-4.2393764143827041E-2</v>
      </c>
      <c r="D128" s="2" vm="2346">
        <f ca="1"/>
        <v>107.57</v>
      </c>
      <c r="E128" s="2">
        <f t="shared" ca="1" si="48"/>
        <v>-5.9127088253301895E-2</v>
      </c>
      <c r="F128" s="2" vm="4582">
        <f ca="1"/>
        <v>381.35</v>
      </c>
      <c r="G128" s="2">
        <f t="shared" ca="1" si="49"/>
        <v>-2.3406489282696064E-2</v>
      </c>
      <c r="H128" s="2" vm="4583">
        <f ca="1"/>
        <v>546.29</v>
      </c>
      <c r="I128" s="2">
        <f t="shared" ca="1" si="50"/>
        <v>-6.739846697509265E-2</v>
      </c>
      <c r="J128" s="2" vm="4584">
        <f ca="1"/>
        <v>152.82</v>
      </c>
      <c r="K128" s="2">
        <f t="shared" ca="1" si="51"/>
        <v>-3.7111713187574911E-2</v>
      </c>
      <c r="L128" s="2" vm="4585">
        <f ca="1"/>
        <v>524.58000000000004</v>
      </c>
      <c r="M128" s="2">
        <f t="shared" ca="1" si="52"/>
        <v>-4.3819036856111632E-2</v>
      </c>
      <c r="N128" s="2" vm="4586">
        <f ca="1"/>
        <v>86.42</v>
      </c>
      <c r="O128" s="2">
        <f t="shared" ca="1" si="53"/>
        <v>-2.7568358276133707E-2</v>
      </c>
      <c r="P128" s="2" vm="4587">
        <f ca="1"/>
        <v>292.35000000000002</v>
      </c>
      <c r="Q128" s="2">
        <f t="shared" ca="1" si="54"/>
        <v>2.4423575583432711E-2</v>
      </c>
      <c r="R128" s="2" vm="4588">
        <f ca="1"/>
        <v>65.319999999999993</v>
      </c>
      <c r="S128" s="2">
        <f t="shared" ca="1" si="55"/>
        <v>-3.3441846700207237E-2</v>
      </c>
      <c r="T128" s="2" vm="4589">
        <f ca="1"/>
        <v>94.04</v>
      </c>
      <c r="U128" s="2">
        <f t="shared" ca="1" si="56"/>
        <v>-6.2348092571065123E-3</v>
      </c>
      <c r="V128" s="2" vm="4590">
        <f ca="1"/>
        <v>45.923400000000001</v>
      </c>
      <c r="W128" s="2">
        <f t="shared" ca="1" si="57"/>
        <v>-2.9743554115900092E-3</v>
      </c>
      <c r="X128" s="2" vm="4591">
        <f ca="1"/>
        <v>123.93</v>
      </c>
      <c r="Y128" s="2">
        <f t="shared" ca="1" si="58"/>
        <v>-3.5188789412222518E-2</v>
      </c>
      <c r="Z128" s="2" vm="4592">
        <f ca="1"/>
        <v>76.98</v>
      </c>
      <c r="AA128" s="2">
        <f t="shared" ca="1" si="59"/>
        <v>-6.5322972316658512E-2</v>
      </c>
      <c r="AB128" s="2" vm="4593">
        <f ca="1"/>
        <v>12.38</v>
      </c>
      <c r="AC128" s="2">
        <f t="shared" ca="1" si="60"/>
        <v>-7.0570570570570534E-2</v>
      </c>
      <c r="AD128" s="2" vm="4206">
        <f ca="1"/>
        <v>3.5</v>
      </c>
      <c r="AE128" s="2">
        <f t="shared" ca="1" si="61"/>
        <v>1.1560693641618507E-2</v>
      </c>
      <c r="AF128" s="2" vm="296">
        <f ca="1"/>
        <v>28.28</v>
      </c>
      <c r="AG128" s="2">
        <f t="shared" ca="1" si="62"/>
        <v>7.8403421240200444E-3</v>
      </c>
      <c r="AH128" s="2" vm="116">
        <f ca="1"/>
        <v>25.76</v>
      </c>
      <c r="AI128" s="2">
        <f t="shared" ca="1" si="63"/>
        <v>-9.9923136049192163E-3</v>
      </c>
      <c r="AJ128" s="2" vm="4237">
        <f ca="1"/>
        <v>4.6900000000000004</v>
      </c>
      <c r="AK128" s="2">
        <f t="shared" ca="1" si="64"/>
        <v>-8.4566596194503244E-3</v>
      </c>
      <c r="AL128" s="2" vm="4594">
        <f ca="1"/>
        <v>62.8</v>
      </c>
      <c r="AM128" s="2">
        <f t="shared" ca="1" si="65"/>
        <v>2.5138752856676449E-2</v>
      </c>
      <c r="AN128" s="2" vm="4595">
        <f ca="1"/>
        <v>85.26</v>
      </c>
      <c r="AO128" s="2">
        <f t="shared" ca="1" si="66"/>
        <v>2.2334548019279647E-3</v>
      </c>
      <c r="AP128" s="2" vm="2376">
        <f ca="1"/>
        <v>26.2</v>
      </c>
      <c r="AQ128" s="2">
        <f t="shared" ca="1" si="67"/>
        <v>-1.057401812688826E-2</v>
      </c>
      <c r="AR128" s="2" vm="4493">
        <f ca="1"/>
        <v>50.31</v>
      </c>
      <c r="AS128" s="2">
        <f t="shared" ca="1" si="68"/>
        <v>-6.5165876777250852E-3</v>
      </c>
      <c r="AT128" s="2" vm="168">
        <f ca="1"/>
        <v>29.2</v>
      </c>
      <c r="AU128" s="2">
        <f t="shared" ca="1" si="69"/>
        <v>1.0284538909838047E-3</v>
      </c>
      <c r="AV128" s="2" vm="4596">
        <f ca="1"/>
        <v>26.04</v>
      </c>
      <c r="AW128" s="2">
        <f t="shared" ca="1" si="70"/>
        <v>-2.1788129226145824E-2</v>
      </c>
      <c r="AX128" s="2" vm="926">
        <f ca="1"/>
        <v>91.52</v>
      </c>
      <c r="AY128" s="2">
        <f t="shared" ca="1" si="71"/>
        <v>1.0927767457098573E-4</v>
      </c>
      <c r="AZ128" s="2" vm="4597">
        <f ca="1"/>
        <v>515.80999999999995</v>
      </c>
      <c r="BA128" s="2">
        <f t="shared" ca="1" si="72"/>
        <v>-1.0740108551811478E-2</v>
      </c>
      <c r="BB128" s="2" vm="4598">
        <f ca="1"/>
        <v>227.11</v>
      </c>
      <c r="BC128" s="2">
        <f t="shared" ca="1" si="73"/>
        <v>-3.0852607322693477E-2</v>
      </c>
      <c r="BD128" s="2" vm="4599">
        <f ca="1"/>
        <v>35.85</v>
      </c>
      <c r="BE128" s="2">
        <f t="shared" ca="1" si="74"/>
        <v>-3.4993270524898985E-2</v>
      </c>
      <c r="BF128" s="2" vm="4600">
        <f ca="1"/>
        <v>99.93</v>
      </c>
      <c r="BG128" s="2">
        <f t="shared" ca="1" si="75"/>
        <v>-5.5482041587901612E-2</v>
      </c>
      <c r="BH128" s="2" vm="4601">
        <f ca="1"/>
        <v>134.97999999999999</v>
      </c>
      <c r="BI128" s="2">
        <f t="shared" ca="1" si="76"/>
        <v>-7.5669383003492505E-2</v>
      </c>
      <c r="BJ128" s="2" vm="4602">
        <f ca="1"/>
        <v>148.69</v>
      </c>
      <c r="BK128" s="2">
        <f t="shared" ca="1" si="77"/>
        <v>-1.5102338212889985E-2</v>
      </c>
      <c r="BL128" s="2" vm="4603">
        <f ca="1"/>
        <v>70.760000000000005</v>
      </c>
      <c r="BM128" s="2">
        <f t="shared" ca="1" si="78"/>
        <v>1.1579699785561148E-2</v>
      </c>
      <c r="BN128" s="2" vm="4604">
        <f ca="1"/>
        <v>306.77999999999997</v>
      </c>
      <c r="BO128" s="2">
        <f t="shared" ca="1" si="79"/>
        <v>9.2775365179628682E-3</v>
      </c>
      <c r="BP128" s="2" vm="4605">
        <f ca="1"/>
        <v>85.23</v>
      </c>
      <c r="BQ128" s="2">
        <f t="shared" ca="1" si="80"/>
        <v>-6.7913385826771588E-2</v>
      </c>
      <c r="BR128" s="2" vm="4606">
        <f ca="1"/>
        <v>921.17</v>
      </c>
      <c r="BS128" s="2">
        <f t="shared" ca="1" si="81"/>
        <v>-2.5701502956201747E-2</v>
      </c>
      <c r="BT128" s="2" vm="4607">
        <f ca="1"/>
        <v>163.56</v>
      </c>
      <c r="BU128" s="2">
        <f t="shared" ca="1" si="82"/>
        <v>7.6392311483489969E-3</v>
      </c>
      <c r="BV128" s="2" vm="4608">
        <f ca="1"/>
        <v>144.13999999999999</v>
      </c>
      <c r="BW128" s="2">
        <f t="shared" ca="1" si="83"/>
        <v>-9.9594752386840922E-3</v>
      </c>
      <c r="BX128" s="2" vm="4609">
        <f ca="1"/>
        <v>202.68</v>
      </c>
      <c r="BY128" s="2">
        <f t="shared" ca="1" si="84"/>
        <v>-8.7725615519647041E-2</v>
      </c>
      <c r="BZ128" s="2" vm="4610">
        <f ca="1"/>
        <v>76.28</v>
      </c>
      <c r="CA128" s="2">
        <f t="shared" ca="1" si="85"/>
        <v>-7.6289658512957104E-2</v>
      </c>
      <c r="CB128" s="2" vm="4611">
        <f ca="1"/>
        <v>23.24</v>
      </c>
      <c r="CC128" s="2">
        <f t="shared" ca="1" si="86"/>
        <v>-7.9603960396039661E-2</v>
      </c>
      <c r="CD128" s="2" t="e" vm="92">
        <f ca="1"/>
        <v>#N/A</v>
      </c>
      <c r="CE128" s="2" t="e" vm="140">
        <f t="shared" ca="1" si="87"/>
        <v>#N/A</v>
      </c>
      <c r="CF128" s="2" vm="4540">
        <f ca="1"/>
        <v>22.69</v>
      </c>
      <c r="CG128" s="2">
        <f t="shared" ca="1" si="88"/>
        <v>-5.6967572304995181E-3</v>
      </c>
      <c r="CH128" s="2" vm="185">
        <f ca="1"/>
        <v>58.6</v>
      </c>
      <c r="CI128" s="2">
        <f t="shared" ca="1" si="89"/>
        <v>6.8306010928960285E-4</v>
      </c>
      <c r="CJ128" s="2" vm="4612">
        <f ca="1"/>
        <v>58.95</v>
      </c>
      <c r="CK128" s="2">
        <f t="shared" ca="1" si="90"/>
        <v>-2.031488065007575E-3</v>
      </c>
      <c r="CL128" s="2" vm="4613">
        <f ca="1"/>
        <v>55</v>
      </c>
      <c r="CM128" s="2">
        <f t="shared" ca="1" si="91"/>
        <v>-2.2396018485602524E-2</v>
      </c>
      <c r="CN128" s="2" vm="4614">
        <f ca="1"/>
        <v>28.18</v>
      </c>
      <c r="CO128" s="2">
        <f t="shared" ca="1" si="92"/>
        <v>-1.5373864430468249E-2</v>
      </c>
      <c r="CP128" s="2" vm="4615">
        <f ca="1"/>
        <v>19.937000000000001</v>
      </c>
      <c r="CQ128" s="2">
        <f t="shared" ca="1" si="93"/>
        <v>-2.2293493399242786E-2</v>
      </c>
    </row>
    <row r="129" spans="1:95" x14ac:dyDescent="0.2">
      <c r="A129" s="7" vm="4616">
        <f ca="1"/>
        <v>45758</v>
      </c>
      <c r="B129" s="2" vm="4617">
        <f ca="1"/>
        <v>198.15</v>
      </c>
      <c r="C129" s="2">
        <f t="shared" ca="1" si="47"/>
        <v>4.059447537023432E-2</v>
      </c>
      <c r="D129" s="2" vm="4618">
        <f ca="1"/>
        <v>110.93</v>
      </c>
      <c r="E129" s="2">
        <f t="shared" ca="1" si="48"/>
        <v>3.1235474574695676E-2</v>
      </c>
      <c r="F129" s="2" vm="4619">
        <f ca="1"/>
        <v>388.45</v>
      </c>
      <c r="G129" s="2">
        <f t="shared" ca="1" si="49"/>
        <v>1.8618067392159342E-2</v>
      </c>
      <c r="H129" s="2" vm="4620">
        <f ca="1"/>
        <v>543.57000000000005</v>
      </c>
      <c r="I129" s="2">
        <f t="shared" ca="1" si="50"/>
        <v>-4.9790404363980918E-3</v>
      </c>
      <c r="J129" s="2" vm="4621">
        <f ca="1"/>
        <v>157.13999999999999</v>
      </c>
      <c r="K129" s="2">
        <f t="shared" ca="1" si="51"/>
        <v>2.8268551236749075E-2</v>
      </c>
      <c r="L129" s="2" vm="4622">
        <f ca="1"/>
        <v>533.94000000000005</v>
      </c>
      <c r="M129" s="2">
        <f t="shared" ca="1" si="52"/>
        <v>1.7842845705135561E-2</v>
      </c>
      <c r="N129" s="2" vm="4623">
        <f ca="1"/>
        <v>86.89</v>
      </c>
      <c r="O129" s="2">
        <f t="shared" ca="1" si="53"/>
        <v>5.4385558898403016E-3</v>
      </c>
      <c r="P129" s="2" vm="4624">
        <f ca="1"/>
        <v>297.93</v>
      </c>
      <c r="Q129" s="2">
        <f t="shared" ca="1" si="54"/>
        <v>1.9086711133914771E-2</v>
      </c>
      <c r="R129" s="2" vm="4625">
        <f ca="1"/>
        <v>66.459999999999994</v>
      </c>
      <c r="S129" s="2">
        <f t="shared" ca="1" si="55"/>
        <v>1.7452541334966331E-2</v>
      </c>
      <c r="T129" s="2" vm="593">
        <f ca="1"/>
        <v>93.51</v>
      </c>
      <c r="U129" s="2">
        <f t="shared" ca="1" si="56"/>
        <v>-5.6358996171841889E-3</v>
      </c>
      <c r="V129" s="2" vm="4626">
        <f ca="1"/>
        <v>45.939100000000003</v>
      </c>
      <c r="W129" s="2">
        <f t="shared" ca="1" si="57"/>
        <v>3.4187364176002844E-4</v>
      </c>
      <c r="X129" s="2" vm="4627">
        <f ca="1"/>
        <v>125.92</v>
      </c>
      <c r="Y129" s="2">
        <f t="shared" ca="1" si="58"/>
        <v>1.605745178729924E-2</v>
      </c>
      <c r="Z129" s="2" vm="4628">
        <f ca="1"/>
        <v>78.89</v>
      </c>
      <c r="AA129" s="2">
        <f t="shared" ca="1" si="59"/>
        <v>2.4811639386853681E-2</v>
      </c>
      <c r="AB129" s="2" vm="4629">
        <f ca="1"/>
        <v>12.49</v>
      </c>
      <c r="AC129" s="2">
        <f t="shared" ca="1" si="60"/>
        <v>8.8852988691437342E-3</v>
      </c>
      <c r="AD129" s="2" vm="1662">
        <f ca="1"/>
        <v>3.79</v>
      </c>
      <c r="AE129" s="2">
        <f t="shared" ca="1" si="61"/>
        <v>8.2857142857142865E-2</v>
      </c>
      <c r="AF129" s="2" vm="253">
        <f ca="1"/>
        <v>29.19</v>
      </c>
      <c r="AG129" s="2">
        <f t="shared" ca="1" si="62"/>
        <v>3.2178217821782179E-2</v>
      </c>
      <c r="AH129" s="2" vm="758">
        <f ca="1"/>
        <v>26.31</v>
      </c>
      <c r="AI129" s="2">
        <f t="shared" ca="1" si="63"/>
        <v>2.1350931677018521E-2</v>
      </c>
      <c r="AJ129" s="2" vm="2630">
        <f ca="1"/>
        <v>4.83</v>
      </c>
      <c r="AK129" s="2">
        <f t="shared" ca="1" si="64"/>
        <v>2.9850746268656646E-2</v>
      </c>
      <c r="AL129" s="2" vm="4630">
        <f ca="1"/>
        <v>64.010000000000005</v>
      </c>
      <c r="AM129" s="2">
        <f t="shared" ca="1" si="65"/>
        <v>1.9267515923567007E-2</v>
      </c>
      <c r="AN129" s="2" vm="4631">
        <f ca="1"/>
        <v>86.4</v>
      </c>
      <c r="AO129" s="2">
        <f t="shared" ca="1" si="66"/>
        <v>1.3370865587614363E-2</v>
      </c>
      <c r="AP129" s="2" vm="2151">
        <f ca="1"/>
        <v>26.18</v>
      </c>
      <c r="AQ129" s="2">
        <f t="shared" ca="1" si="67"/>
        <v>-7.6335877862593793E-4</v>
      </c>
      <c r="AR129" s="2" vm="4632">
        <f ca="1"/>
        <v>50.35</v>
      </c>
      <c r="AS129" s="2">
        <f t="shared" ca="1" si="68"/>
        <v>7.9507056251240595E-4</v>
      </c>
      <c r="AT129" s="2" vm="3645">
        <f ca="1"/>
        <v>29.16</v>
      </c>
      <c r="AU129" s="2">
        <f t="shared" ca="1" si="69"/>
        <v>-1.3698630136986009E-3</v>
      </c>
      <c r="AV129" s="2" vm="1161">
        <f ca="1"/>
        <v>26.1</v>
      </c>
      <c r="AW129" s="2">
        <f t="shared" ca="1" si="70"/>
        <v>2.3041474654378756E-3</v>
      </c>
      <c r="AX129" s="2" vm="1786">
        <f ca="1"/>
        <v>91.56</v>
      </c>
      <c r="AY129" s="2">
        <f t="shared" ca="1" si="71"/>
        <v>4.3706293706300542E-4</v>
      </c>
      <c r="AZ129" s="2" vm="4633">
        <f ca="1"/>
        <v>524.11</v>
      </c>
      <c r="BA129" s="2">
        <f t="shared" ca="1" si="72"/>
        <v>1.6091196370756809E-2</v>
      </c>
      <c r="BB129" s="2" vm="4634">
        <f ca="1"/>
        <v>236.2</v>
      </c>
      <c r="BC129" s="2">
        <f t="shared" ca="1" si="73"/>
        <v>4.002465765488078E-2</v>
      </c>
      <c r="BD129" s="2" vm="4635">
        <f ca="1"/>
        <v>35.950000000000003</v>
      </c>
      <c r="BE129" s="2">
        <f t="shared" ca="1" si="74"/>
        <v>2.7894002789400673E-3</v>
      </c>
      <c r="BF129" s="2" vm="4636">
        <f ca="1"/>
        <v>103.14</v>
      </c>
      <c r="BG129" s="2">
        <f t="shared" ca="1" si="75"/>
        <v>3.2122485740017949E-2</v>
      </c>
      <c r="BH129" s="2" vm="4637">
        <f ca="1"/>
        <v>135.63</v>
      </c>
      <c r="BI129" s="2">
        <f t="shared" ca="1" si="76"/>
        <v>4.8155282264039541E-3</v>
      </c>
      <c r="BJ129" s="2" vm="4638">
        <f ca="1"/>
        <v>151.72999999999999</v>
      </c>
      <c r="BK129" s="2">
        <f t="shared" ca="1" si="77"/>
        <v>2.0445221601990665E-2</v>
      </c>
      <c r="BL129" s="2" vm="3838">
        <f ca="1"/>
        <v>71.430000000000007</v>
      </c>
      <c r="BM129" s="2">
        <f t="shared" ca="1" si="78"/>
        <v>9.4686263425664448E-3</v>
      </c>
      <c r="BN129" s="2" vm="4639">
        <f ca="1"/>
        <v>309.89999999999998</v>
      </c>
      <c r="BO129" s="2">
        <f t="shared" ca="1" si="79"/>
        <v>1.0170154508116581E-2</v>
      </c>
      <c r="BP129" s="2" vm="4640">
        <f ca="1"/>
        <v>84.89</v>
      </c>
      <c r="BQ129" s="2">
        <f t="shared" ca="1" si="80"/>
        <v>-3.989205678751653E-3</v>
      </c>
      <c r="BR129" s="2" vm="4641">
        <f ca="1"/>
        <v>918.29</v>
      </c>
      <c r="BS129" s="2">
        <f t="shared" ca="1" si="81"/>
        <v>-3.126458742685927E-3</v>
      </c>
      <c r="BT129" s="2" vm="4642">
        <f ca="1"/>
        <v>166.91</v>
      </c>
      <c r="BU129" s="2">
        <f t="shared" ca="1" si="82"/>
        <v>2.0481780386402509E-2</v>
      </c>
      <c r="BV129" s="2" vm="4643">
        <f ca="1"/>
        <v>144.43</v>
      </c>
      <c r="BW129" s="2">
        <f t="shared" ca="1" si="83"/>
        <v>2.0119328430693805E-3</v>
      </c>
      <c r="BX129" s="2" vm="4644">
        <f ca="1"/>
        <v>210.29</v>
      </c>
      <c r="BY129" s="2">
        <f t="shared" ca="1" si="84"/>
        <v>3.7546871916321223E-2</v>
      </c>
      <c r="BZ129" s="2" vm="4645">
        <f ca="1"/>
        <v>78.53</v>
      </c>
      <c r="CA129" s="2">
        <f t="shared" ca="1" si="85"/>
        <v>2.9496591504981646E-2</v>
      </c>
      <c r="CB129" s="2" vm="4646">
        <f ca="1"/>
        <v>23.99</v>
      </c>
      <c r="CC129" s="2">
        <f t="shared" ca="1" si="86"/>
        <v>3.2271944922547334E-2</v>
      </c>
      <c r="CD129" s="2" t="e" vm="92">
        <f ca="1"/>
        <v>#N/A</v>
      </c>
      <c r="CE129" s="2" t="e" vm="140">
        <f t="shared" ca="1" si="87"/>
        <v>#N/A</v>
      </c>
      <c r="CF129" s="2" vm="1258">
        <f ca="1"/>
        <v>22.64</v>
      </c>
      <c r="CG129" s="2">
        <f t="shared" ca="1" si="88"/>
        <v>-2.2036139268400488E-3</v>
      </c>
      <c r="CH129" s="2" vm="94">
        <f ca="1"/>
        <v>58.49</v>
      </c>
      <c r="CI129" s="2">
        <f t="shared" ca="1" si="89"/>
        <v>-1.8771331058020379E-3</v>
      </c>
      <c r="CJ129" s="2" vm="4647">
        <f ca="1"/>
        <v>58.66</v>
      </c>
      <c r="CK129" s="2">
        <f t="shared" ca="1" si="90"/>
        <v>-4.9194232400340326E-3</v>
      </c>
      <c r="CL129" s="2" vm="4648">
        <f ca="1"/>
        <v>55.13</v>
      </c>
      <c r="CM129" s="2">
        <f t="shared" ca="1" si="91"/>
        <v>2.3636363636364102E-3</v>
      </c>
      <c r="CN129" s="2" vm="4649">
        <f ca="1"/>
        <v>28.21</v>
      </c>
      <c r="CO129" s="2">
        <f t="shared" ca="1" si="92"/>
        <v>1.0645848119233902E-3</v>
      </c>
      <c r="CP129" s="2" vm="4650">
        <f ca="1"/>
        <v>20.2743</v>
      </c>
      <c r="CQ129" s="2">
        <f t="shared" ca="1" si="93"/>
        <v>1.691829262175849E-2</v>
      </c>
    </row>
    <row r="130" spans="1:95" x14ac:dyDescent="0.2">
      <c r="A130" s="7" vm="4651">
        <f ca="1"/>
        <v>45761</v>
      </c>
      <c r="B130" s="2" vm="4652">
        <f ca="1"/>
        <v>202.52</v>
      </c>
      <c r="C130" s="2">
        <f t="shared" ca="1" si="47"/>
        <v>2.2053999495331843E-2</v>
      </c>
      <c r="D130" s="2" vm="4653">
        <f ca="1"/>
        <v>110.71</v>
      </c>
      <c r="E130" s="2">
        <f t="shared" ca="1" si="48"/>
        <v>-1.9832326692509968E-3</v>
      </c>
      <c r="F130" s="2" vm="4654">
        <f ca="1"/>
        <v>387.81</v>
      </c>
      <c r="G130" s="2">
        <f t="shared" ca="1" si="49"/>
        <v>-1.6475736903075978E-3</v>
      </c>
      <c r="H130" s="2" vm="4655">
        <f ca="1"/>
        <v>531.48</v>
      </c>
      <c r="I130" s="2">
        <f t="shared" ca="1" si="50"/>
        <v>-2.2241845576466749E-2</v>
      </c>
      <c r="J130" s="2" vm="4656">
        <f ca="1"/>
        <v>159.07</v>
      </c>
      <c r="K130" s="2">
        <f t="shared" ca="1" si="51"/>
        <v>1.228204149166353E-2</v>
      </c>
      <c r="L130" s="2" vm="4657">
        <f ca="1"/>
        <v>539.12</v>
      </c>
      <c r="M130" s="2">
        <f t="shared" ca="1" si="52"/>
        <v>9.7014645840355646E-3</v>
      </c>
      <c r="N130" s="2" vm="2799">
        <f ca="1"/>
        <v>87.51</v>
      </c>
      <c r="O130" s="2">
        <f t="shared" ca="1" si="53"/>
        <v>7.1354586258488267E-3</v>
      </c>
      <c r="P130" s="2" vm="4658">
        <f ca="1"/>
        <v>296.23</v>
      </c>
      <c r="Q130" s="2">
        <f t="shared" ca="1" si="54"/>
        <v>-5.7060383311515741E-3</v>
      </c>
      <c r="R130" s="2" vm="4659">
        <f ca="1"/>
        <v>66.66</v>
      </c>
      <c r="S130" s="2">
        <f t="shared" ca="1" si="55"/>
        <v>3.0093289196509608E-3</v>
      </c>
      <c r="T130" s="2" vm="4660">
        <f ca="1"/>
        <v>94.26</v>
      </c>
      <c r="U130" s="2">
        <f t="shared" ca="1" si="56"/>
        <v>8.0205325633622062E-3</v>
      </c>
      <c r="V130" s="2" vm="4661">
        <f ca="1"/>
        <v>46.2669</v>
      </c>
      <c r="W130" s="2">
        <f t="shared" ca="1" si="57"/>
        <v>7.1355337827688457E-3</v>
      </c>
      <c r="X130" s="2" vm="4662">
        <f ca="1"/>
        <v>125.52</v>
      </c>
      <c r="Y130" s="2">
        <f t="shared" ca="1" si="58"/>
        <v>-3.1766200762389269E-3</v>
      </c>
      <c r="Z130" s="2" vm="4663">
        <f ca="1"/>
        <v>79.17</v>
      </c>
      <c r="AA130" s="2">
        <f t="shared" ca="1" si="59"/>
        <v>3.5492457852706444E-3</v>
      </c>
      <c r="AB130" s="2" vm="4664">
        <f ca="1"/>
        <v>12.56</v>
      </c>
      <c r="AC130" s="2">
        <f t="shared" ca="1" si="60"/>
        <v>5.6044835868695186E-3</v>
      </c>
      <c r="AD130" s="2" vm="1883">
        <f ca="1"/>
        <v>3.8</v>
      </c>
      <c r="AE130" s="2">
        <f t="shared" ca="1" si="61"/>
        <v>2.6385224274405768E-3</v>
      </c>
      <c r="AF130" s="2" vm="1608">
        <f ca="1"/>
        <v>29.38</v>
      </c>
      <c r="AG130" s="2">
        <f t="shared" ca="1" si="62"/>
        <v>6.5090784515244166E-3</v>
      </c>
      <c r="AH130" s="2" vm="1047">
        <f ca="1"/>
        <v>26.28</v>
      </c>
      <c r="AI130" s="2">
        <f t="shared" ca="1" si="63"/>
        <v>-1.1402508551880497E-3</v>
      </c>
      <c r="AJ130" s="2" vm="1626">
        <f ca="1"/>
        <v>4.78</v>
      </c>
      <c r="AK130" s="2">
        <f t="shared" ca="1" si="64"/>
        <v>-1.0351966873705968E-2</v>
      </c>
      <c r="AL130" s="2" vm="4665">
        <f ca="1"/>
        <v>63.63</v>
      </c>
      <c r="AM130" s="2">
        <f t="shared" ca="1" si="65"/>
        <v>-5.9365724105608893E-3</v>
      </c>
      <c r="AN130" s="2" vm="2254">
        <f ca="1"/>
        <v>87.1</v>
      </c>
      <c r="AO130" s="2">
        <f t="shared" ca="1" si="66"/>
        <v>8.1018518518517196E-3</v>
      </c>
      <c r="AP130" s="2" vm="1440">
        <f ca="1"/>
        <v>26.32</v>
      </c>
      <c r="AQ130" s="2">
        <f t="shared" ca="1" si="67"/>
        <v>5.3475935828877219E-3</v>
      </c>
      <c r="AR130" s="2" vm="4666">
        <f ca="1"/>
        <v>50.54</v>
      </c>
      <c r="AS130" s="2">
        <f t="shared" ca="1" si="68"/>
        <v>3.7735849056603323E-3</v>
      </c>
      <c r="AT130" s="2" vm="736">
        <f ca="1"/>
        <v>29.21</v>
      </c>
      <c r="AU130" s="2">
        <f t="shared" ca="1" si="69"/>
        <v>1.714677640603591E-3</v>
      </c>
      <c r="AV130" s="2" vm="965">
        <f ca="1"/>
        <v>26.3</v>
      </c>
      <c r="AW130" s="2">
        <f t="shared" ca="1" si="70"/>
        <v>7.6628352490421183E-3</v>
      </c>
      <c r="AX130" s="2" vm="1786">
        <f ca="1"/>
        <v>91.56</v>
      </c>
      <c r="AY130" s="2">
        <f t="shared" ca="1" si="71"/>
        <v>0</v>
      </c>
      <c r="AZ130" s="2" vm="4667">
        <f ca="1"/>
        <v>529.52</v>
      </c>
      <c r="BA130" s="2">
        <f t="shared" ca="1" si="72"/>
        <v>1.0322260594150022E-2</v>
      </c>
      <c r="BB130" s="2" vm="4668">
        <f ca="1"/>
        <v>234.72</v>
      </c>
      <c r="BC130" s="2">
        <f t="shared" ca="1" si="73"/>
        <v>-6.2658763759525391E-3</v>
      </c>
      <c r="BD130" s="2" vm="4669">
        <f ca="1"/>
        <v>36.67</v>
      </c>
      <c r="BE130" s="2">
        <f t="shared" ca="1" si="74"/>
        <v>2.0027816411682858E-2</v>
      </c>
      <c r="BF130" s="2" vm="4670">
        <f ca="1"/>
        <v>103.39</v>
      </c>
      <c r="BG130" s="2">
        <f t="shared" ca="1" si="75"/>
        <v>2.4238898584448324E-3</v>
      </c>
      <c r="BH130" s="2" vm="4671">
        <f ca="1"/>
        <v>135.32</v>
      </c>
      <c r="BI130" s="2">
        <f t="shared" ca="1" si="76"/>
        <v>-2.285630022856317E-3</v>
      </c>
      <c r="BJ130" s="2" vm="4672">
        <f ca="1"/>
        <v>154.36000000000001</v>
      </c>
      <c r="BK130" s="2">
        <f t="shared" ca="1" si="77"/>
        <v>1.7333421208726184E-2</v>
      </c>
      <c r="BL130" s="2" vm="4673">
        <f ca="1"/>
        <v>72.45</v>
      </c>
      <c r="BM130" s="2">
        <f t="shared" ca="1" si="78"/>
        <v>1.4279714405711829E-2</v>
      </c>
      <c r="BN130" s="2" vm="4674">
        <f ca="1"/>
        <v>316.07</v>
      </c>
      <c r="BO130" s="2">
        <f t="shared" ca="1" si="79"/>
        <v>1.9909648273636709E-2</v>
      </c>
      <c r="BP130" s="2" vm="4675">
        <f ca="1"/>
        <v>84.66</v>
      </c>
      <c r="BQ130" s="2">
        <f t="shared" ca="1" si="80"/>
        <v>-2.7093886205678407E-3</v>
      </c>
      <c r="BR130" s="2" vm="4676">
        <f ca="1"/>
        <v>931.28</v>
      </c>
      <c r="BS130" s="2">
        <f t="shared" ca="1" si="81"/>
        <v>1.4145858062267921E-2</v>
      </c>
      <c r="BT130" s="2" vm="4677">
        <f ca="1"/>
        <v>169.13</v>
      </c>
      <c r="BU130" s="2">
        <f t="shared" ca="1" si="82"/>
        <v>1.3300581151518776E-2</v>
      </c>
      <c r="BV130" s="2" vm="4482">
        <f ca="1"/>
        <v>146.75</v>
      </c>
      <c r="BW130" s="2">
        <f t="shared" ca="1" si="83"/>
        <v>1.6063144776016017E-2</v>
      </c>
      <c r="BX130" s="2" vm="4678">
        <f ca="1"/>
        <v>210.6</v>
      </c>
      <c r="BY130" s="2">
        <f t="shared" ca="1" si="84"/>
        <v>1.4741547386941951E-3</v>
      </c>
      <c r="BZ130" s="2" vm="4679">
        <f ca="1"/>
        <v>78.56</v>
      </c>
      <c r="CA130" s="2">
        <f t="shared" ca="1" si="85"/>
        <v>3.8201961034001192E-4</v>
      </c>
      <c r="CB130" s="2" vm="4680">
        <f ca="1"/>
        <v>23.98</v>
      </c>
      <c r="CC130" s="2">
        <f t="shared" ca="1" si="86"/>
        <v>-4.1684035014581124E-4</v>
      </c>
      <c r="CD130" s="2" t="e" vm="92">
        <f ca="1"/>
        <v>#N/A</v>
      </c>
      <c r="CE130" s="2" t="e" vm="140">
        <f t="shared" ca="1" si="87"/>
        <v>#N/A</v>
      </c>
      <c r="CF130" s="2" vm="4681">
        <f ca="1"/>
        <v>22.75</v>
      </c>
      <c r="CG130" s="2">
        <f t="shared" ca="1" si="88"/>
        <v>4.8586572438162291E-3</v>
      </c>
      <c r="CH130" s="2" vm="185">
        <f ca="1"/>
        <v>58.6</v>
      </c>
      <c r="CI130" s="2">
        <f t="shared" ca="1" si="89"/>
        <v>1.880663361258325E-3</v>
      </c>
      <c r="CJ130" s="2" vm="1765">
        <f ca="1"/>
        <v>59.04</v>
      </c>
      <c r="CK130" s="2">
        <f t="shared" ca="1" si="90"/>
        <v>6.4780088646437537E-3</v>
      </c>
      <c r="CL130" s="2" vm="4682">
        <f ca="1"/>
        <v>55.57</v>
      </c>
      <c r="CM130" s="2">
        <f t="shared" ca="1" si="91"/>
        <v>7.9811354979139795E-3</v>
      </c>
      <c r="CN130" s="2" vm="2166">
        <f ca="1"/>
        <v>28.36</v>
      </c>
      <c r="CO130" s="2">
        <f t="shared" ca="1" si="92"/>
        <v>5.3172633817794605E-3</v>
      </c>
      <c r="CP130" s="2" vm="4683">
        <f ca="1"/>
        <v>20.670100000000001</v>
      </c>
      <c r="CQ130" s="2">
        <f t="shared" ca="1" si="93"/>
        <v>1.9522252309574252E-2</v>
      </c>
    </row>
    <row r="131" spans="1:95" x14ac:dyDescent="0.2">
      <c r="A131" s="7" vm="4684">
        <f ca="1"/>
        <v>45762</v>
      </c>
      <c r="B131" s="2" vm="4685">
        <f ca="1"/>
        <v>202.14</v>
      </c>
      <c r="C131" s="2">
        <f t="shared" ca="1" si="47"/>
        <v>-1.8763578905788261E-3</v>
      </c>
      <c r="D131" s="2" vm="4686">
        <f ca="1"/>
        <v>112.2</v>
      </c>
      <c r="E131" s="2">
        <f t="shared" ca="1" si="48"/>
        <v>1.3458585493632094E-2</v>
      </c>
      <c r="F131" s="2" vm="4687">
        <f ca="1"/>
        <v>385.73</v>
      </c>
      <c r="G131" s="2">
        <f t="shared" ca="1" si="49"/>
        <v>-5.3634511745441942E-3</v>
      </c>
      <c r="H131" s="2" vm="4688">
        <f ca="1"/>
        <v>521.52</v>
      </c>
      <c r="I131" s="2">
        <f t="shared" ca="1" si="50"/>
        <v>-1.8740121923684874E-2</v>
      </c>
      <c r="J131" s="2" vm="4689">
        <f ca="1"/>
        <v>156.31</v>
      </c>
      <c r="K131" s="2">
        <f t="shared" ca="1" si="51"/>
        <v>-1.7350851826239962E-2</v>
      </c>
      <c r="L131" s="2" vm="4690">
        <f ca="1"/>
        <v>537.61</v>
      </c>
      <c r="M131" s="2">
        <f t="shared" ca="1" si="52"/>
        <v>-2.800860661819244E-3</v>
      </c>
      <c r="N131" s="2" vm="2217">
        <f ca="1"/>
        <v>87.82</v>
      </c>
      <c r="O131" s="2">
        <f t="shared" ca="1" si="53"/>
        <v>3.5424522911665871E-3</v>
      </c>
      <c r="P131" s="2" vm="4691">
        <f ca="1"/>
        <v>297.77999999999997</v>
      </c>
      <c r="Q131" s="2">
        <f t="shared" ca="1" si="54"/>
        <v>5.2324207541435859E-3</v>
      </c>
      <c r="R131" s="2" vm="4692">
        <f ca="1"/>
        <v>66.48</v>
      </c>
      <c r="S131" s="2">
        <f t="shared" ca="1" si="55"/>
        <v>-2.7002700270025897E-3</v>
      </c>
      <c r="T131" s="2" vm="4693">
        <f ca="1"/>
        <v>94.54</v>
      </c>
      <c r="U131" s="2">
        <f t="shared" ca="1" si="56"/>
        <v>2.9705071079991633E-3</v>
      </c>
      <c r="V131" s="2" vm="4694">
        <f ca="1"/>
        <v>46.3536</v>
      </c>
      <c r="W131" s="2">
        <f t="shared" ca="1" si="57"/>
        <v>1.8739098578033203E-3</v>
      </c>
      <c r="X131" s="2" vm="4695">
        <f ca="1"/>
        <v>127.84</v>
      </c>
      <c r="Y131" s="2">
        <f t="shared" ca="1" si="58"/>
        <v>1.8483110261312996E-2</v>
      </c>
      <c r="Z131" s="2" vm="4696">
        <f ca="1"/>
        <v>79.05</v>
      </c>
      <c r="AA131" s="2">
        <f t="shared" ca="1" si="59"/>
        <v>-1.5157256536567456E-3</v>
      </c>
      <c r="AB131" s="2" vm="4697">
        <f ca="1"/>
        <v>12.51</v>
      </c>
      <c r="AC131" s="2">
        <f t="shared" ca="1" si="60"/>
        <v>-3.9808917197452793E-3</v>
      </c>
      <c r="AD131" s="2" vm="1511">
        <f ca="1"/>
        <v>3.4</v>
      </c>
      <c r="AE131" s="2">
        <f t="shared" ca="1" si="61"/>
        <v>-0.10526315789473682</v>
      </c>
      <c r="AF131" s="2" vm="4698">
        <f ca="1"/>
        <v>29.41</v>
      </c>
      <c r="AG131" s="2">
        <f t="shared" ca="1" si="62"/>
        <v>1.0211027910143342E-3</v>
      </c>
      <c r="AH131" s="2" vm="1089">
        <f ca="1"/>
        <v>26.14</v>
      </c>
      <c r="AI131" s="2">
        <f t="shared" ca="1" si="63"/>
        <v>-5.3272450532724719E-3</v>
      </c>
      <c r="AJ131" s="2" vm="2146">
        <f ca="1"/>
        <v>4.7300000000000004</v>
      </c>
      <c r="AK131" s="2">
        <f t="shared" ca="1" si="64"/>
        <v>-1.0460251046025068E-2</v>
      </c>
      <c r="AL131" s="2" vm="4699">
        <f ca="1"/>
        <v>64</v>
      </c>
      <c r="AM131" s="2">
        <f t="shared" ca="1" si="65"/>
        <v>5.8148672010057741E-3</v>
      </c>
      <c r="AN131" s="2" vm="4700">
        <f ca="1"/>
        <v>87.96</v>
      </c>
      <c r="AO131" s="2">
        <f t="shared" ca="1" si="66"/>
        <v>9.8737083811710619E-3</v>
      </c>
      <c r="AP131" s="2" vm="758">
        <f ca="1"/>
        <v>26.31</v>
      </c>
      <c r="AQ131" s="2">
        <f t="shared" ca="1" si="67"/>
        <v>-3.7993920972650318E-4</v>
      </c>
      <c r="AR131" s="2" vm="4701">
        <f ca="1"/>
        <v>50.69</v>
      </c>
      <c r="AS131" s="2">
        <f t="shared" ca="1" si="68"/>
        <v>2.9679461812425522E-3</v>
      </c>
      <c r="AT131" s="2" vm="4160">
        <f ca="1"/>
        <v>29.23</v>
      </c>
      <c r="AU131" s="2">
        <f t="shared" ca="1" si="69"/>
        <v>6.8469702156794161E-4</v>
      </c>
      <c r="AV131" s="2" vm="1705">
        <f ca="1"/>
        <v>26.39</v>
      </c>
      <c r="AW131" s="2">
        <f t="shared" ca="1" si="70"/>
        <v>3.422053231939158E-3</v>
      </c>
      <c r="AX131" s="2" vm="1008">
        <f ca="1"/>
        <v>91.58</v>
      </c>
      <c r="AY131" s="2">
        <f t="shared" ca="1" si="71"/>
        <v>2.1843599825246854E-4</v>
      </c>
      <c r="AZ131" s="2" vm="4702">
        <f ca="1"/>
        <v>528.16999999999996</v>
      </c>
      <c r="BA131" s="2">
        <f t="shared" ca="1" si="72"/>
        <v>-2.5494787732286274E-3</v>
      </c>
      <c r="BB131" s="2" vm="4703">
        <f ca="1"/>
        <v>233.13</v>
      </c>
      <c r="BC131" s="2">
        <f t="shared" ca="1" si="73"/>
        <v>-6.7740286298568651E-3</v>
      </c>
      <c r="BD131" s="2" vm="4704">
        <f ca="1"/>
        <v>37.99</v>
      </c>
      <c r="BE131" s="2">
        <f t="shared" ca="1" si="74"/>
        <v>3.5996727570220897E-2</v>
      </c>
      <c r="BF131" s="2" vm="4705">
        <f ca="1"/>
        <v>103.1</v>
      </c>
      <c r="BG131" s="2">
        <f t="shared" ca="1" si="75"/>
        <v>-2.8049134345682005E-3</v>
      </c>
      <c r="BH131" s="2" vm="4706">
        <f ca="1"/>
        <v>134.54</v>
      </c>
      <c r="BI131" s="2">
        <f t="shared" ca="1" si="76"/>
        <v>-5.7641146911025804E-3</v>
      </c>
      <c r="BJ131" s="2" vm="4707">
        <f ca="1"/>
        <v>153.62</v>
      </c>
      <c r="BK131" s="2">
        <f t="shared" ca="1" si="77"/>
        <v>-4.7939880798134812E-3</v>
      </c>
      <c r="BL131" s="2" vm="4708">
        <f ca="1"/>
        <v>71.86</v>
      </c>
      <c r="BM131" s="2">
        <f t="shared" ca="1" si="78"/>
        <v>-8.1435472739821036E-3</v>
      </c>
      <c r="BN131" s="2" vm="4709">
        <f ca="1"/>
        <v>312.48</v>
      </c>
      <c r="BO131" s="2">
        <f t="shared" ca="1" si="79"/>
        <v>-1.1358243427088858E-2</v>
      </c>
      <c r="BP131" s="2" vm="4710">
        <f ca="1"/>
        <v>85.01</v>
      </c>
      <c r="BQ131" s="2">
        <f t="shared" ca="1" si="80"/>
        <v>4.1341837939996287E-3</v>
      </c>
      <c r="BR131" s="2" vm="4711">
        <f ca="1"/>
        <v>976.28</v>
      </c>
      <c r="BS131" s="2">
        <f t="shared" ca="1" si="81"/>
        <v>4.8320591014517654E-2</v>
      </c>
      <c r="BT131" s="2" vm="4712">
        <f ca="1"/>
        <v>168.47</v>
      </c>
      <c r="BU131" s="2">
        <f t="shared" ca="1" si="82"/>
        <v>-3.9023236563589937E-3</v>
      </c>
      <c r="BV131" s="2" vm="4713">
        <f ca="1"/>
        <v>142.84</v>
      </c>
      <c r="BW131" s="2">
        <f t="shared" ca="1" si="83"/>
        <v>-2.6643952299829618E-2</v>
      </c>
      <c r="BX131" s="2" vm="4462">
        <f ca="1"/>
        <v>210.28</v>
      </c>
      <c r="BY131" s="2">
        <f t="shared" ca="1" si="84"/>
        <v>-1.5194681861348204E-3</v>
      </c>
      <c r="BZ131" s="2" vm="4714">
        <f ca="1"/>
        <v>78.13</v>
      </c>
      <c r="CA131" s="2">
        <f t="shared" ca="1" si="85"/>
        <v>-5.4735234215886816E-3</v>
      </c>
      <c r="CB131" s="2" vm="4715">
        <f ca="1"/>
        <v>23.89</v>
      </c>
      <c r="CC131" s="2">
        <f t="shared" ca="1" si="86"/>
        <v>-3.7531276063386097E-3</v>
      </c>
      <c r="CD131" s="2" t="e" vm="92">
        <f ca="1"/>
        <v>#N/A</v>
      </c>
      <c r="CE131" s="2" t="e" vm="140">
        <f t="shared" ca="1" si="87"/>
        <v>#N/A</v>
      </c>
      <c r="CF131" s="2" vm="4282">
        <f ca="1"/>
        <v>22.79</v>
      </c>
      <c r="CG131" s="2">
        <f t="shared" ca="1" si="88"/>
        <v>1.7582417582417207E-3</v>
      </c>
      <c r="CH131" s="2" vm="313">
        <f ca="1"/>
        <v>58.62</v>
      </c>
      <c r="CI131" s="2">
        <f t="shared" ca="1" si="89"/>
        <v>3.4129692832757713E-4</v>
      </c>
      <c r="CJ131" s="2" vm="3751">
        <f ca="1"/>
        <v>59.14</v>
      </c>
      <c r="CK131" s="2">
        <f t="shared" ca="1" si="90"/>
        <v>1.6937669376694009E-3</v>
      </c>
      <c r="CL131" s="2" vm="2093">
        <f ca="1"/>
        <v>55.75</v>
      </c>
      <c r="CM131" s="2">
        <f t="shared" ca="1" si="91"/>
        <v>3.2391578189670633E-3</v>
      </c>
      <c r="CN131" s="2" vm="4509">
        <f ca="1"/>
        <v>28.49</v>
      </c>
      <c r="CO131" s="2">
        <f t="shared" ca="1" si="92"/>
        <v>4.5839210155147747E-3</v>
      </c>
      <c r="CP131" s="2" vm="4716">
        <f ca="1"/>
        <v>20.730399999999999</v>
      </c>
      <c r="CQ131" s="2">
        <f t="shared" ca="1" si="93"/>
        <v>2.9172572943526164E-3</v>
      </c>
    </row>
    <row r="132" spans="1:95" x14ac:dyDescent="0.2">
      <c r="A132" s="7" vm="4717">
        <f ca="1"/>
        <v>45763</v>
      </c>
      <c r="B132" s="2" vm="4718">
        <f ca="1"/>
        <v>194.27</v>
      </c>
      <c r="C132" s="2">
        <f t="shared" ca="1" si="47"/>
        <v>-3.8933412486395452E-2</v>
      </c>
      <c r="D132" s="2" vm="4719">
        <f ca="1"/>
        <v>104.49</v>
      </c>
      <c r="E132" s="2">
        <f t="shared" ca="1" si="48"/>
        <v>-6.8716577540107016E-2</v>
      </c>
      <c r="F132" s="2" vm="4720">
        <f ca="1"/>
        <v>371.61</v>
      </c>
      <c r="G132" s="2">
        <f t="shared" ca="1" si="49"/>
        <v>-3.6605916055271831E-2</v>
      </c>
      <c r="H132" s="2" vm="4721">
        <f ca="1"/>
        <v>502.31</v>
      </c>
      <c r="I132" s="2">
        <f t="shared" ca="1" si="50"/>
        <v>-3.6834637214296632E-2</v>
      </c>
      <c r="J132" s="2" vm="4722">
        <f ca="1"/>
        <v>153.33000000000001</v>
      </c>
      <c r="K132" s="2">
        <f t="shared" ca="1" si="51"/>
        <v>-1.9064679163201266E-2</v>
      </c>
      <c r="L132" s="2" vm="4723">
        <f ca="1"/>
        <v>525.66</v>
      </c>
      <c r="M132" s="2">
        <f t="shared" ca="1" si="52"/>
        <v>-2.2228009151615567E-2</v>
      </c>
      <c r="N132" s="2" vm="2102">
        <f ca="1"/>
        <v>88.31</v>
      </c>
      <c r="O132" s="2">
        <f t="shared" ca="1" si="53"/>
        <v>5.5795946253701795E-3</v>
      </c>
      <c r="P132" s="2" vm="4724">
        <f ca="1"/>
        <v>307.47000000000003</v>
      </c>
      <c r="Q132" s="2">
        <f t="shared" ca="1" si="54"/>
        <v>3.2540801934314106E-2</v>
      </c>
      <c r="R132" s="2" vm="4725">
        <f ca="1"/>
        <v>67.75</v>
      </c>
      <c r="S132" s="2">
        <f t="shared" ca="1" si="55"/>
        <v>1.9103489771359748E-2</v>
      </c>
      <c r="T132" s="2" vm="4726">
        <f ca="1"/>
        <v>94.95</v>
      </c>
      <c r="U132" s="2">
        <f t="shared" ca="1" si="56"/>
        <v>4.3367886608842452E-3</v>
      </c>
      <c r="V132" s="2" vm="4727">
        <f ca="1"/>
        <v>46.458100000000002</v>
      </c>
      <c r="W132" s="2">
        <f t="shared" ca="1" si="57"/>
        <v>2.2544095819958232E-3</v>
      </c>
      <c r="X132" s="2" vm="4728">
        <f ca="1"/>
        <v>125.21</v>
      </c>
      <c r="Y132" s="2">
        <f t="shared" ca="1" si="58"/>
        <v>-2.0572590738423102E-2</v>
      </c>
      <c r="Z132" s="2" vm="4729">
        <f ca="1"/>
        <v>79.7</v>
      </c>
      <c r="AA132" s="2">
        <f t="shared" ca="1" si="59"/>
        <v>8.2226438962682575E-3</v>
      </c>
      <c r="AB132" s="2" vm="4730">
        <f ca="1"/>
        <v>12.69</v>
      </c>
      <c r="AC132" s="2">
        <f t="shared" ca="1" si="60"/>
        <v>1.4388489208633072E-2</v>
      </c>
      <c r="AD132" s="2" vm="4731">
        <f ca="1"/>
        <v>3.36</v>
      </c>
      <c r="AE132" s="2">
        <f t="shared" ca="1" si="61"/>
        <v>-1.1764705882352951E-2</v>
      </c>
      <c r="AF132" s="2" vm="4732">
        <f ca="1"/>
        <v>29.76</v>
      </c>
      <c r="AG132" s="2">
        <f t="shared" ca="1" si="62"/>
        <v>1.1900714042842618E-2</v>
      </c>
      <c r="AH132" s="2" vm="338">
        <f ca="1"/>
        <v>26.52</v>
      </c>
      <c r="AI132" s="2">
        <f t="shared" ca="1" si="63"/>
        <v>1.4537107880642655E-2</v>
      </c>
      <c r="AJ132" s="2" vm="1995">
        <f ca="1"/>
        <v>4.75</v>
      </c>
      <c r="AK132" s="2">
        <f t="shared" ca="1" si="64"/>
        <v>4.2283298097250677E-3</v>
      </c>
      <c r="AL132" s="2" vm="4733">
        <f ca="1"/>
        <v>66.08</v>
      </c>
      <c r="AM132" s="2">
        <f t="shared" ca="1" si="65"/>
        <v>3.2499999999999973E-2</v>
      </c>
      <c r="AN132" s="2" vm="4734">
        <f ca="1"/>
        <v>88.6</v>
      </c>
      <c r="AO132" s="2">
        <f t="shared" ca="1" si="66"/>
        <v>7.2760345611641722E-3</v>
      </c>
      <c r="AP132" s="2" vm="1745">
        <f ca="1"/>
        <v>26.4</v>
      </c>
      <c r="AQ132" s="2">
        <f t="shared" ca="1" si="67"/>
        <v>3.4207525655644191E-3</v>
      </c>
      <c r="AR132" s="2" vm="2035">
        <f ca="1"/>
        <v>50.73</v>
      </c>
      <c r="AS132" s="2">
        <f t="shared" ca="1" si="68"/>
        <v>7.8911027816135624E-4</v>
      </c>
      <c r="AT132" s="2" vm="1068">
        <f ca="1"/>
        <v>29.26</v>
      </c>
      <c r="AU132" s="2">
        <f t="shared" ca="1" si="69"/>
        <v>1.026342798494736E-3</v>
      </c>
      <c r="AV132" s="2" vm="211">
        <f ca="1"/>
        <v>26.55</v>
      </c>
      <c r="AW132" s="2">
        <f t="shared" ca="1" si="70"/>
        <v>6.0629026146267577E-3</v>
      </c>
      <c r="AX132" s="2" vm="212">
        <f ca="1"/>
        <v>91.59</v>
      </c>
      <c r="AY132" s="2">
        <f t="shared" ca="1" si="71"/>
        <v>1.0919414719376629E-4</v>
      </c>
      <c r="AZ132" s="2" vm="4735">
        <f ca="1"/>
        <v>516.45000000000005</v>
      </c>
      <c r="BA132" s="2">
        <f t="shared" ca="1" si="72"/>
        <v>-2.2189825245659378E-2</v>
      </c>
      <c r="BB132" s="2" vm="4736">
        <f ca="1"/>
        <v>229.61</v>
      </c>
      <c r="BC132" s="2">
        <f t="shared" ca="1" si="73"/>
        <v>-1.5098871874061604E-2</v>
      </c>
      <c r="BD132" s="2" vm="4737">
        <f ca="1"/>
        <v>37.33</v>
      </c>
      <c r="BE132" s="2">
        <f t="shared" ca="1" si="74"/>
        <v>-1.7372992892866639E-2</v>
      </c>
      <c r="BF132" s="2" vm="4738">
        <f ca="1"/>
        <v>104.19</v>
      </c>
      <c r="BG132" s="2">
        <f t="shared" ca="1" si="75"/>
        <v>1.0572259941804107E-2</v>
      </c>
      <c r="BH132" s="2" vm="4739">
        <f ca="1"/>
        <v>135.36000000000001</v>
      </c>
      <c r="BI132" s="2">
        <f t="shared" ca="1" si="76"/>
        <v>6.0948416827710837E-3</v>
      </c>
      <c r="BJ132" s="2" vm="4740">
        <f ca="1"/>
        <v>153.91</v>
      </c>
      <c r="BK132" s="2">
        <f t="shared" ca="1" si="77"/>
        <v>1.8877750292930089E-3</v>
      </c>
      <c r="BL132" s="2" vm="4741">
        <f ca="1"/>
        <v>71.680000000000007</v>
      </c>
      <c r="BM132" s="2">
        <f t="shared" ca="1" si="78"/>
        <v>-2.5048705816865099E-3</v>
      </c>
      <c r="BN132" s="2" vm="4742">
        <f ca="1"/>
        <v>309.10000000000002</v>
      </c>
      <c r="BO132" s="2">
        <f t="shared" ca="1" si="79"/>
        <v>-1.0816692268305157E-2</v>
      </c>
      <c r="BP132" s="2" vm="4743">
        <f ca="1"/>
        <v>82.77</v>
      </c>
      <c r="BQ132" s="2">
        <f t="shared" ca="1" si="80"/>
        <v>-2.6349841195153618E-2</v>
      </c>
      <c r="BR132" s="2" vm="4744">
        <f ca="1"/>
        <v>961.63</v>
      </c>
      <c r="BS132" s="2">
        <f t="shared" ca="1" si="81"/>
        <v>-1.5005940918588907E-2</v>
      </c>
      <c r="BT132" s="2" vm="4745">
        <f ca="1"/>
        <v>166.39</v>
      </c>
      <c r="BU132" s="2">
        <f t="shared" ca="1" si="82"/>
        <v>-1.2346411824063706E-2</v>
      </c>
      <c r="BV132" s="2" vm="4746">
        <f ca="1"/>
        <v>140.09</v>
      </c>
      <c r="BW132" s="2">
        <f t="shared" ca="1" si="83"/>
        <v>-1.9252310277233269E-2</v>
      </c>
      <c r="BX132" s="2" vm="4747">
        <f ca="1"/>
        <v>211.31</v>
      </c>
      <c r="BY132" s="2">
        <f t="shared" ca="1" si="84"/>
        <v>4.8982309301883256E-3</v>
      </c>
      <c r="BZ132" s="2" vm="4748">
        <f ca="1"/>
        <v>79.19</v>
      </c>
      <c r="CA132" s="2">
        <f t="shared" ca="1" si="85"/>
        <v>1.3567131703571001E-2</v>
      </c>
      <c r="CB132" s="2" vm="4749">
        <f ca="1"/>
        <v>24.29</v>
      </c>
      <c r="CC132" s="2">
        <f t="shared" ca="1" si="86"/>
        <v>1.6743407283382108E-2</v>
      </c>
      <c r="CD132" s="2" t="e" vm="92">
        <f ca="1"/>
        <v>#N/A</v>
      </c>
      <c r="CE132" s="2" t="e" vm="140">
        <f t="shared" ca="1" si="87"/>
        <v>#N/A</v>
      </c>
      <c r="CF132" s="2" vm="526">
        <f ca="1"/>
        <v>22.86</v>
      </c>
      <c r="CG132" s="2">
        <f t="shared" ca="1" si="88"/>
        <v>3.0715225976305524E-3</v>
      </c>
      <c r="CH132" s="2" vm="4507">
        <f ca="1"/>
        <v>58.7</v>
      </c>
      <c r="CI132" s="2">
        <f t="shared" ca="1" si="89"/>
        <v>1.3647219379052441E-3</v>
      </c>
      <c r="CJ132" s="2" vm="4750">
        <f ca="1"/>
        <v>59.36</v>
      </c>
      <c r="CK132" s="2">
        <f t="shared" ca="1" si="90"/>
        <v>3.7199864727764432E-3</v>
      </c>
      <c r="CL132" s="2" vm="4751">
        <f ca="1"/>
        <v>56.07</v>
      </c>
      <c r="CM132" s="2">
        <f t="shared" ca="1" si="91"/>
        <v>5.7399103139013502E-3</v>
      </c>
      <c r="CN132" s="2" vm="4752">
        <f ca="1"/>
        <v>28.58</v>
      </c>
      <c r="CO132" s="2">
        <f t="shared" ca="1" si="92"/>
        <v>3.159003159003154E-3</v>
      </c>
      <c r="CP132" s="2" vm="4753">
        <f ca="1"/>
        <v>20.706499999999998</v>
      </c>
      <c r="CQ132" s="2">
        <f t="shared" ca="1" si="93"/>
        <v>-1.1528962296917158E-3</v>
      </c>
    </row>
    <row r="133" spans="1:95" x14ac:dyDescent="0.2">
      <c r="A133" s="7" vm="4754">
        <f ca="1"/>
        <v>45764</v>
      </c>
      <c r="B133" s="2" vm="4755">
        <f ca="1"/>
        <v>196.98</v>
      </c>
      <c r="C133" s="2">
        <f t="shared" ref="C133:C196" ca="1" si="94">(B133-B132)/B132</f>
        <v>1.3949657692901525E-2</v>
      </c>
      <c r="D133" s="2" vm="4756">
        <f ca="1"/>
        <v>101.49</v>
      </c>
      <c r="E133" s="2">
        <f t="shared" ref="E133:E196" ca="1" si="95">(D133-D132)/D132</f>
        <v>-2.8710881424059718E-2</v>
      </c>
      <c r="F133" s="2" vm="4757">
        <f ca="1"/>
        <v>367.78</v>
      </c>
      <c r="G133" s="2">
        <f t="shared" ref="G133:G196" ca="1" si="96">(F133-F132)/F132</f>
        <v>-1.0306504130674741E-2</v>
      </c>
      <c r="H133" s="2" vm="4758">
        <f ca="1"/>
        <v>501.48</v>
      </c>
      <c r="I133" s="2">
        <f t="shared" ref="I133:I196" ca="1" si="97">(H133-H132)/H132</f>
        <v>-1.6523660687622864E-3</v>
      </c>
      <c r="J133" s="2" vm="4759">
        <f ca="1"/>
        <v>151.16</v>
      </c>
      <c r="K133" s="2">
        <f t="shared" ref="K133:K196" ca="1" si="98">(J133-J132)/J132</f>
        <v>-1.4152481575686531E-2</v>
      </c>
      <c r="L133" s="2" vm="4760">
        <f ca="1"/>
        <v>526.41</v>
      </c>
      <c r="M133" s="2">
        <f t="shared" ref="M133:M196" ca="1" si="99">(L133-L132)/L132</f>
        <v>1.4267777650953089E-3</v>
      </c>
      <c r="N133" s="2" vm="4761">
        <f ca="1"/>
        <v>87.53</v>
      </c>
      <c r="O133" s="2">
        <f t="shared" ref="O133:O196" ca="1" si="100">(N133-N132)/N132</f>
        <v>-8.8325217982108614E-3</v>
      </c>
      <c r="P133" s="2" vm="4762">
        <f ca="1"/>
        <v>306.12</v>
      </c>
      <c r="Q133" s="2">
        <f t="shared" ref="Q133:Q196" ca="1" si="101">(P133-P132)/P132</f>
        <v>-4.3906722607084357E-3</v>
      </c>
      <c r="R133" s="2" vm="4763">
        <f ca="1"/>
        <v>69.48</v>
      </c>
      <c r="S133" s="2">
        <f t="shared" ref="S133:S196" ca="1" si="102">(R133-R132)/R132</f>
        <v>2.5535055350553563E-2</v>
      </c>
      <c r="T133" s="2" vm="4764">
        <f ca="1"/>
        <v>94.68</v>
      </c>
      <c r="U133" s="2">
        <f t="shared" ref="U133:U196" ca="1" si="103">(T133-T132)/T132</f>
        <v>-2.843601895734555E-3</v>
      </c>
      <c r="V133" s="2" vm="4765">
        <f ca="1"/>
        <v>46.395000000000003</v>
      </c>
      <c r="W133" s="2">
        <f t="shared" ref="W133:W196" ca="1" si="104">(V133-V132)/V132</f>
        <v>-1.3582130995455819E-3</v>
      </c>
      <c r="X133" s="2" vm="4766">
        <f ca="1"/>
        <v>126.78</v>
      </c>
      <c r="Y133" s="2">
        <f t="shared" ref="Y133:Y196" ca="1" si="105">(X133-X132)/X132</f>
        <v>1.2538934589889045E-2</v>
      </c>
      <c r="Z133" s="2" vm="4767">
        <f ca="1"/>
        <v>81.5</v>
      </c>
      <c r="AA133" s="2">
        <f t="shared" ref="AA133:AA196" ca="1" si="106">(Z133-Z132)/Z132</f>
        <v>2.2584692597239612E-2</v>
      </c>
      <c r="AB133" s="2" vm="4768">
        <f ca="1"/>
        <v>12.97</v>
      </c>
      <c r="AC133" s="2">
        <f t="shared" ref="AC133:AC196" ca="1" si="107">(AB133-AB132)/AB132</f>
        <v>2.2064617809298751E-2</v>
      </c>
      <c r="AD133" s="2" vm="4769">
        <f ca="1"/>
        <v>3.35</v>
      </c>
      <c r="AE133" s="2">
        <f t="shared" ref="AE133:AE196" ca="1" si="108">(AD133-AD132)/AD132</f>
        <v>-2.9761904761904127E-3</v>
      </c>
      <c r="AF133" s="2" vm="4250">
        <f ca="1"/>
        <v>29.55</v>
      </c>
      <c r="AG133" s="2">
        <f t="shared" ref="AG133:AG196" ca="1" si="109">(AF133-AF132)/AF132</f>
        <v>-7.0564516129032542E-3</v>
      </c>
      <c r="AH133" s="2" vm="4084">
        <f ca="1"/>
        <v>26.65</v>
      </c>
      <c r="AI133" s="2">
        <f t="shared" ref="AI133:AI196" ca="1" si="110">(AH133-AH132)/AH132</f>
        <v>4.9019607843136881E-3</v>
      </c>
      <c r="AJ133" s="2" vm="1664">
        <f ca="1"/>
        <v>4.76</v>
      </c>
      <c r="AK133" s="2">
        <f t="shared" ref="AK133:AK196" ca="1" si="111">(AJ133-AJ132)/AJ132</f>
        <v>2.1052631578946921E-3</v>
      </c>
      <c r="AL133" s="2" vm="4770">
        <f ca="1"/>
        <v>65.78</v>
      </c>
      <c r="AM133" s="2">
        <f t="shared" ref="AM133:AM196" ca="1" si="112">(AL133-AL132)/AL132</f>
        <v>-4.5399515738498361E-3</v>
      </c>
      <c r="AN133" s="2" vm="4771">
        <f ca="1"/>
        <v>88.48</v>
      </c>
      <c r="AO133" s="2">
        <f t="shared" ref="AO133:AO196" ca="1" si="113">(AN133-AN132)/AN132</f>
        <v>-1.3544018058689656E-3</v>
      </c>
      <c r="AP133" s="2" vm="1667">
        <f ca="1"/>
        <v>26.43</v>
      </c>
      <c r="AQ133" s="2">
        <f t="shared" ref="AQ133:AQ196" ca="1" si="114">(AP133-AP132)/AP132</f>
        <v>1.1363636363636795E-3</v>
      </c>
      <c r="AR133" s="2" vm="1201">
        <f ca="1"/>
        <v>50.76</v>
      </c>
      <c r="AS133" s="2">
        <f t="shared" ref="AS133:AS196" ca="1" si="115">(AR133-AR132)/AR132</f>
        <v>5.9136605558843171E-4</v>
      </c>
      <c r="AT133" s="2" vm="3627">
        <f ca="1"/>
        <v>29.25</v>
      </c>
      <c r="AU133" s="2">
        <f t="shared" ref="AU133:AU196" ca="1" si="116">(AT133-AT132)/AT132</f>
        <v>-3.4176349965828992E-4</v>
      </c>
      <c r="AV133" s="2" vm="1855">
        <f ca="1"/>
        <v>26.33</v>
      </c>
      <c r="AW133" s="2">
        <f t="shared" ref="AW133:AW196" ca="1" si="117">(AV133-AV132)/AV132</f>
        <v>-8.2862523540490549E-3</v>
      </c>
      <c r="AX133" s="2" vm="1204">
        <f ca="1"/>
        <v>91.63</v>
      </c>
      <c r="AY133" s="2">
        <f t="shared" ref="AY133:AY196" ca="1" si="118">(AX133-AX132)/AX132</f>
        <v>4.3672890053490597E-4</v>
      </c>
      <c r="AZ133" s="2" vm="4772">
        <f ca="1"/>
        <v>518.21</v>
      </c>
      <c r="BA133" s="2">
        <f t="shared" ref="BA133:BA196" ca="1" si="119">(AZ133-AZ132)/AZ132</f>
        <v>3.4078807241746359E-3</v>
      </c>
      <c r="BB133" s="2" vm="4773">
        <f ca="1"/>
        <v>231.96</v>
      </c>
      <c r="BC133" s="2">
        <f t="shared" ref="BC133:BC196" ca="1" si="120">(BB133-BB132)/BB132</f>
        <v>1.0234745873437543E-2</v>
      </c>
      <c r="BD133" s="2" vm="4774">
        <f ca="1"/>
        <v>37.409999999999997</v>
      </c>
      <c r="BE133" s="2">
        <f t="shared" ref="BE133:BE196" ca="1" si="121">(BD133-BD132)/BD132</f>
        <v>2.1430484864719606E-3</v>
      </c>
      <c r="BF133" s="2" vm="4775">
        <f ca="1"/>
        <v>106.92</v>
      </c>
      <c r="BG133" s="2">
        <f t="shared" ref="BG133:BG196" ca="1" si="122">(BF133-BF132)/BF132</f>
        <v>2.620213072271815E-2</v>
      </c>
      <c r="BH133" s="2" vm="4776">
        <f ca="1"/>
        <v>137.87</v>
      </c>
      <c r="BI133" s="2">
        <f t="shared" ref="BI133:BI196" ca="1" si="123">(BH133-BH132)/BH132</f>
        <v>1.8543144208037755E-2</v>
      </c>
      <c r="BJ133" s="2" vm="4777">
        <f ca="1"/>
        <v>157.47</v>
      </c>
      <c r="BK133" s="2">
        <f t="shared" ref="BK133:BK196" ca="1" si="124">(BJ133-BJ132)/BJ132</f>
        <v>2.3130400883633308E-2</v>
      </c>
      <c r="BL133" s="2" vm="4778">
        <f ca="1"/>
        <v>73</v>
      </c>
      <c r="BM133" s="2">
        <f t="shared" ref="BM133:BM196" ca="1" si="125">(BL133-BL132)/BL132</f>
        <v>1.8415178571428475E-2</v>
      </c>
      <c r="BN133" s="2" vm="4779">
        <f ca="1"/>
        <v>311.3</v>
      </c>
      <c r="BO133" s="2">
        <f t="shared" ref="BO133:BO196" ca="1" si="126">(BN133-BN132)/BN132</f>
        <v>7.1174377224198912E-3</v>
      </c>
      <c r="BP133" s="2" vm="4780">
        <f ca="1"/>
        <v>84.81</v>
      </c>
      <c r="BQ133" s="2">
        <f t="shared" ref="BQ133:BQ196" ca="1" si="127">(BP133-BP132)/BP132</f>
        <v>2.4646611090975067E-2</v>
      </c>
      <c r="BR133" s="2" vm="4781">
        <f ca="1"/>
        <v>973.03</v>
      </c>
      <c r="BS133" s="2">
        <f t="shared" ref="BS133:BS196" ca="1" si="128">(BR133-BR132)/BR132</f>
        <v>1.185487141624115E-2</v>
      </c>
      <c r="BT133" s="2" vm="1865">
        <f ca="1"/>
        <v>170.63</v>
      </c>
      <c r="BU133" s="2">
        <f t="shared" ref="BU133:BU196" ca="1" si="129">(BT133-BT132)/BT132</f>
        <v>2.5482300619027641E-2</v>
      </c>
      <c r="BV133" s="2" vm="4713">
        <f ca="1"/>
        <v>142.84</v>
      </c>
      <c r="BW133" s="2">
        <f t="shared" ref="BW133:BW196" ca="1" si="130">(BV133-BV132)/BV132</f>
        <v>1.9630237704332927E-2</v>
      </c>
      <c r="BX133" s="2" vm="4782">
        <f ca="1"/>
        <v>218.84</v>
      </c>
      <c r="BY133" s="2">
        <f t="shared" ref="BY133:BY196" ca="1" si="131">(BX133-BX132)/BX132</f>
        <v>3.5634849273579107E-2</v>
      </c>
      <c r="BZ133" s="2" vm="4783">
        <f ca="1"/>
        <v>81.23</v>
      </c>
      <c r="CA133" s="2">
        <f t="shared" ref="CA133:CA196" ca="1" si="132">(BZ133-BZ132)/BZ132</f>
        <v>2.5760828387422736E-2</v>
      </c>
      <c r="CB133" s="2" vm="4784">
        <f ca="1"/>
        <v>24.91</v>
      </c>
      <c r="CC133" s="2">
        <f t="shared" ref="CC133:CC196" ca="1" si="133">(CB133-CB132)/CB132</f>
        <v>2.5524907369287815E-2</v>
      </c>
      <c r="CD133" s="2" t="e" vm="92">
        <f ca="1"/>
        <v>#N/A</v>
      </c>
      <c r="CE133" s="2" t="e" vm="140">
        <f t="shared" ref="CE133:CE196" ca="1" si="134">(CD133-CD132)/CD132</f>
        <v>#N/A</v>
      </c>
      <c r="CF133" s="2" vm="4785">
        <f ca="1"/>
        <v>22.81</v>
      </c>
      <c r="CG133" s="2">
        <f t="shared" ref="CG133:CG196" ca="1" si="135">(CF133-CF132)/CF132</f>
        <v>-2.1872265966754469E-3</v>
      </c>
      <c r="CH133" s="2" vm="4441">
        <f ca="1"/>
        <v>58.71</v>
      </c>
      <c r="CI133" s="2">
        <f t="shared" ref="CI133:CI196" ca="1" si="136">(CH133-CH132)/CH132</f>
        <v>1.7035775127764924E-4</v>
      </c>
      <c r="CJ133" s="2" vm="4786">
        <f ca="1"/>
        <v>59.29</v>
      </c>
      <c r="CK133" s="2">
        <f t="shared" ref="CK133:CK196" ca="1" si="137">(CJ133-CJ132)/CJ132</f>
        <v>-1.1792452830188727E-3</v>
      </c>
      <c r="CL133" s="2" vm="4787">
        <f ca="1"/>
        <v>55.62</v>
      </c>
      <c r="CM133" s="2">
        <f t="shared" ref="CM133:CM196" ca="1" si="138">(CL133-CL132)/CL132</f>
        <v>-8.0256821829856051E-3</v>
      </c>
      <c r="CN133" s="2" vm="1700">
        <f ca="1"/>
        <v>28.56</v>
      </c>
      <c r="CO133" s="2">
        <f t="shared" ref="CO133:CO196" ca="1" si="139">(CN133-CN132)/CN132</f>
        <v>-6.9979006298109077E-4</v>
      </c>
      <c r="CP133" s="2" vm="4788">
        <f ca="1"/>
        <v>21.0412</v>
      </c>
      <c r="CQ133" s="2">
        <f t="shared" ref="CQ133:CQ196" ca="1" si="140">(CP133-CP132)/CP132</f>
        <v>1.6164006471397947E-2</v>
      </c>
    </row>
    <row r="134" spans="1:95" x14ac:dyDescent="0.2">
      <c r="A134" s="7" vm="4789">
        <f ca="1"/>
        <v>45768</v>
      </c>
      <c r="B134" s="2" vm="4790">
        <f ca="1"/>
        <v>193.16</v>
      </c>
      <c r="C134" s="2">
        <f t="shared" ca="1" si="94"/>
        <v>-1.9392831759569466E-2</v>
      </c>
      <c r="D134" s="2" vm="4791">
        <f ca="1"/>
        <v>96.91</v>
      </c>
      <c r="E134" s="2">
        <f t="shared" ca="1" si="95"/>
        <v>-4.5127598778204735E-2</v>
      </c>
      <c r="F134" s="2" vm="4792">
        <f ca="1"/>
        <v>359.12</v>
      </c>
      <c r="G134" s="2">
        <f t="shared" ca="1" si="96"/>
        <v>-2.3546685518516419E-2</v>
      </c>
      <c r="H134" s="2" vm="4793">
        <f ca="1"/>
        <v>484.66</v>
      </c>
      <c r="I134" s="2">
        <f t="shared" ca="1" si="97"/>
        <v>-3.35407194703677E-2</v>
      </c>
      <c r="J134" s="2" vm="4794">
        <f ca="1"/>
        <v>147.66999999999999</v>
      </c>
      <c r="K134" s="2">
        <f t="shared" ca="1" si="98"/>
        <v>-2.3088118549880982E-2</v>
      </c>
      <c r="L134" s="2" vm="4795">
        <f ca="1"/>
        <v>513.88</v>
      </c>
      <c r="M134" s="2">
        <f t="shared" ca="1" si="99"/>
        <v>-2.380273930966352E-2</v>
      </c>
      <c r="N134" s="2" vm="4796">
        <f ca="1"/>
        <v>86</v>
      </c>
      <c r="O134" s="2">
        <f t="shared" ca="1" si="100"/>
        <v>-1.7479721238432552E-2</v>
      </c>
      <c r="P134" s="2" vm="4797">
        <f ca="1"/>
        <v>315.58999999999997</v>
      </c>
      <c r="Q134" s="2">
        <f t="shared" ca="1" si="101"/>
        <v>3.0935580817979782E-2</v>
      </c>
      <c r="R134" s="2" vm="4798">
        <f ca="1"/>
        <v>68.62</v>
      </c>
      <c r="S134" s="2">
        <f t="shared" ca="1" si="102"/>
        <v>-1.2377662636729986E-2</v>
      </c>
      <c r="T134" s="2" vm="832">
        <f ca="1"/>
        <v>94.17</v>
      </c>
      <c r="U134" s="2">
        <f t="shared" ca="1" si="103"/>
        <v>-5.3865652724968847E-3</v>
      </c>
      <c r="V134" s="2" vm="4799">
        <f ca="1"/>
        <v>45.982300000000002</v>
      </c>
      <c r="W134" s="2">
        <f t="shared" ca="1" si="104"/>
        <v>-8.8953551029205928E-3</v>
      </c>
      <c r="X134" s="2" vm="4800">
        <f ca="1"/>
        <v>119.63</v>
      </c>
      <c r="Y134" s="2">
        <f t="shared" ca="1" si="105"/>
        <v>-5.6396908029657716E-2</v>
      </c>
      <c r="Z134" s="2" vm="4801">
        <f ca="1"/>
        <v>79.37</v>
      </c>
      <c r="AA134" s="2">
        <f t="shared" ca="1" si="106"/>
        <v>-2.6134969325153318E-2</v>
      </c>
      <c r="AB134" s="2" vm="4802">
        <f ca="1"/>
        <v>12.77</v>
      </c>
      <c r="AC134" s="2">
        <f t="shared" ca="1" si="107"/>
        <v>-1.5420200462606096E-2</v>
      </c>
      <c r="AD134" s="2" vm="1740">
        <f ca="1"/>
        <v>3.2</v>
      </c>
      <c r="AE134" s="2">
        <f t="shared" ca="1" si="108"/>
        <v>-4.4776119402985044E-2</v>
      </c>
      <c r="AF134" s="2" vm="4803">
        <f ca="1"/>
        <v>29.79</v>
      </c>
      <c r="AG134" s="2">
        <f t="shared" ca="1" si="109"/>
        <v>8.1218274111674593E-3</v>
      </c>
      <c r="AH134" s="2" vm="3252">
        <f ca="1"/>
        <v>26.63</v>
      </c>
      <c r="AI134" s="2">
        <f t="shared" ca="1" si="110"/>
        <v>-7.5046904315195404E-4</v>
      </c>
      <c r="AJ134" s="2" vm="4237">
        <f ca="1"/>
        <v>4.6900000000000004</v>
      </c>
      <c r="AK134" s="2">
        <f t="shared" ca="1" si="111"/>
        <v>-1.470588235294105E-2</v>
      </c>
      <c r="AL134" s="2" vm="4804">
        <f ca="1"/>
        <v>67.819999999999993</v>
      </c>
      <c r="AM134" s="2">
        <f t="shared" ca="1" si="112"/>
        <v>3.101246579507437E-2</v>
      </c>
      <c r="AN134" s="2" vm="2321">
        <f ca="1"/>
        <v>88.35</v>
      </c>
      <c r="AO134" s="2">
        <f t="shared" ca="1" si="113"/>
        <v>-1.4692585895118631E-3</v>
      </c>
      <c r="AP134" s="2" vm="758">
        <f ca="1"/>
        <v>26.31</v>
      </c>
      <c r="AQ134" s="2">
        <f t="shared" ca="1" si="114"/>
        <v>-4.5402951191827849E-3</v>
      </c>
      <c r="AR134" s="2" vm="4805">
        <f ca="1"/>
        <v>50.68</v>
      </c>
      <c r="AS134" s="2">
        <f t="shared" ca="1" si="115"/>
        <v>-1.5760441292355851E-3</v>
      </c>
      <c r="AT134" s="2" vm="3691">
        <f ca="1"/>
        <v>29.28</v>
      </c>
      <c r="AU134" s="2">
        <f t="shared" ca="1" si="116"/>
        <v>1.0256410256410645E-3</v>
      </c>
      <c r="AV134" s="2" vm="4806">
        <f ca="1"/>
        <v>25.91</v>
      </c>
      <c r="AW134" s="2">
        <f t="shared" ca="1" si="117"/>
        <v>-1.5951386251424161E-2</v>
      </c>
      <c r="AX134" s="2" vm="341">
        <f ca="1"/>
        <v>91.64</v>
      </c>
      <c r="AY134" s="2">
        <f t="shared" ca="1" si="118"/>
        <v>1.0913456291613135E-4</v>
      </c>
      <c r="AZ134" s="2" vm="4807">
        <f ca="1"/>
        <v>506.92</v>
      </c>
      <c r="BA134" s="2">
        <f t="shared" ca="1" si="119"/>
        <v>-2.1786534416549312E-2</v>
      </c>
      <c r="BB134" s="2" vm="4808">
        <f ca="1"/>
        <v>228.99</v>
      </c>
      <c r="BC134" s="2">
        <f t="shared" ca="1" si="120"/>
        <v>-1.2803931712364195E-2</v>
      </c>
      <c r="BD134" s="2" vm="4809">
        <f ca="1"/>
        <v>36.92</v>
      </c>
      <c r="BE134" s="2">
        <f t="shared" ca="1" si="121"/>
        <v>-1.3098102111734695E-2</v>
      </c>
      <c r="BF134" s="2" vm="4810">
        <f ca="1"/>
        <v>105.35</v>
      </c>
      <c r="BG134" s="2">
        <f t="shared" ca="1" si="122"/>
        <v>-1.4683875794986975E-2</v>
      </c>
      <c r="BH134" s="2" vm="4811">
        <f ca="1"/>
        <v>133.72999999999999</v>
      </c>
      <c r="BI134" s="2">
        <f t="shared" ca="1" si="123"/>
        <v>-3.0028287517226478E-2</v>
      </c>
      <c r="BJ134" s="2" vm="3520">
        <f ca="1"/>
        <v>156.91999999999999</v>
      </c>
      <c r="BK134" s="2">
        <f t="shared" ca="1" si="124"/>
        <v>-3.4927287737347517E-3</v>
      </c>
      <c r="BL134" s="2" vm="4812">
        <f ca="1"/>
        <v>72.77</v>
      </c>
      <c r="BM134" s="2">
        <f t="shared" ca="1" si="125"/>
        <v>-3.1506849315069037E-3</v>
      </c>
      <c r="BN134" s="2" vm="4813">
        <f ca="1"/>
        <v>308.72000000000003</v>
      </c>
      <c r="BO134" s="2">
        <f t="shared" ca="1" si="126"/>
        <v>-8.2878252489559396E-3</v>
      </c>
      <c r="BP134" s="2" vm="4814">
        <f ca="1"/>
        <v>84</v>
      </c>
      <c r="BQ134" s="2">
        <f t="shared" ca="1" si="127"/>
        <v>-9.5507605235231954E-3</v>
      </c>
      <c r="BR134" s="2" vm="4815">
        <f ca="1"/>
        <v>987.91</v>
      </c>
      <c r="BS134" s="2">
        <f t="shared" ca="1" si="128"/>
        <v>1.5292437026607602E-2</v>
      </c>
      <c r="BT134" s="2" vm="3149">
        <f ca="1"/>
        <v>165.75</v>
      </c>
      <c r="BU134" s="2">
        <f t="shared" ca="1" si="129"/>
        <v>-2.8599894508585803E-2</v>
      </c>
      <c r="BV134" s="2" vm="4816">
        <f ca="1"/>
        <v>141.72999999999999</v>
      </c>
      <c r="BW134" s="2">
        <f t="shared" ca="1" si="130"/>
        <v>-7.7709325119015233E-3</v>
      </c>
      <c r="BX134" s="2" vm="4817">
        <f ca="1"/>
        <v>212.98</v>
      </c>
      <c r="BY134" s="2">
        <f t="shared" ca="1" si="131"/>
        <v>-2.6777554377627553E-2</v>
      </c>
      <c r="BZ134" s="2" vm="4818">
        <f ca="1"/>
        <v>79.040000000000006</v>
      </c>
      <c r="CA134" s="2">
        <f t="shared" ca="1" si="132"/>
        <v>-2.6960482580327436E-2</v>
      </c>
      <c r="CB134" s="2" vm="4819">
        <f ca="1"/>
        <v>24.15</v>
      </c>
      <c r="CC134" s="2">
        <f t="shared" ca="1" si="133"/>
        <v>-3.0509835407466945E-2</v>
      </c>
      <c r="CD134" s="2" t="e" vm="92">
        <f ca="1"/>
        <v>#N/A</v>
      </c>
      <c r="CE134" s="2" t="e" vm="140">
        <f t="shared" ca="1" si="134"/>
        <v>#N/A</v>
      </c>
      <c r="CF134" s="2" vm="4820">
        <f ca="1"/>
        <v>22.715</v>
      </c>
      <c r="CG134" s="2">
        <f t="shared" ca="1" si="135"/>
        <v>-4.1648399824637822E-3</v>
      </c>
      <c r="CH134" s="2" vm="1869">
        <f ca="1"/>
        <v>58.74</v>
      </c>
      <c r="CI134" s="2">
        <f t="shared" ca="1" si="136"/>
        <v>5.1098620337252829E-4</v>
      </c>
      <c r="CJ134" s="2" vm="4821">
        <f ca="1"/>
        <v>59.15</v>
      </c>
      <c r="CK134" s="2">
        <f t="shared" ca="1" si="137"/>
        <v>-2.3612750885478252E-3</v>
      </c>
      <c r="CL134" s="2" vm="4822">
        <f ca="1"/>
        <v>54.71</v>
      </c>
      <c r="CM134" s="2">
        <f t="shared" ca="1" si="138"/>
        <v>-1.6361021215390088E-2</v>
      </c>
      <c r="CN134" s="2" vm="2576">
        <f ca="1"/>
        <v>28.33</v>
      </c>
      <c r="CO134" s="2">
        <f t="shared" ca="1" si="139"/>
        <v>-8.0532212885154209E-3</v>
      </c>
      <c r="CP134" s="2" vm="4823">
        <f ca="1"/>
        <v>20.645600000000002</v>
      </c>
      <c r="CQ134" s="2">
        <f t="shared" ca="1" si="140"/>
        <v>-1.8801209056517602E-2</v>
      </c>
    </row>
    <row r="135" spans="1:95" x14ac:dyDescent="0.2">
      <c r="A135" s="7" vm="4824">
        <f ca="1"/>
        <v>45769</v>
      </c>
      <c r="B135" s="2" vm="4825">
        <f ca="1"/>
        <v>199.74</v>
      </c>
      <c r="C135" s="2">
        <f t="shared" ca="1" si="94"/>
        <v>3.4065023814454407E-2</v>
      </c>
      <c r="D135" s="2" vm="935">
        <f ca="1"/>
        <v>98.89</v>
      </c>
      <c r="E135" s="2">
        <f t="shared" ca="1" si="95"/>
        <v>2.0431328036322402E-2</v>
      </c>
      <c r="F135" s="2" vm="4826">
        <f ca="1"/>
        <v>366.82</v>
      </c>
      <c r="G135" s="2">
        <f t="shared" ca="1" si="96"/>
        <v>2.144130095789705E-2</v>
      </c>
      <c r="H135" s="2" vm="4827">
        <f ca="1"/>
        <v>500.28</v>
      </c>
      <c r="I135" s="2">
        <f t="shared" ca="1" si="97"/>
        <v>3.2228778937811967E-2</v>
      </c>
      <c r="J135" s="2" vm="2088">
        <f ca="1"/>
        <v>151.47</v>
      </c>
      <c r="K135" s="2">
        <f t="shared" ca="1" si="98"/>
        <v>2.5733053429945228E-2</v>
      </c>
      <c r="L135" s="2" vm="4828">
        <f ca="1"/>
        <v>527.25</v>
      </c>
      <c r="M135" s="2">
        <f t="shared" ca="1" si="99"/>
        <v>2.6017747334007947E-2</v>
      </c>
      <c r="N135" s="2" vm="2165">
        <f ca="1"/>
        <v>86.48</v>
      </c>
      <c r="O135" s="2">
        <f t="shared" ca="1" si="100"/>
        <v>5.5813953488372554E-3</v>
      </c>
      <c r="P135" s="2" vm="4829">
        <f ca="1"/>
        <v>311.11</v>
      </c>
      <c r="Q135" s="2">
        <f t="shared" ca="1" si="101"/>
        <v>-1.4195633575208219E-2</v>
      </c>
      <c r="R135" s="2" vm="4830">
        <f ca="1"/>
        <v>69.37</v>
      </c>
      <c r="S135" s="2">
        <f t="shared" ca="1" si="102"/>
        <v>1.0929758088020984E-2</v>
      </c>
      <c r="T135" s="2" vm="4831">
        <f ca="1"/>
        <v>94.24</v>
      </c>
      <c r="U135" s="2">
        <f t="shared" ca="1" si="103"/>
        <v>7.4333651906119977E-4</v>
      </c>
      <c r="V135" s="2" vm="4832">
        <f ca="1"/>
        <v>46.25</v>
      </c>
      <c r="W135" s="2">
        <f t="shared" ca="1" si="104"/>
        <v>5.821805346839932E-3</v>
      </c>
      <c r="X135" s="2" vm="4833">
        <f ca="1"/>
        <v>123.71</v>
      </c>
      <c r="Y135" s="2">
        <f t="shared" ca="1" si="105"/>
        <v>3.4105157569171603E-2</v>
      </c>
      <c r="Z135" s="2" vm="4834">
        <f ca="1"/>
        <v>81.39</v>
      </c>
      <c r="AA135" s="2">
        <f t="shared" ca="1" si="106"/>
        <v>2.5450422073831372E-2</v>
      </c>
      <c r="AB135" s="2" vm="4835">
        <f ca="1"/>
        <v>12.89</v>
      </c>
      <c r="AC135" s="2">
        <f t="shared" ca="1" si="107"/>
        <v>9.3970242756461243E-3</v>
      </c>
      <c r="AD135" s="2" vm="4836">
        <f ca="1"/>
        <v>3.23</v>
      </c>
      <c r="AE135" s="2">
        <f t="shared" ca="1" si="108"/>
        <v>9.3749999999999389E-3</v>
      </c>
      <c r="AF135" s="2" vm="1767">
        <f ca="1"/>
        <v>29.5</v>
      </c>
      <c r="AG135" s="2">
        <f t="shared" ca="1" si="109"/>
        <v>-9.7348103390399177E-3</v>
      </c>
      <c r="AH135" s="2" vm="2409">
        <f ca="1"/>
        <v>26.98</v>
      </c>
      <c r="AI135" s="2">
        <f t="shared" ca="1" si="110"/>
        <v>1.3143071723620031E-2</v>
      </c>
      <c r="AJ135" s="2" vm="2070">
        <f ca="1"/>
        <v>4.67</v>
      </c>
      <c r="AK135" s="2">
        <f t="shared" ca="1" si="111"/>
        <v>-4.2643923240939146E-3</v>
      </c>
      <c r="AL135" s="2" vm="4837">
        <f ca="1"/>
        <v>66.849999999999994</v>
      </c>
      <c r="AM135" s="2">
        <f t="shared" ca="1" si="112"/>
        <v>-1.4302565614862857E-2</v>
      </c>
      <c r="AN135" s="2" vm="4838">
        <f ca="1"/>
        <v>87.61</v>
      </c>
      <c r="AO135" s="2">
        <f t="shared" ca="1" si="113"/>
        <v>-8.3757781550650254E-3</v>
      </c>
      <c r="AP135" s="2" vm="465">
        <f ca="1"/>
        <v>26.41</v>
      </c>
      <c r="AQ135" s="2">
        <f t="shared" ca="1" si="114"/>
        <v>3.8008361839605253E-3</v>
      </c>
      <c r="AR135" s="2" vm="295">
        <f ca="1"/>
        <v>50.8</v>
      </c>
      <c r="AS135" s="2">
        <f t="shared" ca="1" si="115"/>
        <v>2.3677979479083946E-3</v>
      </c>
      <c r="AT135" s="2" vm="694">
        <f ca="1"/>
        <v>29.24</v>
      </c>
      <c r="AU135" s="2">
        <f t="shared" ca="1" si="116"/>
        <v>-1.3661202185793271E-3</v>
      </c>
      <c r="AV135" s="2" vm="2267">
        <f ca="1"/>
        <v>26.05</v>
      </c>
      <c r="AW135" s="2">
        <f t="shared" ca="1" si="117"/>
        <v>5.4033191817831174E-3</v>
      </c>
      <c r="AX135" s="2" vm="341">
        <f ca="1"/>
        <v>91.64</v>
      </c>
      <c r="AY135" s="2">
        <f t="shared" ca="1" si="118"/>
        <v>0</v>
      </c>
      <c r="AZ135" s="2" vm="4839">
        <f ca="1"/>
        <v>520.79</v>
      </c>
      <c r="BA135" s="2">
        <f t="shared" ca="1" si="119"/>
        <v>2.7361319340329732E-2</v>
      </c>
      <c r="BB135" s="2" vm="4840">
        <f ca="1"/>
        <v>235.59</v>
      </c>
      <c r="BC135" s="2">
        <f t="shared" ca="1" si="120"/>
        <v>2.8822219310886913E-2</v>
      </c>
      <c r="BD135" s="2" vm="4841">
        <f ca="1"/>
        <v>38.32</v>
      </c>
      <c r="BE135" s="2">
        <f t="shared" ca="1" si="121"/>
        <v>3.7919826652220975E-2</v>
      </c>
      <c r="BF135" s="2" vm="4842">
        <f ca="1"/>
        <v>108.3</v>
      </c>
      <c r="BG135" s="2">
        <f t="shared" ca="1" si="122"/>
        <v>2.8001898433792149E-2</v>
      </c>
      <c r="BH135" s="2" vm="4843">
        <f ca="1"/>
        <v>137.30000000000001</v>
      </c>
      <c r="BI135" s="2">
        <f t="shared" ca="1" si="123"/>
        <v>2.6695580647573634E-2</v>
      </c>
      <c r="BJ135" s="2" vm="4844">
        <f ca="1"/>
        <v>157.75</v>
      </c>
      <c r="BK135" s="2">
        <f t="shared" ca="1" si="124"/>
        <v>5.2893193984196573E-3</v>
      </c>
      <c r="BL135" s="2" vm="4845">
        <f ca="1"/>
        <v>73.900000000000006</v>
      </c>
      <c r="BM135" s="2">
        <f t="shared" ca="1" si="125"/>
        <v>1.5528377078466535E-2</v>
      </c>
      <c r="BN135" s="2" vm="4846">
        <f ca="1"/>
        <v>319.08</v>
      </c>
      <c r="BO135" s="2">
        <f t="shared" ca="1" si="126"/>
        <v>3.3557916558693821E-2</v>
      </c>
      <c r="BP135" s="2" vm="4847">
        <f ca="1"/>
        <v>86.09</v>
      </c>
      <c r="BQ135" s="2">
        <f t="shared" ca="1" si="127"/>
        <v>2.488095238095242E-2</v>
      </c>
      <c r="BR135" s="2" vm="4848">
        <f ca="1"/>
        <v>1040.3399999999999</v>
      </c>
      <c r="BS135" s="2">
        <f t="shared" ca="1" si="128"/>
        <v>5.3071636080209685E-2</v>
      </c>
      <c r="BT135" s="2" vm="4849">
        <f ca="1"/>
        <v>167.88</v>
      </c>
      <c r="BU135" s="2">
        <f t="shared" ca="1" si="129"/>
        <v>1.2850678733031647E-2</v>
      </c>
      <c r="BV135" s="2" vm="4850">
        <f ca="1"/>
        <v>143.46</v>
      </c>
      <c r="BW135" s="2">
        <f t="shared" ca="1" si="130"/>
        <v>1.2206307768291952E-2</v>
      </c>
      <c r="BX135" s="2" vm="4851">
        <f ca="1"/>
        <v>213.62</v>
      </c>
      <c r="BY135" s="2">
        <f t="shared" ca="1" si="131"/>
        <v>3.0049769931449659E-3</v>
      </c>
      <c r="BZ135" s="2" vm="4852">
        <f ca="1"/>
        <v>81.2</v>
      </c>
      <c r="CA135" s="2">
        <f t="shared" ca="1" si="132"/>
        <v>2.7327935222672021E-2</v>
      </c>
      <c r="CB135" s="2" vm="4853">
        <f ca="1"/>
        <v>24.71</v>
      </c>
      <c r="CC135" s="2">
        <f t="shared" ca="1" si="133"/>
        <v>2.3188405797101543E-2</v>
      </c>
      <c r="CD135" s="2" t="e" vm="92">
        <f ca="1"/>
        <v>#N/A</v>
      </c>
      <c r="CE135" s="2" t="e" vm="140">
        <f t="shared" ca="1" si="134"/>
        <v>#N/A</v>
      </c>
      <c r="CF135" s="2" vm="4854">
        <f ca="1"/>
        <v>22.74</v>
      </c>
      <c r="CG135" s="2">
        <f t="shared" ca="1" si="135"/>
        <v>1.1005943209332414E-3</v>
      </c>
      <c r="CH135" s="2" vm="4507">
        <f ca="1"/>
        <v>58.7</v>
      </c>
      <c r="CI135" s="2">
        <f t="shared" ca="1" si="136"/>
        <v>-6.8096697310178998E-4</v>
      </c>
      <c r="CJ135" s="2" vm="1723">
        <f ca="1"/>
        <v>59.13</v>
      </c>
      <c r="CK135" s="2">
        <f t="shared" ca="1" si="137"/>
        <v>-3.3812341504642471E-4</v>
      </c>
      <c r="CL135" s="2" vm="4855">
        <f ca="1"/>
        <v>55.01</v>
      </c>
      <c r="CM135" s="2">
        <f t="shared" ca="1" si="138"/>
        <v>5.4834582343263969E-3</v>
      </c>
      <c r="CN135" s="2" vm="4856">
        <f ca="1"/>
        <v>28.39</v>
      </c>
      <c r="CO135" s="2">
        <f t="shared" ca="1" si="139"/>
        <v>2.1178962230851491E-3</v>
      </c>
      <c r="CP135" s="2" vm="4857">
        <f ca="1"/>
        <v>21.058499999999999</v>
      </c>
      <c r="CQ135" s="2">
        <f t="shared" ca="1" si="140"/>
        <v>1.9999418762351149E-2</v>
      </c>
    </row>
    <row r="136" spans="1:95" x14ac:dyDescent="0.2">
      <c r="A136" s="7" vm="4858">
        <f ca="1"/>
        <v>45770</v>
      </c>
      <c r="B136" s="2" vm="4859">
        <f ca="1"/>
        <v>204.6</v>
      </c>
      <c r="C136" s="2">
        <f t="shared" ca="1" si="94"/>
        <v>2.4331631120456519E-2</v>
      </c>
      <c r="D136" s="2" vm="4860">
        <f ca="1"/>
        <v>102.71</v>
      </c>
      <c r="E136" s="2">
        <f t="shared" ca="1" si="95"/>
        <v>3.8628779451916201E-2</v>
      </c>
      <c r="F136" s="2" vm="4861">
        <f ca="1"/>
        <v>374.39</v>
      </c>
      <c r="G136" s="2">
        <f t="shared" ca="1" si="96"/>
        <v>2.063682460062154E-2</v>
      </c>
      <c r="H136" s="2" vm="4862">
        <f ca="1"/>
        <v>520.27</v>
      </c>
      <c r="I136" s="2">
        <f t="shared" ca="1" si="97"/>
        <v>3.9957623730710823E-2</v>
      </c>
      <c r="J136" s="2" vm="2600">
        <f ca="1"/>
        <v>155.35</v>
      </c>
      <c r="K136" s="2">
        <f t="shared" ca="1" si="98"/>
        <v>2.5615633458770683E-2</v>
      </c>
      <c r="L136" s="2" vm="4863">
        <f ca="1"/>
        <v>535.41999999999996</v>
      </c>
      <c r="M136" s="2">
        <f t="shared" ca="1" si="99"/>
        <v>1.5495495495495417E-2</v>
      </c>
      <c r="N136" s="2" vm="71">
        <f ca="1"/>
        <v>87.32</v>
      </c>
      <c r="O136" s="2">
        <f t="shared" ca="1" si="100"/>
        <v>9.7132284921367853E-3</v>
      </c>
      <c r="P136" s="2" vm="4864">
        <f ca="1"/>
        <v>303.64999999999998</v>
      </c>
      <c r="Q136" s="2">
        <f t="shared" ca="1" si="101"/>
        <v>-2.3978657066632495E-2</v>
      </c>
      <c r="R136" s="2" vm="4865">
        <f ca="1"/>
        <v>68.05</v>
      </c>
      <c r="S136" s="2">
        <f t="shared" ca="1" si="102"/>
        <v>-1.9028398443131141E-2</v>
      </c>
      <c r="T136" s="2" vm="4866">
        <f ca="1"/>
        <v>94.34</v>
      </c>
      <c r="U136" s="2">
        <f t="shared" ca="1" si="103"/>
        <v>1.0611205432938086E-3</v>
      </c>
      <c r="V136" s="2" vm="4867">
        <f ca="1"/>
        <v>46.195</v>
      </c>
      <c r="W136" s="2">
        <f t="shared" ca="1" si="104"/>
        <v>-1.189189189189183E-3</v>
      </c>
      <c r="X136" s="2" vm="4868">
        <f ca="1"/>
        <v>126.55</v>
      </c>
      <c r="Y136" s="2">
        <f t="shared" ca="1" si="105"/>
        <v>2.2956915366583168E-2</v>
      </c>
      <c r="Z136" s="2" vm="4869">
        <f ca="1"/>
        <v>81.239999999999995</v>
      </c>
      <c r="AA136" s="2">
        <f t="shared" ca="1" si="106"/>
        <v>-1.8429782528566862E-3</v>
      </c>
      <c r="AB136" s="2" vm="4870">
        <f ca="1"/>
        <v>12.23</v>
      </c>
      <c r="AC136" s="2">
        <f t="shared" ca="1" si="107"/>
        <v>-5.1202482544608234E-2</v>
      </c>
      <c r="AD136" s="2" vm="1511">
        <f ca="1"/>
        <v>3.4</v>
      </c>
      <c r="AE136" s="2">
        <f t="shared" ca="1" si="108"/>
        <v>5.2631578947368397E-2</v>
      </c>
      <c r="AF136" s="2" vm="4871">
        <f ca="1"/>
        <v>30.56</v>
      </c>
      <c r="AG136" s="2">
        <f t="shared" ca="1" si="109"/>
        <v>3.5932203389830462E-2</v>
      </c>
      <c r="AH136" s="2" vm="1091">
        <f ca="1"/>
        <v>26.97</v>
      </c>
      <c r="AI136" s="2">
        <f t="shared" ca="1" si="110"/>
        <v>-3.7064492216462428E-4</v>
      </c>
      <c r="AJ136" s="2" vm="4872">
        <f ca="1"/>
        <v>4.63</v>
      </c>
      <c r="AK136" s="2">
        <f t="shared" ca="1" si="111"/>
        <v>-8.5653104925053607E-3</v>
      </c>
      <c r="AL136" s="2" vm="4873">
        <f ca="1"/>
        <v>65.260000000000005</v>
      </c>
      <c r="AM136" s="2">
        <f t="shared" ca="1" si="112"/>
        <v>-2.3784592370979647E-2</v>
      </c>
      <c r="AN136" s="2" vm="4874">
        <f ca="1"/>
        <v>88.44</v>
      </c>
      <c r="AO136" s="2">
        <f t="shared" ca="1" si="113"/>
        <v>9.4738043602328303E-3</v>
      </c>
      <c r="AP136" s="2" vm="2481">
        <f ca="1"/>
        <v>26.5</v>
      </c>
      <c r="AQ136" s="2">
        <f t="shared" ca="1" si="114"/>
        <v>3.4078000757288853E-3</v>
      </c>
      <c r="AR136" s="2" vm="4426">
        <f ca="1"/>
        <v>50.83</v>
      </c>
      <c r="AS136" s="2">
        <f t="shared" ca="1" si="115"/>
        <v>5.9055118110238464E-4</v>
      </c>
      <c r="AT136" s="2" vm="4160">
        <f ca="1"/>
        <v>29.23</v>
      </c>
      <c r="AU136" s="2">
        <f t="shared" ca="1" si="116"/>
        <v>-3.4199726402181979E-4</v>
      </c>
      <c r="AV136" s="2" vm="2303">
        <f ca="1"/>
        <v>26.27</v>
      </c>
      <c r="AW136" s="2">
        <f t="shared" ca="1" si="117"/>
        <v>8.445297504798421E-3</v>
      </c>
      <c r="AX136" s="2" vm="1998">
        <f ca="1"/>
        <v>91.66</v>
      </c>
      <c r="AY136" s="2">
        <f t="shared" ca="1" si="118"/>
        <v>2.1824530772584046E-4</v>
      </c>
      <c r="AZ136" s="2" vm="4875">
        <f ca="1"/>
        <v>526.80999999999995</v>
      </c>
      <c r="BA136" s="2">
        <f t="shared" ca="1" si="119"/>
        <v>1.1559361738896642E-2</v>
      </c>
      <c r="BB136" s="2" vm="4876">
        <f ca="1"/>
        <v>240.88</v>
      </c>
      <c r="BC136" s="2">
        <f t="shared" ca="1" si="120"/>
        <v>2.2454263763317595E-2</v>
      </c>
      <c r="BD136" s="2" vm="4877">
        <f ca="1"/>
        <v>38.75</v>
      </c>
      <c r="BE136" s="2">
        <f t="shared" ca="1" si="121"/>
        <v>1.1221294363256777E-2</v>
      </c>
      <c r="BF136" s="2" vm="4878">
        <f ca="1"/>
        <v>107.37</v>
      </c>
      <c r="BG136" s="2">
        <f t="shared" ca="1" si="122"/>
        <v>-8.587257617728463E-3</v>
      </c>
      <c r="BH136" s="2" vm="4879">
        <f ca="1"/>
        <v>136.68</v>
      </c>
      <c r="BI136" s="2">
        <f t="shared" ca="1" si="123"/>
        <v>-4.5156591405681318E-3</v>
      </c>
      <c r="BJ136" s="2" vm="4880">
        <f ca="1"/>
        <v>155.38</v>
      </c>
      <c r="BK136" s="2">
        <f t="shared" ca="1" si="124"/>
        <v>-1.502377179080827E-2</v>
      </c>
      <c r="BL136" s="2" vm="1989">
        <f ca="1"/>
        <v>73.3</v>
      </c>
      <c r="BM136" s="2">
        <f t="shared" ca="1" si="125"/>
        <v>-8.1190798376185175E-3</v>
      </c>
      <c r="BN136" s="2" vm="4881">
        <f ca="1"/>
        <v>318.48</v>
      </c>
      <c r="BO136" s="2">
        <f t="shared" ca="1" si="126"/>
        <v>-1.8804061677321234E-3</v>
      </c>
      <c r="BP136" s="2" vm="2403">
        <f ca="1"/>
        <v>87.29</v>
      </c>
      <c r="BQ136" s="2">
        <f t="shared" ca="1" si="127"/>
        <v>1.3938901149959377E-2</v>
      </c>
      <c r="BR136" s="2" vm="4882">
        <f ca="1"/>
        <v>1049.5899999999999</v>
      </c>
      <c r="BS136" s="2">
        <f t="shared" ca="1" si="128"/>
        <v>8.8913239902339621E-3</v>
      </c>
      <c r="BT136" s="2" vm="4883">
        <f ca="1"/>
        <v>165.73</v>
      </c>
      <c r="BU136" s="2">
        <f t="shared" ca="1" si="129"/>
        <v>-1.2806766738146329E-2</v>
      </c>
      <c r="BV136" s="2" vm="4884">
        <f ca="1"/>
        <v>142.26</v>
      </c>
      <c r="BW136" s="2">
        <f t="shared" ca="1" si="130"/>
        <v>-8.3647009619407294E-3</v>
      </c>
      <c r="BX136" s="2" vm="4885">
        <f ca="1"/>
        <v>209.72</v>
      </c>
      <c r="BY136" s="2">
        <f t="shared" ca="1" si="131"/>
        <v>-1.8256717535811279E-2</v>
      </c>
      <c r="BZ136" s="2" vm="4886">
        <f ca="1"/>
        <v>81.680000000000007</v>
      </c>
      <c r="CA136" s="2">
        <f t="shared" ca="1" si="132"/>
        <v>5.9113300492611327E-3</v>
      </c>
      <c r="CB136" s="2" vm="4887">
        <f ca="1"/>
        <v>24.79</v>
      </c>
      <c r="CC136" s="2">
        <f t="shared" ca="1" si="133"/>
        <v>3.2375556454875879E-3</v>
      </c>
      <c r="CD136" s="2" t="e" vm="92">
        <f ca="1"/>
        <v>#N/A</v>
      </c>
      <c r="CE136" s="2" t="e" vm="140">
        <f t="shared" ca="1" si="134"/>
        <v>#N/A</v>
      </c>
      <c r="CF136" s="2" vm="861">
        <f ca="1"/>
        <v>22.77</v>
      </c>
      <c r="CG136" s="2">
        <f t="shared" ca="1" si="135"/>
        <v>1.3192612137203667E-3</v>
      </c>
      <c r="CH136" s="2" vm="4888">
        <f ca="1"/>
        <v>58.655000000000001</v>
      </c>
      <c r="CI136" s="2">
        <f t="shared" ca="1" si="136"/>
        <v>-7.6660988074960315E-4</v>
      </c>
      <c r="CJ136" s="2" vm="485">
        <f ca="1"/>
        <v>59.12</v>
      </c>
      <c r="CK136" s="2">
        <f t="shared" ca="1" si="137"/>
        <v>-1.691188905801643E-4</v>
      </c>
      <c r="CL136" s="2" vm="2208">
        <f ca="1"/>
        <v>55.51</v>
      </c>
      <c r="CM136" s="2">
        <f t="shared" ca="1" si="138"/>
        <v>9.0892564988183967E-3</v>
      </c>
      <c r="CN136" s="2" vm="1399">
        <f ca="1"/>
        <v>28.47</v>
      </c>
      <c r="CO136" s="2">
        <f t="shared" ca="1" si="139"/>
        <v>2.8178936245156143E-3</v>
      </c>
      <c r="CP136" s="2" vm="4889">
        <f ca="1"/>
        <v>21.013999999999999</v>
      </c>
      <c r="CQ136" s="2">
        <f t="shared" ca="1" si="140"/>
        <v>-2.1131609563833759E-3</v>
      </c>
    </row>
    <row r="137" spans="1:95" x14ac:dyDescent="0.2">
      <c r="A137" s="7" vm="4890">
        <f ca="1"/>
        <v>45771</v>
      </c>
      <c r="B137" s="2" vm="4891">
        <f ca="1"/>
        <v>208.37</v>
      </c>
      <c r="C137" s="2">
        <f t="shared" ca="1" si="94"/>
        <v>1.8426197458455574E-2</v>
      </c>
      <c r="D137" s="2" vm="4892">
        <f ca="1"/>
        <v>106.43</v>
      </c>
      <c r="E137" s="2">
        <f t="shared" ca="1" si="95"/>
        <v>3.6218479213319187E-2</v>
      </c>
      <c r="F137" s="2" vm="4893">
        <f ca="1"/>
        <v>387.3</v>
      </c>
      <c r="G137" s="2">
        <f t="shared" ca="1" si="96"/>
        <v>3.4482758620689724E-2</v>
      </c>
      <c r="H137" s="2" vm="4894">
        <f ca="1"/>
        <v>533.15</v>
      </c>
      <c r="I137" s="2">
        <f t="shared" ca="1" si="97"/>
        <v>2.4756376496818951E-2</v>
      </c>
      <c r="J137" s="2" vm="4895">
        <f ca="1"/>
        <v>159.28</v>
      </c>
      <c r="K137" s="2">
        <f t="shared" ca="1" si="98"/>
        <v>2.5297714837463837E-2</v>
      </c>
      <c r="L137" s="2" vm="4896">
        <f ca="1"/>
        <v>546.69000000000005</v>
      </c>
      <c r="M137" s="2">
        <f t="shared" ca="1" si="99"/>
        <v>2.1048896193642554E-2</v>
      </c>
      <c r="N137" s="2" vm="1402">
        <f ca="1"/>
        <v>88.24</v>
      </c>
      <c r="O137" s="2">
        <f t="shared" ca="1" si="100"/>
        <v>1.0535959688502081E-2</v>
      </c>
      <c r="P137" s="2" vm="4897">
        <f ca="1"/>
        <v>308.07</v>
      </c>
      <c r="Q137" s="2">
        <f t="shared" ca="1" si="101"/>
        <v>1.4556232504528293E-2</v>
      </c>
      <c r="R137" s="2" vm="4898">
        <f ca="1"/>
        <v>68.459999999999994</v>
      </c>
      <c r="S137" s="2">
        <f t="shared" ca="1" si="102"/>
        <v>6.0249816311535136E-3</v>
      </c>
      <c r="T137" s="2" vm="4899">
        <f ca="1"/>
        <v>94.85</v>
      </c>
      <c r="U137" s="2">
        <f t="shared" ca="1" si="103"/>
        <v>5.4059783760863987E-3</v>
      </c>
      <c r="V137" s="2" vm="4900">
        <f ca="1"/>
        <v>46.4651</v>
      </c>
      <c r="W137" s="2">
        <f t="shared" ca="1" si="104"/>
        <v>5.8469531334559878E-3</v>
      </c>
      <c r="X137" s="2" vm="4901">
        <f ca="1"/>
        <v>133.32</v>
      </c>
      <c r="Y137" s="2">
        <f t="shared" ca="1" si="105"/>
        <v>5.3496641643619093E-2</v>
      </c>
      <c r="Z137" s="2" vm="4902">
        <f ca="1"/>
        <v>82.54</v>
      </c>
      <c r="AA137" s="2">
        <f t="shared" ca="1" si="106"/>
        <v>1.600196947316607E-2</v>
      </c>
      <c r="AB137" s="2" vm="4903">
        <f ca="1"/>
        <v>12.82</v>
      </c>
      <c r="AC137" s="2">
        <f t="shared" ca="1" si="107"/>
        <v>4.8242027800490583E-2</v>
      </c>
      <c r="AD137" s="2" t="e" vm="92">
        <f ca="1"/>
        <v>#N/A</v>
      </c>
      <c r="AE137" s="2" t="e" vm="140">
        <f t="shared" ca="1" si="108"/>
        <v>#N/A</v>
      </c>
      <c r="AF137" s="2" vm="4871">
        <f ca="1"/>
        <v>30.56</v>
      </c>
      <c r="AG137" s="2">
        <f t="shared" ca="1" si="109"/>
        <v>0</v>
      </c>
      <c r="AH137" s="2" vm="1742">
        <f ca="1"/>
        <v>27.25</v>
      </c>
      <c r="AI137" s="2">
        <f t="shared" ca="1" si="110"/>
        <v>1.038190582128295E-2</v>
      </c>
      <c r="AJ137" s="2" vm="4301">
        <f ca="1"/>
        <v>4.62</v>
      </c>
      <c r="AK137" s="2">
        <f t="shared" ca="1" si="111"/>
        <v>-2.1598272138228483E-3</v>
      </c>
      <c r="AL137" s="2" vm="4904">
        <f ca="1"/>
        <v>66.19</v>
      </c>
      <c r="AM137" s="2">
        <f t="shared" ca="1" si="112"/>
        <v>1.4250689549494216E-2</v>
      </c>
      <c r="AN137" s="2" vm="4905">
        <f ca="1"/>
        <v>89.02</v>
      </c>
      <c r="AO137" s="2">
        <f t="shared" ca="1" si="113"/>
        <v>6.5581184984169864E-3</v>
      </c>
      <c r="AP137" s="2" vm="2373">
        <f ca="1"/>
        <v>26.62</v>
      </c>
      <c r="AQ137" s="2">
        <f t="shared" ca="1" si="114"/>
        <v>4.5283018867924903E-3</v>
      </c>
      <c r="AR137" s="2" vm="2265">
        <f ca="1"/>
        <v>50.87</v>
      </c>
      <c r="AS137" s="2">
        <f t="shared" ca="1" si="115"/>
        <v>7.8693684831790574E-4</v>
      </c>
      <c r="AT137" s="2" vm="3627">
        <f ca="1"/>
        <v>29.25</v>
      </c>
      <c r="AU137" s="2">
        <f t="shared" ca="1" si="116"/>
        <v>6.842285323297836E-4</v>
      </c>
      <c r="AV137" s="2" vm="1437">
        <f ca="1"/>
        <v>26.53</v>
      </c>
      <c r="AW137" s="2">
        <f t="shared" ca="1" si="117"/>
        <v>9.8972211648268582E-3</v>
      </c>
      <c r="AX137" s="2" vm="1998">
        <f ca="1"/>
        <v>91.66</v>
      </c>
      <c r="AY137" s="2">
        <f t="shared" ca="1" si="118"/>
        <v>0</v>
      </c>
      <c r="AZ137" s="2" vm="4906">
        <f ca="1"/>
        <v>531.64</v>
      </c>
      <c r="BA137" s="2">
        <f t="shared" ca="1" si="119"/>
        <v>9.168390880962855E-3</v>
      </c>
      <c r="BB137" s="2" vm="4907">
        <f ca="1"/>
        <v>244.64</v>
      </c>
      <c r="BC137" s="2">
        <f t="shared" ca="1" si="120"/>
        <v>1.5609432082364625E-2</v>
      </c>
      <c r="BD137" s="2" vm="4908">
        <f ca="1"/>
        <v>39.58</v>
      </c>
      <c r="BE137" s="2">
        <f t="shared" ca="1" si="121"/>
        <v>2.1419354838709635E-2</v>
      </c>
      <c r="BF137" s="2" vm="4909">
        <f ca="1"/>
        <v>108.63</v>
      </c>
      <c r="BG137" s="2">
        <f t="shared" ca="1" si="122"/>
        <v>1.1735121542330175E-2</v>
      </c>
      <c r="BH137" s="2" vm="4910">
        <f ca="1"/>
        <v>139.07</v>
      </c>
      <c r="BI137" s="2">
        <f t="shared" ca="1" si="123"/>
        <v>1.748609891717871E-2</v>
      </c>
      <c r="BJ137" s="2" vm="4911">
        <f ca="1"/>
        <v>154.93</v>
      </c>
      <c r="BK137" s="2">
        <f t="shared" ca="1" si="124"/>
        <v>-2.8961256274938128E-3</v>
      </c>
      <c r="BL137" s="2" vm="4912">
        <f ca="1"/>
        <v>72.52</v>
      </c>
      <c r="BM137" s="2">
        <f t="shared" ca="1" si="125"/>
        <v>-1.0641200545702608E-2</v>
      </c>
      <c r="BN137" s="2" vm="4913">
        <f ca="1"/>
        <v>316.22000000000003</v>
      </c>
      <c r="BO137" s="2">
        <f t="shared" ca="1" si="126"/>
        <v>-7.0962069831700288E-3</v>
      </c>
      <c r="BP137" s="2" vm="4914">
        <f ca="1"/>
        <v>90.01</v>
      </c>
      <c r="BQ137" s="2">
        <f t="shared" ca="1" si="127"/>
        <v>3.1160499484477015E-2</v>
      </c>
      <c r="BR137" s="2" vm="4915">
        <f ca="1"/>
        <v>1096.8699999999999</v>
      </c>
      <c r="BS137" s="2">
        <f t="shared" ca="1" si="128"/>
        <v>4.5046160881868136E-2</v>
      </c>
      <c r="BT137" s="2" vm="4916">
        <f ca="1"/>
        <v>159.53</v>
      </c>
      <c r="BU137" s="2">
        <f t="shared" ca="1" si="129"/>
        <v>-3.7410245580160435E-2</v>
      </c>
      <c r="BV137" s="2" vm="4917">
        <f ca="1"/>
        <v>135.31</v>
      </c>
      <c r="BW137" s="2">
        <f t="shared" ca="1" si="130"/>
        <v>-4.8854210600309214E-2</v>
      </c>
      <c r="BX137" s="2" vm="4918">
        <f ca="1"/>
        <v>215.95</v>
      </c>
      <c r="BY137" s="2">
        <f t="shared" ca="1" si="131"/>
        <v>2.9706275033377787E-2</v>
      </c>
      <c r="BZ137" s="2" vm="4743">
        <f ca="1"/>
        <v>82.77</v>
      </c>
      <c r="CA137" s="2">
        <f t="shared" ca="1" si="132"/>
        <v>1.3344760039177143E-2</v>
      </c>
      <c r="CB137" s="2" vm="4919">
        <f ca="1"/>
        <v>25.01</v>
      </c>
      <c r="CC137" s="2">
        <f t="shared" ca="1" si="133"/>
        <v>8.8745461879791224E-3</v>
      </c>
      <c r="CD137" s="2" t="e" vm="92">
        <f ca="1"/>
        <v>#N/A</v>
      </c>
      <c r="CE137" s="2" t="e" vm="140">
        <f t="shared" ca="1" si="134"/>
        <v>#N/A</v>
      </c>
      <c r="CF137" s="2" vm="526">
        <f ca="1"/>
        <v>22.86</v>
      </c>
      <c r="CG137" s="2">
        <f t="shared" ca="1" si="135"/>
        <v>3.952569169960468E-3</v>
      </c>
      <c r="CH137" s="2" vm="4920">
        <f ca="1"/>
        <v>58.73</v>
      </c>
      <c r="CI137" s="2">
        <f t="shared" ca="1" si="136"/>
        <v>1.2786633705565722E-3</v>
      </c>
      <c r="CJ137" s="2" vm="4921">
        <f ca="1"/>
        <v>59.35</v>
      </c>
      <c r="CK137" s="2">
        <f t="shared" ca="1" si="137"/>
        <v>3.890392422192219E-3</v>
      </c>
      <c r="CL137" s="2" vm="4922">
        <f ca="1"/>
        <v>56.04</v>
      </c>
      <c r="CM137" s="2">
        <f t="shared" ca="1" si="138"/>
        <v>9.5478292199603892E-3</v>
      </c>
      <c r="CN137" s="2" vm="247">
        <f ca="1"/>
        <v>28.71</v>
      </c>
      <c r="CO137" s="2">
        <f t="shared" ca="1" si="139"/>
        <v>8.4299262381454867E-3</v>
      </c>
      <c r="CP137" s="2" vm="4923">
        <f ca="1"/>
        <v>21.040500000000002</v>
      </c>
      <c r="CQ137" s="2">
        <f t="shared" ca="1" si="140"/>
        <v>1.2610640525365085E-3</v>
      </c>
    </row>
    <row r="138" spans="1:95" x14ac:dyDescent="0.2">
      <c r="A138" s="7" vm="4924">
        <f ca="1"/>
        <v>45772</v>
      </c>
      <c r="B138" s="2" vm="4925">
        <f ca="1"/>
        <v>209.28</v>
      </c>
      <c r="C138" s="2">
        <f t="shared" ca="1" si="94"/>
        <v>4.3672313672793424E-3</v>
      </c>
      <c r="D138" s="2" vm="4926">
        <f ca="1"/>
        <v>111.01</v>
      </c>
      <c r="E138" s="2">
        <f t="shared" ca="1" si="95"/>
        <v>4.3032979423094975E-2</v>
      </c>
      <c r="F138" s="2" vm="4927">
        <f ca="1"/>
        <v>391.85</v>
      </c>
      <c r="G138" s="2">
        <f t="shared" ca="1" si="96"/>
        <v>1.1747998967208911E-2</v>
      </c>
      <c r="H138" s="2" vm="4928">
        <f ca="1"/>
        <v>547.27</v>
      </c>
      <c r="I138" s="2">
        <f t="shared" ca="1" si="97"/>
        <v>2.6484103910719318E-2</v>
      </c>
      <c r="J138" s="2" vm="4929">
        <f ca="1"/>
        <v>161.96</v>
      </c>
      <c r="K138" s="2">
        <f t="shared" ca="1" si="98"/>
        <v>1.6825715720743387E-2</v>
      </c>
      <c r="L138" s="2" vm="4930">
        <f ca="1"/>
        <v>550.64</v>
      </c>
      <c r="M138" s="2">
        <f t="shared" ca="1" si="99"/>
        <v>7.2253013590882062E-3</v>
      </c>
      <c r="N138" s="2" vm="4931">
        <f ca="1"/>
        <v>88.89</v>
      </c>
      <c r="O138" s="2">
        <f t="shared" ca="1" si="100"/>
        <v>7.366273798730799E-3</v>
      </c>
      <c r="P138" s="2" vm="4932">
        <f ca="1"/>
        <v>304.73</v>
      </c>
      <c r="Q138" s="2">
        <f t="shared" ca="1" si="101"/>
        <v>-1.0841691823286835E-2</v>
      </c>
      <c r="R138" s="2" vm="4933">
        <f ca="1"/>
        <v>69.03</v>
      </c>
      <c r="S138" s="2">
        <f t="shared" ca="1" si="102"/>
        <v>8.3260297984225455E-3</v>
      </c>
      <c r="T138" s="2" vm="4934">
        <f ca="1"/>
        <v>95.21</v>
      </c>
      <c r="U138" s="2">
        <f t="shared" ca="1" si="103"/>
        <v>3.7954665260938264E-3</v>
      </c>
      <c r="V138" s="2" vm="4935">
        <f ca="1"/>
        <v>46.660600000000002</v>
      </c>
      <c r="W138" s="2">
        <f t="shared" ca="1" si="104"/>
        <v>4.207458931542226E-3</v>
      </c>
      <c r="X138" s="2" vm="4936">
        <f ca="1"/>
        <v>133.4</v>
      </c>
      <c r="Y138" s="2">
        <f t="shared" ca="1" si="105"/>
        <v>6.0006000600069389E-4</v>
      </c>
      <c r="Z138" s="2" vm="4937">
        <f ca="1"/>
        <v>82.39</v>
      </c>
      <c r="AA138" s="2">
        <f t="shared" ca="1" si="106"/>
        <v>-1.8173007026896738E-3</v>
      </c>
      <c r="AB138" s="2" vm="4938">
        <f ca="1"/>
        <v>12.93</v>
      </c>
      <c r="AC138" s="2">
        <f t="shared" ca="1" si="107"/>
        <v>8.5803432137285043E-3</v>
      </c>
      <c r="AD138" s="2" vm="4939">
        <f ca="1"/>
        <v>3.64</v>
      </c>
      <c r="AE138" s="2" t="e" vm="140">
        <f t="shared" ca="1" si="108"/>
        <v>#N/A</v>
      </c>
      <c r="AF138" s="2" vm="4940">
        <f ca="1"/>
        <v>30.05</v>
      </c>
      <c r="AG138" s="2">
        <f t="shared" ca="1" si="109"/>
        <v>-1.6688481675392604E-2</v>
      </c>
      <c r="AH138" s="2" vm="467">
        <f ca="1"/>
        <v>27.48</v>
      </c>
      <c r="AI138" s="2">
        <f t="shared" ca="1" si="110"/>
        <v>8.4403669724770793E-3</v>
      </c>
      <c r="AJ138" s="2" vm="4941">
        <f ca="1"/>
        <v>4.6399999999999997</v>
      </c>
      <c r="AK138" s="2">
        <f t="shared" ca="1" si="111"/>
        <v>4.3290043290042362E-3</v>
      </c>
      <c r="AL138" s="2" vm="4942">
        <f ca="1"/>
        <v>65.44</v>
      </c>
      <c r="AM138" s="2">
        <f t="shared" ca="1" si="112"/>
        <v>-1.133101676990482E-2</v>
      </c>
      <c r="AN138" s="2" vm="3219">
        <f ca="1"/>
        <v>88.97</v>
      </c>
      <c r="AO138" s="2">
        <f t="shared" ca="1" si="113"/>
        <v>-5.6167153448660029E-4</v>
      </c>
      <c r="AP138" s="2" vm="3896">
        <f ca="1"/>
        <v>26.64</v>
      </c>
      <c r="AQ138" s="2">
        <f t="shared" ca="1" si="114"/>
        <v>7.5131480090156176E-4</v>
      </c>
      <c r="AR138" s="2" vm="843">
        <f ca="1"/>
        <v>50.88</v>
      </c>
      <c r="AS138" s="2">
        <f t="shared" ca="1" si="115"/>
        <v>1.9657951641449019E-4</v>
      </c>
      <c r="AT138" s="2" vm="3691">
        <f ca="1"/>
        <v>29.28</v>
      </c>
      <c r="AU138" s="2">
        <f t="shared" ca="1" si="116"/>
        <v>1.0256410256410645E-3</v>
      </c>
      <c r="AV138" s="2" vm="3382">
        <f ca="1"/>
        <v>26.69</v>
      </c>
      <c r="AW138" s="2">
        <f t="shared" ca="1" si="117"/>
        <v>6.0309084055785956E-3</v>
      </c>
      <c r="AX138" s="2" vm="468">
        <f ca="1"/>
        <v>91.7</v>
      </c>
      <c r="AY138" s="2">
        <f t="shared" ca="1" si="118"/>
        <v>4.363953742091016E-4</v>
      </c>
      <c r="AZ138" s="2" vm="4943">
        <f ca="1"/>
        <v>530.96</v>
      </c>
      <c r="BA138" s="2">
        <f t="shared" ca="1" si="119"/>
        <v>-1.2790610187343879E-3</v>
      </c>
      <c r="BB138" s="2" vm="4944">
        <f ca="1"/>
        <v>243.55</v>
      </c>
      <c r="BC138" s="2">
        <f t="shared" ca="1" si="120"/>
        <v>-4.455526487900487E-3</v>
      </c>
      <c r="BD138" s="2" vm="4945">
        <f ca="1"/>
        <v>39.69</v>
      </c>
      <c r="BE138" s="2">
        <f t="shared" ca="1" si="121"/>
        <v>2.7791814047498594E-3</v>
      </c>
      <c r="BF138" s="2" vm="4946">
        <f ca="1"/>
        <v>108.57</v>
      </c>
      <c r="BG138" s="2">
        <f t="shared" ca="1" si="122"/>
        <v>-5.5233360950015901E-4</v>
      </c>
      <c r="BH138" s="2" vm="4947">
        <f ca="1"/>
        <v>138.72999999999999</v>
      </c>
      <c r="BI138" s="2">
        <f t="shared" ca="1" si="123"/>
        <v>-2.4448119651974071E-3</v>
      </c>
      <c r="BJ138" s="2" vm="4948">
        <f ca="1"/>
        <v>154.58000000000001</v>
      </c>
      <c r="BK138" s="2">
        <f t="shared" ca="1" si="124"/>
        <v>-2.2590847479506508E-3</v>
      </c>
      <c r="BL138" s="2" vm="4949">
        <f ca="1"/>
        <v>71.91</v>
      </c>
      <c r="BM138" s="2">
        <f t="shared" ca="1" si="125"/>
        <v>-8.4114726971869763E-3</v>
      </c>
      <c r="BN138" s="2" vm="4950">
        <f ca="1"/>
        <v>316.74</v>
      </c>
      <c r="BO138" s="2">
        <f t="shared" ca="1" si="126"/>
        <v>1.6444247675668261E-3</v>
      </c>
      <c r="BP138" s="2" vm="458">
        <f ca="1"/>
        <v>90.28</v>
      </c>
      <c r="BQ138" s="2">
        <f t="shared" ca="1" si="127"/>
        <v>2.9996667036995446E-3</v>
      </c>
      <c r="BR138" s="2" vm="4951">
        <f ca="1"/>
        <v>1101.53</v>
      </c>
      <c r="BS138" s="2">
        <f t="shared" ca="1" si="128"/>
        <v>4.2484524145979764E-3</v>
      </c>
      <c r="BT138" s="2" vm="4214">
        <f ca="1"/>
        <v>161.02000000000001</v>
      </c>
      <c r="BU138" s="2">
        <f t="shared" ca="1" si="129"/>
        <v>9.3399360621827191E-3</v>
      </c>
      <c r="BV138" s="2" vm="4952">
        <f ca="1"/>
        <v>133.38</v>
      </c>
      <c r="BW138" s="2">
        <f t="shared" ca="1" si="130"/>
        <v>-1.4263542975389896E-2</v>
      </c>
      <c r="BX138" s="2" vm="4953">
        <f ca="1"/>
        <v>216.28</v>
      </c>
      <c r="BY138" s="2">
        <f t="shared" ca="1" si="131"/>
        <v>1.5281315119241145E-3</v>
      </c>
      <c r="BZ138" s="2" vm="4954">
        <f ca="1"/>
        <v>83.02</v>
      </c>
      <c r="CA138" s="2">
        <f t="shared" ca="1" si="132"/>
        <v>3.0204180258547784E-3</v>
      </c>
      <c r="CB138" s="2" vm="4955">
        <f ca="1"/>
        <v>25.14</v>
      </c>
      <c r="CC138" s="2">
        <f t="shared" ca="1" si="133"/>
        <v>5.1979208316672932E-3</v>
      </c>
      <c r="CD138" s="2" t="e" vm="92">
        <f ca="1"/>
        <v>#N/A</v>
      </c>
      <c r="CE138" s="2" t="e" vm="140">
        <f t="shared" ca="1" si="134"/>
        <v>#N/A</v>
      </c>
      <c r="CF138" s="2" vm="1802">
        <f ca="1"/>
        <v>22.92</v>
      </c>
      <c r="CG138" s="2">
        <f t="shared" ca="1" si="135"/>
        <v>2.6246719160105984E-3</v>
      </c>
      <c r="CH138" s="2" vm="4956">
        <f ca="1"/>
        <v>58.78</v>
      </c>
      <c r="CI138" s="2">
        <f t="shared" ca="1" si="136"/>
        <v>8.51353652307241E-4</v>
      </c>
      <c r="CJ138" s="2" vm="4957">
        <f ca="1"/>
        <v>59.5</v>
      </c>
      <c r="CK138" s="2">
        <f t="shared" ca="1" si="137"/>
        <v>2.5273799494523771E-3</v>
      </c>
      <c r="CL138" s="2" vm="4958">
        <f ca="1"/>
        <v>56.41</v>
      </c>
      <c r="CM138" s="2">
        <f t="shared" ca="1" si="138"/>
        <v>6.6024268379728307E-3</v>
      </c>
      <c r="CN138" s="2" vm="3579">
        <f ca="1"/>
        <v>28.83</v>
      </c>
      <c r="CO138" s="2">
        <f t="shared" ca="1" si="139"/>
        <v>4.1797283176592632E-3</v>
      </c>
      <c r="CP138" s="2" vm="4959">
        <f ca="1"/>
        <v>21.0242</v>
      </c>
      <c r="CQ138" s="2">
        <f t="shared" ca="1" si="140"/>
        <v>-7.7469641881139188E-4</v>
      </c>
    </row>
    <row r="139" spans="1:95" x14ac:dyDescent="0.2">
      <c r="A139" s="7" vm="4960">
        <f ca="1"/>
        <v>45775</v>
      </c>
      <c r="B139" s="2" vm="4961">
        <f ca="1"/>
        <v>210.14</v>
      </c>
      <c r="C139" s="2">
        <f t="shared" ca="1" si="94"/>
        <v>4.1093272171253119E-3</v>
      </c>
      <c r="D139" s="2" vm="4962">
        <f ca="1"/>
        <v>108.73</v>
      </c>
      <c r="E139" s="2">
        <f t="shared" ca="1" si="95"/>
        <v>-2.053869020808937E-2</v>
      </c>
      <c r="F139" s="2" vm="4963">
        <f ca="1"/>
        <v>391.16</v>
      </c>
      <c r="G139" s="2">
        <f t="shared" ca="1" si="96"/>
        <v>-1.7608778869465298E-3</v>
      </c>
      <c r="H139" s="2" vm="4964">
        <f ca="1"/>
        <v>549.74</v>
      </c>
      <c r="I139" s="2">
        <f t="shared" ca="1" si="97"/>
        <v>4.5133115281305886E-3</v>
      </c>
      <c r="J139" s="2" vm="723">
        <f ca="1"/>
        <v>160.61000000000001</v>
      </c>
      <c r="K139" s="2">
        <f t="shared" ca="1" si="98"/>
        <v>-8.3353914546801331E-3</v>
      </c>
      <c r="L139" s="2" vm="4965">
        <f ca="1"/>
        <v>550.85</v>
      </c>
      <c r="M139" s="2">
        <f t="shared" ca="1" si="99"/>
        <v>3.8137440069743641E-4</v>
      </c>
      <c r="N139" s="2" vm="4966">
        <f ca="1"/>
        <v>89.45</v>
      </c>
      <c r="O139" s="2">
        <f t="shared" ca="1" si="100"/>
        <v>6.2999212509843886E-3</v>
      </c>
      <c r="P139" s="2" vm="4967">
        <f ca="1"/>
        <v>309.07</v>
      </c>
      <c r="Q139" s="2">
        <f t="shared" ca="1" si="101"/>
        <v>1.4242115971515685E-2</v>
      </c>
      <c r="R139" s="2" vm="4968">
        <f ca="1"/>
        <v>67.760000000000005</v>
      </c>
      <c r="S139" s="2">
        <f t="shared" ca="1" si="102"/>
        <v>-1.8397798058814949E-2</v>
      </c>
      <c r="T139" s="2" vm="4969">
        <f ca="1"/>
        <v>95.59</v>
      </c>
      <c r="U139" s="2">
        <f t="shared" ca="1" si="103"/>
        <v>3.9911773973323149E-3</v>
      </c>
      <c r="V139" s="2" vm="4970">
        <f ca="1"/>
        <v>46.9</v>
      </c>
      <c r="W139" s="2">
        <f t="shared" ca="1" si="104"/>
        <v>5.1306669867081925E-3</v>
      </c>
      <c r="X139" s="2" vm="4971">
        <f ca="1"/>
        <v>136.36000000000001</v>
      </c>
      <c r="Y139" s="2">
        <f t="shared" ca="1" si="105"/>
        <v>2.2188905547226447E-2</v>
      </c>
      <c r="Z139" s="2" vm="4972">
        <f ca="1"/>
        <v>82.97</v>
      </c>
      <c r="AA139" s="2">
        <f t="shared" ca="1" si="106"/>
        <v>7.0396892826799159E-3</v>
      </c>
      <c r="AB139" s="2" vm="4973">
        <f ca="1"/>
        <v>12.73</v>
      </c>
      <c r="AC139" s="2">
        <f t="shared" ca="1" si="107"/>
        <v>-1.5467904098994532E-2</v>
      </c>
      <c r="AD139" s="2" t="e" vm="92">
        <f ca="1"/>
        <v>#N/A</v>
      </c>
      <c r="AE139" s="2" t="e" vm="140">
        <f t="shared" ca="1" si="108"/>
        <v>#N/A</v>
      </c>
      <c r="AF139" s="2" vm="4974">
        <f ca="1"/>
        <v>30.19</v>
      </c>
      <c r="AG139" s="2">
        <f t="shared" ca="1" si="109"/>
        <v>4.6589018302828807E-3</v>
      </c>
      <c r="AH139" s="2" vm="3582">
        <f ca="1"/>
        <v>27.29</v>
      </c>
      <c r="AI139" s="2">
        <f t="shared" ca="1" si="110"/>
        <v>-6.9141193595342529E-3</v>
      </c>
      <c r="AJ139" s="2" vm="4975">
        <f ca="1"/>
        <v>4.53</v>
      </c>
      <c r="AK139" s="2">
        <f t="shared" ca="1" si="111"/>
        <v>-2.3706896551724019E-2</v>
      </c>
      <c r="AL139" s="2" vm="4976">
        <f ca="1"/>
        <v>66.38</v>
      </c>
      <c r="AM139" s="2">
        <f t="shared" ca="1" si="112"/>
        <v>1.4364303178484073E-2</v>
      </c>
      <c r="AN139" s="2" vm="4977">
        <f ca="1"/>
        <v>90.56</v>
      </c>
      <c r="AO139" s="2">
        <f t="shared" ca="1" si="113"/>
        <v>1.7871192536810198E-2</v>
      </c>
      <c r="AP139" s="2" vm="4978">
        <f ca="1"/>
        <v>26.72</v>
      </c>
      <c r="AQ139" s="2">
        <f t="shared" ca="1" si="114"/>
        <v>3.0030030030029388E-3</v>
      </c>
      <c r="AR139" s="2" vm="121">
        <f ca="1"/>
        <v>50.89</v>
      </c>
      <c r="AS139" s="2">
        <f t="shared" ca="1" si="115"/>
        <v>1.9654088050310555E-4</v>
      </c>
      <c r="AT139" s="2" vm="4979">
        <f ca="1"/>
        <v>29.32</v>
      </c>
      <c r="AU139" s="2">
        <f t="shared" ca="1" si="116"/>
        <v>1.3661202185792057E-3</v>
      </c>
      <c r="AV139" s="2" vm="1203">
        <f ca="1"/>
        <v>26.84</v>
      </c>
      <c r="AW139" s="2">
        <f t="shared" ca="1" si="117"/>
        <v>5.6200824278755555E-3</v>
      </c>
      <c r="AX139" s="2" vm="554">
        <f ca="1"/>
        <v>91.71</v>
      </c>
      <c r="AY139" s="2">
        <f t="shared" ca="1" si="118"/>
        <v>1.0905125408932285E-4</v>
      </c>
      <c r="AZ139" s="2" vm="4980">
        <f ca="1"/>
        <v>530.94000000000005</v>
      </c>
      <c r="BA139" s="2">
        <f t="shared" ca="1" si="119"/>
        <v>-3.7667620913028869E-5</v>
      </c>
      <c r="BB139" s="2" vm="4981">
        <f ca="1"/>
        <v>243.22</v>
      </c>
      <c r="BC139" s="2">
        <f t="shared" ca="1" si="120"/>
        <v>-1.3549579141860499E-3</v>
      </c>
      <c r="BD139" s="2" vm="4982">
        <f ca="1"/>
        <v>39.78</v>
      </c>
      <c r="BE139" s="2">
        <f t="shared" ca="1" si="121"/>
        <v>2.2675736961452106E-3</v>
      </c>
      <c r="BF139" s="2" vm="4909">
        <f ca="1"/>
        <v>108.63</v>
      </c>
      <c r="BG139" s="2">
        <f t="shared" ca="1" si="122"/>
        <v>5.5263885051121196E-4</v>
      </c>
      <c r="BH139" s="2" vm="4983">
        <f ca="1"/>
        <v>140.1</v>
      </c>
      <c r="BI139" s="2">
        <f t="shared" ca="1" si="123"/>
        <v>9.8752973401571732E-3</v>
      </c>
      <c r="BJ139" s="2" vm="2600">
        <f ca="1"/>
        <v>155.35</v>
      </c>
      <c r="BK139" s="2">
        <f t="shared" ca="1" si="124"/>
        <v>4.9812394876438204E-3</v>
      </c>
      <c r="BL139" s="2" vm="4984">
        <f ca="1"/>
        <v>71.790000000000006</v>
      </c>
      <c r="BM139" s="2">
        <f t="shared" ca="1" si="125"/>
        <v>-1.6687526074258149E-3</v>
      </c>
      <c r="BN139" s="2" vm="4985">
        <f ca="1"/>
        <v>316.81</v>
      </c>
      <c r="BO139" s="2">
        <f t="shared" ca="1" si="126"/>
        <v>2.2100145229523639E-4</v>
      </c>
      <c r="BP139" s="2" vm="3013">
        <f ca="1"/>
        <v>90.16</v>
      </c>
      <c r="BQ139" s="2">
        <f t="shared" ca="1" si="127"/>
        <v>-1.3291980505095763E-3</v>
      </c>
      <c r="BR139" s="2" vm="4986">
        <f ca="1"/>
        <v>1110.3800000000001</v>
      </c>
      <c r="BS139" s="2">
        <f t="shared" ca="1" si="128"/>
        <v>8.0342795929299587E-3</v>
      </c>
      <c r="BT139" s="2" vm="4987">
        <f ca="1"/>
        <v>161.85</v>
      </c>
      <c r="BU139" s="2">
        <f t="shared" ca="1" si="129"/>
        <v>5.154639175257633E-3</v>
      </c>
      <c r="BV139" s="2" vm="4988">
        <f ca="1"/>
        <v>133.76</v>
      </c>
      <c r="BW139" s="2">
        <f t="shared" ca="1" si="130"/>
        <v>2.8490028490028149E-3</v>
      </c>
      <c r="BX139" s="2" vm="4989">
        <f ca="1"/>
        <v>214.76</v>
      </c>
      <c r="BY139" s="2">
        <f t="shared" ca="1" si="131"/>
        <v>-7.0279267616053737E-3</v>
      </c>
      <c r="BZ139" s="2" vm="4990">
        <f ca="1"/>
        <v>84.01</v>
      </c>
      <c r="CA139" s="2">
        <f t="shared" ca="1" si="132"/>
        <v>1.1924837388581175E-2</v>
      </c>
      <c r="CB139" s="2" vm="4991">
        <f ca="1"/>
        <v>25.39</v>
      </c>
      <c r="CC139" s="2">
        <f t="shared" ca="1" si="133"/>
        <v>9.9443118536197295E-3</v>
      </c>
      <c r="CD139" s="2" t="e" vm="92">
        <f ca="1"/>
        <v>#N/A</v>
      </c>
      <c r="CE139" s="2" t="e" vm="140">
        <f t="shared" ca="1" si="134"/>
        <v>#N/A</v>
      </c>
      <c r="CF139" s="2" vm="4992">
        <f ca="1"/>
        <v>22.99</v>
      </c>
      <c r="CG139" s="2">
        <f t="shared" ca="1" si="135"/>
        <v>3.0541012216403459E-3</v>
      </c>
      <c r="CH139" s="2" vm="4993">
        <f ca="1"/>
        <v>58.86</v>
      </c>
      <c r="CI139" s="2">
        <f t="shared" ca="1" si="136"/>
        <v>1.3610071452874837E-3</v>
      </c>
      <c r="CJ139" s="2" vm="4994">
        <f ca="1"/>
        <v>59.69</v>
      </c>
      <c r="CK139" s="2">
        <f t="shared" ca="1" si="137"/>
        <v>3.1932773109243314E-3</v>
      </c>
      <c r="CL139" s="2" vm="4995">
        <f ca="1"/>
        <v>56.72</v>
      </c>
      <c r="CM139" s="2">
        <f t="shared" ca="1" si="138"/>
        <v>5.4954795249069722E-3</v>
      </c>
      <c r="CN139" s="2" vm="2114">
        <f ca="1"/>
        <v>28.9</v>
      </c>
      <c r="CO139" s="2">
        <f t="shared" ca="1" si="139"/>
        <v>2.428026361429077E-3</v>
      </c>
      <c r="CP139" s="2" vm="4996">
        <f ca="1"/>
        <v>21.121700000000001</v>
      </c>
      <c r="CQ139" s="2">
        <f t="shared" ca="1" si="140"/>
        <v>4.6375129612541803E-3</v>
      </c>
    </row>
    <row r="140" spans="1:95" x14ac:dyDescent="0.2">
      <c r="A140" s="7" vm="4997">
        <f ca="1"/>
        <v>45776</v>
      </c>
      <c r="B140" s="2" vm="4998">
        <f ca="1"/>
        <v>211.21</v>
      </c>
      <c r="C140" s="2">
        <f t="shared" ca="1" si="94"/>
        <v>5.091843532882943E-3</v>
      </c>
      <c r="D140" s="2" vm="3292">
        <f ca="1"/>
        <v>109.02</v>
      </c>
      <c r="E140" s="2">
        <f t="shared" ca="1" si="95"/>
        <v>2.6671571783315738E-3</v>
      </c>
      <c r="F140" s="2" vm="4999">
        <f ca="1"/>
        <v>394.04</v>
      </c>
      <c r="G140" s="2">
        <f t="shared" ca="1" si="96"/>
        <v>7.3627160241333351E-3</v>
      </c>
      <c r="H140" s="2" vm="5000">
        <f ca="1"/>
        <v>554.44000000000005</v>
      </c>
      <c r="I140" s="2">
        <f t="shared" ca="1" si="97"/>
        <v>8.549496125441201E-3</v>
      </c>
      <c r="J140" s="2" vm="5001">
        <f ca="1"/>
        <v>160.16</v>
      </c>
      <c r="K140" s="2">
        <f t="shared" ca="1" si="98"/>
        <v>-2.8018180686135174E-3</v>
      </c>
      <c r="L140" s="2" vm="5002">
        <f ca="1"/>
        <v>554.32000000000005</v>
      </c>
      <c r="M140" s="2">
        <f t="shared" ca="1" si="99"/>
        <v>6.2993555414360119E-3</v>
      </c>
      <c r="N140" s="2" vm="913">
        <f ca="1"/>
        <v>90.2</v>
      </c>
      <c r="O140" s="2">
        <f t="shared" ca="1" si="100"/>
        <v>8.3845723868082728E-3</v>
      </c>
      <c r="P140" s="2" vm="5003">
        <f ca="1"/>
        <v>306.06</v>
      </c>
      <c r="Q140" s="2">
        <f t="shared" ca="1" si="101"/>
        <v>-9.7388941016597896E-3</v>
      </c>
      <c r="R140" s="2" vm="5004">
        <f ca="1"/>
        <v>65.849999999999994</v>
      </c>
      <c r="S140" s="2">
        <f t="shared" ca="1" si="102"/>
        <v>-2.818772136953971E-2</v>
      </c>
      <c r="T140" s="2" vm="4404">
        <f ca="1"/>
        <v>95.92</v>
      </c>
      <c r="U140" s="2">
        <f t="shared" ca="1" si="103"/>
        <v>3.4522439585730545E-3</v>
      </c>
      <c r="V140" s="2" vm="5005">
        <f ca="1"/>
        <v>46.945</v>
      </c>
      <c r="W140" s="2">
        <f t="shared" ca="1" si="104"/>
        <v>9.5948827292114509E-4</v>
      </c>
      <c r="X140" s="2" vm="5006">
        <f ca="1"/>
        <v>137.55000000000001</v>
      </c>
      <c r="Y140" s="2">
        <f t="shared" ca="1" si="105"/>
        <v>8.7268993839835548E-3</v>
      </c>
      <c r="Z140" s="2" vm="5007">
        <f ca="1"/>
        <v>82.73</v>
      </c>
      <c r="AA140" s="2">
        <f t="shared" ca="1" si="106"/>
        <v>-2.8926117873929718E-3</v>
      </c>
      <c r="AB140" s="2" vm="5008">
        <f ca="1"/>
        <v>12.45</v>
      </c>
      <c r="AC140" s="2">
        <f t="shared" ca="1" si="107"/>
        <v>-2.199528672427346E-2</v>
      </c>
      <c r="AD140" s="2" vm="5009">
        <f ca="1"/>
        <v>3.63</v>
      </c>
      <c r="AE140" s="2" t="e" vm="140">
        <f t="shared" ca="1" si="108"/>
        <v>#N/A</v>
      </c>
      <c r="AF140" s="2" vm="525">
        <f ca="1"/>
        <v>29.83</v>
      </c>
      <c r="AG140" s="2">
        <f t="shared" ca="1" si="109"/>
        <v>-1.1924478304074296E-2</v>
      </c>
      <c r="AH140" s="2" vm="2409">
        <f ca="1"/>
        <v>26.98</v>
      </c>
      <c r="AI140" s="2">
        <f t="shared" ca="1" si="110"/>
        <v>-1.1359472334188301E-2</v>
      </c>
      <c r="AJ140" s="2" vm="5010">
        <f ca="1"/>
        <v>4.4800000000000004</v>
      </c>
      <c r="AK140" s="2">
        <f t="shared" ca="1" si="111"/>
        <v>-1.1037527593818946E-2</v>
      </c>
      <c r="AL140" s="2" vm="5011">
        <f ca="1"/>
        <v>65.77</v>
      </c>
      <c r="AM140" s="2">
        <f t="shared" ca="1" si="112"/>
        <v>-9.1895149141307548E-3</v>
      </c>
      <c r="AN140" s="2" vm="835">
        <f ca="1"/>
        <v>89.57</v>
      </c>
      <c r="AO140" s="2">
        <f t="shared" ca="1" si="113"/>
        <v>-1.0931978798586673E-2</v>
      </c>
      <c r="AP140" s="2" vm="1477">
        <f ca="1"/>
        <v>26.77</v>
      </c>
      <c r="AQ140" s="2">
        <f t="shared" ca="1" si="114"/>
        <v>1.8712574850299668E-3</v>
      </c>
      <c r="AR140" s="2" vm="1746">
        <f ca="1"/>
        <v>50.92</v>
      </c>
      <c r="AS140" s="2">
        <f t="shared" ca="1" si="115"/>
        <v>5.8950677932798458E-4</v>
      </c>
      <c r="AT140" s="2" vm="3316">
        <f ca="1"/>
        <v>29.34</v>
      </c>
      <c r="AU140" s="2">
        <f t="shared" ca="1" si="116"/>
        <v>6.8212824010912599E-4</v>
      </c>
      <c r="AV140" s="2" vm="3898">
        <f ca="1"/>
        <v>27.05</v>
      </c>
      <c r="AW140" s="2">
        <f t="shared" ca="1" si="117"/>
        <v>7.8241430700447413E-3</v>
      </c>
      <c r="AX140" s="2" vm="554">
        <f ca="1"/>
        <v>91.71</v>
      </c>
      <c r="AY140" s="2">
        <f t="shared" ca="1" si="118"/>
        <v>0</v>
      </c>
      <c r="AZ140" s="2" vm="5012">
        <f ca="1"/>
        <v>534.57000000000005</v>
      </c>
      <c r="BA140" s="2">
        <f t="shared" ca="1" si="119"/>
        <v>6.8369307266357687E-3</v>
      </c>
      <c r="BB140" s="2" vm="1312">
        <f ca="1"/>
        <v>244.62</v>
      </c>
      <c r="BC140" s="2">
        <f t="shared" ca="1" si="120"/>
        <v>5.7561055834224389E-3</v>
      </c>
      <c r="BD140" s="2" vm="5013">
        <f ca="1"/>
        <v>39.99</v>
      </c>
      <c r="BE140" s="2">
        <f t="shared" ca="1" si="121"/>
        <v>5.2790346907994178E-3</v>
      </c>
      <c r="BF140" s="2" vm="5014">
        <f ca="1"/>
        <v>108.36</v>
      </c>
      <c r="BG140" s="2">
        <f t="shared" ca="1" si="122"/>
        <v>-2.485501242750585E-3</v>
      </c>
      <c r="BH140" s="2" vm="5015">
        <f ca="1"/>
        <v>139.30000000000001</v>
      </c>
      <c r="BI140" s="2">
        <f t="shared" ca="1" si="123"/>
        <v>-5.7102069950034475E-3</v>
      </c>
      <c r="BJ140" s="2" vm="5016">
        <f ca="1"/>
        <v>155.91</v>
      </c>
      <c r="BK140" s="2">
        <f t="shared" ca="1" si="124"/>
        <v>3.6047634373994352E-3</v>
      </c>
      <c r="BL140" s="2" vm="5017">
        <f ca="1"/>
        <v>72.349999999999994</v>
      </c>
      <c r="BM140" s="2">
        <f t="shared" ca="1" si="125"/>
        <v>7.8005293216323723E-3</v>
      </c>
      <c r="BN140" s="2" vm="5018">
        <f ca="1"/>
        <v>314.5</v>
      </c>
      <c r="BO140" s="2">
        <f t="shared" ca="1" si="126"/>
        <v>-7.2914365076860018E-3</v>
      </c>
      <c r="BP140" s="2" vm="2588">
        <f ca="1"/>
        <v>91.17</v>
      </c>
      <c r="BQ140" s="2">
        <f t="shared" ca="1" si="127"/>
        <v>1.1202307009760482E-2</v>
      </c>
      <c r="BR140" s="2" vm="5019">
        <f ca="1"/>
        <v>1125.6400000000001</v>
      </c>
      <c r="BS140" s="2">
        <f t="shared" ca="1" si="128"/>
        <v>1.3743042922242826E-2</v>
      </c>
      <c r="BT140" s="2" vm="5020">
        <f ca="1"/>
        <v>162.26</v>
      </c>
      <c r="BU140" s="2">
        <f t="shared" ca="1" si="129"/>
        <v>2.5332097621254038E-3</v>
      </c>
      <c r="BV140" s="2" vm="5021">
        <f ca="1"/>
        <v>134.31</v>
      </c>
      <c r="BW140" s="2">
        <f t="shared" ca="1" si="130"/>
        <v>4.1118421052632435E-3</v>
      </c>
      <c r="BX140" s="2" vm="5022">
        <f ca="1"/>
        <v>215.43</v>
      </c>
      <c r="BY140" s="2">
        <f t="shared" ca="1" si="131"/>
        <v>3.1197615943379399E-3</v>
      </c>
      <c r="BZ140" s="2" vm="5023">
        <f ca="1"/>
        <v>83.42</v>
      </c>
      <c r="CA140" s="2">
        <f t="shared" ca="1" si="132"/>
        <v>-7.0229734555410468E-3</v>
      </c>
      <c r="CB140" s="2" vm="504">
        <f ca="1"/>
        <v>25.2</v>
      </c>
      <c r="CC140" s="2">
        <f t="shared" ca="1" si="133"/>
        <v>-7.4832611264277777E-3</v>
      </c>
      <c r="CD140" s="2" t="e" vm="92">
        <f ca="1"/>
        <v>#N/A</v>
      </c>
      <c r="CE140" s="2" t="e" vm="140">
        <f t="shared" ca="1" si="134"/>
        <v>#N/A</v>
      </c>
      <c r="CF140" s="2" vm="5024">
        <f ca="1"/>
        <v>23.06</v>
      </c>
      <c r="CG140" s="2">
        <f t="shared" ca="1" si="135"/>
        <v>3.0448020878643014E-3</v>
      </c>
      <c r="CH140" s="2" vm="652">
        <f ca="1"/>
        <v>58.89</v>
      </c>
      <c r="CI140" s="2">
        <f t="shared" ca="1" si="136"/>
        <v>5.0968399592254737E-4</v>
      </c>
      <c r="CJ140" s="2" vm="4148">
        <f ca="1"/>
        <v>59.83</v>
      </c>
      <c r="CK140" s="2">
        <f t="shared" ca="1" si="137"/>
        <v>2.3454514994136469E-3</v>
      </c>
      <c r="CL140" s="2" vm="820">
        <f ca="1"/>
        <v>57.16</v>
      </c>
      <c r="CM140" s="2">
        <f t="shared" ca="1" si="138"/>
        <v>7.757404795486561E-3</v>
      </c>
      <c r="CN140" s="2" vm="2557">
        <f ca="1"/>
        <v>28.94</v>
      </c>
      <c r="CO140" s="2">
        <f t="shared" ca="1" si="139"/>
        <v>1.3840830449827924E-3</v>
      </c>
      <c r="CP140" s="2" vm="5025">
        <f ca="1"/>
        <v>21.290800000000001</v>
      </c>
      <c r="CQ140" s="2">
        <f t="shared" ca="1" si="140"/>
        <v>8.0059843667886696E-3</v>
      </c>
    </row>
    <row r="141" spans="1:95" x14ac:dyDescent="0.2">
      <c r="A141" s="7" vm="5026">
        <f ca="1"/>
        <v>45777</v>
      </c>
      <c r="B141" s="2" vm="5027">
        <f ca="1"/>
        <v>212.5</v>
      </c>
      <c r="C141" s="2">
        <f t="shared" ca="1" si="94"/>
        <v>6.1076653567539033E-3</v>
      </c>
      <c r="D141" s="2" vm="5028">
        <f ca="1"/>
        <v>108.92</v>
      </c>
      <c r="E141" s="2">
        <f t="shared" ca="1" si="95"/>
        <v>-9.1726288754351792E-4</v>
      </c>
      <c r="F141" s="2" vm="5029">
        <f ca="1"/>
        <v>395.26</v>
      </c>
      <c r="G141" s="2">
        <f t="shared" ca="1" si="96"/>
        <v>3.0961323723479096E-3</v>
      </c>
      <c r="H141" s="2" vm="5030">
        <f ca="1"/>
        <v>549</v>
      </c>
      <c r="I141" s="2">
        <f t="shared" ca="1" si="97"/>
        <v>-9.8117018974100967E-3</v>
      </c>
      <c r="J141" s="2" vm="5031">
        <f ca="1"/>
        <v>158.80000000000001</v>
      </c>
      <c r="K141" s="2">
        <f t="shared" ca="1" si="98"/>
        <v>-8.4915084915084E-3</v>
      </c>
      <c r="L141" s="2" vm="5032">
        <f ca="1"/>
        <v>554.54</v>
      </c>
      <c r="M141" s="2">
        <f t="shared" ca="1" si="99"/>
        <v>3.9688266705136666E-4</v>
      </c>
      <c r="N141" s="2" vm="4208">
        <f ca="1"/>
        <v>89.47</v>
      </c>
      <c r="O141" s="2">
        <f t="shared" ca="1" si="100"/>
        <v>-8.0931263858093558E-3</v>
      </c>
      <c r="P141" s="2" vm="5033">
        <f ca="1"/>
        <v>303.77</v>
      </c>
      <c r="Q141" s="2">
        <f t="shared" ca="1" si="101"/>
        <v>-7.4821930340456784E-3</v>
      </c>
      <c r="R141" s="2" vm="5034">
        <f ca="1"/>
        <v>63.56</v>
      </c>
      <c r="S141" s="2">
        <f t="shared" ca="1" si="102"/>
        <v>-3.4776006074411427E-2</v>
      </c>
      <c r="T141" s="2" vm="5035">
        <f ca="1"/>
        <v>96.07</v>
      </c>
      <c r="U141" s="2">
        <f t="shared" ca="1" si="103"/>
        <v>1.5638031693076676E-3</v>
      </c>
      <c r="V141" s="2" vm="5036">
        <f ca="1"/>
        <v>46.975000000000001</v>
      </c>
      <c r="W141" s="2">
        <f t="shared" ca="1" si="104"/>
        <v>6.3904569176698558E-4</v>
      </c>
      <c r="X141" s="2" vm="5037">
        <f ca="1"/>
        <v>136.47999999999999</v>
      </c>
      <c r="Y141" s="2">
        <f t="shared" ca="1" si="105"/>
        <v>-7.7789894583789277E-3</v>
      </c>
      <c r="Z141" s="2" vm="5038">
        <f ca="1"/>
        <v>80.5</v>
      </c>
      <c r="AA141" s="2">
        <f t="shared" ca="1" si="106"/>
        <v>-2.6955155324549788E-2</v>
      </c>
      <c r="AB141" s="2" vm="5039">
        <f ca="1"/>
        <v>12.01</v>
      </c>
      <c r="AC141" s="2">
        <f t="shared" ca="1" si="107"/>
        <v>-3.5341365461847352E-2</v>
      </c>
      <c r="AD141" s="2" vm="4206">
        <f ca="1"/>
        <v>3.5</v>
      </c>
      <c r="AE141" s="2">
        <f t="shared" ca="1" si="108"/>
        <v>-3.5812672176308513E-2</v>
      </c>
      <c r="AF141" s="2" vm="2354">
        <f ca="1"/>
        <v>29.6</v>
      </c>
      <c r="AG141" s="2">
        <f t="shared" ca="1" si="109"/>
        <v>-7.7103586992959064E-3</v>
      </c>
      <c r="AH141" s="2" vm="3643">
        <f ca="1"/>
        <v>26.81</v>
      </c>
      <c r="AI141" s="2">
        <f t="shared" ca="1" si="110"/>
        <v>-6.3009636767976914E-3</v>
      </c>
      <c r="AJ141" s="2" vm="5040">
        <f ca="1"/>
        <v>4.5199999999999996</v>
      </c>
      <c r="AK141" s="2">
        <f t="shared" ca="1" si="111"/>
        <v>8.9285714285712373E-3</v>
      </c>
      <c r="AL141" s="2" vm="4873">
        <f ca="1"/>
        <v>65.260000000000005</v>
      </c>
      <c r="AM141" s="2">
        <f t="shared" ca="1" si="112"/>
        <v>-7.754295271400197E-3</v>
      </c>
      <c r="AN141" s="2" vm="5041">
        <f ca="1"/>
        <v>88.49</v>
      </c>
      <c r="AO141" s="2">
        <f t="shared" ca="1" si="113"/>
        <v>-1.2057608574299413E-2</v>
      </c>
      <c r="AP141" s="2" vm="5042">
        <f ca="1"/>
        <v>26.83</v>
      </c>
      <c r="AQ141" s="2">
        <f t="shared" ca="1" si="114"/>
        <v>2.2413149047440686E-3</v>
      </c>
      <c r="AR141" s="2" vm="1746">
        <f ca="1"/>
        <v>50.92</v>
      </c>
      <c r="AS141" s="2">
        <f t="shared" ca="1" si="115"/>
        <v>0</v>
      </c>
      <c r="AT141" s="2" vm="1608">
        <f ca="1"/>
        <v>29.38</v>
      </c>
      <c r="AU141" s="2">
        <f t="shared" ca="1" si="116"/>
        <v>1.3633265167007208E-3</v>
      </c>
      <c r="AV141" s="2" vm="1242">
        <f ca="1"/>
        <v>26.9</v>
      </c>
      <c r="AW141" s="2">
        <f t="shared" ca="1" si="117"/>
        <v>-5.5452865064695798E-3</v>
      </c>
      <c r="AX141" s="2" vm="1406">
        <f ca="1"/>
        <v>91.72</v>
      </c>
      <c r="AY141" s="2">
        <f t="shared" ca="1" si="118"/>
        <v>1.0903936321017465E-4</v>
      </c>
      <c r="AZ141" s="2" vm="5043">
        <f ca="1"/>
        <v>533.25</v>
      </c>
      <c r="BA141" s="2">
        <f t="shared" ca="1" si="119"/>
        <v>-2.4692743700545296E-3</v>
      </c>
      <c r="BB141" s="2" vm="1312">
        <f ca="1"/>
        <v>244.62</v>
      </c>
      <c r="BC141" s="2">
        <f t="shared" ca="1" si="120"/>
        <v>0</v>
      </c>
      <c r="BD141" s="2" vm="5044">
        <f ca="1"/>
        <v>39.880000000000003</v>
      </c>
      <c r="BE141" s="2">
        <f t="shared" ca="1" si="121"/>
        <v>-2.7506876719179652E-3</v>
      </c>
      <c r="BF141" s="2" vm="5045">
        <f ca="1"/>
        <v>105.63</v>
      </c>
      <c r="BG141" s="2">
        <f t="shared" ca="1" si="122"/>
        <v>-2.5193798449612441E-2</v>
      </c>
      <c r="BH141" s="2" vm="5046">
        <f ca="1"/>
        <v>136.06</v>
      </c>
      <c r="BI141" s="2">
        <f t="shared" ca="1" si="123"/>
        <v>-2.3259152907394175E-2</v>
      </c>
      <c r="BJ141" s="2" vm="4689">
        <f ca="1"/>
        <v>156.31</v>
      </c>
      <c r="BK141" s="2">
        <f t="shared" ca="1" si="124"/>
        <v>2.5655827079725849E-3</v>
      </c>
      <c r="BL141" s="2" vm="5047">
        <f ca="1"/>
        <v>72.55</v>
      </c>
      <c r="BM141" s="2">
        <f t="shared" ca="1" si="125"/>
        <v>2.7643400138217394E-3</v>
      </c>
      <c r="BN141" s="2" vm="5048">
        <f ca="1"/>
        <v>319.64999999999998</v>
      </c>
      <c r="BO141" s="2">
        <f t="shared" ca="1" si="126"/>
        <v>1.6375198728139834E-2</v>
      </c>
      <c r="BP141" s="2" vm="3544">
        <f ca="1"/>
        <v>90.95</v>
      </c>
      <c r="BQ141" s="2">
        <f t="shared" ca="1" si="127"/>
        <v>-2.413074476253141E-3</v>
      </c>
      <c r="BR141" s="2" vm="5049">
        <f ca="1"/>
        <v>1131.72</v>
      </c>
      <c r="BS141" s="2">
        <f t="shared" ca="1" si="128"/>
        <v>5.4013716641199026E-3</v>
      </c>
      <c r="BT141" s="2" vm="5050">
        <f ca="1"/>
        <v>162.57</v>
      </c>
      <c r="BU141" s="2">
        <f t="shared" ca="1" si="129"/>
        <v>1.9105139898927788E-3</v>
      </c>
      <c r="BV141" s="2" vm="5051">
        <f ca="1"/>
        <v>135.58000000000001</v>
      </c>
      <c r="BW141" s="2">
        <f t="shared" ca="1" si="130"/>
        <v>9.4557367284640766E-3</v>
      </c>
      <c r="BX141" s="2" vm="5052">
        <f ca="1"/>
        <v>209.06</v>
      </c>
      <c r="BY141" s="2">
        <f t="shared" ca="1" si="131"/>
        <v>-2.9568769437868469E-2</v>
      </c>
      <c r="BZ141" s="2" vm="5053">
        <f ca="1"/>
        <v>81.19</v>
      </c>
      <c r="CA141" s="2">
        <f t="shared" ca="1" si="132"/>
        <v>-2.6732198513545958E-2</v>
      </c>
      <c r="CB141" s="2" vm="5054">
        <f ca="1"/>
        <v>24.44</v>
      </c>
      <c r="CC141" s="2">
        <f t="shared" ca="1" si="133"/>
        <v>-3.0158730158730079E-2</v>
      </c>
      <c r="CD141" s="2" t="e" vm="92">
        <f ca="1"/>
        <v>#N/A</v>
      </c>
      <c r="CE141" s="2" t="e" vm="140">
        <f t="shared" ca="1" si="134"/>
        <v>#N/A</v>
      </c>
      <c r="CF141" s="2" vm="5055">
        <f ca="1"/>
        <v>23.08</v>
      </c>
      <c r="CG141" s="2">
        <f t="shared" ca="1" si="135"/>
        <v>8.6730268863831632E-4</v>
      </c>
      <c r="CH141" s="2" vm="4064">
        <f ca="1"/>
        <v>58.98</v>
      </c>
      <c r="CI141" s="2">
        <f t="shared" ca="1" si="136"/>
        <v>1.5282730514517967E-3</v>
      </c>
      <c r="CJ141" s="2" vm="5056">
        <f ca="1"/>
        <v>59.97</v>
      </c>
      <c r="CK141" s="2">
        <f t="shared" ca="1" si="137"/>
        <v>2.339963229149266E-3</v>
      </c>
      <c r="CL141" s="2" vm="5057">
        <f ca="1"/>
        <v>56.84</v>
      </c>
      <c r="CM141" s="2">
        <f t="shared" ca="1" si="138"/>
        <v>-5.5983205038487261E-3</v>
      </c>
      <c r="CN141" s="2" vm="2964">
        <f ca="1"/>
        <v>28.84</v>
      </c>
      <c r="CO141" s="2">
        <f t="shared" ca="1" si="139"/>
        <v>-3.4554250172771739E-3</v>
      </c>
      <c r="CP141" s="2" vm="5058">
        <f ca="1"/>
        <v>21.5181</v>
      </c>
      <c r="CQ141" s="2">
        <f t="shared" ca="1" si="140"/>
        <v>1.0675972720611701E-2</v>
      </c>
    </row>
    <row r="142" spans="1:95" x14ac:dyDescent="0.2">
      <c r="A142" s="7" vm="5059">
        <f ca="1"/>
        <v>45778</v>
      </c>
      <c r="B142" s="2" vm="5060">
        <f ca="1"/>
        <v>213.32</v>
      </c>
      <c r="C142" s="2">
        <f t="shared" ca="1" si="94"/>
        <v>3.8588235294117327E-3</v>
      </c>
      <c r="D142" s="2" vm="5061">
        <f ca="1"/>
        <v>111.61</v>
      </c>
      <c r="E142" s="2">
        <f t="shared" ca="1" si="95"/>
        <v>2.4697025339698839E-2</v>
      </c>
      <c r="F142" s="2" vm="5062">
        <f ca="1"/>
        <v>425.4</v>
      </c>
      <c r="G142" s="2">
        <f t="shared" ca="1" si="96"/>
        <v>7.6253605221879239E-2</v>
      </c>
      <c r="H142" s="2" vm="5063">
        <f ca="1"/>
        <v>572.21</v>
      </c>
      <c r="I142" s="2">
        <f t="shared" ca="1" si="97"/>
        <v>4.2276867030965455E-2</v>
      </c>
      <c r="J142" s="2" vm="2492">
        <f ca="1"/>
        <v>161.30000000000001</v>
      </c>
      <c r="K142" s="2">
        <f t="shared" ca="1" si="98"/>
        <v>1.5743073047858942E-2</v>
      </c>
      <c r="L142" s="2" vm="5064">
        <f ca="1"/>
        <v>558.47</v>
      </c>
      <c r="M142" s="2">
        <f t="shared" ca="1" si="99"/>
        <v>7.0869549536553972E-3</v>
      </c>
      <c r="N142" s="2" vm="3515">
        <f ca="1"/>
        <v>88.69</v>
      </c>
      <c r="O142" s="2">
        <f t="shared" ca="1" si="100"/>
        <v>-8.7180060355426525E-3</v>
      </c>
      <c r="P142" s="2" vm="5065">
        <f ca="1"/>
        <v>297.45999999999998</v>
      </c>
      <c r="Q142" s="2">
        <f t="shared" ca="1" si="101"/>
        <v>-2.0772294828324069E-2</v>
      </c>
      <c r="R142" s="2" vm="5066">
        <f ca="1"/>
        <v>64.52</v>
      </c>
      <c r="S142" s="2">
        <f t="shared" ca="1" si="102"/>
        <v>1.5103838892385049E-2</v>
      </c>
      <c r="T142" s="2" vm="5067">
        <f ca="1"/>
        <v>95.34</v>
      </c>
      <c r="U142" s="2">
        <f t="shared" ca="1" si="103"/>
        <v>-7.5986260018735281E-3</v>
      </c>
      <c r="V142" s="2" vm="5068">
        <f ca="1"/>
        <v>46.8307</v>
      </c>
      <c r="W142" s="2">
        <f t="shared" ca="1" si="104"/>
        <v>-3.071846726982463E-3</v>
      </c>
      <c r="X142" s="2" vm="5069">
        <f ca="1"/>
        <v>137.88999999999999</v>
      </c>
      <c r="Y142" s="2">
        <f t="shared" ca="1" si="105"/>
        <v>1.0331184056271958E-2</v>
      </c>
      <c r="Z142" s="2" vm="5070">
        <f ca="1"/>
        <v>80.8</v>
      </c>
      <c r="AA142" s="2">
        <f t="shared" ca="1" si="106"/>
        <v>3.7267080745341263E-3</v>
      </c>
      <c r="AB142" s="2" vm="5071">
        <f ca="1"/>
        <v>12.18</v>
      </c>
      <c r="AC142" s="2">
        <f t="shared" ca="1" si="107"/>
        <v>1.4154870940882592E-2</v>
      </c>
      <c r="AD142" s="2" vm="1740">
        <f ca="1"/>
        <v>3.2</v>
      </c>
      <c r="AE142" s="2">
        <f t="shared" ca="1" si="108"/>
        <v>-8.571428571428566E-2</v>
      </c>
      <c r="AF142" s="2" vm="1835">
        <f ca="1"/>
        <v>29.39</v>
      </c>
      <c r="AG142" s="2">
        <f t="shared" ca="1" si="109"/>
        <v>-7.0945945945946227E-3</v>
      </c>
      <c r="AH142" s="2" vm="2373">
        <f ca="1"/>
        <v>26.62</v>
      </c>
      <c r="AI142" s="2">
        <f t="shared" ca="1" si="110"/>
        <v>-7.0869078701976031E-3</v>
      </c>
      <c r="AJ142" s="2" vm="4975">
        <f ca="1"/>
        <v>4.53</v>
      </c>
      <c r="AK142" s="2">
        <f t="shared" ca="1" si="111"/>
        <v>2.212389380531123E-3</v>
      </c>
      <c r="AL142" s="2" vm="1015">
        <f ca="1"/>
        <v>63.92</v>
      </c>
      <c r="AM142" s="2">
        <f t="shared" ca="1" si="112"/>
        <v>-2.0533251608948869E-2</v>
      </c>
      <c r="AN142" s="2" vm="5072">
        <f ca="1"/>
        <v>88.28</v>
      </c>
      <c r="AO142" s="2">
        <f t="shared" ca="1" si="113"/>
        <v>-2.3731495084189599E-3</v>
      </c>
      <c r="AP142" s="2" vm="5073">
        <f ca="1"/>
        <v>26.61</v>
      </c>
      <c r="AQ142" s="2">
        <f t="shared" ca="1" si="114"/>
        <v>-8.1997763697353298E-3</v>
      </c>
      <c r="AR142" s="2" vm="5074">
        <f ca="1"/>
        <v>50.7</v>
      </c>
      <c r="AS142" s="2">
        <f t="shared" ca="1" si="115"/>
        <v>-4.3205027494108185E-3</v>
      </c>
      <c r="AT142" s="2" vm="694">
        <f ca="1"/>
        <v>29.24</v>
      </c>
      <c r="AU142" s="2">
        <f t="shared" ca="1" si="116"/>
        <v>-4.7651463580667313E-3</v>
      </c>
      <c r="AV142" s="2" vm="3896">
        <f ca="1"/>
        <v>26.64</v>
      </c>
      <c r="AW142" s="2">
        <f t="shared" ca="1" si="117"/>
        <v>-9.6654275092936063E-3</v>
      </c>
      <c r="AX142" s="2" vm="2342">
        <f ca="1"/>
        <v>91.43</v>
      </c>
      <c r="AY142" s="2">
        <f t="shared" ca="1" si="118"/>
        <v>-3.1617967727866556E-3</v>
      </c>
      <c r="AZ142" s="2" vm="5075">
        <f ca="1"/>
        <v>530.23</v>
      </c>
      <c r="BA142" s="2">
        <f t="shared" ca="1" si="119"/>
        <v>-5.6633849038911985E-3</v>
      </c>
      <c r="BB142" s="2" vm="5076">
        <f ca="1"/>
        <v>246.89</v>
      </c>
      <c r="BC142" s="2">
        <f t="shared" ca="1" si="120"/>
        <v>9.2796991251736637E-3</v>
      </c>
      <c r="BD142" s="2" vm="5077">
        <f ca="1"/>
        <v>40.17</v>
      </c>
      <c r="BE142" s="2">
        <f t="shared" ca="1" si="121"/>
        <v>7.2718154463389953E-3</v>
      </c>
      <c r="BF142" s="2" vm="5078">
        <f ca="1"/>
        <v>105.78</v>
      </c>
      <c r="BG142" s="2">
        <f t="shared" ca="1" si="122"/>
        <v>1.4200511218404402E-3</v>
      </c>
      <c r="BH142" s="2" vm="5079">
        <f ca="1"/>
        <v>136.26</v>
      </c>
      <c r="BI142" s="2">
        <f t="shared" ca="1" si="123"/>
        <v>1.4699397324708851E-3</v>
      </c>
      <c r="BJ142" s="2" vm="5080">
        <f ca="1"/>
        <v>154.46</v>
      </c>
      <c r="BK142" s="2">
        <f t="shared" ca="1" si="124"/>
        <v>-1.1835455185208843E-2</v>
      </c>
      <c r="BL142" s="2" vm="1151">
        <f ca="1"/>
        <v>71.290000000000006</v>
      </c>
      <c r="BM142" s="2">
        <f t="shared" ca="1" si="125"/>
        <v>-1.7367332873879957E-2</v>
      </c>
      <c r="BN142" s="2" vm="5081">
        <f ca="1"/>
        <v>313.64</v>
      </c>
      <c r="BO142" s="2">
        <f t="shared" ca="1" si="126"/>
        <v>-1.8801814484592495E-2</v>
      </c>
      <c r="BP142" s="2" vm="5082">
        <f ca="1"/>
        <v>90.81</v>
      </c>
      <c r="BQ142" s="2">
        <f t="shared" ca="1" si="127"/>
        <v>-1.5393073117097368E-3</v>
      </c>
      <c r="BR142" s="2" vm="5083">
        <f ca="1"/>
        <v>1133.47</v>
      </c>
      <c r="BS142" s="2">
        <f t="shared" ca="1" si="128"/>
        <v>1.546318877460856E-3</v>
      </c>
      <c r="BT142" s="2" vm="5084">
        <f ca="1"/>
        <v>159.97999999999999</v>
      </c>
      <c r="BU142" s="2">
        <f t="shared" ca="1" si="129"/>
        <v>-1.5931598695946382E-2</v>
      </c>
      <c r="BV142" s="2" vm="5085">
        <f ca="1"/>
        <v>133.55000000000001</v>
      </c>
      <c r="BW142" s="2">
        <f t="shared" ca="1" si="130"/>
        <v>-1.4972709839209329E-2</v>
      </c>
      <c r="BX142" s="2" vm="5086">
        <f ca="1"/>
        <v>214.78</v>
      </c>
      <c r="BY142" s="2">
        <f t="shared" ca="1" si="131"/>
        <v>2.7360566344590064E-2</v>
      </c>
      <c r="BZ142" s="2" vm="5087">
        <f ca="1"/>
        <v>82.32</v>
      </c>
      <c r="CA142" s="2">
        <f t="shared" ca="1" si="132"/>
        <v>1.3917970193373513E-2</v>
      </c>
      <c r="CB142" s="2" vm="5088">
        <f ca="1"/>
        <v>24.93</v>
      </c>
      <c r="CC142" s="2">
        <f t="shared" ca="1" si="133"/>
        <v>2.0049099836333815E-2</v>
      </c>
      <c r="CD142" s="2" t="e" vm="92">
        <f ca="1"/>
        <v>#N/A</v>
      </c>
      <c r="CE142" s="2" t="e" vm="140">
        <f t="shared" ca="1" si="134"/>
        <v>#N/A</v>
      </c>
      <c r="CF142" s="2" vm="440">
        <f ca="1"/>
        <v>22.91</v>
      </c>
      <c r="CG142" s="2">
        <f t="shared" ca="1" si="135"/>
        <v>-7.3656845753898685E-3</v>
      </c>
      <c r="CH142" s="2" vm="4647">
        <f ca="1"/>
        <v>58.66</v>
      </c>
      <c r="CI142" s="2">
        <f t="shared" ca="1" si="136"/>
        <v>-5.4255679891488688E-3</v>
      </c>
      <c r="CJ142" s="2" vm="5089">
        <f ca="1"/>
        <v>59.54</v>
      </c>
      <c r="CK142" s="2">
        <f t="shared" ca="1" si="137"/>
        <v>-7.1702517925629431E-3</v>
      </c>
      <c r="CL142" s="2" vm="5090">
        <f ca="1"/>
        <v>56.3</v>
      </c>
      <c r="CM142" s="2">
        <f t="shared" ca="1" si="138"/>
        <v>-9.5003518648839932E-3</v>
      </c>
      <c r="CN142" s="2" vm="2357">
        <f ca="1"/>
        <v>28.64</v>
      </c>
      <c r="CO142" s="2">
        <f t="shared" ca="1" si="139"/>
        <v>-6.9348127600554537E-3</v>
      </c>
      <c r="CP142" s="2" vm="5091">
        <f ca="1"/>
        <v>21.552099999999999</v>
      </c>
      <c r="CQ142" s="2">
        <f t="shared" ca="1" si="140"/>
        <v>1.5800651544513186E-3</v>
      </c>
    </row>
    <row r="143" spans="1:95" x14ac:dyDescent="0.2">
      <c r="A143" s="7" vm="5092">
        <f ca="1"/>
        <v>45779</v>
      </c>
      <c r="B143" s="2" vm="5093">
        <f ca="1"/>
        <v>205.35</v>
      </c>
      <c r="C143" s="2">
        <f t="shared" ca="1" si="94"/>
        <v>-3.7361710106881676E-2</v>
      </c>
      <c r="D143" s="2" vm="5094">
        <f ca="1"/>
        <v>114.5</v>
      </c>
      <c r="E143" s="2">
        <f t="shared" ca="1" si="95"/>
        <v>2.5893737120329725E-2</v>
      </c>
      <c r="F143" s="2" vm="5095">
        <f ca="1"/>
        <v>435.28</v>
      </c>
      <c r="G143" s="2">
        <f t="shared" ca="1" si="96"/>
        <v>2.3225199811941693E-2</v>
      </c>
      <c r="H143" s="2" vm="5096">
        <f ca="1"/>
        <v>597.02</v>
      </c>
      <c r="I143" s="2">
        <f t="shared" ca="1" si="97"/>
        <v>4.3358207651037109E-2</v>
      </c>
      <c r="J143" s="2" vm="5097">
        <f ca="1"/>
        <v>164.03</v>
      </c>
      <c r="K143" s="2">
        <f t="shared" ca="1" si="98"/>
        <v>1.6924984500929878E-2</v>
      </c>
      <c r="L143" s="2" vm="5098">
        <f ca="1"/>
        <v>566.76</v>
      </c>
      <c r="M143" s="2">
        <f t="shared" ca="1" si="99"/>
        <v>1.4844127706053974E-2</v>
      </c>
      <c r="N143" s="2" vm="5099">
        <f ca="1"/>
        <v>87.73</v>
      </c>
      <c r="O143" s="2">
        <f t="shared" ca="1" si="100"/>
        <v>-1.0824219190438536E-2</v>
      </c>
      <c r="P143" s="2" vm="5100">
        <f ca="1"/>
        <v>297.98</v>
      </c>
      <c r="Q143" s="2">
        <f t="shared" ca="1" si="101"/>
        <v>1.7481342029181694E-3</v>
      </c>
      <c r="R143" s="2" vm="4630">
        <f ca="1"/>
        <v>64.010000000000005</v>
      </c>
      <c r="S143" s="2">
        <f t="shared" ca="1" si="102"/>
        <v>-7.9045257284561521E-3</v>
      </c>
      <c r="T143" s="2" vm="5101">
        <f ca="1"/>
        <v>94.7</v>
      </c>
      <c r="U143" s="2">
        <f t="shared" ca="1" si="103"/>
        <v>-6.7128172855045161E-3</v>
      </c>
      <c r="V143" s="2" vm="5102">
        <f ca="1"/>
        <v>46.671100000000003</v>
      </c>
      <c r="W143" s="2">
        <f t="shared" ca="1" si="104"/>
        <v>-3.4080208068638204E-3</v>
      </c>
      <c r="X143" s="2" vm="5103">
        <f ca="1"/>
        <v>135.37</v>
      </c>
      <c r="Y143" s="2">
        <f t="shared" ca="1" si="105"/>
        <v>-1.8275436942490262E-2</v>
      </c>
      <c r="Z143" s="2" vm="5104">
        <f ca="1"/>
        <v>81.98</v>
      </c>
      <c r="AA143" s="2">
        <f t="shared" ca="1" si="106"/>
        <v>1.4603960396039688E-2</v>
      </c>
      <c r="AB143" s="2" vm="5105">
        <f ca="1"/>
        <v>12.16</v>
      </c>
      <c r="AC143" s="2">
        <f t="shared" ca="1" si="107"/>
        <v>-1.6420361247947105E-3</v>
      </c>
      <c r="AD143" s="2" vm="4206">
        <f ca="1"/>
        <v>3.5</v>
      </c>
      <c r="AE143" s="2">
        <f t="shared" ca="1" si="108"/>
        <v>9.3749999999999944E-2</v>
      </c>
      <c r="AF143" s="2" vm="759">
        <f ca="1"/>
        <v>29.12</v>
      </c>
      <c r="AG143" s="2">
        <f t="shared" ca="1" si="109"/>
        <v>-9.1867982306906969E-3</v>
      </c>
      <c r="AH143" s="2" vm="3154">
        <f ca="1"/>
        <v>26.86</v>
      </c>
      <c r="AI143" s="2">
        <f t="shared" ca="1" si="110"/>
        <v>9.0157776108188738E-3</v>
      </c>
      <c r="AJ143" s="2" vm="5106">
        <f ca="1"/>
        <v>4.6100000000000003</v>
      </c>
      <c r="AK143" s="2">
        <f t="shared" ca="1" si="111"/>
        <v>1.7660044150110389E-2</v>
      </c>
      <c r="AL143" s="2" vm="3024">
        <f ca="1"/>
        <v>64.05</v>
      </c>
      <c r="AM143" s="2">
        <f t="shared" ca="1" si="112"/>
        <v>2.0337922403003044E-3</v>
      </c>
      <c r="AN143" s="2" vm="3441">
        <f ca="1"/>
        <v>88.21</v>
      </c>
      <c r="AO143" s="2">
        <f t="shared" ca="1" si="113"/>
        <v>-7.929315813322088E-4</v>
      </c>
      <c r="AP143" s="2" vm="2552">
        <f ca="1"/>
        <v>26.45</v>
      </c>
      <c r="AQ143" s="2">
        <f t="shared" ca="1" si="114"/>
        <v>-6.0127771514468303E-3</v>
      </c>
      <c r="AR143" s="2" vm="5107">
        <f ca="1"/>
        <v>50.74</v>
      </c>
      <c r="AS143" s="2">
        <f t="shared" ca="1" si="115"/>
        <v>7.8895463510846443E-4</v>
      </c>
      <c r="AT143" s="2" vm="3645">
        <f ca="1"/>
        <v>29.16</v>
      </c>
      <c r="AU143" s="2">
        <f t="shared" ca="1" si="116"/>
        <v>-2.7359781121750444E-3</v>
      </c>
      <c r="AV143" s="2" vm="1745">
        <f ca="1"/>
        <v>26.4</v>
      </c>
      <c r="AW143" s="2">
        <f t="shared" ca="1" si="117"/>
        <v>-9.0090090090090835E-3</v>
      </c>
      <c r="AX143" s="2" vm="2414">
        <f ca="1"/>
        <v>91.46</v>
      </c>
      <c r="AY143" s="2">
        <f t="shared" ca="1" si="118"/>
        <v>3.2811987312683936E-4</v>
      </c>
      <c r="AZ143" s="2" vm="5108">
        <f ca="1"/>
        <v>539.79999999999995</v>
      </c>
      <c r="BA143" s="2">
        <f t="shared" ca="1" si="119"/>
        <v>1.8048771287931531E-2</v>
      </c>
      <c r="BB143" s="2" vm="5109">
        <f ca="1"/>
        <v>252.51</v>
      </c>
      <c r="BC143" s="2">
        <f t="shared" ca="1" si="120"/>
        <v>2.2763173883105857E-2</v>
      </c>
      <c r="BD143" s="2" vm="5110">
        <f ca="1"/>
        <v>41.07</v>
      </c>
      <c r="BE143" s="2">
        <f t="shared" ca="1" si="121"/>
        <v>2.2404779686333049E-2</v>
      </c>
      <c r="BF143" s="2" vm="5111">
        <f ca="1"/>
        <v>106.21</v>
      </c>
      <c r="BG143" s="2">
        <f t="shared" ca="1" si="122"/>
        <v>4.0650406504064342E-3</v>
      </c>
      <c r="BH143" s="2" vm="5112">
        <f ca="1"/>
        <v>138.5</v>
      </c>
      <c r="BI143" s="2">
        <f t="shared" ca="1" si="123"/>
        <v>1.6439160428592465E-2</v>
      </c>
      <c r="BJ143" s="2" vm="4432">
        <f ca="1"/>
        <v>156.12</v>
      </c>
      <c r="BK143" s="2">
        <f t="shared" ca="1" si="124"/>
        <v>1.0747118995209092E-2</v>
      </c>
      <c r="BL143" s="2" vm="5113">
        <f ca="1"/>
        <v>71.650000000000006</v>
      </c>
      <c r="BM143" s="2">
        <f t="shared" ca="1" si="125"/>
        <v>5.0497966054144959E-3</v>
      </c>
      <c r="BN143" s="2" vm="5114">
        <f ca="1"/>
        <v>311.95999999999998</v>
      </c>
      <c r="BO143" s="2">
        <f t="shared" ca="1" si="126"/>
        <v>-5.3564596352506282E-3</v>
      </c>
      <c r="BP143" s="2" vm="996">
        <f ca="1"/>
        <v>92.49</v>
      </c>
      <c r="BQ143" s="2">
        <f t="shared" ca="1" si="127"/>
        <v>1.8500165180046168E-2</v>
      </c>
      <c r="BR143" s="2" vm="5115">
        <f ca="1"/>
        <v>1156.49</v>
      </c>
      <c r="BS143" s="2">
        <f t="shared" ca="1" si="128"/>
        <v>2.0309315641349114E-2</v>
      </c>
      <c r="BT143" s="2" vm="5116">
        <f ca="1"/>
        <v>160.52000000000001</v>
      </c>
      <c r="BU143" s="2">
        <f t="shared" ca="1" si="129"/>
        <v>3.3754219277410957E-3</v>
      </c>
      <c r="BV143" s="2" vm="5117">
        <f ca="1"/>
        <v>133.75</v>
      </c>
      <c r="BW143" s="2">
        <f t="shared" ca="1" si="130"/>
        <v>1.4975664545113336E-3</v>
      </c>
      <c r="BX143" s="2" vm="5118">
        <f ca="1"/>
        <v>220.36</v>
      </c>
      <c r="BY143" s="2">
        <f t="shared" ca="1" si="131"/>
        <v>2.5980072632461181E-2</v>
      </c>
      <c r="BZ143" s="2" vm="5119">
        <f ca="1"/>
        <v>83.78</v>
      </c>
      <c r="CA143" s="2">
        <f t="shared" ca="1" si="132"/>
        <v>1.7735665694849467E-2</v>
      </c>
      <c r="CB143" s="2" vm="5120">
        <f ca="1"/>
        <v>25.51</v>
      </c>
      <c r="CC143" s="2">
        <f t="shared" ca="1" si="133"/>
        <v>2.3265142398716479E-2</v>
      </c>
      <c r="CD143" s="2" t="e" vm="92">
        <f ca="1"/>
        <v>#N/A</v>
      </c>
      <c r="CE143" s="2" t="e" vm="140">
        <f t="shared" ca="1" si="134"/>
        <v>#N/A</v>
      </c>
      <c r="CF143" s="2" vm="4785">
        <f ca="1"/>
        <v>22.81</v>
      </c>
      <c r="CG143" s="2">
        <f t="shared" ca="1" si="135"/>
        <v>-4.3649061545177397E-3</v>
      </c>
      <c r="CH143" s="2" vm="4100">
        <f ca="1"/>
        <v>58.54</v>
      </c>
      <c r="CI143" s="2">
        <f t="shared" ca="1" si="136"/>
        <v>-2.0456870098874438E-3</v>
      </c>
      <c r="CJ143" s="2" vm="3690">
        <f ca="1"/>
        <v>59.25</v>
      </c>
      <c r="CK143" s="2">
        <f t="shared" ca="1" si="137"/>
        <v>-4.8706751763520177E-3</v>
      </c>
      <c r="CL143" s="2" vm="5121">
        <f ca="1"/>
        <v>55.74</v>
      </c>
      <c r="CM143" s="2">
        <f t="shared" ca="1" si="138"/>
        <v>-9.9467140319714955E-3</v>
      </c>
      <c r="CN143" s="2" vm="4752">
        <f ca="1"/>
        <v>28.58</v>
      </c>
      <c r="CO143" s="2">
        <f t="shared" ca="1" si="139"/>
        <v>-2.0949720670391855E-3</v>
      </c>
      <c r="CP143" s="2" vm="5122">
        <f ca="1"/>
        <v>21.768999999999998</v>
      </c>
      <c r="CQ143" s="2">
        <f t="shared" ca="1" si="140"/>
        <v>1.006398448411055E-2</v>
      </c>
    </row>
    <row r="144" spans="1:95" x14ac:dyDescent="0.2">
      <c r="A144" s="7" vm="5123">
        <f ca="1"/>
        <v>45782</v>
      </c>
      <c r="B144" s="2" vm="5124">
        <f ca="1"/>
        <v>198.89</v>
      </c>
      <c r="C144" s="2">
        <f t="shared" ca="1" si="94"/>
        <v>-3.1458485512539609E-2</v>
      </c>
      <c r="D144" s="2" vm="5125">
        <f ca="1"/>
        <v>113.82</v>
      </c>
      <c r="E144" s="2">
        <f t="shared" ca="1" si="95"/>
        <v>-5.9388646288210199E-3</v>
      </c>
      <c r="F144" s="2" vm="5126">
        <f ca="1"/>
        <v>436.17</v>
      </c>
      <c r="G144" s="2">
        <f t="shared" ca="1" si="96"/>
        <v>2.0446609079214375E-3</v>
      </c>
      <c r="H144" s="2" vm="5127">
        <f ca="1"/>
        <v>599.27</v>
      </c>
      <c r="I144" s="2">
        <f t="shared" ca="1" si="97"/>
        <v>3.7687179658972901E-3</v>
      </c>
      <c r="J144" s="2" vm="5128">
        <f ca="1"/>
        <v>164.21</v>
      </c>
      <c r="K144" s="2">
        <f t="shared" ca="1" si="98"/>
        <v>1.0973602389807158E-3</v>
      </c>
      <c r="L144" s="2" vm="5129">
        <f ca="1"/>
        <v>563.51</v>
      </c>
      <c r="M144" s="2">
        <f t="shared" ca="1" si="99"/>
        <v>-5.7343496365304539E-3</v>
      </c>
      <c r="N144" s="2" vm="1628">
        <f ca="1"/>
        <v>87.24</v>
      </c>
      <c r="O144" s="2">
        <f t="shared" ca="1" si="100"/>
        <v>-5.5853185911319851E-3</v>
      </c>
      <c r="P144" s="2" vm="5130">
        <f ca="1"/>
        <v>306.88</v>
      </c>
      <c r="Q144" s="2">
        <f t="shared" ca="1" si="101"/>
        <v>2.9867776360829507E-2</v>
      </c>
      <c r="R144" s="2" vm="5131">
        <f ca="1"/>
        <v>62.37</v>
      </c>
      <c r="S144" s="2">
        <f t="shared" ca="1" si="102"/>
        <v>-2.5620996719262733E-2</v>
      </c>
      <c r="T144" s="2" vm="5132">
        <f ca="1"/>
        <v>94.53</v>
      </c>
      <c r="U144" s="2">
        <f t="shared" ca="1" si="103"/>
        <v>-1.795142555438244E-3</v>
      </c>
      <c r="V144" s="2" vm="5133">
        <f ca="1"/>
        <v>46.574199999999998</v>
      </c>
      <c r="W144" s="2">
        <f t="shared" ca="1" si="104"/>
        <v>-2.0762313294523825E-3</v>
      </c>
      <c r="X144" s="2" vm="5134">
        <f ca="1"/>
        <v>133.97999999999999</v>
      </c>
      <c r="Y144" s="2">
        <f t="shared" ca="1" si="105"/>
        <v>-1.0268153948437725E-2</v>
      </c>
      <c r="Z144" s="2" vm="5038">
        <f ca="1"/>
        <v>80.5</v>
      </c>
      <c r="AA144" s="2">
        <f t="shared" ca="1" si="106"/>
        <v>-1.8053183703342326E-2</v>
      </c>
      <c r="AB144" s="2" vm="5135">
        <f ca="1"/>
        <v>11.91</v>
      </c>
      <c r="AC144" s="2">
        <f t="shared" ca="1" si="107"/>
        <v>-2.0559210526315791E-2</v>
      </c>
      <c r="AD144" s="2" vm="1511">
        <f ca="1"/>
        <v>3.4</v>
      </c>
      <c r="AE144" s="2">
        <f t="shared" ca="1" si="108"/>
        <v>-2.8571428571428598E-2</v>
      </c>
      <c r="AF144" s="2" vm="1570">
        <f ca="1"/>
        <v>29.48</v>
      </c>
      <c r="AG144" s="2">
        <f t="shared" ca="1" si="109"/>
        <v>1.2362637362637343E-2</v>
      </c>
      <c r="AH144" s="2" vm="3676">
        <f ca="1"/>
        <v>26.71</v>
      </c>
      <c r="AI144" s="2">
        <f t="shared" ca="1" si="110"/>
        <v>-5.5845122859269763E-3</v>
      </c>
      <c r="AJ144" s="2" vm="5040">
        <f ca="1"/>
        <v>4.5199999999999996</v>
      </c>
      <c r="AK144" s="2">
        <f t="shared" ca="1" si="111"/>
        <v>-1.9522776572668273E-2</v>
      </c>
      <c r="AL144" s="2" vm="724">
        <f ca="1"/>
        <v>65.92</v>
      </c>
      <c r="AM144" s="2">
        <f t="shared" ca="1" si="112"/>
        <v>2.9195940671350579E-2</v>
      </c>
      <c r="AN144" s="2" vm="2767">
        <f ca="1"/>
        <v>87.97</v>
      </c>
      <c r="AO144" s="2">
        <f t="shared" ca="1" si="113"/>
        <v>-2.7207799569209262E-3</v>
      </c>
      <c r="AP144" s="2" vm="4300">
        <f ca="1"/>
        <v>26.47</v>
      </c>
      <c r="AQ144" s="2">
        <f t="shared" ca="1" si="114"/>
        <v>7.5614366729677028E-4</v>
      </c>
      <c r="AR144" s="2" vm="2035">
        <f ca="1"/>
        <v>50.73</v>
      </c>
      <c r="AS144" s="2">
        <f t="shared" ca="1" si="115"/>
        <v>-1.9708316909745991E-4</v>
      </c>
      <c r="AT144" s="2" vm="3645">
        <f ca="1"/>
        <v>29.16</v>
      </c>
      <c r="AU144" s="2">
        <f t="shared" ca="1" si="116"/>
        <v>0</v>
      </c>
      <c r="AV144" s="2" vm="2222">
        <f ca="1"/>
        <v>26.25</v>
      </c>
      <c r="AW144" s="2">
        <f t="shared" ca="1" si="117"/>
        <v>-5.6818181818181282E-3</v>
      </c>
      <c r="AX144" s="2" vm="2414">
        <f ca="1"/>
        <v>91.46</v>
      </c>
      <c r="AY144" s="2">
        <f t="shared" ca="1" si="118"/>
        <v>0</v>
      </c>
      <c r="AZ144" s="2" vm="5136">
        <f ca="1"/>
        <v>512.15</v>
      </c>
      <c r="BA144" s="2">
        <f t="shared" ca="1" si="119"/>
        <v>-5.1222675064838789E-2</v>
      </c>
      <c r="BB144" s="2" vm="5137">
        <f ca="1"/>
        <v>252.56</v>
      </c>
      <c r="BC144" s="2">
        <f t="shared" ca="1" si="120"/>
        <v>1.9801195992242434E-4</v>
      </c>
      <c r="BD144" s="2" vm="5138">
        <f ca="1"/>
        <v>41.12</v>
      </c>
      <c r="BE144" s="2">
        <f t="shared" ca="1" si="121"/>
        <v>1.2174336498660132E-3</v>
      </c>
      <c r="BF144" s="2" vm="5139">
        <f ca="1"/>
        <v>103.27</v>
      </c>
      <c r="BG144" s="2">
        <f t="shared" ca="1" si="122"/>
        <v>-2.7681009321156181E-2</v>
      </c>
      <c r="BH144" s="2" vm="5140">
        <f ca="1"/>
        <v>135.5</v>
      </c>
      <c r="BI144" s="2">
        <f t="shared" ca="1" si="123"/>
        <v>-2.1660649819494584E-2</v>
      </c>
      <c r="BJ144" s="2" vm="5141">
        <f ca="1"/>
        <v>155</v>
      </c>
      <c r="BK144" s="2">
        <f t="shared" ca="1" si="124"/>
        <v>-7.1739687419933671E-3</v>
      </c>
      <c r="BL144" s="2" vm="5142">
        <f ca="1"/>
        <v>71.7</v>
      </c>
      <c r="BM144" s="2">
        <f t="shared" ca="1" si="125"/>
        <v>6.9783670621070696E-4</v>
      </c>
      <c r="BN144" s="2" vm="5143">
        <f ca="1"/>
        <v>315.72000000000003</v>
      </c>
      <c r="BO144" s="2">
        <f t="shared" ca="1" si="126"/>
        <v>1.2052827285549583E-2</v>
      </c>
      <c r="BP144" s="2" vm="5144">
        <f ca="1"/>
        <v>92.11</v>
      </c>
      <c r="BQ144" s="2">
        <f t="shared" ca="1" si="127"/>
        <v>-4.1085522759216724E-3</v>
      </c>
      <c r="BR144" s="2" vm="5145">
        <f ca="1"/>
        <v>1134.06</v>
      </c>
      <c r="BS144" s="2">
        <f t="shared" ca="1" si="128"/>
        <v>-1.9394893168120833E-2</v>
      </c>
      <c r="BT144" s="2" vm="5146">
        <f ca="1"/>
        <v>158.83000000000001</v>
      </c>
      <c r="BU144" s="2">
        <f t="shared" ca="1" si="129"/>
        <v>-1.0528283079990017E-2</v>
      </c>
      <c r="BV144" s="2" vm="5147">
        <f ca="1"/>
        <v>131.99</v>
      </c>
      <c r="BW144" s="2">
        <f t="shared" ca="1" si="130"/>
        <v>-1.3158878504672828E-2</v>
      </c>
      <c r="BX144" s="2" vm="5148">
        <f ca="1"/>
        <v>215.06</v>
      </c>
      <c r="BY144" s="2">
        <f t="shared" ca="1" si="131"/>
        <v>-2.4051552005808725E-2</v>
      </c>
      <c r="BZ144" s="2" vm="5149">
        <f ca="1"/>
        <v>82.45</v>
      </c>
      <c r="CA144" s="2">
        <f t="shared" ca="1" si="132"/>
        <v>-1.58749104798281E-2</v>
      </c>
      <c r="CB144" s="2" vm="5150">
        <f ca="1"/>
        <v>25.07</v>
      </c>
      <c r="CC144" s="2">
        <f t="shared" ca="1" si="133"/>
        <v>-1.7248137985103929E-2</v>
      </c>
      <c r="CD144" s="2" t="e" vm="92">
        <f ca="1"/>
        <v>#N/A</v>
      </c>
      <c r="CE144" s="2" t="e" vm="140">
        <f t="shared" ca="1" si="134"/>
        <v>#N/A</v>
      </c>
      <c r="CF144" s="2" vm="861">
        <f ca="1"/>
        <v>22.77</v>
      </c>
      <c r="CG144" s="2">
        <f t="shared" ca="1" si="135"/>
        <v>-1.7536168347215761E-3</v>
      </c>
      <c r="CH144" s="2" vm="142">
        <f ca="1"/>
        <v>58.55</v>
      </c>
      <c r="CI144" s="2">
        <f t="shared" ca="1" si="136"/>
        <v>1.7082336863679553E-4</v>
      </c>
      <c r="CJ144" s="2" vm="4130">
        <f ca="1"/>
        <v>59.19</v>
      </c>
      <c r="CK144" s="2">
        <f t="shared" ca="1" si="137"/>
        <v>-1.0126582278481397E-3</v>
      </c>
      <c r="CL144" s="2" vm="3052">
        <f ca="1"/>
        <v>55.48</v>
      </c>
      <c r="CM144" s="2">
        <f t="shared" ca="1" si="138"/>
        <v>-4.6645138141371565E-3</v>
      </c>
      <c r="CN144" s="2" vm="206">
        <f ca="1"/>
        <v>28.54</v>
      </c>
      <c r="CO144" s="2">
        <f t="shared" ca="1" si="139"/>
        <v>-1.3995801259621815E-3</v>
      </c>
      <c r="CP144" s="2" vm="5151">
        <f ca="1"/>
        <v>21.7348</v>
      </c>
      <c r="CQ144" s="2">
        <f t="shared" ca="1" si="140"/>
        <v>-1.5710413891312626E-3</v>
      </c>
    </row>
    <row r="145" spans="1:95" x14ac:dyDescent="0.2">
      <c r="A145" s="7" vm="5152">
        <f ca="1"/>
        <v>45783</v>
      </c>
      <c r="B145" s="2" vm="5153">
        <f ca="1"/>
        <v>198.51</v>
      </c>
      <c r="C145" s="2">
        <f t="shared" ca="1" si="94"/>
        <v>-1.9106038513751092E-3</v>
      </c>
      <c r="D145" s="2" vm="1251">
        <f ca="1"/>
        <v>113.54</v>
      </c>
      <c r="E145" s="2">
        <f t="shared" ca="1" si="95"/>
        <v>-2.4600246002458876E-3</v>
      </c>
      <c r="F145" s="2" vm="5154">
        <f ca="1"/>
        <v>433.31</v>
      </c>
      <c r="G145" s="2">
        <f t="shared" ca="1" si="96"/>
        <v>-6.5570763693055768E-3</v>
      </c>
      <c r="H145" s="2" vm="5155">
        <f ca="1"/>
        <v>587.30999999999995</v>
      </c>
      <c r="I145" s="2">
        <f t="shared" ca="1" si="97"/>
        <v>-1.9957615098369744E-2</v>
      </c>
      <c r="J145" s="2" vm="5156">
        <f ca="1"/>
        <v>163.22999999999999</v>
      </c>
      <c r="K145" s="2">
        <f t="shared" ca="1" si="98"/>
        <v>-5.9679678460508988E-3</v>
      </c>
      <c r="L145" s="2" vm="5157">
        <f ca="1"/>
        <v>558.79999999999995</v>
      </c>
      <c r="M145" s="2">
        <f t="shared" ca="1" si="99"/>
        <v>-8.3583254955547134E-3</v>
      </c>
      <c r="N145" s="2" vm="4761">
        <f ca="1"/>
        <v>87.53</v>
      </c>
      <c r="O145" s="2">
        <f t="shared" ca="1" si="100"/>
        <v>3.3241632278771926E-3</v>
      </c>
      <c r="P145" s="2" vm="5158">
        <f ca="1"/>
        <v>315.48</v>
      </c>
      <c r="Q145" s="2">
        <f t="shared" ca="1" si="101"/>
        <v>2.8023983315954192E-2</v>
      </c>
      <c r="R145" s="2" vm="5159">
        <f ca="1"/>
        <v>64.599999999999994</v>
      </c>
      <c r="S145" s="2">
        <f t="shared" ca="1" si="102"/>
        <v>3.5754369087702374E-2</v>
      </c>
      <c r="T145" s="2" vm="1815">
        <f ca="1"/>
        <v>94.77</v>
      </c>
      <c r="U145" s="2">
        <f t="shared" ca="1" si="103"/>
        <v>2.538876547127842E-3</v>
      </c>
      <c r="V145" s="2" vm="2337">
        <f ca="1"/>
        <v>46.655000000000001</v>
      </c>
      <c r="W145" s="2">
        <f t="shared" ca="1" si="104"/>
        <v>1.7348660846563879E-3</v>
      </c>
      <c r="X145" s="2" vm="5160">
        <f ca="1"/>
        <v>129.31</v>
      </c>
      <c r="Y145" s="2">
        <f t="shared" ca="1" si="105"/>
        <v>-3.4855948649052004E-2</v>
      </c>
      <c r="Z145" s="2" vm="5161">
        <f ca="1"/>
        <v>80.52</v>
      </c>
      <c r="AA145" s="2">
        <f t="shared" ca="1" si="106"/>
        <v>2.4844720496889467E-4</v>
      </c>
      <c r="AB145" s="2" vm="5162">
        <f ca="1"/>
        <v>12.29</v>
      </c>
      <c r="AC145" s="2">
        <f t="shared" ca="1" si="107"/>
        <v>3.1905961376994037E-2</v>
      </c>
      <c r="AD145" s="2" vm="4206">
        <f ca="1"/>
        <v>3.5</v>
      </c>
      <c r="AE145" s="2">
        <f t="shared" ca="1" si="108"/>
        <v>2.941176470588238E-2</v>
      </c>
      <c r="AF145" s="2" vm="3928">
        <f ca="1"/>
        <v>30.22</v>
      </c>
      <c r="AG145" s="2">
        <f t="shared" ca="1" si="109"/>
        <v>2.5101763907734005E-2</v>
      </c>
      <c r="AH145" s="2" vm="5163">
        <f ca="1"/>
        <v>26.88</v>
      </c>
      <c r="AI145" s="2">
        <f t="shared" ca="1" si="110"/>
        <v>6.364657431673461E-3</v>
      </c>
      <c r="AJ145" s="2" vm="5164">
        <f ca="1"/>
        <v>4.54</v>
      </c>
      <c r="AK145" s="2">
        <f t="shared" ca="1" si="111"/>
        <v>4.4247787610620492E-3</v>
      </c>
      <c r="AL145" s="2" vm="5165">
        <f ca="1"/>
        <v>67.81</v>
      </c>
      <c r="AM145" s="2">
        <f t="shared" ca="1" si="112"/>
        <v>2.8671116504854377E-2</v>
      </c>
      <c r="AN145" s="2" vm="5166">
        <f ca="1"/>
        <v>90.31</v>
      </c>
      <c r="AO145" s="2">
        <f t="shared" ca="1" si="113"/>
        <v>2.6599977264976735E-2</v>
      </c>
      <c r="AP145" s="2" vm="1437">
        <f ca="1"/>
        <v>26.53</v>
      </c>
      <c r="AQ145" s="2">
        <f t="shared" ca="1" si="114"/>
        <v>2.2667170381564894E-3</v>
      </c>
      <c r="AR145" s="2" vm="5107">
        <f ca="1"/>
        <v>50.74</v>
      </c>
      <c r="AS145" s="2">
        <f t="shared" ca="1" si="115"/>
        <v>1.9712201852957061E-4</v>
      </c>
      <c r="AT145" s="2" vm="253">
        <f ca="1"/>
        <v>29.19</v>
      </c>
      <c r="AU145" s="2">
        <f t="shared" ca="1" si="116"/>
        <v>1.0288065843621788E-3</v>
      </c>
      <c r="AV145" s="2" vm="508">
        <f ca="1"/>
        <v>26.34</v>
      </c>
      <c r="AW145" s="2">
        <f t="shared" ca="1" si="117"/>
        <v>3.4285714285714232E-3</v>
      </c>
      <c r="AX145" s="2" vm="802">
        <f ca="1"/>
        <v>91.48</v>
      </c>
      <c r="AY145" s="2">
        <f t="shared" ca="1" si="118"/>
        <v>2.1867483052711822E-4</v>
      </c>
      <c r="AZ145" s="2" vm="5167">
        <f ca="1"/>
        <v>512.33000000000004</v>
      </c>
      <c r="BA145" s="2">
        <f t="shared" ca="1" si="119"/>
        <v>3.5145953333996614E-4</v>
      </c>
      <c r="BB145" s="2" vm="5168">
        <f ca="1"/>
        <v>249.25</v>
      </c>
      <c r="BC145" s="2">
        <f t="shared" ca="1" si="120"/>
        <v>-1.3105796642382017E-2</v>
      </c>
      <c r="BD145" s="2" vm="5169">
        <f ca="1"/>
        <v>40.840000000000003</v>
      </c>
      <c r="BE145" s="2">
        <f t="shared" ca="1" si="121"/>
        <v>-6.8093385214006335E-3</v>
      </c>
      <c r="BF145" s="2" vm="5170">
        <f ca="1"/>
        <v>104.71</v>
      </c>
      <c r="BG145" s="2">
        <f t="shared" ca="1" si="122"/>
        <v>1.3944030212065438E-2</v>
      </c>
      <c r="BH145" s="2" vm="5171">
        <f ca="1"/>
        <v>135.6</v>
      </c>
      <c r="BI145" s="2">
        <f t="shared" ca="1" si="123"/>
        <v>7.3800738007375876E-4</v>
      </c>
      <c r="BJ145" s="2" vm="5172">
        <f ca="1"/>
        <v>154.47</v>
      </c>
      <c r="BK145" s="2">
        <f t="shared" ca="1" si="124"/>
        <v>-3.4193548387096849E-3</v>
      </c>
      <c r="BL145" s="2" vm="1507">
        <f ca="1"/>
        <v>71.72</v>
      </c>
      <c r="BM145" s="2">
        <f t="shared" ca="1" si="125"/>
        <v>2.7894002789394728E-4</v>
      </c>
      <c r="BN145" s="2" vm="5173">
        <f ca="1"/>
        <v>316.79000000000002</v>
      </c>
      <c r="BO145" s="2">
        <f t="shared" ca="1" si="126"/>
        <v>3.3890789306980649E-3</v>
      </c>
      <c r="BP145" s="2" vm="5174">
        <f ca="1"/>
        <v>92.17</v>
      </c>
      <c r="BQ145" s="2">
        <f t="shared" ca="1" si="127"/>
        <v>6.5139507111065332E-4</v>
      </c>
      <c r="BR145" s="2" vm="5175">
        <f ca="1"/>
        <v>1137.69</v>
      </c>
      <c r="BS145" s="2">
        <f t="shared" ca="1" si="128"/>
        <v>3.2008888418603152E-3</v>
      </c>
      <c r="BT145" s="2" vm="5176">
        <f ca="1"/>
        <v>159.25</v>
      </c>
      <c r="BU145" s="2">
        <f t="shared" ca="1" si="129"/>
        <v>2.6443367122079421E-3</v>
      </c>
      <c r="BV145" s="2" vm="5177">
        <f ca="1"/>
        <v>130.74</v>
      </c>
      <c r="BW145" s="2">
        <f t="shared" ca="1" si="130"/>
        <v>-9.4704144253352513E-3</v>
      </c>
      <c r="BX145" s="2" vm="5178">
        <f ca="1"/>
        <v>215.04</v>
      </c>
      <c r="BY145" s="2">
        <f t="shared" ca="1" si="131"/>
        <v>-9.2997303078258309E-5</v>
      </c>
      <c r="BZ145" s="2" vm="5179">
        <f ca="1"/>
        <v>82.17</v>
      </c>
      <c r="CA145" s="2">
        <f t="shared" ca="1" si="132"/>
        <v>-3.3959975742874605E-3</v>
      </c>
      <c r="CB145" s="2" vm="5180">
        <f ca="1"/>
        <v>25.09</v>
      </c>
      <c r="CC145" s="2">
        <f t="shared" ca="1" si="133"/>
        <v>7.9776625448741822E-4</v>
      </c>
      <c r="CD145" s="2" t="e" vm="92">
        <f ca="1"/>
        <v>#N/A</v>
      </c>
      <c r="CE145" s="2" t="e" vm="140">
        <f t="shared" ca="1" si="134"/>
        <v>#N/A</v>
      </c>
      <c r="CF145" s="2" vm="4785">
        <f ca="1"/>
        <v>22.81</v>
      </c>
      <c r="CG145" s="2">
        <f t="shared" ca="1" si="135"/>
        <v>1.7566974088712845E-3</v>
      </c>
      <c r="CH145" s="2" vm="185">
        <f ca="1"/>
        <v>58.6</v>
      </c>
      <c r="CI145" s="2">
        <f t="shared" ca="1" si="136"/>
        <v>8.5397096498726328E-4</v>
      </c>
      <c r="CJ145" s="2" vm="5181">
        <f ca="1"/>
        <v>59.32</v>
      </c>
      <c r="CK145" s="2">
        <f t="shared" ca="1" si="137"/>
        <v>2.1963169454300145E-3</v>
      </c>
      <c r="CL145" s="2" vm="4787">
        <f ca="1"/>
        <v>55.62</v>
      </c>
      <c r="CM145" s="2">
        <f t="shared" ca="1" si="138"/>
        <v>2.5234318673395921E-3</v>
      </c>
      <c r="CN145" s="2" vm="2170">
        <f ca="1"/>
        <v>28.59</v>
      </c>
      <c r="CO145" s="2">
        <f t="shared" ca="1" si="139"/>
        <v>1.7519271198318399E-3</v>
      </c>
      <c r="CP145" s="2" vm="5182">
        <f ca="1"/>
        <v>21.637499999999999</v>
      </c>
      <c r="CQ145" s="2">
        <f t="shared" ca="1" si="140"/>
        <v>-4.4766917569980221E-3</v>
      </c>
    </row>
    <row r="146" spans="1:95" x14ac:dyDescent="0.2">
      <c r="A146" s="7" vm="5183">
        <f ca="1"/>
        <v>45784</v>
      </c>
      <c r="B146" s="2" vm="5184">
        <f ca="1"/>
        <v>196.25</v>
      </c>
      <c r="C146" s="2">
        <f t="shared" ca="1" si="94"/>
        <v>-1.1384816885799159E-2</v>
      </c>
      <c r="D146" s="2" vm="5185">
        <f ca="1"/>
        <v>117.06</v>
      </c>
      <c r="E146" s="2">
        <f t="shared" ca="1" si="95"/>
        <v>3.1002289941870671E-2</v>
      </c>
      <c r="F146" s="2" vm="5186">
        <f ca="1"/>
        <v>433.35</v>
      </c>
      <c r="G146" s="2">
        <f t="shared" ca="1" si="96"/>
        <v>9.2312662989592811E-5</v>
      </c>
      <c r="H146" s="2" vm="5187">
        <f ca="1"/>
        <v>596.80999999999995</v>
      </c>
      <c r="I146" s="2">
        <f t="shared" ca="1" si="97"/>
        <v>1.6175443973370111E-2</v>
      </c>
      <c r="J146" s="2" vm="5188">
        <f ca="1"/>
        <v>151.38</v>
      </c>
      <c r="K146" s="2">
        <f t="shared" ca="1" si="98"/>
        <v>-7.2596949090240739E-2</v>
      </c>
      <c r="L146" s="2" vm="5189">
        <f ca="1"/>
        <v>561.15</v>
      </c>
      <c r="M146" s="2">
        <f t="shared" ca="1" si="99"/>
        <v>4.2054402290623173E-3</v>
      </c>
      <c r="N146" s="2" vm="5190">
        <f ca="1"/>
        <v>87.9</v>
      </c>
      <c r="O146" s="2">
        <f t="shared" ca="1" si="100"/>
        <v>4.2271221295556325E-3</v>
      </c>
      <c r="P146" s="2" vm="5191">
        <f ca="1"/>
        <v>310.75</v>
      </c>
      <c r="Q146" s="2">
        <f t="shared" ca="1" si="101"/>
        <v>-1.4993026499302706E-2</v>
      </c>
      <c r="R146" s="2" vm="5192">
        <f ca="1"/>
        <v>63.51</v>
      </c>
      <c r="S146" s="2">
        <f t="shared" ca="1" si="102"/>
        <v>-1.6873065015479822E-2</v>
      </c>
      <c r="T146" s="2" vm="4142">
        <f ca="1"/>
        <v>95.02</v>
      </c>
      <c r="U146" s="2">
        <f t="shared" ca="1" si="103"/>
        <v>2.6379656009285642E-3</v>
      </c>
      <c r="V146" s="2" vm="5193">
        <f ca="1"/>
        <v>46.7575</v>
      </c>
      <c r="W146" s="2">
        <f t="shared" ca="1" si="104"/>
        <v>2.1969778158825236E-3</v>
      </c>
      <c r="X146" s="2" vm="5194">
        <f ca="1"/>
        <v>129.34</v>
      </c>
      <c r="Y146" s="2">
        <f t="shared" ca="1" si="105"/>
        <v>2.3200061866832523E-4</v>
      </c>
      <c r="Z146" s="2" vm="5195">
        <f ca="1"/>
        <v>80.55</v>
      </c>
      <c r="AA146" s="2">
        <f t="shared" ca="1" si="106"/>
        <v>3.725782414307146E-4</v>
      </c>
      <c r="AB146" s="2" vm="5196">
        <f ca="1"/>
        <v>12.08</v>
      </c>
      <c r="AC146" s="2">
        <f t="shared" ca="1" si="107"/>
        <v>-1.7087062652562986E-2</v>
      </c>
      <c r="AD146" s="2" vm="4206">
        <f ca="1"/>
        <v>3.5</v>
      </c>
      <c r="AE146" s="2">
        <f t="shared" ca="1" si="108"/>
        <v>0</v>
      </c>
      <c r="AF146" s="2" vm="5197">
        <f ca="1"/>
        <v>29.49</v>
      </c>
      <c r="AG146" s="2">
        <f t="shared" ca="1" si="109"/>
        <v>-2.4156187954996706E-2</v>
      </c>
      <c r="AH146" s="2" vm="925">
        <f ca="1"/>
        <v>26.87</v>
      </c>
      <c r="AI146" s="2">
        <f t="shared" ca="1" si="110"/>
        <v>-3.7202380952373551E-4</v>
      </c>
      <c r="AJ146" s="2" vm="5198">
        <f ca="1"/>
        <v>4.55</v>
      </c>
      <c r="AK146" s="2">
        <f t="shared" ca="1" si="111"/>
        <v>2.2026431718061203E-3</v>
      </c>
      <c r="AL146" s="2" vm="5199">
        <f ca="1"/>
        <v>66.8</v>
      </c>
      <c r="AM146" s="2">
        <f t="shared" ca="1" si="112"/>
        <v>-1.4894558324730941E-2</v>
      </c>
      <c r="AN146" s="2" vm="5200">
        <f ca="1"/>
        <v>89.33</v>
      </c>
      <c r="AO146" s="2">
        <f t="shared" ca="1" si="113"/>
        <v>-1.0851511460524902E-2</v>
      </c>
      <c r="AP146" s="2" vm="72">
        <f ca="1"/>
        <v>26.54</v>
      </c>
      <c r="AQ146" s="2">
        <f t="shared" ca="1" si="114"/>
        <v>3.7693177534858688E-4</v>
      </c>
      <c r="AR146" s="2" vm="2074">
        <f ca="1"/>
        <v>50.75</v>
      </c>
      <c r="AS146" s="2">
        <f t="shared" ca="1" si="115"/>
        <v>1.9708316909731986E-4</v>
      </c>
      <c r="AT146" s="2" vm="736">
        <f ca="1"/>
        <v>29.21</v>
      </c>
      <c r="AU146" s="2">
        <f t="shared" ca="1" si="116"/>
        <v>6.8516615279203745E-4</v>
      </c>
      <c r="AV146" s="2" vm="2552">
        <f ca="1"/>
        <v>26.45</v>
      </c>
      <c r="AW146" s="2">
        <f t="shared" ca="1" si="117"/>
        <v>4.1761579347000541E-3</v>
      </c>
      <c r="AX146" s="2" vm="802">
        <f ca="1"/>
        <v>91.48</v>
      </c>
      <c r="AY146" s="2">
        <f t="shared" ca="1" si="118"/>
        <v>0</v>
      </c>
      <c r="AZ146" s="2" vm="5201">
        <f ca="1"/>
        <v>518.22</v>
      </c>
      <c r="BA146" s="2">
        <f t="shared" ca="1" si="119"/>
        <v>1.149649639880543E-2</v>
      </c>
      <c r="BB146" s="2" vm="5202">
        <f ca="1"/>
        <v>249.39</v>
      </c>
      <c r="BC146" s="2">
        <f t="shared" ca="1" si="120"/>
        <v>5.6168505516544179E-4</v>
      </c>
      <c r="BD146" s="2" vm="5203">
        <f ca="1"/>
        <v>40.93</v>
      </c>
      <c r="BE146" s="2">
        <f t="shared" ca="1" si="121"/>
        <v>2.2037218413319369E-3</v>
      </c>
      <c r="BF146" s="2" vm="5204">
        <f ca="1"/>
        <v>104.61</v>
      </c>
      <c r="BG146" s="2">
        <f t="shared" ca="1" si="122"/>
        <v>-9.5501862286309159E-4</v>
      </c>
      <c r="BH146" s="2" vm="5205">
        <f ca="1"/>
        <v>135.79</v>
      </c>
      <c r="BI146" s="2">
        <f t="shared" ca="1" si="123"/>
        <v>1.4011799410029331E-3</v>
      </c>
      <c r="BJ146" s="2" vm="5206">
        <f ca="1"/>
        <v>157.30000000000001</v>
      </c>
      <c r="BK146" s="2">
        <f t="shared" ca="1" si="124"/>
        <v>1.8320709522884785E-2</v>
      </c>
      <c r="BL146" s="2" vm="284">
        <f ca="1"/>
        <v>72.400000000000006</v>
      </c>
      <c r="BM146" s="2">
        <f t="shared" ca="1" si="125"/>
        <v>9.4813162297825819E-3</v>
      </c>
      <c r="BN146" s="2" vm="5207">
        <f ca="1"/>
        <v>318.13</v>
      </c>
      <c r="BO146" s="2">
        <f t="shared" ca="1" si="126"/>
        <v>4.229931500362937E-3</v>
      </c>
      <c r="BP146" s="2" vm="5208">
        <f ca="1"/>
        <v>102.09</v>
      </c>
      <c r="BQ146" s="2">
        <f t="shared" ca="1" si="127"/>
        <v>0.1076272105891288</v>
      </c>
      <c r="BR146" s="2" vm="5209">
        <f ca="1"/>
        <v>1155.4100000000001</v>
      </c>
      <c r="BS146" s="2">
        <f t="shared" ca="1" si="128"/>
        <v>1.5575420369344924E-2</v>
      </c>
      <c r="BT146" s="2" vm="5210">
        <f ca="1"/>
        <v>159.29</v>
      </c>
      <c r="BU146" s="2">
        <f t="shared" ca="1" si="129"/>
        <v>2.5117739403448689E-4</v>
      </c>
      <c r="BV146" s="2" vm="5211">
        <f ca="1"/>
        <v>131.91499999999999</v>
      </c>
      <c r="BW146" s="2">
        <f t="shared" ca="1" si="130"/>
        <v>8.9873030442097507E-3</v>
      </c>
      <c r="BX146" s="2" vm="5212">
        <f ca="1"/>
        <v>213.19</v>
      </c>
      <c r="BY146" s="2">
        <f t="shared" ca="1" si="131"/>
        <v>-8.6030505952380699E-3</v>
      </c>
      <c r="BZ146" s="2" vm="5213">
        <f ca="1"/>
        <v>82.19</v>
      </c>
      <c r="CA146" s="2">
        <f t="shared" ca="1" si="132"/>
        <v>2.433978337592311E-4</v>
      </c>
      <c r="CB146" s="2" vm="4955">
        <f ca="1"/>
        <v>25.14</v>
      </c>
      <c r="CC146" s="2">
        <f t="shared" ca="1" si="133"/>
        <v>1.9928258270227464E-3</v>
      </c>
      <c r="CD146" s="2" t="e" vm="92">
        <f ca="1"/>
        <v>#N/A</v>
      </c>
      <c r="CE146" s="2" t="e" vm="140">
        <f t="shared" ca="1" si="134"/>
        <v>#N/A</v>
      </c>
      <c r="CF146" s="2" vm="5214">
        <f ca="1"/>
        <v>22.844999999999999</v>
      </c>
      <c r="CG146" s="2">
        <f t="shared" ca="1" si="135"/>
        <v>1.5344147303814179E-3</v>
      </c>
      <c r="CH146" s="2" vm="313">
        <f ca="1"/>
        <v>58.62</v>
      </c>
      <c r="CI146" s="2">
        <f t="shared" ca="1" si="136"/>
        <v>3.4129692832757713E-4</v>
      </c>
      <c r="CJ146" s="2" vm="186">
        <f ca="1"/>
        <v>59.4</v>
      </c>
      <c r="CK146" s="2">
        <f t="shared" ca="1" si="137"/>
        <v>1.3486176668914074E-3</v>
      </c>
      <c r="CL146" s="2" vm="5215">
        <f ca="1"/>
        <v>55.86</v>
      </c>
      <c r="CM146" s="2">
        <f t="shared" ca="1" si="138"/>
        <v>4.3149946062567782E-3</v>
      </c>
      <c r="CN146" s="2" vm="5216">
        <f ca="1"/>
        <v>28.65</v>
      </c>
      <c r="CO146" s="2">
        <f t="shared" ca="1" si="139"/>
        <v>2.0986358866736175E-3</v>
      </c>
      <c r="CP146" s="2" vm="5217">
        <f ca="1"/>
        <v>21.596499999999999</v>
      </c>
      <c r="CQ146" s="2">
        <f t="shared" ca="1" si="140"/>
        <v>-1.8948584633160194E-3</v>
      </c>
    </row>
    <row r="147" spans="1:95" x14ac:dyDescent="0.2">
      <c r="A147" s="7" vm="5218">
        <f ca="1"/>
        <v>45785</v>
      </c>
      <c r="B147" s="2" vm="5219">
        <f ca="1"/>
        <v>197.49</v>
      </c>
      <c r="C147" s="2">
        <f t="shared" ca="1" si="94"/>
        <v>6.3184713375796639E-3</v>
      </c>
      <c r="D147" s="2" vm="5220">
        <f ca="1"/>
        <v>117.37</v>
      </c>
      <c r="E147" s="2">
        <f t="shared" ca="1" si="95"/>
        <v>2.6482145908081518E-3</v>
      </c>
      <c r="F147" s="2" vm="5221">
        <f ca="1"/>
        <v>438.17</v>
      </c>
      <c r="G147" s="2">
        <f t="shared" ca="1" si="96"/>
        <v>1.1122649128879641E-2</v>
      </c>
      <c r="H147" s="2" vm="5222">
        <f ca="1"/>
        <v>598.01</v>
      </c>
      <c r="I147" s="2">
        <f t="shared" ca="1" si="97"/>
        <v>2.0106901694007234E-3</v>
      </c>
      <c r="J147" s="2" vm="5223">
        <f ca="1"/>
        <v>154.28</v>
      </c>
      <c r="K147" s="2">
        <f t="shared" ca="1" si="98"/>
        <v>1.9157088122605401E-2</v>
      </c>
      <c r="L147" s="2" vm="5224">
        <f ca="1"/>
        <v>565.05999999999995</v>
      </c>
      <c r="M147" s="2">
        <f t="shared" ca="1" si="99"/>
        <v>6.967833912501057E-3</v>
      </c>
      <c r="N147" s="2" vm="5225">
        <f ca="1"/>
        <v>86.92</v>
      </c>
      <c r="O147" s="2">
        <f t="shared" ca="1" si="100"/>
        <v>-1.1149032992036449E-2</v>
      </c>
      <c r="P147" s="2" vm="5226">
        <f ca="1"/>
        <v>304.63</v>
      </c>
      <c r="Q147" s="2">
        <f t="shared" ca="1" si="101"/>
        <v>-1.96942880128721E-2</v>
      </c>
      <c r="R147" s="2" vm="5227">
        <f ca="1"/>
        <v>65.599999999999994</v>
      </c>
      <c r="S147" s="2">
        <f t="shared" ca="1" si="102"/>
        <v>3.2908203432530252E-2</v>
      </c>
      <c r="T147" s="2" vm="1041">
        <f ca="1"/>
        <v>94.28</v>
      </c>
      <c r="U147" s="2">
        <f t="shared" ca="1" si="103"/>
        <v>-7.787834140180961E-3</v>
      </c>
      <c r="V147" s="2" vm="5228">
        <f ca="1"/>
        <v>46.571199999999997</v>
      </c>
      <c r="W147" s="2">
        <f t="shared" ca="1" si="104"/>
        <v>-3.9843875314121329E-3</v>
      </c>
      <c r="X147" s="2" vm="5229">
        <f ca="1"/>
        <v>133.19</v>
      </c>
      <c r="Y147" s="2">
        <f t="shared" ca="1" si="105"/>
        <v>2.9766506881088558E-2</v>
      </c>
      <c r="Z147" s="2" vm="5230">
        <f ca="1"/>
        <v>81.61</v>
      </c>
      <c r="AA147" s="2">
        <f t="shared" ca="1" si="106"/>
        <v>1.3159528243327155E-2</v>
      </c>
      <c r="AB147" s="2" vm="5231">
        <f ca="1"/>
        <v>12.41</v>
      </c>
      <c r="AC147" s="2">
        <f t="shared" ca="1" si="107"/>
        <v>2.7317880794701991E-2</v>
      </c>
      <c r="AD147" s="2" vm="4206">
        <f ca="1"/>
        <v>3.5</v>
      </c>
      <c r="AE147" s="2">
        <f t="shared" ca="1" si="108"/>
        <v>0</v>
      </c>
      <c r="AF147" s="2" vm="3347">
        <f ca="1"/>
        <v>29.46</v>
      </c>
      <c r="AG147" s="2">
        <f t="shared" ca="1" si="109"/>
        <v>-1.0172939979653302E-3</v>
      </c>
      <c r="AH147" s="2" vm="1366">
        <f ca="1"/>
        <v>26.91</v>
      </c>
      <c r="AI147" s="2">
        <f t="shared" ca="1" si="110"/>
        <v>1.4886490509861982E-3</v>
      </c>
      <c r="AJ147" s="2" vm="5232">
        <f ca="1"/>
        <v>4.51</v>
      </c>
      <c r="AK147" s="2">
        <f t="shared" ca="1" si="111"/>
        <v>-8.7912087912087999E-3</v>
      </c>
      <c r="AL147" s="2" vm="5233">
        <f ca="1"/>
        <v>65.48</v>
      </c>
      <c r="AM147" s="2">
        <f t="shared" ca="1" si="112"/>
        <v>-1.9760479041916065E-2</v>
      </c>
      <c r="AN147" s="2" vm="2353">
        <f ca="1"/>
        <v>89.63</v>
      </c>
      <c r="AO147" s="2">
        <f t="shared" ca="1" si="113"/>
        <v>3.358334266203931E-3</v>
      </c>
      <c r="AP147" s="2" vm="2552">
        <f ca="1"/>
        <v>26.45</v>
      </c>
      <c r="AQ147" s="2">
        <f t="shared" ca="1" si="114"/>
        <v>-3.3911077618688718E-3</v>
      </c>
      <c r="AR147" s="2" vm="1201">
        <f ca="1"/>
        <v>50.76</v>
      </c>
      <c r="AS147" s="2">
        <f t="shared" ca="1" si="115"/>
        <v>1.9704433497533025E-4</v>
      </c>
      <c r="AT147" s="2" vm="3645">
        <f ca="1"/>
        <v>29.16</v>
      </c>
      <c r="AU147" s="2">
        <f t="shared" ca="1" si="116"/>
        <v>-1.7117425539199147E-3</v>
      </c>
      <c r="AV147" s="2" vm="1403">
        <f ca="1"/>
        <v>26.17</v>
      </c>
      <c r="AW147" s="2">
        <f t="shared" ca="1" si="117"/>
        <v>-1.0586011342154918E-2</v>
      </c>
      <c r="AX147" s="2" vm="845">
        <f ca="1"/>
        <v>91.5</v>
      </c>
      <c r="AY147" s="2">
        <f t="shared" ca="1" si="118"/>
        <v>2.1862702229991278E-4</v>
      </c>
      <c r="AZ147" s="2" vm="5234">
        <f ca="1"/>
        <v>513.25</v>
      </c>
      <c r="BA147" s="2">
        <f t="shared" ca="1" si="119"/>
        <v>-9.5905214001775832E-3</v>
      </c>
      <c r="BB147" s="2" vm="5235">
        <f ca="1"/>
        <v>253.47</v>
      </c>
      <c r="BC147" s="2">
        <f t="shared" ca="1" si="120"/>
        <v>1.6359918200409048E-2</v>
      </c>
      <c r="BD147" s="2" vm="5236">
        <f ca="1"/>
        <v>41.6</v>
      </c>
      <c r="BE147" s="2">
        <f t="shared" ca="1" si="121"/>
        <v>1.6369411189836348E-2</v>
      </c>
      <c r="BF147" s="2" vm="5237">
        <f ca="1"/>
        <v>106.07</v>
      </c>
      <c r="BG147" s="2">
        <f t="shared" ca="1" si="122"/>
        <v>1.3956600707389291E-2</v>
      </c>
      <c r="BH147" s="2" vm="5238">
        <f ca="1"/>
        <v>137.04</v>
      </c>
      <c r="BI147" s="2">
        <f t="shared" ca="1" si="123"/>
        <v>9.2053906767803236E-3</v>
      </c>
      <c r="BJ147" s="2" vm="5239">
        <f ca="1"/>
        <v>155.66</v>
      </c>
      <c r="BK147" s="2">
        <f t="shared" ca="1" si="124"/>
        <v>-1.0425937698665065E-2</v>
      </c>
      <c r="BL147" s="2" vm="1778">
        <f ca="1"/>
        <v>71.17</v>
      </c>
      <c r="BM147" s="2">
        <f t="shared" ca="1" si="125"/>
        <v>-1.6988950276243149E-2</v>
      </c>
      <c r="BN147" s="2" vm="5240">
        <f ca="1"/>
        <v>313.49</v>
      </c>
      <c r="BO147" s="2">
        <f t="shared" ca="1" si="126"/>
        <v>-1.4585232452142164E-2</v>
      </c>
      <c r="BP147" s="2" vm="5241">
        <f ca="1"/>
        <v>105.12</v>
      </c>
      <c r="BQ147" s="2">
        <f t="shared" ca="1" si="127"/>
        <v>2.967969438730533E-2</v>
      </c>
      <c r="BR147" s="2" vm="5242">
        <f ca="1"/>
        <v>1144.43</v>
      </c>
      <c r="BS147" s="2">
        <f t="shared" ca="1" si="128"/>
        <v>-9.5031201045516454E-3</v>
      </c>
      <c r="BT147" s="2" vm="5243">
        <f ca="1"/>
        <v>158.65</v>
      </c>
      <c r="BU147" s="2">
        <f t="shared" ca="1" si="129"/>
        <v>-4.0178291167052944E-3</v>
      </c>
      <c r="BV147" s="2" vm="5244">
        <f ca="1"/>
        <v>131.43</v>
      </c>
      <c r="BW147" s="2">
        <f t="shared" ca="1" si="130"/>
        <v>-3.6766099382176801E-3</v>
      </c>
      <c r="BX147" s="2" vm="5245">
        <f ca="1"/>
        <v>219.35</v>
      </c>
      <c r="BY147" s="2">
        <f t="shared" ca="1" si="131"/>
        <v>2.8894413434025972E-2</v>
      </c>
      <c r="BZ147" s="2" vm="4990">
        <f ca="1"/>
        <v>84.01</v>
      </c>
      <c r="CA147" s="2">
        <f t="shared" ca="1" si="132"/>
        <v>2.2143813115950935E-2</v>
      </c>
      <c r="CB147" s="2" vm="2742">
        <f ca="1"/>
        <v>25.95</v>
      </c>
      <c r="CC147" s="2">
        <f t="shared" ca="1" si="133"/>
        <v>3.2219570405727871E-2</v>
      </c>
      <c r="CD147" s="2" t="e" vm="92">
        <f ca="1"/>
        <v>#N/A</v>
      </c>
      <c r="CE147" s="2" t="e" vm="140">
        <f t="shared" ca="1" si="134"/>
        <v>#N/A</v>
      </c>
      <c r="CF147" s="2" vm="985">
        <f ca="1"/>
        <v>22.72</v>
      </c>
      <c r="CG147" s="2">
        <f t="shared" ca="1" si="135"/>
        <v>-5.4716568176843951E-3</v>
      </c>
      <c r="CH147" s="2" vm="570">
        <f ca="1"/>
        <v>58.51</v>
      </c>
      <c r="CI147" s="2">
        <f t="shared" ca="1" si="136"/>
        <v>-1.8764926646195742E-3</v>
      </c>
      <c r="CJ147" s="2" vm="5246">
        <f ca="1"/>
        <v>59.06</v>
      </c>
      <c r="CK147" s="2">
        <f t="shared" ca="1" si="137"/>
        <v>-5.7239057239056616E-3</v>
      </c>
      <c r="CL147" s="2" vm="5247">
        <f ca="1"/>
        <v>55.27</v>
      </c>
      <c r="CM147" s="2">
        <f t="shared" ca="1" si="138"/>
        <v>-1.056211958467591E-2</v>
      </c>
      <c r="CN147" s="2" vm="206">
        <f ca="1"/>
        <v>28.54</v>
      </c>
      <c r="CO147" s="2">
        <f t="shared" ca="1" si="139"/>
        <v>-3.8394415357765948E-3</v>
      </c>
      <c r="CP147" s="2" vm="5248">
        <f ca="1"/>
        <v>21.5014</v>
      </c>
      <c r="CQ147" s="2">
        <f t="shared" ca="1" si="140"/>
        <v>-4.4034913064616319E-3</v>
      </c>
    </row>
    <row r="148" spans="1:95" x14ac:dyDescent="0.2">
      <c r="A148" s="7" vm="5249">
        <f ca="1"/>
        <v>45786</v>
      </c>
      <c r="B148" s="2" vm="5250">
        <f ca="1"/>
        <v>198.53</v>
      </c>
      <c r="C148" s="2">
        <f t="shared" ca="1" si="94"/>
        <v>5.2660894222491868E-3</v>
      </c>
      <c r="D148" s="2" vm="5251">
        <f ca="1"/>
        <v>116.65</v>
      </c>
      <c r="E148" s="2">
        <f t="shared" ca="1" si="95"/>
        <v>-6.1344466217943157E-3</v>
      </c>
      <c r="F148" s="2" vm="5252">
        <f ca="1"/>
        <v>438.73</v>
      </c>
      <c r="G148" s="2">
        <f t="shared" ca="1" si="96"/>
        <v>1.278042768788375E-3</v>
      </c>
      <c r="H148" s="2" vm="5253">
        <f ca="1"/>
        <v>592.49</v>
      </c>
      <c r="I148" s="2">
        <f t="shared" ca="1" si="97"/>
        <v>-9.2306148726609624E-3</v>
      </c>
      <c r="J148" s="2" vm="5254">
        <f ca="1"/>
        <v>152.75</v>
      </c>
      <c r="K148" s="2">
        <f t="shared" ca="1" si="98"/>
        <v>-9.917033964220905E-3</v>
      </c>
      <c r="L148" s="2" vm="5255">
        <f ca="1"/>
        <v>564.34</v>
      </c>
      <c r="M148" s="2">
        <f t="shared" ca="1" si="99"/>
        <v>-1.274200969808363E-3</v>
      </c>
      <c r="N148" s="2" vm="5256">
        <f ca="1"/>
        <v>87.05</v>
      </c>
      <c r="O148" s="2">
        <f t="shared" ca="1" si="100"/>
        <v>1.4956281638287558E-3</v>
      </c>
      <c r="P148" s="2" vm="5257">
        <f ca="1"/>
        <v>306.83999999999997</v>
      </c>
      <c r="Q148" s="2">
        <f t="shared" ca="1" si="101"/>
        <v>7.2547024258936398E-3</v>
      </c>
      <c r="R148" s="2" vm="5258">
        <f ca="1"/>
        <v>66.61</v>
      </c>
      <c r="S148" s="2">
        <f t="shared" ca="1" si="102"/>
        <v>1.5396341463414714E-2</v>
      </c>
      <c r="T148" s="2" vm="5259">
        <f ca="1"/>
        <v>94.35</v>
      </c>
      <c r="U148" s="2">
        <f t="shared" ca="1" si="103"/>
        <v>7.4246924055996154E-4</v>
      </c>
      <c r="V148" s="2" vm="5260">
        <f ca="1"/>
        <v>46.59</v>
      </c>
      <c r="W148" s="2">
        <f t="shared" ca="1" si="104"/>
        <v>4.0368296286129464E-4</v>
      </c>
      <c r="X148" s="2" vm="5261">
        <f ca="1"/>
        <v>132.46</v>
      </c>
      <c r="Y148" s="2">
        <f t="shared" ca="1" si="105"/>
        <v>-5.4808919588556935E-3</v>
      </c>
      <c r="Z148" s="2" vm="5262">
        <f ca="1"/>
        <v>82.43</v>
      </c>
      <c r="AA148" s="2">
        <f t="shared" ca="1" si="106"/>
        <v>1.0047788261242585E-2</v>
      </c>
      <c r="AB148" s="2" vm="5263">
        <f ca="1"/>
        <v>12.55</v>
      </c>
      <c r="AC148" s="2">
        <f t="shared" ca="1" si="107"/>
        <v>1.1281224818694646E-2</v>
      </c>
      <c r="AD148" s="2" t="e" vm="92">
        <f ca="1"/>
        <v>#N/A</v>
      </c>
      <c r="AE148" s="2" t="e" vm="140">
        <f t="shared" ca="1" si="108"/>
        <v>#N/A</v>
      </c>
      <c r="AF148" s="2" vm="5264">
        <f ca="1"/>
        <v>29.8</v>
      </c>
      <c r="AG148" s="2">
        <f t="shared" ca="1" si="109"/>
        <v>1.154107264086897E-2</v>
      </c>
      <c r="AH148" s="2" vm="1282">
        <f ca="1"/>
        <v>27.02</v>
      </c>
      <c r="AI148" s="2">
        <f t="shared" ca="1" si="110"/>
        <v>4.0876997398736322E-3</v>
      </c>
      <c r="AJ148" s="2" vm="5265">
        <f ca="1"/>
        <v>4.4400000000000004</v>
      </c>
      <c r="AK148" s="2">
        <f t="shared" ca="1" si="111"/>
        <v>-1.5521064301551974E-2</v>
      </c>
      <c r="AL148" s="2" vm="5266">
        <f ca="1"/>
        <v>65.930000000000007</v>
      </c>
      <c r="AM148" s="2">
        <f t="shared" ca="1" si="112"/>
        <v>6.8723274282224012E-3</v>
      </c>
      <c r="AN148" s="2" vm="2588">
        <f ca="1"/>
        <v>91.17</v>
      </c>
      <c r="AO148" s="2">
        <f t="shared" ca="1" si="113"/>
        <v>1.7181747182862951E-2</v>
      </c>
      <c r="AP148" s="2" vm="3283">
        <f ca="1"/>
        <v>26.48</v>
      </c>
      <c r="AQ148" s="2">
        <f t="shared" ca="1" si="114"/>
        <v>1.1342155009452226E-3</v>
      </c>
      <c r="AR148" s="2" vm="1201">
        <f ca="1"/>
        <v>50.76</v>
      </c>
      <c r="AS148" s="2">
        <f t="shared" ca="1" si="115"/>
        <v>0</v>
      </c>
      <c r="AT148" s="2" vm="3645">
        <f ca="1"/>
        <v>29.16</v>
      </c>
      <c r="AU148" s="2">
        <f t="shared" ca="1" si="116"/>
        <v>0</v>
      </c>
      <c r="AV148" s="2" vm="842">
        <f ca="1"/>
        <v>26.21</v>
      </c>
      <c r="AW148" s="2">
        <f t="shared" ca="1" si="117"/>
        <v>1.5284677111195698E-3</v>
      </c>
      <c r="AX148" s="2" vm="968">
        <f ca="1"/>
        <v>91.53</v>
      </c>
      <c r="AY148" s="2">
        <f t="shared" ca="1" si="118"/>
        <v>3.2786885245902881E-4</v>
      </c>
      <c r="AZ148" s="2" vm="5267">
        <f ca="1"/>
        <v>513.74</v>
      </c>
      <c r="BA148" s="2">
        <f t="shared" ca="1" si="119"/>
        <v>9.5470043838287205E-4</v>
      </c>
      <c r="BB148" s="2" vm="5268">
        <f ca="1"/>
        <v>253.08</v>
      </c>
      <c r="BC148" s="2">
        <f t="shared" ca="1" si="120"/>
        <v>-1.5386436264646166E-3</v>
      </c>
      <c r="BD148" s="2" vm="5269">
        <f ca="1"/>
        <v>41.79</v>
      </c>
      <c r="BE148" s="2">
        <f t="shared" ca="1" si="121"/>
        <v>4.5673076923076379E-3</v>
      </c>
      <c r="BF148" s="2" vm="2381">
        <f ca="1"/>
        <v>107.31</v>
      </c>
      <c r="BG148" s="2">
        <f t="shared" ca="1" si="122"/>
        <v>1.1690393136607987E-2</v>
      </c>
      <c r="BH148" s="2" vm="5270">
        <f ca="1"/>
        <v>138.49</v>
      </c>
      <c r="BI148" s="2">
        <f t="shared" ca="1" si="123"/>
        <v>1.0580852305896215E-2</v>
      </c>
      <c r="BJ148" s="2" vm="5271">
        <f ca="1"/>
        <v>154.22</v>
      </c>
      <c r="BK148" s="2">
        <f t="shared" ca="1" si="124"/>
        <v>-9.2509315174097249E-3</v>
      </c>
      <c r="BL148" s="2" vm="5272">
        <f ca="1"/>
        <v>70.52</v>
      </c>
      <c r="BM148" s="2">
        <f t="shared" ca="1" si="125"/>
        <v>-9.1330616832936019E-3</v>
      </c>
      <c r="BN148" s="2" vm="5273">
        <f ca="1"/>
        <v>313.68</v>
      </c>
      <c r="BO148" s="2">
        <f t="shared" ca="1" si="126"/>
        <v>6.0607993875401998E-4</v>
      </c>
      <c r="BP148" s="2" vm="5274">
        <f ca="1"/>
        <v>105.94</v>
      </c>
      <c r="BQ148" s="2">
        <f t="shared" ca="1" si="127"/>
        <v>7.8006088280060228E-3</v>
      </c>
      <c r="BR148" s="2" vm="5275">
        <f ca="1"/>
        <v>1140.22</v>
      </c>
      <c r="BS148" s="2">
        <f t="shared" ca="1" si="128"/>
        <v>-3.6786872067317671E-3</v>
      </c>
      <c r="BT148" s="2" vm="5276">
        <f ca="1"/>
        <v>157.66</v>
      </c>
      <c r="BU148" s="2">
        <f t="shared" ca="1" si="129"/>
        <v>-6.2401512763946365E-3</v>
      </c>
      <c r="BV148" s="2" vm="5277">
        <f ca="1"/>
        <v>130.44</v>
      </c>
      <c r="BW148" s="2">
        <f t="shared" ca="1" si="130"/>
        <v>-7.5325268203607172E-3</v>
      </c>
      <c r="BX148" s="2" vm="5278">
        <f ca="1"/>
        <v>221.87</v>
      </c>
      <c r="BY148" s="2">
        <f t="shared" ca="1" si="131"/>
        <v>1.1488488716662915E-2</v>
      </c>
      <c r="BZ148" s="2" vm="5279">
        <f ca="1"/>
        <v>85.1</v>
      </c>
      <c r="CA148" s="2">
        <f t="shared" ca="1" si="132"/>
        <v>1.2974645875490883E-2</v>
      </c>
      <c r="CB148" s="2" vm="2552">
        <f ca="1"/>
        <v>26.45</v>
      </c>
      <c r="CC148" s="2">
        <f t="shared" ca="1" si="133"/>
        <v>1.926782273603083E-2</v>
      </c>
      <c r="CD148" s="2" t="e" vm="92">
        <f ca="1"/>
        <v>#N/A</v>
      </c>
      <c r="CE148" s="2" t="e" vm="140">
        <f t="shared" ca="1" si="134"/>
        <v>#N/A</v>
      </c>
      <c r="CF148" s="2" vm="4854">
        <f ca="1"/>
        <v>22.74</v>
      </c>
      <c r="CG148" s="2">
        <f t="shared" ca="1" si="135"/>
        <v>8.8028169014082633E-4</v>
      </c>
      <c r="CH148" s="2" vm="1834">
        <f ca="1"/>
        <v>58.52</v>
      </c>
      <c r="CI148" s="2">
        <f t="shared" ca="1" si="136"/>
        <v>1.7091095539232808E-4</v>
      </c>
      <c r="CJ148" s="2" vm="3974">
        <f ca="1"/>
        <v>59.09</v>
      </c>
      <c r="CK148" s="2">
        <f t="shared" ca="1" si="137"/>
        <v>5.0795800880462476E-4</v>
      </c>
      <c r="CL148" s="2" vm="2823">
        <f ca="1"/>
        <v>55.36</v>
      </c>
      <c r="CM148" s="2">
        <f t="shared" ca="1" si="138"/>
        <v>1.6283698208792528E-3</v>
      </c>
      <c r="CN148" s="2" vm="3051">
        <f ca="1"/>
        <v>28.51</v>
      </c>
      <c r="CO148" s="2">
        <f t="shared" ca="1" si="139"/>
        <v>-1.0511562718990043E-3</v>
      </c>
      <c r="CP148" s="2" vm="5280">
        <f ca="1"/>
        <v>21.6525</v>
      </c>
      <c r="CQ148" s="2">
        <f t="shared" ca="1" si="140"/>
        <v>7.0274493753894893E-3</v>
      </c>
    </row>
    <row r="149" spans="1:95" x14ac:dyDescent="0.2">
      <c r="A149" s="7" vm="5281">
        <f ca="1"/>
        <v>45789</v>
      </c>
      <c r="B149" s="2" vm="5282">
        <f ca="1"/>
        <v>210.79</v>
      </c>
      <c r="C149" s="2">
        <f t="shared" ca="1" si="94"/>
        <v>6.1753891099581883E-2</v>
      </c>
      <c r="D149" s="2" vm="5283">
        <f ca="1"/>
        <v>123</v>
      </c>
      <c r="E149" s="2">
        <f t="shared" ca="1" si="95"/>
        <v>5.4436348049721341E-2</v>
      </c>
      <c r="F149" s="2" vm="5284">
        <f ca="1"/>
        <v>449.26</v>
      </c>
      <c r="G149" s="2">
        <f t="shared" ca="1" si="96"/>
        <v>2.4001094066965951E-2</v>
      </c>
      <c r="H149" s="2" vm="5285">
        <f ca="1"/>
        <v>639.42999999999995</v>
      </c>
      <c r="I149" s="2">
        <f t="shared" ca="1" si="97"/>
        <v>7.9224965822207866E-2</v>
      </c>
      <c r="J149" s="2" vm="5286">
        <f ca="1"/>
        <v>158.46</v>
      </c>
      <c r="K149" s="2">
        <f t="shared" ca="1" si="98"/>
        <v>3.7381342062193179E-2</v>
      </c>
      <c r="L149" s="2" vm="5287">
        <f ca="1"/>
        <v>582.99</v>
      </c>
      <c r="M149" s="2">
        <f t="shared" ca="1" si="99"/>
        <v>3.3047453662685571E-2</v>
      </c>
      <c r="N149" s="2" vm="5288">
        <f ca="1"/>
        <v>86.24</v>
      </c>
      <c r="O149" s="2">
        <f t="shared" ca="1" si="100"/>
        <v>-9.304997128087333E-3</v>
      </c>
      <c r="P149" s="2" vm="5289">
        <f ca="1"/>
        <v>298.19</v>
      </c>
      <c r="Q149" s="2">
        <f t="shared" ca="1" si="101"/>
        <v>-2.8190587928562046E-2</v>
      </c>
      <c r="R149" s="2" vm="3290">
        <f ca="1"/>
        <v>67.599999999999994</v>
      </c>
      <c r="S149" s="2">
        <f t="shared" ca="1" si="102"/>
        <v>1.4862633238252439E-2</v>
      </c>
      <c r="T149" s="2" vm="1002">
        <f ca="1"/>
        <v>93.75</v>
      </c>
      <c r="U149" s="2">
        <f t="shared" ca="1" si="103"/>
        <v>-6.3593004769474763E-3</v>
      </c>
      <c r="V149" s="2" vm="5290">
        <f ca="1"/>
        <v>46.48</v>
      </c>
      <c r="W149" s="2">
        <f t="shared" ca="1" si="104"/>
        <v>-2.3610216784719154E-3</v>
      </c>
      <c r="X149" s="2" vm="5291">
        <f ca="1"/>
        <v>143.44999999999999</v>
      </c>
      <c r="Y149" s="2">
        <f t="shared" ca="1" si="105"/>
        <v>8.2968443303638686E-2</v>
      </c>
      <c r="Z149" s="2" vm="5292">
        <f ca="1"/>
        <v>84.58</v>
      </c>
      <c r="AA149" s="2">
        <f t="shared" ca="1" si="106"/>
        <v>2.608273686764517E-2</v>
      </c>
      <c r="AB149" s="2" vm="5293">
        <f ca="1"/>
        <v>12.76</v>
      </c>
      <c r="AC149" s="2">
        <f t="shared" ca="1" si="107"/>
        <v>1.6733067729083589E-2</v>
      </c>
      <c r="AD149" s="2" t="e" vm="92">
        <f ca="1"/>
        <v>#N/A</v>
      </c>
      <c r="AE149" s="2" t="e" vm="140">
        <f t="shared" ca="1" si="108"/>
        <v>#N/A</v>
      </c>
      <c r="AF149" s="2" vm="837">
        <f ca="1"/>
        <v>29.63</v>
      </c>
      <c r="AG149" s="2">
        <f t="shared" ca="1" si="109"/>
        <v>-5.7046979865772382E-3</v>
      </c>
      <c r="AH149" s="2" vm="2145">
        <f ca="1"/>
        <v>26.99</v>
      </c>
      <c r="AI149" s="2">
        <f t="shared" ca="1" si="110"/>
        <v>-1.1102886750555564E-3</v>
      </c>
      <c r="AJ149" s="2" vm="5294">
        <f ca="1"/>
        <v>4.3899999999999997</v>
      </c>
      <c r="AK149" s="2">
        <f t="shared" ca="1" si="111"/>
        <v>-1.126126126126142E-2</v>
      </c>
      <c r="AL149" s="2" vm="5295">
        <f ca="1"/>
        <v>64.069999999999993</v>
      </c>
      <c r="AM149" s="2">
        <f t="shared" ca="1" si="112"/>
        <v>-2.8211739723949848E-2</v>
      </c>
      <c r="AN149" s="2" vm="5296">
        <f ca="1"/>
        <v>89.59</v>
      </c>
      <c r="AO149" s="2">
        <f t="shared" ca="1" si="113"/>
        <v>-1.7330262147636263E-2</v>
      </c>
      <c r="AP149" s="2" vm="2303">
        <f ca="1"/>
        <v>26.27</v>
      </c>
      <c r="AQ149" s="2">
        <f t="shared" ca="1" si="114"/>
        <v>-7.930513595166196E-3</v>
      </c>
      <c r="AR149" s="2" vm="295">
        <f ca="1"/>
        <v>50.8</v>
      </c>
      <c r="AS149" s="2">
        <f t="shared" ca="1" si="115"/>
        <v>7.8802206461779255E-4</v>
      </c>
      <c r="AT149" s="2" vm="3054">
        <f ca="1"/>
        <v>29.1</v>
      </c>
      <c r="AU149" s="2">
        <f t="shared" ca="1" si="116"/>
        <v>-2.0576131687242358E-3</v>
      </c>
      <c r="AV149" s="2" vm="5297">
        <f ca="1"/>
        <v>25.98</v>
      </c>
      <c r="AW149" s="2">
        <f t="shared" ca="1" si="117"/>
        <v>-8.7752766119801769E-3</v>
      </c>
      <c r="AX149" s="2" vm="968">
        <f ca="1"/>
        <v>91.53</v>
      </c>
      <c r="AY149" s="2">
        <f t="shared" ca="1" si="118"/>
        <v>0</v>
      </c>
      <c r="AZ149" s="2" vm="5298">
        <f ca="1"/>
        <v>514.29999999999995</v>
      </c>
      <c r="BA149" s="2">
        <f t="shared" ca="1" si="119"/>
        <v>1.0900455483317348E-3</v>
      </c>
      <c r="BB149" s="2" vm="5299">
        <f ca="1"/>
        <v>260.05</v>
      </c>
      <c r="BC149" s="2">
        <f t="shared" ca="1" si="120"/>
        <v>2.7540698593330165E-2</v>
      </c>
      <c r="BD149" s="2" vm="5300">
        <f ca="1"/>
        <v>43.36</v>
      </c>
      <c r="BE149" s="2">
        <f t="shared" ca="1" si="121"/>
        <v>3.7568796362766221E-2</v>
      </c>
      <c r="BF149" s="2" vm="3902">
        <f ca="1"/>
        <v>109.16</v>
      </c>
      <c r="BG149" s="2">
        <f t="shared" ca="1" si="122"/>
        <v>1.7239772621377266E-2</v>
      </c>
      <c r="BH149" s="2" vm="5301">
        <f ca="1"/>
        <v>141.62</v>
      </c>
      <c r="BI149" s="2">
        <f t="shared" ca="1" si="123"/>
        <v>2.2600909812982854E-2</v>
      </c>
      <c r="BJ149" s="2" vm="5302">
        <f ca="1"/>
        <v>154.13999999999999</v>
      </c>
      <c r="BK149" s="2">
        <f t="shared" ca="1" si="124"/>
        <v>-5.1873946310473679E-4</v>
      </c>
      <c r="BL149" s="2" vm="5303">
        <f ca="1"/>
        <v>69.53</v>
      </c>
      <c r="BM149" s="2">
        <f t="shared" ca="1" si="125"/>
        <v>-1.4038570618264251E-2</v>
      </c>
      <c r="BN149" s="2" vm="5304">
        <f ca="1"/>
        <v>311.92</v>
      </c>
      <c r="BO149" s="2">
        <f t="shared" ca="1" si="126"/>
        <v>-5.610813567967326E-3</v>
      </c>
      <c r="BP149" s="2" vm="5305">
        <f ca="1"/>
        <v>110.49</v>
      </c>
      <c r="BQ149" s="2">
        <f t="shared" ca="1" si="127"/>
        <v>4.2948838965452117E-2</v>
      </c>
      <c r="BR149" s="2" vm="5306">
        <f ca="1"/>
        <v>1110</v>
      </c>
      <c r="BS149" s="2">
        <f t="shared" ca="1" si="128"/>
        <v>-2.6503657188963557E-2</v>
      </c>
      <c r="BT149" s="2" vm="5307">
        <f ca="1"/>
        <v>160.9</v>
      </c>
      <c r="BU149" s="2">
        <f t="shared" ca="1" si="129"/>
        <v>2.0550551820373013E-2</v>
      </c>
      <c r="BV149" s="2" vm="5308">
        <f ca="1"/>
        <v>131.68</v>
      </c>
      <c r="BW149" s="2">
        <f t="shared" ca="1" si="130"/>
        <v>9.5062864152101276E-3</v>
      </c>
      <c r="BX149" s="2" vm="5309">
        <f ca="1"/>
        <v>230.61</v>
      </c>
      <c r="BY149" s="2">
        <f t="shared" ca="1" si="131"/>
        <v>3.9392437012665114E-2</v>
      </c>
      <c r="BZ149" s="2" vm="3407">
        <f ca="1"/>
        <v>88.1</v>
      </c>
      <c r="CA149" s="2">
        <f t="shared" ca="1" si="132"/>
        <v>3.5252643948296122E-2</v>
      </c>
      <c r="CB149" s="2" vm="5310">
        <f ca="1"/>
        <v>27.43</v>
      </c>
      <c r="CC149" s="2">
        <f t="shared" ca="1" si="133"/>
        <v>3.7051039697542552E-2</v>
      </c>
      <c r="CD149" s="2" t="e" vm="92">
        <f ca="1"/>
        <v>#N/A</v>
      </c>
      <c r="CE149" s="2" t="e" vm="140">
        <f t="shared" ca="1" si="134"/>
        <v>#N/A</v>
      </c>
      <c r="CF149" s="2" vm="1382">
        <f ca="1"/>
        <v>22.63</v>
      </c>
      <c r="CG149" s="2">
        <f t="shared" ca="1" si="135"/>
        <v>-4.8372911169744697E-3</v>
      </c>
      <c r="CH149" s="2" vm="3070">
        <f ca="1"/>
        <v>58.41</v>
      </c>
      <c r="CI149" s="2">
        <f t="shared" ca="1" si="136"/>
        <v>-1.8796992481204123E-3</v>
      </c>
      <c r="CJ149" s="2" vm="4956">
        <f ca="1"/>
        <v>58.78</v>
      </c>
      <c r="CK149" s="2">
        <f t="shared" ca="1" si="137"/>
        <v>-5.2462345574547679E-3</v>
      </c>
      <c r="CL149" s="2" vm="5311">
        <f ca="1"/>
        <v>54.87</v>
      </c>
      <c r="CM149" s="2">
        <f t="shared" ca="1" si="138"/>
        <v>-8.8511560693641973E-3</v>
      </c>
      <c r="CN149" s="2" vm="5312">
        <f ca="1"/>
        <v>28.52</v>
      </c>
      <c r="CO149" s="2">
        <f t="shared" ca="1" si="139"/>
        <v>3.507541213608562E-4</v>
      </c>
      <c r="CP149" s="2" vm="5313">
        <f ca="1"/>
        <v>21.590599999999998</v>
      </c>
      <c r="CQ149" s="2">
        <f t="shared" ca="1" si="140"/>
        <v>-2.8587922872648146E-3</v>
      </c>
    </row>
    <row r="150" spans="1:95" x14ac:dyDescent="0.2">
      <c r="A150" s="7" vm="5314">
        <f ca="1"/>
        <v>45790</v>
      </c>
      <c r="B150" s="2" vm="5315">
        <f ca="1"/>
        <v>212.93</v>
      </c>
      <c r="C150" s="2">
        <f t="shared" ca="1" si="94"/>
        <v>1.0152284263959461E-2</v>
      </c>
      <c r="D150" s="2" vm="5316">
        <f ca="1"/>
        <v>129.93</v>
      </c>
      <c r="E150" s="2">
        <f t="shared" ca="1" si="95"/>
        <v>5.6341463414634203E-2</v>
      </c>
      <c r="F150" s="2" vm="5317">
        <f ca="1"/>
        <v>449.14</v>
      </c>
      <c r="G150" s="2">
        <f t="shared" ca="1" si="96"/>
        <v>-2.6710590749233086E-4</v>
      </c>
      <c r="H150" s="2" vm="5318">
        <f ca="1"/>
        <v>656.03</v>
      </c>
      <c r="I150" s="2">
        <f t="shared" ca="1" si="97"/>
        <v>2.5960621178236904E-2</v>
      </c>
      <c r="J150" s="2" vm="4916">
        <f ca="1"/>
        <v>159.53</v>
      </c>
      <c r="K150" s="2">
        <f t="shared" ca="1" si="98"/>
        <v>6.7524927426479437E-3</v>
      </c>
      <c r="L150" s="2" vm="5319">
        <f ca="1"/>
        <v>586.84</v>
      </c>
      <c r="M150" s="2">
        <f t="shared" ca="1" si="99"/>
        <v>6.6038868591228369E-3</v>
      </c>
      <c r="N150" s="2" vm="5320">
        <f ca="1"/>
        <v>85.89</v>
      </c>
      <c r="O150" s="2">
        <f t="shared" ca="1" si="100"/>
        <v>-4.058441558441493E-3</v>
      </c>
      <c r="P150" s="2" vm="5321">
        <f ca="1"/>
        <v>299.45999999999998</v>
      </c>
      <c r="Q150" s="2">
        <f t="shared" ca="1" si="101"/>
        <v>4.2590294778496324E-3</v>
      </c>
      <c r="R150" s="2" vm="5322">
        <f ca="1"/>
        <v>69.59</v>
      </c>
      <c r="S150" s="2">
        <f t="shared" ca="1" si="102"/>
        <v>2.9437869822485346E-2</v>
      </c>
      <c r="T150" s="2" vm="5323">
        <f ca="1"/>
        <v>93.68</v>
      </c>
      <c r="U150" s="2">
        <f t="shared" ca="1" si="103"/>
        <v>-7.4666666666659389E-4</v>
      </c>
      <c r="V150" s="2" vm="5324">
        <f ca="1"/>
        <v>46.448999999999998</v>
      </c>
      <c r="W150" s="2">
        <f t="shared" ca="1" si="104"/>
        <v>-6.6695352839928588E-4</v>
      </c>
      <c r="X150" s="2" vm="5325">
        <f ca="1"/>
        <v>145.07</v>
      </c>
      <c r="Y150" s="2">
        <f t="shared" ca="1" si="105"/>
        <v>1.1293133495991666E-2</v>
      </c>
      <c r="Z150" s="2" vm="5326">
        <f ca="1"/>
        <v>85.77</v>
      </c>
      <c r="AA150" s="2">
        <f t="shared" ca="1" si="106"/>
        <v>1.4069519981082971E-2</v>
      </c>
      <c r="AB150" s="2" vm="5327">
        <f ca="1"/>
        <v>13.06</v>
      </c>
      <c r="AC150" s="2">
        <f t="shared" ca="1" si="107"/>
        <v>2.3510971786833913E-2</v>
      </c>
      <c r="AD150" s="2" vm="5328">
        <f ca="1"/>
        <v>3.44</v>
      </c>
      <c r="AE150" s="2" t="e" vm="140">
        <f t="shared" ca="1" si="108"/>
        <v>#N/A</v>
      </c>
      <c r="AF150" s="2" vm="5329">
        <f ca="1"/>
        <v>29.93</v>
      </c>
      <c r="AG150" s="2">
        <f t="shared" ca="1" si="109"/>
        <v>1.0124873439082036E-2</v>
      </c>
      <c r="AH150" s="2" vm="5330">
        <f ca="1"/>
        <v>27.38</v>
      </c>
      <c r="AI150" s="2">
        <f t="shared" ca="1" si="110"/>
        <v>1.4449796220822549E-2</v>
      </c>
      <c r="AJ150" s="2" vm="5331">
        <f ca="1"/>
        <v>4.41</v>
      </c>
      <c r="AK150" s="2">
        <f t="shared" ca="1" si="111"/>
        <v>4.5558086560365521E-3</v>
      </c>
      <c r="AL150" s="2" vm="5332">
        <f ca="1"/>
        <v>64.34</v>
      </c>
      <c r="AM150" s="2">
        <f t="shared" ca="1" si="112"/>
        <v>4.2141407835181877E-3</v>
      </c>
      <c r="AN150" s="2" vm="5333">
        <f ca="1"/>
        <v>90.6</v>
      </c>
      <c r="AO150" s="2">
        <f t="shared" ca="1" si="113"/>
        <v>1.1273579640584785E-2</v>
      </c>
      <c r="AP150" s="2" vm="1855">
        <f ca="1"/>
        <v>26.33</v>
      </c>
      <c r="AQ150" s="2">
        <f t="shared" ca="1" si="114"/>
        <v>2.2839741149599819E-3</v>
      </c>
      <c r="AR150" s="2" vm="1590">
        <f ca="1"/>
        <v>50.86</v>
      </c>
      <c r="AS150" s="2">
        <f t="shared" ca="1" si="115"/>
        <v>1.1811023622047693E-3</v>
      </c>
      <c r="AT150" s="2" vm="3054">
        <f ca="1"/>
        <v>29.1</v>
      </c>
      <c r="AU150" s="2">
        <f t="shared" ca="1" si="116"/>
        <v>0</v>
      </c>
      <c r="AV150" s="2" vm="5334">
        <f ca="1"/>
        <v>25.87</v>
      </c>
      <c r="AW150" s="2">
        <f t="shared" ca="1" si="117"/>
        <v>-4.2340261739799625E-3</v>
      </c>
      <c r="AX150" s="2" vm="124">
        <f ca="1"/>
        <v>91.55</v>
      </c>
      <c r="AY150" s="2">
        <f t="shared" ca="1" si="118"/>
        <v>2.1850759313881809E-4</v>
      </c>
      <c r="AZ150" s="2" vm="5335">
        <f ca="1"/>
        <v>511.88</v>
      </c>
      <c r="BA150" s="2">
        <f t="shared" ca="1" si="119"/>
        <v>-4.7054248493096622E-3</v>
      </c>
      <c r="BB150" s="2" vm="5336">
        <f ca="1"/>
        <v>263.01</v>
      </c>
      <c r="BC150" s="2">
        <f t="shared" ca="1" si="120"/>
        <v>1.1382426456450604E-2</v>
      </c>
      <c r="BD150" s="2" vm="5337">
        <f ca="1"/>
        <v>44.28</v>
      </c>
      <c r="BE150" s="2">
        <f t="shared" ca="1" si="121"/>
        <v>2.121771217712181E-2</v>
      </c>
      <c r="BF150" s="2" vm="3616">
        <f ca="1"/>
        <v>109.46</v>
      </c>
      <c r="BG150" s="2">
        <f t="shared" ca="1" si="122"/>
        <v>2.7482594356907034E-3</v>
      </c>
      <c r="BH150" s="2" vm="5338">
        <f ca="1"/>
        <v>142.35</v>
      </c>
      <c r="BI150" s="2">
        <f t="shared" ca="1" si="123"/>
        <v>5.1546391752576599E-3</v>
      </c>
      <c r="BJ150" s="2" vm="5339">
        <f ca="1"/>
        <v>148.44</v>
      </c>
      <c r="BK150" s="2">
        <f t="shared" ca="1" si="124"/>
        <v>-3.6979369404437454E-2</v>
      </c>
      <c r="BL150" s="2" vm="5340">
        <f ca="1"/>
        <v>68.959999999999994</v>
      </c>
      <c r="BM150" s="2">
        <f t="shared" ca="1" si="125"/>
        <v>-8.1979001869697601E-3</v>
      </c>
      <c r="BN150" s="2" vm="5341">
        <f ca="1"/>
        <v>308.69</v>
      </c>
      <c r="BO150" s="2">
        <f t="shared" ca="1" si="126"/>
        <v>-1.0355219286996724E-2</v>
      </c>
      <c r="BP150" s="2" vm="5342">
        <f ca="1"/>
        <v>111.38</v>
      </c>
      <c r="BQ150" s="2">
        <f t="shared" ca="1" si="127"/>
        <v>8.0550276043080873E-3</v>
      </c>
      <c r="BR150" s="2" vm="5343">
        <f ca="1"/>
        <v>1138.44</v>
      </c>
      <c r="BS150" s="2">
        <f t="shared" ca="1" si="128"/>
        <v>2.5621621621621671E-2</v>
      </c>
      <c r="BT150" s="2" vm="5344">
        <f ca="1"/>
        <v>158.72999999999999</v>
      </c>
      <c r="BU150" s="2">
        <f t="shared" ca="1" si="129"/>
        <v>-1.348663766314491E-2</v>
      </c>
      <c r="BV150" s="2" vm="5345">
        <f ca="1"/>
        <v>130.31</v>
      </c>
      <c r="BW150" s="2">
        <f t="shared" ca="1" si="130"/>
        <v>-1.0404009720534664E-2</v>
      </c>
      <c r="BX150" s="2" vm="5346">
        <f ca="1"/>
        <v>231.5</v>
      </c>
      <c r="BY150" s="2">
        <f t="shared" ca="1" si="131"/>
        <v>3.8593296040934318E-3</v>
      </c>
      <c r="BZ150" s="2" vm="3952">
        <f ca="1"/>
        <v>90.65</v>
      </c>
      <c r="CA150" s="2">
        <f t="shared" ca="1" si="132"/>
        <v>2.8944381384790142E-2</v>
      </c>
      <c r="CB150" s="2" vm="2576">
        <f ca="1"/>
        <v>28.33</v>
      </c>
      <c r="CC150" s="2">
        <f t="shared" ca="1" si="133"/>
        <v>3.2810791104629915E-2</v>
      </c>
      <c r="CD150" s="2" t="e" vm="92">
        <f ca="1"/>
        <v>#N/A</v>
      </c>
      <c r="CE150" s="2" t="e" vm="140">
        <f t="shared" ca="1" si="134"/>
        <v>#N/A</v>
      </c>
      <c r="CF150" s="2" vm="5347">
        <f ca="1"/>
        <v>22.605</v>
      </c>
      <c r="CG150" s="2">
        <f t="shared" ca="1" si="135"/>
        <v>-1.1047282368536711E-3</v>
      </c>
      <c r="CH150" s="2" vm="3070">
        <f ca="1"/>
        <v>58.41</v>
      </c>
      <c r="CI150" s="2">
        <f t="shared" ca="1" si="136"/>
        <v>0</v>
      </c>
      <c r="CJ150" s="2" vm="5348">
        <f ca="1"/>
        <v>58.77</v>
      </c>
      <c r="CK150" s="2">
        <f t="shared" ca="1" si="137"/>
        <v>-1.7012589316090524E-4</v>
      </c>
      <c r="CL150" s="2" vm="5349">
        <f ca="1"/>
        <v>54.64</v>
      </c>
      <c r="CM150" s="2">
        <f t="shared" ca="1" si="138"/>
        <v>-4.191725897576032E-3</v>
      </c>
      <c r="CN150" s="2" vm="206">
        <f ca="1"/>
        <v>28.54</v>
      </c>
      <c r="CO150" s="2">
        <f t="shared" ca="1" si="139"/>
        <v>7.0126227208974659E-4</v>
      </c>
      <c r="CP150" s="2" vm="5350">
        <f ca="1"/>
        <v>21.3367</v>
      </c>
      <c r="CQ150" s="2">
        <f t="shared" ca="1" si="140"/>
        <v>-1.1759747297434904E-2</v>
      </c>
    </row>
    <row r="151" spans="1:95" x14ac:dyDescent="0.2">
      <c r="A151" s="7" vm="5351">
        <f ca="1"/>
        <v>45791</v>
      </c>
      <c r="B151" s="2" vm="5352">
        <f ca="1"/>
        <v>212.33</v>
      </c>
      <c r="C151" s="2">
        <f t="shared" ca="1" si="94"/>
        <v>-2.8178274550321432E-3</v>
      </c>
      <c r="D151" s="2" vm="1500">
        <f ca="1"/>
        <v>135.34</v>
      </c>
      <c r="E151" s="2">
        <f t="shared" ca="1" si="95"/>
        <v>4.1637804971907923E-2</v>
      </c>
      <c r="F151" s="2" vm="5353">
        <f ca="1"/>
        <v>452.94</v>
      </c>
      <c r="G151" s="2">
        <f t="shared" ca="1" si="96"/>
        <v>8.4606136171349947E-3</v>
      </c>
      <c r="H151" s="2" vm="5354">
        <f ca="1"/>
        <v>659.36</v>
      </c>
      <c r="I151" s="2">
        <f t="shared" ca="1" si="97"/>
        <v>5.0759873786260399E-3</v>
      </c>
      <c r="J151" s="2" vm="5355">
        <f ca="1"/>
        <v>165.37</v>
      </c>
      <c r="K151" s="2">
        <f t="shared" ca="1" si="98"/>
        <v>3.6607534632984412E-2</v>
      </c>
      <c r="L151" s="2" vm="5356">
        <f ca="1"/>
        <v>587.59</v>
      </c>
      <c r="M151" s="2">
        <f t="shared" ca="1" si="99"/>
        <v>1.2780314906959307E-3</v>
      </c>
      <c r="N151" s="2" vm="5357">
        <f ca="1"/>
        <v>85.32</v>
      </c>
      <c r="O151" s="2">
        <f t="shared" ca="1" si="100"/>
        <v>-6.6363953894517103E-3</v>
      </c>
      <c r="P151" s="2" vm="5358">
        <f ca="1"/>
        <v>293.16000000000003</v>
      </c>
      <c r="Q151" s="2">
        <f t="shared" ca="1" si="101"/>
        <v>-2.1037868162692697E-2</v>
      </c>
      <c r="R151" s="2" vm="5359">
        <f ca="1"/>
        <v>68.73</v>
      </c>
      <c r="S151" s="2">
        <f t="shared" ca="1" si="102"/>
        <v>-1.2358097427791341E-2</v>
      </c>
      <c r="T151" s="2" vm="5360">
        <f ca="1"/>
        <v>93.33</v>
      </c>
      <c r="U151" s="2">
        <f t="shared" ca="1" si="103"/>
        <v>-3.736122971819049E-3</v>
      </c>
      <c r="V151" s="2" vm="5361">
        <f ca="1"/>
        <v>46.311100000000003</v>
      </c>
      <c r="W151" s="2">
        <f t="shared" ca="1" si="104"/>
        <v>-2.9688475532303128E-3</v>
      </c>
      <c r="X151" s="2" vm="5362">
        <f ca="1"/>
        <v>144.24</v>
      </c>
      <c r="Y151" s="2">
        <f t="shared" ca="1" si="105"/>
        <v>-5.7213758875024759E-3</v>
      </c>
      <c r="Z151" s="2" vm="5363">
        <f ca="1"/>
        <v>85.25</v>
      </c>
      <c r="AA151" s="2">
        <f t="shared" ca="1" si="106"/>
        <v>-6.0627258948349775E-3</v>
      </c>
      <c r="AB151" s="2" vm="5364">
        <f ca="1"/>
        <v>12.9</v>
      </c>
      <c r="AC151" s="2">
        <f t="shared" ca="1" si="107"/>
        <v>-1.2251148545176121E-2</v>
      </c>
      <c r="AD151" s="2" vm="1551">
        <f ca="1"/>
        <v>3.3</v>
      </c>
      <c r="AE151" s="2">
        <f t="shared" ca="1" si="108"/>
        <v>-4.0697674418604689E-2</v>
      </c>
      <c r="AF151" s="2" vm="3627">
        <f ca="1"/>
        <v>29.25</v>
      </c>
      <c r="AG151" s="2">
        <f t="shared" ca="1" si="109"/>
        <v>-2.2719679251587029E-2</v>
      </c>
      <c r="AH151" s="2" vm="5365">
        <f ca="1"/>
        <v>27.23</v>
      </c>
      <c r="AI151" s="2">
        <f t="shared" ca="1" si="110"/>
        <v>-5.478451424397319E-3</v>
      </c>
      <c r="AJ151" s="2" vm="5366">
        <f ca="1"/>
        <v>4.45</v>
      </c>
      <c r="AK151" s="2">
        <f t="shared" ca="1" si="111"/>
        <v>9.070294784580506E-3</v>
      </c>
      <c r="AL151" s="2" vm="1131">
        <f ca="1"/>
        <v>63</v>
      </c>
      <c r="AM151" s="2">
        <f t="shared" ca="1" si="112"/>
        <v>-2.0826857320484976E-2</v>
      </c>
      <c r="AN151" s="2" vm="5367">
        <f ca="1"/>
        <v>89.56</v>
      </c>
      <c r="AO151" s="2">
        <f t="shared" ca="1" si="113"/>
        <v>-1.1479028697571657E-2</v>
      </c>
      <c r="AP151" s="2" vm="594">
        <f ca="1"/>
        <v>26.29</v>
      </c>
      <c r="AQ151" s="2">
        <f t="shared" ca="1" si="114"/>
        <v>-1.5191796429927515E-3</v>
      </c>
      <c r="AR151" s="2" vm="4426">
        <f ca="1"/>
        <v>50.83</v>
      </c>
      <c r="AS151" s="2">
        <f t="shared" ca="1" si="115"/>
        <v>-5.8985450255605852E-4</v>
      </c>
      <c r="AT151" s="2" vm="1747">
        <f ca="1"/>
        <v>29.08</v>
      </c>
      <c r="AU151" s="2">
        <f t="shared" ca="1" si="116"/>
        <v>-6.8728522336780498E-4</v>
      </c>
      <c r="AV151" s="2" vm="2594">
        <f ca="1"/>
        <v>25.72</v>
      </c>
      <c r="AW151" s="2">
        <f t="shared" ca="1" si="117"/>
        <v>-5.7982218786239706E-3</v>
      </c>
      <c r="AX151" s="2" vm="124">
        <f ca="1"/>
        <v>91.55</v>
      </c>
      <c r="AY151" s="2">
        <f t="shared" ca="1" si="118"/>
        <v>0</v>
      </c>
      <c r="AZ151" s="2" vm="5368">
        <f ca="1"/>
        <v>503.4</v>
      </c>
      <c r="BA151" s="2">
        <f t="shared" ca="1" si="119"/>
        <v>-1.6566382745956121E-2</v>
      </c>
      <c r="BB151" s="2" vm="5369">
        <f ca="1"/>
        <v>265.64</v>
      </c>
      <c r="BC151" s="2">
        <f t="shared" ca="1" si="120"/>
        <v>9.9996197863198941E-3</v>
      </c>
      <c r="BD151" s="2" vm="5370">
        <f ca="1"/>
        <v>44.74</v>
      </c>
      <c r="BE151" s="2">
        <f t="shared" ca="1" si="121"/>
        <v>1.0388437217705529E-2</v>
      </c>
      <c r="BF151" s="2" vm="5371">
        <f ca="1"/>
        <v>108.48</v>
      </c>
      <c r="BG151" s="2">
        <f t="shared" ca="1" si="122"/>
        <v>-8.9530422071988844E-3</v>
      </c>
      <c r="BH151" s="2" vm="5372">
        <f ca="1"/>
        <v>141.66999999999999</v>
      </c>
      <c r="BI151" s="2">
        <f t="shared" ca="1" si="123"/>
        <v>-4.7769582016157844E-3</v>
      </c>
      <c r="BJ151" s="2" vm="5373">
        <f ca="1"/>
        <v>146.36000000000001</v>
      </c>
      <c r="BK151" s="2">
        <f t="shared" ca="1" si="124"/>
        <v>-1.4012395580705902E-2</v>
      </c>
      <c r="BL151" s="2" vm="3999">
        <f ca="1"/>
        <v>69.16</v>
      </c>
      <c r="BM151" s="2">
        <f t="shared" ca="1" si="125"/>
        <v>2.9002320185615264E-3</v>
      </c>
      <c r="BN151" s="2" vm="5374">
        <f ca="1"/>
        <v>307.5</v>
      </c>
      <c r="BO151" s="2">
        <f t="shared" ca="1" si="126"/>
        <v>-3.8550001619747894E-3</v>
      </c>
      <c r="BP151" s="2" vm="5375">
        <f ca="1"/>
        <v>112.94</v>
      </c>
      <c r="BQ151" s="2">
        <f t="shared" ca="1" si="127"/>
        <v>1.4006105225354663E-2</v>
      </c>
      <c r="BR151" s="2" vm="5376">
        <f ca="1"/>
        <v>1150.99</v>
      </c>
      <c r="BS151" s="2">
        <f t="shared" ca="1" si="128"/>
        <v>1.1023857208109302E-2</v>
      </c>
      <c r="BT151" s="2" vm="5377">
        <f ca="1"/>
        <v>158.02000000000001</v>
      </c>
      <c r="BU151" s="2">
        <f t="shared" ca="1" si="129"/>
        <v>-4.4730044730043441E-3</v>
      </c>
      <c r="BV151" s="2" vm="4554">
        <f ca="1"/>
        <v>128.44999999999999</v>
      </c>
      <c r="BW151" s="2">
        <f t="shared" ca="1" si="130"/>
        <v>-1.4273655130074543E-2</v>
      </c>
      <c r="BX151" s="2" vm="5378">
        <f ca="1"/>
        <v>231.86</v>
      </c>
      <c r="BY151" s="2">
        <f t="shared" ca="1" si="131"/>
        <v>1.5550755939525427E-3</v>
      </c>
      <c r="BZ151" s="2" vm="841">
        <f ca="1"/>
        <v>90.06</v>
      </c>
      <c r="CA151" s="2">
        <f t="shared" ca="1" si="132"/>
        <v>-6.5085493656922601E-3</v>
      </c>
      <c r="CB151" s="2" vm="5379">
        <f ca="1"/>
        <v>28.16</v>
      </c>
      <c r="CC151" s="2">
        <f t="shared" ca="1" si="133"/>
        <v>-6.00070596540763E-3</v>
      </c>
      <c r="CD151" s="2" t="e" vm="92">
        <f ca="1"/>
        <v>#N/A</v>
      </c>
      <c r="CE151" s="2" t="e" vm="140">
        <f t="shared" ca="1" si="134"/>
        <v>#N/A</v>
      </c>
      <c r="CF151" s="2" vm="5380">
        <f ca="1"/>
        <v>22.54</v>
      </c>
      <c r="CG151" s="2">
        <f t="shared" ca="1" si="135"/>
        <v>-2.875470028754757E-3</v>
      </c>
      <c r="CH151" s="2" vm="1419">
        <f ca="1"/>
        <v>58.35</v>
      </c>
      <c r="CI151" s="2">
        <f t="shared" ca="1" si="136"/>
        <v>-1.0272213662043345E-3</v>
      </c>
      <c r="CJ151" s="2" vm="399">
        <f ca="1"/>
        <v>58.63</v>
      </c>
      <c r="CK151" s="2">
        <f t="shared" ca="1" si="137"/>
        <v>-2.3821677726731422E-3</v>
      </c>
      <c r="CL151" s="2" vm="5381">
        <f ca="1"/>
        <v>54.33</v>
      </c>
      <c r="CM151" s="2">
        <f t="shared" ca="1" si="138"/>
        <v>-5.6734992679356201E-3</v>
      </c>
      <c r="CN151" s="2" vm="5382">
        <f ca="1"/>
        <v>28.41</v>
      </c>
      <c r="CO151" s="2">
        <f t="shared" ca="1" si="139"/>
        <v>-4.5550105115626845E-3</v>
      </c>
      <c r="CP151" s="2" vm="5383">
        <f ca="1"/>
        <v>21.188300000000002</v>
      </c>
      <c r="CQ151" s="2">
        <f t="shared" ca="1" si="140"/>
        <v>-6.9551523900133923E-3</v>
      </c>
    </row>
    <row r="152" spans="1:95" x14ac:dyDescent="0.2">
      <c r="A152" s="7" vm="5384">
        <f ca="1"/>
        <v>45792</v>
      </c>
      <c r="B152" s="2" vm="5385">
        <f ca="1"/>
        <v>211.45</v>
      </c>
      <c r="C152" s="2">
        <f t="shared" ca="1" si="94"/>
        <v>-4.144492064239739E-3</v>
      </c>
      <c r="D152" s="2" vm="5386">
        <f ca="1"/>
        <v>134.83000000000001</v>
      </c>
      <c r="E152" s="2">
        <f t="shared" ca="1" si="95"/>
        <v>-3.7682872764887758E-3</v>
      </c>
      <c r="F152" s="2" vm="5387">
        <f ca="1"/>
        <v>453.13</v>
      </c>
      <c r="G152" s="2">
        <f t="shared" ca="1" si="96"/>
        <v>4.1948160904313535E-4</v>
      </c>
      <c r="H152" s="2" vm="5388">
        <f ca="1"/>
        <v>643.88</v>
      </c>
      <c r="I152" s="2">
        <f t="shared" ca="1" si="97"/>
        <v>-2.3477311332200948E-2</v>
      </c>
      <c r="J152" s="2" vm="5389">
        <f ca="1"/>
        <v>163.96</v>
      </c>
      <c r="K152" s="2">
        <f t="shared" ca="1" si="98"/>
        <v>-8.5263348854084566E-3</v>
      </c>
      <c r="L152" s="2" vm="5390">
        <f ca="1"/>
        <v>590.46</v>
      </c>
      <c r="M152" s="2">
        <f t="shared" ca="1" si="99"/>
        <v>4.8843581408805539E-3</v>
      </c>
      <c r="N152" s="2" vm="5391">
        <f ca="1"/>
        <v>86.07</v>
      </c>
      <c r="O152" s="2">
        <f t="shared" ca="1" si="100"/>
        <v>8.7904360056258804E-3</v>
      </c>
      <c r="P152" s="2" vm="5392">
        <f ca="1"/>
        <v>297.83999999999997</v>
      </c>
      <c r="Q152" s="2">
        <f t="shared" ca="1" si="101"/>
        <v>1.5963978714694876E-2</v>
      </c>
      <c r="R152" s="2" vm="5393">
        <f ca="1"/>
        <v>67.59</v>
      </c>
      <c r="S152" s="2">
        <f t="shared" ca="1" si="102"/>
        <v>-1.6586643387167182E-2</v>
      </c>
      <c r="T152" s="2" vm="1038">
        <f ca="1"/>
        <v>93.94</v>
      </c>
      <c r="U152" s="2">
        <f t="shared" ca="1" si="103"/>
        <v>6.5359477124182948E-3</v>
      </c>
      <c r="V152" s="2" vm="5394">
        <f ca="1"/>
        <v>46.554099999999998</v>
      </c>
      <c r="W152" s="2">
        <f t="shared" ca="1" si="104"/>
        <v>5.247122180211547E-3</v>
      </c>
      <c r="X152" s="2" vm="3328">
        <f ca="1"/>
        <v>143.99</v>
      </c>
      <c r="Y152" s="2">
        <f t="shared" ca="1" si="105"/>
        <v>-1.733222407099279E-3</v>
      </c>
      <c r="Z152" s="2" vm="5395">
        <f ca="1"/>
        <v>85.61</v>
      </c>
      <c r="AA152" s="2">
        <f t="shared" ca="1" si="106"/>
        <v>4.2228739002932482E-3</v>
      </c>
      <c r="AB152" s="2" vm="5396">
        <f ca="1"/>
        <v>12.7</v>
      </c>
      <c r="AC152" s="2">
        <f t="shared" ca="1" si="107"/>
        <v>-1.5503875968992331E-2</v>
      </c>
      <c r="AD152" s="2" t="e" vm="92">
        <f ca="1"/>
        <v>#N/A</v>
      </c>
      <c r="AE152" s="2" t="e" vm="140">
        <f t="shared" ca="1" si="108"/>
        <v>#N/A</v>
      </c>
      <c r="AF152" s="2" vm="4098">
        <f ca="1"/>
        <v>29.61</v>
      </c>
      <c r="AG152" s="2">
        <f t="shared" ca="1" si="109"/>
        <v>1.2307692307692289E-2</v>
      </c>
      <c r="AH152" s="2" vm="2514">
        <f ca="1"/>
        <v>27.4</v>
      </c>
      <c r="AI152" s="2">
        <f t="shared" ca="1" si="110"/>
        <v>6.2431142122658153E-3</v>
      </c>
      <c r="AJ152" s="2" vm="5232">
        <f ca="1"/>
        <v>4.51</v>
      </c>
      <c r="AK152" s="2">
        <f t="shared" ca="1" si="111"/>
        <v>1.3483146067415642E-2</v>
      </c>
      <c r="AL152" s="2" vm="4699">
        <f ca="1"/>
        <v>64</v>
      </c>
      <c r="AM152" s="2">
        <f t="shared" ca="1" si="112"/>
        <v>1.5873015873015872E-2</v>
      </c>
      <c r="AN152" s="2" vm="330">
        <f ca="1"/>
        <v>90.64</v>
      </c>
      <c r="AO152" s="2">
        <f t="shared" ca="1" si="113"/>
        <v>1.205895489057613E-2</v>
      </c>
      <c r="AP152" s="2" vm="1705">
        <f ca="1"/>
        <v>26.39</v>
      </c>
      <c r="AQ152" s="2">
        <f t="shared" ca="1" si="114"/>
        <v>3.803727653100092E-3</v>
      </c>
      <c r="AR152" s="2" vm="1590">
        <f ca="1"/>
        <v>50.86</v>
      </c>
      <c r="AS152" s="2">
        <f t="shared" ca="1" si="115"/>
        <v>5.9020263623846421E-4</v>
      </c>
      <c r="AT152" s="2" vm="759">
        <f ca="1"/>
        <v>29.12</v>
      </c>
      <c r="AU152" s="2">
        <f t="shared" ca="1" si="116"/>
        <v>1.3755158184320048E-3</v>
      </c>
      <c r="AV152" s="2" vm="2742">
        <f ca="1"/>
        <v>25.95</v>
      </c>
      <c r="AW152" s="2">
        <f t="shared" ca="1" si="117"/>
        <v>8.9424572317263005E-3</v>
      </c>
      <c r="AX152" s="2" vm="1786">
        <f ca="1"/>
        <v>91.56</v>
      </c>
      <c r="AY152" s="2">
        <f t="shared" ca="1" si="118"/>
        <v>1.0922992900060204E-4</v>
      </c>
      <c r="AZ152" s="2" vm="5397">
        <f ca="1"/>
        <v>507.33</v>
      </c>
      <c r="BA152" s="2">
        <f t="shared" ca="1" si="119"/>
        <v>7.8069129916567481E-3</v>
      </c>
      <c r="BB152" s="2" vm="5398">
        <f ca="1"/>
        <v>267.49</v>
      </c>
      <c r="BC152" s="2">
        <f t="shared" ca="1" si="120"/>
        <v>6.9643126035236515E-3</v>
      </c>
      <c r="BD152" s="2" vm="2193">
        <f ca="1"/>
        <v>44.38</v>
      </c>
      <c r="BE152" s="2">
        <f t="shared" ca="1" si="121"/>
        <v>-8.0464908359409795E-3</v>
      </c>
      <c r="BF152" s="2" vm="5399">
        <f ca="1"/>
        <v>108.58</v>
      </c>
      <c r="BG152" s="2">
        <f t="shared" ca="1" si="122"/>
        <v>9.2182890855451989E-4</v>
      </c>
      <c r="BH152" s="2" vm="4884">
        <f ca="1"/>
        <v>142.26</v>
      </c>
      <c r="BI152" s="2">
        <f t="shared" ca="1" si="123"/>
        <v>4.1646078915790457E-3</v>
      </c>
      <c r="BJ152" s="2" vm="5400">
        <f ca="1"/>
        <v>149.61000000000001</v>
      </c>
      <c r="BK152" s="2">
        <f t="shared" ca="1" si="124"/>
        <v>2.2205520634053018E-2</v>
      </c>
      <c r="BL152" s="2" vm="1470">
        <f ca="1"/>
        <v>71.61</v>
      </c>
      <c r="BM152" s="2">
        <f t="shared" ca="1" si="125"/>
        <v>3.5425101214574942E-2</v>
      </c>
      <c r="BN152" s="2" vm="5401">
        <f ca="1"/>
        <v>314.48</v>
      </c>
      <c r="BO152" s="2">
        <f t="shared" ca="1" si="126"/>
        <v>2.2699186991869978E-2</v>
      </c>
      <c r="BP152" s="2" vm="5402">
        <f ca="1"/>
        <v>112.22</v>
      </c>
      <c r="BQ152" s="2">
        <f t="shared" ca="1" si="127"/>
        <v>-6.375066406941729E-3</v>
      </c>
      <c r="BR152" s="2" vm="5403">
        <f ca="1"/>
        <v>1177.98</v>
      </c>
      <c r="BS152" s="2">
        <f t="shared" ca="1" si="128"/>
        <v>2.3449378361236856E-2</v>
      </c>
      <c r="BT152" s="2" vm="5404">
        <f ca="1"/>
        <v>162.41</v>
      </c>
      <c r="BU152" s="2">
        <f t="shared" ca="1" si="129"/>
        <v>2.7781293507150907E-2</v>
      </c>
      <c r="BV152" s="2" vm="5405">
        <f ca="1"/>
        <v>131.5</v>
      </c>
      <c r="BW152" s="2">
        <f t="shared" ca="1" si="130"/>
        <v>2.3744647722849448E-2</v>
      </c>
      <c r="BX152" s="2" vm="5406">
        <f ca="1"/>
        <v>229.05</v>
      </c>
      <c r="BY152" s="2">
        <f t="shared" ca="1" si="131"/>
        <v>-1.2119382385922549E-2</v>
      </c>
      <c r="BZ152" s="2" vm="3897">
        <f ca="1"/>
        <v>89.93</v>
      </c>
      <c r="CA152" s="2">
        <f t="shared" ca="1" si="132"/>
        <v>-1.4434821230290412E-3</v>
      </c>
      <c r="CB152" s="2" vm="5407">
        <f ca="1"/>
        <v>27.88</v>
      </c>
      <c r="CC152" s="2">
        <f t="shared" ca="1" si="133"/>
        <v>-9.9431818181818579E-3</v>
      </c>
      <c r="CD152" s="2" t="e" vm="92">
        <f ca="1"/>
        <v>#N/A</v>
      </c>
      <c r="CE152" s="2" t="e" vm="140">
        <f t="shared" ca="1" si="134"/>
        <v>#N/A</v>
      </c>
      <c r="CF152" s="2" vm="5408">
        <f ca="1"/>
        <v>22.655000000000001</v>
      </c>
      <c r="CG152" s="2">
        <f t="shared" ca="1" si="135"/>
        <v>5.1020408163266187E-3</v>
      </c>
      <c r="CH152" s="2" vm="3815">
        <f ca="1"/>
        <v>58.47</v>
      </c>
      <c r="CI152" s="2">
        <f t="shared" ca="1" si="136"/>
        <v>2.0565552699228352E-3</v>
      </c>
      <c r="CJ152" s="2" vm="652">
        <f ca="1"/>
        <v>58.89</v>
      </c>
      <c r="CK152" s="2">
        <f t="shared" ca="1" si="137"/>
        <v>4.4345898004434251E-3</v>
      </c>
      <c r="CL152" s="2" vm="5409">
        <f ca="1"/>
        <v>54.8</v>
      </c>
      <c r="CM152" s="2">
        <f t="shared" ca="1" si="138"/>
        <v>8.6508374746916781E-3</v>
      </c>
      <c r="CN152" s="2" vm="4752">
        <f ca="1"/>
        <v>28.58</v>
      </c>
      <c r="CO152" s="2">
        <f t="shared" ca="1" si="139"/>
        <v>5.9838085181273546E-3</v>
      </c>
      <c r="CP152" s="2" vm="5410">
        <f ca="1"/>
        <v>21.554300000000001</v>
      </c>
      <c r="CQ152" s="2">
        <f t="shared" ca="1" si="140"/>
        <v>1.7273684061486747E-2</v>
      </c>
    </row>
    <row r="153" spans="1:95" x14ac:dyDescent="0.2">
      <c r="A153" s="7" vm="5411">
        <f ca="1"/>
        <v>45793</v>
      </c>
      <c r="B153" s="2" vm="5412">
        <f ca="1"/>
        <v>211.26</v>
      </c>
      <c r="C153" s="2">
        <f t="shared" ca="1" si="94"/>
        <v>-8.9855757862377739E-4</v>
      </c>
      <c r="D153" s="2" vm="783">
        <f ca="1"/>
        <v>135.4</v>
      </c>
      <c r="E153" s="2">
        <f t="shared" ca="1" si="95"/>
        <v>4.2275457984127648E-3</v>
      </c>
      <c r="F153" s="2" vm="5413">
        <f ca="1"/>
        <v>454.27</v>
      </c>
      <c r="G153" s="2">
        <f t="shared" ca="1" si="96"/>
        <v>2.5158343080351918E-3</v>
      </c>
      <c r="H153" s="2" vm="5414">
        <f ca="1"/>
        <v>640.34</v>
      </c>
      <c r="I153" s="2">
        <f t="shared" ca="1" si="97"/>
        <v>-5.4979188668695467E-3</v>
      </c>
      <c r="J153" s="2" vm="2956">
        <f ca="1"/>
        <v>166.19</v>
      </c>
      <c r="K153" s="2">
        <f t="shared" ca="1" si="98"/>
        <v>1.3600878262990911E-2</v>
      </c>
      <c r="L153" s="2" vm="5415">
        <f ca="1"/>
        <v>594.20000000000005</v>
      </c>
      <c r="M153" s="2">
        <f t="shared" ca="1" si="99"/>
        <v>6.3340446431595851E-3</v>
      </c>
      <c r="N153" s="2" vm="5416">
        <f ca="1"/>
        <v>86.3</v>
      </c>
      <c r="O153" s="2">
        <f t="shared" ca="1" si="100"/>
        <v>2.6722435227141163E-3</v>
      </c>
      <c r="P153" s="2" vm="5417">
        <f ca="1"/>
        <v>294.24</v>
      </c>
      <c r="Q153" s="2">
        <f t="shared" ca="1" si="101"/>
        <v>-1.2087026591458388E-2</v>
      </c>
      <c r="R153" s="2" vm="5418">
        <f ca="1"/>
        <v>68.099999999999994</v>
      </c>
      <c r="S153" s="2">
        <f t="shared" ca="1" si="102"/>
        <v>7.5454948956944941E-3</v>
      </c>
      <c r="T153" s="2" vm="1544">
        <f ca="1"/>
        <v>93.97</v>
      </c>
      <c r="U153" s="2">
        <f t="shared" ca="1" si="103"/>
        <v>3.193527783691839E-4</v>
      </c>
      <c r="V153" s="2" vm="5419">
        <f ca="1"/>
        <v>46.620100000000001</v>
      </c>
      <c r="W153" s="2">
        <f t="shared" ca="1" si="104"/>
        <v>1.4177054222936864E-3</v>
      </c>
      <c r="X153" s="2" vm="2195">
        <f ca="1"/>
        <v>143.84</v>
      </c>
      <c r="Y153" s="2">
        <f t="shared" ca="1" si="105"/>
        <v>-1.0417390096534875E-3</v>
      </c>
      <c r="Z153" s="2" vm="5420">
        <f ca="1"/>
        <v>85.48</v>
      </c>
      <c r="AA153" s="2">
        <f t="shared" ca="1" si="106"/>
        <v>-1.5185141922672053E-3</v>
      </c>
      <c r="AB153" s="2" vm="5293">
        <f ca="1"/>
        <v>12.76</v>
      </c>
      <c r="AC153" s="2">
        <f t="shared" ca="1" si="107"/>
        <v>4.7244094488189375E-3</v>
      </c>
      <c r="AD153" s="2" vm="5421">
        <f ca="1"/>
        <v>3.24</v>
      </c>
      <c r="AE153" s="2" t="e" vm="140">
        <f t="shared" ca="1" si="108"/>
        <v>#N/A</v>
      </c>
      <c r="AF153" s="2" vm="443">
        <f ca="1"/>
        <v>29.3</v>
      </c>
      <c r="AG153" s="2">
        <f t="shared" ca="1" si="109"/>
        <v>-1.0469436001350852E-2</v>
      </c>
      <c r="AH153" s="2" vm="5422">
        <f ca="1"/>
        <v>27.34</v>
      </c>
      <c r="AI153" s="2">
        <f t="shared" ca="1" si="110"/>
        <v>-2.1897810218977636E-3</v>
      </c>
      <c r="AJ153" s="2" vm="5423">
        <f ca="1"/>
        <v>4.47</v>
      </c>
      <c r="AK153" s="2">
        <f t="shared" ca="1" si="111"/>
        <v>-8.8691796008869266E-3</v>
      </c>
      <c r="AL153" s="2" vm="5424">
        <f ca="1"/>
        <v>63.24</v>
      </c>
      <c r="AM153" s="2">
        <f t="shared" ca="1" si="112"/>
        <v>-1.1874999999999969E-2</v>
      </c>
      <c r="AN153" s="2" vm="5166">
        <f ca="1"/>
        <v>90.31</v>
      </c>
      <c r="AO153" s="2">
        <f t="shared" ca="1" si="113"/>
        <v>-3.6407766990291072E-3</v>
      </c>
      <c r="AP153" s="2" vm="1667">
        <f ca="1"/>
        <v>26.43</v>
      </c>
      <c r="AQ153" s="2">
        <f t="shared" ca="1" si="114"/>
        <v>1.5157256536566558E-3</v>
      </c>
      <c r="AR153" s="2" vm="73">
        <f ca="1"/>
        <v>50.9</v>
      </c>
      <c r="AS153" s="2">
        <f t="shared" ca="1" si="115"/>
        <v>7.8647267007469818E-4</v>
      </c>
      <c r="AT153" s="2" vm="759">
        <f ca="1"/>
        <v>29.12</v>
      </c>
      <c r="AU153" s="2">
        <f t="shared" ca="1" si="116"/>
        <v>0</v>
      </c>
      <c r="AV153" s="2" vm="5425">
        <f ca="1"/>
        <v>26.01</v>
      </c>
      <c r="AW153" s="2">
        <f t="shared" ca="1" si="117"/>
        <v>2.3121387283237872E-3</v>
      </c>
      <c r="AX153" s="2" vm="170">
        <f ca="1"/>
        <v>91.6</v>
      </c>
      <c r="AY153" s="2">
        <f t="shared" ca="1" si="118"/>
        <v>4.3687199650493708E-4</v>
      </c>
      <c r="AZ153" s="2" vm="5426">
        <f ca="1"/>
        <v>514.30999999999995</v>
      </c>
      <c r="BA153" s="2">
        <f t="shared" ca="1" si="119"/>
        <v>1.3758303274003039E-2</v>
      </c>
      <c r="BB153" s="2" vm="2320">
        <f ca="1"/>
        <v>267.56</v>
      </c>
      <c r="BC153" s="2">
        <f t="shared" ca="1" si="120"/>
        <v>2.616920258701005E-4</v>
      </c>
      <c r="BD153" s="2" vm="5427">
        <f ca="1"/>
        <v>44.69</v>
      </c>
      <c r="BE153" s="2">
        <f t="shared" ca="1" si="121"/>
        <v>6.985128436232428E-3</v>
      </c>
      <c r="BF153" s="2" vm="5428">
        <f ca="1"/>
        <v>108.19</v>
      </c>
      <c r="BG153" s="2">
        <f t="shared" ca="1" si="122"/>
        <v>-3.5918216982869827E-3</v>
      </c>
      <c r="BH153" s="2" vm="5429">
        <f ca="1"/>
        <v>142.1</v>
      </c>
      <c r="BI153" s="2">
        <f t="shared" ca="1" si="123"/>
        <v>-1.1247012512301182E-3</v>
      </c>
      <c r="BJ153" s="2" vm="5430">
        <f ca="1"/>
        <v>151.33000000000001</v>
      </c>
      <c r="BK153" s="2">
        <f t="shared" ca="1" si="124"/>
        <v>1.1496557716730157E-2</v>
      </c>
      <c r="BL153" s="2" vm="5431">
        <f ca="1"/>
        <v>72</v>
      </c>
      <c r="BM153" s="2">
        <f t="shared" ca="1" si="125"/>
        <v>5.4461667364893249E-3</v>
      </c>
      <c r="BN153" s="2" vm="5432">
        <f ca="1"/>
        <v>318.61</v>
      </c>
      <c r="BO153" s="2">
        <f t="shared" ca="1" si="126"/>
        <v>1.3132790638514358E-2</v>
      </c>
      <c r="BP153" s="2" vm="5433">
        <f ca="1"/>
        <v>113.42</v>
      </c>
      <c r="BQ153" s="2">
        <f t="shared" ca="1" si="127"/>
        <v>1.0693281055070423E-2</v>
      </c>
      <c r="BR153" s="2" vm="5434">
        <f ca="1"/>
        <v>1191.53</v>
      </c>
      <c r="BS153" s="2">
        <f t="shared" ca="1" si="128"/>
        <v>1.1502741982037008E-2</v>
      </c>
      <c r="BT153" s="2" vm="5435">
        <f ca="1"/>
        <v>163.28</v>
      </c>
      <c r="BU153" s="2">
        <f t="shared" ca="1" si="129"/>
        <v>5.3568130041253895E-3</v>
      </c>
      <c r="BV153" s="2" vm="5436">
        <f ca="1"/>
        <v>131.97999999999999</v>
      </c>
      <c r="BW153" s="2">
        <f t="shared" ca="1" si="130"/>
        <v>3.6501901140683635E-3</v>
      </c>
      <c r="BX153" s="2" vm="2692">
        <f ca="1"/>
        <v>228.26</v>
      </c>
      <c r="BY153" s="2">
        <f t="shared" ca="1" si="131"/>
        <v>-3.4490285963764264E-3</v>
      </c>
      <c r="BZ153" s="2" vm="5437">
        <f ca="1"/>
        <v>89.75</v>
      </c>
      <c r="CA153" s="2">
        <f t="shared" ca="1" si="132"/>
        <v>-2.001556766373922E-3</v>
      </c>
      <c r="CB153" s="2" vm="5407">
        <f ca="1"/>
        <v>27.88</v>
      </c>
      <c r="CC153" s="2">
        <f t="shared" ca="1" si="133"/>
        <v>0</v>
      </c>
      <c r="CD153" s="2" t="e" vm="92">
        <f ca="1"/>
        <v>#N/A</v>
      </c>
      <c r="CE153" s="2" t="e" vm="140">
        <f t="shared" ca="1" si="134"/>
        <v>#N/A</v>
      </c>
      <c r="CF153" s="2" vm="817">
        <f ca="1"/>
        <v>22.664999999999999</v>
      </c>
      <c r="CG153" s="2">
        <f t="shared" ca="1" si="135"/>
        <v>4.4140366365032045E-4</v>
      </c>
      <c r="CH153" s="2" vm="734">
        <f ca="1"/>
        <v>58.45</v>
      </c>
      <c r="CI153" s="2">
        <f t="shared" ca="1" si="136"/>
        <v>-3.4205575508801129E-4</v>
      </c>
      <c r="CJ153" s="2" vm="1685">
        <f ca="1"/>
        <v>58.91</v>
      </c>
      <c r="CK153" s="2">
        <f t="shared" ca="1" si="137"/>
        <v>3.3961623365590121E-4</v>
      </c>
      <c r="CL153" s="2" vm="5438">
        <f ca="1"/>
        <v>54.9</v>
      </c>
      <c r="CM153" s="2">
        <f t="shared" ca="1" si="138"/>
        <v>1.8248175182482011E-3</v>
      </c>
      <c r="CN153" s="2" vm="2395">
        <f ca="1"/>
        <v>28.63</v>
      </c>
      <c r="CO153" s="2">
        <f t="shared" ca="1" si="139"/>
        <v>1.7494751574527892E-3</v>
      </c>
      <c r="CP153" s="2" vm="5439">
        <f ca="1"/>
        <v>21.822600000000001</v>
      </c>
      <c r="CQ153" s="2">
        <f t="shared" ca="1" si="140"/>
        <v>1.2447632258992404E-2</v>
      </c>
    </row>
    <row r="154" spans="1:95" x14ac:dyDescent="0.2">
      <c r="A154" s="7" vm="5440">
        <f ca="1"/>
        <v>45796</v>
      </c>
      <c r="B154" s="2" vm="5441">
        <f ca="1"/>
        <v>208.78</v>
      </c>
      <c r="C154" s="2">
        <f t="shared" ca="1" si="94"/>
        <v>-1.1739089273880478E-2</v>
      </c>
      <c r="D154" s="2" vm="5442">
        <f ca="1"/>
        <v>135.57</v>
      </c>
      <c r="E154" s="2">
        <f t="shared" ca="1" si="95"/>
        <v>1.2555391432790804E-3</v>
      </c>
      <c r="F154" s="2" vm="5443">
        <f ca="1"/>
        <v>458.87</v>
      </c>
      <c r="G154" s="2">
        <f t="shared" ca="1" si="96"/>
        <v>1.0126136438681892E-2</v>
      </c>
      <c r="H154" s="2" vm="5444">
        <f ca="1"/>
        <v>640.42999999999995</v>
      </c>
      <c r="I154" s="2">
        <f t="shared" ca="1" si="97"/>
        <v>1.4055033263565939E-4</v>
      </c>
      <c r="J154" s="2" vm="5445">
        <f ca="1"/>
        <v>166.54</v>
      </c>
      <c r="K154" s="2">
        <f t="shared" ca="1" si="98"/>
        <v>2.1060232264275489E-3</v>
      </c>
      <c r="L154" s="2" vm="5446">
        <f ca="1"/>
        <v>594.85</v>
      </c>
      <c r="M154" s="2">
        <f t="shared" ca="1" si="99"/>
        <v>1.0939077751598405E-3</v>
      </c>
      <c r="N154" s="2" vm="5447">
        <f ca="1"/>
        <v>86.05</v>
      </c>
      <c r="O154" s="2">
        <f t="shared" ca="1" si="100"/>
        <v>-2.8968713789107765E-3</v>
      </c>
      <c r="P154" s="2" vm="5448">
        <f ca="1"/>
        <v>298.02999999999997</v>
      </c>
      <c r="Q154" s="2">
        <f t="shared" ca="1" si="101"/>
        <v>1.2880641653072199E-2</v>
      </c>
      <c r="R154" s="2" vm="5449">
        <f ca="1"/>
        <v>68.510000000000005</v>
      </c>
      <c r="S154" s="2">
        <f t="shared" ca="1" si="102"/>
        <v>6.0205580029370166E-3</v>
      </c>
      <c r="T154" s="2" vm="5450">
        <f ca="1"/>
        <v>93.92</v>
      </c>
      <c r="U154" s="2">
        <f t="shared" ca="1" si="103"/>
        <v>-5.3208470788546514E-4</v>
      </c>
      <c r="V154" s="2" vm="5451">
        <f ca="1"/>
        <v>46.575299999999999</v>
      </c>
      <c r="W154" s="2">
        <f t="shared" ca="1" si="104"/>
        <v>-9.6095889970210637E-4</v>
      </c>
      <c r="X154" s="2" vm="5452">
        <f ca="1"/>
        <v>142.61000000000001</v>
      </c>
      <c r="Y154" s="2">
        <f t="shared" ca="1" si="105"/>
        <v>-8.5511679644048235E-3</v>
      </c>
      <c r="Z154" s="2" vm="5453">
        <f ca="1"/>
        <v>84.37</v>
      </c>
      <c r="AA154" s="2">
        <f t="shared" ca="1" si="106"/>
        <v>-1.2985493682732796E-2</v>
      </c>
      <c r="AB154" s="2" vm="5454">
        <f ca="1"/>
        <v>12.78</v>
      </c>
      <c r="AC154" s="2">
        <f t="shared" ca="1" si="107"/>
        <v>1.5673981191222236E-3</v>
      </c>
      <c r="AD154" s="2" vm="1740">
        <f ca="1"/>
        <v>3.2</v>
      </c>
      <c r="AE154" s="2">
        <f t="shared" ca="1" si="108"/>
        <v>-1.2345679012345689E-2</v>
      </c>
      <c r="AF154" s="2" vm="1686">
        <f ca="1"/>
        <v>29.42</v>
      </c>
      <c r="AG154" s="2">
        <f t="shared" ca="1" si="109"/>
        <v>4.0955631399317745E-3</v>
      </c>
      <c r="AH154" s="2" vm="1818">
        <f ca="1"/>
        <v>27.58</v>
      </c>
      <c r="AI154" s="2">
        <f t="shared" ca="1" si="110"/>
        <v>8.7783467446963578E-3</v>
      </c>
      <c r="AJ154" s="2" vm="5455">
        <f ca="1"/>
        <v>4.5</v>
      </c>
      <c r="AK154" s="2">
        <f t="shared" ca="1" si="111"/>
        <v>6.7114093959732106E-3</v>
      </c>
      <c r="AL154" s="2" vm="5456">
        <f ca="1"/>
        <v>64.02</v>
      </c>
      <c r="AM154" s="2">
        <f t="shared" ca="1" si="112"/>
        <v>1.2333965844402182E-2</v>
      </c>
      <c r="AN154" s="2" vm="124">
        <f ca="1"/>
        <v>91.55</v>
      </c>
      <c r="AO154" s="2">
        <f t="shared" ca="1" si="113"/>
        <v>1.3730483888827315E-2</v>
      </c>
      <c r="AP154" s="2" vm="1625">
        <f ca="1"/>
        <v>26.44</v>
      </c>
      <c r="AQ154" s="2">
        <f t="shared" ca="1" si="114"/>
        <v>3.7835792659862141E-4</v>
      </c>
      <c r="AR154" s="2" vm="73">
        <f ca="1"/>
        <v>50.9</v>
      </c>
      <c r="AS154" s="2">
        <f t="shared" ca="1" si="115"/>
        <v>0</v>
      </c>
      <c r="AT154" s="2" vm="716">
        <f ca="1"/>
        <v>29.13</v>
      </c>
      <c r="AU154" s="2">
        <f t="shared" ca="1" si="116"/>
        <v>3.4340659340652507E-4</v>
      </c>
      <c r="AV154" s="2" vm="2708">
        <f ca="1"/>
        <v>25.93</v>
      </c>
      <c r="AW154" s="2">
        <f t="shared" ca="1" si="117"/>
        <v>-3.075740099961624E-3</v>
      </c>
      <c r="AX154" s="2" vm="170">
        <f ca="1"/>
        <v>91.6</v>
      </c>
      <c r="AY154" s="2">
        <f t="shared" ca="1" si="118"/>
        <v>0</v>
      </c>
      <c r="AZ154" s="2" vm="5457">
        <f ca="1"/>
        <v>512.39</v>
      </c>
      <c r="BA154" s="2">
        <f t="shared" ca="1" si="119"/>
        <v>-3.7331570453616675E-3</v>
      </c>
      <c r="BB154" s="2" vm="5458">
        <f ca="1"/>
        <v>264.88</v>
      </c>
      <c r="BC154" s="2">
        <f t="shared" ca="1" si="120"/>
        <v>-1.0016444909553023E-2</v>
      </c>
      <c r="BD154" s="2" vm="971">
        <f ca="1"/>
        <v>44.77</v>
      </c>
      <c r="BE154" s="2">
        <f t="shared" ca="1" si="121"/>
        <v>1.7901096442158291E-3</v>
      </c>
      <c r="BF154" s="2" vm="5459">
        <f ca="1"/>
        <v>106.47</v>
      </c>
      <c r="BG154" s="2">
        <f t="shared" ca="1" si="122"/>
        <v>-1.5897957297347248E-2</v>
      </c>
      <c r="BH154" s="2" vm="5270">
        <f ca="1"/>
        <v>138.49</v>
      </c>
      <c r="BI154" s="2">
        <f t="shared" ca="1" si="123"/>
        <v>-2.5404644616467173E-2</v>
      </c>
      <c r="BJ154" s="2" vm="5460">
        <f ca="1"/>
        <v>152.49</v>
      </c>
      <c r="BK154" s="2">
        <f t="shared" ca="1" si="124"/>
        <v>7.6653670785699892E-3</v>
      </c>
      <c r="BL154" s="2" vm="5461">
        <f ca="1"/>
        <v>71.930000000000007</v>
      </c>
      <c r="BM154" s="2">
        <f t="shared" ca="1" si="125"/>
        <v>-9.7222222222212744E-4</v>
      </c>
      <c r="BN154" s="2" vm="5462">
        <f ca="1"/>
        <v>321.23</v>
      </c>
      <c r="BO154" s="2">
        <f t="shared" ca="1" si="126"/>
        <v>8.2232196101817406E-3</v>
      </c>
      <c r="BP154" s="2" vm="5463">
        <f ca="1"/>
        <v>112.66</v>
      </c>
      <c r="BQ154" s="2">
        <f t="shared" ca="1" si="127"/>
        <v>-6.7007582436960419E-3</v>
      </c>
      <c r="BR154" s="2" vm="5464">
        <f ca="1"/>
        <v>1191.6400000000001</v>
      </c>
      <c r="BS154" s="2">
        <f t="shared" ca="1" si="128"/>
        <v>9.2318279858775971E-5</v>
      </c>
      <c r="BT154" s="2" vm="4120">
        <f ca="1"/>
        <v>164.77</v>
      </c>
      <c r="BU154" s="2">
        <f t="shared" ca="1" si="129"/>
        <v>9.1254287114160282E-3</v>
      </c>
      <c r="BV154" s="2" vm="5465">
        <f ca="1"/>
        <v>131.79</v>
      </c>
      <c r="BW154" s="2">
        <f t="shared" ca="1" si="130"/>
        <v>-1.439612062433685E-3</v>
      </c>
      <c r="BX154" s="2" vm="5466">
        <f ca="1"/>
        <v>224.9</v>
      </c>
      <c r="BY154" s="2">
        <f t="shared" ca="1" si="131"/>
        <v>-1.4720056076404036E-2</v>
      </c>
      <c r="BZ154" s="2" vm="5467">
        <f ca="1"/>
        <v>88.71</v>
      </c>
      <c r="CA154" s="2">
        <f t="shared" ca="1" si="132"/>
        <v>-1.1587743732590599E-2</v>
      </c>
      <c r="CB154" s="2" vm="5468">
        <f ca="1"/>
        <v>27.7</v>
      </c>
      <c r="CC154" s="2">
        <f t="shared" ca="1" si="133"/>
        <v>-6.456241032998555E-3</v>
      </c>
      <c r="CD154" s="2" t="e" vm="92">
        <f ca="1"/>
        <v>#N/A</v>
      </c>
      <c r="CE154" s="2" t="e" vm="140">
        <f t="shared" ca="1" si="134"/>
        <v>#N/A</v>
      </c>
      <c r="CF154" s="2" vm="5408">
        <f ca="1"/>
        <v>22.655000000000001</v>
      </c>
      <c r="CG154" s="2">
        <f t="shared" ca="1" si="135"/>
        <v>-4.412089124199431E-4</v>
      </c>
      <c r="CH154" s="2" vm="94">
        <f ca="1"/>
        <v>58.49</v>
      </c>
      <c r="CI154" s="2">
        <f t="shared" ca="1" si="136"/>
        <v>6.8434559452522066E-4</v>
      </c>
      <c r="CJ154" s="2" vm="692">
        <f ca="1"/>
        <v>58.93</v>
      </c>
      <c r="CK154" s="2">
        <f t="shared" ca="1" si="137"/>
        <v>3.3950093362762059E-4</v>
      </c>
      <c r="CL154" s="2" vm="5469">
        <f ca="1"/>
        <v>54.74</v>
      </c>
      <c r="CM154" s="2">
        <f t="shared" ca="1" si="138"/>
        <v>-2.9143897996356393E-3</v>
      </c>
      <c r="CN154" s="2" vm="2357">
        <f ca="1"/>
        <v>28.64</v>
      </c>
      <c r="CO154" s="2">
        <f t="shared" ca="1" si="139"/>
        <v>3.4928396786592958E-4</v>
      </c>
      <c r="CP154" s="2" vm="5470">
        <f ca="1"/>
        <v>21.85</v>
      </c>
      <c r="CQ154" s="2">
        <f t="shared" ca="1" si="140"/>
        <v>1.255579078569927E-3</v>
      </c>
    </row>
    <row r="155" spans="1:95" x14ac:dyDescent="0.2">
      <c r="A155" s="7" vm="5471">
        <f ca="1"/>
        <v>45797</v>
      </c>
      <c r="B155" s="2" vm="5472">
        <f ca="1"/>
        <v>206.86</v>
      </c>
      <c r="C155" s="2">
        <f t="shared" ca="1" si="94"/>
        <v>-9.1962831688858493E-3</v>
      </c>
      <c r="D155" s="2" vm="5473">
        <f ca="1"/>
        <v>134.38</v>
      </c>
      <c r="E155" s="2">
        <f t="shared" ca="1" si="95"/>
        <v>-8.7777531902338106E-3</v>
      </c>
      <c r="F155" s="2" vm="5474">
        <f ca="1"/>
        <v>458.17</v>
      </c>
      <c r="G155" s="2">
        <f t="shared" ca="1" si="96"/>
        <v>-1.5254865212369268E-3</v>
      </c>
      <c r="H155" s="2" vm="5475">
        <f ca="1"/>
        <v>637.1</v>
      </c>
      <c r="I155" s="2">
        <f t="shared" ca="1" si="97"/>
        <v>-5.1996314975874449E-3</v>
      </c>
      <c r="J155" s="2" vm="5476">
        <f ca="1"/>
        <v>163.98</v>
      </c>
      <c r="K155" s="2">
        <f t="shared" ca="1" si="98"/>
        <v>-1.5371682478683814E-2</v>
      </c>
      <c r="L155" s="2" vm="5477">
        <f ca="1"/>
        <v>592.85</v>
      </c>
      <c r="M155" s="2">
        <f t="shared" ca="1" si="99"/>
        <v>-3.3621921492813312E-3</v>
      </c>
      <c r="N155" s="2" vm="2585">
        <f ca="1"/>
        <v>85.43</v>
      </c>
      <c r="O155" s="2">
        <f t="shared" ca="1" si="100"/>
        <v>-7.2051133062172035E-3</v>
      </c>
      <c r="P155" s="2" vm="5478">
        <f ca="1"/>
        <v>303.58</v>
      </c>
      <c r="Q155" s="2">
        <f t="shared" ca="1" si="101"/>
        <v>1.8622286347012084E-2</v>
      </c>
      <c r="R155" s="2" vm="5479">
        <f ca="1"/>
        <v>68.66</v>
      </c>
      <c r="S155" s="2">
        <f t="shared" ca="1" si="102"/>
        <v>2.1894613924973209E-3</v>
      </c>
      <c r="T155" s="2" vm="325">
        <f ca="1"/>
        <v>93.8</v>
      </c>
      <c r="U155" s="2">
        <f t="shared" ca="1" si="103"/>
        <v>-1.277683134582672E-3</v>
      </c>
      <c r="V155" s="2" vm="5480">
        <f ca="1"/>
        <v>46.5379</v>
      </c>
      <c r="W155" s="2">
        <f t="shared" ca="1" si="104"/>
        <v>-8.0300073214768558E-4</v>
      </c>
      <c r="X155" s="2" vm="5481">
        <f ca="1"/>
        <v>139.29</v>
      </c>
      <c r="Y155" s="2">
        <f t="shared" ca="1" si="105"/>
        <v>-2.3280274875534825E-2</v>
      </c>
      <c r="Z155" s="2" vm="5482">
        <f ca="1"/>
        <v>83.59</v>
      </c>
      <c r="AA155" s="2">
        <f t="shared" ca="1" si="106"/>
        <v>-9.2449922958397664E-3</v>
      </c>
      <c r="AB155" s="2" vm="5483">
        <f ca="1"/>
        <v>12.84</v>
      </c>
      <c r="AC155" s="2">
        <f t="shared" ca="1" si="107"/>
        <v>4.6948356807512128E-3</v>
      </c>
      <c r="AD155" s="2" vm="3990">
        <f ca="1"/>
        <v>3.1</v>
      </c>
      <c r="AE155" s="2">
        <f t="shared" ca="1" si="108"/>
        <v>-3.1250000000000028E-2</v>
      </c>
      <c r="AF155" s="2" vm="5484">
        <f ca="1"/>
        <v>30.13</v>
      </c>
      <c r="AG155" s="2">
        <f t="shared" ca="1" si="109"/>
        <v>2.4133242692046135E-2</v>
      </c>
      <c r="AH155" s="2" vm="5485">
        <f ca="1"/>
        <v>27.65</v>
      </c>
      <c r="AI155" s="2">
        <f t="shared" ca="1" si="110"/>
        <v>2.5380710659898584E-3</v>
      </c>
      <c r="AJ155" s="2" vm="5106">
        <f ca="1"/>
        <v>4.6100000000000003</v>
      </c>
      <c r="AK155" s="2">
        <f t="shared" ca="1" si="111"/>
        <v>2.4444444444444515E-2</v>
      </c>
      <c r="AL155" s="2" vm="5486">
        <f ca="1"/>
        <v>65.239999999999995</v>
      </c>
      <c r="AM155" s="2">
        <f t="shared" ca="1" si="112"/>
        <v>1.9056544829740691E-2</v>
      </c>
      <c r="AN155" s="2" vm="2890">
        <f ca="1"/>
        <v>96.46</v>
      </c>
      <c r="AO155" s="2">
        <f t="shared" ca="1" si="113"/>
        <v>5.3631895139268124E-2</v>
      </c>
      <c r="AP155" s="2" vm="2946">
        <f ca="1"/>
        <v>26.38</v>
      </c>
      <c r="AQ155" s="2">
        <f t="shared" ca="1" si="114"/>
        <v>-2.2692889561271661E-3</v>
      </c>
      <c r="AR155" s="2" vm="121">
        <f ca="1"/>
        <v>50.89</v>
      </c>
      <c r="AS155" s="2">
        <f t="shared" ca="1" si="115"/>
        <v>-1.9646365422392947E-4</v>
      </c>
      <c r="AT155" s="2" vm="596">
        <f ca="1"/>
        <v>29.15</v>
      </c>
      <c r="AU155" s="2">
        <f t="shared" ca="1" si="116"/>
        <v>6.8657741160314367E-4</v>
      </c>
      <c r="AV155" s="2" vm="116">
        <f ca="1"/>
        <v>25.76</v>
      </c>
      <c r="AW155" s="2">
        <f t="shared" ca="1" si="117"/>
        <v>-6.5561126108753627E-3</v>
      </c>
      <c r="AX155" s="2" vm="64">
        <f ca="1"/>
        <v>91.62</v>
      </c>
      <c r="AY155" s="2">
        <f t="shared" ca="1" si="118"/>
        <v>2.183406113538235E-4</v>
      </c>
      <c r="AZ155" s="2" vm="5487">
        <f ca="1"/>
        <v>508.74</v>
      </c>
      <c r="BA155" s="2">
        <f t="shared" ca="1" si="119"/>
        <v>-7.1234801615956151E-3</v>
      </c>
      <c r="BB155" s="2" vm="5488">
        <f ca="1"/>
        <v>265.68</v>
      </c>
      <c r="BC155" s="2">
        <f t="shared" ca="1" si="120"/>
        <v>3.0202355783751564E-3</v>
      </c>
      <c r="BD155" s="2" vm="5427">
        <f ca="1"/>
        <v>44.69</v>
      </c>
      <c r="BE155" s="2">
        <f t="shared" ca="1" si="121"/>
        <v>-1.7869108778200892E-3</v>
      </c>
      <c r="BF155" s="2" vm="5489">
        <f ca="1"/>
        <v>104.95</v>
      </c>
      <c r="BG155" s="2">
        <f t="shared" ca="1" si="122"/>
        <v>-1.4276321968629624E-2</v>
      </c>
      <c r="BH155" s="2" vm="5490">
        <f ca="1"/>
        <v>137.27000000000001</v>
      </c>
      <c r="BI155" s="2">
        <f t="shared" ca="1" si="123"/>
        <v>-8.8093003104917234E-3</v>
      </c>
      <c r="BJ155" s="2" vm="5491">
        <f ca="1"/>
        <v>153.66</v>
      </c>
      <c r="BK155" s="2">
        <f t="shared" ca="1" si="124"/>
        <v>7.672634271099662E-3</v>
      </c>
      <c r="BL155" s="2" vm="5492">
        <f ca="1"/>
        <v>71.69</v>
      </c>
      <c r="BM155" s="2">
        <f t="shared" ca="1" si="125"/>
        <v>-3.3365772278605458E-3</v>
      </c>
      <c r="BN155" s="2" vm="5493">
        <f ca="1"/>
        <v>319.8</v>
      </c>
      <c r="BO155" s="2">
        <f t="shared" ca="1" si="126"/>
        <v>-4.4516390125455491E-3</v>
      </c>
      <c r="BP155" s="2" vm="4489">
        <f ca="1"/>
        <v>112.36</v>
      </c>
      <c r="BQ155" s="2">
        <f t="shared" ca="1" si="127"/>
        <v>-2.6628794603230708E-3</v>
      </c>
      <c r="BR155" s="2" vm="5494">
        <f ca="1"/>
        <v>1192.02</v>
      </c>
      <c r="BS155" s="2">
        <f t="shared" ca="1" si="128"/>
        <v>3.1888825484196716E-4</v>
      </c>
      <c r="BT155" s="2" vm="5495">
        <f ca="1"/>
        <v>165.64</v>
      </c>
      <c r="BU155" s="2">
        <f t="shared" ca="1" si="129"/>
        <v>5.2800873945498339E-3</v>
      </c>
      <c r="BV155" s="2" vm="5496">
        <f ca="1"/>
        <v>131.80000000000001</v>
      </c>
      <c r="BW155" s="2">
        <f t="shared" ca="1" si="130"/>
        <v>7.5878291221028352E-5</v>
      </c>
      <c r="BX155" s="2" vm="5497">
        <f ca="1"/>
        <v>222.69</v>
      </c>
      <c r="BY155" s="2">
        <f t="shared" ca="1" si="131"/>
        <v>-9.8265895953757575E-3</v>
      </c>
      <c r="BZ155" s="2" vm="5498">
        <f ca="1"/>
        <v>88.22</v>
      </c>
      <c r="CA155" s="2">
        <f t="shared" ca="1" si="132"/>
        <v>-5.5236162777589325E-3</v>
      </c>
      <c r="CB155" s="2" vm="2109">
        <f ca="1"/>
        <v>27.6</v>
      </c>
      <c r="CC155" s="2">
        <f t="shared" ca="1" si="133"/>
        <v>-3.6101083032490204E-3</v>
      </c>
      <c r="CD155" s="2" t="e" vm="92">
        <f ca="1"/>
        <v>#N/A</v>
      </c>
      <c r="CE155" s="2" t="e" vm="140">
        <f t="shared" ca="1" si="134"/>
        <v>#N/A</v>
      </c>
      <c r="CF155" s="2" vm="3397">
        <f ca="1"/>
        <v>22.625</v>
      </c>
      <c r="CG155" s="2">
        <f t="shared" ca="1" si="135"/>
        <v>-1.324210990951275E-3</v>
      </c>
      <c r="CH155" s="2" vm="527">
        <f ca="1"/>
        <v>58.5</v>
      </c>
      <c r="CI155" s="2">
        <f t="shared" ca="1" si="136"/>
        <v>1.7096939647799641E-4</v>
      </c>
      <c r="CJ155" s="2" vm="1722">
        <f ca="1"/>
        <v>58.9</v>
      </c>
      <c r="CK155" s="2">
        <f t="shared" ca="1" si="137"/>
        <v>-5.0907856779231527E-4</v>
      </c>
      <c r="CL155" s="2" vm="5499">
        <f ca="1"/>
        <v>54.38</v>
      </c>
      <c r="CM155" s="2">
        <f t="shared" ca="1" si="138"/>
        <v>-6.5765436609426277E-3</v>
      </c>
      <c r="CN155" s="2" vm="4752">
        <f ca="1"/>
        <v>28.58</v>
      </c>
      <c r="CO155" s="2">
        <f t="shared" ca="1" si="139"/>
        <v>-2.0949720670391855E-3</v>
      </c>
      <c r="CP155" s="2" vm="2431">
        <f ca="1"/>
        <v>21.73</v>
      </c>
      <c r="CQ155" s="2">
        <f t="shared" ca="1" si="140"/>
        <v>-5.4919908466819671E-3</v>
      </c>
    </row>
    <row r="156" spans="1:95" x14ac:dyDescent="0.2">
      <c r="A156" s="7" vm="5500">
        <f ca="1"/>
        <v>45798</v>
      </c>
      <c r="B156" s="2" vm="5501">
        <f ca="1"/>
        <v>202.09</v>
      </c>
      <c r="C156" s="2">
        <f t="shared" ca="1" si="94"/>
        <v>-2.3059073769699363E-2</v>
      </c>
      <c r="D156" s="2" vm="5496">
        <f ca="1"/>
        <v>131.80000000000001</v>
      </c>
      <c r="E156" s="2">
        <f t="shared" ca="1" si="95"/>
        <v>-1.9199285607977259E-2</v>
      </c>
      <c r="F156" s="2" vm="5502">
        <f ca="1"/>
        <v>452.57</v>
      </c>
      <c r="G156" s="2">
        <f t="shared" ca="1" si="96"/>
        <v>-1.2222537486086E-2</v>
      </c>
      <c r="H156" s="2" vm="5503">
        <f ca="1"/>
        <v>635.5</v>
      </c>
      <c r="I156" s="2">
        <f t="shared" ca="1" si="97"/>
        <v>-2.5113796892167989E-3</v>
      </c>
      <c r="J156" s="2" vm="5504">
        <f ca="1"/>
        <v>168.56</v>
      </c>
      <c r="K156" s="2">
        <f t="shared" ca="1" si="98"/>
        <v>2.7930235394560389E-2</v>
      </c>
      <c r="L156" s="2" vm="5505">
        <f ca="1"/>
        <v>582.86</v>
      </c>
      <c r="M156" s="2">
        <f t="shared" ca="1" si="99"/>
        <v>-1.6850805431390753E-2</v>
      </c>
      <c r="N156" s="2" vm="5506">
        <f ca="1"/>
        <v>83.97</v>
      </c>
      <c r="O156" s="2">
        <f t="shared" ca="1" si="100"/>
        <v>-1.709001521713693E-2</v>
      </c>
      <c r="P156" s="2" vm="5507">
        <f ca="1"/>
        <v>305.82</v>
      </c>
      <c r="Q156" s="2">
        <f t="shared" ca="1" si="101"/>
        <v>7.3786151920416671E-3</v>
      </c>
      <c r="R156" s="2" vm="5393">
        <f ca="1"/>
        <v>67.59</v>
      </c>
      <c r="S156" s="2">
        <f t="shared" ca="1" si="102"/>
        <v>-1.5584037285173219E-2</v>
      </c>
      <c r="T156" s="2" vm="5508">
        <f ca="1"/>
        <v>93.15</v>
      </c>
      <c r="U156" s="2">
        <f t="shared" ca="1" si="103"/>
        <v>-6.9296375266523613E-3</v>
      </c>
      <c r="V156" s="2" vm="5509">
        <f ca="1"/>
        <v>46</v>
      </c>
      <c r="W156" s="2">
        <f t="shared" ca="1" si="104"/>
        <v>-1.1558321282223746E-2</v>
      </c>
      <c r="X156" s="2" vm="2059">
        <f ca="1"/>
        <v>130.68</v>
      </c>
      <c r="Y156" s="2">
        <f t="shared" ca="1" si="105"/>
        <v>-6.1813482662071831E-2</v>
      </c>
      <c r="Z156" s="2" vm="5510">
        <f ca="1"/>
        <v>82.05</v>
      </c>
      <c r="AA156" s="2">
        <f t="shared" ca="1" si="106"/>
        <v>-1.8423256370379306E-2</v>
      </c>
      <c r="AB156" s="2" vm="5396">
        <f ca="1"/>
        <v>12.7</v>
      </c>
      <c r="AC156" s="2">
        <f t="shared" ca="1" si="107"/>
        <v>-1.0903426791277303E-2</v>
      </c>
      <c r="AD156" s="2" vm="1740">
        <f ca="1"/>
        <v>3.2</v>
      </c>
      <c r="AE156" s="2">
        <f t="shared" ca="1" si="108"/>
        <v>3.2258064516129059E-2</v>
      </c>
      <c r="AF156" s="2" vm="3396">
        <f ca="1"/>
        <v>30.51</v>
      </c>
      <c r="AG156" s="2">
        <f t="shared" ca="1" si="109"/>
        <v>1.2612014603385416E-2</v>
      </c>
      <c r="AH156" s="2" vm="3186">
        <f ca="1"/>
        <v>27.68</v>
      </c>
      <c r="AI156" s="2">
        <f t="shared" ca="1" si="110"/>
        <v>1.0849909584087212E-3</v>
      </c>
      <c r="AJ156" s="2" vm="4872">
        <f ca="1"/>
        <v>4.63</v>
      </c>
      <c r="AK156" s="2">
        <f t="shared" ca="1" si="111"/>
        <v>4.3383947939261546E-3</v>
      </c>
      <c r="AL156" s="2" vm="5511">
        <f ca="1"/>
        <v>65.72</v>
      </c>
      <c r="AM156" s="2">
        <f t="shared" ca="1" si="112"/>
        <v>7.3574494175353156E-3</v>
      </c>
      <c r="AN156" s="2" vm="4124">
        <f ca="1"/>
        <v>98.86</v>
      </c>
      <c r="AO156" s="2">
        <f t="shared" ca="1" si="113"/>
        <v>2.4880779597760791E-2</v>
      </c>
      <c r="AP156" s="2" vm="1278">
        <f ca="1"/>
        <v>26.22</v>
      </c>
      <c r="AQ156" s="2">
        <f t="shared" ca="1" si="114"/>
        <v>-6.0652009097801425E-3</v>
      </c>
      <c r="AR156" s="2" vm="121">
        <f ca="1"/>
        <v>50.89</v>
      </c>
      <c r="AS156" s="2">
        <f t="shared" ca="1" si="115"/>
        <v>0</v>
      </c>
      <c r="AT156" s="2" vm="759">
        <f ca="1"/>
        <v>29.12</v>
      </c>
      <c r="AU156" s="2">
        <f t="shared" ca="1" si="116"/>
        <v>-1.0291595197254747E-3</v>
      </c>
      <c r="AV156" s="2" vm="5512">
        <f ca="1"/>
        <v>25.35</v>
      </c>
      <c r="AW156" s="2">
        <f t="shared" ca="1" si="117"/>
        <v>-1.5916149068322987E-2</v>
      </c>
      <c r="AX156" s="2" vm="1204">
        <f ca="1"/>
        <v>91.63</v>
      </c>
      <c r="AY156" s="2">
        <f t="shared" ca="1" si="118"/>
        <v>1.0914647456877215E-4</v>
      </c>
      <c r="AZ156" s="2" vm="5513">
        <f ca="1"/>
        <v>507.03</v>
      </c>
      <c r="BA156" s="2">
        <f t="shared" ca="1" si="119"/>
        <v>-3.361245429885671E-3</v>
      </c>
      <c r="BB156" s="2" vm="5514">
        <f ca="1"/>
        <v>261.04000000000002</v>
      </c>
      <c r="BC156" s="2">
        <f t="shared" ca="1" si="120"/>
        <v>-1.7464619090635299E-2</v>
      </c>
      <c r="BD156" s="2" vm="5515">
        <f ca="1"/>
        <v>43.25</v>
      </c>
      <c r="BE156" s="2">
        <f t="shared" ca="1" si="121"/>
        <v>-3.2221973595882698E-2</v>
      </c>
      <c r="BF156" s="2" vm="5516">
        <f ca="1"/>
        <v>103.66</v>
      </c>
      <c r="BG156" s="2">
        <f t="shared" ca="1" si="122"/>
        <v>-1.2291567413053895E-2</v>
      </c>
      <c r="BH156" s="2" vm="5517">
        <f ca="1"/>
        <v>135.56</v>
      </c>
      <c r="BI156" s="2">
        <f t="shared" ca="1" si="123"/>
        <v>-1.2457201136446477E-2</v>
      </c>
      <c r="BJ156" s="2" vm="5518">
        <f ca="1"/>
        <v>153.18</v>
      </c>
      <c r="BK156" s="2">
        <f t="shared" ca="1" si="124"/>
        <v>-3.1237797735258997E-3</v>
      </c>
      <c r="BL156" s="2" vm="5519">
        <f ca="1"/>
        <v>71.849999999999994</v>
      </c>
      <c r="BM156" s="2">
        <f t="shared" ca="1" si="125"/>
        <v>2.2318314967219501E-3</v>
      </c>
      <c r="BN156" s="2" vm="5520">
        <f ca="1"/>
        <v>316.44</v>
      </c>
      <c r="BO156" s="2">
        <f t="shared" ca="1" si="126"/>
        <v>-1.0506566604127621E-2</v>
      </c>
      <c r="BP156" s="2" vm="5521">
        <f ca="1"/>
        <v>110.46</v>
      </c>
      <c r="BQ156" s="2">
        <f t="shared" ca="1" si="127"/>
        <v>-1.6909932360270611E-2</v>
      </c>
      <c r="BR156" s="2" vm="5522">
        <f ca="1"/>
        <v>1194.6300000000001</v>
      </c>
      <c r="BS156" s="2">
        <f t="shared" ca="1" si="128"/>
        <v>2.1895605778427603E-3</v>
      </c>
      <c r="BT156" s="2" vm="3426">
        <f ca="1"/>
        <v>165.43</v>
      </c>
      <c r="BU156" s="2">
        <f t="shared" ca="1" si="129"/>
        <v>-1.267809707799925E-3</v>
      </c>
      <c r="BV156" s="2" vm="5523">
        <f ca="1"/>
        <v>130.15</v>
      </c>
      <c r="BW156" s="2">
        <f t="shared" ca="1" si="130"/>
        <v>-1.2518968133535702E-2</v>
      </c>
      <c r="BX156" s="2" vm="5524">
        <f ca="1"/>
        <v>216.23</v>
      </c>
      <c r="BY156" s="2">
        <f t="shared" ca="1" si="131"/>
        <v>-2.9008936189321516E-2</v>
      </c>
      <c r="BZ156" s="2" vm="5525">
        <f ca="1"/>
        <v>86.11</v>
      </c>
      <c r="CA156" s="2">
        <f t="shared" ca="1" si="132"/>
        <v>-2.3917479029698475E-2</v>
      </c>
      <c r="CB156" s="2" vm="1091">
        <f ca="1"/>
        <v>26.97</v>
      </c>
      <c r="CC156" s="2">
        <f t="shared" ca="1" si="133"/>
        <v>-2.2826086956521829E-2</v>
      </c>
      <c r="CD156" s="2" t="e" vm="92">
        <f ca="1"/>
        <v>#N/A</v>
      </c>
      <c r="CE156" s="2" t="e" vm="140">
        <f t="shared" ca="1" si="134"/>
        <v>#N/A</v>
      </c>
      <c r="CF156" s="2" vm="5526">
        <f ca="1"/>
        <v>22.51</v>
      </c>
      <c r="CG156" s="2">
        <f t="shared" ca="1" si="135"/>
        <v>-5.0828729281767269E-3</v>
      </c>
      <c r="CH156" s="2" vm="3815">
        <f ca="1"/>
        <v>58.47</v>
      </c>
      <c r="CI156" s="2">
        <f t="shared" ca="1" si="136"/>
        <v>-5.1282051282053223E-4</v>
      </c>
      <c r="CJ156" s="2" vm="4317">
        <f ca="1"/>
        <v>58.68</v>
      </c>
      <c r="CK156" s="2">
        <f t="shared" ca="1" si="137"/>
        <v>-3.7351443123938687E-3</v>
      </c>
      <c r="CL156" s="2" vm="5527">
        <f ca="1"/>
        <v>53.54</v>
      </c>
      <c r="CM156" s="2">
        <f t="shared" ca="1" si="138"/>
        <v>-1.5446855461566815E-2</v>
      </c>
      <c r="CN156" s="2" vm="5528">
        <f ca="1"/>
        <v>28.34</v>
      </c>
      <c r="CO156" s="2">
        <f t="shared" ca="1" si="139"/>
        <v>-8.3974807557732137E-3</v>
      </c>
      <c r="CP156" s="2" vm="5529">
        <f ca="1"/>
        <v>21.26</v>
      </c>
      <c r="CQ156" s="2">
        <f t="shared" ca="1" si="140"/>
        <v>-2.1629084215370402E-2</v>
      </c>
    </row>
    <row r="157" spans="1:95" x14ac:dyDescent="0.2">
      <c r="A157" s="7" vm="5530">
        <f ca="1"/>
        <v>45799</v>
      </c>
      <c r="B157" s="2" vm="5531">
        <f ca="1"/>
        <v>201.36</v>
      </c>
      <c r="C157" s="2">
        <f t="shared" ca="1" si="94"/>
        <v>-3.6122519669453696E-3</v>
      </c>
      <c r="D157" s="2" vm="5532">
        <f ca="1"/>
        <v>132.83000000000001</v>
      </c>
      <c r="E157" s="2">
        <f t="shared" ca="1" si="95"/>
        <v>7.8148710166919648E-3</v>
      </c>
      <c r="F157" s="2" vm="5533">
        <f ca="1"/>
        <v>454.86</v>
      </c>
      <c r="G157" s="2">
        <f t="shared" ca="1" si="96"/>
        <v>5.0599907196677207E-3</v>
      </c>
      <c r="H157" s="2" vm="5534">
        <f ca="1"/>
        <v>636.57000000000005</v>
      </c>
      <c r="I157" s="2">
        <f t="shared" ca="1" si="97"/>
        <v>1.6837136113297404E-3</v>
      </c>
      <c r="J157" s="2" vm="5535">
        <f ca="1"/>
        <v>170.87</v>
      </c>
      <c r="K157" s="2">
        <f t="shared" ca="1" si="98"/>
        <v>1.370431893687709E-2</v>
      </c>
      <c r="L157" s="2" vm="5536">
        <f ca="1"/>
        <v>583.09</v>
      </c>
      <c r="M157" s="2">
        <f t="shared" ca="1" si="99"/>
        <v>3.9460590879459591E-4</v>
      </c>
      <c r="N157" s="2" vm="5537">
        <f ca="1"/>
        <v>84.41</v>
      </c>
      <c r="O157" s="2">
        <f t="shared" ca="1" si="100"/>
        <v>5.2399666547576244E-3</v>
      </c>
      <c r="P157" s="2" vm="5538">
        <f ca="1"/>
        <v>303.11</v>
      </c>
      <c r="Q157" s="2">
        <f t="shared" ca="1" si="101"/>
        <v>-8.8614217513569415E-3</v>
      </c>
      <c r="R157" s="2" vm="5539">
        <f ca="1"/>
        <v>67.14</v>
      </c>
      <c r="S157" s="2">
        <f t="shared" ca="1" si="102"/>
        <v>-6.6577896138482438E-3</v>
      </c>
      <c r="T157" s="2" vm="5540">
        <f ca="1"/>
        <v>93.5</v>
      </c>
      <c r="U157" s="2">
        <f t="shared" ca="1" si="103"/>
        <v>3.7573805689747105E-3</v>
      </c>
      <c r="V157" s="2" vm="5541">
        <f ca="1"/>
        <v>46.115000000000002</v>
      </c>
      <c r="W157" s="2">
        <f t="shared" ca="1" si="104"/>
        <v>2.5000000000000434E-3</v>
      </c>
      <c r="X157" s="2" vm="5542">
        <f ca="1"/>
        <v>130.81</v>
      </c>
      <c r="Y157" s="2">
        <f t="shared" ca="1" si="105"/>
        <v>9.947964493418691E-4</v>
      </c>
      <c r="Z157" s="2" vm="5543">
        <f ca="1"/>
        <v>81.73</v>
      </c>
      <c r="AA157" s="2">
        <f t="shared" ca="1" si="106"/>
        <v>-3.9000609384520803E-3</v>
      </c>
      <c r="AB157" s="2" vm="5544">
        <f ca="1"/>
        <v>12.59</v>
      </c>
      <c r="AC157" s="2">
        <f t="shared" ca="1" si="107"/>
        <v>-8.6614173228346022E-3</v>
      </c>
      <c r="AD157" s="2" vm="3990">
        <f ca="1"/>
        <v>3.1</v>
      </c>
      <c r="AE157" s="2">
        <f t="shared" ca="1" si="108"/>
        <v>-3.1250000000000028E-2</v>
      </c>
      <c r="AF157" s="2" vm="612">
        <f ca="1"/>
        <v>30.03</v>
      </c>
      <c r="AG157" s="2">
        <f t="shared" ca="1" si="109"/>
        <v>-1.5732546705998048E-2</v>
      </c>
      <c r="AH157" s="2" vm="2514">
        <f ca="1"/>
        <v>27.4</v>
      </c>
      <c r="AI157" s="2">
        <f t="shared" ca="1" si="110"/>
        <v>-1.0115606936416227E-2</v>
      </c>
      <c r="AJ157" s="2" vm="4941">
        <f ca="1"/>
        <v>4.6399999999999997</v>
      </c>
      <c r="AK157" s="2">
        <f t="shared" ca="1" si="111"/>
        <v>2.1598272138228483E-3</v>
      </c>
      <c r="AL157" s="2" vm="5545">
        <f ca="1"/>
        <v>65.150000000000006</v>
      </c>
      <c r="AM157" s="2">
        <f t="shared" ca="1" si="112"/>
        <v>-8.6731588557515706E-3</v>
      </c>
      <c r="AN157" s="2" vm="5546">
        <f ca="1"/>
        <v>98.6</v>
      </c>
      <c r="AO157" s="2">
        <f t="shared" ca="1" si="113"/>
        <v>-2.6299817924337965E-3</v>
      </c>
      <c r="AP157" s="2" vm="965">
        <f ca="1"/>
        <v>26.3</v>
      </c>
      <c r="AQ157" s="2">
        <f t="shared" ca="1" si="114"/>
        <v>3.0511060259344716E-3</v>
      </c>
      <c r="AR157" s="2" vm="73">
        <f ca="1"/>
        <v>50.9</v>
      </c>
      <c r="AS157" s="2">
        <f t="shared" ca="1" si="115"/>
        <v>1.9650225977594832E-4</v>
      </c>
      <c r="AT157" s="2" vm="74">
        <f ca="1"/>
        <v>29.14</v>
      </c>
      <c r="AU157" s="2">
        <f t="shared" ca="1" si="116"/>
        <v>6.8681318681317212E-4</v>
      </c>
      <c r="AV157" s="2" vm="5547">
        <f ca="1"/>
        <v>25.48</v>
      </c>
      <c r="AW157" s="2">
        <f t="shared" ca="1" si="117"/>
        <v>5.1282051282050883E-3</v>
      </c>
      <c r="AX157" s="2" vm="1963">
        <f ca="1"/>
        <v>91.65</v>
      </c>
      <c r="AY157" s="2">
        <f t="shared" ca="1" si="118"/>
        <v>2.1826912583226271E-4</v>
      </c>
      <c r="AZ157" s="2" vm="5548">
        <f ca="1"/>
        <v>503.57</v>
      </c>
      <c r="BA157" s="2">
        <f t="shared" ca="1" si="119"/>
        <v>-6.8240538035224344E-3</v>
      </c>
      <c r="BB157" s="2" vm="5549">
        <f ca="1"/>
        <v>260.67</v>
      </c>
      <c r="BC157" s="2">
        <f t="shared" ca="1" si="120"/>
        <v>-1.4174072939013352E-3</v>
      </c>
      <c r="BD157" s="2" vm="5550">
        <f ca="1"/>
        <v>43.31</v>
      </c>
      <c r="BE157" s="2">
        <f t="shared" ca="1" si="121"/>
        <v>1.3872832369942723E-3</v>
      </c>
      <c r="BF157" s="2" vm="5551">
        <f ca="1"/>
        <v>102.97</v>
      </c>
      <c r="BG157" s="2">
        <f t="shared" ca="1" si="122"/>
        <v>-6.6563766158595191E-3</v>
      </c>
      <c r="BH157" s="2" vm="3335">
        <f ca="1"/>
        <v>135.29</v>
      </c>
      <c r="BI157" s="2">
        <f t="shared" ca="1" si="123"/>
        <v>-1.9917379758041475E-3</v>
      </c>
      <c r="BJ157" s="2" vm="5552">
        <f ca="1"/>
        <v>152.61000000000001</v>
      </c>
      <c r="BK157" s="2">
        <f t="shared" ca="1" si="124"/>
        <v>-3.721112416764546E-3</v>
      </c>
      <c r="BL157" s="2" vm="5553">
        <f ca="1"/>
        <v>71.14</v>
      </c>
      <c r="BM157" s="2">
        <f t="shared" ca="1" si="125"/>
        <v>-9.8816979819066637E-3</v>
      </c>
      <c r="BN157" s="2" vm="5554">
        <f ca="1"/>
        <v>314.31</v>
      </c>
      <c r="BO157" s="2">
        <f t="shared" ca="1" si="126"/>
        <v>-6.7311338642396523E-3</v>
      </c>
      <c r="BP157" s="2" vm="5555">
        <f ca="1"/>
        <v>111.13</v>
      </c>
      <c r="BQ157" s="2">
        <f t="shared" ca="1" si="127"/>
        <v>6.0655440883577924E-3</v>
      </c>
      <c r="BR157" s="2" vm="5556">
        <f ca="1"/>
        <v>1187.97</v>
      </c>
      <c r="BS157" s="2">
        <f t="shared" ca="1" si="128"/>
        <v>-5.5749478918159442E-3</v>
      </c>
      <c r="BT157" s="2" vm="5557">
        <f ca="1"/>
        <v>165.03</v>
      </c>
      <c r="BU157" s="2">
        <f t="shared" ca="1" si="129"/>
        <v>-2.4179411231336858E-3</v>
      </c>
      <c r="BV157" s="2" vm="5558">
        <f ca="1"/>
        <v>130.12</v>
      </c>
      <c r="BW157" s="2">
        <f t="shared" ca="1" si="130"/>
        <v>-2.3050326546293612E-4</v>
      </c>
      <c r="BX157" s="2" vm="5559">
        <f ca="1"/>
        <v>216.08</v>
      </c>
      <c r="BY157" s="2">
        <f t="shared" ca="1" si="131"/>
        <v>-6.9370577625665853E-4</v>
      </c>
      <c r="BZ157" s="2" vm="5560">
        <f ca="1"/>
        <v>85.72</v>
      </c>
      <c r="CA157" s="2">
        <f t="shared" ca="1" si="132"/>
        <v>-4.529090697944496E-3</v>
      </c>
      <c r="CB157" s="2" vm="1091">
        <f ca="1"/>
        <v>26.97</v>
      </c>
      <c r="CC157" s="2">
        <f t="shared" ca="1" si="133"/>
        <v>0</v>
      </c>
      <c r="CD157" s="2" t="e" vm="92">
        <f ca="1"/>
        <v>#N/A</v>
      </c>
      <c r="CE157" s="2" t="e" vm="140">
        <f t="shared" ca="1" si="134"/>
        <v>#N/A</v>
      </c>
      <c r="CF157" s="2" vm="2996">
        <f ca="1"/>
        <v>22.56</v>
      </c>
      <c r="CG157" s="2">
        <f t="shared" ca="1" si="135"/>
        <v>2.2212350066635788E-3</v>
      </c>
      <c r="CH157" s="2" vm="777">
        <f ca="1"/>
        <v>58.48</v>
      </c>
      <c r="CI157" s="2">
        <f t="shared" ca="1" si="136"/>
        <v>1.7102787754400564E-4</v>
      </c>
      <c r="CJ157" s="2" vm="5561">
        <f ca="1"/>
        <v>58.81</v>
      </c>
      <c r="CK157" s="2">
        <f t="shared" ca="1" si="137"/>
        <v>2.215405589638762E-3</v>
      </c>
      <c r="CL157" s="2" vm="5562">
        <f ca="1"/>
        <v>53.81</v>
      </c>
      <c r="CM157" s="2">
        <f t="shared" ca="1" si="138"/>
        <v>5.042958535674321E-3</v>
      </c>
      <c r="CN157" s="2" vm="5563">
        <f ca="1"/>
        <v>28.45</v>
      </c>
      <c r="CO157" s="2">
        <f t="shared" ca="1" si="139"/>
        <v>3.8814396612561549E-3</v>
      </c>
      <c r="CP157" s="2" vm="5564">
        <f ca="1"/>
        <v>21.125</v>
      </c>
      <c r="CQ157" s="2">
        <f t="shared" ca="1" si="140"/>
        <v>-6.3499529633114556E-3</v>
      </c>
    </row>
    <row r="158" spans="1:95" x14ac:dyDescent="0.2">
      <c r="A158" s="7" vm="5565">
        <f ca="1"/>
        <v>45800</v>
      </c>
      <c r="B158" s="2" vm="5566">
        <f ca="1"/>
        <v>195.27</v>
      </c>
      <c r="C158" s="2">
        <f t="shared" ca="1" si="94"/>
        <v>-3.0244338498212172E-2</v>
      </c>
      <c r="D158" s="2" vm="5567">
        <f ca="1"/>
        <v>131.29</v>
      </c>
      <c r="E158" s="2">
        <f t="shared" ca="1" si="95"/>
        <v>-1.1593766468418433E-2</v>
      </c>
      <c r="F158" s="2" vm="5568">
        <f ca="1"/>
        <v>450.18</v>
      </c>
      <c r="G158" s="2">
        <f t="shared" ca="1" si="96"/>
        <v>-1.0288880094974293E-2</v>
      </c>
      <c r="H158" s="2" vm="5569">
        <f ca="1"/>
        <v>627.05999999999995</v>
      </c>
      <c r="I158" s="2">
        <f t="shared" ca="1" si="97"/>
        <v>-1.4939441066968446E-2</v>
      </c>
      <c r="J158" s="2" vm="4712">
        <f ca="1"/>
        <v>168.47</v>
      </c>
      <c r="K158" s="2">
        <f t="shared" ca="1" si="98"/>
        <v>-1.4045765786855537E-2</v>
      </c>
      <c r="L158" s="2" vm="5570">
        <f ca="1"/>
        <v>579.11</v>
      </c>
      <c r="M158" s="2">
        <f t="shared" ca="1" si="99"/>
        <v>-6.8257044367079148E-3</v>
      </c>
      <c r="N158" s="2" vm="2301">
        <f ca="1"/>
        <v>84.55</v>
      </c>
      <c r="O158" s="2">
        <f t="shared" ca="1" si="100"/>
        <v>1.6585712593294702E-3</v>
      </c>
      <c r="P158" s="2" vm="5571">
        <f ca="1"/>
        <v>309.75</v>
      </c>
      <c r="Q158" s="2">
        <f t="shared" ca="1" si="101"/>
        <v>2.1906238659232576E-2</v>
      </c>
      <c r="R158" s="2" vm="5572">
        <f ca="1"/>
        <v>67.989999999999995</v>
      </c>
      <c r="S158" s="2">
        <f t="shared" ca="1" si="102"/>
        <v>1.266011319630614E-2</v>
      </c>
      <c r="T158" s="2" vm="5573">
        <f ca="1"/>
        <v>93.77</v>
      </c>
      <c r="U158" s="2">
        <f t="shared" ca="1" si="103"/>
        <v>2.8877005347593158E-3</v>
      </c>
      <c r="V158" s="2" vm="5574">
        <f ca="1"/>
        <v>46.179000000000002</v>
      </c>
      <c r="W158" s="2">
        <f t="shared" ca="1" si="104"/>
        <v>1.3878347609237787E-3</v>
      </c>
      <c r="X158" s="2" vm="5575">
        <f ca="1"/>
        <v>130.87</v>
      </c>
      <c r="Y158" s="2">
        <f t="shared" ca="1" si="105"/>
        <v>4.5868052901156084E-4</v>
      </c>
      <c r="Z158" s="2" vm="5576">
        <f ca="1"/>
        <v>81.99</v>
      </c>
      <c r="AA158" s="2">
        <f t="shared" ca="1" si="106"/>
        <v>3.1812064113543484E-3</v>
      </c>
      <c r="AB158" s="2" vm="5577">
        <f ca="1"/>
        <v>12.71</v>
      </c>
      <c r="AC158" s="2">
        <f t="shared" ca="1" si="107"/>
        <v>9.5313741064337563E-3</v>
      </c>
      <c r="AD158" s="2" t="e" vm="92">
        <f ca="1"/>
        <v>#N/A</v>
      </c>
      <c r="AE158" s="2" t="e" vm="140">
        <f t="shared" ca="1" si="108"/>
        <v>#N/A</v>
      </c>
      <c r="AF158" s="2" vm="5578">
        <f ca="1"/>
        <v>30.45</v>
      </c>
      <c r="AG158" s="2">
        <f t="shared" ca="1" si="109"/>
        <v>1.3986013986013924E-2</v>
      </c>
      <c r="AH158" s="2" vm="1886">
        <f ca="1"/>
        <v>27.14</v>
      </c>
      <c r="AI158" s="2">
        <f t="shared" ca="1" si="110"/>
        <v>-9.4890510948904393E-3</v>
      </c>
      <c r="AJ158" s="2" vm="4301">
        <f ca="1"/>
        <v>4.62</v>
      </c>
      <c r="AK158" s="2">
        <f t="shared" ca="1" si="111"/>
        <v>-4.3103448275861149E-3</v>
      </c>
      <c r="AL158" s="2" vm="5579">
        <f ca="1"/>
        <v>66.569999999999993</v>
      </c>
      <c r="AM158" s="2">
        <f t="shared" ca="1" si="112"/>
        <v>2.1795855717574635E-2</v>
      </c>
      <c r="AN158" s="2" vm="5580">
        <f ca="1"/>
        <v>100.15</v>
      </c>
      <c r="AO158" s="2">
        <f t="shared" ca="1" si="113"/>
        <v>1.5720081135902755E-2</v>
      </c>
      <c r="AP158" s="2" vm="1007">
        <f ca="1"/>
        <v>26.35</v>
      </c>
      <c r="AQ158" s="2">
        <f t="shared" ca="1" si="114"/>
        <v>1.9011406844106733E-3</v>
      </c>
      <c r="AR158" s="2" vm="1746">
        <f ca="1"/>
        <v>50.92</v>
      </c>
      <c r="AS158" s="2">
        <f t="shared" ca="1" si="115"/>
        <v>3.9292730844799859E-4</v>
      </c>
      <c r="AT158" s="2" vm="3645">
        <f ca="1"/>
        <v>29.16</v>
      </c>
      <c r="AU158" s="2">
        <f t="shared" ca="1" si="116"/>
        <v>6.8634179821549666E-4</v>
      </c>
      <c r="AV158" s="2" vm="5581">
        <f ca="1"/>
        <v>25.55</v>
      </c>
      <c r="AW158" s="2">
        <f t="shared" ca="1" si="117"/>
        <v>2.7472527472527583E-3</v>
      </c>
      <c r="AX158" s="2" vm="424">
        <f ca="1"/>
        <v>91.69</v>
      </c>
      <c r="AY158" s="2">
        <f t="shared" ca="1" si="118"/>
        <v>4.3644298963439211E-4</v>
      </c>
      <c r="AZ158" s="2" vm="5582">
        <f ca="1"/>
        <v>503.46</v>
      </c>
      <c r="BA158" s="2">
        <f t="shared" ca="1" si="119"/>
        <v>-2.184403360009803E-4</v>
      </c>
      <c r="BB158" s="2" vm="5583">
        <f ca="1"/>
        <v>260.70999999999998</v>
      </c>
      <c r="BC158" s="2">
        <f t="shared" ca="1" si="120"/>
        <v>1.534507231363932E-4</v>
      </c>
      <c r="BD158" s="2" vm="5584">
        <f ca="1"/>
        <v>43.2</v>
      </c>
      <c r="BE158" s="2">
        <f t="shared" ca="1" si="121"/>
        <v>-2.5398291387670152E-3</v>
      </c>
      <c r="BF158" s="2" vm="5585">
        <f ca="1"/>
        <v>103.03</v>
      </c>
      <c r="BG158" s="2">
        <f t="shared" ca="1" si="122"/>
        <v>5.826939885403736E-4</v>
      </c>
      <c r="BH158" s="2" vm="5586">
        <f ca="1"/>
        <v>136.54</v>
      </c>
      <c r="BI158" s="2">
        <f t="shared" ca="1" si="123"/>
        <v>9.2394116342671296E-3</v>
      </c>
      <c r="BJ158" s="2" vm="5587">
        <f ca="1"/>
        <v>152.94</v>
      </c>
      <c r="BK158" s="2">
        <f t="shared" ca="1" si="124"/>
        <v>2.1623746805581813E-3</v>
      </c>
      <c r="BL158" s="2" vm="5588">
        <f ca="1"/>
        <v>71.77</v>
      </c>
      <c r="BM158" s="2">
        <f t="shared" ca="1" si="125"/>
        <v>8.8557773404553761E-3</v>
      </c>
      <c r="BN158" s="2" vm="5589">
        <f ca="1"/>
        <v>314.57</v>
      </c>
      <c r="BO158" s="2">
        <f t="shared" ca="1" si="126"/>
        <v>8.2720880659218894E-4</v>
      </c>
      <c r="BP158" s="2" vm="2637">
        <f ca="1"/>
        <v>109.72</v>
      </c>
      <c r="BQ158" s="2">
        <f t="shared" ca="1" si="127"/>
        <v>-1.2687843066678634E-2</v>
      </c>
      <c r="BR158" s="2" vm="5590">
        <f ca="1"/>
        <v>1185.3900000000001</v>
      </c>
      <c r="BS158" s="2">
        <f t="shared" ca="1" si="128"/>
        <v>-2.1717720144447481E-3</v>
      </c>
      <c r="BT158" s="2" vm="516">
        <f ca="1"/>
        <v>165.86</v>
      </c>
      <c r="BU158" s="2">
        <f t="shared" ca="1" si="129"/>
        <v>5.0293885960129223E-3</v>
      </c>
      <c r="BV158" s="2" vm="5194">
        <f ca="1"/>
        <v>129.34</v>
      </c>
      <c r="BW158" s="2">
        <f t="shared" ca="1" si="130"/>
        <v>-5.9944666461727719E-3</v>
      </c>
      <c r="BX158" s="2" vm="5591">
        <f ca="1"/>
        <v>216.26</v>
      </c>
      <c r="BY158" s="2">
        <f t="shared" ca="1" si="131"/>
        <v>8.3302480562744531E-4</v>
      </c>
      <c r="BZ158" s="2" vm="5592">
        <f ca="1"/>
        <v>85.64</v>
      </c>
      <c r="CA158" s="2">
        <f t="shared" ca="1" si="132"/>
        <v>-9.332711152589628E-4</v>
      </c>
      <c r="CB158" s="2" vm="4305">
        <f ca="1"/>
        <v>27.04</v>
      </c>
      <c r="CC158" s="2">
        <f t="shared" ca="1" si="133"/>
        <v>2.5954764553207375E-3</v>
      </c>
      <c r="CD158" s="2" t="e" vm="92">
        <f ca="1"/>
        <v>#N/A</v>
      </c>
      <c r="CE158" s="2" t="e" vm="140">
        <f t="shared" ca="1" si="134"/>
        <v>#N/A</v>
      </c>
      <c r="CF158" s="2" vm="941">
        <f ca="1"/>
        <v>22.6</v>
      </c>
      <c r="CG158" s="2">
        <f t="shared" ca="1" si="135"/>
        <v>1.7730496453901908E-3</v>
      </c>
      <c r="CH158" s="2" vm="484">
        <f ca="1"/>
        <v>58.53</v>
      </c>
      <c r="CI158" s="2">
        <f t="shared" ca="1" si="136"/>
        <v>8.5499316005479252E-4</v>
      </c>
      <c r="CJ158" s="2" vm="692">
        <f ca="1"/>
        <v>58.93</v>
      </c>
      <c r="CK158" s="2">
        <f t="shared" ca="1" si="137"/>
        <v>2.0404693079407827E-3</v>
      </c>
      <c r="CL158" s="2" vm="5593">
        <f ca="1"/>
        <v>53.94</v>
      </c>
      <c r="CM158" s="2">
        <f t="shared" ca="1" si="138"/>
        <v>2.4159078238244831E-3</v>
      </c>
      <c r="CN158" s="2" vm="5594">
        <f ca="1"/>
        <v>28.46</v>
      </c>
      <c r="CO158" s="2">
        <f t="shared" ca="1" si="139"/>
        <v>3.5149384885769993E-4</v>
      </c>
      <c r="CP158" s="2" vm="5595">
        <f ca="1"/>
        <v>21.148</v>
      </c>
      <c r="CQ158" s="2">
        <f t="shared" ca="1" si="140"/>
        <v>1.0887573964496894E-3</v>
      </c>
    </row>
    <row r="159" spans="1:95" x14ac:dyDescent="0.2">
      <c r="A159" s="7" vm="5596">
        <f ca="1"/>
        <v>45804</v>
      </c>
      <c r="B159" s="2" vm="2864">
        <f ca="1"/>
        <v>200.21</v>
      </c>
      <c r="C159" s="2">
        <f t="shared" ca="1" si="94"/>
        <v>2.5298304911148654E-2</v>
      </c>
      <c r="D159" s="2" vm="5140">
        <f ca="1"/>
        <v>135.5</v>
      </c>
      <c r="E159" s="2">
        <f t="shared" ca="1" si="95"/>
        <v>3.2066417853606581E-2</v>
      </c>
      <c r="F159" s="2" vm="5597">
        <f ca="1"/>
        <v>460.69</v>
      </c>
      <c r="G159" s="2">
        <f t="shared" ca="1" si="96"/>
        <v>2.3346217068728043E-2</v>
      </c>
      <c r="H159" s="2" vm="5598">
        <f ca="1"/>
        <v>642.32000000000005</v>
      </c>
      <c r="I159" s="2">
        <f t="shared" ca="1" si="97"/>
        <v>2.4335789238669515E-2</v>
      </c>
      <c r="J159" s="2" vm="5599">
        <f ca="1"/>
        <v>172.9</v>
      </c>
      <c r="K159" s="2">
        <f t="shared" ca="1" si="98"/>
        <v>2.6295482875289409E-2</v>
      </c>
      <c r="L159" s="2" vm="2101">
        <f ca="1"/>
        <v>591.15</v>
      </c>
      <c r="M159" s="2">
        <f t="shared" ca="1" si="99"/>
        <v>2.079052338933875E-2</v>
      </c>
      <c r="N159" s="2" vm="5600">
        <f ca="1"/>
        <v>85.73</v>
      </c>
      <c r="O159" s="2">
        <f t="shared" ca="1" si="100"/>
        <v>1.395623891188654E-2</v>
      </c>
      <c r="P159" s="2" vm="5601">
        <f ca="1"/>
        <v>304.5</v>
      </c>
      <c r="Q159" s="2">
        <f t="shared" ca="1" si="101"/>
        <v>-1.6949152542372881E-2</v>
      </c>
      <c r="R159" s="2" vm="5602">
        <f ca="1"/>
        <v>67.28</v>
      </c>
      <c r="S159" s="2">
        <f t="shared" ca="1" si="102"/>
        <v>-1.0442712163553372E-2</v>
      </c>
      <c r="T159" s="2" vm="5603">
        <f ca="1"/>
        <v>94.16</v>
      </c>
      <c r="U159" s="2">
        <f t="shared" ca="1" si="103"/>
        <v>4.159112722619181E-3</v>
      </c>
      <c r="V159" s="2" vm="5604">
        <f ca="1"/>
        <v>46.445300000000003</v>
      </c>
      <c r="W159" s="2">
        <f t="shared" ca="1" si="104"/>
        <v>5.7666904870179317E-3</v>
      </c>
      <c r="X159" s="2" vm="5605">
        <f ca="1"/>
        <v>133.16999999999999</v>
      </c>
      <c r="Y159" s="2">
        <f t="shared" ca="1" si="105"/>
        <v>1.7574692442882119E-2</v>
      </c>
      <c r="Z159" s="2" vm="5606">
        <f ca="1"/>
        <v>82.7</v>
      </c>
      <c r="AA159" s="2">
        <f t="shared" ca="1" si="106"/>
        <v>8.6595926332480554E-3</v>
      </c>
      <c r="AB159" s="2" vm="5607">
        <f ca="1"/>
        <v>12.62</v>
      </c>
      <c r="AC159" s="2">
        <f t="shared" ca="1" si="107"/>
        <v>-7.0810385523211354E-3</v>
      </c>
      <c r="AD159" s="2" vm="1551">
        <f ca="1"/>
        <v>3.3</v>
      </c>
      <c r="AE159" s="2" t="e" vm="140">
        <f t="shared" ca="1" si="108"/>
        <v>#N/A</v>
      </c>
      <c r="AF159" s="2" vm="5608">
        <f ca="1"/>
        <v>30.23</v>
      </c>
      <c r="AG159" s="2">
        <f t="shared" ca="1" si="109"/>
        <v>-7.2249589490968429E-3</v>
      </c>
      <c r="AH159" s="2" vm="801">
        <f ca="1"/>
        <v>27.01</v>
      </c>
      <c r="AI159" s="2">
        <f t="shared" ca="1" si="110"/>
        <v>-4.7899778924096904E-3</v>
      </c>
      <c r="AJ159" s="2" vm="5232">
        <f ca="1"/>
        <v>4.51</v>
      </c>
      <c r="AK159" s="2">
        <f t="shared" ca="1" si="111"/>
        <v>-2.3809523809523878E-2</v>
      </c>
      <c r="AL159" s="2" vm="5609">
        <f ca="1"/>
        <v>65.45</v>
      </c>
      <c r="AM159" s="2">
        <f t="shared" ca="1" si="112"/>
        <v>-1.682439537329113E-2</v>
      </c>
      <c r="AN159" s="2" vm="5610">
        <f ca="1"/>
        <v>99.05</v>
      </c>
      <c r="AO159" s="2">
        <f t="shared" ca="1" si="113"/>
        <v>-1.0983524712930688E-2</v>
      </c>
      <c r="AP159" s="2" vm="3991">
        <f ca="1"/>
        <v>26.46</v>
      </c>
      <c r="AQ159" s="2">
        <f t="shared" ca="1" si="114"/>
        <v>4.174573055028441E-3</v>
      </c>
      <c r="AR159" s="2" vm="1924">
        <f ca="1"/>
        <v>50.97</v>
      </c>
      <c r="AS159" s="2">
        <f t="shared" ca="1" si="115"/>
        <v>9.8193244304786253E-4</v>
      </c>
      <c r="AT159" s="2" vm="3645">
        <f ca="1"/>
        <v>29.16</v>
      </c>
      <c r="AU159" s="2">
        <f t="shared" ca="1" si="116"/>
        <v>0</v>
      </c>
      <c r="AV159" s="2" vm="5611">
        <f ca="1"/>
        <v>25.86</v>
      </c>
      <c r="AW159" s="2">
        <f t="shared" ca="1" si="117"/>
        <v>1.213307240704496E-2</v>
      </c>
      <c r="AX159" s="2" vm="424">
        <f ca="1"/>
        <v>91.69</v>
      </c>
      <c r="AY159" s="2">
        <f t="shared" ca="1" si="118"/>
        <v>0</v>
      </c>
      <c r="AZ159" s="2" vm="5612">
        <f ca="1"/>
        <v>509.16</v>
      </c>
      <c r="BA159" s="2">
        <f t="shared" ca="1" si="119"/>
        <v>1.1321654153259536E-2</v>
      </c>
      <c r="BB159" s="2" vm="5613">
        <f ca="1"/>
        <v>265.29000000000002</v>
      </c>
      <c r="BC159" s="2">
        <f t="shared" ca="1" si="120"/>
        <v>1.7567412067047837E-2</v>
      </c>
      <c r="BD159" s="2" vm="5614">
        <f ca="1"/>
        <v>44.22</v>
      </c>
      <c r="BE159" s="2">
        <f t="shared" ca="1" si="121"/>
        <v>2.3611111111111017E-2</v>
      </c>
      <c r="BF159" s="2" vm="5615">
        <f ca="1"/>
        <v>103.52</v>
      </c>
      <c r="BG159" s="2">
        <f t="shared" ca="1" si="122"/>
        <v>4.755896340871541E-3</v>
      </c>
      <c r="BH159" s="2" vm="5616">
        <f ca="1"/>
        <v>137.83000000000001</v>
      </c>
      <c r="BI159" s="2">
        <f t="shared" ca="1" si="123"/>
        <v>9.4477808700748536E-3</v>
      </c>
      <c r="BJ159" s="2" vm="4366">
        <f ca="1"/>
        <v>153.25</v>
      </c>
      <c r="BK159" s="2">
        <f t="shared" ca="1" si="124"/>
        <v>2.0269386687590055E-3</v>
      </c>
      <c r="BL159" s="2" vm="5617">
        <f ca="1"/>
        <v>71.78</v>
      </c>
      <c r="BM159" s="2">
        <f t="shared" ca="1" si="125"/>
        <v>1.3933398355866122E-4</v>
      </c>
      <c r="BN159" s="2" vm="5618">
        <f ca="1"/>
        <v>314.95</v>
      </c>
      <c r="BO159" s="2">
        <f t="shared" ca="1" si="126"/>
        <v>1.2079982197920828E-3</v>
      </c>
      <c r="BP159" s="2" vm="4489">
        <f ca="1"/>
        <v>112.36</v>
      </c>
      <c r="BQ159" s="2">
        <f t="shared" ca="1" si="127"/>
        <v>2.4061246810061981E-2</v>
      </c>
      <c r="BR159" s="2" vm="5619">
        <f ca="1"/>
        <v>1211.57</v>
      </c>
      <c r="BS159" s="2">
        <f t="shared" ca="1" si="128"/>
        <v>2.2085558339449324E-2</v>
      </c>
      <c r="BT159" s="2" vm="5620">
        <f ca="1"/>
        <v>167.76</v>
      </c>
      <c r="BU159" s="2">
        <f t="shared" ca="1" si="129"/>
        <v>1.1455444350657042E-2</v>
      </c>
      <c r="BV159" s="2" vm="5621">
        <f ca="1"/>
        <v>131.37</v>
      </c>
      <c r="BW159" s="2">
        <f t="shared" ca="1" si="130"/>
        <v>1.5695067264573998E-2</v>
      </c>
      <c r="BX159" s="2" vm="5622">
        <f ca="1"/>
        <v>219.99</v>
      </c>
      <c r="BY159" s="2">
        <f t="shared" ca="1" si="131"/>
        <v>1.7247757329140932E-2</v>
      </c>
      <c r="BZ159" s="2" vm="5623">
        <f ca="1"/>
        <v>86.51</v>
      </c>
      <c r="CA159" s="2">
        <f t="shared" ca="1" si="132"/>
        <v>1.0158804297057502E-2</v>
      </c>
      <c r="CB159" s="2" vm="3750">
        <f ca="1"/>
        <v>27.5</v>
      </c>
      <c r="CC159" s="2">
        <f t="shared" ca="1" si="133"/>
        <v>1.7011834319526659E-2</v>
      </c>
      <c r="CD159" s="2" t="e" vm="92">
        <f ca="1"/>
        <v>#N/A</v>
      </c>
      <c r="CE159" s="2" t="e" vm="140">
        <f t="shared" ca="1" si="134"/>
        <v>#N/A</v>
      </c>
      <c r="CF159" s="2" vm="1298">
        <f ca="1"/>
        <v>22.68</v>
      </c>
      <c r="CG159" s="2">
        <f t="shared" ca="1" si="135"/>
        <v>3.539823008849482E-3</v>
      </c>
      <c r="CH159" s="2" vm="4100">
        <f ca="1"/>
        <v>58.54</v>
      </c>
      <c r="CI159" s="2">
        <f t="shared" ca="1" si="136"/>
        <v>1.7085255424565199E-4</v>
      </c>
      <c r="CJ159" s="2" vm="4576">
        <f ca="1"/>
        <v>59.07</v>
      </c>
      <c r="CK159" s="2">
        <f t="shared" ca="1" si="137"/>
        <v>2.3756999830307239E-3</v>
      </c>
      <c r="CL159" s="2" vm="5624">
        <f ca="1"/>
        <v>54.61</v>
      </c>
      <c r="CM159" s="2">
        <f t="shared" ca="1" si="138"/>
        <v>1.242120875046351E-2</v>
      </c>
      <c r="CN159" s="2" vm="2245">
        <f ca="1"/>
        <v>28.68</v>
      </c>
      <c r="CO159" s="2">
        <f t="shared" ca="1" si="139"/>
        <v>7.7301475755445839E-3</v>
      </c>
      <c r="CP159" s="2" vm="5625">
        <f ca="1"/>
        <v>21.42</v>
      </c>
      <c r="CQ159" s="2">
        <f t="shared" ca="1" si="140"/>
        <v>1.286173633440524E-2</v>
      </c>
    </row>
    <row r="160" spans="1:95" x14ac:dyDescent="0.2">
      <c r="A160" s="7" vm="5626">
        <f ca="1"/>
        <v>45805</v>
      </c>
      <c r="B160" s="2" vm="5627">
        <f ca="1"/>
        <v>200.42</v>
      </c>
      <c r="C160" s="2">
        <f t="shared" ca="1" si="94"/>
        <v>1.0488986564106664E-3</v>
      </c>
      <c r="D160" s="2" vm="101">
        <f ca="1"/>
        <v>134.81</v>
      </c>
      <c r="E160" s="2">
        <f t="shared" ca="1" si="95"/>
        <v>-5.0922509225092083E-3</v>
      </c>
      <c r="F160" s="2" vm="5628">
        <f ca="1"/>
        <v>457.36</v>
      </c>
      <c r="G160" s="2">
        <f t="shared" ca="1" si="96"/>
        <v>-7.2282880027784062E-3</v>
      </c>
      <c r="H160" s="2" vm="5629">
        <f ca="1"/>
        <v>643.58000000000004</v>
      </c>
      <c r="I160" s="2">
        <f t="shared" ca="1" si="97"/>
        <v>1.9616390584132376E-3</v>
      </c>
      <c r="J160" s="2" vm="5630">
        <f ca="1"/>
        <v>172.36</v>
      </c>
      <c r="K160" s="2">
        <f t="shared" ca="1" si="98"/>
        <v>-3.1231925968767615E-3</v>
      </c>
      <c r="L160" s="2" vm="5631">
        <f ca="1"/>
        <v>587.73</v>
      </c>
      <c r="M160" s="2">
        <f t="shared" ca="1" si="99"/>
        <v>-5.7853336716568709E-3</v>
      </c>
      <c r="N160" s="2" vm="5632">
        <f ca="1"/>
        <v>85.36</v>
      </c>
      <c r="O160" s="2">
        <f t="shared" ca="1" si="100"/>
        <v>-4.3158754228391988E-3</v>
      </c>
      <c r="P160" s="2" vm="5633">
        <f ca="1"/>
        <v>303.81</v>
      </c>
      <c r="Q160" s="2">
        <f t="shared" ca="1" si="101"/>
        <v>-2.2660098522167414E-3</v>
      </c>
      <c r="R160" s="2" vm="5634">
        <f ca="1"/>
        <v>67.89</v>
      </c>
      <c r="S160" s="2">
        <f t="shared" ca="1" si="102"/>
        <v>9.0665873959571847E-3</v>
      </c>
      <c r="T160" s="2" vm="5635">
        <f ca="1"/>
        <v>93.9</v>
      </c>
      <c r="U160" s="2">
        <f t="shared" ca="1" si="103"/>
        <v>-2.761257434154534E-3</v>
      </c>
      <c r="V160" s="2" vm="5636">
        <f ca="1"/>
        <v>46.36</v>
      </c>
      <c r="W160" s="2">
        <f t="shared" ca="1" si="104"/>
        <v>-1.8365690392785428E-3</v>
      </c>
      <c r="X160" s="2" vm="5637">
        <f ca="1"/>
        <v>131.51</v>
      </c>
      <c r="Y160" s="2">
        <f t="shared" ca="1" si="105"/>
        <v>-1.2465269955695702E-2</v>
      </c>
      <c r="Z160" s="2" vm="5638">
        <f ca="1"/>
        <v>81.650000000000006</v>
      </c>
      <c r="AA160" s="2">
        <f t="shared" ca="1" si="106"/>
        <v>-1.269649334945583E-2</v>
      </c>
      <c r="AB160" s="2" vm="5396">
        <f ca="1"/>
        <v>12.7</v>
      </c>
      <c r="AC160" s="2">
        <f t="shared" ca="1" si="107"/>
        <v>6.3391442155309096E-3</v>
      </c>
      <c r="AD160" s="2" vm="1551">
        <f ca="1"/>
        <v>3.3</v>
      </c>
      <c r="AE160" s="2">
        <f t="shared" ca="1" si="108"/>
        <v>0</v>
      </c>
      <c r="AF160" s="2" vm="5639">
        <f ca="1"/>
        <v>29.98</v>
      </c>
      <c r="AG160" s="2">
        <f t="shared" ca="1" si="109"/>
        <v>-8.2699305325835259E-3</v>
      </c>
      <c r="AH160" s="2" vm="4978">
        <f ca="1"/>
        <v>26.72</v>
      </c>
      <c r="AI160" s="2">
        <f t="shared" ca="1" si="110"/>
        <v>-1.0736764161421795E-2</v>
      </c>
      <c r="AJ160" s="2" vm="5232">
        <f ca="1"/>
        <v>4.51</v>
      </c>
      <c r="AK160" s="2">
        <f t="shared" ca="1" si="111"/>
        <v>0</v>
      </c>
      <c r="AL160" s="2" vm="767">
        <f ca="1"/>
        <v>65.31</v>
      </c>
      <c r="AM160" s="2">
        <f t="shared" ca="1" si="112"/>
        <v>-2.1390374331550889E-3</v>
      </c>
      <c r="AN160" s="2" vm="5640">
        <f ca="1"/>
        <v>98.92</v>
      </c>
      <c r="AO160" s="2">
        <f t="shared" ca="1" si="113"/>
        <v>-1.3124684502775917E-3</v>
      </c>
      <c r="AP160" s="2" vm="508">
        <f ca="1"/>
        <v>26.34</v>
      </c>
      <c r="AQ160" s="2">
        <f t="shared" ca="1" si="114"/>
        <v>-4.5351473922902868E-3</v>
      </c>
      <c r="AR160" s="2" vm="422">
        <f ca="1"/>
        <v>50.96</v>
      </c>
      <c r="AS160" s="2">
        <f t="shared" ca="1" si="115"/>
        <v>-1.9619383951340025E-4</v>
      </c>
      <c r="AT160" s="2" vm="3645">
        <f ca="1"/>
        <v>29.16</v>
      </c>
      <c r="AU160" s="2">
        <f t="shared" ca="1" si="116"/>
        <v>0</v>
      </c>
      <c r="AV160" s="2" vm="291">
        <f ca="1"/>
        <v>25.73</v>
      </c>
      <c r="AW160" s="2">
        <f t="shared" ca="1" si="117"/>
        <v>-5.0270688321732019E-3</v>
      </c>
      <c r="AX160" s="2" vm="468">
        <f ca="1"/>
        <v>91.7</v>
      </c>
      <c r="AY160" s="2">
        <f t="shared" ca="1" si="118"/>
        <v>1.0906314756249445E-4</v>
      </c>
      <c r="AZ160" s="2" vm="5641">
        <f ca="1"/>
        <v>503.11</v>
      </c>
      <c r="BA160" s="2">
        <f t="shared" ca="1" si="119"/>
        <v>-1.1882315971403903E-2</v>
      </c>
      <c r="BB160" s="2" vm="5642">
        <f ca="1"/>
        <v>263.49</v>
      </c>
      <c r="BC160" s="2">
        <f t="shared" ca="1" si="120"/>
        <v>-6.7850277055298402E-3</v>
      </c>
      <c r="BD160" s="2" vm="5643">
        <f ca="1"/>
        <v>44.06</v>
      </c>
      <c r="BE160" s="2">
        <f t="shared" ca="1" si="121"/>
        <v>-3.6182722749886157E-3</v>
      </c>
      <c r="BF160" s="2" vm="5644">
        <f ca="1"/>
        <v>102.11</v>
      </c>
      <c r="BG160" s="2">
        <f t="shared" ca="1" si="122"/>
        <v>-1.3620556414219442E-2</v>
      </c>
      <c r="BH160" s="2" vm="1424">
        <f ca="1"/>
        <v>136.02000000000001</v>
      </c>
      <c r="BI160" s="2">
        <f t="shared" ca="1" si="123"/>
        <v>-1.313211927737069E-2</v>
      </c>
      <c r="BJ160" s="2" vm="5645">
        <f ca="1"/>
        <v>152.43</v>
      </c>
      <c r="BK160" s="2">
        <f t="shared" ca="1" si="124"/>
        <v>-5.3507340946165952E-3</v>
      </c>
      <c r="BL160" s="2" vm="5646">
        <f ca="1"/>
        <v>71.150000000000006</v>
      </c>
      <c r="BM160" s="2">
        <f t="shared" ca="1" si="125"/>
        <v>-8.7768180551685074E-3</v>
      </c>
      <c r="BN160" s="2" vm="5647">
        <f ca="1"/>
        <v>312.83999999999997</v>
      </c>
      <c r="BO160" s="2">
        <f t="shared" ca="1" si="126"/>
        <v>-6.6994761073186655E-3</v>
      </c>
      <c r="BP160" s="2" vm="5648">
        <f ca="1"/>
        <v>111.52</v>
      </c>
      <c r="BQ160" s="2">
        <f t="shared" ca="1" si="127"/>
        <v>-7.4759700961196463E-3</v>
      </c>
      <c r="BR160" s="2" vm="5649">
        <f ca="1"/>
        <v>1208.55</v>
      </c>
      <c r="BS160" s="2">
        <f t="shared" ca="1" si="128"/>
        <v>-2.4926335250955224E-3</v>
      </c>
      <c r="BT160" s="2" vm="5650">
        <f ca="1"/>
        <v>167.36</v>
      </c>
      <c r="BU160" s="2">
        <f t="shared" ca="1" si="129"/>
        <v>-2.3843586075344377E-3</v>
      </c>
      <c r="BV160" s="2" vm="5651">
        <f ca="1"/>
        <v>130.66999999999999</v>
      </c>
      <c r="BW160" s="2">
        <f t="shared" ca="1" si="130"/>
        <v>-5.3284615970161913E-3</v>
      </c>
      <c r="BX160" s="2" vm="5652">
        <f ca="1"/>
        <v>218.77</v>
      </c>
      <c r="BY160" s="2">
        <f t="shared" ca="1" si="131"/>
        <v>-5.5457066230283139E-3</v>
      </c>
      <c r="BZ160" s="2" vm="5653">
        <f ca="1"/>
        <v>85.27</v>
      </c>
      <c r="CA160" s="2">
        <f t="shared" ca="1" si="132"/>
        <v>-1.4333603051670432E-2</v>
      </c>
      <c r="CB160" s="2" vm="4305">
        <f ca="1"/>
        <v>27.04</v>
      </c>
      <c r="CC160" s="2">
        <f t="shared" ca="1" si="133"/>
        <v>-1.6727272727272757E-2</v>
      </c>
      <c r="CD160" s="2" t="e" vm="92">
        <f ca="1"/>
        <v>#N/A</v>
      </c>
      <c r="CE160" s="2" t="e" vm="140">
        <f t="shared" ca="1" si="134"/>
        <v>#N/A</v>
      </c>
      <c r="CF160" s="2" vm="1258">
        <f ca="1"/>
        <v>22.64</v>
      </c>
      <c r="CG160" s="2">
        <f t="shared" ca="1" si="135"/>
        <v>-1.7636684303350594E-3</v>
      </c>
      <c r="CH160" s="2" vm="570">
        <f ca="1"/>
        <v>58.51</v>
      </c>
      <c r="CI160" s="2">
        <f t="shared" ca="1" si="136"/>
        <v>-5.1247010591050802E-4</v>
      </c>
      <c r="CJ160" s="2" vm="4284">
        <f ca="1"/>
        <v>58.96</v>
      </c>
      <c r="CK160" s="2">
        <f t="shared" ca="1" si="137"/>
        <v>-1.8621973929236404E-3</v>
      </c>
      <c r="CL160" s="2" vm="883">
        <f ca="1"/>
        <v>54.36</v>
      </c>
      <c r="CM160" s="2">
        <f t="shared" ca="1" si="138"/>
        <v>-4.5779161325764511E-3</v>
      </c>
      <c r="CN160" s="2" vm="5654">
        <f ca="1"/>
        <v>28.61</v>
      </c>
      <c r="CO160" s="2">
        <f t="shared" ca="1" si="139"/>
        <v>-2.4407252440725342E-3</v>
      </c>
      <c r="CP160" s="2" vm="5655">
        <f ca="1"/>
        <v>21.4467</v>
      </c>
      <c r="CQ160" s="2">
        <f t="shared" ca="1" si="140"/>
        <v>1.2464985994396903E-3</v>
      </c>
    </row>
    <row r="161" spans="1:95" x14ac:dyDescent="0.2">
      <c r="A161" s="7" vm="5656">
        <f ca="1"/>
        <v>45806</v>
      </c>
      <c r="B161" s="2" vm="5657">
        <f ca="1"/>
        <v>199.95</v>
      </c>
      <c r="C161" s="2">
        <f t="shared" ca="1" si="94"/>
        <v>-2.3450753417822517E-3</v>
      </c>
      <c r="D161" s="2" vm="5658">
        <f ca="1"/>
        <v>139.19</v>
      </c>
      <c r="E161" s="2">
        <f t="shared" ca="1" si="95"/>
        <v>3.2490171352273535E-2</v>
      </c>
      <c r="F161" s="2" vm="5659">
        <f ca="1"/>
        <v>458.68</v>
      </c>
      <c r="G161" s="2">
        <f t="shared" ca="1" si="96"/>
        <v>2.8861290886828608E-3</v>
      </c>
      <c r="H161" s="2" vm="5660">
        <f ca="1"/>
        <v>645.04999999999995</v>
      </c>
      <c r="I161" s="2">
        <f t="shared" ca="1" si="97"/>
        <v>2.2840983249944272E-3</v>
      </c>
      <c r="J161" s="2" vm="5661">
        <f ca="1"/>
        <v>171.86</v>
      </c>
      <c r="K161" s="2">
        <f t="shared" ca="1" si="98"/>
        <v>-2.9009050823857042E-3</v>
      </c>
      <c r="L161" s="2" vm="5662">
        <f ca="1"/>
        <v>590.04999999999995</v>
      </c>
      <c r="M161" s="2">
        <f t="shared" ca="1" si="99"/>
        <v>3.9473908087045689E-3</v>
      </c>
      <c r="N161" s="2" vm="4440">
        <f ca="1"/>
        <v>86.15</v>
      </c>
      <c r="O161" s="2">
        <f t="shared" ca="1" si="100"/>
        <v>9.2549203373946381E-3</v>
      </c>
      <c r="P161" s="2" vm="5663">
        <f ca="1"/>
        <v>305.61</v>
      </c>
      <c r="Q161" s="2">
        <f t="shared" ca="1" si="101"/>
        <v>5.9247556038313793E-3</v>
      </c>
      <c r="R161" s="2" vm="5664">
        <f ca="1"/>
        <v>67.19</v>
      </c>
      <c r="S161" s="2">
        <f t="shared" ca="1" si="102"/>
        <v>-1.0310796877301558E-2</v>
      </c>
      <c r="T161" s="2" vm="5665">
        <f ca="1"/>
        <v>94.29</v>
      </c>
      <c r="U161" s="2">
        <f t="shared" ca="1" si="103"/>
        <v>4.1533546325878655E-3</v>
      </c>
      <c r="V161" s="2" vm="2879">
        <f ca="1"/>
        <v>46.52</v>
      </c>
      <c r="W161" s="2">
        <f t="shared" ca="1" si="104"/>
        <v>3.451251078516042E-3</v>
      </c>
      <c r="X161" s="2" vm="5666">
        <f ca="1"/>
        <v>131.69999999999999</v>
      </c>
      <c r="Y161" s="2">
        <f t="shared" ca="1" si="105"/>
        <v>1.4447570526955954E-3</v>
      </c>
      <c r="Z161" s="2" vm="5667">
        <f ca="1"/>
        <v>82.26</v>
      </c>
      <c r="AA161" s="2">
        <f t="shared" ca="1" si="106"/>
        <v>7.4709124311083822E-3</v>
      </c>
      <c r="AB161" s="2" vm="4697">
        <f ca="1"/>
        <v>12.51</v>
      </c>
      <c r="AC161" s="2">
        <f t="shared" ca="1" si="107"/>
        <v>-1.4960629921259804E-2</v>
      </c>
      <c r="AD161" s="2" vm="3990">
        <f ca="1"/>
        <v>3.1</v>
      </c>
      <c r="AE161" s="2">
        <f t="shared" ca="1" si="108"/>
        <v>-6.0606060606060531E-2</v>
      </c>
      <c r="AF161" s="2" vm="3563">
        <f ca="1"/>
        <v>30.3</v>
      </c>
      <c r="AG161" s="2">
        <f t="shared" ca="1" si="109"/>
        <v>1.067378252168113E-2</v>
      </c>
      <c r="AH161" s="2" vm="4236">
        <f ca="1"/>
        <v>26.57</v>
      </c>
      <c r="AI161" s="2">
        <f t="shared" ca="1" si="110"/>
        <v>-5.6137724550897675E-3</v>
      </c>
      <c r="AJ161" s="2" vm="5668">
        <f ca="1"/>
        <v>4.5599999999999996</v>
      </c>
      <c r="AK161" s="2">
        <f t="shared" ca="1" si="111"/>
        <v>1.1086474501108608E-2</v>
      </c>
      <c r="AL161" s="2" vm="5669">
        <f ca="1"/>
        <v>65.67</v>
      </c>
      <c r="AM161" s="2">
        <f t="shared" ca="1" si="112"/>
        <v>5.5121727147450532E-3</v>
      </c>
      <c r="AN161" s="2" vm="3938">
        <f ca="1"/>
        <v>98.76</v>
      </c>
      <c r="AO161" s="2">
        <f t="shared" ca="1" si="113"/>
        <v>-1.617468661544648E-3</v>
      </c>
      <c r="AP161" s="2" vm="1667">
        <f ca="1"/>
        <v>26.43</v>
      </c>
      <c r="AQ161" s="2">
        <f t="shared" ca="1" si="114"/>
        <v>3.4168564920273293E-3</v>
      </c>
      <c r="AR161" s="2" vm="422">
        <f ca="1"/>
        <v>50.96</v>
      </c>
      <c r="AS161" s="2">
        <f t="shared" ca="1" si="115"/>
        <v>0</v>
      </c>
      <c r="AT161" s="2" vm="253">
        <f ca="1"/>
        <v>29.19</v>
      </c>
      <c r="AU161" s="2">
        <f t="shared" ca="1" si="116"/>
        <v>1.0288065843621788E-3</v>
      </c>
      <c r="AV161" s="2" vm="162">
        <f ca="1"/>
        <v>25.96</v>
      </c>
      <c r="AW161" s="2">
        <f t="shared" ca="1" si="117"/>
        <v>8.9389817333851707E-3</v>
      </c>
      <c r="AX161" s="2" vm="554">
        <f ca="1"/>
        <v>91.71</v>
      </c>
      <c r="AY161" s="2">
        <f t="shared" ca="1" si="118"/>
        <v>1.0905125408932285E-4</v>
      </c>
      <c r="AZ161" s="2" vm="5670">
        <f ca="1"/>
        <v>506.18</v>
      </c>
      <c r="BA161" s="2">
        <f t="shared" ca="1" si="119"/>
        <v>6.1020452783685343E-3</v>
      </c>
      <c r="BB161" s="2" vm="5671">
        <f ca="1"/>
        <v>264.37</v>
      </c>
      <c r="BC161" s="2">
        <f t="shared" ca="1" si="120"/>
        <v>3.3397851910888284E-3</v>
      </c>
      <c r="BD161" s="2" vm="5672">
        <f ca="1"/>
        <v>44.24</v>
      </c>
      <c r="BE161" s="2">
        <f t="shared" ca="1" si="121"/>
        <v>4.0853381752156085E-3</v>
      </c>
      <c r="BF161" s="2" vm="5673">
        <f ca="1"/>
        <v>102.69</v>
      </c>
      <c r="BG161" s="2">
        <f t="shared" ca="1" si="122"/>
        <v>5.6801488590735314E-3</v>
      </c>
      <c r="BH161" s="2" vm="5674">
        <f ca="1"/>
        <v>137.91</v>
      </c>
      <c r="BI161" s="2">
        <f t="shared" ca="1" si="123"/>
        <v>1.3895015438905941E-2</v>
      </c>
      <c r="BJ161" s="2" vm="5675">
        <f ca="1"/>
        <v>153.58000000000001</v>
      </c>
      <c r="BK161" s="2">
        <f t="shared" ca="1" si="124"/>
        <v>7.5444466312406065E-3</v>
      </c>
      <c r="BL161" s="2" vm="3589">
        <f ca="1"/>
        <v>71.489999999999995</v>
      </c>
      <c r="BM161" s="2">
        <f t="shared" ca="1" si="125"/>
        <v>4.7786366830637975E-3</v>
      </c>
      <c r="BN161" s="2" vm="5676">
        <f ca="1"/>
        <v>311.86</v>
      </c>
      <c r="BO161" s="2">
        <f t="shared" ca="1" si="126"/>
        <v>-3.1325917401865537E-3</v>
      </c>
      <c r="BP161" s="2" vm="5677">
        <f ca="1"/>
        <v>112.02</v>
      </c>
      <c r="BQ161" s="2">
        <f t="shared" ca="1" si="127"/>
        <v>4.4835007173601145E-3</v>
      </c>
      <c r="BR161" s="2" vm="5678">
        <f ca="1"/>
        <v>1184.8599999999999</v>
      </c>
      <c r="BS161" s="2">
        <f t="shared" ca="1" si="128"/>
        <v>-1.9602002399569777E-2</v>
      </c>
      <c r="BT161" s="2" vm="5504">
        <f ca="1"/>
        <v>168.56</v>
      </c>
      <c r="BU161" s="2">
        <f t="shared" ca="1" si="129"/>
        <v>7.1701720841299502E-3</v>
      </c>
      <c r="BV161" s="2" vm="5679">
        <f ca="1"/>
        <v>131.91999999999999</v>
      </c>
      <c r="BW161" s="2">
        <f t="shared" ca="1" si="130"/>
        <v>9.5660824978954628E-3</v>
      </c>
      <c r="BX161" s="2" vm="5680">
        <f ca="1"/>
        <v>221.26</v>
      </c>
      <c r="BY161" s="2">
        <f t="shared" ca="1" si="131"/>
        <v>1.1381816519632403E-2</v>
      </c>
      <c r="BZ161" s="2" vm="5326">
        <f ca="1"/>
        <v>85.77</v>
      </c>
      <c r="CA161" s="2">
        <f t="shared" ca="1" si="132"/>
        <v>5.863726984871585E-3</v>
      </c>
      <c r="CB161" s="2" vm="3959">
        <f ca="1"/>
        <v>27.13</v>
      </c>
      <c r="CC161" s="2">
        <f t="shared" ca="1" si="133"/>
        <v>3.3284023668639002E-3</v>
      </c>
      <c r="CD161" s="2" t="e" vm="92">
        <f ca="1"/>
        <v>#N/A</v>
      </c>
      <c r="CE161" s="2" t="e" vm="140">
        <f t="shared" ca="1" si="134"/>
        <v>#N/A</v>
      </c>
      <c r="CF161" s="2" vm="4820">
        <f ca="1"/>
        <v>22.715</v>
      </c>
      <c r="CG161" s="2">
        <f t="shared" ca="1" si="135"/>
        <v>3.3127208480565056E-3</v>
      </c>
      <c r="CH161" s="2" vm="4283">
        <f ca="1"/>
        <v>58.56</v>
      </c>
      <c r="CI161" s="2">
        <f t="shared" ca="1" si="136"/>
        <v>8.5455477696127612E-4</v>
      </c>
      <c r="CJ161" s="2" vm="1723">
        <f ca="1"/>
        <v>59.13</v>
      </c>
      <c r="CK161" s="2">
        <f t="shared" ca="1" si="137"/>
        <v>2.8833107191316436E-3</v>
      </c>
      <c r="CL161" s="2" vm="5681">
        <f ca="1"/>
        <v>54.82</v>
      </c>
      <c r="CM161" s="2">
        <f t="shared" ca="1" si="138"/>
        <v>8.4621044885945709E-3</v>
      </c>
      <c r="CN161" s="2" vm="774">
        <f ca="1"/>
        <v>28.72</v>
      </c>
      <c r="CO161" s="2">
        <f t="shared" ca="1" si="139"/>
        <v>3.844809507165307E-3</v>
      </c>
      <c r="CP161" s="2" vm="5682">
        <f ca="1"/>
        <v>21.722999999999999</v>
      </c>
      <c r="CQ161" s="2">
        <f t="shared" ca="1" si="140"/>
        <v>1.28831008966414E-2</v>
      </c>
    </row>
    <row r="162" spans="1:95" x14ac:dyDescent="0.2">
      <c r="A162" s="7" vm="5683">
        <f ca="1"/>
        <v>45807</v>
      </c>
      <c r="B162" s="2" vm="5684">
        <f ca="1"/>
        <v>200.85</v>
      </c>
      <c r="C162" s="2">
        <f t="shared" ca="1" si="94"/>
        <v>4.5011252813203584E-3</v>
      </c>
      <c r="D162" s="2" vm="5685">
        <f ca="1"/>
        <v>135.13</v>
      </c>
      <c r="E162" s="2">
        <f t="shared" ca="1" si="95"/>
        <v>-2.9168762123715802E-2</v>
      </c>
      <c r="F162" s="2" vm="5686">
        <f ca="1"/>
        <v>460.36</v>
      </c>
      <c r="G162" s="2">
        <f t="shared" ca="1" si="96"/>
        <v>3.66268422429582E-3</v>
      </c>
      <c r="H162" s="2" vm="2863">
        <f ca="1"/>
        <v>647.49</v>
      </c>
      <c r="I162" s="2">
        <f t="shared" ca="1" si="97"/>
        <v>3.7826525075576383E-3</v>
      </c>
      <c r="J162" s="2" vm="5687">
        <f ca="1"/>
        <v>171.74</v>
      </c>
      <c r="K162" s="2">
        <f t="shared" ca="1" si="98"/>
        <v>-6.9824275573143572E-4</v>
      </c>
      <c r="L162" s="2" vm="5688">
        <f ca="1"/>
        <v>589.39</v>
      </c>
      <c r="M162" s="2">
        <f t="shared" ca="1" si="99"/>
        <v>-1.1185492754850746E-3</v>
      </c>
      <c r="N162" s="2" vm="5689">
        <f ca="1"/>
        <v>86.28</v>
      </c>
      <c r="O162" s="2">
        <f t="shared" ca="1" si="100"/>
        <v>1.5089959373185773E-3</v>
      </c>
      <c r="P162" s="2" vm="4059">
        <f ca="1"/>
        <v>303.60000000000002</v>
      </c>
      <c r="Q162" s="2">
        <f t="shared" ca="1" si="101"/>
        <v>-6.5770099145970057E-3</v>
      </c>
      <c r="R162" s="2" vm="5690">
        <f ca="1"/>
        <v>67.150000000000006</v>
      </c>
      <c r="S162" s="2">
        <f t="shared" ca="1" si="102"/>
        <v>-5.9532668551855997E-4</v>
      </c>
      <c r="T162" s="2" vm="706">
        <f ca="1"/>
        <v>94.57</v>
      </c>
      <c r="U162" s="2">
        <f t="shared" ca="1" si="103"/>
        <v>2.9695619896063941E-3</v>
      </c>
      <c r="V162" s="2" vm="5691">
        <f ca="1"/>
        <v>46.600200000000001</v>
      </c>
      <c r="W162" s="2">
        <f t="shared" ca="1" si="104"/>
        <v>1.7239896818572189E-3</v>
      </c>
      <c r="X162" s="2" vm="5692">
        <f ca="1"/>
        <v>130.69</v>
      </c>
      <c r="Y162" s="2">
        <f t="shared" ca="1" si="105"/>
        <v>-7.6689445709946166E-3</v>
      </c>
      <c r="Z162" s="2" vm="5693">
        <f ca="1"/>
        <v>81.53</v>
      </c>
      <c r="AA162" s="2">
        <f t="shared" ca="1" si="106"/>
        <v>-8.8743009968393384E-3</v>
      </c>
      <c r="AB162" s="2" vm="5694">
        <f ca="1"/>
        <v>12.4</v>
      </c>
      <c r="AC162" s="2">
        <f t="shared" ca="1" si="107"/>
        <v>-8.7929656274979562E-3</v>
      </c>
      <c r="AD162" s="2" vm="5695">
        <f ca="1"/>
        <v>3</v>
      </c>
      <c r="AE162" s="2">
        <f t="shared" ca="1" si="108"/>
        <v>-3.2258064516129059E-2</v>
      </c>
      <c r="AF162" s="2" vm="5696">
        <f ca="1"/>
        <v>30</v>
      </c>
      <c r="AG162" s="2">
        <f t="shared" ca="1" si="109"/>
        <v>-9.9009900990099237E-3</v>
      </c>
      <c r="AH162" s="2" vm="3220">
        <f ca="1"/>
        <v>26.7</v>
      </c>
      <c r="AI162" s="2">
        <f t="shared" ca="1" si="110"/>
        <v>4.8927361686111779E-3</v>
      </c>
      <c r="AJ162" s="2" vm="4975">
        <f ca="1"/>
        <v>4.53</v>
      </c>
      <c r="AK162" s="2">
        <f t="shared" ca="1" si="111"/>
        <v>-6.5789473684209126E-3</v>
      </c>
      <c r="AL162" s="2" vm="5486">
        <f ca="1"/>
        <v>65.239999999999995</v>
      </c>
      <c r="AM162" s="2">
        <f t="shared" ca="1" si="112"/>
        <v>-6.5478909700016266E-3</v>
      </c>
      <c r="AN162" s="2" vm="305">
        <f ca="1"/>
        <v>96.75</v>
      </c>
      <c r="AO162" s="2">
        <f t="shared" ca="1" si="113"/>
        <v>-2.0352369380315968E-2</v>
      </c>
      <c r="AP162" s="2" vm="1400">
        <f ca="1"/>
        <v>26.51</v>
      </c>
      <c r="AQ162" s="2">
        <f t="shared" ca="1" si="114"/>
        <v>3.0268634127885679E-3</v>
      </c>
      <c r="AR162" s="2" vm="1924">
        <f ca="1"/>
        <v>50.97</v>
      </c>
      <c r="AS162" s="2">
        <f t="shared" ca="1" si="115"/>
        <v>1.962323390894429E-4</v>
      </c>
      <c r="AT162" s="2" vm="736">
        <f ca="1"/>
        <v>29.21</v>
      </c>
      <c r="AU162" s="2">
        <f t="shared" ca="1" si="116"/>
        <v>6.8516615279203745E-4</v>
      </c>
      <c r="AV162" s="2" vm="5425">
        <f ca="1"/>
        <v>26.01</v>
      </c>
      <c r="AW162" s="2">
        <f t="shared" ca="1" si="117"/>
        <v>1.9260400616333093E-3</v>
      </c>
      <c r="AX162" s="2" vm="5697">
        <f ca="1"/>
        <v>91.74</v>
      </c>
      <c r="AY162" s="2">
        <f t="shared" ca="1" si="118"/>
        <v>3.2711808963036898E-4</v>
      </c>
      <c r="AZ162" s="2" vm="5698">
        <f ca="1"/>
        <v>503.96</v>
      </c>
      <c r="BA162" s="2">
        <f t="shared" ca="1" si="119"/>
        <v>-4.3857916156308571E-3</v>
      </c>
      <c r="BB162" s="2" vm="5699">
        <f ca="1"/>
        <v>264</v>
      </c>
      <c r="BC162" s="2">
        <f t="shared" ca="1" si="120"/>
        <v>-1.3995536558611208E-3</v>
      </c>
      <c r="BD162" s="2" vm="5700">
        <f ca="1"/>
        <v>44.13</v>
      </c>
      <c r="BE162" s="2">
        <f t="shared" ca="1" si="121"/>
        <v>-2.4864376130198785E-3</v>
      </c>
      <c r="BF162" s="2" vm="5701">
        <f ca="1"/>
        <v>102.3</v>
      </c>
      <c r="BG162" s="2">
        <f t="shared" ca="1" si="122"/>
        <v>-3.79783815366638E-3</v>
      </c>
      <c r="BH162" s="2" vm="5702">
        <f ca="1"/>
        <v>136.69999999999999</v>
      </c>
      <c r="BI162" s="2">
        <f t="shared" ca="1" si="123"/>
        <v>-8.773838010296629E-3</v>
      </c>
      <c r="BJ162" s="2" vm="5703">
        <f ca="1"/>
        <v>155.21</v>
      </c>
      <c r="BK162" s="2">
        <f t="shared" ca="1" si="124"/>
        <v>1.0613361114728449E-2</v>
      </c>
      <c r="BL162" s="2" vm="1431">
        <f ca="1"/>
        <v>72.099999999999994</v>
      </c>
      <c r="BM162" s="2">
        <f t="shared" ca="1" si="125"/>
        <v>8.5326619107567413E-3</v>
      </c>
      <c r="BN162" s="2" vm="5704">
        <f ca="1"/>
        <v>313.85000000000002</v>
      </c>
      <c r="BO162" s="2">
        <f t="shared" ca="1" si="126"/>
        <v>6.3810684281408615E-3</v>
      </c>
      <c r="BP162" s="2" vm="5705">
        <f ca="1"/>
        <v>113.04</v>
      </c>
      <c r="BQ162" s="2">
        <f t="shared" ca="1" si="127"/>
        <v>9.1055168719872369E-3</v>
      </c>
      <c r="BR162" s="2" vm="5706">
        <f ca="1"/>
        <v>1207.23</v>
      </c>
      <c r="BS162" s="2">
        <f t="shared" ca="1" si="128"/>
        <v>1.8879867663690326E-2</v>
      </c>
      <c r="BT162" s="2" vm="5707">
        <f ca="1"/>
        <v>169.89</v>
      </c>
      <c r="BU162" s="2">
        <f t="shared" ca="1" si="129"/>
        <v>7.8903654485048894E-3</v>
      </c>
      <c r="BV162" s="2" vm="5708">
        <f ca="1"/>
        <v>131.44999999999999</v>
      </c>
      <c r="BW162" s="2">
        <f t="shared" ca="1" si="130"/>
        <v>-3.5627653123104829E-3</v>
      </c>
      <c r="BX162" s="2" vm="5709">
        <f ca="1"/>
        <v>216.64</v>
      </c>
      <c r="BY162" s="2">
        <f t="shared" ca="1" si="131"/>
        <v>-2.0880412184760031E-2</v>
      </c>
      <c r="BZ162" s="2" vm="5710">
        <f ca="1"/>
        <v>84.77</v>
      </c>
      <c r="CA162" s="2">
        <f t="shared" ca="1" si="132"/>
        <v>-1.1659088259298123E-2</v>
      </c>
      <c r="CB162" s="2" vm="1162">
        <f ca="1"/>
        <v>26.92</v>
      </c>
      <c r="CC162" s="2">
        <f t="shared" ca="1" si="133"/>
        <v>-7.7405086619976894E-3</v>
      </c>
      <c r="CD162" s="2" t="e" vm="92">
        <f ca="1"/>
        <v>#N/A</v>
      </c>
      <c r="CE162" s="2" t="e" vm="140">
        <f t="shared" ca="1" si="134"/>
        <v>#N/A</v>
      </c>
      <c r="CF162" s="2" vm="5711">
        <f ca="1"/>
        <v>22.76</v>
      </c>
      <c r="CG162" s="2">
        <f t="shared" ca="1" si="135"/>
        <v>1.9810697776800222E-3</v>
      </c>
      <c r="CH162" s="2" vm="5712">
        <f ca="1"/>
        <v>58.64</v>
      </c>
      <c r="CI162" s="2">
        <f t="shared" ca="1" si="136"/>
        <v>1.3661202185792057E-3</v>
      </c>
      <c r="CJ162" s="2" vm="4786">
        <f ca="1"/>
        <v>59.29</v>
      </c>
      <c r="CK162" s="2">
        <f t="shared" ca="1" si="137"/>
        <v>2.7059022492811869E-3</v>
      </c>
      <c r="CL162" s="2" vm="5713">
        <f ca="1"/>
        <v>54.97</v>
      </c>
      <c r="CM162" s="2">
        <f t="shared" ca="1" si="138"/>
        <v>2.7362276541407987E-3</v>
      </c>
      <c r="CN162" s="2" vm="2056">
        <f ca="1"/>
        <v>28.79</v>
      </c>
      <c r="CO162" s="2">
        <f t="shared" ca="1" si="139"/>
        <v>2.4373259052924891E-3</v>
      </c>
      <c r="CP162" s="2" vm="5714">
        <f ca="1"/>
        <v>21.681100000000001</v>
      </c>
      <c r="CQ162" s="2">
        <f t="shared" ca="1" si="140"/>
        <v>-1.9288311927449374E-3</v>
      </c>
    </row>
    <row r="163" spans="1:95" x14ac:dyDescent="0.2">
      <c r="A163" s="7" vm="5715">
        <f ca="1"/>
        <v>45810</v>
      </c>
      <c r="B163" s="2" vm="5716">
        <f ca="1"/>
        <v>201.7</v>
      </c>
      <c r="C163" s="2">
        <f t="shared" ca="1" si="94"/>
        <v>4.2320139407517766E-3</v>
      </c>
      <c r="D163" s="2" vm="5717">
        <f ca="1"/>
        <v>137.38</v>
      </c>
      <c r="E163" s="2">
        <f t="shared" ca="1" si="95"/>
        <v>1.6650632724043515E-2</v>
      </c>
      <c r="F163" s="2" vm="5718">
        <f ca="1"/>
        <v>461.97</v>
      </c>
      <c r="G163" s="2">
        <f t="shared" ca="1" si="96"/>
        <v>3.4972630115562031E-3</v>
      </c>
      <c r="H163" s="2" vm="5719">
        <f ca="1"/>
        <v>670.9</v>
      </c>
      <c r="I163" s="2">
        <f t="shared" ca="1" si="97"/>
        <v>3.6154998532795822E-2</v>
      </c>
      <c r="J163" s="2" vm="5720">
        <f ca="1"/>
        <v>169.03</v>
      </c>
      <c r="K163" s="2">
        <f t="shared" ca="1" si="98"/>
        <v>-1.5779666938395293E-2</v>
      </c>
      <c r="L163" s="2" vm="5721">
        <f ca="1"/>
        <v>592.71</v>
      </c>
      <c r="M163" s="2">
        <f t="shared" ca="1" si="99"/>
        <v>5.6329425338062233E-3</v>
      </c>
      <c r="N163" s="2" vm="5722">
        <f ca="1"/>
        <v>85.16</v>
      </c>
      <c r="O163" s="2">
        <f t="shared" ca="1" si="100"/>
        <v>-1.2980992118683409E-2</v>
      </c>
      <c r="P163" s="2" vm="5723">
        <f ca="1"/>
        <v>311.67</v>
      </c>
      <c r="Q163" s="2">
        <f t="shared" ca="1" si="101"/>
        <v>2.6581027667984165E-2</v>
      </c>
      <c r="R163" s="2" vm="5724">
        <f ca="1"/>
        <v>69.55</v>
      </c>
      <c r="S163" s="2">
        <f t="shared" ca="1" si="102"/>
        <v>3.5740878629932853E-2</v>
      </c>
      <c r="T163" s="2" vm="1038">
        <f ca="1"/>
        <v>93.94</v>
      </c>
      <c r="U163" s="2">
        <f t="shared" ca="1" si="103"/>
        <v>-6.661732050333039E-3</v>
      </c>
      <c r="V163" s="2" vm="5725">
        <f ca="1"/>
        <v>46.515700000000002</v>
      </c>
      <c r="W163" s="2">
        <f t="shared" ca="1" si="104"/>
        <v>-1.8132969386397153E-3</v>
      </c>
      <c r="X163" s="2" vm="5726">
        <f ca="1"/>
        <v>130.52000000000001</v>
      </c>
      <c r="Y163" s="2">
        <f t="shared" ca="1" si="105"/>
        <v>-1.3007881245694964E-3</v>
      </c>
      <c r="Z163" s="2" vm="5727">
        <f ca="1"/>
        <v>82.6</v>
      </c>
      <c r="AA163" s="2">
        <f t="shared" ca="1" si="106"/>
        <v>1.3124003434318571E-2</v>
      </c>
      <c r="AB163" s="2" vm="4456">
        <f ca="1"/>
        <v>12.81</v>
      </c>
      <c r="AC163" s="2">
        <f t="shared" ca="1" si="107"/>
        <v>3.3064516129032266E-2</v>
      </c>
      <c r="AD163" s="2" t="e" vm="92">
        <f ca="1"/>
        <v>#N/A</v>
      </c>
      <c r="AE163" s="2" t="e" vm="140">
        <f t="shared" ca="1" si="108"/>
        <v>#N/A</v>
      </c>
      <c r="AF163" s="2" vm="5728">
        <f ca="1"/>
        <v>31.59</v>
      </c>
      <c r="AG163" s="2">
        <f t="shared" ca="1" si="109"/>
        <v>5.2999999999999999E-2</v>
      </c>
      <c r="AH163" s="2" vm="3252">
        <f ca="1"/>
        <v>26.63</v>
      </c>
      <c r="AI163" s="2">
        <f t="shared" ca="1" si="110"/>
        <v>-2.6217228464419581E-3</v>
      </c>
      <c r="AJ163" s="2" vm="5729">
        <f ca="1"/>
        <v>4.57</v>
      </c>
      <c r="AK163" s="2">
        <f t="shared" ca="1" si="111"/>
        <v>8.8300220750551946E-3</v>
      </c>
      <c r="AL163" s="2" vm="5730">
        <f ca="1"/>
        <v>66.98</v>
      </c>
      <c r="AM163" s="2">
        <f t="shared" ca="1" si="112"/>
        <v>2.6670754138565438E-2</v>
      </c>
      <c r="AN163" s="2" vm="3494">
        <f ca="1"/>
        <v>97.51</v>
      </c>
      <c r="AO163" s="2">
        <f t="shared" ca="1" si="113"/>
        <v>7.8552971576227922E-3</v>
      </c>
      <c r="AP163" s="2" vm="508">
        <f ca="1"/>
        <v>26.34</v>
      </c>
      <c r="AQ163" s="2">
        <f t="shared" ca="1" si="114"/>
        <v>-6.4126744624670579E-3</v>
      </c>
      <c r="AR163" s="2" vm="5731">
        <f ca="1"/>
        <v>50.79</v>
      </c>
      <c r="AS163" s="2">
        <f t="shared" ca="1" si="115"/>
        <v>-3.5314891112419016E-3</v>
      </c>
      <c r="AT163" s="2" vm="1518">
        <f ca="1"/>
        <v>29.09</v>
      </c>
      <c r="AU163" s="2">
        <f t="shared" ca="1" si="116"/>
        <v>-4.1081821294077711E-3</v>
      </c>
      <c r="AV163" s="2" vm="5732">
        <f ca="1"/>
        <v>25.7</v>
      </c>
      <c r="AW163" s="2">
        <f t="shared" ca="1" si="117"/>
        <v>-1.1918492887351105E-2</v>
      </c>
      <c r="AX163" s="2" vm="4391">
        <f ca="1"/>
        <v>91.44</v>
      </c>
      <c r="AY163" s="2">
        <f t="shared" ca="1" si="118"/>
        <v>-3.2701111837802176E-3</v>
      </c>
      <c r="AZ163" s="2" vm="5733">
        <f ca="1"/>
        <v>502.81</v>
      </c>
      <c r="BA163" s="2">
        <f t="shared" ca="1" si="119"/>
        <v>-2.2819271370743258E-3</v>
      </c>
      <c r="BB163" s="2" vm="5734">
        <f ca="1"/>
        <v>264.66000000000003</v>
      </c>
      <c r="BC163" s="2">
        <f t="shared" ca="1" si="120"/>
        <v>2.5000000000000946E-3</v>
      </c>
      <c r="BD163" s="2" vm="5735">
        <f ca="1"/>
        <v>44.08</v>
      </c>
      <c r="BE163" s="2">
        <f t="shared" ca="1" si="121"/>
        <v>-1.1330160888285579E-3</v>
      </c>
      <c r="BF163" s="2" vm="5736">
        <f ca="1"/>
        <v>103.05</v>
      </c>
      <c r="BG163" s="2">
        <f t="shared" ca="1" si="122"/>
        <v>7.331378299120235E-3</v>
      </c>
      <c r="BH163" s="2" vm="5737">
        <f ca="1"/>
        <v>137.84</v>
      </c>
      <c r="BI163" s="2">
        <f t="shared" ca="1" si="123"/>
        <v>8.3394294074617039E-3</v>
      </c>
      <c r="BJ163" s="2" vm="1526">
        <f ca="1"/>
        <v>155.4</v>
      </c>
      <c r="BK163" s="2">
        <f t="shared" ca="1" si="124"/>
        <v>1.2241479286128323E-3</v>
      </c>
      <c r="BL163" s="2" vm="5431">
        <f ca="1"/>
        <v>72</v>
      </c>
      <c r="BM163" s="2">
        <f t="shared" ca="1" si="125"/>
        <v>-1.386962552011017E-3</v>
      </c>
      <c r="BN163" s="2" vm="5738">
        <f ca="1"/>
        <v>312.68</v>
      </c>
      <c r="BO163" s="2">
        <f t="shared" ca="1" si="126"/>
        <v>-3.7278954914768707E-3</v>
      </c>
      <c r="BP163" s="2" vm="5739">
        <f ca="1"/>
        <v>112.95</v>
      </c>
      <c r="BQ163" s="2">
        <f t="shared" ca="1" si="127"/>
        <v>-7.9617834394907477E-4</v>
      </c>
      <c r="BR163" s="2" vm="5740">
        <f ca="1"/>
        <v>1218.98</v>
      </c>
      <c r="BS163" s="2">
        <f t="shared" ca="1" si="128"/>
        <v>9.7330251898975345E-3</v>
      </c>
      <c r="BT163" s="2" vm="5741">
        <f ca="1"/>
        <v>167.78</v>
      </c>
      <c r="BU163" s="2">
        <f t="shared" ca="1" si="129"/>
        <v>-1.2419801047736686E-2</v>
      </c>
      <c r="BV163" s="2" vm="5742">
        <f ca="1"/>
        <v>130.91</v>
      </c>
      <c r="BW163" s="2">
        <f t="shared" ca="1" si="130"/>
        <v>-4.1080258653479812E-3</v>
      </c>
      <c r="BX163" s="2" vm="5743">
        <f ca="1"/>
        <v>220.31</v>
      </c>
      <c r="BY163" s="2">
        <f t="shared" ca="1" si="131"/>
        <v>1.694054652880362E-2</v>
      </c>
      <c r="BZ163" s="2" vm="5744">
        <f ca="1"/>
        <v>85.97</v>
      </c>
      <c r="CA163" s="2">
        <f t="shared" ca="1" si="132"/>
        <v>1.4155951397900235E-2</v>
      </c>
      <c r="CB163" s="2" vm="675">
        <f ca="1"/>
        <v>27.35</v>
      </c>
      <c r="CC163" s="2">
        <f t="shared" ca="1" si="133"/>
        <v>1.5973254086181266E-2</v>
      </c>
      <c r="CD163" s="2" t="e" vm="92">
        <f ca="1"/>
        <v>#N/A</v>
      </c>
      <c r="CE163" s="2" t="e" vm="140">
        <f t="shared" ca="1" si="134"/>
        <v>#N/A</v>
      </c>
      <c r="CF163" s="2" vm="5745">
        <f ca="1"/>
        <v>22.62</v>
      </c>
      <c r="CG163" s="2">
        <f t="shared" ca="1" si="135"/>
        <v>-6.1511423550088115E-3</v>
      </c>
      <c r="CH163" s="2" vm="2926">
        <f ca="1"/>
        <v>58.39</v>
      </c>
      <c r="CI163" s="2">
        <f t="shared" ca="1" si="136"/>
        <v>-4.2633015006821283E-3</v>
      </c>
      <c r="CJ163" s="2" vm="4284">
        <f ca="1"/>
        <v>58.96</v>
      </c>
      <c r="CK163" s="2">
        <f t="shared" ca="1" si="137"/>
        <v>-5.5658627087198228E-3</v>
      </c>
      <c r="CL163" s="2" vm="5746">
        <f ca="1"/>
        <v>54.26</v>
      </c>
      <c r="CM163" s="2">
        <f t="shared" ca="1" si="138"/>
        <v>-1.2916136074222319E-2</v>
      </c>
      <c r="CN163" s="2" vm="2725">
        <f ca="1"/>
        <v>28.6</v>
      </c>
      <c r="CO163" s="2">
        <f t="shared" ca="1" si="139"/>
        <v>-6.5995137200416023E-3</v>
      </c>
      <c r="CP163" s="2" vm="3170">
        <f ca="1"/>
        <v>21.67</v>
      </c>
      <c r="CQ163" s="2">
        <f t="shared" ca="1" si="140"/>
        <v>-5.1196664375880374E-4</v>
      </c>
    </row>
    <row r="164" spans="1:95" x14ac:dyDescent="0.2">
      <c r="A164" s="7" vm="5747">
        <f ca="1"/>
        <v>45811</v>
      </c>
      <c r="B164" s="2" vm="5748">
        <f ca="1"/>
        <v>203.27</v>
      </c>
      <c r="C164" s="2">
        <f t="shared" ca="1" si="94"/>
        <v>7.7838373822509748E-3</v>
      </c>
      <c r="D164" s="2" vm="5749">
        <f ca="1"/>
        <v>141.22</v>
      </c>
      <c r="E164" s="2">
        <f t="shared" ca="1" si="95"/>
        <v>2.7951666909302689E-2</v>
      </c>
      <c r="F164" s="2" vm="5750">
        <f ca="1"/>
        <v>462.97</v>
      </c>
      <c r="G164" s="2">
        <f t="shared" ca="1" si="96"/>
        <v>2.1646427257181202E-3</v>
      </c>
      <c r="H164" s="2" vm="5751">
        <f ca="1"/>
        <v>666.85</v>
      </c>
      <c r="I164" s="2">
        <f t="shared" ca="1" si="97"/>
        <v>-6.036667163511633E-3</v>
      </c>
      <c r="J164" s="2" vm="5752">
        <f ca="1"/>
        <v>166.18</v>
      </c>
      <c r="K164" s="2">
        <f t="shared" ca="1" si="98"/>
        <v>-1.6860912264095099E-2</v>
      </c>
      <c r="L164" s="2" vm="5753">
        <f ca="1"/>
        <v>596.09</v>
      </c>
      <c r="M164" s="2">
        <f t="shared" ca="1" si="99"/>
        <v>5.7026201683791321E-3</v>
      </c>
      <c r="N164" s="2" vm="4710">
        <f ca="1"/>
        <v>85.01</v>
      </c>
      <c r="O164" s="2">
        <f t="shared" ca="1" si="100"/>
        <v>-1.7613903240957195E-3</v>
      </c>
      <c r="P164" s="2" vm="5754">
        <f ca="1"/>
        <v>308.91000000000003</v>
      </c>
      <c r="Q164" s="2">
        <f t="shared" ca="1" si="101"/>
        <v>-8.8555202618153528E-3</v>
      </c>
      <c r="R164" s="2" vm="5755">
        <f ca="1"/>
        <v>69.89</v>
      </c>
      <c r="S164" s="2">
        <f t="shared" ca="1" si="102"/>
        <v>4.8885693745507322E-3</v>
      </c>
      <c r="T164" s="2" vm="5756">
        <f ca="1"/>
        <v>93.85</v>
      </c>
      <c r="U164" s="2">
        <f t="shared" ca="1" si="103"/>
        <v>-9.5805833510755176E-4</v>
      </c>
      <c r="V164" s="2" vm="5757">
        <f ca="1"/>
        <v>46.55</v>
      </c>
      <c r="W164" s="2">
        <f t="shared" ca="1" si="104"/>
        <v>7.3738544190444664E-4</v>
      </c>
      <c r="X164" s="2" vm="5758">
        <f ca="1"/>
        <v>131.1</v>
      </c>
      <c r="Y164" s="2">
        <f t="shared" ca="1" si="105"/>
        <v>4.4437634079067118E-3</v>
      </c>
      <c r="Z164" s="2" vm="5759">
        <f ca="1"/>
        <v>83.58</v>
      </c>
      <c r="AA164" s="2">
        <f t="shared" ca="1" si="106"/>
        <v>1.1864406779661066E-2</v>
      </c>
      <c r="AB164" s="2" vm="5760">
        <f ca="1"/>
        <v>12.95</v>
      </c>
      <c r="AC164" s="2">
        <f t="shared" ca="1" si="107"/>
        <v>1.0928961748633784E-2</v>
      </c>
      <c r="AD164" s="2" vm="1740">
        <f ca="1"/>
        <v>3.2</v>
      </c>
      <c r="AE164" s="2" t="e" vm="140">
        <f t="shared" ca="1" si="108"/>
        <v>#N/A</v>
      </c>
      <c r="AF164" s="2" vm="5761">
        <f ca="1"/>
        <v>31.44</v>
      </c>
      <c r="AG164" s="2">
        <f t="shared" ca="1" si="109"/>
        <v>-4.7483380816713697E-3</v>
      </c>
      <c r="AH164" s="2" vm="3220">
        <f ca="1"/>
        <v>26.7</v>
      </c>
      <c r="AI164" s="2">
        <f t="shared" ca="1" si="110"/>
        <v>2.6286143447240063E-3</v>
      </c>
      <c r="AJ164" s="2" vm="5198">
        <f ca="1"/>
        <v>4.55</v>
      </c>
      <c r="AK164" s="2">
        <f t="shared" ca="1" si="111"/>
        <v>-4.3763676148797503E-3</v>
      </c>
      <c r="AL164" s="2" vm="5762">
        <f ca="1"/>
        <v>66.400000000000006</v>
      </c>
      <c r="AM164" s="2">
        <f t="shared" ca="1" si="112"/>
        <v>-8.6593012839653368E-3</v>
      </c>
      <c r="AN164" s="2" vm="5763">
        <f ca="1"/>
        <v>98.45</v>
      </c>
      <c r="AO164" s="2">
        <f t="shared" ca="1" si="113"/>
        <v>9.6400369192903047E-3</v>
      </c>
      <c r="AP164" s="2" vm="965">
        <f ca="1"/>
        <v>26.3</v>
      </c>
      <c r="AQ164" s="2">
        <f t="shared" ca="1" si="114"/>
        <v>-1.5186028853454497E-3</v>
      </c>
      <c r="AR164" s="2" vm="5764">
        <f ca="1"/>
        <v>50.81</v>
      </c>
      <c r="AS164" s="2">
        <f t="shared" ca="1" si="115"/>
        <v>3.9377830281557644E-4</v>
      </c>
      <c r="AT164" s="2" vm="1518">
        <f ca="1"/>
        <v>29.09</v>
      </c>
      <c r="AU164" s="2">
        <f t="shared" ca="1" si="116"/>
        <v>0</v>
      </c>
      <c r="AV164" s="2" vm="334">
        <f ca="1"/>
        <v>25.67</v>
      </c>
      <c r="AW164" s="2">
        <f t="shared" ca="1" si="117"/>
        <v>-1.1673151750971823E-3</v>
      </c>
      <c r="AX164" s="2" vm="2414">
        <f ca="1"/>
        <v>91.46</v>
      </c>
      <c r="AY164" s="2">
        <f t="shared" ca="1" si="118"/>
        <v>2.1872265966749806E-4</v>
      </c>
      <c r="AZ164" s="2" vm="5765">
        <f ca="1"/>
        <v>497.83</v>
      </c>
      <c r="BA164" s="2">
        <f t="shared" ca="1" si="119"/>
        <v>-9.9043376225612413E-3</v>
      </c>
      <c r="BB164" s="2" vm="5766">
        <f ca="1"/>
        <v>266.27</v>
      </c>
      <c r="BC164" s="2">
        <f t="shared" ca="1" si="120"/>
        <v>6.083276656842578E-3</v>
      </c>
      <c r="BD164" s="2" vm="5767">
        <f ca="1"/>
        <v>44.65</v>
      </c>
      <c r="BE164" s="2">
        <f t="shared" ca="1" si="121"/>
        <v>1.2931034482758627E-2</v>
      </c>
      <c r="BF164" s="2" vm="5768">
        <f ca="1"/>
        <v>103.8</v>
      </c>
      <c r="BG164" s="2">
        <f t="shared" ca="1" si="122"/>
        <v>7.2780203784570596E-3</v>
      </c>
      <c r="BH164" s="2" vm="5769">
        <f ca="1"/>
        <v>139.55000000000001</v>
      </c>
      <c r="BI164" s="2">
        <f t="shared" ca="1" si="123"/>
        <v>1.2405687753917642E-2</v>
      </c>
      <c r="BJ164" s="2" vm="5770">
        <f ca="1"/>
        <v>154.41999999999999</v>
      </c>
      <c r="BK164" s="2">
        <f t="shared" ca="1" si="124"/>
        <v>-6.3063063063064232E-3</v>
      </c>
      <c r="BL164" s="2" vm="5771">
        <f ca="1"/>
        <v>71.16</v>
      </c>
      <c r="BM164" s="2">
        <f t="shared" ca="1" si="125"/>
        <v>-1.1666666666666714E-2</v>
      </c>
      <c r="BN164" s="2" vm="5772">
        <f ca="1"/>
        <v>312.39</v>
      </c>
      <c r="BO164" s="2">
        <f t="shared" ca="1" si="126"/>
        <v>-9.2746577971095198E-4</v>
      </c>
      <c r="BP164" s="2" vm="5773">
        <f ca="1"/>
        <v>113.6</v>
      </c>
      <c r="BQ164" s="2">
        <f t="shared" ca="1" si="127"/>
        <v>5.7547587428064756E-3</v>
      </c>
      <c r="BR164" s="2" vm="5774">
        <f ca="1"/>
        <v>1217.94</v>
      </c>
      <c r="BS164" s="2">
        <f t="shared" ca="1" si="128"/>
        <v>-8.5317232440233932E-4</v>
      </c>
      <c r="BT164" s="2" vm="5775">
        <f ca="1"/>
        <v>166.85</v>
      </c>
      <c r="BU164" s="2">
        <f t="shared" ca="1" si="129"/>
        <v>-5.542972940755792E-3</v>
      </c>
      <c r="BV164" s="2" vm="5776">
        <f ca="1"/>
        <v>131.85</v>
      </c>
      <c r="BW164" s="2">
        <f t="shared" ca="1" si="130"/>
        <v>7.1805056909326846E-3</v>
      </c>
      <c r="BX164" s="2" vm="5777">
        <f ca="1"/>
        <v>227.36</v>
      </c>
      <c r="BY164" s="2">
        <f t="shared" ca="1" si="131"/>
        <v>3.2000363124687993E-2</v>
      </c>
      <c r="BZ164" s="2" vm="5778">
        <f ca="1"/>
        <v>87.44</v>
      </c>
      <c r="CA164" s="2">
        <f t="shared" ca="1" si="132"/>
        <v>1.709898801907641E-2</v>
      </c>
      <c r="CB164" s="2" vm="1959">
        <f ca="1"/>
        <v>27.76</v>
      </c>
      <c r="CC164" s="2">
        <f t="shared" ca="1" si="133"/>
        <v>1.4990859232175507E-2</v>
      </c>
      <c r="CD164" s="2" t="e" vm="92">
        <f ca="1"/>
        <v>#N/A</v>
      </c>
      <c r="CE164" s="2" t="e" vm="140">
        <f t="shared" ca="1" si="134"/>
        <v>#N/A</v>
      </c>
      <c r="CF164" s="2" vm="941">
        <f ca="1"/>
        <v>22.6</v>
      </c>
      <c r="CG164" s="2">
        <f t="shared" ca="1" si="135"/>
        <v>-8.841732979663825E-4</v>
      </c>
      <c r="CH164" s="2" vm="1343">
        <f ca="1"/>
        <v>58.38</v>
      </c>
      <c r="CI164" s="2">
        <f t="shared" ca="1" si="136"/>
        <v>-1.7126220243188919E-4</v>
      </c>
      <c r="CJ164" s="2" vm="1685">
        <f ca="1"/>
        <v>58.91</v>
      </c>
      <c r="CK164" s="2">
        <f t="shared" ca="1" si="137"/>
        <v>-8.4803256445054715E-4</v>
      </c>
      <c r="CL164" s="2" vm="5779">
        <f ca="1"/>
        <v>54.19</v>
      </c>
      <c r="CM164" s="2">
        <f t="shared" ca="1" si="138"/>
        <v>-1.2900847769996367E-3</v>
      </c>
      <c r="CN164" s="2" vm="2395">
        <f ca="1"/>
        <v>28.63</v>
      </c>
      <c r="CO164" s="2">
        <f t="shared" ca="1" si="139"/>
        <v>1.0489510489509644E-3</v>
      </c>
      <c r="CP164" s="2" vm="5780">
        <f ca="1"/>
        <v>21.628</v>
      </c>
      <c r="CQ164" s="2">
        <f t="shared" ca="1" si="140"/>
        <v>-1.9381633594832298E-3</v>
      </c>
    </row>
    <row r="165" spans="1:95" x14ac:dyDescent="0.2">
      <c r="A165" s="7" vm="5781">
        <f ca="1"/>
        <v>45812</v>
      </c>
      <c r="B165" s="2" vm="5782">
        <f ca="1"/>
        <v>202.82</v>
      </c>
      <c r="C165" s="2">
        <f t="shared" ca="1" si="94"/>
        <v>-2.2138042996999903E-3</v>
      </c>
      <c r="D165" s="2" vm="5783">
        <f ca="1"/>
        <v>141.91999999999999</v>
      </c>
      <c r="E165" s="2">
        <f t="shared" ca="1" si="95"/>
        <v>4.9568049851295044E-3</v>
      </c>
      <c r="F165" s="2" vm="1787">
        <f ca="1"/>
        <v>463.87</v>
      </c>
      <c r="G165" s="2">
        <f t="shared" ca="1" si="96"/>
        <v>1.9439704516490857E-3</v>
      </c>
      <c r="H165" s="2" vm="5784">
        <f ca="1"/>
        <v>687.95</v>
      </c>
      <c r="I165" s="2">
        <f t="shared" ca="1" si="97"/>
        <v>3.1641298642873246E-2</v>
      </c>
      <c r="J165" s="2" vm="5785">
        <f ca="1"/>
        <v>168.05</v>
      </c>
      <c r="K165" s="2">
        <f t="shared" ca="1" si="98"/>
        <v>1.1252858346371431E-2</v>
      </c>
      <c r="L165" s="2" vm="5786">
        <f ca="1"/>
        <v>595.92999999999995</v>
      </c>
      <c r="M165" s="2">
        <f t="shared" ca="1" si="99"/>
        <v>-2.6841584324528483E-4</v>
      </c>
      <c r="N165" s="2" vm="3675">
        <f ca="1"/>
        <v>86.39</v>
      </c>
      <c r="O165" s="2">
        <f t="shared" ca="1" si="100"/>
        <v>1.6233384307728447E-2</v>
      </c>
      <c r="P165" s="2" vm="5787">
        <f ca="1"/>
        <v>310.89999999999998</v>
      </c>
      <c r="Q165" s="2">
        <f t="shared" ca="1" si="101"/>
        <v>6.4420057621959537E-3</v>
      </c>
      <c r="R165" s="2" vm="5788">
        <f ca="1"/>
        <v>69.34</v>
      </c>
      <c r="S165" s="2">
        <f t="shared" ca="1" si="102"/>
        <v>-7.8695092287880547E-3</v>
      </c>
      <c r="T165" s="2" vm="4693">
        <f ca="1"/>
        <v>94.54</v>
      </c>
      <c r="U165" s="2">
        <f t="shared" ca="1" si="103"/>
        <v>7.3521576984551086E-3</v>
      </c>
      <c r="V165" s="2" vm="5789">
        <f ca="1"/>
        <v>46.78</v>
      </c>
      <c r="W165" s="2">
        <f t="shared" ca="1" si="104"/>
        <v>4.9409237379163052E-3</v>
      </c>
      <c r="X165" s="2" vm="5790">
        <f ca="1"/>
        <v>130.30000000000001</v>
      </c>
      <c r="Y165" s="2">
        <f t="shared" ca="1" si="105"/>
        <v>-6.1022120518686726E-3</v>
      </c>
      <c r="Z165" s="2" vm="5791">
        <f ca="1"/>
        <v>81.95</v>
      </c>
      <c r="AA165" s="2">
        <f t="shared" ca="1" si="106"/>
        <v>-1.9502273271117438E-2</v>
      </c>
      <c r="AB165" s="2" vm="4456">
        <f ca="1"/>
        <v>12.81</v>
      </c>
      <c r="AC165" s="2">
        <f t="shared" ca="1" si="107"/>
        <v>-1.0810810810810718E-2</v>
      </c>
      <c r="AD165" s="2" t="e" vm="92">
        <f ca="1"/>
        <v>#N/A</v>
      </c>
      <c r="AE165" s="2" t="e" vm="140">
        <f t="shared" ca="1" si="108"/>
        <v>#N/A</v>
      </c>
      <c r="AF165" s="2" vm="5792">
        <f ca="1"/>
        <v>31.34</v>
      </c>
      <c r="AG165" s="2">
        <f t="shared" ca="1" si="109"/>
        <v>-3.1806615776081874E-3</v>
      </c>
      <c r="AH165" s="2" vm="1242">
        <f ca="1"/>
        <v>26.9</v>
      </c>
      <c r="AI165" s="2">
        <f t="shared" ca="1" si="110"/>
        <v>7.4906367041198234E-3</v>
      </c>
      <c r="AJ165" s="2" vm="5106">
        <f ca="1"/>
        <v>4.6100000000000003</v>
      </c>
      <c r="AK165" s="2">
        <f t="shared" ca="1" si="111"/>
        <v>1.3186813186813296E-2</v>
      </c>
      <c r="AL165" s="2" vm="5793">
        <f ca="1"/>
        <v>66.819999999999993</v>
      </c>
      <c r="AM165" s="2">
        <f t="shared" ca="1" si="112"/>
        <v>6.3253012048190881E-3</v>
      </c>
      <c r="AN165" s="2" vm="5794">
        <f ca="1"/>
        <v>100.51</v>
      </c>
      <c r="AO165" s="2">
        <f t="shared" ca="1" si="113"/>
        <v>2.0924327069578488E-2</v>
      </c>
      <c r="AP165" s="2" vm="1705">
        <f ca="1"/>
        <v>26.39</v>
      </c>
      <c r="AQ165" s="2">
        <f t="shared" ca="1" si="114"/>
        <v>3.422053231939158E-3</v>
      </c>
      <c r="AR165" s="2" vm="2150">
        <f ca="1"/>
        <v>50.82</v>
      </c>
      <c r="AS165" s="2">
        <f t="shared" ca="1" si="115"/>
        <v>1.9681165124971482E-4</v>
      </c>
      <c r="AT165" s="2" vm="596">
        <f ca="1"/>
        <v>29.15</v>
      </c>
      <c r="AU165" s="2">
        <f t="shared" ca="1" si="116"/>
        <v>2.0625644551391792E-3</v>
      </c>
      <c r="AV165" s="2" vm="2267">
        <f ca="1"/>
        <v>26.05</v>
      </c>
      <c r="AW165" s="2">
        <f t="shared" ca="1" si="117"/>
        <v>1.4803272302298363E-2</v>
      </c>
      <c r="AX165" s="2" vm="2414">
        <f ca="1"/>
        <v>91.46</v>
      </c>
      <c r="AY165" s="2">
        <f t="shared" ca="1" si="118"/>
        <v>0</v>
      </c>
      <c r="AZ165" s="2" vm="5795">
        <f ca="1"/>
        <v>491</v>
      </c>
      <c r="BA165" s="2">
        <f t="shared" ca="1" si="119"/>
        <v>-1.3719542815820629E-2</v>
      </c>
      <c r="BB165" s="2" vm="5796">
        <f ca="1"/>
        <v>264.22000000000003</v>
      </c>
      <c r="BC165" s="2">
        <f t="shared" ca="1" si="120"/>
        <v>-7.6989521913845144E-3</v>
      </c>
      <c r="BD165" s="2" vm="5797">
        <f ca="1"/>
        <v>44.36</v>
      </c>
      <c r="BE165" s="2">
        <f t="shared" ca="1" si="121"/>
        <v>-6.4949608062709781E-3</v>
      </c>
      <c r="BF165" s="2" vm="5701">
        <f ca="1"/>
        <v>102.3</v>
      </c>
      <c r="BG165" s="2">
        <f t="shared" ca="1" si="122"/>
        <v>-1.4450867052023121E-2</v>
      </c>
      <c r="BH165" s="2" vm="5798">
        <f ca="1"/>
        <v>137.37</v>
      </c>
      <c r="BI165" s="2">
        <f t="shared" ca="1" si="123"/>
        <v>-1.5621640988892918E-2</v>
      </c>
      <c r="BJ165" s="2" vm="3124">
        <f ca="1"/>
        <v>153.22</v>
      </c>
      <c r="BK165" s="2">
        <f t="shared" ca="1" si="124"/>
        <v>-7.7710141173422398E-3</v>
      </c>
      <c r="BL165" s="2" vm="5799">
        <f ca="1"/>
        <v>71.37</v>
      </c>
      <c r="BM165" s="2">
        <f t="shared" ca="1" si="125"/>
        <v>2.9510961214166383E-3</v>
      </c>
      <c r="BN165" s="2" vm="5800">
        <f ca="1"/>
        <v>311.57</v>
      </c>
      <c r="BO165" s="2">
        <f t="shared" ca="1" si="126"/>
        <v>-2.6249239732385582E-3</v>
      </c>
      <c r="BP165" s="2" vm="5801">
        <f ca="1"/>
        <v>113.49</v>
      </c>
      <c r="BQ165" s="2">
        <f t="shared" ca="1" si="127"/>
        <v>-9.683098591549246E-4</v>
      </c>
      <c r="BR165" s="2" vm="5802">
        <f ca="1"/>
        <v>1239.6600000000001</v>
      </c>
      <c r="BS165" s="2">
        <f t="shared" ca="1" si="128"/>
        <v>1.7833390807428958E-2</v>
      </c>
      <c r="BT165" s="2" vm="5803">
        <f ca="1"/>
        <v>165.95</v>
      </c>
      <c r="BU165" s="2">
        <f t="shared" ca="1" si="129"/>
        <v>-5.394066526820532E-3</v>
      </c>
      <c r="BV165" s="2" vm="5804">
        <f ca="1"/>
        <v>131.74</v>
      </c>
      <c r="BW165" s="2">
        <f t="shared" ca="1" si="130"/>
        <v>-8.3428138035635359E-4</v>
      </c>
      <c r="BX165" s="2" vm="5805">
        <f ca="1"/>
        <v>224.38</v>
      </c>
      <c r="BY165" s="2">
        <f t="shared" ca="1" si="131"/>
        <v>-1.3106966924700994E-2</v>
      </c>
      <c r="BZ165" s="2" vm="5806">
        <f ca="1"/>
        <v>85.41</v>
      </c>
      <c r="CA165" s="2">
        <f t="shared" ca="1" si="132"/>
        <v>-2.3215919487648687E-2</v>
      </c>
      <c r="CB165" s="2" vm="3959">
        <f ca="1"/>
        <v>27.13</v>
      </c>
      <c r="CC165" s="2">
        <f t="shared" ca="1" si="133"/>
        <v>-2.2694524495677323E-2</v>
      </c>
      <c r="CD165" s="2" t="e" vm="92">
        <f ca="1"/>
        <v>#N/A</v>
      </c>
      <c r="CE165" s="2" t="e" vm="140">
        <f t="shared" ca="1" si="134"/>
        <v>#N/A</v>
      </c>
      <c r="CF165" s="2" vm="4854">
        <f ca="1"/>
        <v>22.74</v>
      </c>
      <c r="CG165" s="2">
        <f t="shared" ca="1" si="135"/>
        <v>6.1946902654865929E-3</v>
      </c>
      <c r="CH165" s="2" vm="777">
        <f ca="1"/>
        <v>58.48</v>
      </c>
      <c r="CI165" s="2">
        <f t="shared" ca="1" si="136"/>
        <v>1.7129153819800326E-3</v>
      </c>
      <c r="CJ165" s="2" vm="4130">
        <f ca="1"/>
        <v>59.19</v>
      </c>
      <c r="CK165" s="2">
        <f t="shared" ca="1" si="137"/>
        <v>4.7530130707859643E-3</v>
      </c>
      <c r="CL165" s="2" vm="5807">
        <f ca="1"/>
        <v>55.02</v>
      </c>
      <c r="CM165" s="2">
        <f t="shared" ca="1" si="138"/>
        <v>1.5316479055176331E-2</v>
      </c>
      <c r="CN165" s="2" vm="161">
        <f ca="1"/>
        <v>28.8</v>
      </c>
      <c r="CO165" s="2">
        <f t="shared" ca="1" si="139"/>
        <v>5.9378274537199337E-3</v>
      </c>
      <c r="CP165" s="2" vm="5808">
        <f ca="1"/>
        <v>21.69</v>
      </c>
      <c r="CQ165" s="2">
        <f t="shared" ca="1" si="140"/>
        <v>2.8666543369706477E-3</v>
      </c>
    </row>
    <row r="166" spans="1:95" x14ac:dyDescent="0.2">
      <c r="A166" s="7" vm="5809">
        <f ca="1"/>
        <v>45813</v>
      </c>
      <c r="B166" s="2" vm="5810">
        <f ca="1"/>
        <v>200.63</v>
      </c>
      <c r="C166" s="2">
        <f t="shared" ca="1" si="94"/>
        <v>-1.0797751701015669E-2</v>
      </c>
      <c r="D166" s="2" vm="5811">
        <f ca="1"/>
        <v>139.99</v>
      </c>
      <c r="E166" s="2">
        <f t="shared" ca="1" si="95"/>
        <v>-1.3599210822998722E-2</v>
      </c>
      <c r="F166" s="2" vm="5812">
        <f ca="1"/>
        <v>467.68</v>
      </c>
      <c r="G166" s="2">
        <f t="shared" ca="1" si="96"/>
        <v>8.2135080949403971E-3</v>
      </c>
      <c r="H166" s="2" vm="5813">
        <f ca="1"/>
        <v>684.62</v>
      </c>
      <c r="I166" s="2">
        <f t="shared" ca="1" si="97"/>
        <v>-4.8404680572716628E-3</v>
      </c>
      <c r="J166" s="2" vm="5814">
        <f ca="1"/>
        <v>168.21</v>
      </c>
      <c r="K166" s="2">
        <f t="shared" ca="1" si="98"/>
        <v>9.5209759000295497E-4</v>
      </c>
      <c r="L166" s="2" vm="5815">
        <f ca="1"/>
        <v>593.04999999999995</v>
      </c>
      <c r="M166" s="2">
        <f t="shared" ca="1" si="99"/>
        <v>-4.8327823737687242E-3</v>
      </c>
      <c r="N166" s="2" vm="5816">
        <f ca="1"/>
        <v>86.45</v>
      </c>
      <c r="O166" s="2">
        <f t="shared" ca="1" si="100"/>
        <v>6.9452482926267249E-4</v>
      </c>
      <c r="P166" s="2" vm="5817">
        <f ca="1"/>
        <v>309.33</v>
      </c>
      <c r="Q166" s="2">
        <f t="shared" ca="1" si="101"/>
        <v>-5.0498552589256784E-3</v>
      </c>
      <c r="R166" s="2" vm="4466">
        <f ca="1"/>
        <v>69.930000000000007</v>
      </c>
      <c r="S166" s="2">
        <f t="shared" ca="1" si="102"/>
        <v>8.508797231035526E-3</v>
      </c>
      <c r="T166" s="2" vm="4660">
        <f ca="1"/>
        <v>94.26</v>
      </c>
      <c r="U166" s="2">
        <f t="shared" ca="1" si="103"/>
        <v>-2.9617093293843994E-3</v>
      </c>
      <c r="V166" s="2" vm="5818">
        <f ca="1"/>
        <v>46.704999999999998</v>
      </c>
      <c r="W166" s="2">
        <f t="shared" ca="1" si="104"/>
        <v>-1.6032492518170765E-3</v>
      </c>
      <c r="X166" s="2" vm="3534">
        <f ca="1"/>
        <v>130.28</v>
      </c>
      <c r="Y166" s="2">
        <f t="shared" ca="1" si="105"/>
        <v>-1.5349194167314068E-4</v>
      </c>
      <c r="Z166" s="2" vm="5819">
        <f ca="1"/>
        <v>81.87</v>
      </c>
      <c r="AA166" s="2">
        <f t="shared" ca="1" si="106"/>
        <v>-9.7620500305061982E-4</v>
      </c>
      <c r="AB166" s="2" vm="5820">
        <f ca="1"/>
        <v>12.92</v>
      </c>
      <c r="AC166" s="2">
        <f t="shared" ca="1" si="107"/>
        <v>8.5870413739265756E-3</v>
      </c>
      <c r="AD166" s="2" t="e" vm="92">
        <f ca="1"/>
        <v>#N/A</v>
      </c>
      <c r="AE166" s="2" t="e" vm="140">
        <f t="shared" ca="1" si="108"/>
        <v>#N/A</v>
      </c>
      <c r="AF166" s="2" vm="5821">
        <f ca="1"/>
        <v>32.450000000000003</v>
      </c>
      <c r="AG166" s="2">
        <f t="shared" ca="1" si="109"/>
        <v>3.541799617102754E-2</v>
      </c>
      <c r="AH166" s="2" vm="2840">
        <f ca="1"/>
        <v>27.26</v>
      </c>
      <c r="AI166" s="2">
        <f t="shared" ca="1" si="110"/>
        <v>1.33828996282529E-2</v>
      </c>
      <c r="AJ166" s="2" vm="4301">
        <f ca="1"/>
        <v>4.62</v>
      </c>
      <c r="AK166" s="2">
        <f t="shared" ca="1" si="111"/>
        <v>2.1691973969630773E-3</v>
      </c>
      <c r="AL166" s="2" vm="4692">
        <f ca="1"/>
        <v>66.48</v>
      </c>
      <c r="AM166" s="2">
        <f t="shared" ca="1" si="112"/>
        <v>-5.0882969170905302E-3</v>
      </c>
      <c r="AN166" s="2" vm="5822">
        <f ca="1"/>
        <v>104.38</v>
      </c>
      <c r="AO166" s="2">
        <f t="shared" ca="1" si="113"/>
        <v>3.8503631479454681E-2</v>
      </c>
      <c r="AP166" s="2" vm="1007">
        <f ca="1"/>
        <v>26.35</v>
      </c>
      <c r="AQ166" s="2">
        <f t="shared" ca="1" si="114"/>
        <v>-1.5157256536566558E-3</v>
      </c>
      <c r="AR166" s="2" vm="5764">
        <f ca="1"/>
        <v>50.81</v>
      </c>
      <c r="AS166" s="2">
        <f t="shared" ca="1" si="115"/>
        <v>-1.9677292404561217E-4</v>
      </c>
      <c r="AT166" s="2" vm="961">
        <f ca="1"/>
        <v>29.11</v>
      </c>
      <c r="AU166" s="2">
        <f t="shared" ca="1" si="116"/>
        <v>-1.3722126929673808E-3</v>
      </c>
      <c r="AV166" s="2" vm="2267">
        <f ca="1"/>
        <v>26.05</v>
      </c>
      <c r="AW166" s="2">
        <f t="shared" ca="1" si="117"/>
        <v>0</v>
      </c>
      <c r="AX166" s="2" vm="1592">
        <f ca="1"/>
        <v>91.47</v>
      </c>
      <c r="AY166" s="2">
        <f t="shared" ca="1" si="118"/>
        <v>1.0933741526355911E-4</v>
      </c>
      <c r="AZ166" s="2" vm="5823">
        <f ca="1"/>
        <v>488.74</v>
      </c>
      <c r="BA166" s="2">
        <f t="shared" ca="1" si="119"/>
        <v>-4.6028513238289019E-3</v>
      </c>
      <c r="BB166" s="2" vm="5824">
        <f ca="1"/>
        <v>261.95</v>
      </c>
      <c r="BC166" s="2">
        <f t="shared" ca="1" si="120"/>
        <v>-8.591325410642791E-3</v>
      </c>
      <c r="BD166" s="2" vm="2193">
        <f ca="1"/>
        <v>44.38</v>
      </c>
      <c r="BE166" s="2">
        <f t="shared" ca="1" si="121"/>
        <v>4.5085662759249611E-4</v>
      </c>
      <c r="BF166" s="2" vm="1417">
        <f ca="1"/>
        <v>101.83</v>
      </c>
      <c r="BG166" s="2">
        <f t="shared" ca="1" si="122"/>
        <v>-4.5943304007820028E-3</v>
      </c>
      <c r="BH166" s="2" vm="5825">
        <f ca="1"/>
        <v>136.9</v>
      </c>
      <c r="BI166" s="2">
        <f t="shared" ca="1" si="123"/>
        <v>-3.4214166120695847E-3</v>
      </c>
      <c r="BJ166" s="2" vm="5491">
        <f ca="1"/>
        <v>153.66</v>
      </c>
      <c r="BK166" s="2">
        <f t="shared" ca="1" si="124"/>
        <v>2.8716877692207135E-3</v>
      </c>
      <c r="BL166" s="2" vm="5826">
        <f ca="1"/>
        <v>70.91</v>
      </c>
      <c r="BM166" s="2">
        <f t="shared" ca="1" si="125"/>
        <v>-6.445285133809835E-3</v>
      </c>
      <c r="BN166" s="2" vm="5827">
        <f ca="1"/>
        <v>308.98</v>
      </c>
      <c r="BO166" s="2">
        <f t="shared" ca="1" si="126"/>
        <v>-8.3127387104020775E-3</v>
      </c>
      <c r="BP166" s="2" vm="5828">
        <f ca="1"/>
        <v>112.53</v>
      </c>
      <c r="BQ166" s="2">
        <f t="shared" ca="1" si="127"/>
        <v>-8.4588950568331468E-3</v>
      </c>
      <c r="BR166" s="2" vm="5829">
        <f ca="1"/>
        <v>1250.52</v>
      </c>
      <c r="BS166" s="2">
        <f t="shared" ca="1" si="128"/>
        <v>8.7604665795459231E-3</v>
      </c>
      <c r="BT166" s="2" vm="4107">
        <f ca="1"/>
        <v>162.80000000000001</v>
      </c>
      <c r="BU166" s="2">
        <f t="shared" ca="1" si="129"/>
        <v>-1.8981620970171604E-2</v>
      </c>
      <c r="BV166" s="2" vm="5830">
        <f ca="1"/>
        <v>131.11000000000001</v>
      </c>
      <c r="BW166" s="2">
        <f t="shared" ca="1" si="130"/>
        <v>-4.7821466524973081E-3</v>
      </c>
      <c r="BX166" s="2" vm="5831">
        <f ca="1"/>
        <v>224.36</v>
      </c>
      <c r="BY166" s="2">
        <f t="shared" ca="1" si="131"/>
        <v>-8.9134503966404365E-5</v>
      </c>
      <c r="BZ166" s="2" vm="5832">
        <f ca="1"/>
        <v>85.18</v>
      </c>
      <c r="CA166" s="2">
        <f t="shared" ca="1" si="132"/>
        <v>-2.6928931038518885E-3</v>
      </c>
      <c r="CB166" s="2" vm="801">
        <f ca="1"/>
        <v>27.01</v>
      </c>
      <c r="CC166" s="2">
        <f t="shared" ca="1" si="133"/>
        <v>-4.423147806855785E-3</v>
      </c>
      <c r="CD166" s="2" t="e" vm="92">
        <f ca="1"/>
        <v>#N/A</v>
      </c>
      <c r="CE166" s="2" t="e" vm="140">
        <f t="shared" ca="1" si="134"/>
        <v>#N/A</v>
      </c>
      <c r="CF166" s="2" vm="5833">
        <f ca="1"/>
        <v>22.7</v>
      </c>
      <c r="CG166" s="2">
        <f t="shared" ca="1" si="135"/>
        <v>-1.7590149516270514E-3</v>
      </c>
      <c r="CH166" s="2" vm="819">
        <f ca="1"/>
        <v>58.42</v>
      </c>
      <c r="CI166" s="2">
        <f t="shared" ca="1" si="136"/>
        <v>-1.0259917920655808E-3</v>
      </c>
      <c r="CJ166" s="2" vm="5834">
        <f ca="1"/>
        <v>59.05</v>
      </c>
      <c r="CK166" s="2">
        <f t="shared" ca="1" si="137"/>
        <v>-2.3652644027707479E-3</v>
      </c>
      <c r="CL166" s="2" vm="5807">
        <f ca="1"/>
        <v>55.02</v>
      </c>
      <c r="CM166" s="2">
        <f t="shared" ca="1" si="138"/>
        <v>0</v>
      </c>
      <c r="CN166" s="2" vm="5835">
        <f ca="1"/>
        <v>28.73</v>
      </c>
      <c r="CO166" s="2">
        <f t="shared" ca="1" si="139"/>
        <v>-2.4305555555555656E-3</v>
      </c>
      <c r="CP166" s="2" vm="5836">
        <f ca="1"/>
        <v>21.637</v>
      </c>
      <c r="CQ166" s="2">
        <f t="shared" ca="1" si="140"/>
        <v>-2.4435223605348464E-3</v>
      </c>
    </row>
    <row r="167" spans="1:95" x14ac:dyDescent="0.2">
      <c r="A167" s="7" vm="5837">
        <f ca="1"/>
        <v>45814</v>
      </c>
      <c r="B167" s="2" vm="5838">
        <f ca="1"/>
        <v>203.92</v>
      </c>
      <c r="C167" s="2">
        <f t="shared" ca="1" si="94"/>
        <v>1.6398345212580333E-2</v>
      </c>
      <c r="D167" s="2" vm="5839">
        <f ca="1"/>
        <v>141.72</v>
      </c>
      <c r="E167" s="2">
        <f t="shared" ca="1" si="95"/>
        <v>1.2358025573255159E-2</v>
      </c>
      <c r="F167" s="2" vm="5840">
        <f ca="1"/>
        <v>470.38</v>
      </c>
      <c r="G167" s="2">
        <f t="shared" ca="1" si="96"/>
        <v>5.7731782415326475E-3</v>
      </c>
      <c r="H167" s="2" vm="5841">
        <f ca="1"/>
        <v>697.71</v>
      </c>
      <c r="I167" s="2">
        <f t="shared" ca="1" si="97"/>
        <v>1.912009581957879E-2</v>
      </c>
      <c r="J167" s="2" vm="5842">
        <f ca="1"/>
        <v>173.68</v>
      </c>
      <c r="K167" s="2">
        <f t="shared" ca="1" si="98"/>
        <v>3.2518875215504423E-2</v>
      </c>
      <c r="L167" s="2" vm="5843">
        <f ca="1"/>
        <v>599.14</v>
      </c>
      <c r="M167" s="2">
        <f t="shared" ca="1" si="99"/>
        <v>1.0268948655256778E-2</v>
      </c>
      <c r="N167" s="2" vm="1885">
        <f ca="1"/>
        <v>85.35</v>
      </c>
      <c r="O167" s="2">
        <f t="shared" ca="1" si="100"/>
        <v>-1.272411798727598E-2</v>
      </c>
      <c r="P167" s="2" vm="5844">
        <f ca="1"/>
        <v>305.18</v>
      </c>
      <c r="Q167" s="2">
        <f t="shared" ca="1" si="101"/>
        <v>-1.3416092845828008E-2</v>
      </c>
      <c r="R167" s="2" vm="370">
        <f ca="1"/>
        <v>71.38</v>
      </c>
      <c r="S167" s="2">
        <f t="shared" ca="1" si="102"/>
        <v>2.0735020735020572E-2</v>
      </c>
      <c r="T167" s="2" vm="593">
        <f ca="1"/>
        <v>93.51</v>
      </c>
      <c r="U167" s="2">
        <f t="shared" ca="1" si="103"/>
        <v>-7.9567154678548691E-3</v>
      </c>
      <c r="V167" s="2" vm="2879">
        <f ca="1"/>
        <v>46.52</v>
      </c>
      <c r="W167" s="2">
        <f t="shared" ca="1" si="104"/>
        <v>-3.9610320094207296E-3</v>
      </c>
      <c r="X167" s="2" vm="5845">
        <f ca="1"/>
        <v>133.44999999999999</v>
      </c>
      <c r="Y167" s="2">
        <f t="shared" ca="1" si="105"/>
        <v>2.4332207552962754E-2</v>
      </c>
      <c r="Z167" s="2" vm="4492">
        <f ca="1"/>
        <v>83.41</v>
      </c>
      <c r="AA167" s="2">
        <f t="shared" ca="1" si="106"/>
        <v>1.8810309026505337E-2</v>
      </c>
      <c r="AB167" s="2" vm="5846">
        <f ca="1"/>
        <v>13.1</v>
      </c>
      <c r="AC167" s="2">
        <f t="shared" ca="1" si="107"/>
        <v>1.393188854489162E-2</v>
      </c>
      <c r="AD167" s="2" vm="1740">
        <f ca="1"/>
        <v>3.2</v>
      </c>
      <c r="AE167" s="2" t="e" vm="140">
        <f t="shared" ca="1" si="108"/>
        <v>#N/A</v>
      </c>
      <c r="AF167" s="2" vm="5847">
        <f ca="1"/>
        <v>32.69</v>
      </c>
      <c r="AG167" s="2">
        <f t="shared" ca="1" si="109"/>
        <v>7.3959938366716443E-3</v>
      </c>
      <c r="AH167" s="2" vm="467">
        <f ca="1"/>
        <v>27.48</v>
      </c>
      <c r="AI167" s="2">
        <f t="shared" ca="1" si="110"/>
        <v>8.0704328686720048E-3</v>
      </c>
      <c r="AJ167" s="2" vm="4335">
        <f ca="1"/>
        <v>4.68</v>
      </c>
      <c r="AK167" s="2">
        <f t="shared" ca="1" si="111"/>
        <v>1.2987012987012903E-2</v>
      </c>
      <c r="AL167" s="2" vm="5848">
        <f ca="1"/>
        <v>65.59</v>
      </c>
      <c r="AM167" s="2">
        <f t="shared" ca="1" si="112"/>
        <v>-1.3387484957882077E-2</v>
      </c>
      <c r="AN167" s="2" vm="5849">
        <f ca="1"/>
        <v>107</v>
      </c>
      <c r="AO167" s="2">
        <f t="shared" ca="1" si="113"/>
        <v>2.5100593983521793E-2</v>
      </c>
      <c r="AP167" s="2" vm="884">
        <f ca="1"/>
        <v>26.23</v>
      </c>
      <c r="AQ167" s="2">
        <f t="shared" ca="1" si="114"/>
        <v>-4.5540796963947248E-3</v>
      </c>
      <c r="AR167" s="2" vm="4426">
        <f ca="1"/>
        <v>50.83</v>
      </c>
      <c r="AS167" s="2">
        <f t="shared" ca="1" si="115"/>
        <v>3.9362330249942965E-4</v>
      </c>
      <c r="AT167" s="2" vm="1302">
        <f ca="1"/>
        <v>29.07</v>
      </c>
      <c r="AU167" s="2">
        <f t="shared" ca="1" si="116"/>
        <v>-1.3740982480247045E-3</v>
      </c>
      <c r="AV167" s="2" vm="291">
        <f ca="1"/>
        <v>25.73</v>
      </c>
      <c r="AW167" s="2">
        <f t="shared" ca="1" si="117"/>
        <v>-1.2284069097888687E-2</v>
      </c>
      <c r="AX167" s="2" vm="845">
        <f ca="1"/>
        <v>91.5</v>
      </c>
      <c r="AY167" s="2">
        <f t="shared" ca="1" si="118"/>
        <v>3.2797638570024204E-4</v>
      </c>
      <c r="AZ167" s="2" vm="5850">
        <f ca="1"/>
        <v>493.53</v>
      </c>
      <c r="BA167" s="2">
        <f t="shared" ca="1" si="119"/>
        <v>9.8007120350287746E-3</v>
      </c>
      <c r="BB167" s="2" vm="5851">
        <f ca="1"/>
        <v>265.73</v>
      </c>
      <c r="BC167" s="2">
        <f t="shared" ca="1" si="120"/>
        <v>1.4430234777629431E-2</v>
      </c>
      <c r="BD167" s="2" vm="5852">
        <f ca="1"/>
        <v>44.97</v>
      </c>
      <c r="BE167" s="2">
        <f t="shared" ca="1" si="121"/>
        <v>1.3294276701216681E-2</v>
      </c>
      <c r="BF167" s="2" vm="5853">
        <f ca="1"/>
        <v>104.27</v>
      </c>
      <c r="BG167" s="2">
        <f t="shared" ca="1" si="122"/>
        <v>2.3961504468231344E-2</v>
      </c>
      <c r="BH167" s="2" vm="158">
        <f ca="1"/>
        <v>140.21</v>
      </c>
      <c r="BI167" s="2">
        <f t="shared" ca="1" si="123"/>
        <v>2.4178232286340411E-2</v>
      </c>
      <c r="BJ167" s="2" vm="5854">
        <f ca="1"/>
        <v>155.03</v>
      </c>
      <c r="BK167" s="2">
        <f t="shared" ca="1" si="124"/>
        <v>8.9157881036053925E-3</v>
      </c>
      <c r="BL167" s="2" vm="3522">
        <f ca="1"/>
        <v>71.349999999999994</v>
      </c>
      <c r="BM167" s="2">
        <f t="shared" ca="1" si="125"/>
        <v>6.2050486532223628E-3</v>
      </c>
      <c r="BN167" s="2" vm="5855">
        <f ca="1"/>
        <v>307.36</v>
      </c>
      <c r="BO167" s="2">
        <f t="shared" ca="1" si="126"/>
        <v>-5.2430578030940658E-3</v>
      </c>
      <c r="BP167" s="2" vm="5856">
        <f ca="1"/>
        <v>113.9</v>
      </c>
      <c r="BQ167" s="2">
        <f t="shared" ca="1" si="127"/>
        <v>1.2174531236114854E-2</v>
      </c>
      <c r="BR167" s="2" vm="5857">
        <f ca="1"/>
        <v>1241.4749999999999</v>
      </c>
      <c r="BS167" s="2">
        <f t="shared" ca="1" si="128"/>
        <v>-7.2329910757125615E-3</v>
      </c>
      <c r="BT167" s="2" vm="5858">
        <f ca="1"/>
        <v>164.02</v>
      </c>
      <c r="BU167" s="2">
        <f t="shared" ca="1" si="129"/>
        <v>7.4938574938574866E-3</v>
      </c>
      <c r="BV167" s="2" vm="5859">
        <f ca="1"/>
        <v>130.03</v>
      </c>
      <c r="BW167" s="2">
        <f t="shared" ca="1" si="130"/>
        <v>-8.2373579437114812E-3</v>
      </c>
      <c r="BX167" s="2" vm="5860">
        <f ca="1"/>
        <v>229.88</v>
      </c>
      <c r="BY167" s="2">
        <f t="shared" ca="1" si="131"/>
        <v>2.4603316099126322E-2</v>
      </c>
      <c r="BZ167" s="2" vm="2698">
        <f ca="1"/>
        <v>87.04</v>
      </c>
      <c r="CA167" s="2">
        <f t="shared" ca="1" si="132"/>
        <v>2.1836111763324714E-2</v>
      </c>
      <c r="CB167" s="2" vm="3015">
        <f ca="1"/>
        <v>27.72</v>
      </c>
      <c r="CC167" s="2">
        <f t="shared" ca="1" si="133"/>
        <v>2.6286560533135776E-2</v>
      </c>
      <c r="CD167" s="2" t="e" vm="92">
        <f ca="1"/>
        <v>#N/A</v>
      </c>
      <c r="CE167" s="2" t="e" vm="140">
        <f t="shared" ca="1" si="134"/>
        <v>#N/A</v>
      </c>
      <c r="CF167" s="2" vm="3069">
        <f ca="1"/>
        <v>22.58</v>
      </c>
      <c r="CG167" s="2">
        <f t="shared" ca="1" si="135"/>
        <v>-5.2863436123348458E-3</v>
      </c>
      <c r="CH167" s="2" vm="2962">
        <f ca="1"/>
        <v>58.32</v>
      </c>
      <c r="CI167" s="2">
        <f t="shared" ca="1" si="136"/>
        <v>-1.7117425539199147E-3</v>
      </c>
      <c r="CJ167" s="2" vm="4441">
        <f ca="1"/>
        <v>58.71</v>
      </c>
      <c r="CK167" s="2">
        <f t="shared" ca="1" si="137"/>
        <v>-5.7578323454698785E-3</v>
      </c>
      <c r="CL167" s="2" vm="592">
        <f ca="1"/>
        <v>54.35</v>
      </c>
      <c r="CM167" s="2">
        <f t="shared" ca="1" si="138"/>
        <v>-1.217739003998549E-2</v>
      </c>
      <c r="CN167" s="2" vm="2725">
        <f ca="1"/>
        <v>28.6</v>
      </c>
      <c r="CO167" s="2">
        <f t="shared" ca="1" si="139"/>
        <v>-4.52488687782802E-3</v>
      </c>
      <c r="CP167" s="2" vm="5861">
        <f ca="1"/>
        <v>21.719899999999999</v>
      </c>
      <c r="CQ167" s="2">
        <f t="shared" ca="1" si="140"/>
        <v>3.8313999168091066E-3</v>
      </c>
    </row>
    <row r="168" spans="1:95" x14ac:dyDescent="0.2">
      <c r="A168" s="7" vm="5862">
        <f ca="1"/>
        <v>45817</v>
      </c>
      <c r="B168" s="2" vm="5863">
        <f ca="1"/>
        <v>201.45</v>
      </c>
      <c r="C168" s="2">
        <f t="shared" ca="1" si="94"/>
        <v>-1.2112593173793641E-2</v>
      </c>
      <c r="D168" s="2" vm="5864">
        <f ca="1"/>
        <v>142.63</v>
      </c>
      <c r="E168" s="2">
        <f t="shared" ca="1" si="95"/>
        <v>6.4211120519333661E-3</v>
      </c>
      <c r="F168" s="2" vm="5865">
        <f ca="1"/>
        <v>472.75</v>
      </c>
      <c r="G168" s="2">
        <f t="shared" ca="1" si="96"/>
        <v>5.0384795271907912E-3</v>
      </c>
      <c r="H168" s="2" vm="5866">
        <f ca="1"/>
        <v>694.06</v>
      </c>
      <c r="I168" s="2">
        <f t="shared" ca="1" si="97"/>
        <v>-5.2313998652736681E-3</v>
      </c>
      <c r="J168" s="2" vm="5867">
        <f ca="1"/>
        <v>176.09</v>
      </c>
      <c r="K168" s="2">
        <f t="shared" ca="1" si="98"/>
        <v>1.3876093965914304E-2</v>
      </c>
      <c r="L168" s="2" vm="5868">
        <f ca="1"/>
        <v>599.67999999999995</v>
      </c>
      <c r="M168" s="2">
        <f t="shared" ca="1" si="99"/>
        <v>9.0129185165397675E-4</v>
      </c>
      <c r="N168" s="2" vm="5869">
        <f ca="1"/>
        <v>85.44</v>
      </c>
      <c r="O168" s="2">
        <f t="shared" ca="1" si="100"/>
        <v>1.0544815465729749E-3</v>
      </c>
      <c r="P168" s="2" vm="5870">
        <f ca="1"/>
        <v>306.62</v>
      </c>
      <c r="Q168" s="2">
        <f t="shared" ca="1" si="101"/>
        <v>4.7185267710859093E-3</v>
      </c>
      <c r="R168" s="2" vm="5871">
        <f ca="1"/>
        <v>72.05</v>
      </c>
      <c r="S168" s="2">
        <f t="shared" ca="1" si="102"/>
        <v>9.3863827402634031E-3</v>
      </c>
      <c r="T168" s="2" vm="5323">
        <f ca="1"/>
        <v>93.68</v>
      </c>
      <c r="U168" s="2">
        <f t="shared" ca="1" si="103"/>
        <v>1.8179873810287852E-3</v>
      </c>
      <c r="V168" s="2" vm="5872">
        <f ca="1"/>
        <v>46.550699999999999</v>
      </c>
      <c r="W168" s="2">
        <f t="shared" ca="1" si="104"/>
        <v>6.5993121238168428E-4</v>
      </c>
      <c r="X168" s="2" vm="5873">
        <f ca="1"/>
        <v>133.51</v>
      </c>
      <c r="Y168" s="2">
        <f t="shared" ca="1" si="105"/>
        <v>4.4960659423006578E-4</v>
      </c>
      <c r="Z168" s="2" vm="5874">
        <f ca="1"/>
        <v>83.57</v>
      </c>
      <c r="AA168" s="2">
        <f t="shared" ca="1" si="106"/>
        <v>1.9182352235942524E-3</v>
      </c>
      <c r="AB168" s="2" vm="5875">
        <f ca="1"/>
        <v>13.11</v>
      </c>
      <c r="AC168" s="2">
        <f t="shared" ca="1" si="107"/>
        <v>7.6335877862593793E-4</v>
      </c>
      <c r="AD168" s="2" t="e" vm="92">
        <f ca="1"/>
        <v>#N/A</v>
      </c>
      <c r="AE168" s="2" t="e" vm="140">
        <f t="shared" ca="1" si="108"/>
        <v>#N/A</v>
      </c>
      <c r="AF168" s="2" vm="5876">
        <f ca="1"/>
        <v>33.39</v>
      </c>
      <c r="AG168" s="2">
        <f t="shared" ca="1" si="109"/>
        <v>2.1413276231263472E-2</v>
      </c>
      <c r="AH168" s="2" vm="844">
        <f ca="1"/>
        <v>27.39</v>
      </c>
      <c r="AI168" s="2">
        <f t="shared" ca="1" si="110"/>
        <v>-3.2751091703056715E-3</v>
      </c>
      <c r="AJ168" s="2" vm="5106">
        <f ca="1"/>
        <v>4.6100000000000003</v>
      </c>
      <c r="AK168" s="2">
        <f t="shared" ca="1" si="111"/>
        <v>-1.495726495726483E-2</v>
      </c>
      <c r="AL168" s="2" vm="5877">
        <f ca="1"/>
        <v>65.900000000000006</v>
      </c>
      <c r="AM168" s="2">
        <f t="shared" ca="1" si="112"/>
        <v>4.7263302332673004E-3</v>
      </c>
      <c r="AN168" s="2" vm="5878">
        <f ca="1"/>
        <v>111.1</v>
      </c>
      <c r="AO168" s="2">
        <f t="shared" ca="1" si="113"/>
        <v>3.831775700934574E-2</v>
      </c>
      <c r="AP168" s="2" vm="3119">
        <f ca="1"/>
        <v>26.24</v>
      </c>
      <c r="AQ168" s="2">
        <f t="shared" ca="1" si="114"/>
        <v>3.8124285169645485E-4</v>
      </c>
      <c r="AR168" s="2" vm="2190">
        <f ca="1"/>
        <v>50.84</v>
      </c>
      <c r="AS168" s="2">
        <f t="shared" ca="1" si="115"/>
        <v>1.9673421207958128E-4</v>
      </c>
      <c r="AT168" s="2" vm="1747">
        <f ca="1"/>
        <v>29.08</v>
      </c>
      <c r="AU168" s="2">
        <f t="shared" ca="1" si="116"/>
        <v>3.439972480219474E-4</v>
      </c>
      <c r="AV168" s="2" vm="116">
        <f ca="1"/>
        <v>25.76</v>
      </c>
      <c r="AW168" s="2">
        <f t="shared" ca="1" si="117"/>
        <v>1.1659541391372381E-3</v>
      </c>
      <c r="AX168" s="2" vm="926">
        <f ca="1"/>
        <v>91.52</v>
      </c>
      <c r="AY168" s="2">
        <f t="shared" ca="1" si="118"/>
        <v>2.1857923497263412E-4</v>
      </c>
      <c r="AZ168" s="2" vm="5879">
        <f ca="1"/>
        <v>493.33</v>
      </c>
      <c r="BA168" s="2">
        <f t="shared" ca="1" si="119"/>
        <v>-4.0524385549001814E-4</v>
      </c>
      <c r="BB168" s="2" vm="3700">
        <f ca="1"/>
        <v>266.74</v>
      </c>
      <c r="BC168" s="2">
        <f t="shared" ca="1" si="120"/>
        <v>3.8008504873367358E-3</v>
      </c>
      <c r="BD168" s="2" vm="5880">
        <f ca="1"/>
        <v>44.87</v>
      </c>
      <c r="BE168" s="2">
        <f t="shared" ca="1" si="121"/>
        <v>-2.223704692016932E-3</v>
      </c>
      <c r="BF168" s="2" vm="5881">
        <f ca="1"/>
        <v>104.97</v>
      </c>
      <c r="BG168" s="2">
        <f t="shared" ca="1" si="122"/>
        <v>6.7133403663566021E-3</v>
      </c>
      <c r="BH168" s="2" vm="5882">
        <f ca="1"/>
        <v>140.76</v>
      </c>
      <c r="BI168" s="2">
        <f t="shared" ca="1" si="123"/>
        <v>3.9226873974750939E-3</v>
      </c>
      <c r="BJ168" s="2" vm="5883">
        <f ca="1"/>
        <v>155.22999999999999</v>
      </c>
      <c r="BK168" s="2">
        <f t="shared" ca="1" si="124"/>
        <v>1.2900728891181619E-3</v>
      </c>
      <c r="BL168" s="2" vm="5588">
        <f ca="1"/>
        <v>71.77</v>
      </c>
      <c r="BM168" s="2">
        <f t="shared" ca="1" si="125"/>
        <v>5.8864751226349226E-3</v>
      </c>
      <c r="BN168" s="2" vm="5884">
        <f ca="1"/>
        <v>304.77999999999997</v>
      </c>
      <c r="BO168" s="2">
        <f t="shared" ca="1" si="126"/>
        <v>-8.3940655908382386E-3</v>
      </c>
      <c r="BP168" s="2" vm="5885">
        <f ca="1"/>
        <v>115.66</v>
      </c>
      <c r="BQ168" s="2">
        <f t="shared" ca="1" si="127"/>
        <v>1.5452151009657513E-2</v>
      </c>
      <c r="BR168" s="2" vm="5886">
        <f ca="1"/>
        <v>1224.46</v>
      </c>
      <c r="BS168" s="2">
        <f t="shared" ca="1" si="128"/>
        <v>-1.370547131436386E-2</v>
      </c>
      <c r="BT168" s="2" vm="5887">
        <f ca="1"/>
        <v>162.56</v>
      </c>
      <c r="BU168" s="2">
        <f t="shared" ca="1" si="129"/>
        <v>-8.9013534934764531E-3</v>
      </c>
      <c r="BV168" s="2" vm="5888">
        <f ca="1"/>
        <v>129.96</v>
      </c>
      <c r="BW168" s="2">
        <f t="shared" ca="1" si="130"/>
        <v>-5.3833730677530704E-4</v>
      </c>
      <c r="BX168" s="2" vm="5889">
        <f ca="1"/>
        <v>233.5</v>
      </c>
      <c r="BY168" s="2">
        <f t="shared" ca="1" si="131"/>
        <v>1.5747346441621735E-2</v>
      </c>
      <c r="BZ168" s="2" vm="5890">
        <f ca="1"/>
        <v>87.46</v>
      </c>
      <c r="CA168" s="2">
        <f t="shared" ca="1" si="132"/>
        <v>4.8253676470586798E-3</v>
      </c>
      <c r="CB168" s="2" vm="5891">
        <f ca="1"/>
        <v>28.0304</v>
      </c>
      <c r="CC168" s="2">
        <f t="shared" ca="1" si="133"/>
        <v>1.1197691197691246E-2</v>
      </c>
      <c r="CD168" s="2" t="e" vm="92">
        <f ca="1"/>
        <v>#N/A</v>
      </c>
      <c r="CE168" s="2" t="e" vm="140">
        <f t="shared" ca="1" si="134"/>
        <v>#N/A</v>
      </c>
      <c r="CF168" s="2" vm="5347">
        <f ca="1"/>
        <v>22.605</v>
      </c>
      <c r="CG168" s="2">
        <f t="shared" ca="1" si="135"/>
        <v>1.1071744906998287E-3</v>
      </c>
      <c r="CH168" s="2" vm="1764">
        <f ca="1"/>
        <v>58.36</v>
      </c>
      <c r="CI168" s="2">
        <f t="shared" ca="1" si="136"/>
        <v>6.8587105624141203E-4</v>
      </c>
      <c r="CJ168" s="2" vm="1803">
        <f ca="1"/>
        <v>58.79</v>
      </c>
      <c r="CK168" s="2">
        <f t="shared" ca="1" si="137"/>
        <v>1.3626298756599948E-3</v>
      </c>
      <c r="CL168" s="2" vm="5892">
        <f ca="1"/>
        <v>54.42</v>
      </c>
      <c r="CM168" s="2">
        <f t="shared" ca="1" si="138"/>
        <v>1.2879484820607229E-3</v>
      </c>
      <c r="CN168" s="2" vm="2130">
        <f ca="1"/>
        <v>28.66</v>
      </c>
      <c r="CO168" s="2">
        <f t="shared" ca="1" si="139"/>
        <v>2.0979020979020532E-3</v>
      </c>
      <c r="CP168" s="2" vm="5893">
        <f ca="1"/>
        <v>21.7685</v>
      </c>
      <c r="CQ168" s="2">
        <f t="shared" ca="1" si="140"/>
        <v>2.2375793627042676E-3</v>
      </c>
    </row>
    <row r="169" spans="1:95" x14ac:dyDescent="0.2">
      <c r="A169" s="7" vm="5894">
        <f ca="1"/>
        <v>45818</v>
      </c>
      <c r="B169" s="2" vm="5895">
        <f ca="1"/>
        <v>202.67</v>
      </c>
      <c r="C169" s="2">
        <f t="shared" ca="1" si="94"/>
        <v>6.0560933234053062E-3</v>
      </c>
      <c r="D169" s="2" vm="5896">
        <f ca="1"/>
        <v>143.96</v>
      </c>
      <c r="E169" s="2">
        <f t="shared" ca="1" si="95"/>
        <v>9.3248264740938974E-3</v>
      </c>
      <c r="F169" s="2" vm="5897">
        <f ca="1"/>
        <v>470.92</v>
      </c>
      <c r="G169" s="2">
        <f t="shared" ca="1" si="96"/>
        <v>-3.87096774193545E-3</v>
      </c>
      <c r="H169" s="2" vm="5898">
        <f ca="1"/>
        <v>702.4</v>
      </c>
      <c r="I169" s="2">
        <f t="shared" ca="1" si="97"/>
        <v>1.2016252197216425E-2</v>
      </c>
      <c r="J169" s="2" vm="5899">
        <f ca="1"/>
        <v>178.6</v>
      </c>
      <c r="K169" s="2">
        <f t="shared" ca="1" si="98"/>
        <v>1.4254074620932426E-2</v>
      </c>
      <c r="L169" s="2" vm="5900">
        <f ca="1"/>
        <v>603.08000000000004</v>
      </c>
      <c r="M169" s="2">
        <f t="shared" ca="1" si="99"/>
        <v>5.6696905016010062E-3</v>
      </c>
      <c r="N169" s="2" vm="5901">
        <f ca="1"/>
        <v>85.88</v>
      </c>
      <c r="O169" s="2">
        <f t="shared" ca="1" si="100"/>
        <v>5.1498127340823706E-3</v>
      </c>
      <c r="P169" s="2" vm="5902">
        <f ca="1"/>
        <v>306.70999999999998</v>
      </c>
      <c r="Q169" s="2">
        <f t="shared" ca="1" si="101"/>
        <v>2.9352292740191438E-4</v>
      </c>
      <c r="R169" s="2" vm="5903">
        <f ca="1"/>
        <v>71.599999999999994</v>
      </c>
      <c r="S169" s="2">
        <f t="shared" ca="1" si="102"/>
        <v>-6.2456627342123922E-3</v>
      </c>
      <c r="T169" s="2" vm="5904">
        <f ca="1"/>
        <v>93.84</v>
      </c>
      <c r="U169" s="2">
        <f t="shared" ca="1" si="103"/>
        <v>1.7079419299743444E-3</v>
      </c>
      <c r="V169" s="2" vm="5905">
        <f ca="1"/>
        <v>46.62</v>
      </c>
      <c r="W169" s="2">
        <f t="shared" ca="1" si="104"/>
        <v>1.4886994180538288E-3</v>
      </c>
      <c r="X169" s="2" vm="5906">
        <f ca="1"/>
        <v>135.62</v>
      </c>
      <c r="Y169" s="2">
        <f t="shared" ca="1" si="105"/>
        <v>1.5804059621002276E-2</v>
      </c>
      <c r="Z169" s="2" vm="5907">
        <f ca="1"/>
        <v>85.06</v>
      </c>
      <c r="AA169" s="2">
        <f t="shared" ca="1" si="106"/>
        <v>1.7829364604523265E-2</v>
      </c>
      <c r="AB169" s="2" vm="5875">
        <f ca="1"/>
        <v>13.11</v>
      </c>
      <c r="AC169" s="2">
        <f t="shared" ca="1" si="107"/>
        <v>0</v>
      </c>
      <c r="AD169" s="2" vm="3990">
        <f ca="1"/>
        <v>3.1</v>
      </c>
      <c r="AE169" s="2" t="e" vm="140">
        <f t="shared" ca="1" si="108"/>
        <v>#N/A</v>
      </c>
      <c r="AF169" s="2" vm="5908">
        <f ca="1"/>
        <v>33.229999999999997</v>
      </c>
      <c r="AG169" s="2">
        <f t="shared" ca="1" si="109"/>
        <v>-4.7918538484577325E-3</v>
      </c>
      <c r="AH169" s="2" vm="3782">
        <f ca="1"/>
        <v>27.07</v>
      </c>
      <c r="AI169" s="2">
        <f t="shared" ca="1" si="110"/>
        <v>-1.1683096020445429E-2</v>
      </c>
      <c r="AJ169" s="2" vm="5164">
        <f ca="1"/>
        <v>4.54</v>
      </c>
      <c r="AK169" s="2">
        <f t="shared" ca="1" si="111"/>
        <v>-1.5184381778741925E-2</v>
      </c>
      <c r="AL169" s="2" vm="5266">
        <f ca="1"/>
        <v>65.930000000000007</v>
      </c>
      <c r="AM169" s="2">
        <f t="shared" ca="1" si="112"/>
        <v>4.552352048558594E-4</v>
      </c>
      <c r="AN169" s="2" vm="5909">
        <f ca="1"/>
        <v>111.21</v>
      </c>
      <c r="AO169" s="2">
        <f t="shared" ca="1" si="113"/>
        <v>9.9009900990098512E-4</v>
      </c>
      <c r="AP169" s="2" vm="2222">
        <f ca="1"/>
        <v>26.25</v>
      </c>
      <c r="AQ169" s="2">
        <f t="shared" ca="1" si="114"/>
        <v>3.8109756097566935E-4</v>
      </c>
      <c r="AR169" s="2" vm="799">
        <f ca="1"/>
        <v>50.85</v>
      </c>
      <c r="AS169" s="2">
        <f t="shared" ca="1" si="115"/>
        <v>1.9669551534221106E-4</v>
      </c>
      <c r="AT169" s="2" vm="1747">
        <f ca="1"/>
        <v>29.08</v>
      </c>
      <c r="AU169" s="2">
        <f t="shared" ca="1" si="116"/>
        <v>0</v>
      </c>
      <c r="AV169" s="2" vm="5334">
        <f ca="1"/>
        <v>25.87</v>
      </c>
      <c r="AW169" s="2">
        <f t="shared" ca="1" si="117"/>
        <v>4.2701863354037044E-3</v>
      </c>
      <c r="AX169" s="2" vm="968">
        <f ca="1"/>
        <v>91.53</v>
      </c>
      <c r="AY169" s="2">
        <f t="shared" ca="1" si="118"/>
        <v>1.0926573426579017E-4</v>
      </c>
      <c r="AZ169" s="2" vm="5910">
        <f ca="1"/>
        <v>491.13</v>
      </c>
      <c r="BA169" s="2">
        <f t="shared" ca="1" si="119"/>
        <v>-4.4594895911458628E-3</v>
      </c>
      <c r="BB169" s="2" vm="5911">
        <f ca="1"/>
        <v>268.60000000000002</v>
      </c>
      <c r="BC169" s="2">
        <f t="shared" ca="1" si="120"/>
        <v>6.9730824023394077E-3</v>
      </c>
      <c r="BD169" s="2" vm="5912">
        <f ca="1"/>
        <v>45.09</v>
      </c>
      <c r="BE169" s="2">
        <f t="shared" ca="1" si="121"/>
        <v>4.9030532649878755E-3</v>
      </c>
      <c r="BF169" s="2" vm="5913">
        <f ca="1"/>
        <v>107.22</v>
      </c>
      <c r="BG169" s="2">
        <f t="shared" ca="1" si="122"/>
        <v>2.1434695627322094E-2</v>
      </c>
      <c r="BH169" s="2" vm="5914">
        <f ca="1"/>
        <v>143.35</v>
      </c>
      <c r="BI169" s="2">
        <f t="shared" ca="1" si="123"/>
        <v>1.8400113668655894E-2</v>
      </c>
      <c r="BJ169" s="2" vm="5915">
        <f ca="1"/>
        <v>156.44999999999999</v>
      </c>
      <c r="BK169" s="2">
        <f t="shared" ca="1" si="124"/>
        <v>7.8593055466082522E-3</v>
      </c>
      <c r="BL169" s="2" vm="5017">
        <f ca="1"/>
        <v>72.349999999999994</v>
      </c>
      <c r="BM169" s="2">
        <f t="shared" ca="1" si="125"/>
        <v>8.081371046398193E-3</v>
      </c>
      <c r="BN169" s="2" vm="5916">
        <f ca="1"/>
        <v>300.43</v>
      </c>
      <c r="BO169" s="2">
        <f t="shared" ca="1" si="126"/>
        <v>-1.4272590064964782E-2</v>
      </c>
      <c r="BP169" s="2" vm="5917">
        <f ca="1"/>
        <v>118.73</v>
      </c>
      <c r="BQ169" s="2">
        <f t="shared" ca="1" si="127"/>
        <v>2.6543316617672553E-2</v>
      </c>
      <c r="BR169" s="2" vm="5918">
        <f ca="1"/>
        <v>1203.6199999999999</v>
      </c>
      <c r="BS169" s="2">
        <f t="shared" ca="1" si="128"/>
        <v>-1.7019747480522145E-2</v>
      </c>
      <c r="BT169" s="2" vm="4026">
        <f ca="1"/>
        <v>162.84</v>
      </c>
      <c r="BU169" s="2">
        <f t="shared" ca="1" si="129"/>
        <v>1.7224409448818967E-3</v>
      </c>
      <c r="BV169" s="2" vm="5919">
        <f ca="1"/>
        <v>131.83000000000001</v>
      </c>
      <c r="BW169" s="2">
        <f t="shared" ca="1" si="130"/>
        <v>1.4389042782394617E-2</v>
      </c>
      <c r="BX169" s="2" vm="5920">
        <f ca="1"/>
        <v>241.42</v>
      </c>
      <c r="BY169" s="2">
        <f t="shared" ca="1" si="131"/>
        <v>3.3918629550321149E-2</v>
      </c>
      <c r="BZ169" s="2" vm="5921">
        <f ca="1"/>
        <v>88.98</v>
      </c>
      <c r="CA169" s="2">
        <f t="shared" ca="1" si="132"/>
        <v>1.737937342785285E-2</v>
      </c>
      <c r="CB169" s="2" vm="5563">
        <f ca="1"/>
        <v>28.45</v>
      </c>
      <c r="CC169" s="2">
        <f t="shared" ca="1" si="133"/>
        <v>1.4969461727267505E-2</v>
      </c>
      <c r="CD169" s="2" t="e" vm="92">
        <f ca="1"/>
        <v>#N/A</v>
      </c>
      <c r="CE169" s="2" t="e" vm="140">
        <f t="shared" ca="1" si="134"/>
        <v>#N/A</v>
      </c>
      <c r="CF169" s="2" vm="1382">
        <f ca="1"/>
        <v>22.63</v>
      </c>
      <c r="CG169" s="2">
        <f t="shared" ca="1" si="135"/>
        <v>1.1059500110594373E-3</v>
      </c>
      <c r="CH169" s="2" vm="1259">
        <f ca="1"/>
        <v>58.37</v>
      </c>
      <c r="CI169" s="2">
        <f t="shared" ca="1" si="136"/>
        <v>1.7135023989030176E-4</v>
      </c>
      <c r="CJ169" s="2" vm="1535">
        <f ca="1"/>
        <v>58.85</v>
      </c>
      <c r="CK169" s="2">
        <f t="shared" ca="1" si="137"/>
        <v>1.0205817315870433E-3</v>
      </c>
      <c r="CL169" s="2" vm="5922">
        <f ca="1"/>
        <v>54.65</v>
      </c>
      <c r="CM169" s="2">
        <f t="shared" ca="1" si="138"/>
        <v>4.2263873575890641E-3</v>
      </c>
      <c r="CN169" s="2" vm="3100">
        <f ca="1"/>
        <v>28.7</v>
      </c>
      <c r="CO169" s="2">
        <f t="shared" ca="1" si="139"/>
        <v>1.3956734124214636E-3</v>
      </c>
      <c r="CP169" s="2" vm="5923">
        <f ca="1"/>
        <v>21.845600000000001</v>
      </c>
      <c r="CQ169" s="2">
        <f t="shared" ca="1" si="140"/>
        <v>3.5418150079243632E-3</v>
      </c>
    </row>
    <row r="170" spans="1:95" x14ac:dyDescent="0.2">
      <c r="A170" s="7" vm="5924">
        <f ca="1"/>
        <v>45819</v>
      </c>
      <c r="B170" s="2" vm="5925">
        <f ca="1"/>
        <v>198.78</v>
      </c>
      <c r="C170" s="2">
        <f t="shared" ca="1" si="94"/>
        <v>-1.9193763260472622E-2</v>
      </c>
      <c r="D170" s="2" vm="5926">
        <f ca="1"/>
        <v>142.83000000000001</v>
      </c>
      <c r="E170" s="2">
        <f t="shared" ca="1" si="95"/>
        <v>-7.8494026118365885E-3</v>
      </c>
      <c r="F170" s="2" vm="5927">
        <f ca="1"/>
        <v>472.62</v>
      </c>
      <c r="G170" s="2">
        <f t="shared" ca="1" si="96"/>
        <v>3.6099549817378506E-3</v>
      </c>
      <c r="H170" s="2" vm="5928">
        <f ca="1"/>
        <v>694.14</v>
      </c>
      <c r="I170" s="2">
        <f t="shared" ca="1" si="97"/>
        <v>-1.1759681093394064E-2</v>
      </c>
      <c r="J170" s="2" vm="5929">
        <f ca="1"/>
        <v>177.35</v>
      </c>
      <c r="K170" s="2">
        <f t="shared" ca="1" si="98"/>
        <v>-6.998880179171333E-3</v>
      </c>
      <c r="L170" s="2" vm="5930">
        <f ca="1"/>
        <v>601.36</v>
      </c>
      <c r="M170" s="2">
        <f t="shared" ca="1" si="99"/>
        <v>-2.8520262651721617E-3</v>
      </c>
      <c r="N170" s="2" vm="5931">
        <f ca="1"/>
        <v>86.14</v>
      </c>
      <c r="O170" s="2">
        <f t="shared" ca="1" si="100"/>
        <v>3.0274802049371813E-3</v>
      </c>
      <c r="P170" s="2" vm="5932">
        <f ca="1"/>
        <v>308.37</v>
      </c>
      <c r="Q170" s="2">
        <f t="shared" ca="1" si="101"/>
        <v>5.4122786997490308E-3</v>
      </c>
      <c r="R170" s="2" vm="2297">
        <f ca="1"/>
        <v>74.819999999999993</v>
      </c>
      <c r="S170" s="2">
        <f t="shared" ca="1" si="102"/>
        <v>4.4972067039106133E-2</v>
      </c>
      <c r="T170" s="2" vm="4097">
        <f ca="1"/>
        <v>94.23</v>
      </c>
      <c r="U170" s="2">
        <f t="shared" ca="1" si="103"/>
        <v>4.1560102301790337E-3</v>
      </c>
      <c r="V170" s="2" vm="5933">
        <f ca="1"/>
        <v>46.754600000000003</v>
      </c>
      <c r="W170" s="2">
        <f t="shared" ca="1" si="104"/>
        <v>2.8871728871730173E-3</v>
      </c>
      <c r="X170" s="2" vm="5934">
        <f ca="1"/>
        <v>138.03</v>
      </c>
      <c r="Y170" s="2">
        <f t="shared" ca="1" si="105"/>
        <v>1.7770240377525413E-2</v>
      </c>
      <c r="Z170" s="2" vm="5935">
        <f ca="1"/>
        <v>86.29</v>
      </c>
      <c r="AA170" s="2">
        <f t="shared" ca="1" si="106"/>
        <v>1.4460380907594685E-2</v>
      </c>
      <c r="AB170" s="2" vm="4081">
        <f ca="1"/>
        <v>13.69</v>
      </c>
      <c r="AC170" s="2">
        <f t="shared" ca="1" si="107"/>
        <v>4.4241037376048828E-2</v>
      </c>
      <c r="AD170" s="2" vm="5936">
        <f ca="1"/>
        <v>3.19</v>
      </c>
      <c r="AE170" s="2">
        <f t="shared" ca="1" si="108"/>
        <v>2.9032258064516082E-2</v>
      </c>
      <c r="AF170" s="2" vm="5937">
        <f ca="1"/>
        <v>32.950000000000003</v>
      </c>
      <c r="AG170" s="2">
        <f t="shared" ca="1" si="109"/>
        <v>-8.4261209750223914E-3</v>
      </c>
      <c r="AH170" s="2" vm="3898">
        <f ca="1"/>
        <v>27.05</v>
      </c>
      <c r="AI170" s="2">
        <f t="shared" ca="1" si="110"/>
        <v>-7.3882526782414386E-4</v>
      </c>
      <c r="AJ170" s="2" vm="5164">
        <f ca="1"/>
        <v>4.54</v>
      </c>
      <c r="AK170" s="2">
        <f t="shared" ca="1" si="111"/>
        <v>0</v>
      </c>
      <c r="AL170" s="2" vm="5938">
        <f ca="1"/>
        <v>66.27</v>
      </c>
      <c r="AM170" s="2">
        <f t="shared" ca="1" si="112"/>
        <v>5.1569846807218139E-3</v>
      </c>
      <c r="AN170" s="2" vm="5939">
        <f ca="1"/>
        <v>114.71</v>
      </c>
      <c r="AO170" s="2">
        <f t="shared" ca="1" si="113"/>
        <v>3.1471989928963225E-2</v>
      </c>
      <c r="AP170" s="2" vm="594">
        <f ca="1"/>
        <v>26.29</v>
      </c>
      <c r="AQ170" s="2">
        <f t="shared" ca="1" si="114"/>
        <v>1.5238095238094913E-3</v>
      </c>
      <c r="AR170" s="2" vm="1590">
        <f ca="1"/>
        <v>50.86</v>
      </c>
      <c r="AS170" s="2">
        <f t="shared" ca="1" si="115"/>
        <v>1.9665683382493628E-4</v>
      </c>
      <c r="AT170" s="2" vm="759">
        <f ca="1"/>
        <v>29.12</v>
      </c>
      <c r="AU170" s="2">
        <f t="shared" ca="1" si="116"/>
        <v>1.3755158184320048E-3</v>
      </c>
      <c r="AV170" s="2" vm="2673">
        <f ca="1"/>
        <v>25.97</v>
      </c>
      <c r="AW170" s="2">
        <f t="shared" ca="1" si="117"/>
        <v>3.865481252415843E-3</v>
      </c>
      <c r="AX170" s="2" vm="968">
        <f ca="1"/>
        <v>91.53</v>
      </c>
      <c r="AY170" s="2">
        <f t="shared" ca="1" si="118"/>
        <v>0</v>
      </c>
      <c r="AZ170" s="2" vm="5940">
        <f ca="1"/>
        <v>488.14</v>
      </c>
      <c r="BA170" s="2">
        <f t="shared" ca="1" si="119"/>
        <v>-6.0880011402276567E-3</v>
      </c>
      <c r="BB170" s="2" vm="5941">
        <f ca="1"/>
        <v>268.14999999999998</v>
      </c>
      <c r="BC170" s="2">
        <f t="shared" ca="1" si="120"/>
        <v>-1.6753536857782778E-3</v>
      </c>
      <c r="BD170" s="2" vm="5942">
        <f ca="1"/>
        <v>44.73</v>
      </c>
      <c r="BE170" s="2">
        <f t="shared" ca="1" si="121"/>
        <v>-7.9840319361278896E-3</v>
      </c>
      <c r="BF170" s="2" vm="3776">
        <f ca="1"/>
        <v>109.31</v>
      </c>
      <c r="BG170" s="2">
        <f t="shared" ca="1" si="122"/>
        <v>1.9492631971647113E-2</v>
      </c>
      <c r="BH170" s="2" vm="2684">
        <f ca="1"/>
        <v>144.78</v>
      </c>
      <c r="BI170" s="2">
        <f t="shared" ca="1" si="123"/>
        <v>9.9755842343913978E-3</v>
      </c>
      <c r="BJ170" s="2" vm="3323">
        <f ca="1"/>
        <v>155.26</v>
      </c>
      <c r="BK170" s="2">
        <f t="shared" ca="1" si="124"/>
        <v>-7.6062639821028941E-3</v>
      </c>
      <c r="BL170" s="2" vm="1232">
        <f ca="1"/>
        <v>72.069999999999993</v>
      </c>
      <c r="BM170" s="2">
        <f t="shared" ca="1" si="125"/>
        <v>-3.8700760193503959E-3</v>
      </c>
      <c r="BN170" s="2" vm="5943">
        <f ca="1"/>
        <v>301.72000000000003</v>
      </c>
      <c r="BO170" s="2">
        <f t="shared" ca="1" si="126"/>
        <v>4.2938454881337428E-3</v>
      </c>
      <c r="BP170" s="2" vm="5944">
        <f ca="1"/>
        <v>119.52</v>
      </c>
      <c r="BQ170" s="2">
        <f t="shared" ca="1" si="127"/>
        <v>6.6537522108986108E-3</v>
      </c>
      <c r="BR170" s="2" vm="5945">
        <f ca="1"/>
        <v>1219.8800000000001</v>
      </c>
      <c r="BS170" s="2">
        <f t="shared" ca="1" si="128"/>
        <v>1.350924710456807E-2</v>
      </c>
      <c r="BT170" s="2" vm="1525">
        <f ca="1"/>
        <v>162.11000000000001</v>
      </c>
      <c r="BU170" s="2">
        <f t="shared" ca="1" si="129"/>
        <v>-4.4829280275116047E-3</v>
      </c>
      <c r="BV170" s="2" vm="5946">
        <f ca="1"/>
        <v>129.9</v>
      </c>
      <c r="BW170" s="2">
        <f t="shared" ca="1" si="130"/>
        <v>-1.4640066752636021E-2</v>
      </c>
      <c r="BX170" s="2" vm="3401">
        <f ca="1"/>
        <v>244.47</v>
      </c>
      <c r="BY170" s="2">
        <f t="shared" ca="1" si="131"/>
        <v>1.2633584624306237E-2</v>
      </c>
      <c r="BZ170" s="2" vm="5947">
        <f ca="1"/>
        <v>90.49</v>
      </c>
      <c r="CA170" s="2">
        <f t="shared" ca="1" si="132"/>
        <v>1.6970105641717137E-2</v>
      </c>
      <c r="CB170" s="2" vm="1090">
        <f ca="1"/>
        <v>28.97</v>
      </c>
      <c r="CC170" s="2">
        <f t="shared" ca="1" si="133"/>
        <v>1.8277680140597524E-2</v>
      </c>
      <c r="CD170" s="2" t="e" vm="92">
        <f ca="1"/>
        <v>#N/A</v>
      </c>
      <c r="CE170" s="2" t="e" vm="140">
        <f t="shared" ca="1" si="134"/>
        <v>#N/A</v>
      </c>
      <c r="CF170" s="2" vm="4540">
        <f ca="1"/>
        <v>22.69</v>
      </c>
      <c r="CG170" s="2">
        <f t="shared" ca="1" si="135"/>
        <v>2.6513477684490623E-3</v>
      </c>
      <c r="CH170" s="2" vm="1300">
        <f ca="1"/>
        <v>58.44</v>
      </c>
      <c r="CI170" s="2">
        <f t="shared" ca="1" si="136"/>
        <v>1.1992461881103356E-3</v>
      </c>
      <c r="CJ170" s="2" vm="1765">
        <f ca="1"/>
        <v>59.04</v>
      </c>
      <c r="CK170" s="2">
        <f t="shared" ca="1" si="137"/>
        <v>3.2285471537807598E-3</v>
      </c>
      <c r="CL170" s="2" vm="5948">
        <f ca="1"/>
        <v>54.85</v>
      </c>
      <c r="CM170" s="2">
        <f t="shared" ca="1" si="138"/>
        <v>3.6596523330284145E-3</v>
      </c>
      <c r="CN170" s="2" vm="2056">
        <f ca="1"/>
        <v>28.79</v>
      </c>
      <c r="CO170" s="2">
        <f t="shared" ca="1" si="139"/>
        <v>3.1358885017421555E-3</v>
      </c>
      <c r="CP170" s="2" vm="5949">
        <f ca="1"/>
        <v>21.758500000000002</v>
      </c>
      <c r="CQ170" s="2">
        <f t="shared" ca="1" si="140"/>
        <v>-3.9870729117075978E-3</v>
      </c>
    </row>
    <row r="171" spans="1:95" x14ac:dyDescent="0.2">
      <c r="A171" s="7" vm="5950">
        <f ca="1"/>
        <v>45820</v>
      </c>
      <c r="B171" s="2" vm="5951">
        <f ca="1"/>
        <v>199.2</v>
      </c>
      <c r="C171" s="2">
        <f t="shared" ca="1" si="94"/>
        <v>2.112888620585509E-3</v>
      </c>
      <c r="D171" s="2" vm="5952">
        <f ca="1"/>
        <v>145</v>
      </c>
      <c r="E171" s="2">
        <f t="shared" ca="1" si="95"/>
        <v>1.5192886648463119E-2</v>
      </c>
      <c r="F171" s="2" vm="5953">
        <f ca="1"/>
        <v>478.87</v>
      </c>
      <c r="G171" s="2">
        <f t="shared" ca="1" si="96"/>
        <v>1.3224154712030808E-2</v>
      </c>
      <c r="H171" s="2" vm="5954">
        <f ca="1"/>
        <v>693.36</v>
      </c>
      <c r="I171" s="2">
        <f t="shared" ca="1" si="97"/>
        <v>-1.1236926268475707E-3</v>
      </c>
      <c r="J171" s="2" vm="5955">
        <f ca="1"/>
        <v>175.7</v>
      </c>
      <c r="K171" s="2">
        <f t="shared" ca="1" si="98"/>
        <v>-9.3036368762334683E-3</v>
      </c>
      <c r="L171" s="2" vm="5956">
        <f ca="1"/>
        <v>603.75</v>
      </c>
      <c r="M171" s="2">
        <f t="shared" ca="1" si="99"/>
        <v>3.9743248636423881E-3</v>
      </c>
      <c r="N171" s="2" vm="5957">
        <f ca="1"/>
        <v>87.17</v>
      </c>
      <c r="O171" s="2">
        <f t="shared" ca="1" si="100"/>
        <v>1.1957278848386361E-2</v>
      </c>
      <c r="P171" s="2" vm="5958">
        <f ca="1"/>
        <v>312.2</v>
      </c>
      <c r="Q171" s="2">
        <f t="shared" ca="1" si="101"/>
        <v>1.242014463144918E-2</v>
      </c>
      <c r="R171" s="2" vm="5959">
        <f ca="1"/>
        <v>75.05</v>
      </c>
      <c r="S171" s="2">
        <f t="shared" ca="1" si="102"/>
        <v>3.0740443731623094E-3</v>
      </c>
      <c r="T171" s="2" vm="5960">
        <f ca="1"/>
        <v>94.64</v>
      </c>
      <c r="U171" s="2">
        <f t="shared" ca="1" si="103"/>
        <v>4.3510559269871229E-3</v>
      </c>
      <c r="V171" s="2" vm="5961">
        <f ca="1"/>
        <v>46.965000000000003</v>
      </c>
      <c r="W171" s="2">
        <f t="shared" ca="1" si="104"/>
        <v>4.500091969560212E-3</v>
      </c>
      <c r="X171" s="2" vm="5962">
        <f ca="1"/>
        <v>138.11000000000001</v>
      </c>
      <c r="Y171" s="2">
        <f t="shared" ca="1" si="105"/>
        <v>5.7958414837363257E-4</v>
      </c>
      <c r="Z171" s="2" vm="5963">
        <f ca="1"/>
        <v>86.59</v>
      </c>
      <c r="AA171" s="2">
        <f t="shared" ca="1" si="106"/>
        <v>3.4766485108355212E-3</v>
      </c>
      <c r="AB171" s="2" vm="5964">
        <f ca="1"/>
        <v>13.6</v>
      </c>
      <c r="AC171" s="2">
        <f t="shared" ca="1" si="107"/>
        <v>-6.5741417092768347E-3</v>
      </c>
      <c r="AD171" s="2" vm="5936">
        <f ca="1"/>
        <v>3.19</v>
      </c>
      <c r="AE171" s="2">
        <f t="shared" ca="1" si="108"/>
        <v>0</v>
      </c>
      <c r="AF171" s="2" vm="5965">
        <f ca="1"/>
        <v>33.06</v>
      </c>
      <c r="AG171" s="2">
        <f t="shared" ca="1" si="109"/>
        <v>3.3383915022761586E-3</v>
      </c>
      <c r="AH171" s="2" vm="801">
        <f ca="1"/>
        <v>27.01</v>
      </c>
      <c r="AI171" s="2">
        <f t="shared" ca="1" si="110"/>
        <v>-1.4787430683918354E-3</v>
      </c>
      <c r="AJ171" s="2" vm="5966">
        <f ca="1"/>
        <v>4.49</v>
      </c>
      <c r="AK171" s="2">
        <f t="shared" ca="1" si="111"/>
        <v>-1.1013215859030798E-2</v>
      </c>
      <c r="AL171" s="2" vm="5967">
        <f ca="1"/>
        <v>67.099999999999994</v>
      </c>
      <c r="AM171" s="2">
        <f t="shared" ca="1" si="112"/>
        <v>1.2524520899351113E-2</v>
      </c>
      <c r="AN171" s="2" vm="5968">
        <f ca="1"/>
        <v>117.86</v>
      </c>
      <c r="AO171" s="2">
        <f t="shared" ca="1" si="113"/>
        <v>2.7460552698108324E-2</v>
      </c>
      <c r="AP171" s="2" vm="421">
        <f ca="1"/>
        <v>26.37</v>
      </c>
      <c r="AQ171" s="2">
        <f t="shared" ca="1" si="114"/>
        <v>3.0429821224801008E-3</v>
      </c>
      <c r="AR171" s="2" vm="843">
        <f ca="1"/>
        <v>50.88</v>
      </c>
      <c r="AS171" s="2">
        <f t="shared" ca="1" si="115"/>
        <v>3.9323633503741891E-4</v>
      </c>
      <c r="AT171" s="2" vm="596">
        <f ca="1"/>
        <v>29.15</v>
      </c>
      <c r="AU171" s="2">
        <f t="shared" ca="1" si="116"/>
        <v>1.0302197802196972E-3</v>
      </c>
      <c r="AV171" s="2" vm="634">
        <f ca="1"/>
        <v>26.26</v>
      </c>
      <c r="AW171" s="2">
        <f t="shared" ca="1" si="117"/>
        <v>1.1166730843280813E-2</v>
      </c>
      <c r="AX171" s="2" vm="76">
        <f ca="1"/>
        <v>91.54</v>
      </c>
      <c r="AY171" s="2">
        <f t="shared" ca="1" si="118"/>
        <v>1.0925379656948667E-4</v>
      </c>
      <c r="AZ171" s="2" vm="5969">
        <f ca="1"/>
        <v>490.34</v>
      </c>
      <c r="BA171" s="2">
        <f t="shared" ca="1" si="119"/>
        <v>4.506903757118836E-3</v>
      </c>
      <c r="BB171" s="2" vm="5970">
        <f ca="1"/>
        <v>268.24</v>
      </c>
      <c r="BC171" s="2">
        <f t="shared" ca="1" si="120"/>
        <v>3.356330412083977E-4</v>
      </c>
      <c r="BD171" s="2" vm="5971">
        <f ca="1"/>
        <v>44.62</v>
      </c>
      <c r="BE171" s="2">
        <f t="shared" ca="1" si="121"/>
        <v>-2.4591996422982211E-3</v>
      </c>
      <c r="BF171" s="2" vm="3586">
        <f ca="1"/>
        <v>109.73</v>
      </c>
      <c r="BG171" s="2">
        <f t="shared" ca="1" si="122"/>
        <v>3.842283414143278E-3</v>
      </c>
      <c r="BH171" s="2" vm="2678">
        <f ca="1"/>
        <v>144.97</v>
      </c>
      <c r="BI171" s="2">
        <f t="shared" ca="1" si="123"/>
        <v>1.3123359580052337E-3</v>
      </c>
      <c r="BJ171" s="2" vm="5972">
        <f ca="1"/>
        <v>156.66</v>
      </c>
      <c r="BK171" s="2">
        <f t="shared" ca="1" si="124"/>
        <v>9.0171325518485501E-3</v>
      </c>
      <c r="BL171" s="2" vm="5973">
        <f ca="1"/>
        <v>72.239999999999995</v>
      </c>
      <c r="BM171" s="2">
        <f t="shared" ca="1" si="125"/>
        <v>2.3588178160122344E-3</v>
      </c>
      <c r="BN171" s="2" vm="5974">
        <f ca="1"/>
        <v>303.16000000000003</v>
      </c>
      <c r="BO171" s="2">
        <f t="shared" ca="1" si="126"/>
        <v>4.7726368818772295E-3</v>
      </c>
      <c r="BP171" s="2" vm="849">
        <f ca="1"/>
        <v>118.61</v>
      </c>
      <c r="BQ171" s="2">
        <f t="shared" ca="1" si="127"/>
        <v>-7.6137884872824347E-3</v>
      </c>
      <c r="BR171" s="2" vm="5975">
        <f ca="1"/>
        <v>1215.03</v>
      </c>
      <c r="BS171" s="2">
        <f t="shared" ca="1" si="128"/>
        <v>-3.9758008984491396E-3</v>
      </c>
      <c r="BT171" s="2" vm="5976">
        <f ca="1"/>
        <v>163.18</v>
      </c>
      <c r="BU171" s="2">
        <f t="shared" ca="1" si="129"/>
        <v>6.6004564801677443E-3</v>
      </c>
      <c r="BV171" s="2" vm="5977">
        <f ca="1"/>
        <v>132.30000000000001</v>
      </c>
      <c r="BW171" s="2">
        <f t="shared" ca="1" si="130"/>
        <v>1.8475750577367247E-2</v>
      </c>
      <c r="BX171" s="2" vm="5978">
        <f ca="1"/>
        <v>243.7</v>
      </c>
      <c r="BY171" s="2">
        <f t="shared" ca="1" si="131"/>
        <v>-3.1496707162433435E-3</v>
      </c>
      <c r="BZ171" s="2" vm="2588">
        <f ca="1"/>
        <v>91.17</v>
      </c>
      <c r="CA171" s="2">
        <f t="shared" ca="1" si="132"/>
        <v>7.5146425019339911E-3</v>
      </c>
      <c r="CB171" s="2" vm="253">
        <f ca="1"/>
        <v>29.19</v>
      </c>
      <c r="CC171" s="2">
        <f t="shared" ca="1" si="133"/>
        <v>7.5940628236107156E-3</v>
      </c>
      <c r="CD171" s="2" t="e" vm="92">
        <f ca="1"/>
        <v>#N/A</v>
      </c>
      <c r="CE171" s="2" t="e" vm="140">
        <f t="shared" ca="1" si="134"/>
        <v>#N/A</v>
      </c>
      <c r="CF171" s="2" vm="861">
        <f ca="1"/>
        <v>22.77</v>
      </c>
      <c r="CG171" s="2">
        <f t="shared" ca="1" si="135"/>
        <v>3.5257822829439529E-3</v>
      </c>
      <c r="CH171" s="2" vm="527">
        <f ca="1"/>
        <v>58.5</v>
      </c>
      <c r="CI171" s="2">
        <f t="shared" ca="1" si="136"/>
        <v>1.0266940451745768E-3</v>
      </c>
      <c r="CJ171" s="2" vm="5979">
        <f ca="1"/>
        <v>59.21</v>
      </c>
      <c r="CK171" s="2">
        <f t="shared" ca="1" si="137"/>
        <v>2.8794037940379695E-3</v>
      </c>
      <c r="CL171" s="2" vm="5980">
        <f ca="1"/>
        <v>55.46</v>
      </c>
      <c r="CM171" s="2">
        <f t="shared" ca="1" si="138"/>
        <v>1.1121239744758421E-2</v>
      </c>
      <c r="CN171" s="2" vm="290">
        <f ca="1"/>
        <v>28.91</v>
      </c>
      <c r="CO171" s="2">
        <f t="shared" ca="1" si="139"/>
        <v>4.168113928447412E-3</v>
      </c>
      <c r="CP171" s="2" vm="5981">
        <f ca="1"/>
        <v>21.83</v>
      </c>
      <c r="CQ171" s="2">
        <f t="shared" ca="1" si="140"/>
        <v>3.2860721097500646E-3</v>
      </c>
    </row>
    <row r="172" spans="1:95" x14ac:dyDescent="0.2">
      <c r="A172" s="7" vm="5982">
        <f ca="1"/>
        <v>45821</v>
      </c>
      <c r="B172" s="2" vm="5983">
        <f ca="1"/>
        <v>196.45</v>
      </c>
      <c r="C172" s="2">
        <f t="shared" ca="1" si="94"/>
        <v>-1.3805220883534136E-2</v>
      </c>
      <c r="D172" s="2" vm="5984">
        <f ca="1"/>
        <v>141.97</v>
      </c>
      <c r="E172" s="2">
        <f t="shared" ca="1" si="95"/>
        <v>-2.089655172413794E-2</v>
      </c>
      <c r="F172" s="2" vm="5985">
        <f ca="1"/>
        <v>474.96</v>
      </c>
      <c r="G172" s="2">
        <f t="shared" ca="1" si="96"/>
        <v>-8.165055234197225E-3</v>
      </c>
      <c r="H172" s="2" vm="5986">
        <f ca="1"/>
        <v>682.87</v>
      </c>
      <c r="I172" s="2">
        <f t="shared" ca="1" si="97"/>
        <v>-1.5129225799007743E-2</v>
      </c>
      <c r="J172" s="2" vm="352">
        <f ca="1"/>
        <v>174.67</v>
      </c>
      <c r="K172" s="2">
        <f t="shared" ca="1" si="98"/>
        <v>-5.8622652248150322E-3</v>
      </c>
      <c r="L172" s="2" vm="5987">
        <f ca="1"/>
        <v>597</v>
      </c>
      <c r="M172" s="2">
        <f t="shared" ca="1" si="99"/>
        <v>-1.1180124223602485E-2</v>
      </c>
      <c r="N172" s="2" vm="5988">
        <f ca="1"/>
        <v>86.33</v>
      </c>
      <c r="O172" s="2">
        <f t="shared" ca="1" si="100"/>
        <v>-9.6363427784788742E-3</v>
      </c>
      <c r="P172" s="2" vm="5989">
        <f ca="1"/>
        <v>316.29000000000002</v>
      </c>
      <c r="Q172" s="2">
        <f t="shared" ca="1" si="101"/>
        <v>1.3100576553491455E-2</v>
      </c>
      <c r="R172" s="2" vm="5990">
        <f ca="1"/>
        <v>80.22</v>
      </c>
      <c r="S172" s="2">
        <f t="shared" ca="1" si="102"/>
        <v>6.8887408394403757E-2</v>
      </c>
      <c r="T172" s="2" vm="5665">
        <f ca="1"/>
        <v>94.29</v>
      </c>
      <c r="U172" s="2">
        <f t="shared" ca="1" si="103"/>
        <v>-3.6982248520709459E-3</v>
      </c>
      <c r="V172" s="2" vm="2906">
        <f ca="1"/>
        <v>46.73</v>
      </c>
      <c r="W172" s="2">
        <f t="shared" ca="1" si="104"/>
        <v>-5.0037261790696584E-3</v>
      </c>
      <c r="X172" s="2" vm="5991">
        <f ca="1"/>
        <v>132.11000000000001</v>
      </c>
      <c r="Y172" s="2">
        <f t="shared" ca="1" si="105"/>
        <v>-4.3443631887625803E-2</v>
      </c>
      <c r="Z172" s="2" vm="3407">
        <f ca="1"/>
        <v>88.1</v>
      </c>
      <c r="AA172" s="2">
        <f t="shared" ca="1" si="106"/>
        <v>1.7438503291373031E-2</v>
      </c>
      <c r="AB172" s="2" vm="5992">
        <f ca="1"/>
        <v>14.32</v>
      </c>
      <c r="AC172" s="2">
        <f t="shared" ca="1" si="107"/>
        <v>5.2941176470588283E-2</v>
      </c>
      <c r="AD172" s="2" vm="1740">
        <f ca="1"/>
        <v>3.2</v>
      </c>
      <c r="AE172" s="2">
        <f t="shared" ca="1" si="108"/>
        <v>3.1347962382445864E-3</v>
      </c>
      <c r="AF172" s="2" vm="5993">
        <f ca="1"/>
        <v>32.97</v>
      </c>
      <c r="AG172" s="2">
        <f t="shared" ca="1" si="109"/>
        <v>-2.722323049001918E-3</v>
      </c>
      <c r="AH172" s="2" vm="1962">
        <f ca="1"/>
        <v>26.96</v>
      </c>
      <c r="AI172" s="2">
        <f t="shared" ca="1" si="110"/>
        <v>-1.8511662347279047E-3</v>
      </c>
      <c r="AJ172" s="2" vm="4301">
        <f ca="1"/>
        <v>4.62</v>
      </c>
      <c r="AK172" s="2">
        <f t="shared" ca="1" si="111"/>
        <v>2.8953229398663672E-2</v>
      </c>
      <c r="AL172" s="2" vm="5994">
        <f ca="1"/>
        <v>67.97</v>
      </c>
      <c r="AM172" s="2">
        <f t="shared" ca="1" si="112"/>
        <v>1.2965722801788444E-2</v>
      </c>
      <c r="AN172" s="2" vm="5995">
        <f ca="1"/>
        <v>112.01</v>
      </c>
      <c r="AO172" s="2">
        <f t="shared" ca="1" si="113"/>
        <v>-4.9635160359748805E-2</v>
      </c>
      <c r="AP172" s="2" vm="508">
        <f ca="1"/>
        <v>26.34</v>
      </c>
      <c r="AQ172" s="2">
        <f t="shared" ca="1" si="114"/>
        <v>-1.1376564277588599E-3</v>
      </c>
      <c r="AR172" s="2" vm="843">
        <f ca="1"/>
        <v>50.88</v>
      </c>
      <c r="AS172" s="2">
        <f t="shared" ca="1" si="115"/>
        <v>0</v>
      </c>
      <c r="AT172" s="2" vm="716">
        <f ca="1"/>
        <v>29.13</v>
      </c>
      <c r="AU172" s="2">
        <f t="shared" ca="1" si="116"/>
        <v>-6.8610634648369039E-4</v>
      </c>
      <c r="AV172" s="2" vm="2842">
        <f ca="1"/>
        <v>26.02</v>
      </c>
      <c r="AW172" s="2">
        <f t="shared" ca="1" si="117"/>
        <v>-9.1393754760092146E-3</v>
      </c>
      <c r="AX172" s="2" vm="1008">
        <f ca="1"/>
        <v>91.58</v>
      </c>
      <c r="AY172" s="2">
        <f t="shared" ca="1" si="118"/>
        <v>4.3696744592519159E-4</v>
      </c>
      <c r="AZ172" s="2" vm="5996">
        <f ca="1"/>
        <v>487.54</v>
      </c>
      <c r="BA172" s="2">
        <f t="shared" ca="1" si="119"/>
        <v>-5.7103234490352706E-3</v>
      </c>
      <c r="BB172" s="2" vm="5997">
        <f ca="1"/>
        <v>264.95</v>
      </c>
      <c r="BC172" s="2">
        <f t="shared" ca="1" si="120"/>
        <v>-1.2265135699373771E-2</v>
      </c>
      <c r="BD172" s="2" vm="5998">
        <f ca="1"/>
        <v>44.09</v>
      </c>
      <c r="BE172" s="2">
        <f t="shared" ca="1" si="121"/>
        <v>-1.1878081577767685E-2</v>
      </c>
      <c r="BF172" s="2" vm="5999">
        <f ca="1"/>
        <v>112.12</v>
      </c>
      <c r="BG172" s="2">
        <f t="shared" ca="1" si="122"/>
        <v>2.1780734530210521E-2</v>
      </c>
      <c r="BH172" s="2" vm="6000">
        <f ca="1"/>
        <v>145.91</v>
      </c>
      <c r="BI172" s="2">
        <f t="shared" ca="1" si="123"/>
        <v>6.4841001586534988E-3</v>
      </c>
      <c r="BJ172" s="2" vm="6001">
        <f ca="1"/>
        <v>157.1</v>
      </c>
      <c r="BK172" s="2">
        <f t="shared" ca="1" si="124"/>
        <v>2.8086301544746439E-3</v>
      </c>
      <c r="BL172" s="2" vm="6002">
        <f ca="1"/>
        <v>71.02</v>
      </c>
      <c r="BM172" s="2">
        <f t="shared" ca="1" si="125"/>
        <v>-1.6888150609080829E-2</v>
      </c>
      <c r="BN172" s="2" vm="6003">
        <f ca="1"/>
        <v>301.91000000000003</v>
      </c>
      <c r="BO172" s="2">
        <f t="shared" ca="1" si="126"/>
        <v>-4.1232352553107268E-3</v>
      </c>
      <c r="BP172" s="2" vm="6004">
        <f ca="1"/>
        <v>117.94</v>
      </c>
      <c r="BQ172" s="2">
        <f t="shared" ca="1" si="127"/>
        <v>-5.6487648596239923E-3</v>
      </c>
      <c r="BR172" s="2" vm="6005">
        <f ca="1"/>
        <v>1212.1500000000001</v>
      </c>
      <c r="BS172" s="2">
        <f t="shared" ca="1" si="128"/>
        <v>-2.3703118441518989E-3</v>
      </c>
      <c r="BT172" s="2" vm="6006">
        <f ca="1"/>
        <v>160.28</v>
      </c>
      <c r="BU172" s="2">
        <f t="shared" ca="1" si="129"/>
        <v>-1.7771785758058621E-2</v>
      </c>
      <c r="BV172" s="2" vm="6007">
        <f ca="1"/>
        <v>130.85</v>
      </c>
      <c r="BW172" s="2">
        <f t="shared" ca="1" si="130"/>
        <v>-1.0959939531368231E-2</v>
      </c>
      <c r="BX172" s="2" vm="6008">
        <f ca="1"/>
        <v>247.39</v>
      </c>
      <c r="BY172" s="2">
        <f t="shared" ca="1" si="131"/>
        <v>1.5141567501025842E-2</v>
      </c>
      <c r="BZ172" s="2" vm="6009">
        <f ca="1"/>
        <v>93.36</v>
      </c>
      <c r="CA172" s="2">
        <f t="shared" ca="1" si="132"/>
        <v>2.4021059559065458E-2</v>
      </c>
      <c r="CB172" s="2" vm="3895">
        <f ca="1"/>
        <v>29.96</v>
      </c>
      <c r="CC172" s="2">
        <f t="shared" ca="1" si="133"/>
        <v>2.637889688249399E-2</v>
      </c>
      <c r="CD172" s="2" t="e" vm="92">
        <f ca="1"/>
        <v>#N/A</v>
      </c>
      <c r="CE172" s="2" t="e" vm="140">
        <f t="shared" ca="1" si="134"/>
        <v>#N/A</v>
      </c>
      <c r="CF172" s="2" vm="5833">
        <f ca="1"/>
        <v>22.7</v>
      </c>
      <c r="CG172" s="2">
        <f t="shared" ca="1" si="135"/>
        <v>-3.0742204655248261E-3</v>
      </c>
      <c r="CH172" s="2" vm="3815">
        <f ca="1"/>
        <v>58.47</v>
      </c>
      <c r="CI172" s="2">
        <f t="shared" ca="1" si="136"/>
        <v>-5.1282051282053223E-4</v>
      </c>
      <c r="CJ172" s="2" vm="4576">
        <f ca="1"/>
        <v>59.07</v>
      </c>
      <c r="CK172" s="2">
        <f t="shared" ca="1" si="137"/>
        <v>-2.3644654619152266E-3</v>
      </c>
      <c r="CL172" s="2" vm="672">
        <f ca="1"/>
        <v>54.94</v>
      </c>
      <c r="CM172" s="2">
        <f t="shared" ca="1" si="138"/>
        <v>-9.3761269383339906E-3</v>
      </c>
      <c r="CN172" s="2" vm="3235">
        <f ca="1"/>
        <v>28.78</v>
      </c>
      <c r="CO172" s="2">
        <f t="shared" ca="1" si="139"/>
        <v>-4.4967139398131789E-3</v>
      </c>
      <c r="CP172" s="2" vm="6010">
        <f ca="1"/>
        <v>21.631499999999999</v>
      </c>
      <c r="CQ172" s="2">
        <f t="shared" ca="1" si="140"/>
        <v>-9.0929912963810932E-3</v>
      </c>
    </row>
    <row r="173" spans="1:95" x14ac:dyDescent="0.2">
      <c r="A173" s="7" vm="6011">
        <f ca="1"/>
        <v>45824</v>
      </c>
      <c r="B173" s="2" vm="6012">
        <f ca="1"/>
        <v>198.42</v>
      </c>
      <c r="C173" s="2">
        <f t="shared" ca="1" si="94"/>
        <v>1.0027996945787727E-2</v>
      </c>
      <c r="D173" s="2" vm="6013">
        <f ca="1"/>
        <v>144.69</v>
      </c>
      <c r="E173" s="2">
        <f t="shared" ca="1" si="95"/>
        <v>1.9158977248714508E-2</v>
      </c>
      <c r="F173" s="2" vm="6014">
        <f ca="1"/>
        <v>479.14</v>
      </c>
      <c r="G173" s="2">
        <f t="shared" ca="1" si="96"/>
        <v>8.8007411150412811E-3</v>
      </c>
      <c r="H173" s="2" vm="6015">
        <f ca="1"/>
        <v>702.12</v>
      </c>
      <c r="I173" s="2">
        <f t="shared" ca="1" si="97"/>
        <v>2.8189845797882467E-2</v>
      </c>
      <c r="J173" s="2" vm="6016">
        <f ca="1"/>
        <v>176.77</v>
      </c>
      <c r="K173" s="2">
        <f t="shared" ca="1" si="98"/>
        <v>1.2022671323066485E-2</v>
      </c>
      <c r="L173" s="2" vm="6017">
        <f ca="1"/>
        <v>602.67999999999995</v>
      </c>
      <c r="M173" s="2">
        <f t="shared" ca="1" si="99"/>
        <v>9.5142378559463156E-3</v>
      </c>
      <c r="N173" s="2" vm="2544">
        <f ca="1"/>
        <v>85.46</v>
      </c>
      <c r="O173" s="2">
        <f t="shared" ca="1" si="100"/>
        <v>-1.0077609174099439E-2</v>
      </c>
      <c r="P173" s="2" vm="6018">
        <f ca="1"/>
        <v>311.77999999999997</v>
      </c>
      <c r="Q173" s="2">
        <f t="shared" ca="1" si="101"/>
        <v>-1.4259066046982349E-2</v>
      </c>
      <c r="R173" s="2" vm="6019">
        <f ca="1"/>
        <v>78.59</v>
      </c>
      <c r="S173" s="2">
        <f t="shared" ca="1" si="102"/>
        <v>-2.0319122413363196E-2</v>
      </c>
      <c r="T173" s="2" vm="6020">
        <f ca="1"/>
        <v>94.02</v>
      </c>
      <c r="U173" s="2">
        <f t="shared" ca="1" si="103"/>
        <v>-2.863506204263551E-3</v>
      </c>
      <c r="V173" s="2" vm="6021">
        <f ca="1"/>
        <v>46.694899999999997</v>
      </c>
      <c r="W173" s="2">
        <f t="shared" ca="1" si="104"/>
        <v>-7.5112347528354182E-4</v>
      </c>
      <c r="X173" s="2" vm="6022">
        <f ca="1"/>
        <v>134.1</v>
      </c>
      <c r="Y173" s="2">
        <f t="shared" ca="1" si="105"/>
        <v>1.5063204905003258E-2</v>
      </c>
      <c r="Z173" s="2" vm="668">
        <f ca="1"/>
        <v>87.84</v>
      </c>
      <c r="AA173" s="2">
        <f t="shared" ca="1" si="106"/>
        <v>-2.9511918274686823E-3</v>
      </c>
      <c r="AB173" s="2" vm="375">
        <f ca="1"/>
        <v>14.19</v>
      </c>
      <c r="AC173" s="2">
        <f t="shared" ca="1" si="107"/>
        <v>-9.0782122905028479E-3</v>
      </c>
      <c r="AD173" s="2" vm="1624">
        <f ca="1"/>
        <v>3.7</v>
      </c>
      <c r="AE173" s="2">
        <f t="shared" ca="1" si="108"/>
        <v>0.15625</v>
      </c>
      <c r="AF173" s="2" vm="6023">
        <f ca="1"/>
        <v>33.03</v>
      </c>
      <c r="AG173" s="2">
        <f t="shared" ca="1" si="109"/>
        <v>1.8198362147407424E-3</v>
      </c>
      <c r="AH173" s="2" vm="967">
        <f ca="1"/>
        <v>27.17</v>
      </c>
      <c r="AI173" s="2">
        <f t="shared" ca="1" si="110"/>
        <v>7.7893175074184289E-3</v>
      </c>
      <c r="AJ173" s="2" vm="5668">
        <f ca="1"/>
        <v>4.5599999999999996</v>
      </c>
      <c r="AK173" s="2">
        <f t="shared" ca="1" si="111"/>
        <v>-1.2987012987013094E-2</v>
      </c>
      <c r="AL173" s="2" vm="6024">
        <f ca="1"/>
        <v>67.02</v>
      </c>
      <c r="AM173" s="2">
        <f t="shared" ca="1" si="112"/>
        <v>-1.3976754450492906E-2</v>
      </c>
      <c r="AN173" s="2" vm="6025">
        <f ca="1"/>
        <v>113.75</v>
      </c>
      <c r="AO173" s="2">
        <f t="shared" ca="1" si="113"/>
        <v>1.5534327292206006E-2</v>
      </c>
      <c r="AP173" s="2" vm="594">
        <f ca="1"/>
        <v>26.29</v>
      </c>
      <c r="AQ173" s="2">
        <f t="shared" ca="1" si="114"/>
        <v>-1.8982536066818798E-3</v>
      </c>
      <c r="AR173" s="2" vm="73">
        <f ca="1"/>
        <v>50.9</v>
      </c>
      <c r="AS173" s="2">
        <f t="shared" ca="1" si="115"/>
        <v>3.930817610062111E-4</v>
      </c>
      <c r="AT173" s="2" vm="759">
        <f ca="1"/>
        <v>29.12</v>
      </c>
      <c r="AU173" s="2">
        <f t="shared" ca="1" si="116"/>
        <v>-3.4328870580151085E-4</v>
      </c>
      <c r="AV173" s="2" vm="207">
        <f ca="1"/>
        <v>25.81</v>
      </c>
      <c r="AW173" s="2">
        <f t="shared" ca="1" si="117"/>
        <v>-8.0707148347425386E-3</v>
      </c>
      <c r="AX173" s="2" vm="1008">
        <f ca="1"/>
        <v>91.58</v>
      </c>
      <c r="AY173" s="2">
        <f t="shared" ca="1" si="118"/>
        <v>0</v>
      </c>
      <c r="AZ173" s="2" vm="6026">
        <f ca="1"/>
        <v>490.23</v>
      </c>
      <c r="BA173" s="2">
        <f t="shared" ca="1" si="119"/>
        <v>5.5174960003281735E-3</v>
      </c>
      <c r="BB173" s="2" vm="6027">
        <f ca="1"/>
        <v>270.36</v>
      </c>
      <c r="BC173" s="2">
        <f t="shared" ca="1" si="120"/>
        <v>2.0418946971126724E-2</v>
      </c>
      <c r="BD173" s="2" vm="6028">
        <f ca="1"/>
        <v>44.41</v>
      </c>
      <c r="BE173" s="2">
        <f t="shared" ca="1" si="121"/>
        <v>7.2578816058061499E-3</v>
      </c>
      <c r="BF173" s="2" vm="6029">
        <f ca="1"/>
        <v>112.48</v>
      </c>
      <c r="BG173" s="2">
        <f t="shared" ca="1" si="122"/>
        <v>3.2108455226542939E-3</v>
      </c>
      <c r="BH173" s="2" vm="4566">
        <f ca="1"/>
        <v>146.03</v>
      </c>
      <c r="BI173" s="2">
        <f t="shared" ca="1" si="123"/>
        <v>8.2242478240014086E-4</v>
      </c>
      <c r="BJ173" s="2" vm="6030">
        <f ca="1"/>
        <v>155.22</v>
      </c>
      <c r="BK173" s="2">
        <f t="shared" ca="1" si="124"/>
        <v>-1.1966900063653696E-2</v>
      </c>
      <c r="BL173" s="2" vm="5272">
        <f ca="1"/>
        <v>70.52</v>
      </c>
      <c r="BM173" s="2">
        <f t="shared" ca="1" si="125"/>
        <v>-7.0402703463813016E-3</v>
      </c>
      <c r="BN173" s="2" vm="6031">
        <f ca="1"/>
        <v>296.29000000000002</v>
      </c>
      <c r="BO173" s="2">
        <f t="shared" ca="1" si="126"/>
        <v>-1.8614818985790482E-2</v>
      </c>
      <c r="BP173" s="2" vm="6032">
        <f ca="1"/>
        <v>119.48</v>
      </c>
      <c r="BQ173" s="2">
        <f t="shared" ca="1" si="127"/>
        <v>1.305748685772432E-2</v>
      </c>
      <c r="BR173" s="2" vm="6033">
        <f ca="1"/>
        <v>1225.3499999999999</v>
      </c>
      <c r="BS173" s="2">
        <f t="shared" ca="1" si="128"/>
        <v>1.0889741368642344E-2</v>
      </c>
      <c r="BT173" s="2" vm="604">
        <f ca="1"/>
        <v>160.88</v>
      </c>
      <c r="BU173" s="2">
        <f t="shared" ca="1" si="129"/>
        <v>3.7434489643124176E-3</v>
      </c>
      <c r="BV173" s="2" vm="6034">
        <f ca="1"/>
        <v>131.41</v>
      </c>
      <c r="BW173" s="2">
        <f t="shared" ca="1" si="130"/>
        <v>4.2797095911349045E-3</v>
      </c>
      <c r="BX173" s="2" vm="6035">
        <f ca="1"/>
        <v>245.73</v>
      </c>
      <c r="BY173" s="2">
        <f t="shared" ca="1" si="131"/>
        <v>-6.7100529528275055E-3</v>
      </c>
      <c r="BZ173" s="2" vm="6036">
        <f ca="1"/>
        <v>92.51</v>
      </c>
      <c r="CA173" s="2">
        <f t="shared" ca="1" si="132"/>
        <v>-9.1045415595543515E-3</v>
      </c>
      <c r="CB173" s="2" vm="6037">
        <f ca="1"/>
        <v>29.84</v>
      </c>
      <c r="CC173" s="2">
        <f t="shared" ca="1" si="133"/>
        <v>-4.0053404539386181E-3</v>
      </c>
      <c r="CD173" s="2" t="e" vm="92">
        <f ca="1"/>
        <v>#N/A</v>
      </c>
      <c r="CE173" s="2" t="e" vm="140">
        <f t="shared" ca="1" si="134"/>
        <v>#N/A</v>
      </c>
      <c r="CF173" s="2" vm="6038">
        <f ca="1"/>
        <v>22.65</v>
      </c>
      <c r="CG173" s="2">
        <f t="shared" ca="1" si="135"/>
        <v>-2.2026431718061988E-3</v>
      </c>
      <c r="CH173" s="2" vm="734">
        <f ca="1"/>
        <v>58.45</v>
      </c>
      <c r="CI173" s="2">
        <f t="shared" ca="1" si="136"/>
        <v>-3.4205575508801129E-4</v>
      </c>
      <c r="CJ173" s="2" vm="6039">
        <f ca="1"/>
        <v>58.99</v>
      </c>
      <c r="CK173" s="2">
        <f t="shared" ca="1" si="137"/>
        <v>-1.3543253766717166E-3</v>
      </c>
      <c r="CL173" s="2" vm="6040">
        <f ca="1"/>
        <v>54.49</v>
      </c>
      <c r="CM173" s="2">
        <f t="shared" ca="1" si="138"/>
        <v>-8.1907535493264613E-3</v>
      </c>
      <c r="CN173" s="2" vm="3136">
        <f ca="1"/>
        <v>28.75</v>
      </c>
      <c r="CO173" s="2">
        <f t="shared" ca="1" si="139"/>
        <v>-1.0423905489923952E-3</v>
      </c>
      <c r="CP173" s="2" vm="6041">
        <f ca="1"/>
        <v>21.696000000000002</v>
      </c>
      <c r="CQ173" s="2">
        <f t="shared" ca="1" si="140"/>
        <v>2.9817627071632778E-3</v>
      </c>
    </row>
    <row r="174" spans="1:95" x14ac:dyDescent="0.2">
      <c r="A174" s="7" vm="6042">
        <f ca="1"/>
        <v>45825</v>
      </c>
      <c r="B174" s="2" vm="6043">
        <f ca="1"/>
        <v>195.64</v>
      </c>
      <c r="C174" s="2">
        <f t="shared" ca="1" si="94"/>
        <v>-1.4010684406813835E-2</v>
      </c>
      <c r="D174" s="2" vm="6044">
        <f ca="1"/>
        <v>144.12</v>
      </c>
      <c r="E174" s="2">
        <f t="shared" ca="1" si="95"/>
        <v>-3.9394567696454021E-3</v>
      </c>
      <c r="F174" s="2" vm="6045">
        <f ca="1"/>
        <v>478.04</v>
      </c>
      <c r="G174" s="2">
        <f t="shared" ca="1" si="96"/>
        <v>-2.2957799390574069E-3</v>
      </c>
      <c r="H174" s="2" vm="6046">
        <f ca="1"/>
        <v>697.23</v>
      </c>
      <c r="I174" s="2">
        <f t="shared" ca="1" si="97"/>
        <v>-6.9646214322337868E-3</v>
      </c>
      <c r="J174" s="2" vm="3841">
        <f ca="1"/>
        <v>175.95</v>
      </c>
      <c r="K174" s="2">
        <f t="shared" ca="1" si="98"/>
        <v>-4.6387961758218108E-3</v>
      </c>
      <c r="L174" s="2" vm="1428">
        <f ca="1"/>
        <v>597.53</v>
      </c>
      <c r="M174" s="2">
        <f t="shared" ca="1" si="99"/>
        <v>-8.5451649299793878E-3</v>
      </c>
      <c r="N174" s="2" vm="2774">
        <f ca="1"/>
        <v>86.5</v>
      </c>
      <c r="O174" s="2">
        <f t="shared" ca="1" si="100"/>
        <v>1.2169435993447301E-2</v>
      </c>
      <c r="P174" s="2" vm="6047">
        <f ca="1"/>
        <v>311.94</v>
      </c>
      <c r="Q174" s="2">
        <f t="shared" ca="1" si="101"/>
        <v>5.1318237218559565E-4</v>
      </c>
      <c r="R174" s="2" vm="6048">
        <f ca="1"/>
        <v>82.3</v>
      </c>
      <c r="S174" s="2">
        <f t="shared" ca="1" si="102"/>
        <v>4.7207023794375795E-2</v>
      </c>
      <c r="T174" s="2" vm="3986">
        <f ca="1"/>
        <v>94.48</v>
      </c>
      <c r="U174" s="2">
        <f t="shared" ca="1" si="103"/>
        <v>4.8925760476495215E-3</v>
      </c>
      <c r="V174" s="2" vm="1633">
        <f ca="1"/>
        <v>46.82</v>
      </c>
      <c r="W174" s="2">
        <f t="shared" ca="1" si="104"/>
        <v>2.679093434186674E-3</v>
      </c>
      <c r="X174" s="2" vm="6049">
        <f ca="1"/>
        <v>132.36000000000001</v>
      </c>
      <c r="Y174" s="2">
        <f t="shared" ca="1" si="105"/>
        <v>-1.2975391498881288E-2</v>
      </c>
      <c r="Z174" s="2" vm="6050">
        <f ca="1"/>
        <v>88.66</v>
      </c>
      <c r="AA174" s="2">
        <f t="shared" ca="1" si="106"/>
        <v>9.3351548269580281E-3</v>
      </c>
      <c r="AB174" s="2" vm="2408">
        <f ca="1"/>
        <v>14.69</v>
      </c>
      <c r="AC174" s="2">
        <f t="shared" ca="1" si="107"/>
        <v>3.5236081747709654E-2</v>
      </c>
      <c r="AD174" s="2" vm="6051">
        <f ca="1"/>
        <v>4.38</v>
      </c>
      <c r="AE174" s="2">
        <f t="shared" ca="1" si="108"/>
        <v>0.18378378378378371</v>
      </c>
      <c r="AF174" s="2" vm="6052">
        <f ca="1"/>
        <v>33.74</v>
      </c>
      <c r="AG174" s="2">
        <f t="shared" ca="1" si="109"/>
        <v>2.1495610051468387E-2</v>
      </c>
      <c r="AH174" s="2" vm="1513">
        <f ca="1"/>
        <v>26.89</v>
      </c>
      <c r="AI174" s="2">
        <f t="shared" ca="1" si="110"/>
        <v>-1.0305483989694558E-2</v>
      </c>
      <c r="AJ174" s="2" vm="2110">
        <f ca="1"/>
        <v>4.66</v>
      </c>
      <c r="AK174" s="2">
        <f t="shared" ca="1" si="111"/>
        <v>2.1929824561403629E-2</v>
      </c>
      <c r="AL174" s="2" vm="6053">
        <f ca="1"/>
        <v>67.05</v>
      </c>
      <c r="AM174" s="2">
        <f t="shared" ca="1" si="112"/>
        <v>4.4762757385856665E-4</v>
      </c>
      <c r="AN174" s="2" vm="6054">
        <f ca="1"/>
        <v>115.4</v>
      </c>
      <c r="AO174" s="2">
        <f t="shared" ca="1" si="113"/>
        <v>1.4505494505494555E-2</v>
      </c>
      <c r="AP174" s="2" vm="1667">
        <f ca="1"/>
        <v>26.43</v>
      </c>
      <c r="AQ174" s="2">
        <f t="shared" ca="1" si="114"/>
        <v>5.3252187143400754E-3</v>
      </c>
      <c r="AR174" s="2" vm="6055">
        <f ca="1"/>
        <v>50.905000000000001</v>
      </c>
      <c r="AS174" s="2">
        <f t="shared" ca="1" si="115"/>
        <v>9.8231827112034545E-5</v>
      </c>
      <c r="AT174" s="2" vm="74">
        <f ca="1"/>
        <v>29.14</v>
      </c>
      <c r="AU174" s="2">
        <f t="shared" ca="1" si="116"/>
        <v>6.8681318681317212E-4</v>
      </c>
      <c r="AV174" s="2" vm="6056">
        <f ca="1"/>
        <v>26.09</v>
      </c>
      <c r="AW174" s="2">
        <f t="shared" ca="1" si="117"/>
        <v>1.0848508330104655E-2</v>
      </c>
      <c r="AX174" s="2" vm="170">
        <f ca="1"/>
        <v>91.6</v>
      </c>
      <c r="AY174" s="2">
        <f t="shared" ca="1" si="118"/>
        <v>2.183882943873774E-4</v>
      </c>
      <c r="AZ174" s="2" vm="6057">
        <f ca="1"/>
        <v>483.48</v>
      </c>
      <c r="BA174" s="2">
        <f t="shared" ca="1" si="119"/>
        <v>-1.376904718193501E-2</v>
      </c>
      <c r="BB174" s="2" vm="6058">
        <f ca="1"/>
        <v>269.52</v>
      </c>
      <c r="BC174" s="2">
        <f t="shared" ca="1" si="120"/>
        <v>-3.1069684864626118E-3</v>
      </c>
      <c r="BD174" s="2" vm="6059">
        <f ca="1"/>
        <v>44.23</v>
      </c>
      <c r="BE174" s="2">
        <f t="shared" ca="1" si="121"/>
        <v>-4.0531411844179181E-3</v>
      </c>
      <c r="BF174" s="2" vm="3093">
        <f ca="1"/>
        <v>114</v>
      </c>
      <c r="BG174" s="2">
        <f t="shared" ca="1" si="122"/>
        <v>1.3513513513513478E-2</v>
      </c>
      <c r="BH174" s="2" vm="6060">
        <f ca="1"/>
        <v>148.85</v>
      </c>
      <c r="BI174" s="2">
        <f t="shared" ca="1" si="123"/>
        <v>1.9311100458809786E-2</v>
      </c>
      <c r="BJ174" s="2" vm="6061">
        <f ca="1"/>
        <v>152.38</v>
      </c>
      <c r="BK174" s="2">
        <f t="shared" ca="1" si="124"/>
        <v>-1.8296611261435405E-2</v>
      </c>
      <c r="BL174" s="2" vm="3965">
        <f ca="1"/>
        <v>69.62</v>
      </c>
      <c r="BM174" s="2">
        <f t="shared" ca="1" si="125"/>
        <v>-1.2762336925694718E-2</v>
      </c>
      <c r="BN174" s="2" vm="6062">
        <f ca="1"/>
        <v>292.31</v>
      </c>
      <c r="BO174" s="2">
        <f t="shared" ca="1" si="126"/>
        <v>-1.3432785446690803E-2</v>
      </c>
      <c r="BP174" s="2" vm="6063">
        <f ca="1"/>
        <v>118.13</v>
      </c>
      <c r="BQ174" s="2">
        <f t="shared" ca="1" si="127"/>
        <v>-1.1298962169400807E-2</v>
      </c>
      <c r="BR174" s="2" vm="6064">
        <f ca="1"/>
        <v>1220.67</v>
      </c>
      <c r="BS174" s="2">
        <f t="shared" ca="1" si="128"/>
        <v>-3.8193169298566423E-3</v>
      </c>
      <c r="BT174" s="2" vm="6065">
        <f ca="1"/>
        <v>158.52000000000001</v>
      </c>
      <c r="BU174" s="2">
        <f t="shared" ca="1" si="129"/>
        <v>-1.4669318746892002E-2</v>
      </c>
      <c r="BV174" s="2" vm="6066">
        <f ca="1"/>
        <v>129.29</v>
      </c>
      <c r="BW174" s="2">
        <f t="shared" ca="1" si="130"/>
        <v>-1.6132714405296435E-2</v>
      </c>
      <c r="BX174" s="2" vm="6067">
        <f ca="1"/>
        <v>247.54</v>
      </c>
      <c r="BY174" s="2">
        <f t="shared" ca="1" si="131"/>
        <v>7.3658080006511308E-3</v>
      </c>
      <c r="BZ174" s="2" vm="2771">
        <f ca="1"/>
        <v>93.48</v>
      </c>
      <c r="CA174" s="2">
        <f t="shared" ca="1" si="132"/>
        <v>1.0485352934817845E-2</v>
      </c>
      <c r="CB174" s="2" vm="6068">
        <f ca="1"/>
        <v>30.2</v>
      </c>
      <c r="CC174" s="2">
        <f t="shared" ca="1" si="133"/>
        <v>1.2064343163538854E-2</v>
      </c>
      <c r="CD174" s="2" t="e" vm="92">
        <f ca="1"/>
        <v>#N/A</v>
      </c>
      <c r="CE174" s="2" t="e" vm="140">
        <f t="shared" ca="1" si="134"/>
        <v>#N/A</v>
      </c>
      <c r="CF174" s="2" vm="6069">
        <f ca="1"/>
        <v>22.73</v>
      </c>
      <c r="CG174" s="2">
        <f t="shared" ca="1" si="135"/>
        <v>3.532008830022157E-3</v>
      </c>
      <c r="CH174" s="2" vm="94">
        <f ca="1"/>
        <v>58.49</v>
      </c>
      <c r="CI174" s="2">
        <f t="shared" ca="1" si="136"/>
        <v>6.8434559452522066E-4</v>
      </c>
      <c r="CJ174" s="2" vm="4821">
        <f ca="1"/>
        <v>59.15</v>
      </c>
      <c r="CK174" s="2">
        <f t="shared" ca="1" si="137"/>
        <v>2.7123241227326087E-3</v>
      </c>
      <c r="CL174" s="2" vm="2724">
        <f ca="1"/>
        <v>55.09</v>
      </c>
      <c r="CM174" s="2">
        <f t="shared" ca="1" si="138"/>
        <v>1.1011194714626563E-2</v>
      </c>
      <c r="CN174" s="2" vm="3579">
        <f ca="1"/>
        <v>28.83</v>
      </c>
      <c r="CO174" s="2">
        <f t="shared" ca="1" si="139"/>
        <v>2.7826086956521147E-3</v>
      </c>
      <c r="CP174" s="2" vm="6070">
        <f ca="1"/>
        <v>21.686399999999999</v>
      </c>
      <c r="CQ174" s="2">
        <f t="shared" ca="1" si="140"/>
        <v>-4.4247787610630966E-4</v>
      </c>
    </row>
    <row r="175" spans="1:95" x14ac:dyDescent="0.2">
      <c r="A175" s="7" vm="6071">
        <f ca="1"/>
        <v>45826</v>
      </c>
      <c r="B175" s="2" vm="6072">
        <f ca="1"/>
        <v>196.58</v>
      </c>
      <c r="C175" s="2">
        <f t="shared" ca="1" si="94"/>
        <v>4.8047434062565234E-3</v>
      </c>
      <c r="D175" s="2" vm="6073">
        <f ca="1"/>
        <v>145.47999999999999</v>
      </c>
      <c r="E175" s="2">
        <f t="shared" ca="1" si="95"/>
        <v>9.4365806272549632E-3</v>
      </c>
      <c r="F175" s="2" vm="6074">
        <f ca="1"/>
        <v>480.24</v>
      </c>
      <c r="G175" s="2">
        <f t="shared" ca="1" si="96"/>
        <v>4.6021253451593771E-3</v>
      </c>
      <c r="H175" s="2" vm="6075">
        <f ca="1"/>
        <v>695.77</v>
      </c>
      <c r="I175" s="2">
        <f t="shared" ca="1" si="97"/>
        <v>-2.0940005450138925E-3</v>
      </c>
      <c r="J175" s="2" vm="6076">
        <f ca="1"/>
        <v>173.32</v>
      </c>
      <c r="K175" s="2">
        <f t="shared" ca="1" si="98"/>
        <v>-1.4947428246660958E-2</v>
      </c>
      <c r="L175" s="2" vm="6077">
        <f ca="1"/>
        <v>597.44000000000005</v>
      </c>
      <c r="M175" s="2">
        <f t="shared" ca="1" si="99"/>
        <v>-1.5062005254952578E-4</v>
      </c>
      <c r="N175" s="2" vm="6078">
        <f ca="1"/>
        <v>86.65</v>
      </c>
      <c r="O175" s="2">
        <f t="shared" ca="1" si="100"/>
        <v>1.7341040462428403E-3</v>
      </c>
      <c r="P175" s="2" vm="6079">
        <f ca="1"/>
        <v>310.26</v>
      </c>
      <c r="Q175" s="2">
        <f t="shared" ca="1" si="101"/>
        <v>-5.3856510867474738E-3</v>
      </c>
      <c r="R175" s="2" vm="6080">
        <f ca="1"/>
        <v>82.27</v>
      </c>
      <c r="S175" s="2">
        <f t="shared" ca="1" si="102"/>
        <v>-3.6452004860268699E-4</v>
      </c>
      <c r="T175" s="2" vm="4693">
        <f ca="1"/>
        <v>94.54</v>
      </c>
      <c r="U175" s="2">
        <f t="shared" ca="1" si="103"/>
        <v>6.350550381033263E-4</v>
      </c>
      <c r="V175" s="2" vm="6081">
        <f ca="1"/>
        <v>46.907499999999999</v>
      </c>
      <c r="W175" s="2">
        <f t="shared" ca="1" si="104"/>
        <v>1.8688594617684447E-3</v>
      </c>
      <c r="X175" s="2" vm="6082">
        <f ca="1"/>
        <v>133.09</v>
      </c>
      <c r="Y175" s="2">
        <f t="shared" ca="1" si="105"/>
        <v>5.5152614082803692E-3</v>
      </c>
      <c r="Z175" s="2" vm="3860">
        <f ca="1"/>
        <v>88.08</v>
      </c>
      <c r="AA175" s="2">
        <f t="shared" ca="1" si="106"/>
        <v>-6.5418452515226518E-3</v>
      </c>
      <c r="AB175" s="2" vm="6083">
        <f ca="1"/>
        <v>14.71</v>
      </c>
      <c r="AC175" s="2">
        <f t="shared" ca="1" si="107"/>
        <v>1.3614703880191524E-3</v>
      </c>
      <c r="AD175" s="2" vm="6084">
        <f ca="1"/>
        <v>5.51</v>
      </c>
      <c r="AE175" s="2">
        <f t="shared" ca="1" si="108"/>
        <v>0.25799086757990863</v>
      </c>
      <c r="AF175" s="2" vm="6085">
        <f ca="1"/>
        <v>33.270000000000003</v>
      </c>
      <c r="AG175" s="2">
        <f t="shared" ca="1" si="109"/>
        <v>-1.3930053349140452E-2</v>
      </c>
      <c r="AH175" s="2" vm="4304">
        <f ca="1"/>
        <v>26.78</v>
      </c>
      <c r="AI175" s="2">
        <f t="shared" ca="1" si="110"/>
        <v>-4.0907400520639433E-3</v>
      </c>
      <c r="AJ175" s="2" vm="1200">
        <f ca="1"/>
        <v>4.84</v>
      </c>
      <c r="AK175" s="2">
        <f t="shared" ca="1" si="111"/>
        <v>3.8626609442060027E-2</v>
      </c>
      <c r="AL175" s="2" vm="6086">
        <f ca="1"/>
        <v>66.69</v>
      </c>
      <c r="AM175" s="2">
        <f t="shared" ca="1" si="112"/>
        <v>-5.3691275167785154E-3</v>
      </c>
      <c r="AN175" s="2" vm="6087">
        <f ca="1"/>
        <v>120.54</v>
      </c>
      <c r="AO175" s="2">
        <f t="shared" ca="1" si="113"/>
        <v>4.4540727902946275E-2</v>
      </c>
      <c r="AP175" s="2" vm="1625">
        <f ca="1"/>
        <v>26.44</v>
      </c>
      <c r="AQ175" s="2">
        <f t="shared" ca="1" si="114"/>
        <v>3.7835792659862141E-4</v>
      </c>
      <c r="AR175" s="2" vm="73">
        <f ca="1"/>
        <v>50.9</v>
      </c>
      <c r="AS175" s="2">
        <f t="shared" ca="1" si="115"/>
        <v>-9.8222178567970885E-5</v>
      </c>
      <c r="AT175" s="2" vm="596">
        <f ca="1"/>
        <v>29.15</v>
      </c>
      <c r="AU175" s="2">
        <f t="shared" ca="1" si="116"/>
        <v>3.431708991076874E-4</v>
      </c>
      <c r="AV175" s="2" vm="1123">
        <f ca="1"/>
        <v>26.11</v>
      </c>
      <c r="AW175" s="2">
        <f t="shared" ca="1" si="117"/>
        <v>7.6657723265617379E-4</v>
      </c>
      <c r="AX175" s="2" vm="64">
        <f ca="1"/>
        <v>91.62</v>
      </c>
      <c r="AY175" s="2">
        <f t="shared" ca="1" si="118"/>
        <v>2.183406113538235E-4</v>
      </c>
      <c r="AZ175" s="2" vm="6088">
        <f ca="1"/>
        <v>485.14</v>
      </c>
      <c r="BA175" s="2">
        <f t="shared" ca="1" si="119"/>
        <v>3.4334408869032187E-3</v>
      </c>
      <c r="BB175" s="2" vm="6089">
        <f ca="1"/>
        <v>273.95999999999998</v>
      </c>
      <c r="BC175" s="2">
        <f t="shared" ca="1" si="120"/>
        <v>1.6473731077471052E-2</v>
      </c>
      <c r="BD175" s="2" vm="2598">
        <f ca="1"/>
        <v>45.06</v>
      </c>
      <c r="BE175" s="2">
        <f t="shared" ca="1" si="121"/>
        <v>1.8765543748587056E-2</v>
      </c>
      <c r="BF175" s="2" vm="2990">
        <f ca="1"/>
        <v>113.19</v>
      </c>
      <c r="BG175" s="2">
        <f t="shared" ca="1" si="122"/>
        <v>-7.1052631578947568E-3</v>
      </c>
      <c r="BH175" s="2" vm="6090">
        <f ca="1"/>
        <v>148.19</v>
      </c>
      <c r="BI175" s="2">
        <f t="shared" ca="1" si="123"/>
        <v>-4.4339939536445858E-3</v>
      </c>
      <c r="BJ175" s="2" vm="6091">
        <f ca="1"/>
        <v>150.72999999999999</v>
      </c>
      <c r="BK175" s="2">
        <f t="shared" ca="1" si="124"/>
        <v>-1.0828192676204263E-2</v>
      </c>
      <c r="BL175" s="2" vm="6092">
        <f ca="1"/>
        <v>69.209999999999994</v>
      </c>
      <c r="BM175" s="2">
        <f t="shared" ca="1" si="125"/>
        <v>-5.8891123240449698E-3</v>
      </c>
      <c r="BN175" s="2" vm="6093">
        <f ca="1"/>
        <v>289.63</v>
      </c>
      <c r="BO175" s="2">
        <f t="shared" ca="1" si="126"/>
        <v>-9.1683486709315688E-3</v>
      </c>
      <c r="BP175" s="2" vm="5968">
        <f ca="1"/>
        <v>117.86</v>
      </c>
      <c r="BQ175" s="2">
        <f t="shared" ca="1" si="127"/>
        <v>-2.2856175399982733E-3</v>
      </c>
      <c r="BR175" s="2" vm="6094">
        <f ca="1"/>
        <v>1222.29</v>
      </c>
      <c r="BS175" s="2">
        <f t="shared" ca="1" si="128"/>
        <v>1.3271400132713106E-3</v>
      </c>
      <c r="BT175" s="2" vm="5377">
        <f ca="1"/>
        <v>158.02000000000001</v>
      </c>
      <c r="BU175" s="2">
        <f t="shared" ca="1" si="129"/>
        <v>-3.1541761291950542E-3</v>
      </c>
      <c r="BV175" s="2" vm="6095">
        <f ca="1"/>
        <v>129.07</v>
      </c>
      <c r="BW175" s="2">
        <f t="shared" ca="1" si="130"/>
        <v>-1.7016010518988234E-3</v>
      </c>
      <c r="BX175" s="2" vm="6096">
        <f ca="1"/>
        <v>244.69</v>
      </c>
      <c r="BY175" s="2">
        <f t="shared" ca="1" si="131"/>
        <v>-1.1513290781287849E-2</v>
      </c>
      <c r="BZ175" s="2" vm="2025">
        <f ca="1"/>
        <v>92.69</v>
      </c>
      <c r="CA175" s="2">
        <f t="shared" ca="1" si="132"/>
        <v>-8.4510055626872728E-3</v>
      </c>
      <c r="CB175" s="2" vm="612">
        <f ca="1"/>
        <v>30.03</v>
      </c>
      <c r="CC175" s="2">
        <f t="shared" ca="1" si="133"/>
        <v>-5.6291390728476212E-3</v>
      </c>
      <c r="CD175" s="2" t="e" vm="92">
        <f ca="1"/>
        <v>#N/A</v>
      </c>
      <c r="CE175" s="2" t="e" vm="140">
        <f t="shared" ca="1" si="134"/>
        <v>#N/A</v>
      </c>
      <c r="CF175" s="2" vm="4681">
        <f ca="1"/>
        <v>22.75</v>
      </c>
      <c r="CG175" s="2">
        <f t="shared" ca="1" si="135"/>
        <v>8.7989441267046073E-4</v>
      </c>
      <c r="CH175" s="2" vm="527">
        <f ca="1"/>
        <v>58.5</v>
      </c>
      <c r="CI175" s="2">
        <f t="shared" ca="1" si="136"/>
        <v>1.7096939647799641E-4</v>
      </c>
      <c r="CJ175" s="2" vm="3879">
        <f ca="1"/>
        <v>59.18</v>
      </c>
      <c r="CK175" s="2">
        <f t="shared" ca="1" si="137"/>
        <v>5.0718512256975714E-4</v>
      </c>
      <c r="CL175" s="2" vm="6097">
        <f ca="1"/>
        <v>55.15</v>
      </c>
      <c r="CM175" s="2">
        <f t="shared" ca="1" si="138"/>
        <v>1.0891268832818146E-3</v>
      </c>
      <c r="CN175" s="2" vm="3034">
        <f ca="1"/>
        <v>28.86</v>
      </c>
      <c r="CO175" s="2">
        <f t="shared" ca="1" si="139"/>
        <v>1.0405827263267825E-3</v>
      </c>
      <c r="CP175" s="2" vm="6098">
        <f ca="1"/>
        <v>21.759399999999999</v>
      </c>
      <c r="CQ175" s="2">
        <f t="shared" ca="1" si="140"/>
        <v>3.3661649697506457E-3</v>
      </c>
    </row>
    <row r="176" spans="1:95" x14ac:dyDescent="0.2">
      <c r="A176" s="7" vm="6099">
        <f ca="1"/>
        <v>45828</v>
      </c>
      <c r="B176" s="2" vm="6100">
        <f ca="1"/>
        <v>201</v>
      </c>
      <c r="C176" s="2">
        <f t="shared" ca="1" si="94"/>
        <v>2.2484484688167602E-2</v>
      </c>
      <c r="D176" s="2" vm="1969">
        <f ca="1"/>
        <v>143.85</v>
      </c>
      <c r="E176" s="2">
        <f t="shared" ca="1" si="95"/>
        <v>-1.1204289249381327E-2</v>
      </c>
      <c r="F176" s="2" vm="6101">
        <f ca="1"/>
        <v>477.4</v>
      </c>
      <c r="G176" s="2">
        <f t="shared" ca="1" si="96"/>
        <v>-5.9137098117608526E-3</v>
      </c>
      <c r="H176" s="2" vm="6102">
        <f ca="1"/>
        <v>682.35</v>
      </c>
      <c r="I176" s="2">
        <f t="shared" ca="1" si="97"/>
        <v>-1.928798309786274E-2</v>
      </c>
      <c r="J176" s="2" vm="6103">
        <f ca="1"/>
        <v>166.64</v>
      </c>
      <c r="K176" s="2">
        <f t="shared" ca="1" si="98"/>
        <v>-3.8541426263558776E-2</v>
      </c>
      <c r="L176" s="2" vm="6104">
        <f ca="1"/>
        <v>594.28</v>
      </c>
      <c r="M176" s="2">
        <f t="shared" ca="1" si="99"/>
        <v>-5.2892340653456103E-3</v>
      </c>
      <c r="N176" s="2" vm="6105">
        <f ca="1"/>
        <v>86.49</v>
      </c>
      <c r="O176" s="2">
        <f t="shared" ca="1" si="100"/>
        <v>-1.8465089440278222E-3</v>
      </c>
      <c r="P176" s="2" vm="6106">
        <f ca="1"/>
        <v>310.13</v>
      </c>
      <c r="Q176" s="2">
        <f t="shared" ca="1" si="101"/>
        <v>-4.1900341648938133E-4</v>
      </c>
      <c r="R176" s="2" vm="6107">
        <f ca="1"/>
        <v>83.12</v>
      </c>
      <c r="S176" s="2">
        <f t="shared" ca="1" si="102"/>
        <v>1.0331834204448871E-2</v>
      </c>
      <c r="T176" s="2" vm="6108">
        <f ca="1"/>
        <v>94.6</v>
      </c>
      <c r="U176" s="2">
        <f t="shared" ca="1" si="103"/>
        <v>6.3465199915367101E-4</v>
      </c>
      <c r="V176" s="2" vm="6109">
        <f ca="1"/>
        <v>46.898299999999999</v>
      </c>
      <c r="W176" s="2">
        <f t="shared" ca="1" si="104"/>
        <v>-1.961306827266402E-4</v>
      </c>
      <c r="X176" s="2" vm="6110">
        <f ca="1"/>
        <v>134.52000000000001</v>
      </c>
      <c r="Y176" s="2">
        <f t="shared" ca="1" si="105"/>
        <v>1.0744608911263106E-2</v>
      </c>
      <c r="Z176" s="2" vm="5921">
        <f ca="1"/>
        <v>88.98</v>
      </c>
      <c r="AA176" s="2">
        <f t="shared" ca="1" si="106"/>
        <v>1.0217983651226222E-2</v>
      </c>
      <c r="AB176" s="2" vm="919">
        <f ca="1"/>
        <v>14.79</v>
      </c>
      <c r="AC176" s="2">
        <f t="shared" ca="1" si="107"/>
        <v>5.438477226376498E-3</v>
      </c>
      <c r="AD176" s="2" vm="6111">
        <f ca="1"/>
        <v>7.2</v>
      </c>
      <c r="AE176" s="2">
        <f t="shared" ca="1" si="108"/>
        <v>0.30671506352087125</v>
      </c>
      <c r="AF176" s="2" vm="6112">
        <f ca="1"/>
        <v>32.72</v>
      </c>
      <c r="AG176" s="2">
        <f t="shared" ca="1" si="109"/>
        <v>-1.6531409678389064E-2</v>
      </c>
      <c r="AH176" s="2" vm="465">
        <f ca="1"/>
        <v>26.41</v>
      </c>
      <c r="AI176" s="2">
        <f t="shared" ca="1" si="110"/>
        <v>-1.3816280806572104E-2</v>
      </c>
      <c r="AJ176" s="2" vm="1159">
        <f ca="1"/>
        <v>4.8</v>
      </c>
      <c r="AK176" s="2">
        <f t="shared" ca="1" si="111"/>
        <v>-8.2644628099173625E-3</v>
      </c>
      <c r="AL176" s="2" vm="4659">
        <f ca="1"/>
        <v>66.66</v>
      </c>
      <c r="AM176" s="2">
        <f t="shared" ca="1" si="112"/>
        <v>-4.4984255510573004E-4</v>
      </c>
      <c r="AN176" s="2" vm="6113">
        <f ca="1"/>
        <v>115.37</v>
      </c>
      <c r="AO176" s="2">
        <f t="shared" ca="1" si="113"/>
        <v>-4.289032686245231E-2</v>
      </c>
      <c r="AP176" s="2" vm="2481">
        <f ca="1"/>
        <v>26.5</v>
      </c>
      <c r="AQ176" s="2">
        <f t="shared" ca="1" si="114"/>
        <v>2.2692889561270317E-3</v>
      </c>
      <c r="AR176" s="2" vm="339">
        <f ca="1"/>
        <v>50.94</v>
      </c>
      <c r="AS176" s="2">
        <f t="shared" ca="1" si="115"/>
        <v>7.8585461689585753E-4</v>
      </c>
      <c r="AT176" s="2" vm="2322">
        <f ca="1"/>
        <v>29.18</v>
      </c>
      <c r="AU176" s="2">
        <f t="shared" ca="1" si="116"/>
        <v>1.0291595197255965E-3</v>
      </c>
      <c r="AV176" s="2" vm="6114">
        <f ca="1"/>
        <v>26.07</v>
      </c>
      <c r="AW176" s="2">
        <f t="shared" ca="1" si="117"/>
        <v>-1.5319800842588721E-3</v>
      </c>
      <c r="AX176" s="2" vm="341">
        <f ca="1"/>
        <v>91.64</v>
      </c>
      <c r="AY176" s="2">
        <f t="shared" ca="1" si="118"/>
        <v>2.182929491376994E-4</v>
      </c>
      <c r="AZ176" s="2" vm="6115">
        <f ca="1"/>
        <v>484.85</v>
      </c>
      <c r="BA176" s="2">
        <f t="shared" ca="1" si="119"/>
        <v>-5.9776559343687103E-4</v>
      </c>
      <c r="BB176" s="2" vm="6116">
        <f ca="1"/>
        <v>275</v>
      </c>
      <c r="BC176" s="2">
        <f t="shared" ca="1" si="120"/>
        <v>3.7961746240327806E-3</v>
      </c>
      <c r="BD176" s="2" vm="6117">
        <f ca="1"/>
        <v>45.5</v>
      </c>
      <c r="BE176" s="2">
        <f t="shared" ca="1" si="121"/>
        <v>9.7647581003106453E-3</v>
      </c>
      <c r="BF176" s="2" vm="6118">
        <f ca="1"/>
        <v>114.7</v>
      </c>
      <c r="BG176" s="2">
        <f t="shared" ca="1" si="122"/>
        <v>1.3340401095503182E-2</v>
      </c>
      <c r="BH176" s="2" vm="6119">
        <f ca="1"/>
        <v>149.55000000000001</v>
      </c>
      <c r="BI176" s="2">
        <f t="shared" ca="1" si="123"/>
        <v>9.1774073824145604E-3</v>
      </c>
      <c r="BJ176" s="2" vm="6120">
        <f ca="1"/>
        <v>149.79</v>
      </c>
      <c r="BK176" s="2">
        <f t="shared" ca="1" si="124"/>
        <v>-6.2363165925827489E-3</v>
      </c>
      <c r="BL176" s="2" vm="6121">
        <f ca="1"/>
        <v>68.84</v>
      </c>
      <c r="BM176" s="2">
        <f t="shared" ca="1" si="125"/>
        <v>-5.3460482589219819E-3</v>
      </c>
      <c r="BN176" s="2" vm="6122">
        <f ca="1"/>
        <v>287.45999999999998</v>
      </c>
      <c r="BO176" s="2">
        <f t="shared" ca="1" si="126"/>
        <v>-7.4923177847599212E-3</v>
      </c>
      <c r="BP176" s="2" vm="6123">
        <f ca="1"/>
        <v>117.63</v>
      </c>
      <c r="BQ176" s="2">
        <f t="shared" ca="1" si="127"/>
        <v>-1.9514678432038348E-3</v>
      </c>
      <c r="BR176" s="2" vm="6124">
        <f ca="1"/>
        <v>1231.4100000000001</v>
      </c>
      <c r="BS176" s="2">
        <f t="shared" ca="1" si="128"/>
        <v>7.4614044130281018E-3</v>
      </c>
      <c r="BT176" s="2" vm="6125">
        <f ca="1"/>
        <v>159.08000000000001</v>
      </c>
      <c r="BU176" s="2">
        <f t="shared" ca="1" si="129"/>
        <v>6.7080116440956976E-3</v>
      </c>
      <c r="BV176" s="2" vm="6095">
        <f ca="1"/>
        <v>129.07</v>
      </c>
      <c r="BW176" s="2">
        <f t="shared" ca="1" si="130"/>
        <v>0</v>
      </c>
      <c r="BX176" s="2" vm="6126">
        <f ca="1"/>
        <v>242.87</v>
      </c>
      <c r="BY176" s="2">
        <f t="shared" ca="1" si="131"/>
        <v>-7.4379827536883124E-3</v>
      </c>
      <c r="BZ176" s="2" vm="2531">
        <f ca="1"/>
        <v>93.39</v>
      </c>
      <c r="CA176" s="2">
        <f t="shared" ca="1" si="132"/>
        <v>7.5520552378897706E-3</v>
      </c>
      <c r="CB176" s="2" vm="6127">
        <f ca="1"/>
        <v>30.18</v>
      </c>
      <c r="CC176" s="2">
        <f t="shared" ca="1" si="133"/>
        <v>4.9950049950049473E-3</v>
      </c>
      <c r="CD176" s="2" t="e" vm="92">
        <f ca="1"/>
        <v>#N/A</v>
      </c>
      <c r="CE176" s="2" t="e" vm="140">
        <f t="shared" ca="1" si="134"/>
        <v>#N/A</v>
      </c>
      <c r="CF176" s="2" vm="6128">
        <f ca="1"/>
        <v>22.754999999999999</v>
      </c>
      <c r="CG176" s="2">
        <f t="shared" ca="1" si="135"/>
        <v>2.1978021978017606E-4</v>
      </c>
      <c r="CH176" s="2" vm="4283">
        <f ca="1"/>
        <v>58.56</v>
      </c>
      <c r="CI176" s="2">
        <f t="shared" ca="1" si="136"/>
        <v>1.0256410256410645E-3</v>
      </c>
      <c r="CJ176" s="2" vm="3690">
        <f ca="1"/>
        <v>59.25</v>
      </c>
      <c r="CK176" s="2">
        <f t="shared" ca="1" si="137"/>
        <v>1.1828320378506299E-3</v>
      </c>
      <c r="CL176" s="2" vm="6129">
        <f ca="1"/>
        <v>55.08</v>
      </c>
      <c r="CM176" s="2">
        <f t="shared" ca="1" si="138"/>
        <v>-1.2692656391659163E-3</v>
      </c>
      <c r="CN176" s="2" vm="860">
        <f ca="1"/>
        <v>28.87</v>
      </c>
      <c r="CO176" s="2">
        <f t="shared" ca="1" si="139"/>
        <v>3.4650034650040066E-4</v>
      </c>
      <c r="CP176" s="2" vm="6130">
        <f ca="1"/>
        <v>21.768799999999999</v>
      </c>
      <c r="CQ176" s="2">
        <f t="shared" ca="1" si="140"/>
        <v>4.3199720580527998E-4</v>
      </c>
    </row>
    <row r="177" spans="1:95" x14ac:dyDescent="0.2">
      <c r="A177" s="7" vm="6131">
        <f ca="1"/>
        <v>45831</v>
      </c>
      <c r="B177" s="2" vm="6132">
        <f ca="1"/>
        <v>201.5</v>
      </c>
      <c r="C177" s="2">
        <f t="shared" ca="1" si="94"/>
        <v>2.4875621890547263E-3</v>
      </c>
      <c r="D177" s="2" vm="6133">
        <f ca="1"/>
        <v>144.16999999999999</v>
      </c>
      <c r="E177" s="2">
        <f t="shared" ca="1" si="95"/>
        <v>2.2245394508167756E-3</v>
      </c>
      <c r="F177" s="2" vm="6134">
        <f ca="1"/>
        <v>486</v>
      </c>
      <c r="G177" s="2">
        <f t="shared" ca="1" si="96"/>
        <v>1.8014243820695483E-2</v>
      </c>
      <c r="H177" s="2" vm="6135">
        <f ca="1"/>
        <v>698.53</v>
      </c>
      <c r="I177" s="2">
        <f t="shared" ca="1" si="97"/>
        <v>2.3712171173151535E-2</v>
      </c>
      <c r="J177" s="2" vm="6136">
        <f ca="1"/>
        <v>165.19</v>
      </c>
      <c r="K177" s="2">
        <f t="shared" ca="1" si="98"/>
        <v>-8.7013922227555732E-3</v>
      </c>
      <c r="L177" s="2" vm="6137">
        <f ca="1"/>
        <v>600.15</v>
      </c>
      <c r="M177" s="2">
        <f t="shared" ca="1" si="99"/>
        <v>9.8774988221040673E-3</v>
      </c>
      <c r="N177" s="2" vm="6138">
        <f ca="1"/>
        <v>86.77</v>
      </c>
      <c r="O177" s="2">
        <f t="shared" ca="1" si="100"/>
        <v>3.2373684819054357E-3</v>
      </c>
      <c r="P177" s="2" vm="6139">
        <f ca="1"/>
        <v>311.08</v>
      </c>
      <c r="Q177" s="2">
        <f t="shared" ca="1" si="101"/>
        <v>3.0632315480604543E-3</v>
      </c>
      <c r="R177" s="2" vm="6140">
        <f ca="1"/>
        <v>76.41</v>
      </c>
      <c r="S177" s="2">
        <f t="shared" ca="1" si="102"/>
        <v>-8.0726660250240709E-2</v>
      </c>
      <c r="T177" s="2" vm="3133">
        <f ca="1"/>
        <v>94.93</v>
      </c>
      <c r="U177" s="2">
        <f t="shared" ca="1" si="103"/>
        <v>3.488372093023388E-3</v>
      </c>
      <c r="V177" s="2" vm="6141">
        <f ca="1"/>
        <v>47.03</v>
      </c>
      <c r="W177" s="2">
        <f t="shared" ca="1" si="104"/>
        <v>2.8082041353311772E-3</v>
      </c>
      <c r="X177" s="2" vm="6142">
        <f ca="1"/>
        <v>134.03</v>
      </c>
      <c r="Y177" s="2">
        <f t="shared" ca="1" si="105"/>
        <v>-3.6425810288433619E-3</v>
      </c>
      <c r="Z177" s="2" vm="2509">
        <f ca="1"/>
        <v>86.03</v>
      </c>
      <c r="AA177" s="2">
        <f t="shared" ca="1" si="106"/>
        <v>-3.3153517644414508E-2</v>
      </c>
      <c r="AB177" s="2" vm="6143">
        <f ca="1"/>
        <v>13.92</v>
      </c>
      <c r="AC177" s="2">
        <f t="shared" ca="1" si="107"/>
        <v>-5.8823529411764656E-2</v>
      </c>
      <c r="AD177" s="2" vm="6144">
        <f ca="1"/>
        <v>7.8</v>
      </c>
      <c r="AE177" s="2">
        <f t="shared" ca="1" si="108"/>
        <v>8.3333333333333287E-2</v>
      </c>
      <c r="AF177" s="2" vm="6145">
        <f ca="1"/>
        <v>32.96</v>
      </c>
      <c r="AG177" s="2">
        <f t="shared" ca="1" si="109"/>
        <v>7.3349633251834348E-3</v>
      </c>
      <c r="AH177" s="2" vm="3283">
        <f ca="1"/>
        <v>26.48</v>
      </c>
      <c r="AI177" s="2">
        <f t="shared" ca="1" si="110"/>
        <v>2.6505111700113699E-3</v>
      </c>
      <c r="AJ177" s="2" vm="2553">
        <f ca="1"/>
        <v>4.71</v>
      </c>
      <c r="AK177" s="2">
        <f t="shared" ca="1" si="111"/>
        <v>-1.8749999999999972E-2</v>
      </c>
      <c r="AL177" s="2" vm="6146">
        <f ca="1"/>
        <v>66.86</v>
      </c>
      <c r="AM177" s="2">
        <f t="shared" ca="1" si="112"/>
        <v>3.000300030003043E-3</v>
      </c>
      <c r="AN177" s="2" vm="4135">
        <f ca="1"/>
        <v>117.7</v>
      </c>
      <c r="AO177" s="2">
        <f t="shared" ca="1" si="113"/>
        <v>2.0195891479587398E-2</v>
      </c>
      <c r="AP177" s="2" vm="338">
        <f ca="1"/>
        <v>26.52</v>
      </c>
      <c r="AQ177" s="2">
        <f t="shared" ca="1" si="114"/>
        <v>7.5471698113205939E-4</v>
      </c>
      <c r="AR177" s="2" vm="380">
        <f ca="1"/>
        <v>50.95</v>
      </c>
      <c r="AS177" s="2">
        <f t="shared" ca="1" si="115"/>
        <v>1.9630938358863596E-4</v>
      </c>
      <c r="AT177" s="2" vm="736">
        <f ca="1"/>
        <v>29.21</v>
      </c>
      <c r="AU177" s="2">
        <f t="shared" ca="1" si="116"/>
        <v>1.0281014393420541E-3</v>
      </c>
      <c r="AV177" s="2" vm="1323">
        <f ca="1"/>
        <v>26.19</v>
      </c>
      <c r="AW177" s="2">
        <f t="shared" ca="1" si="117"/>
        <v>4.6029919447641348E-3</v>
      </c>
      <c r="AX177" s="2" vm="1998">
        <f ca="1"/>
        <v>91.66</v>
      </c>
      <c r="AY177" s="2">
        <f t="shared" ca="1" si="118"/>
        <v>2.1824530772584046E-4</v>
      </c>
      <c r="AZ177" s="2" vm="6147">
        <f ca="1"/>
        <v>487.77</v>
      </c>
      <c r="BA177" s="2">
        <f t="shared" ca="1" si="119"/>
        <v>6.0224811797462289E-3</v>
      </c>
      <c r="BB177" s="2" vm="2994">
        <f ca="1"/>
        <v>278.27</v>
      </c>
      <c r="BC177" s="2">
        <f t="shared" ca="1" si="120"/>
        <v>1.1890909090909025E-2</v>
      </c>
      <c r="BD177" s="2" vm="3057">
        <f ca="1"/>
        <v>46.3</v>
      </c>
      <c r="BE177" s="2">
        <f t="shared" ca="1" si="121"/>
        <v>1.758241758241752E-2</v>
      </c>
      <c r="BF177" s="2" vm="6148">
        <f ca="1"/>
        <v>111.74</v>
      </c>
      <c r="BG177" s="2">
        <f t="shared" ca="1" si="122"/>
        <v>-2.5806451612903295E-2</v>
      </c>
      <c r="BH177" s="2" vm="6149">
        <f ca="1"/>
        <v>146.86000000000001</v>
      </c>
      <c r="BI177" s="2">
        <f t="shared" ca="1" si="123"/>
        <v>-1.7987295218990288E-2</v>
      </c>
      <c r="BJ177" s="2" vm="6150">
        <f ca="1"/>
        <v>151.32</v>
      </c>
      <c r="BK177" s="2">
        <f t="shared" ca="1" si="124"/>
        <v>1.0214300020028048E-2</v>
      </c>
      <c r="BL177" s="2" vm="6151">
        <f ca="1"/>
        <v>69.739999999999995</v>
      </c>
      <c r="BM177" s="2">
        <f t="shared" ca="1" si="125"/>
        <v>1.3073794305636134E-2</v>
      </c>
      <c r="BN177" s="2" vm="6152">
        <f ca="1"/>
        <v>289.52</v>
      </c>
      <c r="BO177" s="2">
        <f t="shared" ca="1" si="126"/>
        <v>7.1662144298337248E-3</v>
      </c>
      <c r="BP177" s="2" vm="6153">
        <f ca="1"/>
        <v>117.75</v>
      </c>
      <c r="BQ177" s="2">
        <f t="shared" ca="1" si="127"/>
        <v>1.0201479214486488E-3</v>
      </c>
      <c r="BR177" s="2" vm="6154">
        <f ca="1"/>
        <v>1253.54</v>
      </c>
      <c r="BS177" s="2">
        <f t="shared" ca="1" si="128"/>
        <v>1.7971268708228683E-2</v>
      </c>
      <c r="BT177" s="2" vm="6155">
        <f ca="1"/>
        <v>161.03</v>
      </c>
      <c r="BU177" s="2">
        <f t="shared" ca="1" si="129"/>
        <v>1.2257983404576241E-2</v>
      </c>
      <c r="BV177" s="2" vm="6156">
        <f ca="1"/>
        <v>129.09</v>
      </c>
      <c r="BW177" s="2">
        <f t="shared" ca="1" si="130"/>
        <v>1.5495467575742027E-4</v>
      </c>
      <c r="BX177" s="2" vm="6157">
        <f ca="1"/>
        <v>231.97</v>
      </c>
      <c r="BY177" s="2">
        <f t="shared" ca="1" si="131"/>
        <v>-4.487997694239719E-2</v>
      </c>
      <c r="BZ177" s="2" vm="3248">
        <f ca="1"/>
        <v>90.51</v>
      </c>
      <c r="CA177" s="2">
        <f t="shared" ca="1" si="132"/>
        <v>-3.0838419530998987E-2</v>
      </c>
      <c r="CB177" s="2" vm="2998">
        <f ca="1"/>
        <v>28.81</v>
      </c>
      <c r="CC177" s="2">
        <f t="shared" ca="1" si="133"/>
        <v>-4.5394300861497712E-2</v>
      </c>
      <c r="CD177" s="2" t="e" vm="92">
        <f ca="1"/>
        <v>#N/A</v>
      </c>
      <c r="CE177" s="2" t="e" vm="140">
        <f t="shared" ca="1" si="134"/>
        <v>#N/A</v>
      </c>
      <c r="CF177" s="2" vm="4785">
        <f ca="1"/>
        <v>22.81</v>
      </c>
      <c r="CG177" s="2">
        <f t="shared" ca="1" si="135"/>
        <v>2.4170511975389899E-3</v>
      </c>
      <c r="CH177" s="2" vm="313">
        <f ca="1"/>
        <v>58.62</v>
      </c>
      <c r="CI177" s="2">
        <f t="shared" ca="1" si="136"/>
        <v>1.0245901639343437E-3</v>
      </c>
      <c r="CJ177" s="2" vm="6158">
        <f ca="1"/>
        <v>59.41</v>
      </c>
      <c r="CK177" s="2">
        <f t="shared" ca="1" si="137"/>
        <v>2.7004219409282127E-3</v>
      </c>
      <c r="CL177" s="2" vm="6159">
        <f ca="1"/>
        <v>55.29</v>
      </c>
      <c r="CM177" s="2">
        <f t="shared" ca="1" si="138"/>
        <v>3.8126361655773577E-3</v>
      </c>
      <c r="CN177" s="2" vm="943">
        <f ca="1"/>
        <v>28.95</v>
      </c>
      <c r="CO177" s="2">
        <f t="shared" ca="1" si="139"/>
        <v>2.7710426047799891E-3</v>
      </c>
      <c r="CP177" s="2" vm="6160">
        <f ca="1"/>
        <v>22.0398</v>
      </c>
      <c r="CQ177" s="2">
        <f t="shared" ca="1" si="140"/>
        <v>1.2449009591709272E-2</v>
      </c>
    </row>
    <row r="178" spans="1:95" x14ac:dyDescent="0.2">
      <c r="A178" s="7" vm="6161">
        <f ca="1"/>
        <v>45832</v>
      </c>
      <c r="B178" s="2" vm="6162">
        <f ca="1"/>
        <v>200.3</v>
      </c>
      <c r="C178" s="2">
        <f t="shared" ca="1" si="94"/>
        <v>-5.9553349875929957E-3</v>
      </c>
      <c r="D178" s="2" vm="4203">
        <f ca="1"/>
        <v>147.9</v>
      </c>
      <c r="E178" s="2">
        <f t="shared" ca="1" si="95"/>
        <v>2.5872234167996243E-2</v>
      </c>
      <c r="F178" s="2" vm="6163">
        <f ca="1"/>
        <v>490.11</v>
      </c>
      <c r="G178" s="2">
        <f t="shared" ca="1" si="96"/>
        <v>8.4567901234568182E-3</v>
      </c>
      <c r="H178" s="2" vm="6164">
        <f ca="1"/>
        <v>712.2</v>
      </c>
      <c r="I178" s="2">
        <f t="shared" ca="1" si="97"/>
        <v>1.9569667730806227E-2</v>
      </c>
      <c r="J178" s="2" vm="6165">
        <f ca="1"/>
        <v>166.77</v>
      </c>
      <c r="K178" s="2">
        <f t="shared" ca="1" si="98"/>
        <v>9.5647436285490189E-3</v>
      </c>
      <c r="L178" s="2" vm="6166">
        <f ca="1"/>
        <v>606.78</v>
      </c>
      <c r="M178" s="2">
        <f t="shared" ca="1" si="99"/>
        <v>1.104723819045238E-2</v>
      </c>
      <c r="N178" s="2" vm="6167">
        <f ca="1"/>
        <v>87.4</v>
      </c>
      <c r="O178" s="2">
        <f t="shared" ca="1" si="100"/>
        <v>7.2605739310822827E-3</v>
      </c>
      <c r="P178" s="2" vm="6168">
        <f ca="1"/>
        <v>306.19</v>
      </c>
      <c r="Q178" s="2">
        <f t="shared" ca="1" si="101"/>
        <v>-1.5719429085765676E-2</v>
      </c>
      <c r="R178" s="2" vm="4778">
        <f ca="1"/>
        <v>73</v>
      </c>
      <c r="S178" s="2">
        <f t="shared" ca="1" si="102"/>
        <v>-4.4627666535793704E-2</v>
      </c>
      <c r="T178" s="2" vm="6169">
        <f ca="1"/>
        <v>95.26</v>
      </c>
      <c r="U178" s="2">
        <f t="shared" ca="1" si="103"/>
        <v>3.4762456546929134E-3</v>
      </c>
      <c r="V178" s="2" vm="6170">
        <f ca="1"/>
        <v>47.212299999999999</v>
      </c>
      <c r="W178" s="2">
        <f t="shared" ca="1" si="104"/>
        <v>3.8762492026365703E-3</v>
      </c>
      <c r="X178" s="2" vm="869">
        <f ca="1"/>
        <v>139.91</v>
      </c>
      <c r="Y178" s="2">
        <f t="shared" ca="1" si="105"/>
        <v>4.387077519958215E-2</v>
      </c>
      <c r="Z178" s="2" vm="6171">
        <f ca="1"/>
        <v>84.91</v>
      </c>
      <c r="AA178" s="2">
        <f t="shared" ca="1" si="106"/>
        <v>-1.3018714401952861E-2</v>
      </c>
      <c r="AB178" s="2" vm="6172">
        <f ca="1"/>
        <v>13.25</v>
      </c>
      <c r="AC178" s="2">
        <f t="shared" ca="1" si="107"/>
        <v>-4.8132183908045974E-2</v>
      </c>
      <c r="AD178" s="2" vm="6173">
        <f ca="1"/>
        <v>8.82</v>
      </c>
      <c r="AE178" s="2">
        <f t="shared" ca="1" si="108"/>
        <v>0.13076923076923083</v>
      </c>
      <c r="AF178" s="2" vm="6174">
        <f ca="1"/>
        <v>32.61</v>
      </c>
      <c r="AG178" s="2">
        <f t="shared" ca="1" si="109"/>
        <v>-1.0618932038834994E-2</v>
      </c>
      <c r="AH178" s="2" vm="594">
        <f ca="1"/>
        <v>26.29</v>
      </c>
      <c r="AI178" s="2">
        <f t="shared" ca="1" si="110"/>
        <v>-7.1752265861027668E-3</v>
      </c>
      <c r="AJ178" s="2" vm="5668">
        <f ca="1"/>
        <v>4.5599999999999996</v>
      </c>
      <c r="AK178" s="2">
        <f t="shared" ca="1" si="111"/>
        <v>-3.184713375796186E-2</v>
      </c>
      <c r="AL178" s="2" vm="6175">
        <f ca="1"/>
        <v>65.819999999999993</v>
      </c>
      <c r="AM178" s="2">
        <f t="shared" ca="1" si="112"/>
        <v>-1.5554890816631861E-2</v>
      </c>
      <c r="AN178" s="2" vm="6176">
        <f ca="1"/>
        <v>119.87</v>
      </c>
      <c r="AO178" s="2">
        <f t="shared" ca="1" si="113"/>
        <v>1.843670348343247E-2</v>
      </c>
      <c r="AP178" s="2" vm="1586">
        <f ca="1"/>
        <v>26.56</v>
      </c>
      <c r="AQ178" s="2">
        <f t="shared" ca="1" si="114"/>
        <v>1.5082956259426527E-3</v>
      </c>
      <c r="AR178" s="2" vm="422">
        <f ca="1"/>
        <v>50.96</v>
      </c>
      <c r="AS178" s="2">
        <f t="shared" ca="1" si="115"/>
        <v>1.9627085377817488E-4</v>
      </c>
      <c r="AT178" s="2" vm="694">
        <f ca="1"/>
        <v>29.24</v>
      </c>
      <c r="AU178" s="2">
        <f t="shared" ca="1" si="116"/>
        <v>1.0270455323518515E-3</v>
      </c>
      <c r="AV178" s="2" vm="508">
        <f ca="1"/>
        <v>26.34</v>
      </c>
      <c r="AW178" s="2">
        <f t="shared" ca="1" si="117"/>
        <v>5.7273768613974258E-3</v>
      </c>
      <c r="AX178" s="2" vm="1998">
        <f ca="1"/>
        <v>91.66</v>
      </c>
      <c r="AY178" s="2">
        <f t="shared" ca="1" si="118"/>
        <v>0</v>
      </c>
      <c r="AZ178" s="2" vm="6177">
        <f ca="1"/>
        <v>493.48</v>
      </c>
      <c r="BA178" s="2">
        <f t="shared" ca="1" si="119"/>
        <v>1.1706337003095797E-2</v>
      </c>
      <c r="BB178" s="2" vm="6178">
        <f ca="1"/>
        <v>281.26</v>
      </c>
      <c r="BC178" s="2">
        <f t="shared" ca="1" si="120"/>
        <v>1.0744959931002298E-2</v>
      </c>
      <c r="BD178" s="2" vm="2777">
        <f ca="1"/>
        <v>46.66</v>
      </c>
      <c r="BE178" s="2">
        <f t="shared" ca="1" si="121"/>
        <v>7.7753779697624075E-3</v>
      </c>
      <c r="BF178" s="2" vm="6179">
        <f ca="1"/>
        <v>108.34</v>
      </c>
      <c r="BG178" s="2">
        <f t="shared" ca="1" si="122"/>
        <v>-3.0427778772149559E-2</v>
      </c>
      <c r="BH178" s="2" vm="6180">
        <f ca="1"/>
        <v>143.55000000000001</v>
      </c>
      <c r="BI178" s="2">
        <f t="shared" ca="1" si="123"/>
        <v>-2.2538472014163161E-2</v>
      </c>
      <c r="BJ178" s="2" vm="6181">
        <f ca="1"/>
        <v>152.19</v>
      </c>
      <c r="BK178" s="2">
        <f t="shared" ca="1" si="124"/>
        <v>5.7494052339413463E-3</v>
      </c>
      <c r="BL178" s="2" vm="6182">
        <f ca="1"/>
        <v>70.209999999999994</v>
      </c>
      <c r="BM178" s="2">
        <f t="shared" ca="1" si="125"/>
        <v>6.7393174648694995E-3</v>
      </c>
      <c r="BN178" s="2" vm="6183">
        <f ca="1"/>
        <v>291.47000000000003</v>
      </c>
      <c r="BO178" s="2">
        <f t="shared" ca="1" si="126"/>
        <v>6.7352859906052972E-3</v>
      </c>
      <c r="BP178" s="2" vm="3104">
        <f ca="1"/>
        <v>118.65</v>
      </c>
      <c r="BQ178" s="2">
        <f t="shared" ca="1" si="127"/>
        <v>7.6433121019108766E-3</v>
      </c>
      <c r="BR178" s="2" vm="6184">
        <f ca="1"/>
        <v>1279.1099999999999</v>
      </c>
      <c r="BS178" s="2">
        <f t="shared" ca="1" si="128"/>
        <v>2.0398232206391448E-2</v>
      </c>
      <c r="BT178" s="2" vm="1447">
        <f ca="1"/>
        <v>160.36000000000001</v>
      </c>
      <c r="BU178" s="2">
        <f t="shared" ca="1" si="129"/>
        <v>-4.1607153946468826E-3</v>
      </c>
      <c r="BV178" s="2" vm="6185">
        <f ca="1"/>
        <v>131.05000000000001</v>
      </c>
      <c r="BW178" s="2">
        <f t="shared" ca="1" si="130"/>
        <v>1.518320551553186E-2</v>
      </c>
      <c r="BX178" s="2" vm="6186">
        <f ca="1"/>
        <v>230.81</v>
      </c>
      <c r="BY178" s="2">
        <f t="shared" ca="1" si="131"/>
        <v>-5.0006466353407619E-3</v>
      </c>
      <c r="BZ178" s="2" vm="6187">
        <f ca="1"/>
        <v>89.72</v>
      </c>
      <c r="CA178" s="2">
        <f t="shared" ca="1" si="132"/>
        <v>-8.7283173130041566E-3</v>
      </c>
      <c r="CB178" s="2" vm="1700">
        <f ca="1"/>
        <v>28.56</v>
      </c>
      <c r="CC178" s="2">
        <f t="shared" ca="1" si="133"/>
        <v>-8.6775425199583488E-3</v>
      </c>
      <c r="CD178" s="2" t="e" vm="92">
        <f ca="1"/>
        <v>#N/A</v>
      </c>
      <c r="CE178" s="2" t="e" vm="140">
        <f t="shared" ca="1" si="134"/>
        <v>#N/A</v>
      </c>
      <c r="CF178" s="2" vm="1534">
        <f ca="1"/>
        <v>22.87</v>
      </c>
      <c r="CG178" s="2">
        <f t="shared" ca="1" si="135"/>
        <v>2.6304252520825198E-3</v>
      </c>
      <c r="CH178" s="2" vm="4317">
        <f ca="1"/>
        <v>58.68</v>
      </c>
      <c r="CI178" s="2">
        <f t="shared" ca="1" si="136"/>
        <v>1.0235414534289027E-3</v>
      </c>
      <c r="CJ178" s="2" vm="6188">
        <f ca="1"/>
        <v>59.56</v>
      </c>
      <c r="CK178" s="2">
        <f t="shared" ca="1" si="137"/>
        <v>2.5248274701229708E-3</v>
      </c>
      <c r="CL178" s="2" vm="6189">
        <f ca="1"/>
        <v>55.65</v>
      </c>
      <c r="CM178" s="2">
        <f t="shared" ca="1" si="138"/>
        <v>6.5111231687465989E-3</v>
      </c>
      <c r="CN178" s="2" vm="1747">
        <f ca="1"/>
        <v>29.08</v>
      </c>
      <c r="CO178" s="2">
        <f t="shared" ca="1" si="139"/>
        <v>4.4905008635578239E-3</v>
      </c>
      <c r="CP178" s="2" vm="6190">
        <f ca="1"/>
        <v>21.96</v>
      </c>
      <c r="CQ178" s="2">
        <f t="shared" ca="1" si="140"/>
        <v>-3.6207225110935111E-3</v>
      </c>
    </row>
    <row r="179" spans="1:95" x14ac:dyDescent="0.2">
      <c r="A179" s="7" vm="6191">
        <f ca="1"/>
        <v>45833</v>
      </c>
      <c r="B179" s="2" vm="6192">
        <f ca="1"/>
        <v>201.56</v>
      </c>
      <c r="C179" s="2">
        <f t="shared" ca="1" si="94"/>
        <v>6.2905641537693005E-3</v>
      </c>
      <c r="D179" s="2" vm="6193">
        <f ca="1"/>
        <v>154.31</v>
      </c>
      <c r="E179" s="2">
        <f t="shared" ca="1" si="95"/>
        <v>4.3340094658553055E-2</v>
      </c>
      <c r="F179" s="2" vm="6194">
        <f ca="1"/>
        <v>492.27</v>
      </c>
      <c r="G179" s="2">
        <f t="shared" ca="1" si="96"/>
        <v>4.407173899736729E-3</v>
      </c>
      <c r="H179" s="2" vm="6195">
        <f ca="1"/>
        <v>708.68</v>
      </c>
      <c r="I179" s="2">
        <f t="shared" ca="1" si="97"/>
        <v>-4.942431901151496E-3</v>
      </c>
      <c r="J179" s="2" vm="6196">
        <f ca="1"/>
        <v>170.68</v>
      </c>
      <c r="K179" s="2">
        <f t="shared" ca="1" si="98"/>
        <v>2.3445463812436267E-2</v>
      </c>
      <c r="L179" s="2" vm="6197">
        <f ca="1"/>
        <v>607.12</v>
      </c>
      <c r="M179" s="2">
        <f t="shared" ca="1" si="99"/>
        <v>5.6033488249453156E-4</v>
      </c>
      <c r="N179" s="2" vm="2799">
        <f ca="1"/>
        <v>87.51</v>
      </c>
      <c r="O179" s="2">
        <f t="shared" ca="1" si="100"/>
        <v>1.258581235697934E-3</v>
      </c>
      <c r="P179" s="2" vm="6198">
        <f ca="1"/>
        <v>307.12</v>
      </c>
      <c r="Q179" s="2">
        <f t="shared" ca="1" si="101"/>
        <v>3.0373297625657493E-3</v>
      </c>
      <c r="R179" s="2" vm="3730">
        <f ca="1"/>
        <v>73.31</v>
      </c>
      <c r="S179" s="2">
        <f t="shared" ca="1" si="102"/>
        <v>4.2465753424657847E-3</v>
      </c>
      <c r="T179" s="2" vm="6199">
        <f ca="1"/>
        <v>95.3</v>
      </c>
      <c r="U179" s="2">
        <f t="shared" ca="1" si="103"/>
        <v>4.1990342221280748E-4</v>
      </c>
      <c r="V179" s="2" vm="6200">
        <f ca="1"/>
        <v>46.985900000000001</v>
      </c>
      <c r="W179" s="2">
        <f t="shared" ca="1" si="104"/>
        <v>-4.795360531048014E-3</v>
      </c>
      <c r="X179" s="2" vm="6201">
        <f ca="1"/>
        <v>137.72999999999999</v>
      </c>
      <c r="Y179" s="2">
        <f t="shared" ca="1" si="105"/>
        <v>-1.5581445214780981E-2</v>
      </c>
      <c r="Z179" s="2" vm="6202">
        <f ca="1"/>
        <v>84.54</v>
      </c>
      <c r="AA179" s="2">
        <f t="shared" ca="1" si="106"/>
        <v>-4.3575550582969072E-3</v>
      </c>
      <c r="AB179" s="2" vm="6203">
        <f ca="1"/>
        <v>13.2</v>
      </c>
      <c r="AC179" s="2">
        <f t="shared" ca="1" si="107"/>
        <v>-3.7735849056604312E-3</v>
      </c>
      <c r="AD179" s="2" vm="6204">
        <f ca="1"/>
        <v>12</v>
      </c>
      <c r="AE179" s="2">
        <f t="shared" ca="1" si="108"/>
        <v>0.36054421768707479</v>
      </c>
      <c r="AF179" s="2" vm="6205">
        <f ca="1"/>
        <v>33.01</v>
      </c>
      <c r="AG179" s="2">
        <f t="shared" ca="1" si="109"/>
        <v>1.2266176019625838E-2</v>
      </c>
      <c r="AH179" s="2" vm="1237">
        <f ca="1"/>
        <v>26.08</v>
      </c>
      <c r="AI179" s="2">
        <f t="shared" ca="1" si="110"/>
        <v>-7.9878280715101127E-3</v>
      </c>
      <c r="AJ179" s="2" vm="5232">
        <f ca="1"/>
        <v>4.51</v>
      </c>
      <c r="AK179" s="2">
        <f t="shared" ca="1" si="111"/>
        <v>-1.0964912280701716E-2</v>
      </c>
      <c r="AL179" s="2" vm="6206">
        <f ca="1"/>
        <v>66.03</v>
      </c>
      <c r="AM179" s="2">
        <f t="shared" ca="1" si="112"/>
        <v>3.1905195989062286E-3</v>
      </c>
      <c r="AN179" s="2" vm="6207">
        <f ca="1"/>
        <v>124.05</v>
      </c>
      <c r="AO179" s="2">
        <f t="shared" ca="1" si="113"/>
        <v>3.4871110369566971E-2</v>
      </c>
      <c r="AP179" s="2" vm="1586">
        <f ca="1"/>
        <v>26.56</v>
      </c>
      <c r="AQ179" s="2">
        <f t="shared" ca="1" si="114"/>
        <v>0</v>
      </c>
      <c r="AR179" s="2" vm="1924">
        <f ca="1"/>
        <v>50.97</v>
      </c>
      <c r="AS179" s="2">
        <f t="shared" ca="1" si="115"/>
        <v>1.962323390894429E-4</v>
      </c>
      <c r="AT179" s="2" vm="3627">
        <f ca="1"/>
        <v>29.25</v>
      </c>
      <c r="AU179" s="2">
        <f t="shared" ca="1" si="116"/>
        <v>3.4199726402194133E-4</v>
      </c>
      <c r="AV179" s="2" vm="1007">
        <f ca="1"/>
        <v>26.35</v>
      </c>
      <c r="AW179" s="2">
        <f t="shared" ca="1" si="117"/>
        <v>3.7965072133642986E-4</v>
      </c>
      <c r="AX179" s="2" vm="382">
        <f ca="1"/>
        <v>91.67</v>
      </c>
      <c r="AY179" s="2">
        <f t="shared" ca="1" si="118"/>
        <v>1.0909884355231416E-4</v>
      </c>
      <c r="AZ179" s="2" vm="6208">
        <f ca="1"/>
        <v>486.21</v>
      </c>
      <c r="BA179" s="2">
        <f t="shared" ca="1" si="119"/>
        <v>-1.4732106670989783E-2</v>
      </c>
      <c r="BB179" s="2" vm="4295">
        <f ca="1"/>
        <v>284.06</v>
      </c>
      <c r="BC179" s="2">
        <f t="shared" ca="1" si="120"/>
        <v>9.9552015928322957E-3</v>
      </c>
      <c r="BD179" s="2" vm="6209">
        <f ca="1"/>
        <v>46.85</v>
      </c>
      <c r="BE179" s="2">
        <f t="shared" ca="1" si="121"/>
        <v>4.0720102871839876E-3</v>
      </c>
      <c r="BF179" s="2" vm="6210">
        <f ca="1"/>
        <v>108.37</v>
      </c>
      <c r="BG179" s="2">
        <f t="shared" ca="1" si="122"/>
        <v>2.7690603655160733E-4</v>
      </c>
      <c r="BH179" s="2" vm="6211">
        <f ca="1"/>
        <v>143.22999999999999</v>
      </c>
      <c r="BI179" s="2">
        <f t="shared" ca="1" si="123"/>
        <v>-2.2291884360851381E-3</v>
      </c>
      <c r="BJ179" s="2" vm="6212">
        <f ca="1"/>
        <v>152.28</v>
      </c>
      <c r="BK179" s="2">
        <f t="shared" ca="1" si="124"/>
        <v>5.9136605558843161E-4</v>
      </c>
      <c r="BL179" s="2" vm="6213">
        <f ca="1"/>
        <v>69.63</v>
      </c>
      <c r="BM179" s="2">
        <f t="shared" ca="1" si="125"/>
        <v>-8.2609314912405404E-3</v>
      </c>
      <c r="BN179" s="2" vm="6214">
        <f ca="1"/>
        <v>285.55</v>
      </c>
      <c r="BO179" s="2">
        <f t="shared" ca="1" si="126"/>
        <v>-2.031083816516285E-2</v>
      </c>
      <c r="BP179" s="2" vm="6215">
        <f ca="1"/>
        <v>119.42</v>
      </c>
      <c r="BQ179" s="2">
        <f t="shared" ca="1" si="127"/>
        <v>6.4896755162241549E-3</v>
      </c>
      <c r="BR179" s="2" vm="6216">
        <f ca="1"/>
        <v>1275.25</v>
      </c>
      <c r="BS179" s="2">
        <f t="shared" ca="1" si="128"/>
        <v>-3.0177232607046306E-3</v>
      </c>
      <c r="BT179" s="2" vm="6217">
        <f ca="1"/>
        <v>158.97</v>
      </c>
      <c r="BU179" s="2">
        <f t="shared" ca="1" si="129"/>
        <v>-8.6679970067349375E-3</v>
      </c>
      <c r="BV179" s="2" vm="6218">
        <f ca="1"/>
        <v>128.02000000000001</v>
      </c>
      <c r="BW179" s="2">
        <f t="shared" ca="1" si="130"/>
        <v>-2.3120946203739036E-2</v>
      </c>
      <c r="BX179" s="2" vm="3237">
        <f ca="1"/>
        <v>227.65</v>
      </c>
      <c r="BY179" s="2">
        <f t="shared" ca="1" si="131"/>
        <v>-1.369091460508642E-2</v>
      </c>
      <c r="BZ179" s="2" vm="6219">
        <f ca="1"/>
        <v>88.72</v>
      </c>
      <c r="CA179" s="2">
        <f t="shared" ca="1" si="132"/>
        <v>-1.1145786892554615E-2</v>
      </c>
      <c r="CB179" s="2" vm="6220">
        <f ca="1"/>
        <v>28.12</v>
      </c>
      <c r="CC179" s="2">
        <f t="shared" ca="1" si="133"/>
        <v>-1.5406162464985915E-2</v>
      </c>
      <c r="CD179" s="2" t="e" vm="92">
        <f ca="1"/>
        <v>#N/A</v>
      </c>
      <c r="CE179" s="2" t="e" vm="140">
        <f t="shared" ca="1" si="134"/>
        <v>#N/A</v>
      </c>
      <c r="CF179" s="2" vm="6221">
        <f ca="1"/>
        <v>22.89</v>
      </c>
      <c r="CG179" s="2">
        <f t="shared" ca="1" si="135"/>
        <v>8.7450808919980647E-4</v>
      </c>
      <c r="CH179" s="2" vm="4507">
        <f ca="1"/>
        <v>58.7</v>
      </c>
      <c r="CI179" s="2">
        <f t="shared" ca="1" si="136"/>
        <v>3.4083162917524076E-4</v>
      </c>
      <c r="CJ179" s="2" vm="6222">
        <f ca="1"/>
        <v>59.6</v>
      </c>
      <c r="CK179" s="2">
        <f t="shared" ca="1" si="137"/>
        <v>6.7159167226324955E-4</v>
      </c>
      <c r="CL179" s="2" vm="6223">
        <f ca="1"/>
        <v>55.68</v>
      </c>
      <c r="CM179" s="2">
        <f t="shared" ca="1" si="138"/>
        <v>5.3908355795150291E-4</v>
      </c>
      <c r="CN179" s="2" vm="732">
        <f ca="1"/>
        <v>29.04</v>
      </c>
      <c r="CO179" s="2">
        <f t="shared" ca="1" si="139"/>
        <v>-1.3755158184318827E-3</v>
      </c>
      <c r="CP179" s="2" vm="6224">
        <f ca="1"/>
        <v>21.395800000000001</v>
      </c>
      <c r="CQ179" s="2">
        <f t="shared" ca="1" si="140"/>
        <v>-2.5692167577413459E-2</v>
      </c>
    </row>
    <row r="180" spans="1:95" x14ac:dyDescent="0.2">
      <c r="A180" s="7" vm="6225">
        <f ca="1"/>
        <v>45834</v>
      </c>
      <c r="B180" s="2" vm="6100">
        <f ca="1"/>
        <v>201</v>
      </c>
      <c r="C180" s="2">
        <f t="shared" ca="1" si="94"/>
        <v>-2.7783290335384116E-3</v>
      </c>
      <c r="D180" s="2" vm="6226">
        <f ca="1"/>
        <v>155.02000000000001</v>
      </c>
      <c r="E180" s="2">
        <f t="shared" ca="1" si="95"/>
        <v>4.6011276002851922E-3</v>
      </c>
      <c r="F180" s="2" vm="6227">
        <f ca="1"/>
        <v>497.45</v>
      </c>
      <c r="G180" s="2">
        <f t="shared" ca="1" si="96"/>
        <v>1.0522680642736724E-2</v>
      </c>
      <c r="H180" s="2" vm="6228">
        <f ca="1"/>
        <v>726.09</v>
      </c>
      <c r="I180" s="2">
        <f t="shared" ca="1" si="97"/>
        <v>2.456680024834916E-2</v>
      </c>
      <c r="J180" s="2" vm="6229">
        <f ca="1"/>
        <v>173.54</v>
      </c>
      <c r="K180" s="2">
        <f t="shared" ca="1" si="98"/>
        <v>1.6756503398171932E-2</v>
      </c>
      <c r="L180" s="2" vm="6230">
        <f ca="1"/>
        <v>611.87</v>
      </c>
      <c r="M180" s="2">
        <f t="shared" ca="1" si="99"/>
        <v>7.8238239557253918E-3</v>
      </c>
      <c r="N180" s="2" vm="6231">
        <f ca="1"/>
        <v>87.95</v>
      </c>
      <c r="O180" s="2">
        <f t="shared" ca="1" si="100"/>
        <v>5.027996800365646E-3</v>
      </c>
      <c r="P180" s="2" vm="4604">
        <f ca="1"/>
        <v>306.77999999999997</v>
      </c>
      <c r="Q180" s="2">
        <f t="shared" ca="1" si="101"/>
        <v>-1.1070591299818697E-3</v>
      </c>
      <c r="R180" s="2" vm="6232">
        <f ca="1"/>
        <v>73.59</v>
      </c>
      <c r="S180" s="2">
        <f t="shared" ca="1" si="102"/>
        <v>3.8193970808893894E-3</v>
      </c>
      <c r="T180" s="2" vm="6233">
        <f ca="1"/>
        <v>95.64</v>
      </c>
      <c r="U180" s="2">
        <f t="shared" ca="1" si="103"/>
        <v>3.5676810073452616E-3</v>
      </c>
      <c r="V180" s="2" vm="6234">
        <f ca="1"/>
        <v>47.113</v>
      </c>
      <c r="W180" s="2">
        <f t="shared" ca="1" si="104"/>
        <v>2.7050668392006676E-3</v>
      </c>
      <c r="X180" s="2" vm="6235">
        <f ca="1"/>
        <v>139.35</v>
      </c>
      <c r="Y180" s="2">
        <f t="shared" ca="1" si="105"/>
        <v>1.176214332389461E-2</v>
      </c>
      <c r="Z180" s="2" vm="6236">
        <f ca="1"/>
        <v>85.75</v>
      </c>
      <c r="AA180" s="2">
        <f t="shared" ca="1" si="106"/>
        <v>1.4312751360302741E-2</v>
      </c>
      <c r="AB180" s="2" vm="6237">
        <f ca="1"/>
        <v>13.28</v>
      </c>
      <c r="AC180" s="2">
        <f t="shared" ca="1" si="107"/>
        <v>6.0606060606060667E-3</v>
      </c>
      <c r="AD180" s="2" vm="6238">
        <f ca="1"/>
        <v>6.75</v>
      </c>
      <c r="AE180" s="2">
        <f t="shared" ca="1" si="108"/>
        <v>-0.4375</v>
      </c>
      <c r="AF180" s="2" vm="6239">
        <f ca="1"/>
        <v>33.340000000000003</v>
      </c>
      <c r="AG180" s="2">
        <f t="shared" ca="1" si="109"/>
        <v>9.996970614965326E-3</v>
      </c>
      <c r="AH180" s="2" vm="1089">
        <f ca="1"/>
        <v>26.14</v>
      </c>
      <c r="AI180" s="2">
        <f t="shared" ca="1" si="110"/>
        <v>2.3006134969326027E-3</v>
      </c>
      <c r="AJ180" s="2" vm="5366">
        <f ca="1"/>
        <v>4.45</v>
      </c>
      <c r="AK180" s="2">
        <f t="shared" ca="1" si="111"/>
        <v>-1.330376940133029E-2</v>
      </c>
      <c r="AL180" s="2" vm="6240">
        <f ca="1"/>
        <v>65.959999999999994</v>
      </c>
      <c r="AM180" s="2">
        <f t="shared" ca="1" si="112"/>
        <v>-1.0601241859761834E-3</v>
      </c>
      <c r="AN180" s="2" vm="6241">
        <f ca="1"/>
        <v>128.86000000000001</v>
      </c>
      <c r="AO180" s="2">
        <f t="shared" ca="1" si="113"/>
        <v>3.8774687625957406E-2</v>
      </c>
      <c r="AP180" s="2" vm="3252">
        <f ca="1"/>
        <v>26.63</v>
      </c>
      <c r="AQ180" s="2">
        <f t="shared" ca="1" si="114"/>
        <v>2.6355421686747094E-3</v>
      </c>
      <c r="AR180" s="2" vm="509">
        <f ca="1"/>
        <v>50.99</v>
      </c>
      <c r="AS180" s="2">
        <f t="shared" ca="1" si="115"/>
        <v>3.9238767902693988E-4</v>
      </c>
      <c r="AT180" s="2" vm="572">
        <f ca="1"/>
        <v>29.29</v>
      </c>
      <c r="AU180" s="2">
        <f t="shared" ca="1" si="116"/>
        <v>1.3675213675213385E-3</v>
      </c>
      <c r="AV180" s="2" vm="3283">
        <f ca="1"/>
        <v>26.48</v>
      </c>
      <c r="AW180" s="2">
        <f t="shared" ca="1" si="117"/>
        <v>4.9335863377608724E-3</v>
      </c>
      <c r="AX180" s="2" vm="1326">
        <f ca="1"/>
        <v>91.68</v>
      </c>
      <c r="AY180" s="2">
        <f t="shared" ca="1" si="118"/>
        <v>1.0908694229306334E-4</v>
      </c>
      <c r="AZ180" s="2" vm="6242">
        <f ca="1"/>
        <v>485.05</v>
      </c>
      <c r="BA180" s="2">
        <f t="shared" ca="1" si="119"/>
        <v>-2.3858003743237864E-3</v>
      </c>
      <c r="BB180" s="2" vm="6243">
        <f ca="1"/>
        <v>288.75</v>
      </c>
      <c r="BC180" s="2">
        <f t="shared" ca="1" si="120"/>
        <v>1.6510596352883187E-2</v>
      </c>
      <c r="BD180" s="2" vm="6244">
        <f ca="1"/>
        <v>47.46</v>
      </c>
      <c r="BE180" s="2">
        <f t="shared" ca="1" si="121"/>
        <v>1.302027748132336E-2</v>
      </c>
      <c r="BF180" s="2" vm="6245">
        <f ca="1"/>
        <v>109.99</v>
      </c>
      <c r="BG180" s="2">
        <f t="shared" ca="1" si="122"/>
        <v>1.4948786564547295E-2</v>
      </c>
      <c r="BH180" s="2" vm="6246">
        <f ca="1"/>
        <v>144.44</v>
      </c>
      <c r="BI180" s="2">
        <f t="shared" ca="1" si="123"/>
        <v>8.4479508482860292E-3</v>
      </c>
      <c r="BJ180" s="2" vm="6247">
        <f ca="1"/>
        <v>152.01</v>
      </c>
      <c r="BK180" s="2">
        <f t="shared" ca="1" si="124"/>
        <v>-1.7730496453901381E-3</v>
      </c>
      <c r="BL180" s="2" vm="6248">
        <f ca="1"/>
        <v>69.47</v>
      </c>
      <c r="BM180" s="2">
        <f t="shared" ca="1" si="125"/>
        <v>-2.297860117765282E-3</v>
      </c>
      <c r="BN180" s="2" vm="6249">
        <f ca="1"/>
        <v>285.63</v>
      </c>
      <c r="BO180" s="2">
        <f t="shared" ca="1" si="126"/>
        <v>2.8016109262820552E-4</v>
      </c>
      <c r="BP180" s="2" vm="6250">
        <f ca="1"/>
        <v>121.46</v>
      </c>
      <c r="BQ180" s="2">
        <f t="shared" ca="1" si="127"/>
        <v>1.7082565734382785E-2</v>
      </c>
      <c r="BR180" s="2" vm="6251">
        <f ca="1"/>
        <v>1306.67</v>
      </c>
      <c r="BS180" s="2">
        <f t="shared" ca="1" si="128"/>
        <v>2.4638306214467807E-2</v>
      </c>
      <c r="BT180" s="2" vm="6252">
        <f ca="1"/>
        <v>158.63</v>
      </c>
      <c r="BU180" s="2">
        <f t="shared" ca="1" si="129"/>
        <v>-2.1387683210668893E-3</v>
      </c>
      <c r="BV180" s="2" vm="6253">
        <f ca="1"/>
        <v>128.22</v>
      </c>
      <c r="BW180" s="2">
        <f t="shared" ca="1" si="130"/>
        <v>1.5622558975159242E-3</v>
      </c>
      <c r="BX180" s="2" vm="6254">
        <f ca="1"/>
        <v>231.62</v>
      </c>
      <c r="BY180" s="2">
        <f t="shared" ca="1" si="131"/>
        <v>1.7439051175049413E-2</v>
      </c>
      <c r="BZ180" s="2" vm="3053">
        <f ca="1"/>
        <v>89.79</v>
      </c>
      <c r="CA180" s="2">
        <f t="shared" ca="1" si="132"/>
        <v>1.2060414788097468E-2</v>
      </c>
      <c r="CB180" s="2" vm="3051">
        <f ca="1"/>
        <v>28.51</v>
      </c>
      <c r="CC180" s="2">
        <f t="shared" ca="1" si="133"/>
        <v>1.3869132290184941E-2</v>
      </c>
      <c r="CD180" s="2" t="e" vm="92">
        <f ca="1"/>
        <v>#N/A</v>
      </c>
      <c r="CE180" s="2" t="e" vm="140">
        <f t="shared" ca="1" si="134"/>
        <v>#N/A</v>
      </c>
      <c r="CF180" s="2" vm="1568">
        <f ca="1"/>
        <v>22.945</v>
      </c>
      <c r="CG180" s="2">
        <f t="shared" ca="1" si="135"/>
        <v>2.4027959807776198E-3</v>
      </c>
      <c r="CH180" s="2" vm="1459">
        <f ca="1"/>
        <v>58.75</v>
      </c>
      <c r="CI180" s="2">
        <f t="shared" ca="1" si="136"/>
        <v>8.5178875638836722E-4</v>
      </c>
      <c r="CJ180" s="2" vm="6255">
        <f ca="1"/>
        <v>59.75</v>
      </c>
      <c r="CK180" s="2">
        <f t="shared" ca="1" si="137"/>
        <v>2.5167785234899089E-3</v>
      </c>
      <c r="CL180" s="2" vm="3033">
        <f ca="1"/>
        <v>55.92</v>
      </c>
      <c r="CM180" s="2">
        <f t="shared" ca="1" si="138"/>
        <v>4.3103448275862424E-3</v>
      </c>
      <c r="CN180" s="2" vm="716">
        <f ca="1"/>
        <v>29.13</v>
      </c>
      <c r="CO180" s="2">
        <f t="shared" ca="1" si="139"/>
        <v>3.0991735537190036E-3</v>
      </c>
      <c r="CP180" s="2" vm="6256">
        <f ca="1"/>
        <v>21.286799999999999</v>
      </c>
      <c r="CQ180" s="2">
        <f t="shared" ca="1" si="140"/>
        <v>-5.09445779078145E-3</v>
      </c>
    </row>
    <row r="181" spans="1:95" x14ac:dyDescent="0.2">
      <c r="A181" s="7" vm="6257">
        <f ca="1"/>
        <v>45835</v>
      </c>
      <c r="B181" s="2" vm="6258">
        <f ca="1"/>
        <v>201.08</v>
      </c>
      <c r="C181" s="2">
        <f t="shared" ca="1" si="94"/>
        <v>3.9800995024881844E-4</v>
      </c>
      <c r="D181" s="2" vm="4844">
        <f ca="1"/>
        <v>157.75</v>
      </c>
      <c r="E181" s="2">
        <f t="shared" ca="1" si="95"/>
        <v>1.7610630886337179E-2</v>
      </c>
      <c r="F181" s="2" vm="3930">
        <f ca="1"/>
        <v>495.94</v>
      </c>
      <c r="G181" s="2">
        <f t="shared" ca="1" si="96"/>
        <v>-3.0354809528595657E-3</v>
      </c>
      <c r="H181" s="2" vm="6259">
        <f ca="1"/>
        <v>733.63</v>
      </c>
      <c r="I181" s="2">
        <f t="shared" ca="1" si="97"/>
        <v>1.0384387610351284E-2</v>
      </c>
      <c r="J181" s="2" vm="6260">
        <f ca="1"/>
        <v>178.53</v>
      </c>
      <c r="K181" s="2">
        <f t="shared" ca="1" si="98"/>
        <v>2.8754177711190557E-2</v>
      </c>
      <c r="L181" s="2" vm="6261">
        <f ca="1"/>
        <v>614.91</v>
      </c>
      <c r="M181" s="2">
        <f t="shared" ca="1" si="99"/>
        <v>4.9683756353473179E-3</v>
      </c>
      <c r="N181" s="2" vm="2281">
        <f ca="1"/>
        <v>87.39</v>
      </c>
      <c r="O181" s="2">
        <f t="shared" ca="1" si="100"/>
        <v>-6.3672541216600598E-3</v>
      </c>
      <c r="P181" s="2" vm="6262">
        <f ca="1"/>
        <v>301.22000000000003</v>
      </c>
      <c r="Q181" s="2">
        <f t="shared" ca="1" si="101"/>
        <v>-1.8123736879848574E-2</v>
      </c>
      <c r="R181" s="2" vm="6263">
        <f ca="1"/>
        <v>73.28</v>
      </c>
      <c r="S181" s="2">
        <f t="shared" ca="1" si="102"/>
        <v>-4.2125288762060367E-3</v>
      </c>
      <c r="T181" s="2" vm="3702">
        <f ca="1"/>
        <v>95.39</v>
      </c>
      <c r="U181" s="2">
        <f t="shared" ca="1" si="103"/>
        <v>-2.6139690506064408E-3</v>
      </c>
      <c r="V181" s="2" vm="6264">
        <f ca="1"/>
        <v>47.009099999999997</v>
      </c>
      <c r="W181" s="2">
        <f t="shared" ca="1" si="104"/>
        <v>-2.2053361068071018E-3</v>
      </c>
      <c r="X181" s="2" vm="6265">
        <f ca="1"/>
        <v>142.91999999999999</v>
      </c>
      <c r="Y181" s="2">
        <f t="shared" ca="1" si="105"/>
        <v>2.5618945102260447E-2</v>
      </c>
      <c r="Z181" s="2" vm="6266">
        <f ca="1"/>
        <v>85.3</v>
      </c>
      <c r="AA181" s="2">
        <f t="shared" ca="1" si="106"/>
        <v>-5.2478134110787505E-3</v>
      </c>
      <c r="AB181" s="2" vm="6203">
        <f ca="1"/>
        <v>13.2</v>
      </c>
      <c r="AC181" s="2">
        <f t="shared" ca="1" si="107"/>
        <v>-6.0240963855421742E-3</v>
      </c>
      <c r="AD181" s="2" vm="6267">
        <f ca="1"/>
        <v>6.24</v>
      </c>
      <c r="AE181" s="2">
        <f t="shared" ca="1" si="108"/>
        <v>-7.5555555555555529E-2</v>
      </c>
      <c r="AF181" s="2" vm="6268">
        <f ca="1"/>
        <v>32.619999999999997</v>
      </c>
      <c r="AG181" s="2">
        <f t="shared" ca="1" si="109"/>
        <v>-2.1595680863827411E-2</v>
      </c>
      <c r="AH181" s="2" vm="1855">
        <f ca="1"/>
        <v>26.33</v>
      </c>
      <c r="AI181" s="2">
        <f t="shared" ca="1" si="110"/>
        <v>7.2685539403212597E-3</v>
      </c>
      <c r="AJ181" s="2" vm="5010">
        <f ca="1"/>
        <v>4.4800000000000004</v>
      </c>
      <c r="AK181" s="2">
        <f t="shared" ca="1" si="111"/>
        <v>6.7415730337079208E-3</v>
      </c>
      <c r="AL181" s="2" vm="6269">
        <f ca="1"/>
        <v>64.77</v>
      </c>
      <c r="AM181" s="2">
        <f t="shared" ca="1" si="112"/>
        <v>-1.8041237113402029E-2</v>
      </c>
      <c r="AN181" s="2" vm="6270">
        <f ca="1"/>
        <v>122.01</v>
      </c>
      <c r="AO181" s="2">
        <f t="shared" ca="1" si="113"/>
        <v>-5.3158466552848116E-2</v>
      </c>
      <c r="AP181" s="2" vm="252">
        <f ca="1"/>
        <v>26.59</v>
      </c>
      <c r="AQ181" s="2">
        <f t="shared" ca="1" si="114"/>
        <v>-1.5020653398422513E-3</v>
      </c>
      <c r="AR181" s="2" vm="552">
        <f ca="1"/>
        <v>51.01</v>
      </c>
      <c r="AS181" s="2">
        <f t="shared" ca="1" si="115"/>
        <v>3.9223377132763324E-4</v>
      </c>
      <c r="AT181" s="2" vm="6271">
        <f ca="1"/>
        <v>29.27</v>
      </c>
      <c r="AU181" s="2">
        <f t="shared" ca="1" si="116"/>
        <v>-6.8282690337997866E-4</v>
      </c>
      <c r="AV181" s="2" vm="758">
        <f ca="1"/>
        <v>26.31</v>
      </c>
      <c r="AW181" s="2">
        <f t="shared" ca="1" si="117"/>
        <v>-6.4199395770393394E-3</v>
      </c>
      <c r="AX181" s="2" vm="1406">
        <f ca="1"/>
        <v>91.72</v>
      </c>
      <c r="AY181" s="2">
        <f t="shared" ca="1" si="118"/>
        <v>4.3630017451998297E-4</v>
      </c>
      <c r="AZ181" s="2" vm="6272">
        <f ca="1"/>
        <v>485.68</v>
      </c>
      <c r="BA181" s="2">
        <f t="shared" ca="1" si="119"/>
        <v>1.2988351716317812E-3</v>
      </c>
      <c r="BB181" s="2" vm="6273">
        <f ca="1"/>
        <v>287.11</v>
      </c>
      <c r="BC181" s="2">
        <f t="shared" ca="1" si="120"/>
        <v>-5.6796536796536326E-3</v>
      </c>
      <c r="BD181" s="2" vm="6274">
        <f ca="1"/>
        <v>47.12</v>
      </c>
      <c r="BE181" s="2">
        <f t="shared" ca="1" si="121"/>
        <v>-7.1639275179098908E-3</v>
      </c>
      <c r="BF181" s="2" vm="6275">
        <f ca="1"/>
        <v>109.38</v>
      </c>
      <c r="BG181" s="2">
        <f t="shared" ca="1" si="122"/>
        <v>-5.545958723520315E-3</v>
      </c>
      <c r="BH181" s="2" vm="6276">
        <f ca="1"/>
        <v>143.79</v>
      </c>
      <c r="BI181" s="2">
        <f t="shared" ca="1" si="123"/>
        <v>-4.5001384657989869E-3</v>
      </c>
      <c r="BJ181" s="2" vm="6277">
        <f ca="1"/>
        <v>152.41</v>
      </c>
      <c r="BK181" s="2">
        <f t="shared" ca="1" si="124"/>
        <v>2.6314058285639478E-3</v>
      </c>
      <c r="BL181" s="2" vm="6278">
        <f ca="1"/>
        <v>70.33</v>
      </c>
      <c r="BM181" s="2">
        <f t="shared" ca="1" si="125"/>
        <v>1.2379444364473866E-2</v>
      </c>
      <c r="BN181" s="2" vm="6279">
        <f ca="1"/>
        <v>291.55</v>
      </c>
      <c r="BO181" s="2">
        <f t="shared" ca="1" si="126"/>
        <v>2.0726114203690145E-2</v>
      </c>
      <c r="BP181" s="2" vm="6280">
        <f ca="1"/>
        <v>122.34</v>
      </c>
      <c r="BQ181" s="2">
        <f t="shared" ca="1" si="127"/>
        <v>7.2451835995390231E-3</v>
      </c>
      <c r="BR181" s="2" vm="6281">
        <f ca="1"/>
        <v>1323.12</v>
      </c>
      <c r="BS181" s="2">
        <f t="shared" ca="1" si="128"/>
        <v>1.258925359884272E-2</v>
      </c>
      <c r="BT181" s="2" vm="766">
        <f ca="1"/>
        <v>159.86000000000001</v>
      </c>
      <c r="BU181" s="2">
        <f t="shared" ca="1" si="129"/>
        <v>7.7538927062977886E-3</v>
      </c>
      <c r="BV181" s="2" vm="6282">
        <f ca="1"/>
        <v>131.04</v>
      </c>
      <c r="BW181" s="2">
        <f t="shared" ca="1" si="130"/>
        <v>2.1993448759943794E-2</v>
      </c>
      <c r="BX181" s="2" vm="6283">
        <f ca="1"/>
        <v>231.17</v>
      </c>
      <c r="BY181" s="2">
        <f t="shared" ca="1" si="131"/>
        <v>-1.9428374060962655E-3</v>
      </c>
      <c r="BZ181" s="2" vm="6284">
        <f ca="1"/>
        <v>89.31</v>
      </c>
      <c r="CA181" s="2">
        <f t="shared" ca="1" si="132"/>
        <v>-5.3458068827264057E-3</v>
      </c>
      <c r="CB181" s="2" vm="6285">
        <f ca="1"/>
        <v>28.35</v>
      </c>
      <c r="CC181" s="2">
        <f t="shared" ca="1" si="133"/>
        <v>-5.6120659417748207E-3</v>
      </c>
      <c r="CD181" s="2" t="e" vm="92">
        <f ca="1"/>
        <v>#N/A</v>
      </c>
      <c r="CE181" s="2" t="e" vm="140">
        <f t="shared" ca="1" si="134"/>
        <v>#N/A</v>
      </c>
      <c r="CF181" s="2" vm="483">
        <f ca="1"/>
        <v>22.9</v>
      </c>
      <c r="CG181" s="2">
        <f t="shared" ca="1" si="135"/>
        <v>-1.9612115929397126E-3</v>
      </c>
      <c r="CH181" s="2" vm="1459">
        <f ca="1"/>
        <v>58.75</v>
      </c>
      <c r="CI181" s="2">
        <f t="shared" ca="1" si="136"/>
        <v>0</v>
      </c>
      <c r="CJ181" s="2" vm="6286">
        <f ca="1"/>
        <v>59.65</v>
      </c>
      <c r="CK181" s="2">
        <f t="shared" ca="1" si="137"/>
        <v>-1.6736401673640405E-3</v>
      </c>
      <c r="CL181" s="2" vm="6287">
        <f ca="1"/>
        <v>55.61</v>
      </c>
      <c r="CM181" s="2">
        <f t="shared" ca="1" si="138"/>
        <v>-5.543633762517923E-3</v>
      </c>
      <c r="CN181" s="2" vm="1518">
        <f ca="1"/>
        <v>29.09</v>
      </c>
      <c r="CO181" s="2">
        <f t="shared" ca="1" si="139"/>
        <v>-1.3731548232062873E-3</v>
      </c>
      <c r="CP181" s="2" vm="6288">
        <f ca="1"/>
        <v>21.374400000000001</v>
      </c>
      <c r="CQ181" s="2">
        <f t="shared" ca="1" si="140"/>
        <v>4.1152263374486494E-3</v>
      </c>
    </row>
    <row r="182" spans="1:95" x14ac:dyDescent="0.2">
      <c r="A182" s="7" vm="6289">
        <f ca="1"/>
        <v>45838</v>
      </c>
      <c r="B182" s="2" vm="6290">
        <f ca="1"/>
        <v>205.17</v>
      </c>
      <c r="C182" s="2">
        <f t="shared" ca="1" si="94"/>
        <v>2.0340163119156429E-2</v>
      </c>
      <c r="D182" s="2" vm="6291">
        <f ca="1"/>
        <v>157.99</v>
      </c>
      <c r="E182" s="2">
        <f t="shared" ca="1" si="95"/>
        <v>1.5213946117274744E-3</v>
      </c>
      <c r="F182" s="2" vm="6292">
        <f ca="1"/>
        <v>497.41</v>
      </c>
      <c r="G182" s="2">
        <f t="shared" ca="1" si="96"/>
        <v>2.964068234060627E-3</v>
      </c>
      <c r="H182" s="2" vm="6293">
        <f ca="1"/>
        <v>738.09</v>
      </c>
      <c r="I182" s="2">
        <f t="shared" ca="1" si="97"/>
        <v>6.0793588048471793E-3</v>
      </c>
      <c r="J182" s="2" vm="6294">
        <f ca="1"/>
        <v>176.23</v>
      </c>
      <c r="K182" s="2">
        <f t="shared" ca="1" si="98"/>
        <v>-1.2882988853414056E-2</v>
      </c>
      <c r="L182" s="2" vm="6295">
        <f ca="1"/>
        <v>617.85</v>
      </c>
      <c r="M182" s="2">
        <f t="shared" ca="1" si="99"/>
        <v>4.7811874908524092E-3</v>
      </c>
      <c r="N182" s="2" vm="2902">
        <f ca="1"/>
        <v>88.25</v>
      </c>
      <c r="O182" s="2">
        <f t="shared" ca="1" si="100"/>
        <v>9.8409428996452612E-3</v>
      </c>
      <c r="P182" s="2" vm="3423">
        <f ca="1"/>
        <v>304.83</v>
      </c>
      <c r="Q182" s="2">
        <f t="shared" ca="1" si="101"/>
        <v>1.1984595976362648E-2</v>
      </c>
      <c r="R182" s="2" vm="6296">
        <f ca="1"/>
        <v>73.11</v>
      </c>
      <c r="S182" s="2">
        <f t="shared" ca="1" si="102"/>
        <v>-2.319868995633211E-3</v>
      </c>
      <c r="T182" s="2" vm="6297">
        <f ca="1"/>
        <v>95.77</v>
      </c>
      <c r="U182" s="2">
        <f t="shared" ca="1" si="103"/>
        <v>3.9836460844951821E-3</v>
      </c>
      <c r="V182" s="2" vm="6298">
        <f ca="1"/>
        <v>47.331699999999998</v>
      </c>
      <c r="W182" s="2">
        <f t="shared" ca="1" si="104"/>
        <v>6.8625010902144765E-3</v>
      </c>
      <c r="X182" s="2" vm="6299">
        <f ca="1"/>
        <v>141.87</v>
      </c>
      <c r="Y182" s="2">
        <f t="shared" ca="1" si="105"/>
        <v>-7.3467674223340546E-3</v>
      </c>
      <c r="Z182" s="2" vm="4780">
        <f ca="1"/>
        <v>84.81</v>
      </c>
      <c r="AA182" s="2">
        <f t="shared" ca="1" si="106"/>
        <v>-5.744431418522801E-3</v>
      </c>
      <c r="AB182" s="2" vm="6300">
        <f ca="1"/>
        <v>13.22</v>
      </c>
      <c r="AC182" s="2">
        <f t="shared" ca="1" si="107"/>
        <v>1.5151515151516175E-3</v>
      </c>
      <c r="AD182" s="2" vm="6301">
        <f ca="1"/>
        <v>6.35</v>
      </c>
      <c r="AE182" s="2">
        <f t="shared" ca="1" si="108"/>
        <v>1.7628205128205038E-2</v>
      </c>
      <c r="AF182" s="2" vm="6302">
        <f ca="1"/>
        <v>32.81</v>
      </c>
      <c r="AG182" s="2">
        <f t="shared" ca="1" si="109"/>
        <v>5.8246474555488916E-3</v>
      </c>
      <c r="AH182" s="2" vm="1241">
        <f ca="1"/>
        <v>26.15</v>
      </c>
      <c r="AI182" s="2">
        <f t="shared" ca="1" si="110"/>
        <v>-6.8363083934675174E-3</v>
      </c>
      <c r="AJ182" s="2" vm="5265">
        <f ca="1"/>
        <v>4.4400000000000004</v>
      </c>
      <c r="AK182" s="2">
        <f t="shared" ca="1" si="111"/>
        <v>-8.928571428571435E-3</v>
      </c>
      <c r="AL182" s="2" vm="6303">
        <f ca="1"/>
        <v>65.52</v>
      </c>
      <c r="AM182" s="2">
        <f t="shared" ca="1" si="112"/>
        <v>1.1579434923575731E-2</v>
      </c>
      <c r="AN182" s="2" vm="6304">
        <f ca="1"/>
        <v>122.87</v>
      </c>
      <c r="AO182" s="2">
        <f t="shared" ca="1" si="113"/>
        <v>7.0486025735595394E-3</v>
      </c>
      <c r="AP182" s="2" vm="2036">
        <f ca="1"/>
        <v>26.68</v>
      </c>
      <c r="AQ182" s="2">
        <f t="shared" ca="1" si="114"/>
        <v>3.384731101918009E-3</v>
      </c>
      <c r="AR182" s="2" vm="1324">
        <f ca="1"/>
        <v>51.02</v>
      </c>
      <c r="AS182" s="2">
        <f t="shared" ca="1" si="115"/>
        <v>1.960399921585006E-4</v>
      </c>
      <c r="AT182" s="2" vm="572">
        <f ca="1"/>
        <v>29.29</v>
      </c>
      <c r="AU182" s="2">
        <f t="shared" ca="1" si="116"/>
        <v>6.8329347454730354E-4</v>
      </c>
      <c r="AV182" s="2" vm="3929">
        <f ca="1"/>
        <v>26.58</v>
      </c>
      <c r="AW182" s="2">
        <f t="shared" ca="1" si="117"/>
        <v>1.0262257696693257E-2</v>
      </c>
      <c r="AX182" s="2" vm="1442">
        <f ca="1"/>
        <v>91.73</v>
      </c>
      <c r="AY182" s="2">
        <f t="shared" ca="1" si="118"/>
        <v>1.0902747492373655E-4</v>
      </c>
      <c r="AZ182" s="2" vm="6305">
        <f ca="1"/>
        <v>485.77</v>
      </c>
      <c r="BA182" s="2">
        <f t="shared" ca="1" si="119"/>
        <v>1.8530719815511239E-4</v>
      </c>
      <c r="BB182" s="2" vm="6306">
        <f ca="1"/>
        <v>289.91000000000003</v>
      </c>
      <c r="BC182" s="2">
        <f t="shared" ca="1" si="120"/>
        <v>9.7523597227543845E-3</v>
      </c>
      <c r="BD182" s="2" vm="6307">
        <f ca="1"/>
        <v>47.32</v>
      </c>
      <c r="BE182" s="2">
        <f t="shared" ca="1" si="121"/>
        <v>4.2444821731749335E-3</v>
      </c>
      <c r="BF182" s="2" vm="6308">
        <f ca="1"/>
        <v>107.8</v>
      </c>
      <c r="BG182" s="2">
        <f t="shared" ca="1" si="122"/>
        <v>-1.4445053940391282E-2</v>
      </c>
      <c r="BH182" s="2" vm="4503">
        <f ca="1"/>
        <v>143.19</v>
      </c>
      <c r="BI182" s="2">
        <f t="shared" ca="1" si="123"/>
        <v>-4.172751929897728E-3</v>
      </c>
      <c r="BJ182" s="2" vm="5254">
        <f ca="1"/>
        <v>152.75</v>
      </c>
      <c r="BK182" s="2">
        <f t="shared" ca="1" si="124"/>
        <v>2.2308247490322383E-3</v>
      </c>
      <c r="BL182" s="2" vm="6309">
        <f ca="1"/>
        <v>70.75</v>
      </c>
      <c r="BM182" s="2">
        <f t="shared" ca="1" si="125"/>
        <v>5.9718470069671792E-3</v>
      </c>
      <c r="BN182" s="2" vm="6310">
        <f ca="1"/>
        <v>292.17</v>
      </c>
      <c r="BO182" s="2">
        <f t="shared" ca="1" si="126"/>
        <v>2.1265649116789728E-3</v>
      </c>
      <c r="BP182" s="2" vm="6311">
        <f ca="1"/>
        <v>124.01</v>
      </c>
      <c r="BQ182" s="2">
        <f t="shared" ca="1" si="127"/>
        <v>1.3650482262547014E-2</v>
      </c>
      <c r="BR182" s="2" vm="6312">
        <f ca="1"/>
        <v>1339.13</v>
      </c>
      <c r="BS182" s="2">
        <f t="shared" ca="1" si="128"/>
        <v>1.2100187435758072E-2</v>
      </c>
      <c r="BT182" s="2" vm="6313">
        <f ca="1"/>
        <v>159.32</v>
      </c>
      <c r="BU182" s="2">
        <f t="shared" ca="1" si="129"/>
        <v>-3.3779557112474691E-3</v>
      </c>
      <c r="BV182" s="2" vm="6314">
        <f ca="1"/>
        <v>132.04</v>
      </c>
      <c r="BW182" s="2">
        <f t="shared" ca="1" si="130"/>
        <v>7.6312576312576319E-3</v>
      </c>
      <c r="BX182" s="2" vm="6315">
        <f ca="1"/>
        <v>230.29</v>
      </c>
      <c r="BY182" s="2">
        <f t="shared" ca="1" si="131"/>
        <v>-3.8067223255612557E-3</v>
      </c>
      <c r="BZ182" s="2" vm="4734">
        <f ca="1"/>
        <v>88.6</v>
      </c>
      <c r="CA182" s="2">
        <f t="shared" ca="1" si="132"/>
        <v>-7.9498376441608769E-3</v>
      </c>
      <c r="CB182" s="2" vm="6316">
        <f ca="1"/>
        <v>27.99</v>
      </c>
      <c r="CC182" s="2">
        <f t="shared" ca="1" si="133"/>
        <v>-1.2698412698412802E-2</v>
      </c>
      <c r="CD182" s="2" t="e" vm="92">
        <f ca="1"/>
        <v>#N/A</v>
      </c>
      <c r="CE182" s="2" t="e" vm="140">
        <f t="shared" ca="1" si="134"/>
        <v>#N/A</v>
      </c>
      <c r="CF182" s="2" vm="2355">
        <f ca="1"/>
        <v>22.98</v>
      </c>
      <c r="CG182" s="2">
        <f t="shared" ca="1" si="135"/>
        <v>3.4934497816594694E-3</v>
      </c>
      <c r="CH182" s="2" vm="4956">
        <f ca="1"/>
        <v>58.78</v>
      </c>
      <c r="CI182" s="2">
        <f t="shared" ca="1" si="136"/>
        <v>5.1063829787235981E-4</v>
      </c>
      <c r="CJ182" s="2" vm="4442">
        <f ca="1"/>
        <v>59.81</v>
      </c>
      <c r="CK182" s="2">
        <f t="shared" ca="1" si="137"/>
        <v>2.6823134953898359E-3</v>
      </c>
      <c r="CL182" s="2" vm="6317">
        <f ca="1"/>
        <v>56.12</v>
      </c>
      <c r="CM182" s="2">
        <f t="shared" ca="1" si="138"/>
        <v>9.1710124078402816E-3</v>
      </c>
      <c r="CN182" s="2" vm="530">
        <f ca="1"/>
        <v>29.22</v>
      </c>
      <c r="CO182" s="2">
        <f t="shared" ca="1" si="139"/>
        <v>4.4688896528016159E-3</v>
      </c>
      <c r="CP182" s="2" vm="6318">
        <f ca="1"/>
        <v>21.39</v>
      </c>
      <c r="CQ182" s="2">
        <f t="shared" ca="1" si="140"/>
        <v>7.2984504828201816E-4</v>
      </c>
    </row>
    <row r="183" spans="1:95" x14ac:dyDescent="0.2">
      <c r="A183" s="7" vm="6319">
        <f ca="1"/>
        <v>45839</v>
      </c>
      <c r="B183" s="2" vm="6320">
        <f ca="1"/>
        <v>207.82</v>
      </c>
      <c r="C183" s="2">
        <f t="shared" ca="1" si="94"/>
        <v>1.2916118340888072E-2</v>
      </c>
      <c r="D183" s="2" vm="6321">
        <f ca="1"/>
        <v>153.30000000000001</v>
      </c>
      <c r="E183" s="2">
        <f t="shared" ca="1" si="95"/>
        <v>-2.9685423128046062E-2</v>
      </c>
      <c r="F183" s="2" vm="6322">
        <f ca="1"/>
        <v>492.05</v>
      </c>
      <c r="G183" s="2">
        <f t="shared" ca="1" si="96"/>
        <v>-1.0775818741078814E-2</v>
      </c>
      <c r="H183" s="2" vm="6323">
        <f ca="1"/>
        <v>719.22</v>
      </c>
      <c r="I183" s="2">
        <f t="shared" ca="1" si="97"/>
        <v>-2.5565987887655982E-2</v>
      </c>
      <c r="J183" s="2" vm="6324">
        <f ca="1"/>
        <v>175.84</v>
      </c>
      <c r="K183" s="2">
        <f t="shared" ca="1" si="98"/>
        <v>-2.2130170799522578E-3</v>
      </c>
      <c r="L183" s="2" vm="6325">
        <f ca="1"/>
        <v>617.65</v>
      </c>
      <c r="M183" s="2">
        <f t="shared" ca="1" si="99"/>
        <v>-3.2370316419850364E-4</v>
      </c>
      <c r="N183" s="2" vm="6326">
        <f ca="1"/>
        <v>88.14</v>
      </c>
      <c r="O183" s="2">
        <f t="shared" ca="1" si="100"/>
        <v>-1.2464589235127415E-3</v>
      </c>
      <c r="P183" s="2" vm="6327">
        <f ca="1"/>
        <v>307.55</v>
      </c>
      <c r="Q183" s="2">
        <f t="shared" ca="1" si="101"/>
        <v>8.9230062657875784E-3</v>
      </c>
      <c r="R183" s="2" vm="6328">
        <f ca="1"/>
        <v>73.930000000000007</v>
      </c>
      <c r="S183" s="2">
        <f t="shared" ca="1" si="102"/>
        <v>1.1215975926685917E-2</v>
      </c>
      <c r="T183" s="2" vm="6329">
        <f ca="1"/>
        <v>95.29</v>
      </c>
      <c r="U183" s="2">
        <f t="shared" ca="1" si="103"/>
        <v>-5.0120079356791251E-3</v>
      </c>
      <c r="V183" s="2" vm="6330">
        <f ca="1"/>
        <v>47.167900000000003</v>
      </c>
      <c r="W183" s="2">
        <f t="shared" ca="1" si="104"/>
        <v>-3.4606827982091252E-3</v>
      </c>
      <c r="X183" s="2" vm="6331">
        <f ca="1"/>
        <v>141.63</v>
      </c>
      <c r="Y183" s="2">
        <f t="shared" ca="1" si="105"/>
        <v>-1.6916895749630584E-3</v>
      </c>
      <c r="Z183" s="2" vm="2544">
        <f ca="1"/>
        <v>85.46</v>
      </c>
      <c r="AA183" s="2">
        <f t="shared" ca="1" si="106"/>
        <v>7.6641905435678752E-3</v>
      </c>
      <c r="AB183" s="2" vm="4556">
        <f ca="1"/>
        <v>13.32</v>
      </c>
      <c r="AC183" s="2">
        <f t="shared" ca="1" si="107"/>
        <v>7.564296520423573E-3</v>
      </c>
      <c r="AD183" s="2" vm="6332">
        <f ca="1"/>
        <v>5.3</v>
      </c>
      <c r="AE183" s="2">
        <f t="shared" ca="1" si="108"/>
        <v>-0.1653543307086614</v>
      </c>
      <c r="AF183" s="2" vm="6333">
        <f ca="1"/>
        <v>32.729999999999997</v>
      </c>
      <c r="AG183" s="2">
        <f t="shared" ca="1" si="109"/>
        <v>-2.4382810118867846E-3</v>
      </c>
      <c r="AH183" s="2" vm="6334">
        <f ca="1"/>
        <v>25.65</v>
      </c>
      <c r="AI183" s="2">
        <f t="shared" ca="1" si="110"/>
        <v>-1.9120458891013385E-2</v>
      </c>
      <c r="AJ183" s="2" vm="4975">
        <f ca="1"/>
        <v>4.53</v>
      </c>
      <c r="AK183" s="2">
        <f t="shared" ca="1" si="111"/>
        <v>2.0270270270270237E-2</v>
      </c>
      <c r="AL183" s="2" vm="6335">
        <f ca="1"/>
        <v>66.09</v>
      </c>
      <c r="AM183" s="2">
        <f t="shared" ca="1" si="112"/>
        <v>8.6996336996338127E-3</v>
      </c>
      <c r="AN183" s="2" vm="6336">
        <f ca="1"/>
        <v>123.52</v>
      </c>
      <c r="AO183" s="2">
        <f t="shared" ca="1" si="113"/>
        <v>5.2901440546918813E-3</v>
      </c>
      <c r="AP183" s="2" vm="4236">
        <f ca="1"/>
        <v>26.57</v>
      </c>
      <c r="AQ183" s="2">
        <f t="shared" ca="1" si="114"/>
        <v>-4.1229385307346112E-3</v>
      </c>
      <c r="AR183" s="2" vm="2150">
        <f ca="1"/>
        <v>50.82</v>
      </c>
      <c r="AS183" s="2">
        <f t="shared" ca="1" si="115"/>
        <v>-3.9200313602509376E-3</v>
      </c>
      <c r="AT183" s="2" vm="122">
        <f ca="1"/>
        <v>29.17</v>
      </c>
      <c r="AU183" s="2">
        <f t="shared" ca="1" si="116"/>
        <v>-4.0969614202798722E-3</v>
      </c>
      <c r="AV183" s="2" vm="1400">
        <f ca="1"/>
        <v>26.51</v>
      </c>
      <c r="AW183" s="2">
        <f t="shared" ca="1" si="117"/>
        <v>-2.633559066967522E-3</v>
      </c>
      <c r="AX183" s="2" vm="4391">
        <f ca="1"/>
        <v>91.44</v>
      </c>
      <c r="AY183" s="2">
        <f t="shared" ca="1" si="118"/>
        <v>-3.1614520876486018E-3</v>
      </c>
      <c r="AZ183" s="2" vm="6337">
        <f ca="1"/>
        <v>489.61</v>
      </c>
      <c r="BA183" s="2">
        <f t="shared" ca="1" si="119"/>
        <v>7.9049756057394081E-3</v>
      </c>
      <c r="BB183" s="2" vm="6338">
        <f ca="1"/>
        <v>290.41000000000003</v>
      </c>
      <c r="BC183" s="2">
        <f t="shared" ca="1" si="120"/>
        <v>1.7246731744334448E-3</v>
      </c>
      <c r="BD183" s="2" vm="6339">
        <f ca="1"/>
        <v>48.15</v>
      </c>
      <c r="BE183" s="2">
        <f t="shared" ca="1" si="121"/>
        <v>1.7540152155536736E-2</v>
      </c>
      <c r="BF183" s="2" vm="6340">
        <f ca="1"/>
        <v>109.24</v>
      </c>
      <c r="BG183" s="2">
        <f t="shared" ca="1" si="122"/>
        <v>1.3358070500927624E-2</v>
      </c>
      <c r="BH183" s="2" vm="6341">
        <f ca="1"/>
        <v>145.57</v>
      </c>
      <c r="BI183" s="2">
        <f t="shared" ca="1" si="123"/>
        <v>1.6621272435225893E-2</v>
      </c>
      <c r="BJ183" s="2" vm="6342">
        <f ca="1"/>
        <v>155.91999999999999</v>
      </c>
      <c r="BK183" s="2">
        <f t="shared" ca="1" si="124"/>
        <v>2.0752864157119393E-2</v>
      </c>
      <c r="BL183" s="2" vm="6343">
        <f ca="1"/>
        <v>71.67</v>
      </c>
      <c r="BM183" s="2">
        <f t="shared" ca="1" si="125"/>
        <v>1.3003533568904617E-2</v>
      </c>
      <c r="BN183" s="2" vm="6344">
        <f ca="1"/>
        <v>297.49</v>
      </c>
      <c r="BO183" s="2">
        <f t="shared" ca="1" si="126"/>
        <v>1.82085771982065E-2</v>
      </c>
      <c r="BP183" s="2" vm="6345">
        <f ca="1"/>
        <v>123.49</v>
      </c>
      <c r="BQ183" s="2">
        <f t="shared" ca="1" si="127"/>
        <v>-4.1932102249819386E-3</v>
      </c>
      <c r="BR183" s="2" vm="6346">
        <f ca="1"/>
        <v>1293.5999999999999</v>
      </c>
      <c r="BS183" s="2">
        <f t="shared" ca="1" si="128"/>
        <v>-3.3999686363534683E-2</v>
      </c>
      <c r="BT183" s="2" vm="6347">
        <f ca="1"/>
        <v>161.22</v>
      </c>
      <c r="BU183" s="2">
        <f t="shared" ca="1" si="129"/>
        <v>1.1925684157670135E-2</v>
      </c>
      <c r="BV183" s="2" vm="6348">
        <f ca="1"/>
        <v>135.26</v>
      </c>
      <c r="BW183" s="2">
        <f t="shared" ca="1" si="130"/>
        <v>2.4386549530445313E-2</v>
      </c>
      <c r="BX183" s="2" vm="6349">
        <f ca="1"/>
        <v>236.94</v>
      </c>
      <c r="BY183" s="2">
        <f t="shared" ca="1" si="131"/>
        <v>2.8876633809544514E-2</v>
      </c>
      <c r="BZ183" s="2" vm="6350">
        <f ca="1"/>
        <v>89.58</v>
      </c>
      <c r="CA183" s="2">
        <f t="shared" ca="1" si="132"/>
        <v>1.1060948081264154E-2</v>
      </c>
      <c r="CB183" s="2" vm="115">
        <f ca="1"/>
        <v>28.38</v>
      </c>
      <c r="CC183" s="2">
        <f t="shared" ca="1" si="133"/>
        <v>1.3933547695605595E-2</v>
      </c>
      <c r="CD183" s="2" t="e" vm="92">
        <f ca="1"/>
        <v>#N/A</v>
      </c>
      <c r="CE183" s="2" t="e" vm="140">
        <f t="shared" ca="1" si="134"/>
        <v>#N/A</v>
      </c>
      <c r="CF183" s="2" vm="6351">
        <f ca="1"/>
        <v>22.885000000000002</v>
      </c>
      <c r="CG183" s="2">
        <f t="shared" ca="1" si="135"/>
        <v>-4.1340295909486017E-3</v>
      </c>
      <c r="CH183" s="2" vm="484">
        <f ca="1"/>
        <v>58.53</v>
      </c>
      <c r="CI183" s="2">
        <f t="shared" ca="1" si="136"/>
        <v>-4.2531473290234774E-3</v>
      </c>
      <c r="CJ183" s="2" vm="6352">
        <f ca="1"/>
        <v>59.49</v>
      </c>
      <c r="CK183" s="2">
        <f t="shared" ca="1" si="137"/>
        <v>-5.3502758735997366E-3</v>
      </c>
      <c r="CL183" s="2" vm="3301">
        <f ca="1"/>
        <v>55.98</v>
      </c>
      <c r="CM183" s="2">
        <f t="shared" ca="1" si="138"/>
        <v>-2.4946543121881783E-3</v>
      </c>
      <c r="CN183" s="2" vm="759">
        <f ca="1"/>
        <v>29.12</v>
      </c>
      <c r="CO183" s="2">
        <f t="shared" ca="1" si="139"/>
        <v>-3.4223134839150536E-3</v>
      </c>
      <c r="CP183" s="2" vm="6353">
        <f ca="1"/>
        <v>21.6891</v>
      </c>
      <c r="CQ183" s="2">
        <f t="shared" ca="1" si="140"/>
        <v>1.3983169705469811E-2</v>
      </c>
    </row>
    <row r="184" spans="1:95" x14ac:dyDescent="0.2">
      <c r="A184" s="7" vm="6354">
        <f ca="1"/>
        <v>45840</v>
      </c>
      <c r="B184" s="2" vm="6355">
        <f ca="1"/>
        <v>212.44</v>
      </c>
      <c r="C184" s="2">
        <f t="shared" ca="1" si="94"/>
        <v>2.2230776633625274E-2</v>
      </c>
      <c r="D184" s="2" vm="3354">
        <f ca="1"/>
        <v>157.25</v>
      </c>
      <c r="E184" s="2">
        <f t="shared" ca="1" si="95"/>
        <v>2.5766470971950346E-2</v>
      </c>
      <c r="F184" s="2" vm="6356">
        <f ca="1"/>
        <v>491.09</v>
      </c>
      <c r="G184" s="2">
        <f t="shared" ca="1" si="96"/>
        <v>-1.9510212376791715E-3</v>
      </c>
      <c r="H184" s="2" vm="6357">
        <f ca="1"/>
        <v>713.57</v>
      </c>
      <c r="I184" s="2">
        <f t="shared" ca="1" si="97"/>
        <v>-7.8557325992046623E-3</v>
      </c>
      <c r="J184" s="2" vm="6358">
        <f ca="1"/>
        <v>178.64</v>
      </c>
      <c r="K184" s="2">
        <f t="shared" ca="1" si="98"/>
        <v>1.5923566878980795E-2</v>
      </c>
      <c r="L184" s="2" vm="6359">
        <f ca="1"/>
        <v>620.45000000000005</v>
      </c>
      <c r="M184" s="2">
        <f t="shared" ca="1" si="99"/>
        <v>4.5333117461346531E-3</v>
      </c>
      <c r="N184" s="2" vm="6360">
        <f ca="1"/>
        <v>87.58</v>
      </c>
      <c r="O184" s="2">
        <f t="shared" ca="1" si="100"/>
        <v>-6.3535284774223081E-3</v>
      </c>
      <c r="P184" s="2" vm="6361">
        <f ca="1"/>
        <v>309.25</v>
      </c>
      <c r="Q184" s="2">
        <f t="shared" ca="1" si="101"/>
        <v>5.5275564948788439E-3</v>
      </c>
      <c r="R184" s="2" vm="6362">
        <f ca="1"/>
        <v>75.59</v>
      </c>
      <c r="S184" s="2">
        <f t="shared" ca="1" si="102"/>
        <v>2.2453672392803957E-2</v>
      </c>
      <c r="T184" s="2" vm="3731">
        <f ca="1"/>
        <v>95.09</v>
      </c>
      <c r="U184" s="2">
        <f t="shared" ca="1" si="103"/>
        <v>-2.0988561234127697E-3</v>
      </c>
      <c r="V184" s="2" vm="6363">
        <f ca="1"/>
        <v>47.165199999999999</v>
      </c>
      <c r="W184" s="2">
        <f t="shared" ca="1" si="104"/>
        <v>-5.724231945887702E-5</v>
      </c>
      <c r="X184" s="2" vm="6364">
        <f ca="1"/>
        <v>142.78</v>
      </c>
      <c r="Y184" s="2">
        <f t="shared" ca="1" si="105"/>
        <v>8.1197486408247244E-3</v>
      </c>
      <c r="Z184" s="2" vm="6365">
        <f ca="1"/>
        <v>86.93</v>
      </c>
      <c r="AA184" s="2">
        <f t="shared" ca="1" si="106"/>
        <v>1.7201029721507291E-2</v>
      </c>
      <c r="AB184" s="2" vm="6366">
        <f ca="1"/>
        <v>13.57</v>
      </c>
      <c r="AC184" s="2">
        <f t="shared" ca="1" si="107"/>
        <v>1.8768768768768769E-2</v>
      </c>
      <c r="AD184" s="2" vm="6367">
        <f ca="1"/>
        <v>5.07</v>
      </c>
      <c r="AE184" s="2">
        <f t="shared" ca="1" si="108"/>
        <v>-4.3396226415094254E-2</v>
      </c>
      <c r="AF184" s="2" vm="6368">
        <f ca="1"/>
        <v>33.24</v>
      </c>
      <c r="AG184" s="2">
        <f t="shared" ca="1" si="109"/>
        <v>1.5582034830430955E-2</v>
      </c>
      <c r="AH184" s="2" vm="5334">
        <f ca="1"/>
        <v>25.87</v>
      </c>
      <c r="AI184" s="2">
        <f t="shared" ca="1" si="110"/>
        <v>8.5769980506823565E-3</v>
      </c>
      <c r="AJ184" s="2" vm="4941">
        <f ca="1"/>
        <v>4.6399999999999997</v>
      </c>
      <c r="AK184" s="2">
        <f t="shared" ca="1" si="111"/>
        <v>2.428256070640164E-2</v>
      </c>
      <c r="AL184" s="2" vm="6369">
        <f ca="1"/>
        <v>66.47</v>
      </c>
      <c r="AM184" s="2">
        <f t="shared" ca="1" si="112"/>
        <v>5.7497352095626482E-3</v>
      </c>
      <c r="AN184" s="2" vm="6370">
        <f ca="1"/>
        <v>130.16</v>
      </c>
      <c r="AO184" s="2">
        <f t="shared" ca="1" si="113"/>
        <v>5.3756476683937827E-2</v>
      </c>
      <c r="AP184" s="2" vm="211">
        <f ca="1"/>
        <v>26.55</v>
      </c>
      <c r="AQ184" s="2">
        <f t="shared" ca="1" si="114"/>
        <v>-7.5272864132478639E-4</v>
      </c>
      <c r="AR184" s="2" vm="4426">
        <f ca="1"/>
        <v>50.83</v>
      </c>
      <c r="AS184" s="2">
        <f t="shared" ca="1" si="115"/>
        <v>1.9677292404561217E-4</v>
      </c>
      <c r="AT184" s="2" vm="3645">
        <f ca="1"/>
        <v>29.16</v>
      </c>
      <c r="AU184" s="2">
        <f t="shared" ca="1" si="116"/>
        <v>-3.4281796366134943E-4</v>
      </c>
      <c r="AV184" s="2" vm="1007">
        <f ca="1"/>
        <v>26.35</v>
      </c>
      <c r="AW184" s="2">
        <f t="shared" ca="1" si="117"/>
        <v>-6.0354583176159991E-3</v>
      </c>
      <c r="AX184" s="2" vm="2377">
        <f ca="1"/>
        <v>91.45</v>
      </c>
      <c r="AY184" s="2">
        <f t="shared" ca="1" si="118"/>
        <v>1.0936132983382673E-4</v>
      </c>
      <c r="AZ184" s="2" vm="6371">
        <f ca="1"/>
        <v>480.48</v>
      </c>
      <c r="BA184" s="2">
        <f t="shared" ca="1" si="119"/>
        <v>-1.864749494495618E-2</v>
      </c>
      <c r="BB184" s="2" vm="6372">
        <f ca="1"/>
        <v>292</v>
      </c>
      <c r="BC184" s="2">
        <f t="shared" ca="1" si="120"/>
        <v>5.4750180778897935E-3</v>
      </c>
      <c r="BD184" s="2" vm="6373">
        <f ca="1"/>
        <v>48.71</v>
      </c>
      <c r="BE184" s="2">
        <f t="shared" ca="1" si="121"/>
        <v>1.163032191069579E-2</v>
      </c>
      <c r="BF184" s="2" vm="2458">
        <f ca="1"/>
        <v>111.05</v>
      </c>
      <c r="BG184" s="2">
        <f t="shared" ca="1" si="122"/>
        <v>1.6569022336140628E-2</v>
      </c>
      <c r="BH184" s="2" vm="6374">
        <f ca="1"/>
        <v>147.97999999999999</v>
      </c>
      <c r="BI184" s="2">
        <f t="shared" ca="1" si="123"/>
        <v>1.6555608985367842E-2</v>
      </c>
      <c r="BJ184" s="2" vm="6375">
        <f ca="1"/>
        <v>155.56</v>
      </c>
      <c r="BK184" s="2">
        <f t="shared" ca="1" si="124"/>
        <v>-2.3088763468444413E-3</v>
      </c>
      <c r="BL184" s="2" vm="5826">
        <f ca="1"/>
        <v>70.91</v>
      </c>
      <c r="BM184" s="2">
        <f t="shared" ca="1" si="125"/>
        <v>-1.060415794614211E-2</v>
      </c>
      <c r="BN184" s="2" vm="6376">
        <f ca="1"/>
        <v>294.63</v>
      </c>
      <c r="BO184" s="2">
        <f t="shared" ca="1" si="126"/>
        <v>-9.6137685300346689E-3</v>
      </c>
      <c r="BP184" s="2" vm="6377">
        <f ca="1"/>
        <v>122.98</v>
      </c>
      <c r="BQ184" s="2">
        <f t="shared" ca="1" si="127"/>
        <v>-4.1298890598428289E-3</v>
      </c>
      <c r="BR184" s="2" vm="6378">
        <f ca="1"/>
        <v>1284.8599999999999</v>
      </c>
      <c r="BS184" s="2">
        <f t="shared" ca="1" si="128"/>
        <v>-6.7563388991960498E-3</v>
      </c>
      <c r="BT184" s="2" vm="6379">
        <f ca="1"/>
        <v>161.19999999999999</v>
      </c>
      <c r="BU184" s="2">
        <f t="shared" ca="1" si="129"/>
        <v>-1.240540875822493E-4</v>
      </c>
      <c r="BV184" s="2" vm="5037">
        <f ca="1"/>
        <v>136.47999999999999</v>
      </c>
      <c r="BW184" s="2">
        <f t="shared" ca="1" si="130"/>
        <v>9.0196658287742051E-3</v>
      </c>
      <c r="BX184" s="2" vm="6380">
        <f ca="1"/>
        <v>242.97</v>
      </c>
      <c r="BY184" s="2">
        <f t="shared" ca="1" si="131"/>
        <v>2.5449480881235761E-2</v>
      </c>
      <c r="BZ184" s="2" vm="6381">
        <f ca="1"/>
        <v>91.23</v>
      </c>
      <c r="CA184" s="2">
        <f t="shared" ca="1" si="132"/>
        <v>1.8419290020093834E-2</v>
      </c>
      <c r="CB184" s="2" vm="860">
        <f ca="1"/>
        <v>28.87</v>
      </c>
      <c r="CC184" s="2">
        <f t="shared" ca="1" si="133"/>
        <v>1.72656800563778E-2</v>
      </c>
      <c r="CD184" s="2" t="e" vm="92">
        <f ca="1"/>
        <v>#N/A</v>
      </c>
      <c r="CE184" s="2" t="e" vm="140">
        <f t="shared" ca="1" si="134"/>
        <v>#N/A</v>
      </c>
      <c r="CF184" s="2" vm="1458">
        <f ca="1"/>
        <v>22.84</v>
      </c>
      <c r="CG184" s="2">
        <f t="shared" ca="1" si="135"/>
        <v>-1.9663535066638278E-3</v>
      </c>
      <c r="CH184" s="2" vm="484">
        <f ca="1"/>
        <v>58.53</v>
      </c>
      <c r="CI184" s="2">
        <f t="shared" ca="1" si="136"/>
        <v>0</v>
      </c>
      <c r="CJ184" s="2" vm="6158">
        <f ca="1"/>
        <v>59.41</v>
      </c>
      <c r="CK184" s="2">
        <f t="shared" ca="1" si="137"/>
        <v>-1.3447638258531752E-3</v>
      </c>
      <c r="CL184" s="2" vm="6382">
        <f ca="1"/>
        <v>55.66</v>
      </c>
      <c r="CM184" s="2">
        <f t="shared" ca="1" si="138"/>
        <v>-5.7163272597356256E-3</v>
      </c>
      <c r="CN184" s="2" vm="961">
        <f ca="1"/>
        <v>29.11</v>
      </c>
      <c r="CO184" s="2">
        <f t="shared" ca="1" si="139"/>
        <v>-3.434065934066471E-4</v>
      </c>
      <c r="CP184" s="2" vm="6383">
        <f ca="1"/>
        <v>21.765999999999998</v>
      </c>
      <c r="CQ184" s="2">
        <f t="shared" ca="1" si="140"/>
        <v>3.545559751211365E-3</v>
      </c>
    </row>
    <row r="185" spans="1:95" x14ac:dyDescent="0.2">
      <c r="A185" s="7" vm="6384">
        <f ca="1"/>
        <v>45841</v>
      </c>
      <c r="B185" s="2" vm="6385">
        <f ca="1"/>
        <v>213.55</v>
      </c>
      <c r="C185" s="2">
        <f t="shared" ca="1" si="94"/>
        <v>5.2250047072115125E-3</v>
      </c>
      <c r="D185" s="2" vm="6386">
        <f ca="1"/>
        <v>159.34</v>
      </c>
      <c r="E185" s="2">
        <f t="shared" ca="1" si="95"/>
        <v>1.3290937996820372E-2</v>
      </c>
      <c r="F185" s="2" vm="6387">
        <f ca="1"/>
        <v>498.84</v>
      </c>
      <c r="G185" s="2">
        <f t="shared" ca="1" si="96"/>
        <v>1.5781221364719298E-2</v>
      </c>
      <c r="H185" s="2" vm="6388">
        <f ca="1"/>
        <v>719.01</v>
      </c>
      <c r="I185" s="2">
        <f t="shared" ca="1" si="97"/>
        <v>7.6236388861638527E-3</v>
      </c>
      <c r="J185" s="2" vm="6389">
        <f ca="1"/>
        <v>179.53</v>
      </c>
      <c r="K185" s="2">
        <f t="shared" ca="1" si="98"/>
        <v>4.9820868786386863E-3</v>
      </c>
      <c r="L185" s="2" vm="6390">
        <f ca="1"/>
        <v>625.34</v>
      </c>
      <c r="M185" s="2">
        <f t="shared" ca="1" si="99"/>
        <v>7.8813764203400534E-3</v>
      </c>
      <c r="N185" s="2" vm="3733">
        <f ca="1"/>
        <v>86.97</v>
      </c>
      <c r="O185" s="2">
        <f t="shared" ca="1" si="100"/>
        <v>-6.9650605160995601E-3</v>
      </c>
      <c r="P185" s="2" vm="6391">
        <f ca="1"/>
        <v>307.14</v>
      </c>
      <c r="Q185" s="2">
        <f t="shared" ca="1" si="101"/>
        <v>-6.8229587712207397E-3</v>
      </c>
      <c r="R185" s="2" vm="6392">
        <f ca="1"/>
        <v>75.19</v>
      </c>
      <c r="S185" s="2">
        <f t="shared" ca="1" si="102"/>
        <v>-5.2917052520175378E-3</v>
      </c>
      <c r="T185" s="2" vm="6393">
        <f ca="1"/>
        <v>94.76</v>
      </c>
      <c r="U185" s="2">
        <f t="shared" ca="1" si="103"/>
        <v>-3.4703964665053978E-3</v>
      </c>
      <c r="V185" s="2" vm="6394">
        <f ca="1"/>
        <v>47.024999999999999</v>
      </c>
      <c r="W185" s="2">
        <f t="shared" ca="1" si="104"/>
        <v>-2.9725305945909296E-3</v>
      </c>
      <c r="X185" s="2" vm="2119">
        <f ca="1"/>
        <v>144.47</v>
      </c>
      <c r="Y185" s="2">
        <f t="shared" ca="1" si="105"/>
        <v>1.1836391651491789E-2</v>
      </c>
      <c r="Z185" s="2" vm="6395">
        <f ca="1"/>
        <v>87.03</v>
      </c>
      <c r="AA185" s="2">
        <f t="shared" ca="1" si="106"/>
        <v>1.1503508570113231E-3</v>
      </c>
      <c r="AB185" s="2" vm="6396">
        <f ca="1"/>
        <v>13.51</v>
      </c>
      <c r="AC185" s="2">
        <f t="shared" ca="1" si="107"/>
        <v>-4.4215180545320925E-3</v>
      </c>
      <c r="AD185" s="2" vm="6397">
        <f ca="1"/>
        <v>4.9000000000000004</v>
      </c>
      <c r="AE185" s="2">
        <f t="shared" ca="1" si="108"/>
        <v>-3.3530571992110438E-2</v>
      </c>
      <c r="AF185" s="2" vm="6398">
        <f ca="1"/>
        <v>33.51</v>
      </c>
      <c r="AG185" s="2">
        <f t="shared" ca="1" si="109"/>
        <v>8.1227436823103488E-3</v>
      </c>
      <c r="AH185" s="2" vm="1158">
        <f ca="1"/>
        <v>25.89</v>
      </c>
      <c r="AI185" s="2">
        <f t="shared" ca="1" si="110"/>
        <v>7.7309625048316863E-4</v>
      </c>
      <c r="AJ185" s="2" vm="4872">
        <f ca="1"/>
        <v>4.63</v>
      </c>
      <c r="AK185" s="2">
        <f t="shared" ca="1" si="111"/>
        <v>-2.1551724137930574E-3</v>
      </c>
      <c r="AL185" s="2" vm="6399">
        <f ca="1"/>
        <v>66.040000000000006</v>
      </c>
      <c r="AM185" s="2">
        <f t="shared" ca="1" si="112"/>
        <v>-6.4690837972016342E-3</v>
      </c>
      <c r="AN185" s="2" vm="6400">
        <f ca="1"/>
        <v>125.14</v>
      </c>
      <c r="AO185" s="2">
        <f t="shared" ca="1" si="113"/>
        <v>-3.8567916410571577E-2</v>
      </c>
      <c r="AP185" s="2" vm="1400">
        <f ca="1"/>
        <v>26.51</v>
      </c>
      <c r="AQ185" s="2">
        <f t="shared" ca="1" si="114"/>
        <v>-1.5065913370997796E-3</v>
      </c>
      <c r="AR185" s="2" vm="843">
        <f ca="1"/>
        <v>50.88</v>
      </c>
      <c r="AS185" s="2">
        <f t="shared" ca="1" si="115"/>
        <v>9.8367106039748691E-4</v>
      </c>
      <c r="AT185" s="2" vm="74">
        <f ca="1"/>
        <v>29.14</v>
      </c>
      <c r="AU185" s="2">
        <f t="shared" ca="1" si="116"/>
        <v>-6.8587105624141203E-4</v>
      </c>
      <c r="AV185" s="2" vm="1278">
        <f ca="1"/>
        <v>26.22</v>
      </c>
      <c r="AW185" s="2">
        <f t="shared" ca="1" si="117"/>
        <v>-4.9335863377610078E-3</v>
      </c>
      <c r="AX185" s="2" vm="845">
        <f ca="1"/>
        <v>91.5</v>
      </c>
      <c r="AY185" s="2">
        <f t="shared" ca="1" si="118"/>
        <v>5.4674685620554567E-4</v>
      </c>
      <c r="AZ185" s="2" vm="6401">
        <f ca="1"/>
        <v>485</v>
      </c>
      <c r="BA185" s="2">
        <f t="shared" ca="1" si="119"/>
        <v>9.4072594072593697E-3</v>
      </c>
      <c r="BB185" s="2" vm="6402">
        <f ca="1"/>
        <v>296</v>
      </c>
      <c r="BC185" s="2">
        <f t="shared" ca="1" si="120"/>
        <v>1.3698630136986301E-2</v>
      </c>
      <c r="BD185" s="2" vm="6403">
        <f ca="1"/>
        <v>48.93</v>
      </c>
      <c r="BE185" s="2">
        <f t="shared" ca="1" si="121"/>
        <v>4.516526380619972E-3</v>
      </c>
      <c r="BF185" s="2" vm="4686">
        <f ca="1"/>
        <v>112.2</v>
      </c>
      <c r="BG185" s="2">
        <f t="shared" ca="1" si="122"/>
        <v>1.0355695632597981E-2</v>
      </c>
      <c r="BH185" s="2" vm="6404">
        <f ca="1"/>
        <v>148.37</v>
      </c>
      <c r="BI185" s="2">
        <f t="shared" ca="1" si="123"/>
        <v>2.6354912826058578E-3</v>
      </c>
      <c r="BJ185" s="2" vm="2847">
        <f ca="1"/>
        <v>156.01</v>
      </c>
      <c r="BK185" s="2">
        <f t="shared" ca="1" si="124"/>
        <v>2.892774492157294E-3</v>
      </c>
      <c r="BL185" s="2" vm="3522">
        <f ca="1"/>
        <v>71.349999999999994</v>
      </c>
      <c r="BM185" s="2">
        <f t="shared" ca="1" si="125"/>
        <v>6.2050486532223628E-3</v>
      </c>
      <c r="BN185" s="2" vm="6405">
        <f ca="1"/>
        <v>294.08</v>
      </c>
      <c r="BO185" s="2">
        <f t="shared" ca="1" si="126"/>
        <v>-1.8667481247666951E-3</v>
      </c>
      <c r="BP185" s="2" vm="6406">
        <f ca="1"/>
        <v>124</v>
      </c>
      <c r="BQ185" s="2">
        <f t="shared" ca="1" si="127"/>
        <v>8.2940315498454716E-3</v>
      </c>
      <c r="BR185" s="2" vm="6407">
        <f ca="1"/>
        <v>1297.18</v>
      </c>
      <c r="BS185" s="2">
        <f t="shared" ca="1" si="128"/>
        <v>9.588593309777068E-3</v>
      </c>
      <c r="BT185" s="2" vm="6408">
        <f ca="1"/>
        <v>160.83000000000001</v>
      </c>
      <c r="BU185" s="2">
        <f t="shared" ca="1" si="129"/>
        <v>-2.2952853598013408E-3</v>
      </c>
      <c r="BV185" s="2" vm="6409">
        <f ca="1"/>
        <v>135.38</v>
      </c>
      <c r="BW185" s="2">
        <f t="shared" ca="1" si="130"/>
        <v>-8.0597889800702992E-3</v>
      </c>
      <c r="BX185" s="2" vm="6410">
        <f ca="1"/>
        <v>241.58</v>
      </c>
      <c r="BY185" s="2">
        <f t="shared" ca="1" si="131"/>
        <v>-5.7208708894101595E-3</v>
      </c>
      <c r="BZ185" s="2" vm="6411">
        <f ca="1"/>
        <v>91.14</v>
      </c>
      <c r="CA185" s="2">
        <f t="shared" ca="1" si="132"/>
        <v>-9.8651759289711065E-4</v>
      </c>
      <c r="CB185" s="2" vm="6412">
        <f ca="1"/>
        <v>28.880700000000001</v>
      </c>
      <c r="CC185" s="2">
        <f t="shared" ca="1" si="133"/>
        <v>3.7062694838932913E-4</v>
      </c>
      <c r="CD185" s="2" t="e" vm="92">
        <f ca="1"/>
        <v>#N/A</v>
      </c>
      <c r="CE185" s="2" t="e" vm="140">
        <f t="shared" ca="1" si="134"/>
        <v>#N/A</v>
      </c>
      <c r="CF185" s="2" vm="6413">
        <f ca="1"/>
        <v>22.78</v>
      </c>
      <c r="CG185" s="2">
        <f t="shared" ca="1" si="135"/>
        <v>-2.6269702276706971E-3</v>
      </c>
      <c r="CH185" s="2" vm="734">
        <f ca="1"/>
        <v>58.45</v>
      </c>
      <c r="CI185" s="2">
        <f t="shared" ca="1" si="136"/>
        <v>-1.3668204339654585E-3</v>
      </c>
      <c r="CJ185" s="2" vm="3690">
        <f ca="1"/>
        <v>59.25</v>
      </c>
      <c r="CK185" s="2">
        <f t="shared" ca="1" si="137"/>
        <v>-2.6931493014643428E-3</v>
      </c>
      <c r="CL185" s="2" vm="2823">
        <f ca="1"/>
        <v>55.36</v>
      </c>
      <c r="CM185" s="2">
        <f t="shared" ca="1" si="138"/>
        <v>-5.3898670499460503E-3</v>
      </c>
      <c r="CN185" s="2" vm="1441">
        <f ca="1"/>
        <v>29.05</v>
      </c>
      <c r="CO185" s="2">
        <f t="shared" ca="1" si="139"/>
        <v>-2.0611473720370567E-3</v>
      </c>
      <c r="CP185" s="2" vm="6414">
        <f ca="1"/>
        <v>21.771100000000001</v>
      </c>
      <c r="CQ185" s="2">
        <f t="shared" ca="1" si="140"/>
        <v>2.3431039235515599E-4</v>
      </c>
    </row>
    <row r="186" spans="1:95" x14ac:dyDescent="0.2">
      <c r="A186" s="7" vm="6415">
        <f ca="1"/>
        <v>45845</v>
      </c>
      <c r="B186" s="2" vm="6416">
        <f ca="1"/>
        <v>209.95</v>
      </c>
      <c r="C186" s="2">
        <f t="shared" ca="1" si="94"/>
        <v>-1.6857878716928225E-2</v>
      </c>
      <c r="D186" s="2" vm="851">
        <f ca="1"/>
        <v>158.24</v>
      </c>
      <c r="E186" s="2">
        <f t="shared" ca="1" si="95"/>
        <v>-6.9034768419731036E-3</v>
      </c>
      <c r="F186" s="2" vm="6417">
        <f ca="1"/>
        <v>497.72</v>
      </c>
      <c r="G186" s="2">
        <f t="shared" ca="1" si="96"/>
        <v>-2.2452088846121958E-3</v>
      </c>
      <c r="H186" s="2" vm="6418">
        <f ca="1"/>
        <v>718.35</v>
      </c>
      <c r="I186" s="2">
        <f t="shared" ca="1" si="97"/>
        <v>-9.1792881879246215E-4</v>
      </c>
      <c r="J186" s="2" vm="6419">
        <f ca="1"/>
        <v>176.79</v>
      </c>
      <c r="K186" s="2">
        <f t="shared" ca="1" si="98"/>
        <v>-1.5262073191110172E-2</v>
      </c>
      <c r="L186" s="2" vm="6420">
        <f ca="1"/>
        <v>620.67999999999995</v>
      </c>
      <c r="M186" s="2">
        <f t="shared" ca="1" si="99"/>
        <v>-7.451946141299264E-3</v>
      </c>
      <c r="N186" s="2" vm="5931">
        <f ca="1"/>
        <v>86.14</v>
      </c>
      <c r="O186" s="2">
        <f t="shared" ca="1" si="100"/>
        <v>-9.5435207542830663E-3</v>
      </c>
      <c r="P186" s="2" vm="6421">
        <f ca="1"/>
        <v>307.37</v>
      </c>
      <c r="Q186" s="2">
        <f t="shared" ca="1" si="101"/>
        <v>7.4884417529471313E-4</v>
      </c>
      <c r="R186" s="2" vm="6422">
        <f ca="1"/>
        <v>76.48</v>
      </c>
      <c r="S186" s="2">
        <f t="shared" ca="1" si="102"/>
        <v>1.7156536773507199E-2</v>
      </c>
      <c r="T186" s="2" vm="6423">
        <f ca="1"/>
        <v>94.46</v>
      </c>
      <c r="U186" s="2">
        <f t="shared" ca="1" si="103"/>
        <v>-3.1658927817645776E-3</v>
      </c>
      <c r="V186" s="2" vm="6424">
        <f ca="1"/>
        <v>46.854999999999997</v>
      </c>
      <c r="W186" s="2">
        <f t="shared" ca="1" si="104"/>
        <v>-3.6150983519404934E-3</v>
      </c>
      <c r="X186" s="2" vm="6425">
        <f ca="1"/>
        <v>141.53</v>
      </c>
      <c r="Y186" s="2">
        <f t="shared" ca="1" si="105"/>
        <v>-2.0350245725756198E-2</v>
      </c>
      <c r="Z186" s="2" vm="2944">
        <f ca="1"/>
        <v>86.19</v>
      </c>
      <c r="AA186" s="2">
        <f t="shared" ca="1" si="106"/>
        <v>-9.6518441916580884E-3</v>
      </c>
      <c r="AB186" s="2" vm="6426">
        <f ca="1"/>
        <v>13.73</v>
      </c>
      <c r="AC186" s="2">
        <f t="shared" ca="1" si="107"/>
        <v>1.6284233900814259E-2</v>
      </c>
      <c r="AD186" s="2" vm="6427">
        <f ca="1"/>
        <v>4.99</v>
      </c>
      <c r="AE186" s="2">
        <f t="shared" ca="1" si="108"/>
        <v>1.8367346938775481E-2</v>
      </c>
      <c r="AF186" s="2" vm="6428">
        <f ca="1"/>
        <v>33.43</v>
      </c>
      <c r="AG186" s="2">
        <f t="shared" ca="1" si="109"/>
        <v>-2.3873470605788811E-3</v>
      </c>
      <c r="AH186" s="2" vm="962">
        <f ca="1"/>
        <v>25.71</v>
      </c>
      <c r="AI186" s="2">
        <f t="shared" ca="1" si="110"/>
        <v>-6.9524913093858519E-3</v>
      </c>
      <c r="AJ186" s="2" vm="5164">
        <f ca="1"/>
        <v>4.54</v>
      </c>
      <c r="AK186" s="2">
        <f t="shared" ca="1" si="111"/>
        <v>-1.9438444924406016E-2</v>
      </c>
      <c r="AL186" s="2" vm="6335">
        <f ca="1"/>
        <v>66.09</v>
      </c>
      <c r="AM186" s="2">
        <f t="shared" ca="1" si="112"/>
        <v>7.5711689884913917E-4</v>
      </c>
      <c r="AN186" s="2" vm="6429">
        <f ca="1"/>
        <v>125.16</v>
      </c>
      <c r="AO186" s="2">
        <f t="shared" ca="1" si="113"/>
        <v>1.5982100047943121E-4</v>
      </c>
      <c r="AP186" s="2" vm="3283">
        <f ca="1"/>
        <v>26.48</v>
      </c>
      <c r="AQ186" s="2">
        <f t="shared" ca="1" si="114"/>
        <v>-1.1316484345530416E-3</v>
      </c>
      <c r="AR186" s="2" vm="2265">
        <f ca="1"/>
        <v>50.87</v>
      </c>
      <c r="AS186" s="2">
        <f t="shared" ca="1" si="115"/>
        <v>-1.965408805032452E-4</v>
      </c>
      <c r="AT186" s="2" vm="759">
        <f ca="1"/>
        <v>29.12</v>
      </c>
      <c r="AU186" s="2">
        <f t="shared" ca="1" si="116"/>
        <v>-6.8634179821549666E-4</v>
      </c>
      <c r="AV186" s="2" vm="5297">
        <f ca="1"/>
        <v>25.98</v>
      </c>
      <c r="AW186" s="2">
        <f t="shared" ca="1" si="117"/>
        <v>-9.1533180778031447E-3</v>
      </c>
      <c r="AX186" s="2" vm="1706">
        <f ca="1"/>
        <v>91.51</v>
      </c>
      <c r="AY186" s="2">
        <f t="shared" ca="1" si="118"/>
        <v>1.0928961748639472E-4</v>
      </c>
      <c r="AZ186" s="2" vm="6430">
        <f ca="1"/>
        <v>478.03</v>
      </c>
      <c r="BA186" s="2">
        <f t="shared" ca="1" si="119"/>
        <v>-1.4371134020618613E-2</v>
      </c>
      <c r="BB186" s="2" vm="6431">
        <f ca="1"/>
        <v>291.97000000000003</v>
      </c>
      <c r="BC186" s="2">
        <f t="shared" ca="1" si="120"/>
        <v>-1.3614864864864773E-2</v>
      </c>
      <c r="BD186" s="2" vm="6432">
        <f ca="1"/>
        <v>48.66</v>
      </c>
      <c r="BE186" s="2">
        <f t="shared" ca="1" si="121"/>
        <v>-5.5180870631515045E-3</v>
      </c>
      <c r="BF186" s="2" vm="6433">
        <f ca="1"/>
        <v>111.11</v>
      </c>
      <c r="BG186" s="2">
        <f t="shared" ca="1" si="122"/>
        <v>-9.7147950089126866E-3</v>
      </c>
      <c r="BH186" s="2" vm="6434">
        <f ca="1"/>
        <v>147.4</v>
      </c>
      <c r="BI186" s="2">
        <f t="shared" ca="1" si="123"/>
        <v>-6.5377097796050334E-3</v>
      </c>
      <c r="BJ186" s="2" vm="6435">
        <f ca="1"/>
        <v>155.27000000000001</v>
      </c>
      <c r="BK186" s="2">
        <f t="shared" ca="1" si="124"/>
        <v>-4.7432856868148245E-3</v>
      </c>
      <c r="BL186" s="2" vm="6436">
        <f ca="1"/>
        <v>71.010000000000005</v>
      </c>
      <c r="BM186" s="2">
        <f t="shared" ca="1" si="125"/>
        <v>-4.7652417659423858E-3</v>
      </c>
      <c r="BN186" s="2" vm="6437">
        <f ca="1"/>
        <v>293.52999999999997</v>
      </c>
      <c r="BO186" s="2">
        <f t="shared" ca="1" si="126"/>
        <v>-1.870239390642041E-3</v>
      </c>
      <c r="BP186" s="2" vm="6438">
        <f ca="1"/>
        <v>123.16</v>
      </c>
      <c r="BQ186" s="2">
        <f t="shared" ca="1" si="127"/>
        <v>-6.7741935483871243E-3</v>
      </c>
      <c r="BR186" s="2" vm="6439">
        <f ca="1"/>
        <v>1289.6199999999999</v>
      </c>
      <c r="BS186" s="2">
        <f t="shared" ca="1" si="128"/>
        <v>-5.8280269507702646E-3</v>
      </c>
      <c r="BT186" s="2" vm="2719">
        <f ca="1"/>
        <v>160.5</v>
      </c>
      <c r="BU186" s="2">
        <f t="shared" ca="1" si="129"/>
        <v>-2.05185599701556E-3</v>
      </c>
      <c r="BV186" s="2" vm="6440">
        <f ca="1"/>
        <v>134.44999999999999</v>
      </c>
      <c r="BW186" s="2">
        <f t="shared" ca="1" si="130"/>
        <v>-6.8695523711036106E-3</v>
      </c>
      <c r="BX186" s="2" vm="2153">
        <f ca="1"/>
        <v>238.39</v>
      </c>
      <c r="BY186" s="2">
        <f t="shared" ca="1" si="131"/>
        <v>-1.3204735491348729E-2</v>
      </c>
      <c r="BZ186" s="2" vm="6441">
        <f ca="1"/>
        <v>90.1</v>
      </c>
      <c r="CA186" s="2">
        <f t="shared" ca="1" si="132"/>
        <v>-1.1411016019311019E-2</v>
      </c>
      <c r="CB186" s="2" vm="1003">
        <f ca="1"/>
        <v>28.48</v>
      </c>
      <c r="CC186" s="2">
        <f t="shared" ca="1" si="133"/>
        <v>-1.3874317450754327E-2</v>
      </c>
      <c r="CD186" s="2" t="e" vm="92">
        <f ca="1"/>
        <v>#N/A</v>
      </c>
      <c r="CE186" s="2" t="e" vm="140">
        <f t="shared" ca="1" si="134"/>
        <v>#N/A</v>
      </c>
      <c r="CF186" s="2" vm="985">
        <f ca="1"/>
        <v>22.72</v>
      </c>
      <c r="CG186" s="2">
        <f t="shared" ca="1" si="135"/>
        <v>-2.6338893766462805E-3</v>
      </c>
      <c r="CH186" s="2" vm="1300">
        <f ca="1"/>
        <v>58.44</v>
      </c>
      <c r="CI186" s="2">
        <f t="shared" ca="1" si="136"/>
        <v>-1.7108639863139632E-4</v>
      </c>
      <c r="CJ186" s="2" vm="441">
        <f ca="1"/>
        <v>59.17</v>
      </c>
      <c r="CK186" s="2">
        <f t="shared" ca="1" si="137"/>
        <v>-1.3502109704641063E-3</v>
      </c>
      <c r="CL186" s="2" vm="6442">
        <f ca="1"/>
        <v>54.86</v>
      </c>
      <c r="CM186" s="2">
        <f t="shared" ca="1" si="138"/>
        <v>-9.0317919075144516E-3</v>
      </c>
      <c r="CN186" s="2" vm="6443">
        <f ca="1"/>
        <v>28.93</v>
      </c>
      <c r="CO186" s="2">
        <f t="shared" ca="1" si="139"/>
        <v>-4.1308089500860928E-3</v>
      </c>
      <c r="CP186" s="2" vm="6444">
        <f ca="1"/>
        <v>21.552299999999999</v>
      </c>
      <c r="CQ186" s="2">
        <f t="shared" ca="1" si="140"/>
        <v>-1.0050020439941099E-2</v>
      </c>
    </row>
    <row r="187" spans="1:95" x14ac:dyDescent="0.2">
      <c r="A187" s="7" vm="6445">
        <f ca="1"/>
        <v>45846</v>
      </c>
      <c r="B187" s="2" vm="6446">
        <f ca="1"/>
        <v>210.01</v>
      </c>
      <c r="C187" s="2">
        <f t="shared" ca="1" si="94"/>
        <v>2.8578232912599322E-4</v>
      </c>
      <c r="D187" s="2" vm="6447">
        <f ca="1"/>
        <v>160</v>
      </c>
      <c r="E187" s="2">
        <f t="shared" ca="1" si="95"/>
        <v>1.1122345803842207E-2</v>
      </c>
      <c r="F187" s="2" vm="6448">
        <f ca="1"/>
        <v>496.62</v>
      </c>
      <c r="G187" s="2">
        <f t="shared" ca="1" si="96"/>
        <v>-2.2100779554770204E-3</v>
      </c>
      <c r="H187" s="2" vm="6449">
        <f ca="1"/>
        <v>720.67</v>
      </c>
      <c r="I187" s="2">
        <f t="shared" ca="1" si="97"/>
        <v>3.2296234426114514E-3</v>
      </c>
      <c r="J187" s="2" vm="6450">
        <f ca="1"/>
        <v>174.36</v>
      </c>
      <c r="K187" s="2">
        <f t="shared" ca="1" si="98"/>
        <v>-1.3745121330391869E-2</v>
      </c>
      <c r="L187" s="2" vm="6451">
        <f ca="1"/>
        <v>620.34</v>
      </c>
      <c r="M187" s="2">
        <f t="shared" ca="1" si="99"/>
        <v>-5.47786298897851E-4</v>
      </c>
      <c r="N187" s="2" vm="2509">
        <f ca="1"/>
        <v>86.03</v>
      </c>
      <c r="O187" s="2">
        <f t="shared" ca="1" si="100"/>
        <v>-1.2769909449732927E-3</v>
      </c>
      <c r="P187" s="2" vm="6452">
        <f ca="1"/>
        <v>304.16000000000003</v>
      </c>
      <c r="Q187" s="2">
        <f t="shared" ca="1" si="101"/>
        <v>-1.0443439502879199E-2</v>
      </c>
      <c r="R187" s="2" vm="3409">
        <f ca="1"/>
        <v>76.959999999999994</v>
      </c>
      <c r="S187" s="2">
        <f t="shared" ca="1" si="102"/>
        <v>6.2761506276149291E-3</v>
      </c>
      <c r="T187" s="2" vm="6453">
        <f ca="1"/>
        <v>94.32</v>
      </c>
      <c r="U187" s="2">
        <f t="shared" ca="1" si="103"/>
        <v>-1.4821088291340312E-3</v>
      </c>
      <c r="V187" s="2" vm="6454">
        <f ca="1"/>
        <v>46.833500000000001</v>
      </c>
      <c r="W187" s="2">
        <f t="shared" ca="1" si="104"/>
        <v>-4.5886244797772017E-4</v>
      </c>
      <c r="X187" s="2" vm="373">
        <f ca="1"/>
        <v>145.01</v>
      </c>
      <c r="Y187" s="2">
        <f t="shared" ca="1" si="105"/>
        <v>2.4588426482017874E-2</v>
      </c>
      <c r="Z187" s="2" vm="6455">
        <f ca="1"/>
        <v>88.51</v>
      </c>
      <c r="AA187" s="2">
        <f t="shared" ca="1" si="106"/>
        <v>2.6917275786054153E-2</v>
      </c>
      <c r="AB187" s="2" vm="6456">
        <f ca="1"/>
        <v>13.81</v>
      </c>
      <c r="AC187" s="2">
        <f t="shared" ca="1" si="107"/>
        <v>5.8266569555717454E-3</v>
      </c>
      <c r="AD187" s="2" vm="6457">
        <f ca="1"/>
        <v>5.0999999999999996</v>
      </c>
      <c r="AE187" s="2">
        <f t="shared" ca="1" si="108"/>
        <v>2.2044088176352592E-2</v>
      </c>
      <c r="AF187" s="2" vm="6458">
        <f ca="1"/>
        <v>33.29</v>
      </c>
      <c r="AG187" s="2">
        <f t="shared" ca="1" si="109"/>
        <v>-4.1878552198624163E-3</v>
      </c>
      <c r="AH187" s="2" vm="2264">
        <f ca="1"/>
        <v>25.74</v>
      </c>
      <c r="AI187" s="2">
        <f t="shared" ca="1" si="110"/>
        <v>1.1668611435238267E-3</v>
      </c>
      <c r="AJ187" s="2" vm="4975">
        <f ca="1"/>
        <v>4.53</v>
      </c>
      <c r="AK187" s="2">
        <f t="shared" ca="1" si="111"/>
        <v>-2.2026431718061203E-3</v>
      </c>
      <c r="AL187" s="2" vm="6459">
        <f ca="1"/>
        <v>65.400000000000006</v>
      </c>
      <c r="AM187" s="2">
        <f t="shared" ca="1" si="112"/>
        <v>-1.0440308669995426E-2</v>
      </c>
      <c r="AN187" s="2" vm="6460">
        <f ca="1"/>
        <v>124.74</v>
      </c>
      <c r="AO187" s="2">
        <f t="shared" ca="1" si="113"/>
        <v>-3.355704697986591E-3</v>
      </c>
      <c r="AP187" s="2" vm="4300">
        <f ca="1"/>
        <v>26.47</v>
      </c>
      <c r="AQ187" s="2">
        <f t="shared" ca="1" si="114"/>
        <v>-3.7764350453178109E-4</v>
      </c>
      <c r="AR187" s="2" vm="843">
        <f ca="1"/>
        <v>50.88</v>
      </c>
      <c r="AS187" s="2">
        <f t="shared" ca="1" si="115"/>
        <v>1.9657951641449019E-4</v>
      </c>
      <c r="AT187" s="2" vm="759">
        <f ca="1"/>
        <v>29.12</v>
      </c>
      <c r="AU187" s="2">
        <f t="shared" ca="1" si="116"/>
        <v>0</v>
      </c>
      <c r="AV187" s="2" vm="2809">
        <f ca="1"/>
        <v>25.94</v>
      </c>
      <c r="AW187" s="2">
        <f t="shared" ca="1" si="117"/>
        <v>-1.5396458814472343E-3</v>
      </c>
      <c r="AX187" s="2" vm="1706">
        <f ca="1"/>
        <v>91.51</v>
      </c>
      <c r="AY187" s="2">
        <f t="shared" ca="1" si="118"/>
        <v>0</v>
      </c>
      <c r="AZ187" s="2" vm="6461">
        <f ca="1"/>
        <v>477.47</v>
      </c>
      <c r="BA187" s="2">
        <f t="shared" ca="1" si="119"/>
        <v>-1.1714745936446363E-3</v>
      </c>
      <c r="BB187" s="2" vm="6462">
        <f ca="1"/>
        <v>282.77999999999997</v>
      </c>
      <c r="BC187" s="2">
        <f t="shared" ca="1" si="120"/>
        <v>-3.147583655855072E-2</v>
      </c>
      <c r="BD187" s="2" vm="6463">
        <f ca="1"/>
        <v>47.15</v>
      </c>
      <c r="BE187" s="2">
        <f t="shared" ca="1" si="121"/>
        <v>-3.1031648170982289E-2</v>
      </c>
      <c r="BF187" s="2" vm="6464">
        <f ca="1"/>
        <v>114.19</v>
      </c>
      <c r="BG187" s="2">
        <f t="shared" ca="1" si="122"/>
        <v>2.7720277202772012E-2</v>
      </c>
      <c r="BH187" s="2" vm="1130">
        <f ca="1"/>
        <v>153.24</v>
      </c>
      <c r="BI187" s="2">
        <f t="shared" ca="1" si="123"/>
        <v>3.9620081411126211E-2</v>
      </c>
      <c r="BJ187" s="2" vm="6465">
        <f ca="1"/>
        <v>155.79</v>
      </c>
      <c r="BK187" s="2">
        <f t="shared" ca="1" si="124"/>
        <v>3.3490049591033797E-3</v>
      </c>
      <c r="BL187" s="2" vm="1734">
        <f ca="1"/>
        <v>70.239999999999995</v>
      </c>
      <c r="BM187" s="2">
        <f t="shared" ca="1" si="125"/>
        <v>-1.084354316293494E-2</v>
      </c>
      <c r="BN187" s="2" vm="6466">
        <f ca="1"/>
        <v>291.67</v>
      </c>
      <c r="BO187" s="2">
        <f t="shared" ca="1" si="126"/>
        <v>-6.3366606479745066E-3</v>
      </c>
      <c r="BP187" s="2" vm="6467">
        <f ca="1"/>
        <v>121.82</v>
      </c>
      <c r="BQ187" s="2">
        <f t="shared" ca="1" si="127"/>
        <v>-1.0880155894771058E-2</v>
      </c>
      <c r="BR187" s="2" vm="6468">
        <f ca="1"/>
        <v>1275.31</v>
      </c>
      <c r="BS187" s="2">
        <f t="shared" ca="1" si="128"/>
        <v>-1.1096291930956364E-2</v>
      </c>
      <c r="BT187" s="2" vm="3456">
        <f ca="1"/>
        <v>157.88999999999999</v>
      </c>
      <c r="BU187" s="2">
        <f t="shared" ca="1" si="129"/>
        <v>-1.6261682242990738E-2</v>
      </c>
      <c r="BV187" s="2" vm="6469">
        <f ca="1"/>
        <v>135.04</v>
      </c>
      <c r="BW187" s="2">
        <f t="shared" ca="1" si="130"/>
        <v>4.3882484194868237E-3</v>
      </c>
      <c r="BX187" s="2" vm="6470">
        <f ca="1"/>
        <v>249.83</v>
      </c>
      <c r="BY187" s="2">
        <f t="shared" ca="1" si="131"/>
        <v>4.7988590125424835E-2</v>
      </c>
      <c r="BZ187" s="2" vm="6471">
        <f ca="1"/>
        <v>92.67</v>
      </c>
      <c r="CA187" s="2">
        <f t="shared" ca="1" si="132"/>
        <v>2.852386237513882E-2</v>
      </c>
      <c r="CB187" s="2" vm="97">
        <f ca="1"/>
        <v>29.56</v>
      </c>
      <c r="CC187" s="2">
        <f t="shared" ca="1" si="133"/>
        <v>3.7921348314606682E-2</v>
      </c>
      <c r="CD187" s="2" t="e" vm="92">
        <f ca="1"/>
        <v>#N/A</v>
      </c>
      <c r="CE187" s="2" t="e" vm="140">
        <f t="shared" ca="1" si="134"/>
        <v>#N/A</v>
      </c>
      <c r="CF187" s="2" vm="6472">
        <f ca="1"/>
        <v>22.704999999999998</v>
      </c>
      <c r="CG187" s="2">
        <f t="shared" ca="1" si="135"/>
        <v>-6.6021126760565884E-4</v>
      </c>
      <c r="CH187" s="2" vm="1300">
        <f ca="1"/>
        <v>58.44</v>
      </c>
      <c r="CI187" s="2">
        <f t="shared" ca="1" si="136"/>
        <v>0</v>
      </c>
      <c r="CJ187" s="2" vm="4525">
        <f ca="1"/>
        <v>59.11</v>
      </c>
      <c r="CK187" s="2">
        <f t="shared" ca="1" si="137"/>
        <v>-1.0140273787392644E-3</v>
      </c>
      <c r="CL187" s="2" vm="6473">
        <f ca="1"/>
        <v>54.78</v>
      </c>
      <c r="CM187" s="2">
        <f t="shared" ca="1" si="138"/>
        <v>-1.4582573824279675E-3</v>
      </c>
      <c r="CN187" s="2" vm="3034">
        <f ca="1"/>
        <v>28.86</v>
      </c>
      <c r="CO187" s="2">
        <f t="shared" ca="1" si="139"/>
        <v>-2.4196335983408326E-3</v>
      </c>
      <c r="CP187" s="2" vm="6474">
        <f ca="1"/>
        <v>21.55</v>
      </c>
      <c r="CQ187" s="2">
        <f t="shared" ca="1" si="140"/>
        <v>-1.0671714851770774E-4</v>
      </c>
    </row>
    <row r="188" spans="1:95" x14ac:dyDescent="0.2">
      <c r="A188" s="7" vm="6475">
        <f ca="1"/>
        <v>45847</v>
      </c>
      <c r="B188" s="2" vm="6476">
        <f ca="1"/>
        <v>211.14</v>
      </c>
      <c r="C188" s="2">
        <f t="shared" ca="1" si="94"/>
        <v>5.3806961573258198E-3</v>
      </c>
      <c r="D188" s="2" vm="6477">
        <f ca="1"/>
        <v>162.88</v>
      </c>
      <c r="E188" s="2">
        <f t="shared" ca="1" si="95"/>
        <v>1.7999999999999971E-2</v>
      </c>
      <c r="F188" s="2" vm="6478">
        <f ca="1"/>
        <v>503.51</v>
      </c>
      <c r="G188" s="2">
        <f t="shared" ca="1" si="96"/>
        <v>1.3873786798759587E-2</v>
      </c>
      <c r="H188" s="2" vm="6479">
        <f ca="1"/>
        <v>732.78</v>
      </c>
      <c r="I188" s="2">
        <f t="shared" ca="1" si="97"/>
        <v>1.6803807567957615E-2</v>
      </c>
      <c r="J188" s="2" vm="6480">
        <f ca="1"/>
        <v>176.62</v>
      </c>
      <c r="K188" s="2">
        <f t="shared" ca="1" si="98"/>
        <v>1.2961688460656061E-2</v>
      </c>
      <c r="L188" s="2" vm="6481">
        <f ca="1"/>
        <v>624.05999999999995</v>
      </c>
      <c r="M188" s="2">
        <f t="shared" ca="1" si="99"/>
        <v>5.9967114808007118E-3</v>
      </c>
      <c r="N188" s="2" vm="6365">
        <f ca="1"/>
        <v>86.93</v>
      </c>
      <c r="O188" s="2">
        <f t="shared" ca="1" si="100"/>
        <v>1.0461466930140715E-2</v>
      </c>
      <c r="P188" s="2" vm="6482">
        <f ca="1"/>
        <v>305.52</v>
      </c>
      <c r="Q188" s="2">
        <f t="shared" ca="1" si="101"/>
        <v>4.4713308784848655E-3</v>
      </c>
      <c r="R188" s="2" vm="2368">
        <f ca="1"/>
        <v>76.930000000000007</v>
      </c>
      <c r="S188" s="2">
        <f t="shared" ca="1" si="102"/>
        <v>-3.8981288981271994E-4</v>
      </c>
      <c r="T188" s="2" vm="3955">
        <f ca="1"/>
        <v>94.81</v>
      </c>
      <c r="U188" s="2">
        <f t="shared" ca="1" si="103"/>
        <v>5.1950805767600628E-3</v>
      </c>
      <c r="V188" s="2" vm="6141">
        <f ca="1"/>
        <v>47.03</v>
      </c>
      <c r="W188" s="2">
        <f t="shared" ca="1" si="104"/>
        <v>4.1957146059978506E-3</v>
      </c>
      <c r="X188" s="2" vm="6483">
        <f ca="1"/>
        <v>146.65</v>
      </c>
      <c r="Y188" s="2">
        <f t="shared" ca="1" si="105"/>
        <v>1.1309564857596131E-2</v>
      </c>
      <c r="Z188" s="2" vm="6484">
        <f ca="1"/>
        <v>88.06</v>
      </c>
      <c r="AA188" s="2">
        <f t="shared" ca="1" si="106"/>
        <v>-5.0841712800813784E-3</v>
      </c>
      <c r="AB188" s="2" vm="6485">
        <f ca="1"/>
        <v>13.79</v>
      </c>
      <c r="AC188" s="2">
        <f t="shared" ca="1" si="107"/>
        <v>-1.4482259232441238E-3</v>
      </c>
      <c r="AD188" s="2" vm="1398">
        <f ca="1"/>
        <v>5</v>
      </c>
      <c r="AE188" s="2">
        <f t="shared" ca="1" si="108"/>
        <v>-1.9607843137254832E-2</v>
      </c>
      <c r="AF188" s="2" vm="6486">
        <f ca="1"/>
        <v>33</v>
      </c>
      <c r="AG188" s="2">
        <f t="shared" ca="1" si="109"/>
        <v>-8.7113247221387545E-3</v>
      </c>
      <c r="AH188" s="2" vm="2708">
        <f ca="1"/>
        <v>25.93</v>
      </c>
      <c r="AI188" s="2">
        <f t="shared" ca="1" si="110"/>
        <v>7.3815073815074314E-3</v>
      </c>
      <c r="AJ188" s="2" vm="5040">
        <f ca="1"/>
        <v>4.5199999999999996</v>
      </c>
      <c r="AK188" s="2">
        <f t="shared" ca="1" si="111"/>
        <v>-2.2075055187639457E-3</v>
      </c>
      <c r="AL188" s="2" vm="6487">
        <f ca="1"/>
        <v>65.650000000000006</v>
      </c>
      <c r="AM188" s="2">
        <f t="shared" ca="1" si="112"/>
        <v>3.8226299694189597E-3</v>
      </c>
      <c r="AN188" s="2" vm="6488">
        <f ca="1"/>
        <v>122.86</v>
      </c>
      <c r="AO188" s="2">
        <f t="shared" ca="1" si="113"/>
        <v>-1.5071348404681701E-2</v>
      </c>
      <c r="AP188" s="2" vm="72">
        <f ca="1"/>
        <v>26.54</v>
      </c>
      <c r="AQ188" s="2">
        <f t="shared" ca="1" si="114"/>
        <v>2.6445032111824815E-3</v>
      </c>
      <c r="AR188" s="2" vm="1746">
        <f ca="1"/>
        <v>50.92</v>
      </c>
      <c r="AS188" s="2">
        <f t="shared" ca="1" si="115"/>
        <v>7.8616352201256185E-4</v>
      </c>
      <c r="AT188" s="2" vm="3645">
        <f ca="1"/>
        <v>29.16</v>
      </c>
      <c r="AU188" s="2">
        <f t="shared" ca="1" si="116"/>
        <v>1.3736263736263442E-3</v>
      </c>
      <c r="AV188" s="2" vm="2376">
        <f ca="1"/>
        <v>26.2</v>
      </c>
      <c r="AW188" s="2">
        <f t="shared" ca="1" si="117"/>
        <v>1.0023130300693833E-2</v>
      </c>
      <c r="AX188" s="2" vm="926">
        <f ca="1"/>
        <v>91.52</v>
      </c>
      <c r="AY188" s="2">
        <f t="shared" ca="1" si="118"/>
        <v>1.0927767457098573E-4</v>
      </c>
      <c r="AZ188" s="2" vm="6489">
        <f ca="1"/>
        <v>478.91</v>
      </c>
      <c r="BA188" s="2">
        <f t="shared" ca="1" si="119"/>
        <v>3.0158962866776921E-3</v>
      </c>
      <c r="BB188" s="2" vm="6490">
        <f ca="1"/>
        <v>283.16000000000003</v>
      </c>
      <c r="BC188" s="2">
        <f t="shared" ca="1" si="120"/>
        <v>1.3438008345712296E-3</v>
      </c>
      <c r="BD188" s="2" vm="2949">
        <f ca="1"/>
        <v>46.84</v>
      </c>
      <c r="BE188" s="2">
        <f t="shared" ca="1" si="121"/>
        <v>-6.5747613997878089E-3</v>
      </c>
      <c r="BF188" s="2" vm="3684">
        <f ca="1"/>
        <v>113.8</v>
      </c>
      <c r="BG188" s="2">
        <f t="shared" ca="1" si="122"/>
        <v>-3.4153603643051105E-3</v>
      </c>
      <c r="BH188" s="2" vm="6491">
        <f ca="1"/>
        <v>153.02000000000001</v>
      </c>
      <c r="BI188" s="2">
        <f t="shared" ca="1" si="123"/>
        <v>-1.4356564865570273E-3</v>
      </c>
      <c r="BJ188" s="2" vm="6492">
        <f ca="1"/>
        <v>156.28</v>
      </c>
      <c r="BK188" s="2">
        <f t="shared" ca="1" si="124"/>
        <v>3.1452596443931518E-3</v>
      </c>
      <c r="BL188" s="2" vm="4763">
        <f ca="1"/>
        <v>69.48</v>
      </c>
      <c r="BM188" s="2">
        <f t="shared" ca="1" si="125"/>
        <v>-1.0820045558086432E-2</v>
      </c>
      <c r="BN188" s="2" vm="6493">
        <f ca="1"/>
        <v>293.02</v>
      </c>
      <c r="BO188" s="2">
        <f t="shared" ca="1" si="126"/>
        <v>4.6285185312166686E-3</v>
      </c>
      <c r="BP188" s="2" vm="6494">
        <f ca="1"/>
        <v>120.61</v>
      </c>
      <c r="BQ188" s="2">
        <f t="shared" ca="1" si="127"/>
        <v>-9.9326875718272357E-3</v>
      </c>
      <c r="BR188" s="2" vm="6495">
        <f ca="1"/>
        <v>1288.28</v>
      </c>
      <c r="BS188" s="2">
        <f t="shared" ca="1" si="128"/>
        <v>1.0170076295175313E-2</v>
      </c>
      <c r="BT188" s="2" vm="6496">
        <f ca="1"/>
        <v>157.52000000000001</v>
      </c>
      <c r="BU188" s="2">
        <f t="shared" ca="1" si="129"/>
        <v>-2.3434036354422457E-3</v>
      </c>
      <c r="BV188" s="2" vm="6497">
        <f ca="1"/>
        <v>134.47999999999999</v>
      </c>
      <c r="BW188" s="2">
        <f t="shared" ca="1" si="130"/>
        <v>-4.1469194312796376E-3</v>
      </c>
      <c r="BX188" s="2" vm="6498">
        <f ca="1"/>
        <v>247.93</v>
      </c>
      <c r="BY188" s="2">
        <f t="shared" ca="1" si="131"/>
        <v>-7.6051715166313314E-3</v>
      </c>
      <c r="BZ188" s="2" vm="6499">
        <f ca="1"/>
        <v>91.92</v>
      </c>
      <c r="CA188" s="2">
        <f t="shared" ca="1" si="132"/>
        <v>-8.093234056328908E-3</v>
      </c>
      <c r="CB188" s="2" vm="4160">
        <f ca="1"/>
        <v>29.23</v>
      </c>
      <c r="CC188" s="2">
        <f t="shared" ca="1" si="133"/>
        <v>-1.1163734776725246E-2</v>
      </c>
      <c r="CD188" s="2" t="e" vm="92">
        <f ca="1"/>
        <v>#N/A</v>
      </c>
      <c r="CE188" s="2" t="e" vm="140">
        <f t="shared" ca="1" si="134"/>
        <v>#N/A</v>
      </c>
      <c r="CF188" s="2" vm="6500">
        <f ca="1"/>
        <v>22.8</v>
      </c>
      <c r="CG188" s="2">
        <f t="shared" ca="1" si="135"/>
        <v>4.1841004184101482E-3</v>
      </c>
      <c r="CH188" s="2" vm="94">
        <f ca="1"/>
        <v>58.49</v>
      </c>
      <c r="CI188" s="2">
        <f t="shared" ca="1" si="136"/>
        <v>8.5557837097885469E-4</v>
      </c>
      <c r="CJ188" s="2" vm="5181">
        <f ca="1"/>
        <v>59.32</v>
      </c>
      <c r="CK188" s="2">
        <f t="shared" ca="1" si="137"/>
        <v>3.5526983589917248E-3</v>
      </c>
      <c r="CL188" s="2" vm="6501">
        <f ca="1"/>
        <v>55.31</v>
      </c>
      <c r="CM188" s="2">
        <f t="shared" ca="1" si="138"/>
        <v>9.6750638919313823E-3</v>
      </c>
      <c r="CN188" s="2" vm="1345">
        <f ca="1"/>
        <v>29</v>
      </c>
      <c r="CO188" s="2">
        <f t="shared" ca="1" si="139"/>
        <v>4.8510048510048706E-3</v>
      </c>
      <c r="CP188" s="2" vm="6502">
        <f ca="1"/>
        <v>21.591699999999999</v>
      </c>
      <c r="CQ188" s="2">
        <f t="shared" ca="1" si="140"/>
        <v>1.9350348027841642E-3</v>
      </c>
    </row>
    <row r="189" spans="1:95" x14ac:dyDescent="0.2">
      <c r="A189" s="7" vm="6503">
        <f ca="1"/>
        <v>45848</v>
      </c>
      <c r="B189" s="2" vm="6504">
        <f ca="1"/>
        <v>212.41</v>
      </c>
      <c r="C189" s="2">
        <f t="shared" ca="1" si="94"/>
        <v>6.0149663730226875E-3</v>
      </c>
      <c r="D189" s="2" vm="260">
        <f ca="1"/>
        <v>164.1</v>
      </c>
      <c r="E189" s="2">
        <f t="shared" ca="1" si="95"/>
        <v>7.4901768172887951E-3</v>
      </c>
      <c r="F189" s="2" vm="4758">
        <f ca="1"/>
        <v>501.48</v>
      </c>
      <c r="G189" s="2">
        <f t="shared" ca="1" si="96"/>
        <v>-4.0316974836646195E-3</v>
      </c>
      <c r="H189" s="2" vm="6505">
        <f ca="1"/>
        <v>727.24</v>
      </c>
      <c r="I189" s="2">
        <f t="shared" ca="1" si="97"/>
        <v>-7.5602500068232808E-3</v>
      </c>
      <c r="J189" s="2" vm="6506">
        <f ca="1"/>
        <v>177.62</v>
      </c>
      <c r="K189" s="2">
        <f t="shared" ca="1" si="98"/>
        <v>5.6618729475710564E-3</v>
      </c>
      <c r="L189" s="2" vm="6507">
        <f ca="1"/>
        <v>625.82000000000005</v>
      </c>
      <c r="M189" s="2">
        <f t="shared" ca="1" si="99"/>
        <v>2.8202416434318892E-3</v>
      </c>
      <c r="N189" s="2" vm="6508">
        <f ca="1"/>
        <v>86.99</v>
      </c>
      <c r="O189" s="2">
        <f t="shared" ca="1" si="100"/>
        <v>6.9021051420669569E-4</v>
      </c>
      <c r="P189" s="2" vm="6509">
        <f ca="1"/>
        <v>306.2</v>
      </c>
      <c r="Q189" s="2">
        <f t="shared" ca="1" si="101"/>
        <v>2.225713537575304E-3</v>
      </c>
      <c r="R189" s="2" vm="6510">
        <f ca="1"/>
        <v>75.39</v>
      </c>
      <c r="S189" s="2">
        <f t="shared" ca="1" si="102"/>
        <v>-2.0018198362147487E-2</v>
      </c>
      <c r="T189" s="2" vm="6393">
        <f ca="1"/>
        <v>94.76</v>
      </c>
      <c r="U189" s="2">
        <f t="shared" ca="1" si="103"/>
        <v>-5.2737053053472378E-4</v>
      </c>
      <c r="V189" s="2" vm="6394">
        <f ca="1"/>
        <v>47.024999999999999</v>
      </c>
      <c r="W189" s="2">
        <f t="shared" ca="1" si="104"/>
        <v>-1.0631511800983538E-4</v>
      </c>
      <c r="X189" s="2" vm="6511">
        <f ca="1"/>
        <v>148.21</v>
      </c>
      <c r="Y189" s="2">
        <f t="shared" ca="1" si="105"/>
        <v>1.0637572451414948E-2</v>
      </c>
      <c r="Z189" s="2" vm="6512">
        <f ca="1"/>
        <v>88.73</v>
      </c>
      <c r="AA189" s="2">
        <f t="shared" ca="1" si="106"/>
        <v>7.6084487849193919E-3</v>
      </c>
      <c r="AB189" s="2" vm="6513">
        <f ca="1"/>
        <v>13.58</v>
      </c>
      <c r="AC189" s="2">
        <f t="shared" ca="1" si="107"/>
        <v>-1.5228426395939021E-2</v>
      </c>
      <c r="AD189" s="2" vm="6514">
        <f ca="1"/>
        <v>4.83</v>
      </c>
      <c r="AE189" s="2">
        <f t="shared" ca="1" si="108"/>
        <v>-3.3999999999999989E-2</v>
      </c>
      <c r="AF189" s="2" vm="6515">
        <f ca="1"/>
        <v>33.75</v>
      </c>
      <c r="AG189" s="2">
        <f t="shared" ca="1" si="109"/>
        <v>2.2727272727272728E-2</v>
      </c>
      <c r="AH189" s="2" vm="2413">
        <f ca="1"/>
        <v>25.77</v>
      </c>
      <c r="AI189" s="2">
        <f t="shared" ca="1" si="110"/>
        <v>-6.1704589278827665E-3</v>
      </c>
      <c r="AJ189" s="2" vm="6516">
        <f ca="1"/>
        <v>4.58</v>
      </c>
      <c r="AK189" s="2">
        <f t="shared" ca="1" si="111"/>
        <v>1.3274336283185952E-2</v>
      </c>
      <c r="AL189" s="2" vm="6517">
        <f ca="1"/>
        <v>65.83</v>
      </c>
      <c r="AM189" s="2">
        <f t="shared" ca="1" si="112"/>
        <v>2.741812642802629E-3</v>
      </c>
      <c r="AN189" s="2" vm="216">
        <f ca="1"/>
        <v>124.08</v>
      </c>
      <c r="AO189" s="2">
        <f t="shared" ca="1" si="113"/>
        <v>9.9300016278691099E-3</v>
      </c>
      <c r="AP189" s="2" vm="72">
        <f ca="1"/>
        <v>26.54</v>
      </c>
      <c r="AQ189" s="2">
        <f t="shared" ca="1" si="114"/>
        <v>0</v>
      </c>
      <c r="AR189" s="2" vm="1048">
        <f ca="1"/>
        <v>50.93</v>
      </c>
      <c r="AS189" s="2">
        <f t="shared" ca="1" si="115"/>
        <v>1.9638648860954459E-4</v>
      </c>
      <c r="AT189" s="2" vm="596">
        <f ca="1"/>
        <v>29.15</v>
      </c>
      <c r="AU189" s="2">
        <f t="shared" ca="1" si="116"/>
        <v>-3.4293552812076689E-4</v>
      </c>
      <c r="AV189" s="2" vm="1278">
        <f ca="1"/>
        <v>26.22</v>
      </c>
      <c r="AW189" s="2">
        <f t="shared" ca="1" si="117"/>
        <v>7.6335877862593793E-4</v>
      </c>
      <c r="AX189" s="2" vm="76">
        <f ca="1"/>
        <v>91.54</v>
      </c>
      <c r="AY189" s="2">
        <f t="shared" ca="1" si="118"/>
        <v>2.1853146853158034E-4</v>
      </c>
      <c r="AZ189" s="2" vm="6518">
        <f ca="1"/>
        <v>478.27</v>
      </c>
      <c r="BA189" s="2">
        <f t="shared" ca="1" si="119"/>
        <v>-1.3363680023387341E-3</v>
      </c>
      <c r="BB189" s="2" vm="6519">
        <f ca="1"/>
        <v>288.19</v>
      </c>
      <c r="BC189" s="2">
        <f t="shared" ca="1" si="120"/>
        <v>1.7763808447520738E-2</v>
      </c>
      <c r="BD189" s="2" vm="6520">
        <f ca="1"/>
        <v>46.97</v>
      </c>
      <c r="BE189" s="2">
        <f t="shared" ca="1" si="121"/>
        <v>2.7754056362082717E-3</v>
      </c>
      <c r="BF189" s="2" vm="6521">
        <f ca="1"/>
        <v>114.93</v>
      </c>
      <c r="BG189" s="2">
        <f t="shared" ca="1" si="122"/>
        <v>9.9297012302285558E-3</v>
      </c>
      <c r="BH189" s="2" vm="6522">
        <f ca="1"/>
        <v>154.16999999999999</v>
      </c>
      <c r="BI189" s="2">
        <f t="shared" ca="1" si="123"/>
        <v>7.5153574696116667E-3</v>
      </c>
      <c r="BJ189" s="2" vm="6523">
        <f ca="1"/>
        <v>157.69</v>
      </c>
      <c r="BK189" s="2">
        <f t="shared" ca="1" si="124"/>
        <v>9.0222677245968552E-3</v>
      </c>
      <c r="BL189" s="2" vm="6524">
        <f ca="1"/>
        <v>69.77</v>
      </c>
      <c r="BM189" s="2">
        <f t="shared" ca="1" si="125"/>
        <v>4.1738629821530225E-3</v>
      </c>
      <c r="BN189" s="2" vm="6525">
        <f ca="1"/>
        <v>298.39</v>
      </c>
      <c r="BO189" s="2">
        <f t="shared" ca="1" si="126"/>
        <v>1.8326394102791636E-2</v>
      </c>
      <c r="BP189" s="2" vm="6526">
        <f ca="1"/>
        <v>121.56</v>
      </c>
      <c r="BQ189" s="2">
        <f t="shared" ca="1" si="127"/>
        <v>7.8766271453445218E-3</v>
      </c>
      <c r="BR189" s="2" vm="6527">
        <f ca="1"/>
        <v>1250.5899999999999</v>
      </c>
      <c r="BS189" s="2">
        <f t="shared" ca="1" si="128"/>
        <v>-2.925606234669486E-2</v>
      </c>
      <c r="BT189" s="2" vm="6528">
        <f ca="1"/>
        <v>158.49</v>
      </c>
      <c r="BU189" s="2">
        <f t="shared" ca="1" si="129"/>
        <v>6.1579481970543345E-3</v>
      </c>
      <c r="BV189" s="2" vm="6529">
        <f ca="1"/>
        <v>136.08000000000001</v>
      </c>
      <c r="BW189" s="2">
        <f t="shared" ca="1" si="130"/>
        <v>1.1897679952409449E-2</v>
      </c>
      <c r="BX189" s="2" vm="6530">
        <f ca="1"/>
        <v>249.99</v>
      </c>
      <c r="BY189" s="2">
        <f t="shared" ca="1" si="131"/>
        <v>8.3087968378171354E-3</v>
      </c>
      <c r="BZ189" s="2" vm="4175">
        <f ca="1"/>
        <v>92.85</v>
      </c>
      <c r="CA189" s="2">
        <f t="shared" ca="1" si="132"/>
        <v>1.0117493472584775E-2</v>
      </c>
      <c r="CB189" s="2" vm="6531">
        <f ca="1"/>
        <v>29.569199999999999</v>
      </c>
      <c r="CC189" s="2">
        <f t="shared" ca="1" si="133"/>
        <v>1.1604515908313314E-2</v>
      </c>
      <c r="CD189" s="2" t="e" vm="92">
        <f ca="1"/>
        <v>#N/A</v>
      </c>
      <c r="CE189" s="2" t="e" vm="140">
        <f t="shared" ca="1" si="134"/>
        <v>#N/A</v>
      </c>
      <c r="CF189" s="2" vm="902">
        <f ca="1"/>
        <v>22.785</v>
      </c>
      <c r="CG189" s="2">
        <f t="shared" ca="1" si="135"/>
        <v>-6.5789473684213018E-4</v>
      </c>
      <c r="CH189" s="2" vm="94">
        <f ca="1"/>
        <v>58.49</v>
      </c>
      <c r="CI189" s="2">
        <f t="shared" ca="1" si="136"/>
        <v>0</v>
      </c>
      <c r="CJ189" s="2" vm="4786">
        <f ca="1"/>
        <v>59.29</v>
      </c>
      <c r="CK189" s="2">
        <f t="shared" ca="1" si="137"/>
        <v>-5.0573162508430781E-4</v>
      </c>
      <c r="CL189" s="2" vm="2823">
        <f ca="1"/>
        <v>55.36</v>
      </c>
      <c r="CM189" s="2">
        <f t="shared" ca="1" si="138"/>
        <v>9.0399566082077667E-4</v>
      </c>
      <c r="CN189" s="2" vm="1345">
        <f ca="1"/>
        <v>29</v>
      </c>
      <c r="CO189" s="2">
        <f t="shared" ca="1" si="139"/>
        <v>0</v>
      </c>
      <c r="CP189" s="2" vm="6532">
        <f ca="1"/>
        <v>21.676600000000001</v>
      </c>
      <c r="CQ189" s="2">
        <f t="shared" ca="1" si="140"/>
        <v>3.93206648851184E-3</v>
      </c>
    </row>
    <row r="190" spans="1:95" x14ac:dyDescent="0.2">
      <c r="A190" s="7" vm="6533">
        <f ca="1"/>
        <v>45849</v>
      </c>
      <c r="B190" s="2" vm="6534">
        <f ca="1"/>
        <v>211.16</v>
      </c>
      <c r="C190" s="2">
        <f t="shared" ca="1" si="94"/>
        <v>-5.8848453462642999E-3</v>
      </c>
      <c r="D190" s="2" vm="6535">
        <f ca="1"/>
        <v>164.92</v>
      </c>
      <c r="E190" s="2">
        <f t="shared" ca="1" si="95"/>
        <v>4.9969530773917928E-3</v>
      </c>
      <c r="F190" s="2" vm="6536">
        <f ca="1"/>
        <v>503.32</v>
      </c>
      <c r="G190" s="2">
        <f t="shared" ca="1" si="96"/>
        <v>3.6691393475312573E-3</v>
      </c>
      <c r="H190" s="2" vm="6537">
        <f ca="1"/>
        <v>717.51</v>
      </c>
      <c r="I190" s="2">
        <f t="shared" ca="1" si="97"/>
        <v>-1.3379352070843212E-2</v>
      </c>
      <c r="J190" s="2" vm="6538">
        <f ca="1"/>
        <v>180.19</v>
      </c>
      <c r="K190" s="2">
        <f t="shared" ca="1" si="98"/>
        <v>1.4469091318545169E-2</v>
      </c>
      <c r="L190" s="2" vm="6539">
        <f ca="1"/>
        <v>623.62</v>
      </c>
      <c r="M190" s="2">
        <f t="shared" ca="1" si="99"/>
        <v>-3.5153878111917887E-3</v>
      </c>
      <c r="N190" s="2" vm="6540">
        <f ca="1"/>
        <v>85.79</v>
      </c>
      <c r="O190" s="2">
        <f t="shared" ca="1" si="100"/>
        <v>-1.3794689044717654E-2</v>
      </c>
      <c r="P190" s="2" vm="6541">
        <f ca="1"/>
        <v>309.14</v>
      </c>
      <c r="Q190" s="2">
        <f t="shared" ca="1" si="101"/>
        <v>9.6015676028739314E-3</v>
      </c>
      <c r="R190" s="2" vm="6542">
        <f ca="1"/>
        <v>77.290000000000006</v>
      </c>
      <c r="S190" s="2">
        <f t="shared" ca="1" si="102"/>
        <v>2.5202281469691015E-2</v>
      </c>
      <c r="T190" s="2" vm="6453">
        <f ca="1"/>
        <v>94.32</v>
      </c>
      <c r="U190" s="2">
        <f t="shared" ca="1" si="103"/>
        <v>-4.6433094132546631E-3</v>
      </c>
      <c r="V190" s="2" vm="6543">
        <f ca="1"/>
        <v>46.792000000000002</v>
      </c>
      <c r="W190" s="2">
        <f t="shared" ca="1" si="104"/>
        <v>-4.9548112706006807E-3</v>
      </c>
      <c r="X190" s="2" vm="6544">
        <f ca="1"/>
        <v>147.18</v>
      </c>
      <c r="Y190" s="2">
        <f t="shared" ca="1" si="105"/>
        <v>-6.9495985426084681E-3</v>
      </c>
      <c r="Z190" s="2" vm="3609">
        <f ca="1"/>
        <v>89.13</v>
      </c>
      <c r="AA190" s="2">
        <f t="shared" ca="1" si="106"/>
        <v>4.5080581539500893E-3</v>
      </c>
      <c r="AB190" s="2" vm="1196">
        <f ca="1"/>
        <v>13.89</v>
      </c>
      <c r="AC190" s="2">
        <f t="shared" ca="1" si="107"/>
        <v>2.2827687776141421E-2</v>
      </c>
      <c r="AD190" s="2" vm="6545">
        <f ca="1"/>
        <v>4.78</v>
      </c>
      <c r="AE190" s="2">
        <f t="shared" ca="1" si="108"/>
        <v>-1.0351966873705968E-2</v>
      </c>
      <c r="AF190" s="2" vm="4530">
        <f ca="1"/>
        <v>35.03</v>
      </c>
      <c r="AG190" s="2">
        <f t="shared" ca="1" si="109"/>
        <v>3.792592592592596E-2</v>
      </c>
      <c r="AH190" s="2" vm="2413">
        <f ca="1"/>
        <v>25.77</v>
      </c>
      <c r="AI190" s="2">
        <f t="shared" ca="1" si="110"/>
        <v>0</v>
      </c>
      <c r="AJ190" s="2" vm="5455">
        <f ca="1"/>
        <v>4.5</v>
      </c>
      <c r="AK190" s="2">
        <f t="shared" ca="1" si="111"/>
        <v>-1.746724890829696E-2</v>
      </c>
      <c r="AL190" s="2" vm="4692">
        <f ca="1"/>
        <v>66.48</v>
      </c>
      <c r="AM190" s="2">
        <f t="shared" ca="1" si="112"/>
        <v>9.873917666717389E-3</v>
      </c>
      <c r="AN190" s="2" vm="6546">
        <f ca="1"/>
        <v>128.19999999999999</v>
      </c>
      <c r="AO190" s="2">
        <f t="shared" ca="1" si="113"/>
        <v>3.3204384268213975E-2</v>
      </c>
      <c r="AP190" s="2" vm="2481">
        <f ca="1"/>
        <v>26.5</v>
      </c>
      <c r="AQ190" s="2">
        <f t="shared" ca="1" si="114"/>
        <v>-1.5071590052750244E-3</v>
      </c>
      <c r="AR190" s="2" vm="6547">
        <f ca="1"/>
        <v>50.945</v>
      </c>
      <c r="AS190" s="2">
        <f t="shared" ca="1" si="115"/>
        <v>2.9452189279404221E-4</v>
      </c>
      <c r="AT190" s="2" vm="74">
        <f ca="1"/>
        <v>29.14</v>
      </c>
      <c r="AU190" s="2">
        <f t="shared" ca="1" si="116"/>
        <v>-3.4305317324178426E-4</v>
      </c>
      <c r="AV190" s="2" vm="6548">
        <f ca="1"/>
        <v>25.88</v>
      </c>
      <c r="AW190" s="2">
        <f t="shared" ca="1" si="117"/>
        <v>-1.29672006102212E-2</v>
      </c>
      <c r="AX190" s="2" vm="1786">
        <f ca="1"/>
        <v>91.56</v>
      </c>
      <c r="AY190" s="2">
        <f t="shared" ca="1" si="118"/>
        <v>2.184837229625958E-4</v>
      </c>
      <c r="AZ190" s="2" vm="6549">
        <f ca="1"/>
        <v>475.86</v>
      </c>
      <c r="BA190" s="2">
        <f t="shared" ca="1" si="119"/>
        <v>-5.0389947101009223E-3</v>
      </c>
      <c r="BB190" s="2" vm="6550">
        <f ca="1"/>
        <v>286.86</v>
      </c>
      <c r="BC190" s="2">
        <f t="shared" ca="1" si="120"/>
        <v>-4.6150109302889901E-3</v>
      </c>
      <c r="BD190" s="2" vm="2906">
        <f ca="1"/>
        <v>46.73</v>
      </c>
      <c r="BE190" s="2">
        <f t="shared" ca="1" si="121"/>
        <v>-5.1096444539067915E-3</v>
      </c>
      <c r="BF190" s="2" vm="4039">
        <f ca="1"/>
        <v>115.43</v>
      </c>
      <c r="BG190" s="2">
        <f t="shared" ca="1" si="122"/>
        <v>4.350474201687984E-3</v>
      </c>
      <c r="BH190" s="2" vm="6551">
        <f ca="1"/>
        <v>155.31</v>
      </c>
      <c r="BI190" s="2">
        <f t="shared" ca="1" si="123"/>
        <v>7.394434714925179E-3</v>
      </c>
      <c r="BJ190" s="2" vm="2638">
        <f ca="1"/>
        <v>156.9</v>
      </c>
      <c r="BK190" s="2">
        <f t="shared" ca="1" si="124"/>
        <v>-5.0098294121376881E-3</v>
      </c>
      <c r="BL190" s="2" vm="6552">
        <f ca="1"/>
        <v>69.87</v>
      </c>
      <c r="BM190" s="2">
        <f t="shared" ca="1" si="125"/>
        <v>1.4332807797048665E-3</v>
      </c>
      <c r="BN190" s="2" vm="6553">
        <f ca="1"/>
        <v>299.91000000000003</v>
      </c>
      <c r="BO190" s="2">
        <f t="shared" ca="1" si="126"/>
        <v>5.0940044907672464E-3</v>
      </c>
      <c r="BP190" s="2" vm="6176">
        <f ca="1"/>
        <v>119.87</v>
      </c>
      <c r="BQ190" s="2">
        <f t="shared" ca="1" si="127"/>
        <v>-1.3902599539322127E-2</v>
      </c>
      <c r="BR190" s="2" vm="6554">
        <f ca="1"/>
        <v>1245.1099999999999</v>
      </c>
      <c r="BS190" s="2">
        <f t="shared" ca="1" si="128"/>
        <v>-4.3819317282242929E-3</v>
      </c>
      <c r="BT190" s="2" vm="6555">
        <f ca="1"/>
        <v>157.05000000000001</v>
      </c>
      <c r="BU190" s="2">
        <f t="shared" ca="1" si="129"/>
        <v>-9.0857467348097517E-3</v>
      </c>
      <c r="BV190" s="2" vm="6348">
        <f ca="1"/>
        <v>135.26</v>
      </c>
      <c r="BW190" s="2">
        <f t="shared" ca="1" si="130"/>
        <v>-6.0258671369784059E-3</v>
      </c>
      <c r="BX190" s="2" vm="6556">
        <f ca="1"/>
        <v>252.23</v>
      </c>
      <c r="BY190" s="2">
        <f t="shared" ca="1" si="131"/>
        <v>8.9603584143364955E-3</v>
      </c>
      <c r="BZ190" s="2" vm="1505">
        <f ca="1"/>
        <v>93.01</v>
      </c>
      <c r="CA190" s="2">
        <f t="shared" ca="1" si="132"/>
        <v>1.7232094776522436E-3</v>
      </c>
      <c r="CB190" s="2" vm="6557">
        <f ca="1"/>
        <v>29.68</v>
      </c>
      <c r="CC190" s="2">
        <f t="shared" ca="1" si="133"/>
        <v>3.7471422967141864E-3</v>
      </c>
      <c r="CD190" s="2" t="e" vm="92">
        <f ca="1"/>
        <v>#N/A</v>
      </c>
      <c r="CE190" s="2" t="e" vm="140">
        <f t="shared" ca="1" si="134"/>
        <v>#N/A</v>
      </c>
      <c r="CF190" s="2" vm="6558">
        <f ca="1"/>
        <v>22.71</v>
      </c>
      <c r="CG190" s="2">
        <f t="shared" ca="1" si="135"/>
        <v>-3.291639236339666E-3</v>
      </c>
      <c r="CH190" s="2" vm="94">
        <f ca="1"/>
        <v>58.49</v>
      </c>
      <c r="CI190" s="2">
        <f t="shared" ca="1" si="136"/>
        <v>0</v>
      </c>
      <c r="CJ190" s="2" vm="4821">
        <f ca="1"/>
        <v>59.15</v>
      </c>
      <c r="CK190" s="2">
        <f t="shared" ca="1" si="137"/>
        <v>-2.3612750885478252E-3</v>
      </c>
      <c r="CL190" s="2" vm="6559">
        <f ca="1"/>
        <v>54.66</v>
      </c>
      <c r="CM190" s="2">
        <f t="shared" ca="1" si="138"/>
        <v>-1.2644508670520282E-2</v>
      </c>
      <c r="CN190" s="2" vm="860">
        <f ca="1"/>
        <v>28.87</v>
      </c>
      <c r="CO190" s="2">
        <f t="shared" ca="1" si="139"/>
        <v>-4.4827586206896211E-3</v>
      </c>
      <c r="CP190" s="2" vm="6560">
        <f ca="1"/>
        <v>21.6022</v>
      </c>
      <c r="CQ190" s="2">
        <f t="shared" ca="1" si="140"/>
        <v>-3.4322725888746705E-3</v>
      </c>
    </row>
    <row r="191" spans="1:95" x14ac:dyDescent="0.2">
      <c r="A191" s="7" vm="6561">
        <f ca="1"/>
        <v>45852</v>
      </c>
      <c r="B191" s="2" vm="6562">
        <f ca="1"/>
        <v>208.62</v>
      </c>
      <c r="C191" s="2">
        <f t="shared" ca="1" si="94"/>
        <v>-1.202879333207043E-2</v>
      </c>
      <c r="D191" s="2" vm="408">
        <f ca="1"/>
        <v>164.07</v>
      </c>
      <c r="E191" s="2">
        <f t="shared" ca="1" si="95"/>
        <v>-5.1540140674265966E-3</v>
      </c>
      <c r="F191" s="2" vm="6563">
        <f ca="1"/>
        <v>503.02</v>
      </c>
      <c r="G191" s="2">
        <f t="shared" ca="1" si="96"/>
        <v>-5.9604227926569853E-4</v>
      </c>
      <c r="H191" s="2" vm="6564">
        <f ca="1"/>
        <v>720.92</v>
      </c>
      <c r="I191" s="2">
        <f t="shared" ca="1" si="97"/>
        <v>4.7525470028291841E-3</v>
      </c>
      <c r="J191" s="2" vm="6565">
        <f ca="1"/>
        <v>181.56</v>
      </c>
      <c r="K191" s="2">
        <f t="shared" ca="1" si="98"/>
        <v>7.6030856318330901E-3</v>
      </c>
      <c r="L191" s="2" vm="6566">
        <f ca="1"/>
        <v>624.80999999999995</v>
      </c>
      <c r="M191" s="2">
        <f t="shared" ca="1" si="99"/>
        <v>1.9082133350436818E-3</v>
      </c>
      <c r="N191" s="2" vm="5395">
        <f ca="1"/>
        <v>85.61</v>
      </c>
      <c r="O191" s="2">
        <f t="shared" ca="1" si="100"/>
        <v>-2.0981466371372747E-3</v>
      </c>
      <c r="P191" s="2" vm="6567">
        <f ca="1"/>
        <v>308.01</v>
      </c>
      <c r="Q191" s="2">
        <f t="shared" ca="1" si="101"/>
        <v>-3.6553018050074254E-3</v>
      </c>
      <c r="R191" s="2" vm="6568">
        <f ca="1"/>
        <v>75.62</v>
      </c>
      <c r="S191" s="2">
        <f t="shared" ca="1" si="102"/>
        <v>-2.1606934920429571E-2</v>
      </c>
      <c r="T191" s="2" vm="1041">
        <f ca="1"/>
        <v>94.28</v>
      </c>
      <c r="U191" s="2">
        <f t="shared" ca="1" si="103"/>
        <v>-4.2408821034766798E-4</v>
      </c>
      <c r="V191" s="2" vm="3344">
        <f ca="1"/>
        <v>46.87</v>
      </c>
      <c r="W191" s="2">
        <f t="shared" ca="1" si="104"/>
        <v>1.666951615660708E-3</v>
      </c>
      <c r="X191" s="2" vm="6569">
        <f ca="1"/>
        <v>148.53</v>
      </c>
      <c r="Y191" s="2">
        <f t="shared" ca="1" si="105"/>
        <v>9.172441907867878E-3</v>
      </c>
      <c r="Z191" s="2" vm="6570">
        <f ca="1"/>
        <v>88.15</v>
      </c>
      <c r="AA191" s="2">
        <f t="shared" ca="1" si="106"/>
        <v>-1.0995175586222258E-2</v>
      </c>
      <c r="AB191" s="2" vm="6571">
        <f ca="1"/>
        <v>13.68</v>
      </c>
      <c r="AC191" s="2">
        <f t="shared" ca="1" si="107"/>
        <v>-1.511879049676032E-2</v>
      </c>
      <c r="AD191" s="2" vm="2838">
        <f ca="1"/>
        <v>4.5</v>
      </c>
      <c r="AE191" s="2">
        <f t="shared" ca="1" si="108"/>
        <v>-5.8577405857740635E-2</v>
      </c>
      <c r="AF191" s="2" vm="6572">
        <f ca="1"/>
        <v>34.630000000000003</v>
      </c>
      <c r="AG191" s="2">
        <f t="shared" ca="1" si="109"/>
        <v>-1.1418783899514661E-2</v>
      </c>
      <c r="AH191" s="2" vm="6548">
        <f ca="1"/>
        <v>25.88</v>
      </c>
      <c r="AI191" s="2">
        <f t="shared" ca="1" si="110"/>
        <v>4.2685292976328846E-3</v>
      </c>
      <c r="AJ191" s="2" vm="5966">
        <f ca="1"/>
        <v>4.49</v>
      </c>
      <c r="AK191" s="2">
        <f t="shared" ca="1" si="111"/>
        <v>-2.2222222222221749E-3</v>
      </c>
      <c r="AL191" s="2" vm="6573">
        <f ca="1"/>
        <v>66.23</v>
      </c>
      <c r="AM191" s="2">
        <f t="shared" ca="1" si="112"/>
        <v>-3.760529482551143E-3</v>
      </c>
      <c r="AN191" s="2" vm="6574">
        <f ca="1"/>
        <v>124.28</v>
      </c>
      <c r="AO191" s="2">
        <f t="shared" ca="1" si="113"/>
        <v>-3.0577223088923463E-2</v>
      </c>
      <c r="AP191" s="2" vm="338">
        <f ca="1"/>
        <v>26.52</v>
      </c>
      <c r="AQ191" s="2">
        <f t="shared" ca="1" si="114"/>
        <v>7.5471698113205939E-4</v>
      </c>
      <c r="AR191" s="2" vm="6547">
        <f ca="1"/>
        <v>50.945</v>
      </c>
      <c r="AS191" s="2">
        <f t="shared" ca="1" si="115"/>
        <v>0</v>
      </c>
      <c r="AT191" s="2" vm="74">
        <f ca="1"/>
        <v>29.14</v>
      </c>
      <c r="AU191" s="2">
        <f t="shared" ca="1" si="116"/>
        <v>0</v>
      </c>
      <c r="AV191" s="2" vm="2261">
        <f ca="1"/>
        <v>25.85</v>
      </c>
      <c r="AW191" s="2">
        <f t="shared" ca="1" si="117"/>
        <v>-1.1591962905717769E-3</v>
      </c>
      <c r="AX191" s="2" vm="1049">
        <f ca="1"/>
        <v>91.57</v>
      </c>
      <c r="AY191" s="2">
        <f t="shared" ca="1" si="118"/>
        <v>1.0921799912615667E-4</v>
      </c>
      <c r="AZ191" s="2" vm="6575">
        <f ca="1"/>
        <v>476.31</v>
      </c>
      <c r="BA191" s="2">
        <f t="shared" ca="1" si="119"/>
        <v>9.4565628546208682E-4</v>
      </c>
      <c r="BB191" s="2" vm="3062">
        <f ca="1"/>
        <v>288.7</v>
      </c>
      <c r="BC191" s="2">
        <f t="shared" ca="1" si="120"/>
        <v>6.4142787422435156E-3</v>
      </c>
      <c r="BD191" s="2" vm="6576">
        <f ca="1"/>
        <v>47.07</v>
      </c>
      <c r="BE191" s="2">
        <f t="shared" ca="1" si="121"/>
        <v>7.2758399315215796E-3</v>
      </c>
      <c r="BF191" s="2" vm="6577">
        <f ca="1"/>
        <v>113.92</v>
      </c>
      <c r="BG191" s="2">
        <f t="shared" ca="1" si="122"/>
        <v>-1.3081521268301179E-2</v>
      </c>
      <c r="BH191" s="2" vm="6578">
        <f ca="1"/>
        <v>151.65</v>
      </c>
      <c r="BI191" s="2">
        <f t="shared" ca="1" si="123"/>
        <v>-2.3565771682441547E-2</v>
      </c>
      <c r="BJ191" s="2" vm="6579">
        <f ca="1"/>
        <v>156.82</v>
      </c>
      <c r="BK191" s="2">
        <f t="shared" ca="1" si="124"/>
        <v>-5.0987890376043656E-4</v>
      </c>
      <c r="BL191" s="2" vm="6248">
        <f ca="1"/>
        <v>69.47</v>
      </c>
      <c r="BM191" s="2">
        <f t="shared" ca="1" si="125"/>
        <v>-5.7249177043080818E-3</v>
      </c>
      <c r="BN191" s="2" vm="6580">
        <f ca="1"/>
        <v>301.88</v>
      </c>
      <c r="BO191" s="2">
        <f t="shared" ca="1" si="126"/>
        <v>6.5686372578439211E-3</v>
      </c>
      <c r="BP191" s="2" vm="1446">
        <f ca="1"/>
        <v>119.97</v>
      </c>
      <c r="BQ191" s="2">
        <f t="shared" ca="1" si="127"/>
        <v>8.3423709018098197E-4</v>
      </c>
      <c r="BR191" s="2" vm="6581">
        <f ca="1"/>
        <v>1261.95</v>
      </c>
      <c r="BS191" s="2">
        <f t="shared" ca="1" si="128"/>
        <v>1.3524909445751899E-2</v>
      </c>
      <c r="BT191" s="2" vm="6582">
        <f ca="1"/>
        <v>153.76</v>
      </c>
      <c r="BU191" s="2">
        <f t="shared" ca="1" si="129"/>
        <v>-2.0948742438713915E-2</v>
      </c>
      <c r="BV191" s="2" vm="5442">
        <f ca="1"/>
        <v>135.57</v>
      </c>
      <c r="BW191" s="2">
        <f t="shared" ca="1" si="130"/>
        <v>2.2918823007541203E-3</v>
      </c>
      <c r="BX191" s="2" vm="6583">
        <f ca="1"/>
        <v>244.61</v>
      </c>
      <c r="BY191" s="2">
        <f t="shared" ca="1" si="131"/>
        <v>-3.0210522142488906E-2</v>
      </c>
      <c r="BZ191" s="2" vm="581">
        <f ca="1"/>
        <v>92.14</v>
      </c>
      <c r="CA191" s="2">
        <f t="shared" ca="1" si="132"/>
        <v>-9.3538329211913188E-3</v>
      </c>
      <c r="CB191" s="2" vm="6584">
        <f ca="1"/>
        <v>29.310099999999998</v>
      </c>
      <c r="CC191" s="2">
        <f t="shared" ca="1" si="133"/>
        <v>-1.2462938005390877E-2</v>
      </c>
      <c r="CD191" s="2" t="e" vm="92">
        <f ca="1"/>
        <v>#N/A</v>
      </c>
      <c r="CE191" s="2" t="e" vm="140">
        <f t="shared" ca="1" si="134"/>
        <v>#N/A</v>
      </c>
      <c r="CF191" s="2" vm="6472">
        <f ca="1"/>
        <v>22.704999999999998</v>
      </c>
      <c r="CG191" s="2">
        <f t="shared" ca="1" si="135"/>
        <v>-2.2016732716876079E-4</v>
      </c>
      <c r="CH191" s="2" vm="6585">
        <f ca="1"/>
        <v>58.484999999999999</v>
      </c>
      <c r="CI191" s="2">
        <f t="shared" ca="1" si="136"/>
        <v>-8.5484698239058948E-5</v>
      </c>
      <c r="CJ191" s="2" vm="4821">
        <f ca="1"/>
        <v>59.15</v>
      </c>
      <c r="CK191" s="2">
        <f t="shared" ca="1" si="137"/>
        <v>0</v>
      </c>
      <c r="CL191" s="2" vm="2982">
        <f ca="1"/>
        <v>54.58</v>
      </c>
      <c r="CM191" s="2">
        <f t="shared" ca="1" si="138"/>
        <v>-1.4635931211122997E-3</v>
      </c>
      <c r="CN191" s="2" vm="860">
        <f ca="1"/>
        <v>28.87</v>
      </c>
      <c r="CO191" s="2">
        <f t="shared" ca="1" si="139"/>
        <v>0</v>
      </c>
      <c r="CP191" s="2" vm="6586">
        <f ca="1"/>
        <v>21.682300000000001</v>
      </c>
      <c r="CQ191" s="2">
        <f t="shared" ca="1" si="140"/>
        <v>3.7079556711817137E-3</v>
      </c>
    </row>
    <row r="192" spans="1:95" x14ac:dyDescent="0.2">
      <c r="A192" s="7" vm="6587">
        <f ca="1"/>
        <v>45853</v>
      </c>
      <c r="B192" s="2" vm="6588">
        <f ca="1"/>
        <v>209.11</v>
      </c>
      <c r="C192" s="2">
        <f t="shared" ca="1" si="94"/>
        <v>2.3487680951011845E-3</v>
      </c>
      <c r="D192" s="2" vm="6589">
        <f ca="1"/>
        <v>170.7</v>
      </c>
      <c r="E192" s="2">
        <f t="shared" ca="1" si="95"/>
        <v>4.0409581276284488E-2</v>
      </c>
      <c r="F192" s="2" vm="6590">
        <f ca="1"/>
        <v>505.82</v>
      </c>
      <c r="G192" s="2">
        <f t="shared" ca="1" si="96"/>
        <v>5.5663790704147181E-3</v>
      </c>
      <c r="H192" s="2" vm="6591">
        <f ca="1"/>
        <v>710.39</v>
      </c>
      <c r="I192" s="2">
        <f t="shared" ca="1" si="97"/>
        <v>-1.4606336347999741E-2</v>
      </c>
      <c r="J192" s="2" vm="6592">
        <f ca="1"/>
        <v>182</v>
      </c>
      <c r="K192" s="2">
        <f t="shared" ca="1" si="98"/>
        <v>2.4234412866269979E-3</v>
      </c>
      <c r="L192" s="2" vm="6593">
        <f ca="1"/>
        <v>622.14</v>
      </c>
      <c r="M192" s="2">
        <f t="shared" ca="1" si="99"/>
        <v>-4.2732990829211425E-3</v>
      </c>
      <c r="N192" s="2" vm="4710">
        <f ca="1"/>
        <v>85.01</v>
      </c>
      <c r="O192" s="2">
        <f t="shared" ca="1" si="100"/>
        <v>-7.0085270412334347E-3</v>
      </c>
      <c r="P192" s="2" vm="6594">
        <f ca="1"/>
        <v>306.73</v>
      </c>
      <c r="Q192" s="2">
        <f t="shared" ca="1" si="101"/>
        <v>-4.1557092302197092E-3</v>
      </c>
      <c r="R192" s="2" vm="6595">
        <f ca="1"/>
        <v>75.260000000000005</v>
      </c>
      <c r="S192" s="2">
        <f t="shared" ca="1" si="102"/>
        <v>-4.7606453319227636E-3</v>
      </c>
      <c r="T192" s="2" vm="3541">
        <f ca="1"/>
        <v>93.91</v>
      </c>
      <c r="U192" s="2">
        <f t="shared" ca="1" si="103"/>
        <v>-3.9244802715316558E-3</v>
      </c>
      <c r="V192" s="2" vm="6596">
        <f ca="1"/>
        <v>46.695</v>
      </c>
      <c r="W192" s="2">
        <f t="shared" ca="1" si="104"/>
        <v>-3.7337315980370636E-3</v>
      </c>
      <c r="X192" s="2" vm="6597">
        <f ca="1"/>
        <v>145.72</v>
      </c>
      <c r="Y192" s="2">
        <f t="shared" ca="1" si="105"/>
        <v>-1.8918736955497222E-2</v>
      </c>
      <c r="Z192" s="2" vm="2876">
        <f ca="1"/>
        <v>86.88</v>
      </c>
      <c r="AA192" s="2">
        <f t="shared" ca="1" si="106"/>
        <v>-1.4407260351673399E-2</v>
      </c>
      <c r="AB192" s="2" vm="6598">
        <f ca="1"/>
        <v>13.63</v>
      </c>
      <c r="AC192" s="2">
        <f t="shared" ca="1" si="107"/>
        <v>-3.6549707602338403E-3</v>
      </c>
      <c r="AD192" s="2" vm="2591">
        <f ca="1"/>
        <v>4.3499999999999996</v>
      </c>
      <c r="AE192" s="2">
        <f t="shared" ca="1" si="108"/>
        <v>-3.3333333333333409E-2</v>
      </c>
      <c r="AF192" s="2" vm="6599">
        <f ca="1"/>
        <v>34.26</v>
      </c>
      <c r="AG192" s="2">
        <f t="shared" ca="1" si="109"/>
        <v>-1.0684377707190428E-2</v>
      </c>
      <c r="AH192" s="2" vm="6600">
        <f ca="1"/>
        <v>25.62</v>
      </c>
      <c r="AI192" s="2">
        <f t="shared" ca="1" si="110"/>
        <v>-1.0046367851622799E-2</v>
      </c>
      <c r="AJ192" s="2" vm="6601">
        <f ca="1"/>
        <v>4.46</v>
      </c>
      <c r="AK192" s="2">
        <f t="shared" ca="1" si="111"/>
        <v>-6.6815144766147541E-3</v>
      </c>
      <c r="AL192" s="2" vm="6602">
        <f ca="1"/>
        <v>65.95</v>
      </c>
      <c r="AM192" s="2">
        <f t="shared" ca="1" si="112"/>
        <v>-4.2276913785293845E-3</v>
      </c>
      <c r="AN192" s="2" vm="6603">
        <f ca="1"/>
        <v>124.23</v>
      </c>
      <c r="AO192" s="2">
        <f t="shared" ca="1" si="113"/>
        <v>-4.0231734792401964E-4</v>
      </c>
      <c r="AP192" s="2" vm="1625">
        <f ca="1"/>
        <v>26.44</v>
      </c>
      <c r="AQ192" s="2">
        <f t="shared" ca="1" si="114"/>
        <v>-3.0165912518853055E-3</v>
      </c>
      <c r="AR192" s="2" vm="6604">
        <f ca="1"/>
        <v>50.954999999999998</v>
      </c>
      <c r="AS192" s="2">
        <f t="shared" ca="1" si="115"/>
        <v>1.9629011679258044E-4</v>
      </c>
      <c r="AT192" s="2" vm="759">
        <f ca="1"/>
        <v>29.12</v>
      </c>
      <c r="AU192" s="2">
        <f t="shared" ca="1" si="116"/>
        <v>-6.8634179821549666E-4</v>
      </c>
      <c r="AV192" s="2" vm="334">
        <f ca="1"/>
        <v>25.67</v>
      </c>
      <c r="AW192" s="2">
        <f t="shared" ca="1" si="117"/>
        <v>-6.9632495164409945E-3</v>
      </c>
      <c r="AX192" s="2" vm="1008">
        <f ca="1"/>
        <v>91.58</v>
      </c>
      <c r="AY192" s="2">
        <f t="shared" ca="1" si="118"/>
        <v>1.0920607185765116E-4</v>
      </c>
      <c r="AZ192" s="2" vm="6605">
        <f ca="1"/>
        <v>470.13</v>
      </c>
      <c r="BA192" s="2">
        <f t="shared" ca="1" si="119"/>
        <v>-1.2974743339421819E-2</v>
      </c>
      <c r="BB192" s="2" vm="6606">
        <f ca="1"/>
        <v>286.55</v>
      </c>
      <c r="BC192" s="2">
        <f t="shared" ca="1" si="120"/>
        <v>-7.4471770003463021E-3</v>
      </c>
      <c r="BD192" s="2" vm="6607">
        <f ca="1"/>
        <v>46.15</v>
      </c>
      <c r="BE192" s="2">
        <f t="shared" ca="1" si="121"/>
        <v>-1.9545357977480384E-2</v>
      </c>
      <c r="BF192" s="2" vm="6608">
        <f ca="1"/>
        <v>112.91</v>
      </c>
      <c r="BG192" s="2">
        <f t="shared" ca="1" si="122"/>
        <v>-8.8658707865168981E-3</v>
      </c>
      <c r="BH192" s="2" vm="3066">
        <f ca="1"/>
        <v>150.69</v>
      </c>
      <c r="BI192" s="2">
        <f t="shared" ca="1" si="123"/>
        <v>-6.33036597428294E-3</v>
      </c>
      <c r="BJ192" s="2" vm="1411">
        <f ca="1"/>
        <v>155.16999999999999</v>
      </c>
      <c r="BK192" s="2">
        <f t="shared" ca="1" si="124"/>
        <v>-1.052161714067087E-2</v>
      </c>
      <c r="BL192" s="2" vm="6609">
        <f ca="1"/>
        <v>69.36</v>
      </c>
      <c r="BM192" s="2">
        <f t="shared" ca="1" si="125"/>
        <v>-1.5834173024326967E-3</v>
      </c>
      <c r="BN192" s="2" vm="2786">
        <f ca="1"/>
        <v>299.62</v>
      </c>
      <c r="BO192" s="2">
        <f t="shared" ca="1" si="126"/>
        <v>-7.4864184444149691E-3</v>
      </c>
      <c r="BP192" s="2" vm="6610">
        <f ca="1"/>
        <v>118.98</v>
      </c>
      <c r="BQ192" s="2">
        <f t="shared" ca="1" si="127"/>
        <v>-8.2520630157538952E-3</v>
      </c>
      <c r="BR192" s="2" vm="6611">
        <f ca="1"/>
        <v>1260.27</v>
      </c>
      <c r="BS192" s="2">
        <f t="shared" ca="1" si="128"/>
        <v>-1.3312730298348299E-3</v>
      </c>
      <c r="BT192" s="2" vm="6612">
        <f ca="1"/>
        <v>152.68</v>
      </c>
      <c r="BU192" s="2">
        <f t="shared" ca="1" si="129"/>
        <v>-7.023933402705412E-3</v>
      </c>
      <c r="BV192" s="2" vm="6613">
        <f ca="1"/>
        <v>133.81</v>
      </c>
      <c r="BW192" s="2">
        <f t="shared" ca="1" si="130"/>
        <v>-1.2982223205723913E-2</v>
      </c>
      <c r="BX192" s="2" vm="6614">
        <f ca="1"/>
        <v>236.82</v>
      </c>
      <c r="BY192" s="2">
        <f t="shared" ca="1" si="131"/>
        <v>-3.1846612975757409E-2</v>
      </c>
      <c r="BZ192" s="2" vm="5947">
        <f ca="1"/>
        <v>90.49</v>
      </c>
      <c r="CA192" s="2">
        <f t="shared" ca="1" si="132"/>
        <v>-1.7907532016496697E-2</v>
      </c>
      <c r="CB192" s="2" vm="4578">
        <f ca="1"/>
        <v>28.62</v>
      </c>
      <c r="CC192" s="2">
        <f t="shared" ca="1" si="133"/>
        <v>-2.3544784903497346E-2</v>
      </c>
      <c r="CD192" s="2" t="e" vm="92">
        <f ca="1"/>
        <v>#N/A</v>
      </c>
      <c r="CE192" s="2" t="e" vm="140">
        <f t="shared" ca="1" si="134"/>
        <v>#N/A</v>
      </c>
      <c r="CF192" s="2" vm="6615">
        <f ca="1"/>
        <v>22.635000000000002</v>
      </c>
      <c r="CG192" s="2">
        <f t="shared" ca="1" si="135"/>
        <v>-3.0830213609335713E-3</v>
      </c>
      <c r="CH192" s="2" vm="1941">
        <f ca="1"/>
        <v>58.43</v>
      </c>
      <c r="CI192" s="2">
        <f t="shared" ca="1" si="136"/>
        <v>-9.4041207147131255E-4</v>
      </c>
      <c r="CJ192" s="2" vm="230">
        <f ca="1"/>
        <v>58.97</v>
      </c>
      <c r="CK192" s="2">
        <f t="shared" ca="1" si="137"/>
        <v>-3.0431107354184231E-3</v>
      </c>
      <c r="CL192" s="2" vm="550">
        <f ca="1"/>
        <v>54.21</v>
      </c>
      <c r="CM192" s="2">
        <f t="shared" ca="1" si="138"/>
        <v>-6.7790399413704188E-3</v>
      </c>
      <c r="CN192" s="2" vm="2790">
        <f ca="1"/>
        <v>28.77</v>
      </c>
      <c r="CO192" s="2">
        <f t="shared" ca="1" si="139"/>
        <v>-3.4638032559751097E-3</v>
      </c>
      <c r="CP192" s="2" vm="4222">
        <f ca="1"/>
        <v>21.439599999999999</v>
      </c>
      <c r="CQ192" s="2">
        <f t="shared" ca="1" si="140"/>
        <v>-1.1193461948225179E-2</v>
      </c>
    </row>
    <row r="193" spans="1:95" x14ac:dyDescent="0.2">
      <c r="A193" s="7" vm="6616">
        <f ca="1"/>
        <v>45854</v>
      </c>
      <c r="B193" s="2" vm="6617">
        <f ca="1"/>
        <v>210.16</v>
      </c>
      <c r="C193" s="2">
        <f t="shared" ca="1" si="94"/>
        <v>5.0212806656782689E-3</v>
      </c>
      <c r="D193" s="2" vm="6618">
        <f ca="1"/>
        <v>171.37</v>
      </c>
      <c r="E193" s="2">
        <f t="shared" ca="1" si="95"/>
        <v>3.9250146455771292E-3</v>
      </c>
      <c r="F193" s="2" vm="6619">
        <f ca="1"/>
        <v>505.62</v>
      </c>
      <c r="G193" s="2">
        <f t="shared" ca="1" si="96"/>
        <v>-3.9539757225888386E-4</v>
      </c>
      <c r="H193" s="2" vm="6620">
        <f ca="1"/>
        <v>702.91</v>
      </c>
      <c r="I193" s="2">
        <f t="shared" ca="1" si="97"/>
        <v>-1.0529427497571782E-2</v>
      </c>
      <c r="J193" s="2" vm="6621">
        <f ca="1"/>
        <v>182.97</v>
      </c>
      <c r="K193" s="2">
        <f t="shared" ca="1" si="98"/>
        <v>5.3296703296703231E-3</v>
      </c>
      <c r="L193" s="2" vm="6622">
        <f ca="1"/>
        <v>624.22</v>
      </c>
      <c r="M193" s="2">
        <f t="shared" ca="1" si="99"/>
        <v>3.3432989359308855E-3</v>
      </c>
      <c r="N193" s="2" vm="6623">
        <f ca="1"/>
        <v>85.13</v>
      </c>
      <c r="O193" s="2">
        <f t="shared" ca="1" si="100"/>
        <v>1.4115986354545386E-3</v>
      </c>
      <c r="P193" s="2" vm="6624">
        <f ca="1"/>
        <v>308.26</v>
      </c>
      <c r="Q193" s="2">
        <f t="shared" ca="1" si="101"/>
        <v>4.9881002836369859E-3</v>
      </c>
      <c r="R193" s="2" vm="6392">
        <f ca="1"/>
        <v>75.19</v>
      </c>
      <c r="S193" s="2">
        <f t="shared" ca="1" si="102"/>
        <v>-9.3010895562061369E-4</v>
      </c>
      <c r="T193" s="2" vm="832">
        <f ca="1"/>
        <v>94.17</v>
      </c>
      <c r="U193" s="2">
        <f t="shared" ca="1" si="103"/>
        <v>2.7686082419338212E-3</v>
      </c>
      <c r="V193" s="2" vm="6625">
        <f ca="1"/>
        <v>46.775100000000002</v>
      </c>
      <c r="W193" s="2">
        <f t="shared" ca="1" si="104"/>
        <v>1.715387086411856E-3</v>
      </c>
      <c r="X193" s="2" vm="6626">
        <f ca="1"/>
        <v>152.71</v>
      </c>
      <c r="Y193" s="2">
        <f t="shared" ca="1" si="105"/>
        <v>4.796870710952518E-2</v>
      </c>
      <c r="Z193" s="2" vm="6627">
        <f ca="1"/>
        <v>86.13</v>
      </c>
      <c r="AA193" s="2">
        <f t="shared" ca="1" si="106"/>
        <v>-8.6325966850828734E-3</v>
      </c>
      <c r="AB193" s="2" vm="6628">
        <f ca="1"/>
        <v>13.59</v>
      </c>
      <c r="AC193" s="2">
        <f t="shared" ca="1" si="107"/>
        <v>-2.9347028613353576E-3</v>
      </c>
      <c r="AD193" s="2" vm="6629">
        <f ca="1"/>
        <v>4.41</v>
      </c>
      <c r="AE193" s="2">
        <f t="shared" ca="1" si="108"/>
        <v>1.3793103448275978E-2</v>
      </c>
      <c r="AF193" s="2" vm="6630">
        <f ca="1"/>
        <v>34.409999999999997</v>
      </c>
      <c r="AG193" s="2">
        <f t="shared" ca="1" si="109"/>
        <v>4.3782837127845468E-3</v>
      </c>
      <c r="AH193" s="2" vm="6548">
        <f ca="1"/>
        <v>25.88</v>
      </c>
      <c r="AI193" s="2">
        <f t="shared" ca="1" si="110"/>
        <v>1.0148321623731383E-2</v>
      </c>
      <c r="AJ193" s="2" vm="5423">
        <f ca="1"/>
        <v>4.47</v>
      </c>
      <c r="AK193" s="2">
        <f t="shared" ca="1" si="111"/>
        <v>2.2421524663676653E-3</v>
      </c>
      <c r="AL193" s="2" vm="6631">
        <f ca="1"/>
        <v>66.28</v>
      </c>
      <c r="AM193" s="2">
        <f t="shared" ca="1" si="112"/>
        <v>5.0037907505685866E-3</v>
      </c>
      <c r="AN193" s="2" vm="6632">
        <f ca="1"/>
        <v>129</v>
      </c>
      <c r="AO193" s="2">
        <f t="shared" ca="1" si="113"/>
        <v>3.8396522579087142E-2</v>
      </c>
      <c r="AP193" s="2" vm="1437">
        <f ca="1"/>
        <v>26.53</v>
      </c>
      <c r="AQ193" s="2">
        <f t="shared" ca="1" si="114"/>
        <v>3.4039334341906149E-3</v>
      </c>
      <c r="AR193" s="2" vm="6633">
        <f ca="1"/>
        <v>50.965000000000003</v>
      </c>
      <c r="AS193" s="2">
        <f t="shared" ca="1" si="115"/>
        <v>1.9625159454430608E-4</v>
      </c>
      <c r="AT193" s="2" vm="122">
        <f ca="1"/>
        <v>29.17</v>
      </c>
      <c r="AU193" s="2">
        <f t="shared" ca="1" si="116"/>
        <v>1.7170329670329913E-3</v>
      </c>
      <c r="AV193" s="2" vm="2594">
        <f ca="1"/>
        <v>25.72</v>
      </c>
      <c r="AW193" s="2">
        <f t="shared" ca="1" si="117"/>
        <v>1.9477989871444158E-3</v>
      </c>
      <c r="AX193" s="2" vm="170">
        <f ca="1"/>
        <v>91.6</v>
      </c>
      <c r="AY193" s="2">
        <f t="shared" ca="1" si="118"/>
        <v>2.183882943873774E-4</v>
      </c>
      <c r="AZ193" s="2" vm="6634">
        <f ca="1"/>
        <v>471.31</v>
      </c>
      <c r="BA193" s="2">
        <f t="shared" ca="1" si="119"/>
        <v>2.5099440580265177E-3</v>
      </c>
      <c r="BB193" s="2" vm="6635">
        <f ca="1"/>
        <v>285.82</v>
      </c>
      <c r="BC193" s="2">
        <f t="shared" ca="1" si="120"/>
        <v>-2.5475484208690217E-3</v>
      </c>
      <c r="BD193" s="2" vm="6636">
        <f ca="1"/>
        <v>46.03</v>
      </c>
      <c r="BE193" s="2">
        <f t="shared" ca="1" si="121"/>
        <v>-2.6002166847236717E-3</v>
      </c>
      <c r="BF193" s="2" vm="6637">
        <f ca="1"/>
        <v>112.23</v>
      </c>
      <c r="BG193" s="2">
        <f t="shared" ca="1" si="122"/>
        <v>-6.0224957931094914E-3</v>
      </c>
      <c r="BH193" s="2" vm="6638">
        <f ca="1"/>
        <v>149.91999999999999</v>
      </c>
      <c r="BI193" s="2">
        <f t="shared" ca="1" si="123"/>
        <v>-5.1098281239631707E-3</v>
      </c>
      <c r="BJ193" s="2" vm="6639">
        <f ca="1"/>
        <v>164.78</v>
      </c>
      <c r="BK193" s="2">
        <f t="shared" ca="1" si="124"/>
        <v>6.1932074498936743E-2</v>
      </c>
      <c r="BL193" s="2" vm="6640">
        <f ca="1"/>
        <v>69.27</v>
      </c>
      <c r="BM193" s="2">
        <f t="shared" ca="1" si="125"/>
        <v>-1.2975778546713294E-3</v>
      </c>
      <c r="BN193" s="2" vm="6641">
        <f ca="1"/>
        <v>298.89999999999998</v>
      </c>
      <c r="BO193" s="2">
        <f t="shared" ca="1" si="126"/>
        <v>-2.4030438555504548E-3</v>
      </c>
      <c r="BP193" s="2" vm="6642">
        <f ca="1"/>
        <v>119.82</v>
      </c>
      <c r="BQ193" s="2">
        <f t="shared" ca="1" si="127"/>
        <v>7.0600100857286033E-3</v>
      </c>
      <c r="BR193" s="2" vm="6643">
        <f ca="1"/>
        <v>1250.31</v>
      </c>
      <c r="BS193" s="2">
        <f t="shared" ca="1" si="128"/>
        <v>-7.9030683901069113E-3</v>
      </c>
      <c r="BT193" s="2" vm="6644">
        <f ca="1"/>
        <v>153.72999999999999</v>
      </c>
      <c r="BU193" s="2">
        <f t="shared" ca="1" si="129"/>
        <v>6.8771286350535954E-3</v>
      </c>
      <c r="BV193" s="2" vm="6645">
        <f ca="1"/>
        <v>135.35</v>
      </c>
      <c r="BW193" s="2">
        <f t="shared" ca="1" si="130"/>
        <v>1.1508855840370615E-2</v>
      </c>
      <c r="BX193" s="2" vm="6646">
        <f ca="1"/>
        <v>233</v>
      </c>
      <c r="BY193" s="2">
        <f t="shared" ca="1" si="131"/>
        <v>-1.613039439236548E-2</v>
      </c>
      <c r="BZ193" s="2" vm="3212">
        <f ca="1"/>
        <v>89.27</v>
      </c>
      <c r="CA193" s="2">
        <f t="shared" ca="1" si="132"/>
        <v>-1.3482152724057896E-2</v>
      </c>
      <c r="CB193" s="2" vm="1319">
        <f ca="1"/>
        <v>28.1</v>
      </c>
      <c r="CC193" s="2">
        <f t="shared" ca="1" si="133"/>
        <v>-1.8169112508735135E-2</v>
      </c>
      <c r="CD193" s="2" t="e" vm="92">
        <f ca="1"/>
        <v>#N/A</v>
      </c>
      <c r="CE193" s="2" t="e" vm="140">
        <f t="shared" ca="1" si="134"/>
        <v>#N/A</v>
      </c>
      <c r="CF193" s="2" vm="1978">
        <f ca="1"/>
        <v>22.675000000000001</v>
      </c>
      <c r="CG193" s="2">
        <f t="shared" ca="1" si="135"/>
        <v>1.7671747294013317E-3</v>
      </c>
      <c r="CH193" s="2" vm="1834">
        <f ca="1"/>
        <v>58.52</v>
      </c>
      <c r="CI193" s="2">
        <f t="shared" ca="1" si="136"/>
        <v>1.5403046380284685E-3</v>
      </c>
      <c r="CJ193" s="2" vm="1723">
        <f ca="1"/>
        <v>59.13</v>
      </c>
      <c r="CK193" s="2">
        <f t="shared" ca="1" si="137"/>
        <v>2.7132440223843258E-3</v>
      </c>
      <c r="CL193" s="2" vm="6647">
        <f ca="1"/>
        <v>54.31</v>
      </c>
      <c r="CM193" s="2">
        <f t="shared" ca="1" si="138"/>
        <v>1.8446781036709355E-3</v>
      </c>
      <c r="CN193" s="2" vm="2998">
        <f ca="1"/>
        <v>28.81</v>
      </c>
      <c r="CO193" s="2">
        <f t="shared" ca="1" si="139"/>
        <v>1.3903371567604848E-3</v>
      </c>
      <c r="CP193" s="2" vm="6648">
        <f ca="1"/>
        <v>21.605399999999999</v>
      </c>
      <c r="CQ193" s="2">
        <f t="shared" ca="1" si="140"/>
        <v>7.7333532342021699E-3</v>
      </c>
    </row>
    <row r="194" spans="1:95" x14ac:dyDescent="0.2">
      <c r="A194" s="7" vm="6649">
        <f ca="1"/>
        <v>45855</v>
      </c>
      <c r="B194" s="2" vm="6650">
        <f ca="1"/>
        <v>210.02</v>
      </c>
      <c r="C194" s="2">
        <f t="shared" ca="1" si="94"/>
        <v>-6.6615911686327735E-4</v>
      </c>
      <c r="D194" s="2" vm="1622">
        <f ca="1"/>
        <v>173</v>
      </c>
      <c r="E194" s="2">
        <f t="shared" ca="1" si="95"/>
        <v>9.5115831242340871E-3</v>
      </c>
      <c r="F194" s="2" vm="6651">
        <f ca="1"/>
        <v>511.7</v>
      </c>
      <c r="G194" s="2">
        <f t="shared" ca="1" si="96"/>
        <v>1.2024840789525698E-2</v>
      </c>
      <c r="H194" s="2" vm="6652">
        <f ca="1"/>
        <v>701.41</v>
      </c>
      <c r="I194" s="2">
        <f t="shared" ca="1" si="97"/>
        <v>-2.1339858587870425E-3</v>
      </c>
      <c r="J194" s="2" vm="6653">
        <f ca="1"/>
        <v>183.58</v>
      </c>
      <c r="K194" s="2">
        <f t="shared" ca="1" si="98"/>
        <v>3.3338798710171812E-3</v>
      </c>
      <c r="L194" s="2" vm="6654">
        <f ca="1"/>
        <v>628.04</v>
      </c>
      <c r="M194" s="2">
        <f t="shared" ca="1" si="99"/>
        <v>6.1196373073594823E-3</v>
      </c>
      <c r="N194" s="2" vm="6655">
        <f ca="1"/>
        <v>85.11</v>
      </c>
      <c r="O194" s="2">
        <f t="shared" ca="1" si="100"/>
        <v>-2.3493480559140165E-4</v>
      </c>
      <c r="P194" s="2" vm="6656">
        <f ca="1"/>
        <v>307.58999999999997</v>
      </c>
      <c r="Q194" s="2">
        <f t="shared" ca="1" si="101"/>
        <v>-2.1734899111140464E-3</v>
      </c>
      <c r="R194" s="2" vm="6657">
        <f ca="1"/>
        <v>76.16</v>
      </c>
      <c r="S194" s="2">
        <f t="shared" ca="1" si="102"/>
        <v>1.2900651682404561E-2</v>
      </c>
      <c r="T194" s="2" vm="6658">
        <f ca="1"/>
        <v>94.14</v>
      </c>
      <c r="U194" s="2">
        <f t="shared" ca="1" si="103"/>
        <v>-3.1857279388341445E-4</v>
      </c>
      <c r="V194" s="2" vm="6659">
        <f ca="1"/>
        <v>46.784999999999997</v>
      </c>
      <c r="W194" s="2">
        <f t="shared" ca="1" si="104"/>
        <v>2.1165107076189448E-4</v>
      </c>
      <c r="X194" s="2" vm="6660">
        <f ca="1"/>
        <v>156.05000000000001</v>
      </c>
      <c r="Y194" s="2">
        <f t="shared" ca="1" si="105"/>
        <v>2.1871521183943442E-2</v>
      </c>
      <c r="Z194" s="2" vm="2371">
        <f ca="1"/>
        <v>86.66</v>
      </c>
      <c r="AA194" s="2">
        <f t="shared" ca="1" si="106"/>
        <v>6.1534889121096156E-3</v>
      </c>
      <c r="AB194" s="2" vm="6485">
        <f ca="1"/>
        <v>13.79</v>
      </c>
      <c r="AC194" s="2">
        <f t="shared" ca="1" si="107"/>
        <v>1.4716703458425261E-2</v>
      </c>
      <c r="AD194" s="2" vm="1236">
        <f ca="1"/>
        <v>4.4000000000000004</v>
      </c>
      <c r="AE194" s="2">
        <f t="shared" ca="1" si="108"/>
        <v>-2.2675736961450762E-3</v>
      </c>
      <c r="AF194" s="2" vm="6661">
        <f ca="1"/>
        <v>34.65</v>
      </c>
      <c r="AG194" s="2">
        <f t="shared" ca="1" si="109"/>
        <v>6.9747166521360654E-3</v>
      </c>
      <c r="AH194" s="2" vm="2449">
        <f ca="1"/>
        <v>25.78</v>
      </c>
      <c r="AI194" s="2">
        <f t="shared" ca="1" si="110"/>
        <v>-3.8639876352394849E-3</v>
      </c>
      <c r="AJ194" s="2" vm="6662">
        <f ca="1"/>
        <v>4.42</v>
      </c>
      <c r="AK194" s="2">
        <f t="shared" ca="1" si="111"/>
        <v>-1.1185682326621885E-2</v>
      </c>
      <c r="AL194" s="2" vm="6663">
        <f ca="1"/>
        <v>66.11</v>
      </c>
      <c r="AM194" s="2">
        <f t="shared" ca="1" si="112"/>
        <v>-2.5648762824381668E-3</v>
      </c>
      <c r="AN194" s="2" vm="6664">
        <f ca="1"/>
        <v>132.94</v>
      </c>
      <c r="AO194" s="2">
        <f t="shared" ca="1" si="113"/>
        <v>3.054263565891471E-2</v>
      </c>
      <c r="AP194" s="2" vm="211">
        <f ca="1"/>
        <v>26.55</v>
      </c>
      <c r="AQ194" s="2">
        <f t="shared" ca="1" si="114"/>
        <v>7.5386355069730765E-4</v>
      </c>
      <c r="AR194" s="2" vm="509">
        <f ca="1"/>
        <v>50.99</v>
      </c>
      <c r="AS194" s="2">
        <f t="shared" ca="1" si="115"/>
        <v>4.9053271853229823E-4</v>
      </c>
      <c r="AT194" s="2" vm="596">
        <f ca="1"/>
        <v>29.15</v>
      </c>
      <c r="AU194" s="2">
        <f t="shared" ca="1" si="116"/>
        <v>-6.8563592732269886E-4</v>
      </c>
      <c r="AV194" s="2" vm="5732">
        <f ca="1"/>
        <v>25.7</v>
      </c>
      <c r="AW194" s="2">
        <f t="shared" ca="1" si="117"/>
        <v>-7.7760497667183411E-4</v>
      </c>
      <c r="AX194" s="2" vm="170">
        <f ca="1"/>
        <v>91.6</v>
      </c>
      <c r="AY194" s="2">
        <f t="shared" ca="1" si="118"/>
        <v>0</v>
      </c>
      <c r="AZ194" s="2" vm="6665">
        <f ca="1"/>
        <v>473.4</v>
      </c>
      <c r="BA194" s="2">
        <f t="shared" ca="1" si="119"/>
        <v>4.4344486643609834E-3</v>
      </c>
      <c r="BB194" s="2" vm="6666">
        <f ca="1"/>
        <v>289.89999999999998</v>
      </c>
      <c r="BC194" s="2">
        <f t="shared" ca="1" si="120"/>
        <v>1.4274718354208887E-2</v>
      </c>
      <c r="BD194" s="2" vm="6667">
        <f ca="1"/>
        <v>47.02</v>
      </c>
      <c r="BE194" s="2">
        <f t="shared" ca="1" si="121"/>
        <v>2.1507712361503409E-2</v>
      </c>
      <c r="BF194" s="2" vm="6668">
        <f ca="1"/>
        <v>111.66</v>
      </c>
      <c r="BG194" s="2">
        <f t="shared" ca="1" si="122"/>
        <v>-5.0788559208768368E-3</v>
      </c>
      <c r="BH194" s="2" vm="5188">
        <f ca="1"/>
        <v>151.38</v>
      </c>
      <c r="BI194" s="2">
        <f t="shared" ca="1" si="123"/>
        <v>9.738527214514462E-3</v>
      </c>
      <c r="BJ194" s="2" vm="6669">
        <f ca="1"/>
        <v>162.97999999999999</v>
      </c>
      <c r="BK194" s="2">
        <f t="shared" ca="1" si="124"/>
        <v>-1.0923655783468936E-2</v>
      </c>
      <c r="BL194" s="2" vm="3555">
        <f ca="1"/>
        <v>70.59</v>
      </c>
      <c r="BM194" s="2">
        <f t="shared" ca="1" si="125"/>
        <v>1.9055868341273385E-2</v>
      </c>
      <c r="BN194" s="2" vm="6670">
        <f ca="1"/>
        <v>300.37</v>
      </c>
      <c r="BO194" s="2">
        <f t="shared" ca="1" si="126"/>
        <v>4.9180327868853374E-3</v>
      </c>
      <c r="BP194" s="2" vm="6671">
        <f ca="1"/>
        <v>122.21</v>
      </c>
      <c r="BQ194" s="2">
        <f t="shared" ca="1" si="127"/>
        <v>1.9946586546486404E-2</v>
      </c>
      <c r="BR194" s="2" vm="6672">
        <f ca="1"/>
        <v>1274.17</v>
      </c>
      <c r="BS194" s="2">
        <f t="shared" ca="1" si="128"/>
        <v>1.9083267349697376E-2</v>
      </c>
      <c r="BT194" s="2" vm="6673">
        <f ca="1"/>
        <v>155.62</v>
      </c>
      <c r="BU194" s="2">
        <f t="shared" ca="1" si="129"/>
        <v>1.2294282183048299E-2</v>
      </c>
      <c r="BV194" s="2" vm="6674">
        <f ca="1"/>
        <v>145.44</v>
      </c>
      <c r="BW194" s="2">
        <f t="shared" ca="1" si="130"/>
        <v>7.4547469523457727E-2</v>
      </c>
      <c r="BX194" s="2" vm="6675">
        <f ca="1"/>
        <v>236.03</v>
      </c>
      <c r="BY194" s="2">
        <f t="shared" ca="1" si="131"/>
        <v>1.3004291845493567E-2</v>
      </c>
      <c r="BZ194" s="2" vm="6676">
        <f ca="1"/>
        <v>90.48</v>
      </c>
      <c r="CA194" s="2">
        <f t="shared" ca="1" si="132"/>
        <v>1.3554385571860738E-2</v>
      </c>
      <c r="CB194" s="2" vm="2725">
        <f ca="1"/>
        <v>28.6</v>
      </c>
      <c r="CC194" s="2">
        <f t="shared" ca="1" si="133"/>
        <v>1.779359430604982E-2</v>
      </c>
      <c r="CD194" s="2" t="e" vm="92">
        <f ca="1"/>
        <v>#N/A</v>
      </c>
      <c r="CE194" s="2" t="e" vm="140">
        <f t="shared" ca="1" si="134"/>
        <v>#N/A</v>
      </c>
      <c r="CF194" s="2" vm="3202">
        <f ca="1"/>
        <v>22.66</v>
      </c>
      <c r="CG194" s="2">
        <f t="shared" ca="1" si="135"/>
        <v>-6.6152149944875718E-4</v>
      </c>
      <c r="CH194" s="2" vm="94">
        <f ca="1"/>
        <v>58.49</v>
      </c>
      <c r="CI194" s="2">
        <f t="shared" ca="1" si="136"/>
        <v>-5.1264524948737417E-4</v>
      </c>
      <c r="CJ194" s="2" vm="6677">
        <f ca="1"/>
        <v>59.1</v>
      </c>
      <c r="CK194" s="2">
        <f t="shared" ca="1" si="137"/>
        <v>-5.0735667174025255E-4</v>
      </c>
      <c r="CL194" s="2" vm="6678">
        <f ca="1"/>
        <v>54.29</v>
      </c>
      <c r="CM194" s="2">
        <f t="shared" ca="1" si="138"/>
        <v>-3.6825630638930446E-4</v>
      </c>
      <c r="CN194" s="2" vm="3034">
        <f ca="1"/>
        <v>28.86</v>
      </c>
      <c r="CO194" s="2">
        <f t="shared" ca="1" si="139"/>
        <v>1.7355085039916943E-3</v>
      </c>
      <c r="CP194" s="2" vm="6679">
        <f ca="1"/>
        <v>21.657</v>
      </c>
      <c r="CQ194" s="2">
        <f t="shared" ca="1" si="140"/>
        <v>2.3882918159349301E-3</v>
      </c>
    </row>
    <row r="195" spans="1:95" x14ac:dyDescent="0.2">
      <c r="A195" s="7" vm="6680">
        <f ca="1"/>
        <v>45856</v>
      </c>
      <c r="B195" s="2" vm="6681">
        <f ca="1"/>
        <v>211.18</v>
      </c>
      <c r="C195" s="2">
        <f t="shared" ca="1" si="94"/>
        <v>5.5232834968098115E-3</v>
      </c>
      <c r="D195" s="2" vm="6682">
        <f ca="1"/>
        <v>172.41</v>
      </c>
      <c r="E195" s="2">
        <f t="shared" ca="1" si="95"/>
        <v>-3.4104046242774762E-3</v>
      </c>
      <c r="F195" s="2" vm="6683">
        <f ca="1"/>
        <v>510.05</v>
      </c>
      <c r="G195" s="2">
        <f t="shared" ca="1" si="96"/>
        <v>-3.2245456322063265E-3</v>
      </c>
      <c r="H195" s="2" vm="6684">
        <f ca="1"/>
        <v>704.28</v>
      </c>
      <c r="I195" s="2">
        <f t="shared" ca="1" si="97"/>
        <v>4.0917580302533537E-3</v>
      </c>
      <c r="J195" s="2" vm="6685">
        <f ca="1"/>
        <v>185.06</v>
      </c>
      <c r="K195" s="2">
        <f t="shared" ca="1" si="98"/>
        <v>8.06188037912621E-3</v>
      </c>
      <c r="L195" s="2" vm="6686">
        <f ca="1"/>
        <v>627.58000000000004</v>
      </c>
      <c r="M195" s="2">
        <f t="shared" ca="1" si="99"/>
        <v>-7.3243742436775161E-4</v>
      </c>
      <c r="N195" s="2" vm="6687">
        <f ca="1"/>
        <v>85.24</v>
      </c>
      <c r="O195" s="2">
        <f t="shared" ca="1" si="100"/>
        <v>1.5274350840088762E-3</v>
      </c>
      <c r="P195" s="2" vm="6688">
        <f ca="1"/>
        <v>308.39</v>
      </c>
      <c r="Q195" s="2">
        <f t="shared" ca="1" si="101"/>
        <v>2.600864787541895E-3</v>
      </c>
      <c r="R195" s="2" vm="199">
        <f ca="1"/>
        <v>75.930000000000007</v>
      </c>
      <c r="S195" s="2">
        <f t="shared" ca="1" si="102"/>
        <v>-3.019957983193143E-3</v>
      </c>
      <c r="T195" s="2" vm="6689">
        <f ca="1"/>
        <v>94.4</v>
      </c>
      <c r="U195" s="2">
        <f t="shared" ca="1" si="103"/>
        <v>2.7618440620353207E-3</v>
      </c>
      <c r="V195" s="2" vm="6690">
        <f ca="1"/>
        <v>46.887900000000002</v>
      </c>
      <c r="W195" s="2">
        <f t="shared" ca="1" si="104"/>
        <v>2.1994228919526627E-3</v>
      </c>
      <c r="X195" s="2" vm="3740">
        <f ca="1"/>
        <v>152</v>
      </c>
      <c r="Y195" s="2">
        <f t="shared" ca="1" si="105"/>
        <v>-2.5953220121755917E-2</v>
      </c>
      <c r="Z195" s="2" vm="3796">
        <f ca="1"/>
        <v>85.96</v>
      </c>
      <c r="AA195" s="2">
        <f t="shared" ca="1" si="106"/>
        <v>-8.0775444264943787E-3</v>
      </c>
      <c r="AB195" s="2" vm="6691">
        <f ca="1"/>
        <v>13.75</v>
      </c>
      <c r="AC195" s="2">
        <f t="shared" ca="1" si="107"/>
        <v>-2.9006526468454787E-3</v>
      </c>
      <c r="AD195" s="2" vm="2591">
        <f ca="1"/>
        <v>4.3499999999999996</v>
      </c>
      <c r="AE195" s="2">
        <f t="shared" ca="1" si="108"/>
        <v>-1.1363636363636524E-2</v>
      </c>
      <c r="AF195" s="2" vm="6692">
        <f ca="1"/>
        <v>34.61</v>
      </c>
      <c r="AG195" s="2">
        <f t="shared" ca="1" si="109"/>
        <v>-1.1544011544011299E-3</v>
      </c>
      <c r="AH195" s="2" vm="6693">
        <f ca="1"/>
        <v>26.03</v>
      </c>
      <c r="AI195" s="2">
        <f t="shared" ca="1" si="110"/>
        <v>9.6974398758727688E-3</v>
      </c>
      <c r="AJ195" s="2" vm="5040">
        <f ca="1"/>
        <v>4.5199999999999996</v>
      </c>
      <c r="AK195" s="2">
        <f t="shared" ca="1" si="111"/>
        <v>2.2624434389140191E-2</v>
      </c>
      <c r="AL195" s="2" vm="6694">
        <f ca="1"/>
        <v>66.31</v>
      </c>
      <c r="AM195" s="2">
        <f t="shared" ca="1" si="112"/>
        <v>3.025260928755148E-3</v>
      </c>
      <c r="AN195" s="2" vm="6695">
        <f ca="1"/>
        <v>129.88999999999999</v>
      </c>
      <c r="AO195" s="2">
        <f t="shared" ca="1" si="113"/>
        <v>-2.2942680908680693E-2</v>
      </c>
      <c r="AP195" s="2" vm="3929">
        <f ca="1"/>
        <v>26.58</v>
      </c>
      <c r="AQ195" s="2">
        <f t="shared" ca="1" si="114"/>
        <v>1.1299435028247677E-3</v>
      </c>
      <c r="AR195" s="2" vm="1121">
        <f ca="1"/>
        <v>51</v>
      </c>
      <c r="AS195" s="2">
        <f t="shared" ca="1" si="115"/>
        <v>1.9611688566381662E-4</v>
      </c>
      <c r="AT195" s="2" vm="2322">
        <f ca="1"/>
        <v>29.18</v>
      </c>
      <c r="AU195" s="2">
        <f t="shared" ca="1" si="116"/>
        <v>1.0291595197255965E-3</v>
      </c>
      <c r="AV195" s="2" vm="2413">
        <f ca="1"/>
        <v>25.77</v>
      </c>
      <c r="AW195" s="2">
        <f t="shared" ca="1" si="117"/>
        <v>2.7237354085603224E-3</v>
      </c>
      <c r="AX195" s="2" vm="341">
        <f ca="1"/>
        <v>91.64</v>
      </c>
      <c r="AY195" s="2">
        <f t="shared" ca="1" si="118"/>
        <v>4.366812227074919E-4</v>
      </c>
      <c r="AZ195" s="2" vm="6696">
        <f ca="1"/>
        <v>473.8</v>
      </c>
      <c r="BA195" s="2">
        <f t="shared" ca="1" si="119"/>
        <v>8.449514152936927E-4</v>
      </c>
      <c r="BB195" s="2" vm="6697">
        <f ca="1"/>
        <v>291.27</v>
      </c>
      <c r="BC195" s="2">
        <f t="shared" ca="1" si="120"/>
        <v>4.7257675060365803E-3</v>
      </c>
      <c r="BD195" s="2" vm="6307">
        <f ca="1"/>
        <v>47.32</v>
      </c>
      <c r="BE195" s="2">
        <f t="shared" ca="1" si="121"/>
        <v>6.3802637175669318E-3</v>
      </c>
      <c r="BF195" s="2" vm="6698">
        <f ca="1"/>
        <v>107.77</v>
      </c>
      <c r="BG195" s="2">
        <f t="shared" ca="1" si="122"/>
        <v>-3.4837900770195239E-2</v>
      </c>
      <c r="BH195" s="2" vm="6699">
        <f ca="1"/>
        <v>150.04</v>
      </c>
      <c r="BI195" s="2">
        <f t="shared" ca="1" si="123"/>
        <v>-8.8518958911349144E-3</v>
      </c>
      <c r="BJ195" s="2" vm="6700">
        <f ca="1"/>
        <v>163.69999999999999</v>
      </c>
      <c r="BK195" s="2">
        <f t="shared" ca="1" si="124"/>
        <v>4.4177199656399487E-3</v>
      </c>
      <c r="BL195" s="2" vm="6701">
        <f ca="1"/>
        <v>69.849999999999994</v>
      </c>
      <c r="BM195" s="2">
        <f t="shared" ca="1" si="125"/>
        <v>-1.0483071256552047E-2</v>
      </c>
      <c r="BN195" s="2" vm="6702">
        <f ca="1"/>
        <v>297.07</v>
      </c>
      <c r="BO195" s="2">
        <f t="shared" ca="1" si="126"/>
        <v>-1.0986450044944605E-2</v>
      </c>
      <c r="BP195" s="2" vm="6703">
        <f ca="1"/>
        <v>121.42</v>
      </c>
      <c r="BQ195" s="2">
        <f t="shared" ca="1" si="127"/>
        <v>-6.4642827919154907E-3</v>
      </c>
      <c r="BR195" s="2" vm="6704">
        <f ca="1"/>
        <v>1209.24</v>
      </c>
      <c r="BS195" s="2">
        <f t="shared" ca="1" si="128"/>
        <v>-5.0958663286688639E-2</v>
      </c>
      <c r="BT195" s="2" vm="6705">
        <f ca="1"/>
        <v>155.1</v>
      </c>
      <c r="BU195" s="2">
        <f t="shared" ca="1" si="129"/>
        <v>-3.3414728184038697E-3</v>
      </c>
      <c r="BV195" s="2" vm="6706">
        <f ca="1"/>
        <v>143.24</v>
      </c>
      <c r="BW195" s="2">
        <f t="shared" ca="1" si="130"/>
        <v>-1.5126512651265049E-2</v>
      </c>
      <c r="BX195" s="2" vm="6707">
        <f ca="1"/>
        <v>233.38</v>
      </c>
      <c r="BY195" s="2">
        <f t="shared" ca="1" si="131"/>
        <v>-1.1227386349192923E-2</v>
      </c>
      <c r="BZ195" s="2" vm="6708">
        <f ca="1"/>
        <v>90.52</v>
      </c>
      <c r="CA195" s="2">
        <f t="shared" ca="1" si="132"/>
        <v>4.4208664898311276E-4</v>
      </c>
      <c r="CB195" s="2" vm="6709">
        <f ca="1"/>
        <v>28.689399999999999</v>
      </c>
      <c r="CC195" s="2">
        <f t="shared" ca="1" si="133"/>
        <v>3.1258741258740454E-3</v>
      </c>
      <c r="CD195" s="2" t="e" vm="92">
        <f ca="1"/>
        <v>#N/A</v>
      </c>
      <c r="CE195" s="2" t="e" vm="140">
        <f t="shared" ca="1" si="134"/>
        <v>#N/A</v>
      </c>
      <c r="CF195" s="2" vm="6558">
        <f ca="1"/>
        <v>22.71</v>
      </c>
      <c r="CG195" s="2">
        <f t="shared" ca="1" si="135"/>
        <v>2.2065313327449564E-3</v>
      </c>
      <c r="CH195" s="2" vm="142">
        <f ca="1"/>
        <v>58.55</v>
      </c>
      <c r="CI195" s="2">
        <f t="shared" ca="1" si="136"/>
        <v>1.0258163788681E-3</v>
      </c>
      <c r="CJ195" s="2" vm="1766">
        <f ca="1"/>
        <v>59.23</v>
      </c>
      <c r="CK195" s="2">
        <f t="shared" ca="1" si="137"/>
        <v>2.1996615905244578E-3</v>
      </c>
      <c r="CL195" s="2" vm="6710">
        <f ca="1"/>
        <v>54.41</v>
      </c>
      <c r="CM195" s="2">
        <f t="shared" ca="1" si="138"/>
        <v>2.2103518143304006E-3</v>
      </c>
      <c r="CN195" s="2" vm="290">
        <f ca="1"/>
        <v>28.91</v>
      </c>
      <c r="CO195" s="2">
        <f t="shared" ca="1" si="139"/>
        <v>1.7325017325017572E-3</v>
      </c>
      <c r="CP195" s="2" vm="6711">
        <f ca="1"/>
        <v>21.6873</v>
      </c>
      <c r="CQ195" s="2">
        <f t="shared" ca="1" si="140"/>
        <v>1.3990857459482125E-3</v>
      </c>
    </row>
    <row r="196" spans="1:95" x14ac:dyDescent="0.2">
      <c r="A196" s="7" vm="6712">
        <f ca="1"/>
        <v>45859</v>
      </c>
      <c r="B196" s="2" vm="6713">
        <f ca="1"/>
        <v>212.48</v>
      </c>
      <c r="C196" s="2">
        <f t="shared" ca="1" si="94"/>
        <v>6.155885974050492E-3</v>
      </c>
      <c r="D196" s="2" vm="6714">
        <f ca="1"/>
        <v>171.38</v>
      </c>
      <c r="E196" s="2">
        <f t="shared" ca="1" si="95"/>
        <v>-5.9741314308914863E-3</v>
      </c>
      <c r="F196" s="2" vm="6715">
        <f ca="1"/>
        <v>510.06</v>
      </c>
      <c r="G196" s="2">
        <f t="shared" ca="1" si="96"/>
        <v>1.9605920988120585E-5</v>
      </c>
      <c r="H196" s="2" vm="6716">
        <f ca="1"/>
        <v>712.96500000000003</v>
      </c>
      <c r="I196" s="2">
        <f t="shared" ca="1" si="97"/>
        <v>1.2331743056738882E-2</v>
      </c>
      <c r="J196" s="2" vm="6717">
        <f ca="1"/>
        <v>190.1</v>
      </c>
      <c r="K196" s="2">
        <f t="shared" ca="1" si="98"/>
        <v>2.7234410461471913E-2</v>
      </c>
      <c r="L196" s="2" vm="6718">
        <f ca="1"/>
        <v>628.77</v>
      </c>
      <c r="M196" s="2">
        <f t="shared" ca="1" si="99"/>
        <v>1.8961725995091316E-3</v>
      </c>
      <c r="N196" s="2" vm="4796">
        <f ca="1"/>
        <v>86</v>
      </c>
      <c r="O196" s="2">
        <f t="shared" ca="1" si="100"/>
        <v>8.9160018770530879E-3</v>
      </c>
      <c r="P196" s="2" vm="6719">
        <f ca="1"/>
        <v>313.13</v>
      </c>
      <c r="Q196" s="2">
        <f t="shared" ca="1" si="101"/>
        <v>1.5370148188981515E-2</v>
      </c>
      <c r="R196" s="2" vm="6362">
        <f ca="1"/>
        <v>75.59</v>
      </c>
      <c r="S196" s="2">
        <f t="shared" ca="1" si="102"/>
        <v>-4.4778085078362095E-3</v>
      </c>
      <c r="T196" s="2" vm="1195">
        <f ca="1"/>
        <v>94.73</v>
      </c>
      <c r="U196" s="2">
        <f t="shared" ca="1" si="103"/>
        <v>3.4957627118643885E-3</v>
      </c>
      <c r="V196" s="2" vm="6720">
        <f ca="1"/>
        <v>47.049100000000003</v>
      </c>
      <c r="W196" s="2">
        <f t="shared" ca="1" si="104"/>
        <v>3.4379871992561172E-3</v>
      </c>
      <c r="X196" s="2" vm="4602">
        <f ca="1"/>
        <v>148.69</v>
      </c>
      <c r="Y196" s="2">
        <f t="shared" ca="1" si="105"/>
        <v>-2.1776315789473699E-2</v>
      </c>
      <c r="Z196" s="2" vm="4560">
        <f ca="1"/>
        <v>85.07</v>
      </c>
      <c r="AA196" s="2">
        <f t="shared" ca="1" si="106"/>
        <v>-1.0353652861796191E-2</v>
      </c>
      <c r="AB196" s="2" vm="6721">
        <f ca="1"/>
        <v>13.71</v>
      </c>
      <c r="AC196" s="2">
        <f t="shared" ca="1" si="107"/>
        <v>-2.9090909090908469E-3</v>
      </c>
      <c r="AD196" s="2" vm="6722">
        <f ca="1"/>
        <v>4.7</v>
      </c>
      <c r="AE196" s="2">
        <f t="shared" ca="1" si="108"/>
        <v>8.0459770114942653E-2</v>
      </c>
      <c r="AF196" s="2" vm="6723">
        <f ca="1"/>
        <v>35.35</v>
      </c>
      <c r="AG196" s="2">
        <f t="shared" ca="1" si="109"/>
        <v>2.1381103727246518E-2</v>
      </c>
      <c r="AH196" s="2" vm="2672">
        <f ca="1"/>
        <v>25.9</v>
      </c>
      <c r="AI196" s="2">
        <f t="shared" ca="1" si="110"/>
        <v>-4.9942374183635247E-3</v>
      </c>
      <c r="AJ196" s="2" vm="5966">
        <f ca="1"/>
        <v>4.49</v>
      </c>
      <c r="AK196" s="2">
        <f t="shared" ca="1" si="111"/>
        <v>-6.6371681415927797E-3</v>
      </c>
      <c r="AL196" s="2" vm="6724">
        <f ca="1"/>
        <v>67.31</v>
      </c>
      <c r="AM196" s="2">
        <f t="shared" ca="1" si="112"/>
        <v>1.5080681646810435E-2</v>
      </c>
      <c r="AN196" s="2" vm="6282">
        <f ca="1"/>
        <v>131.04</v>
      </c>
      <c r="AO196" s="2">
        <f t="shared" ca="1" si="113"/>
        <v>8.8536453922550291E-3</v>
      </c>
      <c r="AP196" s="2" vm="2629">
        <f ca="1"/>
        <v>26.66</v>
      </c>
      <c r="AQ196" s="2">
        <f t="shared" ca="1" si="114"/>
        <v>3.0097817908202353E-3</v>
      </c>
      <c r="AR196" s="2" vm="1121">
        <f ca="1"/>
        <v>51</v>
      </c>
      <c r="AS196" s="2">
        <f t="shared" ca="1" si="115"/>
        <v>0</v>
      </c>
      <c r="AT196" s="2" vm="168">
        <f ca="1"/>
        <v>29.2</v>
      </c>
      <c r="AU196" s="2">
        <f t="shared" ca="1" si="116"/>
        <v>6.854009595613288E-4</v>
      </c>
      <c r="AV196" s="2" vm="5297">
        <f ca="1"/>
        <v>25.98</v>
      </c>
      <c r="AW196" s="2">
        <f t="shared" ca="1" si="117"/>
        <v>8.1490104772992192E-3</v>
      </c>
      <c r="AX196" s="2" vm="1998">
        <f ca="1"/>
        <v>91.66</v>
      </c>
      <c r="AY196" s="2">
        <f t="shared" ca="1" si="118"/>
        <v>2.1824530772584046E-4</v>
      </c>
      <c r="AZ196" s="2" vm="6725">
        <f ca="1"/>
        <v>474.41</v>
      </c>
      <c r="BA196" s="2">
        <f t="shared" ca="1" si="119"/>
        <v>1.2874630645842416E-3</v>
      </c>
      <c r="BB196" s="2" vm="6726">
        <f ca="1"/>
        <v>290.97000000000003</v>
      </c>
      <c r="BC196" s="2">
        <f t="shared" ca="1" si="120"/>
        <v>-1.0299721907506938E-3</v>
      </c>
      <c r="BD196" s="2" vm="6727">
        <f ca="1"/>
        <v>47.48</v>
      </c>
      <c r="BE196" s="2">
        <f t="shared" ca="1" si="121"/>
        <v>3.3812341504648475E-3</v>
      </c>
      <c r="BF196" s="2" vm="6728">
        <f ca="1"/>
        <v>108.05</v>
      </c>
      <c r="BG196" s="2">
        <f t="shared" ca="1" si="122"/>
        <v>2.5981256379326448E-3</v>
      </c>
      <c r="BH196" s="2" vm="6729">
        <f ca="1"/>
        <v>149.68</v>
      </c>
      <c r="BI196" s="2">
        <f t="shared" ca="1" si="123"/>
        <v>-2.3993601706210695E-3</v>
      </c>
      <c r="BJ196" s="2" vm="6730">
        <f ca="1"/>
        <v>164.36</v>
      </c>
      <c r="BK196" s="2">
        <f t="shared" ca="1" si="124"/>
        <v>4.0317654245572701E-3</v>
      </c>
      <c r="BL196" s="2" vm="3457">
        <f ca="1"/>
        <v>70.069999999999993</v>
      </c>
      <c r="BM196" s="2">
        <f t="shared" ca="1" si="125"/>
        <v>3.1496062992125823E-3</v>
      </c>
      <c r="BN196" s="2" vm="6731">
        <f ca="1"/>
        <v>295.74</v>
      </c>
      <c r="BO196" s="2">
        <f t="shared" ca="1" si="126"/>
        <v>-4.4770592789577677E-3</v>
      </c>
      <c r="BP196" s="2" vm="6732">
        <f ca="1"/>
        <v>120.84</v>
      </c>
      <c r="BQ196" s="2">
        <f t="shared" ca="1" si="127"/>
        <v>-4.7768077746664327E-3</v>
      </c>
      <c r="BR196" s="2" vm="6733">
        <f ca="1"/>
        <v>1233.27</v>
      </c>
      <c r="BS196" s="2">
        <f t="shared" ca="1" si="128"/>
        <v>1.9871985710032725E-2</v>
      </c>
      <c r="BT196" s="2" vm="5854">
        <f ca="1"/>
        <v>155.03</v>
      </c>
      <c r="BU196" s="2">
        <f t="shared" ca="1" si="129"/>
        <v>-4.5132172791742862E-4</v>
      </c>
      <c r="BV196" s="2" vm="6734">
        <f ca="1"/>
        <v>141.69999999999999</v>
      </c>
      <c r="BW196" s="2">
        <f t="shared" ca="1" si="130"/>
        <v>-1.0751186819324353E-2</v>
      </c>
      <c r="BX196" s="2" vm="6735">
        <f ca="1"/>
        <v>232.86</v>
      </c>
      <c r="BY196" s="2">
        <f t="shared" ca="1" si="131"/>
        <v>-2.2281258034106684E-3</v>
      </c>
      <c r="BZ196" s="2" vm="3340">
        <f ca="1"/>
        <v>88.68</v>
      </c>
      <c r="CA196" s="2">
        <f t="shared" ca="1" si="132"/>
        <v>-2.0326999558108585E-2</v>
      </c>
      <c r="CB196" s="2" vm="6736">
        <f ca="1"/>
        <v>27.94</v>
      </c>
      <c r="CC196" s="2">
        <f t="shared" ca="1" si="133"/>
        <v>-2.612114578903699E-2</v>
      </c>
      <c r="CD196" s="2" t="e" vm="92">
        <f ca="1"/>
        <v>#N/A</v>
      </c>
      <c r="CE196" s="2" t="e" vm="140">
        <f t="shared" ca="1" si="134"/>
        <v>#N/A</v>
      </c>
      <c r="CF196" s="2" vm="861">
        <f ca="1"/>
        <v>22.77</v>
      </c>
      <c r="CG196" s="2">
        <f t="shared" ca="1" si="135"/>
        <v>2.6420079260237217E-3</v>
      </c>
      <c r="CH196" s="2" vm="270">
        <f ca="1"/>
        <v>58.58</v>
      </c>
      <c r="CI196" s="2">
        <f t="shared" ca="1" si="136"/>
        <v>5.1238257899233371E-4</v>
      </c>
      <c r="CJ196" s="2" vm="6737">
        <f ca="1"/>
        <v>59.354999999999997</v>
      </c>
      <c r="CK196" s="2">
        <f t="shared" ca="1" si="137"/>
        <v>2.1104170184028364E-3</v>
      </c>
      <c r="CL196" s="2" vm="6738">
        <f ca="1"/>
        <v>54.84</v>
      </c>
      <c r="CM196" s="2">
        <f t="shared" ca="1" si="138"/>
        <v>7.9029590148870944E-3</v>
      </c>
      <c r="CN196" s="2" vm="1345">
        <f ca="1"/>
        <v>29</v>
      </c>
      <c r="CO196" s="2">
        <f t="shared" ca="1" si="139"/>
        <v>3.1131096506399119E-3</v>
      </c>
      <c r="CP196" s="2" vm="6739">
        <f ca="1"/>
        <v>21.754999999999999</v>
      </c>
      <c r="CQ196" s="2">
        <f t="shared" ca="1" si="140"/>
        <v>3.121642620335336E-3</v>
      </c>
    </row>
    <row r="197" spans="1:95" x14ac:dyDescent="0.2">
      <c r="A197" s="7" vm="6740">
        <f ca="1"/>
        <v>45860</v>
      </c>
      <c r="B197" s="2" vm="6741">
        <f ca="1"/>
        <v>214.4</v>
      </c>
      <c r="C197" s="2">
        <f t="shared" ref="C197:C251" ca="1" si="141">(B197-B196)/B196</f>
        <v>9.0361445783133289E-3</v>
      </c>
      <c r="D197" s="2" vm="6742">
        <f ca="1"/>
        <v>167.03</v>
      </c>
      <c r="E197" s="2">
        <f t="shared" ref="E197:E251" ca="1" si="142">(D197-D196)/D196</f>
        <v>-2.5382191620959241E-2</v>
      </c>
      <c r="F197" s="2" vm="6743">
        <f ca="1"/>
        <v>505.27</v>
      </c>
      <c r="G197" s="2">
        <f t="shared" ref="G197:G251" ca="1" si="143">(F197-F196)/F196</f>
        <v>-9.3910520330941858E-3</v>
      </c>
      <c r="H197" s="2" vm="6744">
        <f ca="1"/>
        <v>704.81</v>
      </c>
      <c r="I197" s="2">
        <f t="shared" ref="I197:I251" ca="1" si="144">(H197-H196)/H196</f>
        <v>-1.1438149137755831E-2</v>
      </c>
      <c r="J197" s="2" vm="6745">
        <f ca="1"/>
        <v>191.34</v>
      </c>
      <c r="K197" s="2">
        <f t="shared" ref="K197:K251" ca="1" si="145">(J197-J196)/J196</f>
        <v>6.522882693319354E-3</v>
      </c>
      <c r="L197" s="2" vm="6746">
        <f ca="1"/>
        <v>628.86</v>
      </c>
      <c r="M197" s="2">
        <f t="shared" ref="M197:M251" ca="1" si="146">(L197-L196)/L196</f>
        <v>1.4313660002867795E-4</v>
      </c>
      <c r="N197" s="2" vm="6747">
        <f ca="1"/>
        <v>86.52</v>
      </c>
      <c r="O197" s="2">
        <f t="shared" ref="O197:O251" ca="1" si="147">(N197-N196)/N196</f>
        <v>6.0465116279069305E-3</v>
      </c>
      <c r="P197" s="2" vm="6748">
        <f ca="1"/>
        <v>316.10000000000002</v>
      </c>
      <c r="Q197" s="2">
        <f t="shared" ref="Q197:Q251" ca="1" si="148">(P197-P196)/P196</f>
        <v>9.4848784849743788E-3</v>
      </c>
      <c r="R197" s="2" vm="3507">
        <f ca="1"/>
        <v>75.349999999999994</v>
      </c>
      <c r="S197" s="2">
        <f t="shared" ref="S197:S251" ca="1" si="149">(R197-R196)/R196</f>
        <v>-3.1750231512105978E-3</v>
      </c>
      <c r="T197" s="2" vm="6749">
        <f ca="1"/>
        <v>95</v>
      </c>
      <c r="U197" s="2">
        <f t="shared" ref="U197:U251" ca="1" si="150">(T197-T196)/T196</f>
        <v>2.8502058482001058E-3</v>
      </c>
      <c r="V197" s="2" vm="6750">
        <f ca="1"/>
        <v>47.099699999999999</v>
      </c>
      <c r="W197" s="2">
        <f t="shared" ref="W197:W251" ca="1" si="151">(V197-V196)/V196</f>
        <v>1.0754722194472532E-3</v>
      </c>
      <c r="X197" s="2" vm="81">
        <f ca="1"/>
        <v>149.65</v>
      </c>
      <c r="Y197" s="2">
        <f t="shared" ref="Y197:Y251" ca="1" si="152">(X197-X196)/X196</f>
        <v>6.4563857690497547E-3</v>
      </c>
      <c r="Z197" s="2" vm="6751">
        <f ca="1"/>
        <v>85.47</v>
      </c>
      <c r="AA197" s="2">
        <f t="shared" ref="AA197:AA251" ca="1" si="153">(Z197-Z196)/Z196</f>
        <v>4.702010109321802E-3</v>
      </c>
      <c r="AB197" s="2" vm="6752">
        <f ca="1"/>
        <v>13.67</v>
      </c>
      <c r="AC197" s="2">
        <f t="shared" ref="AC197:AC251" ca="1" si="154">(AB197-AB196)/AB196</f>
        <v>-2.9175784099198339E-3</v>
      </c>
      <c r="AD197" s="2" vm="6457">
        <f ca="1"/>
        <v>5.0999999999999996</v>
      </c>
      <c r="AE197" s="2">
        <f t="shared" ref="AE197:AE251" ca="1" si="155">(AD197-AD196)/AD196</f>
        <v>8.5106382978723291E-2</v>
      </c>
      <c r="AF197" s="2" vm="6753">
        <f ca="1"/>
        <v>35.72</v>
      </c>
      <c r="AG197" s="2">
        <f t="shared" ref="AG197:AG251" ca="1" si="156">(AF197-AF196)/AF196</f>
        <v>1.0466760961810394E-2</v>
      </c>
      <c r="AH197" s="2" vm="2673">
        <f ca="1"/>
        <v>25.97</v>
      </c>
      <c r="AI197" s="2">
        <f t="shared" ref="AI197:AI251" ca="1" si="157">(AH197-AH196)/AH196</f>
        <v>2.7027027027027137E-3</v>
      </c>
      <c r="AJ197" s="2" vm="5040">
        <f ca="1"/>
        <v>4.5199999999999996</v>
      </c>
      <c r="AK197" s="2">
        <f t="shared" ref="AK197:AK251" ca="1" si="158">(AJ197-AJ196)/AJ196</f>
        <v>6.6815144766145564E-3</v>
      </c>
      <c r="AL197" s="2" vm="6754">
        <f ca="1"/>
        <v>67.959999999999994</v>
      </c>
      <c r="AM197" s="2">
        <f t="shared" ref="AM197:AM251" ca="1" si="159">(AL197-AL196)/AL196</f>
        <v>9.6568117664535946E-3</v>
      </c>
      <c r="AN197" s="2" vm="6755">
        <f ca="1"/>
        <v>131.08000000000001</v>
      </c>
      <c r="AO197" s="2">
        <f t="shared" ref="AO197:AO251" ca="1" si="160">(AN197-AN196)/AN196</f>
        <v>3.0525030525046143E-4</v>
      </c>
      <c r="AP197" s="2" vm="2036">
        <f ca="1"/>
        <v>26.68</v>
      </c>
      <c r="AQ197" s="2">
        <f t="shared" ref="AQ197:AQ251" ca="1" si="161">(AP197-AP196)/AP196</f>
        <v>7.5018754688670566E-4</v>
      </c>
      <c r="AR197" s="2" vm="1324">
        <f ca="1"/>
        <v>51.02</v>
      </c>
      <c r="AS197" s="2">
        <f t="shared" ref="AS197:AS251" ca="1" si="162">(AR197-AR196)/AR196</f>
        <v>3.9215686274515933E-4</v>
      </c>
      <c r="AT197" s="2" vm="736">
        <f ca="1"/>
        <v>29.21</v>
      </c>
      <c r="AU197" s="2">
        <f t="shared" ref="AU197:AU251" ca="1" si="163">(AT197-AT196)/AT196</f>
        <v>3.424657534247111E-4</v>
      </c>
      <c r="AV197" s="2" vm="1123">
        <f ca="1"/>
        <v>26.11</v>
      </c>
      <c r="AW197" s="2">
        <f t="shared" ref="AW197:AW251" ca="1" si="164">(AV197-AV196)/AV196</f>
        <v>5.0038491147035794E-3</v>
      </c>
      <c r="AX197" s="2" vm="382">
        <f ca="1"/>
        <v>91.67</v>
      </c>
      <c r="AY197" s="2">
        <f t="shared" ref="AY197:AY251" ca="1" si="165">(AX197-AX196)/AX196</f>
        <v>1.0909884355231416E-4</v>
      </c>
      <c r="AZ197" s="2" vm="6756">
        <f ca="1"/>
        <v>478.13</v>
      </c>
      <c r="BA197" s="2">
        <f t="shared" ref="BA197:BA251" ca="1" si="166">(AZ197-AZ196)/AZ196</f>
        <v>7.8413186905840308E-3</v>
      </c>
      <c r="BB197" s="2" vm="6757">
        <f ca="1"/>
        <v>291.43</v>
      </c>
      <c r="BC197" s="2">
        <f t="shared" ref="BC197:BC251" ca="1" si="167">(BB197-BB196)/BB196</f>
        <v>1.5809189950853335E-3</v>
      </c>
      <c r="BD197" s="2" vm="1523">
        <f ca="1"/>
        <v>47.77</v>
      </c>
      <c r="BE197" s="2">
        <f t="shared" ref="BE197:BE251" ca="1" si="168">(BD197-BD196)/BD196</f>
        <v>6.1078348778434346E-3</v>
      </c>
      <c r="BF197" s="2" vm="6758">
        <f ca="1"/>
        <v>108.54</v>
      </c>
      <c r="BG197" s="2">
        <f t="shared" ref="BG197:BG251" ca="1" si="169">(BF197-BF196)/BF196</f>
        <v>4.5349375289218796E-3</v>
      </c>
      <c r="BH197" s="2" vm="6699">
        <f ca="1"/>
        <v>150.04</v>
      </c>
      <c r="BI197" s="2">
        <f t="shared" ref="BI197:BI251" ca="1" si="170">(BH197-BH196)/BH196</f>
        <v>2.4051309460180735E-3</v>
      </c>
      <c r="BJ197" s="2" vm="6759">
        <f ca="1"/>
        <v>167.93</v>
      </c>
      <c r="BK197" s="2">
        <f t="shared" ref="BK197:BK251" ca="1" si="171">(BJ197-BJ196)/BJ196</f>
        <v>2.1720613287904558E-2</v>
      </c>
      <c r="BL197" s="2" vm="664">
        <f ca="1"/>
        <v>69.66</v>
      </c>
      <c r="BM197" s="2">
        <f t="shared" ref="BM197:BM251" ca="1" si="172">(BL197-BL196)/BL196</f>
        <v>-5.8512915655772315E-3</v>
      </c>
      <c r="BN197" s="2" vm="6760">
        <f ca="1"/>
        <v>299.17</v>
      </c>
      <c r="BO197" s="2">
        <f t="shared" ref="BO197:BO251" ca="1" si="173">(BN197-BN196)/BN196</f>
        <v>1.1598025292486666E-2</v>
      </c>
      <c r="BP197" s="2" vm="6761">
        <f ca="1"/>
        <v>121.06</v>
      </c>
      <c r="BQ197" s="2">
        <f t="shared" ref="BQ197:BQ251" ca="1" si="174">(BP197-BP196)/BP196</f>
        <v>1.8205892088712253E-3</v>
      </c>
      <c r="BR197" s="2" vm="6762">
        <f ca="1"/>
        <v>1190.08</v>
      </c>
      <c r="BS197" s="2">
        <f t="shared" ref="BS197:BS251" ca="1" si="175">(BR197-BR196)/BR196</f>
        <v>-3.5020717280076587E-2</v>
      </c>
      <c r="BT197" s="2" vm="1673">
        <f ca="1"/>
        <v>158.32</v>
      </c>
      <c r="BU197" s="2">
        <f t="shared" ref="BU197:BU251" ca="1" si="176">(BT197-BT196)/BT196</f>
        <v>2.1221699025994918E-2</v>
      </c>
      <c r="BV197" s="2" vm="6763">
        <f ca="1"/>
        <v>146.04</v>
      </c>
      <c r="BW197" s="2">
        <f t="shared" ref="BW197:BW251" ca="1" si="177">(BV197-BV196)/BV196</f>
        <v>3.062808750882148E-2</v>
      </c>
      <c r="BX197" s="2" vm="6764">
        <f ca="1"/>
        <v>238.1</v>
      </c>
      <c r="BY197" s="2">
        <f t="shared" ref="BY197:BY251" ca="1" si="178">(BX197-BX196)/BX196</f>
        <v>2.2502791376792838E-2</v>
      </c>
      <c r="BZ197" s="2" vm="6765">
        <f ca="1"/>
        <v>89.54</v>
      </c>
      <c r="CA197" s="2">
        <f t="shared" ref="CA197:CA251" ca="1" si="179">(BZ197-BZ196)/BZ196</f>
        <v>9.6977898060441967E-3</v>
      </c>
      <c r="CB197" s="2" vm="115">
        <f ca="1"/>
        <v>28.38</v>
      </c>
      <c r="CC197" s="2">
        <f t="shared" ref="CC197:CC251" ca="1" si="180">(CB197-CB196)/CB196</f>
        <v>1.5748031496062909E-2</v>
      </c>
      <c r="CD197" s="2" t="e" vm="92">
        <f ca="1"/>
        <v>#N/A</v>
      </c>
      <c r="CE197" s="2" t="e" vm="140">
        <f t="shared" ref="CE197:CE251" ca="1" si="181">(CD197-CD196)/CD196</f>
        <v>#N/A</v>
      </c>
      <c r="CF197" s="2" vm="733">
        <f ca="1"/>
        <v>22.815000000000001</v>
      </c>
      <c r="CG197" s="2">
        <f t="shared" ref="CG197:CG251" ca="1" si="182">(CF197-CF196)/CF196</f>
        <v>1.976284584980312E-3</v>
      </c>
      <c r="CH197" s="2" vm="863">
        <f ca="1"/>
        <v>58.61</v>
      </c>
      <c r="CI197" s="2">
        <f t="shared" ref="CI197:CI251" ca="1" si="183">(CH197-CH196)/CH196</f>
        <v>5.1212017753501427E-4</v>
      </c>
      <c r="CJ197" s="2" vm="4508">
        <f ca="1"/>
        <v>59.47</v>
      </c>
      <c r="CK197" s="2">
        <f t="shared" ref="CK197:CK251" ca="1" si="184">(CJ197-CJ196)/CJ196</f>
        <v>1.9374947350686883E-3</v>
      </c>
      <c r="CL197" s="2" vm="6766">
        <f ca="1"/>
        <v>55.14</v>
      </c>
      <c r="CM197" s="2">
        <f t="shared" ref="CM197:CM251" ca="1" si="185">(CL197-CL196)/CL196</f>
        <v>5.4704595185995101E-3</v>
      </c>
      <c r="CN197" s="2" vm="1302">
        <f ca="1"/>
        <v>29.07</v>
      </c>
      <c r="CO197" s="2">
        <f t="shared" ref="CO197:CO251" ca="1" si="186">(CN197-CN196)/CN196</f>
        <v>2.4137931034482855E-3</v>
      </c>
      <c r="CP197" s="2" vm="6767">
        <f ca="1"/>
        <v>22.1477</v>
      </c>
      <c r="CQ197" s="2">
        <f t="shared" ref="CQ197:CQ251" ca="1" si="187">(CP197-CP196)/CP196</f>
        <v>1.805102275339009E-2</v>
      </c>
    </row>
    <row r="198" spans="1:95" x14ac:dyDescent="0.2">
      <c r="A198" s="7" vm="6768">
        <f ca="1"/>
        <v>45861</v>
      </c>
      <c r="B198" s="2" vm="6769">
        <f ca="1"/>
        <v>214.15</v>
      </c>
      <c r="C198" s="2">
        <f t="shared" ca="1" si="141"/>
        <v>-1.1660447761194029E-3</v>
      </c>
      <c r="D198" s="2" vm="6770">
        <f ca="1"/>
        <v>170.78</v>
      </c>
      <c r="E198" s="2">
        <f t="shared" ca="1" si="142"/>
        <v>2.2451056696401843E-2</v>
      </c>
      <c r="F198" s="2" vm="6771">
        <f ca="1"/>
        <v>505.87</v>
      </c>
      <c r="G198" s="2">
        <f t="shared" ca="1" si="143"/>
        <v>1.1874839194886352E-3</v>
      </c>
      <c r="H198" s="2" vm="6772">
        <f ca="1"/>
        <v>713.58</v>
      </c>
      <c r="I198" s="2">
        <f t="shared" ca="1" si="144"/>
        <v>1.2443069763482494E-2</v>
      </c>
      <c r="J198" s="2" vm="6773">
        <f ca="1"/>
        <v>190.23</v>
      </c>
      <c r="K198" s="2">
        <f t="shared" ca="1" si="145"/>
        <v>-5.8011915961117049E-3</v>
      </c>
      <c r="L198" s="2" vm="6774">
        <f ca="1"/>
        <v>634.21</v>
      </c>
      <c r="M198" s="2">
        <f t="shared" ca="1" si="146"/>
        <v>8.5074579397640526E-3</v>
      </c>
      <c r="N198" s="2" vm="1160">
        <f ca="1"/>
        <v>86.04</v>
      </c>
      <c r="O198" s="2">
        <f t="shared" ca="1" si="147"/>
        <v>-5.547850208044265E-3</v>
      </c>
      <c r="P198" s="2" vm="6775">
        <f ca="1"/>
        <v>312.18</v>
      </c>
      <c r="Q198" s="2">
        <f t="shared" ca="1" si="148"/>
        <v>-1.2401138880101283E-2</v>
      </c>
      <c r="R198" s="2" vm="3637">
        <f ca="1"/>
        <v>75.28</v>
      </c>
      <c r="S198" s="2">
        <f t="shared" ca="1" si="149"/>
        <v>-9.289980092898896E-4</v>
      </c>
      <c r="T198" s="2" vm="6776">
        <f ca="1"/>
        <v>94.66</v>
      </c>
      <c r="U198" s="2">
        <f t="shared" ca="1" si="150"/>
        <v>-3.5789473684210886E-3</v>
      </c>
      <c r="V198" s="2" vm="5789">
        <f ca="1"/>
        <v>46.78</v>
      </c>
      <c r="W198" s="2">
        <f t="shared" ca="1" si="151"/>
        <v>-6.7877290088895993E-3</v>
      </c>
      <c r="X198" s="2" vm="6777">
        <f ca="1"/>
        <v>151.85</v>
      </c>
      <c r="Y198" s="2">
        <f t="shared" ca="1" si="152"/>
        <v>1.4700968927497417E-2</v>
      </c>
      <c r="Z198" s="2" vm="6778">
        <f ca="1"/>
        <v>86.81</v>
      </c>
      <c r="AA198" s="2">
        <f t="shared" ca="1" si="153"/>
        <v>1.5678015678015716E-2</v>
      </c>
      <c r="AB198" s="2" vm="3927">
        <f ca="1"/>
        <v>13.7</v>
      </c>
      <c r="AC198" s="2">
        <f t="shared" ca="1" si="154"/>
        <v>2.1945866861740569E-3</v>
      </c>
      <c r="AD198" s="2" vm="1361">
        <f ca="1"/>
        <v>5.5</v>
      </c>
      <c r="AE198" s="2">
        <f t="shared" ca="1" si="155"/>
        <v>7.8431372549019676E-2</v>
      </c>
      <c r="AF198" s="2" vm="6779">
        <f ca="1"/>
        <v>35.69</v>
      </c>
      <c r="AG198" s="2">
        <f t="shared" ca="1" si="156"/>
        <v>-8.3986562150059174E-4</v>
      </c>
      <c r="AH198" s="2" vm="2376">
        <f ca="1"/>
        <v>26.2</v>
      </c>
      <c r="AI198" s="2">
        <f t="shared" ca="1" si="157"/>
        <v>8.8563727377743724E-3</v>
      </c>
      <c r="AJ198" s="2" vm="5423">
        <f ca="1"/>
        <v>4.47</v>
      </c>
      <c r="AK198" s="2">
        <f t="shared" ca="1" si="158"/>
        <v>-1.1061946902654829E-2</v>
      </c>
      <c r="AL198" s="2" vm="6780">
        <f ca="1"/>
        <v>67.13</v>
      </c>
      <c r="AM198" s="2">
        <f t="shared" ca="1" si="159"/>
        <v>-1.2213066509711571E-2</v>
      </c>
      <c r="AN198" s="2" vm="6781">
        <f ca="1"/>
        <v>128.81</v>
      </c>
      <c r="AO198" s="2">
        <f t="shared" ca="1" si="160"/>
        <v>-1.731766859932873E-2</v>
      </c>
      <c r="AP198" s="2" vm="1586">
        <f ca="1"/>
        <v>26.56</v>
      </c>
      <c r="AQ198" s="2">
        <f t="shared" ca="1" si="161"/>
        <v>-4.497751124437818E-3</v>
      </c>
      <c r="AR198" s="2" vm="1404">
        <f ca="1"/>
        <v>51.04</v>
      </c>
      <c r="AS198" s="2">
        <f t="shared" ca="1" si="162"/>
        <v>3.9200313602501019E-4</v>
      </c>
      <c r="AT198" s="2" vm="2322">
        <f ca="1"/>
        <v>29.18</v>
      </c>
      <c r="AU198" s="2">
        <f t="shared" ca="1" si="163"/>
        <v>-1.0270455323519731E-3</v>
      </c>
      <c r="AV198" s="2" vm="248">
        <f ca="1"/>
        <v>25.99</v>
      </c>
      <c r="AW198" s="2">
        <f t="shared" ca="1" si="164"/>
        <v>-4.5959402527767524E-3</v>
      </c>
      <c r="AX198" s="2" vm="1326">
        <f ca="1"/>
        <v>91.68</v>
      </c>
      <c r="AY198" s="2">
        <f t="shared" ca="1" si="165"/>
        <v>1.0908694229306334E-4</v>
      </c>
      <c r="AZ198" s="2" vm="6782">
        <f ca="1"/>
        <v>482.63</v>
      </c>
      <c r="BA198" s="2">
        <f t="shared" ca="1" si="166"/>
        <v>9.4116662832284103E-3</v>
      </c>
      <c r="BB198" s="2" vm="6783">
        <f ca="1"/>
        <v>296.76</v>
      </c>
      <c r="BC198" s="2">
        <f t="shared" ca="1" si="167"/>
        <v>1.8289126033695858E-2</v>
      </c>
      <c r="BD198" s="2" vm="6784">
        <f ca="1"/>
        <v>48.14</v>
      </c>
      <c r="BE198" s="2">
        <f t="shared" ca="1" si="168"/>
        <v>7.7454469332216332E-3</v>
      </c>
      <c r="BF198" s="2" vm="6785">
        <f ca="1"/>
        <v>109.93</v>
      </c>
      <c r="BG198" s="2">
        <f t="shared" ca="1" si="169"/>
        <v>1.2806338676985447E-2</v>
      </c>
      <c r="BH198" s="2" vm="3225">
        <f ca="1"/>
        <v>153.12</v>
      </c>
      <c r="BI198" s="2">
        <f t="shared" ca="1" si="170"/>
        <v>2.0527859237536743E-2</v>
      </c>
      <c r="BJ198" s="2" vm="2444">
        <f ca="1"/>
        <v>169.1</v>
      </c>
      <c r="BK198" s="2">
        <f t="shared" ca="1" si="171"/>
        <v>6.9671887095812983E-3</v>
      </c>
      <c r="BL198" s="2" vm="3999">
        <f ca="1"/>
        <v>69.16</v>
      </c>
      <c r="BM198" s="2">
        <f t="shared" ca="1" si="172"/>
        <v>-7.1777203560149296E-3</v>
      </c>
      <c r="BN198" s="2" vm="6786">
        <f ca="1"/>
        <v>298.12</v>
      </c>
      <c r="BO198" s="2">
        <f t="shared" ca="1" si="173"/>
        <v>-3.5097101982150994E-3</v>
      </c>
      <c r="BP198" s="2" vm="6787">
        <f ca="1"/>
        <v>122.94</v>
      </c>
      <c r="BQ198" s="2">
        <f t="shared" ca="1" si="174"/>
        <v>1.5529489509334176E-2</v>
      </c>
      <c r="BR198" s="2" vm="6788">
        <f ca="1"/>
        <v>1176.78</v>
      </c>
      <c r="BS198" s="2">
        <f t="shared" ca="1" si="175"/>
        <v>-1.1175719279376139E-2</v>
      </c>
      <c r="BT198" s="2" vm="6789">
        <f ca="1"/>
        <v>158.28</v>
      </c>
      <c r="BU198" s="2">
        <f t="shared" ca="1" si="176"/>
        <v>-2.5265285497721101E-4</v>
      </c>
      <c r="BV198" s="2" vm="3165">
        <f ca="1"/>
        <v>145.66</v>
      </c>
      <c r="BW198" s="2">
        <f t="shared" ca="1" si="177"/>
        <v>-2.6020268419610754E-3</v>
      </c>
      <c r="BX198" s="2" vm="6790">
        <f ca="1"/>
        <v>250.92</v>
      </c>
      <c r="BY198" s="2">
        <f t="shared" ca="1" si="178"/>
        <v>5.3842923141537144E-2</v>
      </c>
      <c r="BZ198" s="2" vm="815">
        <f ca="1"/>
        <v>90.24</v>
      </c>
      <c r="CA198" s="2">
        <f t="shared" ca="1" si="179"/>
        <v>7.8177350904622359E-3</v>
      </c>
      <c r="CB198" s="2" vm="2240">
        <f ca="1"/>
        <v>28.67</v>
      </c>
      <c r="CC198" s="2">
        <f t="shared" ca="1" si="180"/>
        <v>1.0218463706835896E-2</v>
      </c>
      <c r="CD198" s="2" t="e" vm="92">
        <f ca="1"/>
        <v>#N/A</v>
      </c>
      <c r="CE198" s="2" t="e" vm="140">
        <f t="shared" ca="1" si="181"/>
        <v>#N/A</v>
      </c>
      <c r="CF198" s="2" vm="6791">
        <f ca="1"/>
        <v>22.765000000000001</v>
      </c>
      <c r="CG198" s="2">
        <f t="shared" ca="1" si="182"/>
        <v>-2.1915406530791455E-3</v>
      </c>
      <c r="CH198" s="2" vm="3878">
        <f ca="1"/>
        <v>58.57</v>
      </c>
      <c r="CI198" s="2">
        <f t="shared" ca="1" si="183"/>
        <v>-6.824773929363444E-4</v>
      </c>
      <c r="CJ198" s="2" vm="5181">
        <f ca="1"/>
        <v>59.32</v>
      </c>
      <c r="CK198" s="2">
        <f t="shared" ca="1" si="184"/>
        <v>-2.5222801412476642E-3</v>
      </c>
      <c r="CL198" s="2" vm="6442">
        <f ca="1"/>
        <v>54.86</v>
      </c>
      <c r="CM198" s="2">
        <f t="shared" ca="1" si="185"/>
        <v>-5.077983315197699E-3</v>
      </c>
      <c r="CN198" s="2" vm="966">
        <f ca="1"/>
        <v>29.03</v>
      </c>
      <c r="CO198" s="2">
        <f t="shared" ca="1" si="186"/>
        <v>-1.375988992088034E-3</v>
      </c>
      <c r="CP198" s="2" vm="6792">
        <f ca="1"/>
        <v>22.129799999999999</v>
      </c>
      <c r="CQ198" s="2">
        <f t="shared" ca="1" si="187"/>
        <v>-8.0821033335294027E-4</v>
      </c>
    </row>
    <row r="199" spans="1:95" x14ac:dyDescent="0.2">
      <c r="A199" s="7" vm="6793">
        <f ca="1"/>
        <v>45862</v>
      </c>
      <c r="B199" s="2" vm="6794">
        <f ca="1"/>
        <v>213.76</v>
      </c>
      <c r="C199" s="2">
        <f t="shared" ca="1" si="141"/>
        <v>-1.8211533971515983E-3</v>
      </c>
      <c r="D199" s="2" vm="6795">
        <f ca="1"/>
        <v>173.74</v>
      </c>
      <c r="E199" s="2">
        <f t="shared" ca="1" si="142"/>
        <v>1.7332240309169737E-2</v>
      </c>
      <c r="F199" s="2" vm="6796">
        <f ca="1"/>
        <v>510.88</v>
      </c>
      <c r="G199" s="2">
        <f t="shared" ca="1" si="143"/>
        <v>9.9037302073655114E-3</v>
      </c>
      <c r="H199" s="2" vm="6797">
        <f ca="1"/>
        <v>714.8</v>
      </c>
      <c r="I199" s="2">
        <f t="shared" ca="1" si="144"/>
        <v>1.7096891729027068E-3</v>
      </c>
      <c r="J199" s="2" vm="6798">
        <f ca="1"/>
        <v>192.17</v>
      </c>
      <c r="K199" s="2">
        <f t="shared" ca="1" si="145"/>
        <v>1.0198181149135246E-2</v>
      </c>
      <c r="L199" s="2" vm="6799">
        <f ca="1"/>
        <v>634.41999999999996</v>
      </c>
      <c r="M199" s="2">
        <f t="shared" ca="1" si="146"/>
        <v>3.3112060673897082E-4</v>
      </c>
      <c r="N199" s="2" vm="5320">
        <f ca="1"/>
        <v>85.89</v>
      </c>
      <c r="O199" s="2">
        <f t="shared" ca="1" si="147"/>
        <v>-1.7433751743375833E-3</v>
      </c>
      <c r="P199" s="2" vm="6800">
        <f ca="1"/>
        <v>310.27</v>
      </c>
      <c r="Q199" s="2">
        <f t="shared" ca="1" si="148"/>
        <v>-6.1182651034660295E-3</v>
      </c>
      <c r="R199" s="2" vm="3147">
        <f ca="1"/>
        <v>76.09</v>
      </c>
      <c r="S199" s="2">
        <f t="shared" ca="1" si="149"/>
        <v>1.0759829968119052E-2</v>
      </c>
      <c r="T199" s="2" vm="748">
        <f ca="1"/>
        <v>94.52</v>
      </c>
      <c r="U199" s="2">
        <f t="shared" ca="1" si="150"/>
        <v>-1.478977392774145E-3</v>
      </c>
      <c r="V199" s="2" vm="6801">
        <f ca="1"/>
        <v>46.7254</v>
      </c>
      <c r="W199" s="2">
        <f t="shared" ca="1" si="151"/>
        <v>-1.1671654553228013E-3</v>
      </c>
      <c r="X199" s="2" vm="6802">
        <f ca="1"/>
        <v>151.63999999999999</v>
      </c>
      <c r="Y199" s="2">
        <f t="shared" ca="1" si="152"/>
        <v>-1.3829436944353503E-3</v>
      </c>
      <c r="Z199" s="2" vm="3830">
        <f ca="1"/>
        <v>87.43</v>
      </c>
      <c r="AA199" s="2">
        <f t="shared" ca="1" si="153"/>
        <v>7.1420343278424669E-3</v>
      </c>
      <c r="AB199" s="2" vm="3704">
        <f ca="1"/>
        <v>13.83</v>
      </c>
      <c r="AC199" s="2">
        <f t="shared" ca="1" si="154"/>
        <v>9.4890510948905677E-3</v>
      </c>
      <c r="AD199" s="2" vm="6803">
        <f ca="1"/>
        <v>5.49</v>
      </c>
      <c r="AE199" s="2">
        <f t="shared" ca="1" si="155"/>
        <v>-1.8181818181817794E-3</v>
      </c>
      <c r="AF199" s="2" vm="6804">
        <f ca="1"/>
        <v>35.49</v>
      </c>
      <c r="AG199" s="2">
        <f t="shared" ca="1" si="156"/>
        <v>-5.6038105912018981E-3</v>
      </c>
      <c r="AH199" s="2" vm="2376">
        <f ca="1"/>
        <v>26.2</v>
      </c>
      <c r="AI199" s="2">
        <f t="shared" ca="1" si="157"/>
        <v>0</v>
      </c>
      <c r="AJ199" s="2" vm="5010">
        <f ca="1"/>
        <v>4.4800000000000004</v>
      </c>
      <c r="AK199" s="2">
        <f t="shared" ca="1" si="158"/>
        <v>2.2371364653245361E-3</v>
      </c>
      <c r="AL199" s="2" vm="6805">
        <f ca="1"/>
        <v>66.72</v>
      </c>
      <c r="AM199" s="2">
        <f t="shared" ca="1" si="159"/>
        <v>-6.1075525100550664E-3</v>
      </c>
      <c r="AN199" s="2" vm="6806">
        <f ca="1"/>
        <v>128.28</v>
      </c>
      <c r="AO199" s="2">
        <f t="shared" ca="1" si="160"/>
        <v>-4.1145873767564718E-3</v>
      </c>
      <c r="AP199" s="2" vm="166">
        <f ca="1"/>
        <v>26.6</v>
      </c>
      <c r="AQ199" s="2">
        <f t="shared" ca="1" si="161"/>
        <v>1.5060240963856439E-3</v>
      </c>
      <c r="AR199" s="2" vm="1517">
        <f ca="1"/>
        <v>51.05</v>
      </c>
      <c r="AS199" s="2">
        <f t="shared" ca="1" si="162"/>
        <v>1.9592476489024315E-4</v>
      </c>
      <c r="AT199" s="2" vm="2322">
        <f ca="1"/>
        <v>29.18</v>
      </c>
      <c r="AU199" s="2">
        <f t="shared" ca="1" si="163"/>
        <v>0</v>
      </c>
      <c r="AV199" s="2" vm="2809">
        <f ca="1"/>
        <v>25.94</v>
      </c>
      <c r="AW199" s="2">
        <f t="shared" ca="1" si="164"/>
        <v>-1.9238168526355198E-3</v>
      </c>
      <c r="AX199" s="2" vm="1326">
        <f ca="1"/>
        <v>91.68</v>
      </c>
      <c r="AY199" s="2">
        <f t="shared" ca="1" si="165"/>
        <v>0</v>
      </c>
      <c r="AZ199" s="2" vm="6807">
        <f ca="1"/>
        <v>480.6</v>
      </c>
      <c r="BA199" s="2">
        <f t="shared" ca="1" si="166"/>
        <v>-4.2061206307108401E-3</v>
      </c>
      <c r="BB199" s="2" vm="6808">
        <f ca="1"/>
        <v>296.55</v>
      </c>
      <c r="BC199" s="2">
        <f t="shared" ca="1" si="167"/>
        <v>-7.0764253942572964E-4</v>
      </c>
      <c r="BD199" s="2" vm="6809">
        <f ca="1"/>
        <v>48.39</v>
      </c>
      <c r="BE199" s="2">
        <f t="shared" ca="1" si="168"/>
        <v>5.1931865392604902E-3</v>
      </c>
      <c r="BF199" s="2" vm="6810">
        <f ca="1"/>
        <v>110.79</v>
      </c>
      <c r="BG199" s="2">
        <f t="shared" ca="1" si="169"/>
        <v>7.8231601928499903E-3</v>
      </c>
      <c r="BH199" s="2" vm="6811">
        <f ca="1"/>
        <v>155.83000000000001</v>
      </c>
      <c r="BI199" s="2">
        <f t="shared" ca="1" si="170"/>
        <v>1.7698537095088871E-2</v>
      </c>
      <c r="BJ199" s="2" vm="6812">
        <f ca="1"/>
        <v>169.56</v>
      </c>
      <c r="BK199" s="2">
        <f t="shared" ca="1" si="171"/>
        <v>2.7202838557067294E-3</v>
      </c>
      <c r="BL199" s="2" vm="6813">
        <f ca="1"/>
        <v>69.099999999999994</v>
      </c>
      <c r="BM199" s="2">
        <f t="shared" ca="1" si="172"/>
        <v>-8.6755349913247945E-4</v>
      </c>
      <c r="BN199" s="2" vm="6814">
        <f ca="1"/>
        <v>294.48</v>
      </c>
      <c r="BO199" s="2">
        <f t="shared" ca="1" si="173"/>
        <v>-1.220984838320135E-2</v>
      </c>
      <c r="BP199" s="2" vm="6815">
        <f ca="1"/>
        <v>121.95</v>
      </c>
      <c r="BQ199" s="2">
        <f t="shared" ca="1" si="174"/>
        <v>-8.0527086383601343E-3</v>
      </c>
      <c r="BR199" s="2" vm="6816">
        <f ca="1"/>
        <v>1180.76</v>
      </c>
      <c r="BS199" s="2">
        <f t="shared" ca="1" si="175"/>
        <v>3.3821105049372168E-3</v>
      </c>
      <c r="BT199" s="2" vm="6817">
        <f ca="1"/>
        <v>158.81</v>
      </c>
      <c r="BU199" s="2">
        <f t="shared" ca="1" si="176"/>
        <v>3.348496335607791E-3</v>
      </c>
      <c r="BV199" s="2" vm="6818">
        <f ca="1"/>
        <v>144.51</v>
      </c>
      <c r="BW199" s="2">
        <f t="shared" ca="1" si="177"/>
        <v>-7.8950981738295043E-3</v>
      </c>
      <c r="BX199" s="2" vm="6819">
        <f ca="1"/>
        <v>253.04</v>
      </c>
      <c r="BY199" s="2">
        <f t="shared" ca="1" si="178"/>
        <v>8.4489080184919681E-3</v>
      </c>
      <c r="BZ199" s="2" vm="879">
        <f ca="1"/>
        <v>90.17</v>
      </c>
      <c r="CA199" s="2">
        <f t="shared" ca="1" si="179"/>
        <v>-7.7570921985808049E-4</v>
      </c>
      <c r="CB199" s="2" vm="161">
        <f ca="1"/>
        <v>28.8</v>
      </c>
      <c r="CC199" s="2">
        <f t="shared" ca="1" si="180"/>
        <v>4.5343564701778513E-3</v>
      </c>
      <c r="CD199" s="2" t="e" vm="92">
        <f ca="1"/>
        <v>#N/A</v>
      </c>
      <c r="CE199" s="2" t="e" vm="140">
        <f t="shared" ca="1" si="181"/>
        <v>#N/A</v>
      </c>
      <c r="CF199" s="2" vm="4854">
        <f ca="1"/>
        <v>22.74</v>
      </c>
      <c r="CG199" s="2">
        <f t="shared" ca="1" si="182"/>
        <v>-1.0981770261367068E-3</v>
      </c>
      <c r="CH199" s="2" vm="4100">
        <f ca="1"/>
        <v>58.54</v>
      </c>
      <c r="CI199" s="2">
        <f t="shared" ca="1" si="183"/>
        <v>-5.1220761481989311E-4</v>
      </c>
      <c r="CJ199" s="2" vm="3690">
        <f ca="1"/>
        <v>59.25</v>
      </c>
      <c r="CK199" s="2">
        <f t="shared" ca="1" si="184"/>
        <v>-1.1800404585300115E-3</v>
      </c>
      <c r="CL199" s="2" vm="6820">
        <f ca="1"/>
        <v>54.79</v>
      </c>
      <c r="CM199" s="2">
        <f t="shared" ca="1" si="185"/>
        <v>-1.2759752096245039E-3</v>
      </c>
      <c r="CN199" s="2" vm="800">
        <f ca="1"/>
        <v>29.01</v>
      </c>
      <c r="CO199" s="2">
        <f t="shared" ca="1" si="186"/>
        <v>-6.8894247330346446E-4</v>
      </c>
      <c r="CP199" s="2" vm="6821">
        <f ca="1"/>
        <v>22.0884</v>
      </c>
      <c r="CQ199" s="2">
        <f t="shared" ca="1" si="187"/>
        <v>-1.8707805764172942E-3</v>
      </c>
    </row>
    <row r="200" spans="1:95" x14ac:dyDescent="0.2">
      <c r="A200" s="7" vm="6822">
        <f ca="1"/>
        <v>45863</v>
      </c>
      <c r="B200" s="2" vm="6823">
        <f ca="1"/>
        <v>213.88</v>
      </c>
      <c r="C200" s="2">
        <f t="shared" ca="1" si="141"/>
        <v>5.6137724550900337E-4</v>
      </c>
      <c r="D200" s="2" vm="6824">
        <f ca="1"/>
        <v>173.5</v>
      </c>
      <c r="E200" s="2">
        <f t="shared" ca="1" si="142"/>
        <v>-1.3813744675953096E-3</v>
      </c>
      <c r="F200" s="2" vm="6825">
        <f ca="1"/>
        <v>513.71</v>
      </c>
      <c r="G200" s="2">
        <f t="shared" ca="1" si="143"/>
        <v>5.5394613216411702E-3</v>
      </c>
      <c r="H200" s="2" vm="6826">
        <f ca="1"/>
        <v>712.68</v>
      </c>
      <c r="I200" s="2">
        <f t="shared" ca="1" si="144"/>
        <v>-2.9658645775042037E-3</v>
      </c>
      <c r="J200" s="2" vm="6827">
        <f ca="1"/>
        <v>193.18</v>
      </c>
      <c r="K200" s="2">
        <f t="shared" ca="1" si="145"/>
        <v>5.2557631263986026E-3</v>
      </c>
      <c r="L200" s="2" vm="5475">
        <f ca="1"/>
        <v>637.1</v>
      </c>
      <c r="M200" s="2">
        <f t="shared" ca="1" si="146"/>
        <v>4.2243308849028464E-3</v>
      </c>
      <c r="N200" s="2" vm="6828">
        <f ca="1"/>
        <v>86.43</v>
      </c>
      <c r="O200" s="2">
        <f t="shared" ca="1" si="147"/>
        <v>6.2871114215858215E-3</v>
      </c>
      <c r="P200" s="2" vm="6829">
        <f ca="1"/>
        <v>307.39999999999998</v>
      </c>
      <c r="Q200" s="2">
        <f t="shared" ca="1" si="148"/>
        <v>-9.2500080574983226E-3</v>
      </c>
      <c r="R200" s="2" vm="6830">
        <f ca="1"/>
        <v>74.849999999999994</v>
      </c>
      <c r="S200" s="2">
        <f t="shared" ca="1" si="149"/>
        <v>-1.6296490997503077E-2</v>
      </c>
      <c r="T200" s="2" vm="6831">
        <f ca="1"/>
        <v>94.74</v>
      </c>
      <c r="U200" s="2">
        <f t="shared" ca="1" si="150"/>
        <v>2.3275497249259296E-3</v>
      </c>
      <c r="V200" s="2" vm="2770">
        <f ca="1"/>
        <v>46.835000000000001</v>
      </c>
      <c r="W200" s="2">
        <f t="shared" ca="1" si="151"/>
        <v>2.345619299139234E-3</v>
      </c>
      <c r="X200" s="2" vm="6832">
        <f ca="1"/>
        <v>151.13</v>
      </c>
      <c r="Y200" s="2">
        <f t="shared" ca="1" si="152"/>
        <v>-3.3632286995515098E-3</v>
      </c>
      <c r="Z200" s="2" vm="2254">
        <f ca="1"/>
        <v>87.1</v>
      </c>
      <c r="AA200" s="2">
        <f t="shared" ca="1" si="153"/>
        <v>-3.7744481299326602E-3</v>
      </c>
      <c r="AB200" s="2" vm="3831">
        <f ca="1"/>
        <v>13.61</v>
      </c>
      <c r="AC200" s="2">
        <f t="shared" ca="1" si="154"/>
        <v>-1.5907447577729619E-2</v>
      </c>
      <c r="AD200" s="2" vm="6833">
        <f ca="1"/>
        <v>5.46</v>
      </c>
      <c r="AE200" s="2">
        <f t="shared" ca="1" si="155"/>
        <v>-5.464480874316985E-3</v>
      </c>
      <c r="AF200" s="2" vm="6834">
        <f ca="1"/>
        <v>34.659999999999997</v>
      </c>
      <c r="AG200" s="2">
        <f t="shared" ca="1" si="156"/>
        <v>-2.3386869540715845E-2</v>
      </c>
      <c r="AH200" s="2" vm="1237">
        <f ca="1"/>
        <v>26.08</v>
      </c>
      <c r="AI200" s="2">
        <f t="shared" ca="1" si="157"/>
        <v>-4.5801526717557635E-3</v>
      </c>
      <c r="AJ200" s="2" vm="6601">
        <f ca="1"/>
        <v>4.46</v>
      </c>
      <c r="AK200" s="2">
        <f t="shared" ca="1" si="158"/>
        <v>-4.4642857142858173E-3</v>
      </c>
      <c r="AL200" s="2" vm="6335">
        <f ca="1"/>
        <v>66.09</v>
      </c>
      <c r="AM200" s="2">
        <f t="shared" ca="1" si="159"/>
        <v>-9.4424460431654002E-3</v>
      </c>
      <c r="AN200" s="2" vm="6835">
        <f ca="1"/>
        <v>127.62</v>
      </c>
      <c r="AO200" s="2">
        <f t="shared" ca="1" si="160"/>
        <v>-5.1449953227314981E-3</v>
      </c>
      <c r="AP200" s="2" vm="3252">
        <f ca="1"/>
        <v>26.63</v>
      </c>
      <c r="AQ200" s="2">
        <f t="shared" ca="1" si="161"/>
        <v>1.1278195488720897E-3</v>
      </c>
      <c r="AR200" s="2" vm="6836">
        <f ca="1"/>
        <v>51.064999999999998</v>
      </c>
      <c r="AS200" s="2">
        <f t="shared" ca="1" si="162"/>
        <v>2.9382957884428149E-4</v>
      </c>
      <c r="AT200" s="2" vm="253">
        <f ca="1"/>
        <v>29.19</v>
      </c>
      <c r="AU200" s="2">
        <f t="shared" ca="1" si="163"/>
        <v>3.4270047978072528E-4</v>
      </c>
      <c r="AV200" s="2" vm="6056">
        <f ca="1"/>
        <v>26.09</v>
      </c>
      <c r="AW200" s="2">
        <f t="shared" ca="1" si="164"/>
        <v>5.7825751734772004E-3</v>
      </c>
      <c r="AX200" s="2" vm="554">
        <f ca="1"/>
        <v>91.71</v>
      </c>
      <c r="AY200" s="2">
        <f t="shared" ca="1" si="165"/>
        <v>3.2722513088990975E-4</v>
      </c>
      <c r="AZ200" s="2" vm="6837">
        <f ca="1"/>
        <v>484.07</v>
      </c>
      <c r="BA200" s="2">
        <f t="shared" ca="1" si="166"/>
        <v>7.2201414898043492E-3</v>
      </c>
      <c r="BB200" s="2" vm="6838">
        <f ca="1"/>
        <v>298.62</v>
      </c>
      <c r="BC200" s="2">
        <f t="shared" ca="1" si="167"/>
        <v>6.9802731411228907E-3</v>
      </c>
      <c r="BD200" s="2" vm="6839">
        <f ca="1"/>
        <v>48.45</v>
      </c>
      <c r="BE200" s="2">
        <f t="shared" ca="1" si="168"/>
        <v>1.2399256044637792E-3</v>
      </c>
      <c r="BF200" s="2" vm="6840">
        <f ca="1"/>
        <v>110.4</v>
      </c>
      <c r="BG200" s="2">
        <f t="shared" ca="1" si="169"/>
        <v>-3.5201733008394308E-3</v>
      </c>
      <c r="BH200" s="2" vm="6841">
        <f ca="1"/>
        <v>154.84</v>
      </c>
      <c r="BI200" s="2">
        <f t="shared" ca="1" si="170"/>
        <v>-6.3530770711673554E-3</v>
      </c>
      <c r="BJ200" s="2" vm="6842">
        <f ca="1"/>
        <v>168.3</v>
      </c>
      <c r="BK200" s="2">
        <f t="shared" ca="1" si="171"/>
        <v>-7.4309978768576958E-3</v>
      </c>
      <c r="BL200" s="2" vm="6843">
        <f ca="1"/>
        <v>69.17</v>
      </c>
      <c r="BM200" s="2">
        <f t="shared" ca="1" si="172"/>
        <v>1.0130246020261563E-3</v>
      </c>
      <c r="BN200" s="2" vm="6844">
        <f ca="1"/>
        <v>298.47000000000003</v>
      </c>
      <c r="BO200" s="2">
        <f t="shared" ca="1" si="173"/>
        <v>1.3549307253463762E-2</v>
      </c>
      <c r="BP200" s="2" vm="1128">
        <f ca="1"/>
        <v>121.47</v>
      </c>
      <c r="BQ200" s="2">
        <f t="shared" ca="1" si="174"/>
        <v>-3.9360393603936365E-3</v>
      </c>
      <c r="BR200" s="2" vm="6845">
        <f ca="1"/>
        <v>1180.49</v>
      </c>
      <c r="BS200" s="2">
        <f t="shared" ca="1" si="175"/>
        <v>-2.2866628273313951E-4</v>
      </c>
      <c r="BT200" s="2" vm="6846">
        <f ca="1"/>
        <v>158.30000000000001</v>
      </c>
      <c r="BU200" s="2">
        <f t="shared" ca="1" si="176"/>
        <v>-3.2113846735091676E-3</v>
      </c>
      <c r="BV200" s="2" vm="5291">
        <f ca="1"/>
        <v>143.44999999999999</v>
      </c>
      <c r="BW200" s="2">
        <f t="shared" ca="1" si="177"/>
        <v>-7.3351325167808614E-3</v>
      </c>
      <c r="BX200" s="2" vm="6847">
        <f ca="1"/>
        <v>252.18</v>
      </c>
      <c r="BY200" s="2">
        <f t="shared" ca="1" si="178"/>
        <v>-3.3986721466961163E-3</v>
      </c>
      <c r="BZ200" s="2" vm="3346">
        <f ca="1"/>
        <v>89.71</v>
      </c>
      <c r="CA200" s="2">
        <f t="shared" ca="1" si="179"/>
        <v>-5.1014749916824661E-3</v>
      </c>
      <c r="CB200" s="2" vm="5654">
        <f ca="1"/>
        <v>28.61</v>
      </c>
      <c r="CC200" s="2">
        <f t="shared" ca="1" si="180"/>
        <v>-6.5972222222222664E-3</v>
      </c>
      <c r="CD200" s="2" t="e" vm="92">
        <f ca="1"/>
        <v>#N/A</v>
      </c>
      <c r="CE200" s="2" t="e" vm="140">
        <f t="shared" ca="1" si="181"/>
        <v>#N/A</v>
      </c>
      <c r="CF200" s="2" vm="902">
        <f ca="1"/>
        <v>22.785</v>
      </c>
      <c r="CG200" s="2">
        <f t="shared" ca="1" si="182"/>
        <v>1.9788918205805501E-3</v>
      </c>
      <c r="CH200" s="2" vm="4283">
        <f ca="1"/>
        <v>58.56</v>
      </c>
      <c r="CI200" s="2">
        <f t="shared" ca="1" si="183"/>
        <v>3.4164673727371243E-4</v>
      </c>
      <c r="CJ200" s="2" vm="95">
        <f ca="1"/>
        <v>59.34</v>
      </c>
      <c r="CK200" s="2">
        <f t="shared" ca="1" si="184"/>
        <v>1.5189873417722096E-3</v>
      </c>
      <c r="CL200" s="2" vm="6129">
        <f ca="1"/>
        <v>55.08</v>
      </c>
      <c r="CM200" s="2">
        <f t="shared" ca="1" si="185"/>
        <v>5.2929366672750345E-3</v>
      </c>
      <c r="CN200" s="2" vm="1747">
        <f ca="1"/>
        <v>29.08</v>
      </c>
      <c r="CO200" s="2">
        <f t="shared" ca="1" si="186"/>
        <v>2.4129610479143994E-3</v>
      </c>
      <c r="CP200" s="2" vm="6848">
        <f ca="1"/>
        <v>21.997499999999999</v>
      </c>
      <c r="CQ200" s="2">
        <f t="shared" ca="1" si="187"/>
        <v>-4.1152822295866297E-3</v>
      </c>
    </row>
    <row r="201" spans="1:95" x14ac:dyDescent="0.2">
      <c r="A201" s="7" vm="6849">
        <f ca="1"/>
        <v>45866</v>
      </c>
      <c r="B201" s="2" vm="6850">
        <f ca="1"/>
        <v>214.05</v>
      </c>
      <c r="C201" s="2">
        <f t="shared" ca="1" si="141"/>
        <v>7.9483822704327618E-4</v>
      </c>
      <c r="D201" s="2" vm="6851">
        <f ca="1"/>
        <v>176.75</v>
      </c>
      <c r="E201" s="2">
        <f t="shared" ca="1" si="142"/>
        <v>1.8731988472622477E-2</v>
      </c>
      <c r="F201" s="2" vm="6852">
        <f ca="1"/>
        <v>512.5</v>
      </c>
      <c r="G201" s="2">
        <f t="shared" ca="1" si="143"/>
        <v>-2.3554145334917292E-3</v>
      </c>
      <c r="H201" s="2" vm="6853">
        <f ca="1"/>
        <v>717.63</v>
      </c>
      <c r="I201" s="2">
        <f t="shared" ca="1" si="144"/>
        <v>6.9456137396868801E-3</v>
      </c>
      <c r="J201" s="2" vm="6854">
        <f ca="1"/>
        <v>192.58</v>
      </c>
      <c r="K201" s="2">
        <f t="shared" ca="1" si="145"/>
        <v>-3.1059115850501826E-3</v>
      </c>
      <c r="L201" s="2" vm="6855">
        <f ca="1"/>
        <v>636.94000000000005</v>
      </c>
      <c r="M201" s="2">
        <f t="shared" ca="1" si="146"/>
        <v>-2.5113796892162638E-4</v>
      </c>
      <c r="N201" s="2" vm="6856">
        <f ca="1"/>
        <v>85.87</v>
      </c>
      <c r="O201" s="2">
        <f t="shared" ca="1" si="147"/>
        <v>-6.4792317482355918E-3</v>
      </c>
      <c r="P201" s="2" vm="6857">
        <f ca="1"/>
        <v>305.41000000000003</v>
      </c>
      <c r="Q201" s="2">
        <f t="shared" ca="1" si="148"/>
        <v>-6.4736499674689406E-3</v>
      </c>
      <c r="R201" s="2" vm="6858">
        <f ca="1"/>
        <v>77.17</v>
      </c>
      <c r="S201" s="2">
        <f t="shared" ca="1" si="149"/>
        <v>3.0995323981296025E-2</v>
      </c>
      <c r="T201" s="2" vm="5132">
        <f ca="1"/>
        <v>94.53</v>
      </c>
      <c r="U201" s="2">
        <f t="shared" ca="1" si="150"/>
        <v>-2.2165927802405929E-3</v>
      </c>
      <c r="V201" s="2" vm="6859">
        <f ca="1"/>
        <v>46.77</v>
      </c>
      <c r="W201" s="2">
        <f t="shared" ca="1" si="151"/>
        <v>-1.3878509661577395E-3</v>
      </c>
      <c r="X201" s="2" vm="6860">
        <f ca="1"/>
        <v>148.69999999999999</v>
      </c>
      <c r="Y201" s="2">
        <f t="shared" ca="1" si="152"/>
        <v>-1.6078872493879487E-2</v>
      </c>
      <c r="Z201" s="2" vm="6861">
        <f ca="1"/>
        <v>88.09</v>
      </c>
      <c r="AA201" s="2">
        <f t="shared" ca="1" si="153"/>
        <v>1.1366245694604009E-2</v>
      </c>
      <c r="AB201" s="2" vm="6862">
        <f ca="1"/>
        <v>14.02</v>
      </c>
      <c r="AC201" s="2">
        <f t="shared" ca="1" si="154"/>
        <v>3.0124908155767828E-2</v>
      </c>
      <c r="AD201" s="2" vm="6863">
        <f ca="1"/>
        <v>5.4</v>
      </c>
      <c r="AE201" s="2">
        <f t="shared" ca="1" si="155"/>
        <v>-1.0989010989010917E-2</v>
      </c>
      <c r="AF201" s="2" vm="6864">
        <f ca="1"/>
        <v>34.64</v>
      </c>
      <c r="AG201" s="2">
        <f t="shared" ca="1" si="156"/>
        <v>-5.7703404500854076E-4</v>
      </c>
      <c r="AH201" s="2" vm="884">
        <f ca="1"/>
        <v>26.23</v>
      </c>
      <c r="AI201" s="2">
        <f t="shared" ca="1" si="157"/>
        <v>5.7515337423313705E-3</v>
      </c>
      <c r="AJ201" s="2" vm="5366">
        <f ca="1"/>
        <v>4.45</v>
      </c>
      <c r="AK201" s="2">
        <f t="shared" ca="1" si="158"/>
        <v>-2.2421524663676653E-3</v>
      </c>
      <c r="AL201" s="2" vm="6865">
        <f ca="1"/>
        <v>65.69</v>
      </c>
      <c r="AM201" s="2">
        <f t="shared" ca="1" si="159"/>
        <v>-6.0523528521713669E-3</v>
      </c>
      <c r="AN201" s="2" vm="6866">
        <f ca="1"/>
        <v>125.78</v>
      </c>
      <c r="AO201" s="2">
        <f t="shared" ca="1" si="160"/>
        <v>-1.4417802852217547E-2</v>
      </c>
      <c r="AP201" s="2" vm="3929">
        <f ca="1"/>
        <v>26.58</v>
      </c>
      <c r="AQ201" s="2">
        <f t="shared" ca="1" si="161"/>
        <v>-1.8775816748028806E-3</v>
      </c>
      <c r="AR201" s="2" vm="6867">
        <f ca="1"/>
        <v>51.075000000000003</v>
      </c>
      <c r="AS201" s="2">
        <f t="shared" ca="1" si="162"/>
        <v>1.9582884558905545E-4</v>
      </c>
      <c r="AT201" s="2" vm="122">
        <f ca="1"/>
        <v>29.17</v>
      </c>
      <c r="AU201" s="2">
        <f t="shared" ca="1" si="163"/>
        <v>-6.8516615279203745E-4</v>
      </c>
      <c r="AV201" s="2" vm="2742">
        <f ca="1"/>
        <v>25.95</v>
      </c>
      <c r="AW201" s="2">
        <f t="shared" ca="1" si="164"/>
        <v>-5.3660406285933526E-3</v>
      </c>
      <c r="AX201" s="2" vm="1406">
        <f ca="1"/>
        <v>91.72</v>
      </c>
      <c r="AY201" s="2">
        <f t="shared" ca="1" si="165"/>
        <v>1.0903936321017465E-4</v>
      </c>
      <c r="AZ201" s="2" vm="6868">
        <f ca="1"/>
        <v>481.7</v>
      </c>
      <c r="BA201" s="2">
        <f t="shared" ca="1" si="166"/>
        <v>-4.8959861177102579E-3</v>
      </c>
      <c r="BB201" s="2" vm="6869">
        <f ca="1"/>
        <v>298.27999999999997</v>
      </c>
      <c r="BC201" s="2">
        <f t="shared" ca="1" si="167"/>
        <v>-1.1385707588240299E-3</v>
      </c>
      <c r="BD201" s="2" vm="6870">
        <f ca="1"/>
        <v>48.23</v>
      </c>
      <c r="BE201" s="2">
        <f t="shared" ca="1" si="168"/>
        <v>-4.540763673890732E-3</v>
      </c>
      <c r="BF201" s="2" vm="6871">
        <f ca="1"/>
        <v>111.44</v>
      </c>
      <c r="BG201" s="2">
        <f t="shared" ca="1" si="169"/>
        <v>9.4202898550723915E-3</v>
      </c>
      <c r="BH201" s="2" vm="6492">
        <f ca="1"/>
        <v>156.28</v>
      </c>
      <c r="BI201" s="2">
        <f t="shared" ca="1" si="170"/>
        <v>9.2999225006458134E-3</v>
      </c>
      <c r="BJ201" s="2" vm="6872">
        <f ca="1"/>
        <v>166.22</v>
      </c>
      <c r="BK201" s="2">
        <f t="shared" ca="1" si="171"/>
        <v>-1.2358882947118314E-2</v>
      </c>
      <c r="BL201" s="2" vm="6873">
        <f ca="1"/>
        <v>68.09</v>
      </c>
      <c r="BM201" s="2">
        <f t="shared" ca="1" si="172"/>
        <v>-1.561370536359691E-2</v>
      </c>
      <c r="BN201" s="2" vm="6874">
        <f ca="1"/>
        <v>299.22000000000003</v>
      </c>
      <c r="BO201" s="2">
        <f t="shared" ca="1" si="173"/>
        <v>2.51281535832747E-3</v>
      </c>
      <c r="BP201" s="2" vm="6875">
        <f ca="1"/>
        <v>120.37</v>
      </c>
      <c r="BQ201" s="2">
        <f t="shared" ca="1" si="174"/>
        <v>-9.0557339260722344E-3</v>
      </c>
      <c r="BR201" s="2" vm="6876">
        <f ca="1"/>
        <v>1174.5999999999999</v>
      </c>
      <c r="BS201" s="2">
        <f t="shared" ca="1" si="175"/>
        <v>-4.9894535320079798E-3</v>
      </c>
      <c r="BT201" s="2" vm="6877">
        <f ca="1"/>
        <v>157.11000000000001</v>
      </c>
      <c r="BU201" s="2">
        <f t="shared" ca="1" si="176"/>
        <v>-7.5173720783322656E-3</v>
      </c>
      <c r="BV201" s="2" vm="6878">
        <f ca="1"/>
        <v>141.57</v>
      </c>
      <c r="BW201" s="2">
        <f t="shared" ca="1" si="177"/>
        <v>-1.310561171139767E-2</v>
      </c>
      <c r="BX201" s="2" vm="6879">
        <f ca="1"/>
        <v>256.64</v>
      </c>
      <c r="BY201" s="2">
        <f t="shared" ca="1" si="178"/>
        <v>1.768577999841375E-2</v>
      </c>
      <c r="BZ201" s="2" vm="170">
        <f ca="1"/>
        <v>91.6</v>
      </c>
      <c r="CA201" s="2">
        <f t="shared" ca="1" si="179"/>
        <v>2.1067885408538631E-2</v>
      </c>
      <c r="CB201" s="2" vm="4979">
        <f ca="1"/>
        <v>29.32</v>
      </c>
      <c r="CC201" s="2">
        <f t="shared" ca="1" si="180"/>
        <v>2.4816497728067141E-2</v>
      </c>
      <c r="CD201" s="2" t="e" vm="92">
        <f ca="1"/>
        <v>#N/A</v>
      </c>
      <c r="CE201" s="2" t="e" vm="140">
        <f t="shared" ca="1" si="181"/>
        <v>#N/A</v>
      </c>
      <c r="CF201" s="2" vm="6880">
        <f ca="1"/>
        <v>22.745000000000001</v>
      </c>
      <c r="CG201" s="2">
        <f t="shared" ca="1" si="182"/>
        <v>-1.755540926047801E-3</v>
      </c>
      <c r="CH201" s="2" vm="142">
        <f ca="1"/>
        <v>58.55</v>
      </c>
      <c r="CI201" s="2">
        <f t="shared" ca="1" si="183"/>
        <v>-1.7076502732249173E-4</v>
      </c>
      <c r="CJ201" s="2" vm="4407">
        <f ca="1"/>
        <v>59.27</v>
      </c>
      <c r="CK201" s="2">
        <f t="shared" ca="1" si="184"/>
        <v>-1.1796427367711541E-3</v>
      </c>
      <c r="CL201" s="2" vm="6820">
        <f ca="1"/>
        <v>54.79</v>
      </c>
      <c r="CM201" s="2">
        <f t="shared" ca="1" si="185"/>
        <v>-5.2650689905591715E-3</v>
      </c>
      <c r="CN201" s="2" vm="885">
        <f ca="1"/>
        <v>29.02</v>
      </c>
      <c r="CO201" s="2">
        <f t="shared" ca="1" si="186"/>
        <v>-2.063273727647824E-3</v>
      </c>
      <c r="CP201" s="2" vm="6881">
        <f ca="1"/>
        <v>21.743500000000001</v>
      </c>
      <c r="CQ201" s="2">
        <f t="shared" ca="1" si="187"/>
        <v>-1.1546766678031494E-2</v>
      </c>
    </row>
    <row r="202" spans="1:95" x14ac:dyDescent="0.2">
      <c r="A202" s="7" vm="6882">
        <f ca="1"/>
        <v>45867</v>
      </c>
      <c r="B202" s="2" vm="6883">
        <f ca="1"/>
        <v>211.27</v>
      </c>
      <c r="C202" s="2">
        <f t="shared" ca="1" si="141"/>
        <v>-1.298761971501986E-2</v>
      </c>
      <c r="D202" s="2" vm="6884">
        <f ca="1"/>
        <v>175.51</v>
      </c>
      <c r="E202" s="2">
        <f t="shared" ca="1" si="142"/>
        <v>-7.0155586987270674E-3</v>
      </c>
      <c r="F202" s="2" vm="6885">
        <f ca="1"/>
        <v>512.57000000000005</v>
      </c>
      <c r="G202" s="2">
        <f t="shared" ca="1" si="143"/>
        <v>1.3658536585375614E-4</v>
      </c>
      <c r="H202" s="2" vm="6886">
        <f ca="1"/>
        <v>700</v>
      </c>
      <c r="I202" s="2">
        <f t="shared" ca="1" si="144"/>
        <v>-2.4566977411758142E-2</v>
      </c>
      <c r="J202" s="2" vm="6887">
        <f ca="1"/>
        <v>195.75</v>
      </c>
      <c r="K202" s="2">
        <f t="shared" ca="1" si="145"/>
        <v>1.6460691660608512E-2</v>
      </c>
      <c r="L202" s="2" vm="6888">
        <f ca="1"/>
        <v>635.26</v>
      </c>
      <c r="M202" s="2">
        <f t="shared" ca="1" si="146"/>
        <v>-2.6376110779666273E-3</v>
      </c>
      <c r="N202" s="2" vm="71">
        <f ca="1"/>
        <v>87.32</v>
      </c>
      <c r="O202" s="2">
        <f t="shared" ca="1" si="147"/>
        <v>1.6885990450681128E-2</v>
      </c>
      <c r="P202" s="2" vm="6889">
        <f ca="1"/>
        <v>306.25</v>
      </c>
      <c r="Q202" s="2">
        <f t="shared" ca="1" si="148"/>
        <v>2.7504011001603578E-3</v>
      </c>
      <c r="R202" s="2" vm="6890">
        <f ca="1"/>
        <v>79.8</v>
      </c>
      <c r="S202" s="2">
        <f t="shared" ca="1" si="149"/>
        <v>3.4080601269923488E-2</v>
      </c>
      <c r="T202" s="2" vm="6891">
        <f ca="1"/>
        <v>95.15</v>
      </c>
      <c r="U202" s="2">
        <f t="shared" ca="1" si="150"/>
        <v>6.5587644134137788E-3</v>
      </c>
      <c r="V202" s="2" vm="6892">
        <f ca="1"/>
        <v>46.994999999999997</v>
      </c>
      <c r="W202" s="2">
        <f t="shared" ca="1" si="151"/>
        <v>4.8107761385502313E-3</v>
      </c>
      <c r="X202" s="2" vm="6893">
        <f ca="1"/>
        <v>147.82</v>
      </c>
      <c r="Y202" s="2">
        <f t="shared" ca="1" si="152"/>
        <v>-5.9179556153328549E-3</v>
      </c>
      <c r="Z202" s="2" vm="6894">
        <f ca="1"/>
        <v>88.95</v>
      </c>
      <c r="AA202" s="2">
        <f t="shared" ca="1" si="153"/>
        <v>9.7627426495629395E-3</v>
      </c>
      <c r="AB202" s="2" vm="6895">
        <f ca="1"/>
        <v>14.46</v>
      </c>
      <c r="AC202" s="2">
        <f t="shared" ca="1" si="154"/>
        <v>3.1383737517831758E-2</v>
      </c>
      <c r="AD202" s="2" vm="1276">
        <f ca="1"/>
        <v>4.8</v>
      </c>
      <c r="AE202" s="2">
        <f t="shared" ca="1" si="155"/>
        <v>-0.1111111111111112</v>
      </c>
      <c r="AF202" s="2" vm="6834">
        <f ca="1"/>
        <v>34.659999999999997</v>
      </c>
      <c r="AG202" s="2">
        <f t="shared" ca="1" si="156"/>
        <v>5.7736720554261035E-4</v>
      </c>
      <c r="AH202" s="2" vm="5425">
        <f ca="1"/>
        <v>26.01</v>
      </c>
      <c r="AI202" s="2">
        <f t="shared" ca="1" si="157"/>
        <v>-8.3873427373236317E-3</v>
      </c>
      <c r="AJ202" s="2" vm="5294">
        <f ca="1"/>
        <v>4.3899999999999997</v>
      </c>
      <c r="AK202" s="2">
        <f t="shared" ca="1" si="158"/>
        <v>-1.3483146067415842E-2</v>
      </c>
      <c r="AL202" s="2" vm="5004">
        <f ca="1"/>
        <v>65.849999999999994</v>
      </c>
      <c r="AM202" s="2">
        <f t="shared" ca="1" si="159"/>
        <v>2.4356827523214584E-3</v>
      </c>
      <c r="AN202" s="2" vm="6896">
        <f ca="1"/>
        <v>127.4</v>
      </c>
      <c r="AO202" s="2">
        <f t="shared" ca="1" si="160"/>
        <v>1.2879631101924031E-2</v>
      </c>
      <c r="AP202" s="2" vm="2670">
        <f ca="1"/>
        <v>26.73</v>
      </c>
      <c r="AQ202" s="2">
        <f t="shared" ca="1" si="161"/>
        <v>5.6433408577878912E-3</v>
      </c>
      <c r="AR202" s="2" vm="595">
        <f ca="1"/>
        <v>51.06</v>
      </c>
      <c r="AS202" s="2">
        <f t="shared" ca="1" si="162"/>
        <v>-2.9368575624083343E-4</v>
      </c>
      <c r="AT202" s="2" vm="168">
        <f ca="1"/>
        <v>29.2</v>
      </c>
      <c r="AU202" s="2">
        <f t="shared" ca="1" si="163"/>
        <v>1.0284538909838047E-3</v>
      </c>
      <c r="AV202" s="2" vm="1855">
        <f ca="1"/>
        <v>26.33</v>
      </c>
      <c r="AW202" s="2">
        <f t="shared" ca="1" si="164"/>
        <v>1.4643545279383392E-2</v>
      </c>
      <c r="AX202" s="2" vm="1442">
        <f ca="1"/>
        <v>91.73</v>
      </c>
      <c r="AY202" s="2">
        <f t="shared" ca="1" si="165"/>
        <v>1.0902747492373655E-4</v>
      </c>
      <c r="AZ202" s="2" vm="6897">
        <f ca="1"/>
        <v>476.56</v>
      </c>
      <c r="BA202" s="2">
        <f t="shared" ca="1" si="166"/>
        <v>-1.0670541831015127E-2</v>
      </c>
      <c r="BB202" s="2" vm="6898">
        <f ca="1"/>
        <v>297.04000000000002</v>
      </c>
      <c r="BC202" s="2">
        <f t="shared" ca="1" si="167"/>
        <v>-4.1571677618343584E-3</v>
      </c>
      <c r="BD202" s="2" vm="6899">
        <f ca="1"/>
        <v>47.95</v>
      </c>
      <c r="BE202" s="2">
        <f t="shared" ca="1" si="168"/>
        <v>-5.8055152394773804E-3</v>
      </c>
      <c r="BF202" s="2" vm="6900">
        <f ca="1"/>
        <v>112.88</v>
      </c>
      <c r="BG202" s="2">
        <f t="shared" ca="1" si="169"/>
        <v>1.2921751615218932E-2</v>
      </c>
      <c r="BH202" s="2" vm="6901">
        <f ca="1"/>
        <v>157.03</v>
      </c>
      <c r="BI202" s="2">
        <f t="shared" ca="1" si="170"/>
        <v>4.7990785769132325E-3</v>
      </c>
      <c r="BJ202" s="2" vm="2162">
        <f ca="1"/>
        <v>168.11</v>
      </c>
      <c r="BK202" s="2">
        <f t="shared" ca="1" si="171"/>
        <v>1.137047286728441E-2</v>
      </c>
      <c r="BL202" s="2" vm="4058">
        <f ca="1"/>
        <v>69.38</v>
      </c>
      <c r="BM202" s="2">
        <f t="shared" ca="1" si="172"/>
        <v>1.8945513291232074E-2</v>
      </c>
      <c r="BN202" s="2" vm="6902">
        <f ca="1"/>
        <v>302.67</v>
      </c>
      <c r="BO202" s="2">
        <f t="shared" ca="1" si="173"/>
        <v>1.1529977942650853E-2</v>
      </c>
      <c r="BP202" s="2" vm="6903">
        <f ca="1"/>
        <v>119.91</v>
      </c>
      <c r="BQ202" s="2">
        <f t="shared" ca="1" si="174"/>
        <v>-3.8215502201545894E-3</v>
      </c>
      <c r="BR202" s="2" vm="6904">
        <f ca="1"/>
        <v>1168.74</v>
      </c>
      <c r="BS202" s="2">
        <f t="shared" ca="1" si="175"/>
        <v>-4.9889324025199216E-3</v>
      </c>
      <c r="BT202" s="2" vm="6905">
        <f ca="1"/>
        <v>156.61000000000001</v>
      </c>
      <c r="BU202" s="2">
        <f t="shared" ca="1" si="176"/>
        <v>-3.1824836102094071E-3</v>
      </c>
      <c r="BV202" s="2" vm="6906">
        <f ca="1"/>
        <v>143.88999999999999</v>
      </c>
      <c r="BW202" s="2">
        <f t="shared" ca="1" si="177"/>
        <v>1.6387652751289068E-2</v>
      </c>
      <c r="BX202" s="2" vm="6907">
        <f ca="1"/>
        <v>255.61</v>
      </c>
      <c r="BY202" s="2">
        <f t="shared" ca="1" si="178"/>
        <v>-4.0134039900248317E-3</v>
      </c>
      <c r="BZ202" s="2" vm="3666">
        <f ca="1"/>
        <v>92.43</v>
      </c>
      <c r="CA202" s="2">
        <f t="shared" ca="1" si="179"/>
        <v>9.0611353711791756E-3</v>
      </c>
      <c r="CB202" s="2" vm="6908">
        <f ca="1"/>
        <v>29.47</v>
      </c>
      <c r="CC202" s="2">
        <f t="shared" ca="1" si="180"/>
        <v>5.1159618008185057E-3</v>
      </c>
      <c r="CD202" s="2" t="e" vm="92">
        <f ca="1"/>
        <v>#N/A</v>
      </c>
      <c r="CE202" s="2" t="e" vm="140">
        <f t="shared" ca="1" si="181"/>
        <v>#N/A</v>
      </c>
      <c r="CF202" s="2" vm="526">
        <f ca="1"/>
        <v>22.86</v>
      </c>
      <c r="CG202" s="2">
        <f t="shared" ca="1" si="182"/>
        <v>5.0560562761045695E-3</v>
      </c>
      <c r="CH202" s="2" vm="863">
        <f ca="1"/>
        <v>58.61</v>
      </c>
      <c r="CI202" s="2">
        <f t="shared" ca="1" si="183"/>
        <v>1.0247651579846674E-3</v>
      </c>
      <c r="CJ202" s="2" vm="4957">
        <f ca="1"/>
        <v>59.5</v>
      </c>
      <c r="CK202" s="2">
        <f t="shared" ca="1" si="184"/>
        <v>3.880546650919468E-3</v>
      </c>
      <c r="CL202" s="2" vm="4787">
        <f ca="1"/>
        <v>55.62</v>
      </c>
      <c r="CM202" s="2">
        <f t="shared" ca="1" si="185"/>
        <v>1.5148749771856148E-2</v>
      </c>
      <c r="CN202" s="2" vm="122">
        <f ca="1"/>
        <v>29.17</v>
      </c>
      <c r="CO202" s="2">
        <f t="shared" ca="1" si="186"/>
        <v>5.1688490696072406E-3</v>
      </c>
      <c r="CP202" s="2" vm="6909">
        <f ca="1"/>
        <v>21.9</v>
      </c>
      <c r="CQ202" s="2">
        <f t="shared" ca="1" si="187"/>
        <v>7.1975532917882418E-3</v>
      </c>
    </row>
    <row r="203" spans="1:95" x14ac:dyDescent="0.2">
      <c r="A203" s="7" vm="6910">
        <f ca="1"/>
        <v>45868</v>
      </c>
      <c r="B203" s="2" vm="6911">
        <f ca="1"/>
        <v>209.05</v>
      </c>
      <c r="C203" s="2">
        <f t="shared" ca="1" si="141"/>
        <v>-1.0507880910683007E-2</v>
      </c>
      <c r="D203" s="2" vm="6912">
        <f ca="1"/>
        <v>179.27</v>
      </c>
      <c r="E203" s="2">
        <f t="shared" ca="1" si="142"/>
        <v>2.1423280724745138E-2</v>
      </c>
      <c r="F203" s="2" vm="6913">
        <f ca="1"/>
        <v>513.24</v>
      </c>
      <c r="G203" s="2">
        <f t="shared" ca="1" si="143"/>
        <v>1.3071385371753303E-3</v>
      </c>
      <c r="H203" s="2" vm="6914">
        <f ca="1"/>
        <v>695.21</v>
      </c>
      <c r="I203" s="2">
        <f t="shared" ca="1" si="144"/>
        <v>-6.8428571428570907E-3</v>
      </c>
      <c r="J203" s="2" vm="6915">
        <f ca="1"/>
        <v>196.53</v>
      </c>
      <c r="K203" s="2">
        <f t="shared" ca="1" si="145"/>
        <v>3.9846743295019211E-3</v>
      </c>
      <c r="L203" s="2" vm="6916">
        <f ca="1"/>
        <v>634.46</v>
      </c>
      <c r="M203" s="2">
        <f t="shared" ca="1" si="146"/>
        <v>-1.2593268897773424E-3</v>
      </c>
      <c r="N203" s="2" vm="6917">
        <f ca="1"/>
        <v>86.87</v>
      </c>
      <c r="O203" s="2">
        <f t="shared" ca="1" si="147"/>
        <v>-5.1534585432889222E-3</v>
      </c>
      <c r="P203" s="2" vm="6918">
        <f ca="1"/>
        <v>300.95999999999998</v>
      </c>
      <c r="Q203" s="2">
        <f t="shared" ca="1" si="148"/>
        <v>-1.7273469387755168E-2</v>
      </c>
      <c r="R203" s="2" vm="6919">
        <f ca="1"/>
        <v>81.040000000000006</v>
      </c>
      <c r="S203" s="2">
        <f t="shared" ca="1" si="149"/>
        <v>1.55388471177946E-2</v>
      </c>
      <c r="T203" s="2" vm="6920">
        <f ca="1"/>
        <v>94.82</v>
      </c>
      <c r="U203" s="2">
        <f t="shared" ca="1" si="150"/>
        <v>-3.4682080924856805E-3</v>
      </c>
      <c r="V203" s="2" vm="6424">
        <f ca="1"/>
        <v>46.854999999999997</v>
      </c>
      <c r="W203" s="2">
        <f t="shared" ca="1" si="151"/>
        <v>-2.9790403234386761E-3</v>
      </c>
      <c r="X203" s="2" vm="6921">
        <f ca="1"/>
        <v>145.46</v>
      </c>
      <c r="Y203" s="2">
        <f t="shared" ca="1" si="152"/>
        <v>-1.5965363279664357E-2</v>
      </c>
      <c r="Z203" s="2" vm="6922">
        <f ca="1"/>
        <v>87.68</v>
      </c>
      <c r="AA203" s="2">
        <f t="shared" ca="1" si="153"/>
        <v>-1.4277684092186577E-2</v>
      </c>
      <c r="AB203" s="2" vm="1360">
        <f ca="1"/>
        <v>14.57</v>
      </c>
      <c r="AC203" s="2">
        <f t="shared" ca="1" si="154"/>
        <v>7.607192254495119E-3</v>
      </c>
      <c r="AD203" s="2" vm="1276">
        <f ca="1"/>
        <v>4.8</v>
      </c>
      <c r="AE203" s="2">
        <f t="shared" ca="1" si="155"/>
        <v>0</v>
      </c>
      <c r="AF203" s="2" vm="6398">
        <f ca="1"/>
        <v>33.51</v>
      </c>
      <c r="AG203" s="2">
        <f t="shared" ca="1" si="156"/>
        <v>-3.3179457587997653E-2</v>
      </c>
      <c r="AH203" s="2" vm="162">
        <f ca="1"/>
        <v>25.96</v>
      </c>
      <c r="AI203" s="2">
        <f t="shared" ca="1" si="157"/>
        <v>-1.9223375624759979E-3</v>
      </c>
      <c r="AJ203" s="2" vm="6923">
        <f ca="1"/>
        <v>4.3600000000000003</v>
      </c>
      <c r="AK203" s="2">
        <f t="shared" ca="1" si="158"/>
        <v>-6.833712984054525E-3</v>
      </c>
      <c r="AL203" s="2" vm="6924">
        <f ca="1"/>
        <v>64.73</v>
      </c>
      <c r="AM203" s="2">
        <f t="shared" ca="1" si="159"/>
        <v>-1.7008352315869255E-2</v>
      </c>
      <c r="AN203" s="2" vm="6925">
        <f ca="1"/>
        <v>118.76</v>
      </c>
      <c r="AO203" s="2">
        <f t="shared" ca="1" si="160"/>
        <v>-6.7817896389324964E-2</v>
      </c>
      <c r="AP203" s="2" vm="3252">
        <f ca="1"/>
        <v>26.63</v>
      </c>
      <c r="AQ203" s="2">
        <f t="shared" ca="1" si="161"/>
        <v>-3.7411148522260166E-3</v>
      </c>
      <c r="AR203" s="2" vm="6867">
        <f ca="1"/>
        <v>51.075000000000003</v>
      </c>
      <c r="AS203" s="2">
        <f t="shared" ca="1" si="162"/>
        <v>2.9377203290247879E-4</v>
      </c>
      <c r="AT203" s="2" vm="2322">
        <f ca="1"/>
        <v>29.18</v>
      </c>
      <c r="AU203" s="2">
        <f t="shared" ca="1" si="163"/>
        <v>-6.8493150684930044E-4</v>
      </c>
      <c r="AV203" s="2" vm="1323">
        <f ca="1"/>
        <v>26.19</v>
      </c>
      <c r="AW203" s="2">
        <f t="shared" ca="1" si="164"/>
        <v>-5.3171287504746303E-3</v>
      </c>
      <c r="AX203" s="2" vm="5697">
        <f ca="1"/>
        <v>91.74</v>
      </c>
      <c r="AY203" s="2">
        <f t="shared" ca="1" si="165"/>
        <v>1.0901558922916063E-4</v>
      </c>
      <c r="AZ203" s="2" vm="6926">
        <f ca="1"/>
        <v>476</v>
      </c>
      <c r="BA203" s="2">
        <f t="shared" ca="1" si="166"/>
        <v>-1.1750881316098755E-3</v>
      </c>
      <c r="BB203" s="2" vm="6927">
        <f ca="1"/>
        <v>299.63</v>
      </c>
      <c r="BC203" s="2">
        <f t="shared" ca="1" si="167"/>
        <v>8.7193643953675428E-3</v>
      </c>
      <c r="BD203" s="2" vm="6928">
        <f ca="1"/>
        <v>47.96</v>
      </c>
      <c r="BE203" s="2">
        <f t="shared" ca="1" si="168"/>
        <v>2.0855057351403566E-4</v>
      </c>
      <c r="BF203" s="2" vm="3997">
        <f ca="1"/>
        <v>111.9</v>
      </c>
      <c r="BG203" s="2">
        <f t="shared" ca="1" si="169"/>
        <v>-8.6817859673989171E-3</v>
      </c>
      <c r="BH203" s="2" vm="6929">
        <f ca="1"/>
        <v>153.56</v>
      </c>
      <c r="BI203" s="2">
        <f t="shared" ca="1" si="170"/>
        <v>-2.2097688339807672E-2</v>
      </c>
      <c r="BJ203" s="2" vm="2907">
        <f ca="1"/>
        <v>167.26</v>
      </c>
      <c r="BK203" s="2">
        <f t="shared" ca="1" si="171"/>
        <v>-5.0562131937423272E-3</v>
      </c>
      <c r="BL203" s="2" vm="6930">
        <f ca="1"/>
        <v>68.75</v>
      </c>
      <c r="BM203" s="2">
        <f t="shared" ca="1" si="172"/>
        <v>-9.0804266359180673E-3</v>
      </c>
      <c r="BN203" s="2" vm="6931">
        <f ca="1"/>
        <v>303.61</v>
      </c>
      <c r="BO203" s="2">
        <f t="shared" ca="1" si="173"/>
        <v>3.1056926685829375E-3</v>
      </c>
      <c r="BP203" s="2" vm="6932">
        <f ca="1"/>
        <v>119.54</v>
      </c>
      <c r="BQ203" s="2">
        <f t="shared" ca="1" si="174"/>
        <v>-3.0856475690100105E-3</v>
      </c>
      <c r="BR203" s="2" vm="6933">
        <f ca="1"/>
        <v>1184.2</v>
      </c>
      <c r="BS203" s="2">
        <f t="shared" ca="1" si="175"/>
        <v>1.3227920666700923E-2</v>
      </c>
      <c r="BT203" s="2" vm="6934">
        <f ca="1"/>
        <v>152.88</v>
      </c>
      <c r="BU203" s="2">
        <f t="shared" ca="1" si="176"/>
        <v>-2.3817125343209358E-2</v>
      </c>
      <c r="BV203" s="2" vm="6935">
        <f ca="1"/>
        <v>142.86000000000001</v>
      </c>
      <c r="BW203" s="2">
        <f t="shared" ca="1" si="177"/>
        <v>-7.1582458822709904E-3</v>
      </c>
      <c r="BX203" s="2" vm="6936">
        <f ca="1"/>
        <v>248.34</v>
      </c>
      <c r="BY203" s="2">
        <f t="shared" ca="1" si="178"/>
        <v>-2.8441766754039394E-2</v>
      </c>
      <c r="BZ203" s="2" vm="6937">
        <f ca="1"/>
        <v>91.11</v>
      </c>
      <c r="CA203" s="2">
        <f t="shared" ca="1" si="179"/>
        <v>-1.4281077572216892E-2</v>
      </c>
      <c r="CB203" s="2" vm="943">
        <f ca="1"/>
        <v>28.95</v>
      </c>
      <c r="CC203" s="2">
        <f t="shared" ca="1" si="180"/>
        <v>-1.7645062775704091E-2</v>
      </c>
      <c r="CD203" s="2" t="e" vm="92">
        <f ca="1"/>
        <v>#N/A</v>
      </c>
      <c r="CE203" s="2" t="e" vm="140">
        <f t="shared" ca="1" si="181"/>
        <v>#N/A</v>
      </c>
      <c r="CF203" s="2" vm="4785">
        <f ca="1"/>
        <v>22.81</v>
      </c>
      <c r="CG203" s="2">
        <f t="shared" ca="1" si="182"/>
        <v>-2.1872265966754469E-3</v>
      </c>
      <c r="CH203" s="2" vm="142">
        <f ca="1"/>
        <v>58.55</v>
      </c>
      <c r="CI203" s="2">
        <f t="shared" ca="1" si="183"/>
        <v>-1.0237160894045773E-3</v>
      </c>
      <c r="CJ203" s="2" vm="95">
        <f ca="1"/>
        <v>59.34</v>
      </c>
      <c r="CK203" s="2">
        <f t="shared" ca="1" si="184"/>
        <v>-2.6890756302520437E-3</v>
      </c>
      <c r="CL203" s="2" vm="6938">
        <f ca="1"/>
        <v>55.32</v>
      </c>
      <c r="CM203" s="2">
        <f t="shared" ca="1" si="185"/>
        <v>-5.3937432578208769E-3</v>
      </c>
      <c r="CN203" s="2" vm="961">
        <f ca="1"/>
        <v>29.11</v>
      </c>
      <c r="CO203" s="2">
        <f t="shared" ca="1" si="186"/>
        <v>-2.0569077819678531E-3</v>
      </c>
      <c r="CP203" s="2" vm="6939">
        <f ca="1"/>
        <v>21.500399999999999</v>
      </c>
      <c r="CQ203" s="2">
        <f t="shared" ca="1" si="187"/>
        <v>-1.8246575342465734E-2</v>
      </c>
    </row>
    <row r="204" spans="1:95" x14ac:dyDescent="0.2">
      <c r="A204" s="7" vm="6940">
        <f ca="1"/>
        <v>45869</v>
      </c>
      <c r="B204" s="2" vm="6941">
        <f ca="1"/>
        <v>207.57</v>
      </c>
      <c r="C204" s="2">
        <f t="shared" ca="1" si="141"/>
        <v>-7.0796460176992017E-3</v>
      </c>
      <c r="D204" s="2" vm="6942">
        <f ca="1"/>
        <v>177.87</v>
      </c>
      <c r="E204" s="2">
        <f t="shared" ca="1" si="142"/>
        <v>-7.8094494338149471E-3</v>
      </c>
      <c r="F204" s="2" vm="6943">
        <f ca="1"/>
        <v>533.5</v>
      </c>
      <c r="G204" s="2">
        <f t="shared" ca="1" si="143"/>
        <v>3.9474709687475629E-2</v>
      </c>
      <c r="H204" s="2" vm="6944">
        <f ca="1"/>
        <v>773.44</v>
      </c>
      <c r="I204" s="2">
        <f t="shared" ca="1" si="144"/>
        <v>0.11252715006976312</v>
      </c>
      <c r="J204" s="2" vm="6945">
        <f ca="1"/>
        <v>191.9</v>
      </c>
      <c r="K204" s="2">
        <f t="shared" ca="1" si="145"/>
        <v>-2.3558744212079558E-2</v>
      </c>
      <c r="L204" s="2" vm="6946">
        <f ca="1"/>
        <v>632.08000000000004</v>
      </c>
      <c r="M204" s="2">
        <f t="shared" ca="1" si="146"/>
        <v>-3.7512215112063727E-3</v>
      </c>
      <c r="N204" s="2" vm="5225">
        <f ca="1"/>
        <v>86.92</v>
      </c>
      <c r="O204" s="2">
        <f t="shared" ca="1" si="147"/>
        <v>5.7557269483132442E-4</v>
      </c>
      <c r="P204" s="2" vm="6947">
        <f ca="1"/>
        <v>302.95999999999998</v>
      </c>
      <c r="Q204" s="2">
        <f t="shared" ca="1" si="148"/>
        <v>6.6454013822434882E-3</v>
      </c>
      <c r="R204" s="2" vm="6948">
        <f ca="1"/>
        <v>79.59</v>
      </c>
      <c r="S204" s="2">
        <f t="shared" ca="1" si="149"/>
        <v>-1.7892398815399835E-2</v>
      </c>
      <c r="T204" s="2" vm="6949">
        <f ca="1"/>
        <v>94.9</v>
      </c>
      <c r="U204" s="2">
        <f t="shared" ca="1" si="150"/>
        <v>8.437038599452912E-4</v>
      </c>
      <c r="V204" s="2" vm="6950">
        <f ca="1"/>
        <v>46.887999999999998</v>
      </c>
      <c r="W204" s="2">
        <f t="shared" ca="1" si="151"/>
        <v>7.043005015473536E-4</v>
      </c>
      <c r="X204" s="2" vm="6951">
        <f ca="1"/>
        <v>145.32</v>
      </c>
      <c r="Y204" s="2">
        <f t="shared" ca="1" si="152"/>
        <v>-9.624639076035664E-4</v>
      </c>
      <c r="Z204" s="2" vm="6952">
        <f ca="1"/>
        <v>87.21</v>
      </c>
      <c r="AA204" s="2">
        <f t="shared" ca="1" si="153"/>
        <v>-5.3604014598541633E-3</v>
      </c>
      <c r="AB204" s="2" vm="6953">
        <f ca="1"/>
        <v>14.35</v>
      </c>
      <c r="AC204" s="2">
        <f t="shared" ca="1" si="154"/>
        <v>-1.5099519560741292E-2</v>
      </c>
      <c r="AD204" s="2" vm="6722">
        <f ca="1"/>
        <v>4.7</v>
      </c>
      <c r="AE204" s="2">
        <f t="shared" ca="1" si="155"/>
        <v>-2.0833333333333259E-2</v>
      </c>
      <c r="AF204" s="2" vm="6954">
        <f ca="1"/>
        <v>33.32</v>
      </c>
      <c r="AG204" s="2">
        <f t="shared" ca="1" si="156"/>
        <v>-5.6699492688748951E-3</v>
      </c>
      <c r="AH204" s="2" vm="2672">
        <f ca="1"/>
        <v>25.9</v>
      </c>
      <c r="AI204" s="2">
        <f t="shared" ca="1" si="157"/>
        <v>-2.3112480739600257E-3</v>
      </c>
      <c r="AJ204" s="2" vm="6955">
        <f ca="1"/>
        <v>4.3499999999999996</v>
      </c>
      <c r="AK204" s="2">
        <f t="shared" ca="1" si="158"/>
        <v>-2.2935779816515307E-3</v>
      </c>
      <c r="AL204" s="2" vm="5545">
        <f ca="1"/>
        <v>65.150000000000006</v>
      </c>
      <c r="AM204" s="2">
        <f t="shared" ca="1" si="159"/>
        <v>6.4884906534837276E-3</v>
      </c>
      <c r="AN204" s="2" vm="6956">
        <f ca="1"/>
        <v>117.81</v>
      </c>
      <c r="AO204" s="2">
        <f t="shared" ca="1" si="160"/>
        <v>-7.9993263725160225E-3</v>
      </c>
      <c r="AP204" s="2" vm="166">
        <f ca="1"/>
        <v>26.6</v>
      </c>
      <c r="AQ204" s="2">
        <f t="shared" ca="1" si="161"/>
        <v>-1.1265490048816217E-3</v>
      </c>
      <c r="AR204" s="2" vm="1404">
        <f ca="1"/>
        <v>51.04</v>
      </c>
      <c r="AS204" s="2">
        <f t="shared" ca="1" si="162"/>
        <v>-6.85266764561991E-4</v>
      </c>
      <c r="AT204" s="2" vm="122">
        <f ca="1"/>
        <v>29.17</v>
      </c>
      <c r="AU204" s="2">
        <f t="shared" ca="1" si="163"/>
        <v>-3.4270047978060352E-4</v>
      </c>
      <c r="AV204" s="2" vm="2222">
        <f ca="1"/>
        <v>26.25</v>
      </c>
      <c r="AW204" s="2">
        <f t="shared" ca="1" si="164"/>
        <v>2.2909507445589431E-3</v>
      </c>
      <c r="AX204" s="2" vm="598">
        <f ca="1"/>
        <v>91.75</v>
      </c>
      <c r="AY204" s="2">
        <f t="shared" ca="1" si="165"/>
        <v>1.0900370612606406E-4</v>
      </c>
      <c r="AZ204" s="2" vm="6957">
        <f ca="1"/>
        <v>471.88</v>
      </c>
      <c r="BA204" s="2">
        <f t="shared" ca="1" si="166"/>
        <v>-8.6554621848739591E-3</v>
      </c>
      <c r="BB204" s="2" vm="6958">
        <f ca="1"/>
        <v>296.24</v>
      </c>
      <c r="BC204" s="2">
        <f t="shared" ca="1" si="167"/>
        <v>-1.1313953876447574E-2</v>
      </c>
      <c r="BD204" s="2" vm="4111">
        <f ca="1"/>
        <v>47.27</v>
      </c>
      <c r="BE204" s="2">
        <f t="shared" ca="1" si="168"/>
        <v>-1.4386989157631312E-2</v>
      </c>
      <c r="BF204" s="2" vm="6959">
        <f ca="1"/>
        <v>111.64</v>
      </c>
      <c r="BG204" s="2">
        <f t="shared" ca="1" si="169"/>
        <v>-2.3235031277927176E-3</v>
      </c>
      <c r="BH204" s="2" vm="6802">
        <f ca="1"/>
        <v>151.63999999999999</v>
      </c>
      <c r="BI204" s="2">
        <f t="shared" ca="1" si="170"/>
        <v>-1.2503256056264756E-2</v>
      </c>
      <c r="BJ204" s="2" vm="1136">
        <f ca="1"/>
        <v>164.74</v>
      </c>
      <c r="BK204" s="2">
        <f t="shared" ca="1" si="171"/>
        <v>-1.5066363745067451E-2</v>
      </c>
      <c r="BL204" s="2" vm="5634">
        <f ca="1"/>
        <v>67.89</v>
      </c>
      <c r="BM204" s="2">
        <f t="shared" ca="1" si="172"/>
        <v>-1.25090909090909E-2</v>
      </c>
      <c r="BN204" s="2" vm="6960">
        <f ca="1"/>
        <v>300.07</v>
      </c>
      <c r="BO204" s="2">
        <f t="shared" ca="1" si="173"/>
        <v>-1.1659695003458452E-2</v>
      </c>
      <c r="BP204" s="2" vm="6961">
        <f ca="1"/>
        <v>119.11</v>
      </c>
      <c r="BQ204" s="2">
        <f t="shared" ca="1" si="174"/>
        <v>-3.5971223021583304E-3</v>
      </c>
      <c r="BR204" s="2" vm="6962">
        <f ca="1"/>
        <v>1159.4000000000001</v>
      </c>
      <c r="BS204" s="2">
        <f t="shared" ca="1" si="175"/>
        <v>-2.094240837696331E-2</v>
      </c>
      <c r="BT204" s="2" vm="1674">
        <f ca="1"/>
        <v>150.47</v>
      </c>
      <c r="BU204" s="2">
        <f t="shared" ca="1" si="176"/>
        <v>-1.5763997906855027E-2</v>
      </c>
      <c r="BV204" s="2" vm="111">
        <f ca="1"/>
        <v>137.91999999999999</v>
      </c>
      <c r="BW204" s="2">
        <f t="shared" ca="1" si="177"/>
        <v>-3.4579308413831902E-2</v>
      </c>
      <c r="BX204" s="2" vm="6963">
        <f ca="1"/>
        <v>243.72</v>
      </c>
      <c r="BY204" s="2">
        <f t="shared" ca="1" si="178"/>
        <v>-1.8603527422082648E-2</v>
      </c>
      <c r="BZ204" s="2" vm="6964">
        <f ca="1"/>
        <v>90.29</v>
      </c>
      <c r="CA204" s="2">
        <f t="shared" ca="1" si="179"/>
        <v>-9.0001097574359916E-3</v>
      </c>
      <c r="CB204" s="2" vm="5216">
        <f ca="1"/>
        <v>28.65</v>
      </c>
      <c r="CC204" s="2">
        <f t="shared" ca="1" si="180"/>
        <v>-1.0362694300518159E-2</v>
      </c>
      <c r="CD204" s="2" t="e" vm="92">
        <f ca="1"/>
        <v>#N/A</v>
      </c>
      <c r="CE204" s="2" t="e" vm="140">
        <f t="shared" ca="1" si="181"/>
        <v>#N/A</v>
      </c>
      <c r="CF204" s="2" vm="776">
        <f ca="1"/>
        <v>22.82</v>
      </c>
      <c r="CG204" s="2">
        <f t="shared" ca="1" si="182"/>
        <v>4.3840420868047187E-4</v>
      </c>
      <c r="CH204" s="2" vm="142">
        <f ca="1"/>
        <v>58.55</v>
      </c>
      <c r="CI204" s="2">
        <f t="shared" ca="1" si="183"/>
        <v>0</v>
      </c>
      <c r="CJ204" s="2" vm="4750">
        <f ca="1"/>
        <v>59.36</v>
      </c>
      <c r="CK204" s="2">
        <f t="shared" ca="1" si="184"/>
        <v>3.3704078193454699E-4</v>
      </c>
      <c r="CL204" s="2" vm="2394">
        <f ca="1"/>
        <v>55.41</v>
      </c>
      <c r="CM204" s="2">
        <f t="shared" ca="1" si="185"/>
        <v>1.6268980477222759E-3</v>
      </c>
      <c r="CN204" s="2" vm="961">
        <f ca="1"/>
        <v>29.11</v>
      </c>
      <c r="CO204" s="2">
        <f t="shared" ca="1" si="186"/>
        <v>0</v>
      </c>
      <c r="CP204" s="2" vm="6965">
        <f ca="1"/>
        <v>21.2193</v>
      </c>
      <c r="CQ204" s="2">
        <f t="shared" ca="1" si="187"/>
        <v>-1.3074175364179205E-2</v>
      </c>
    </row>
    <row r="205" spans="1:95" x14ac:dyDescent="0.2">
      <c r="A205" s="7" vm="6966">
        <f ca="1"/>
        <v>45870</v>
      </c>
      <c r="B205" s="2" vm="6967">
        <f ca="1"/>
        <v>202.38</v>
      </c>
      <c r="C205" s="2">
        <f t="shared" ca="1" si="141"/>
        <v>-2.5003613238907346E-2</v>
      </c>
      <c r="D205" s="2" vm="6968">
        <f ca="1"/>
        <v>173.72</v>
      </c>
      <c r="E205" s="2">
        <f t="shared" ca="1" si="142"/>
        <v>-2.3331646708270117E-2</v>
      </c>
      <c r="F205" s="2" vm="4633">
        <f ca="1"/>
        <v>524.11</v>
      </c>
      <c r="G205" s="2">
        <f t="shared" ca="1" si="143"/>
        <v>-1.7600749765698195E-2</v>
      </c>
      <c r="H205" s="2" vm="6969">
        <f ca="1"/>
        <v>750.01</v>
      </c>
      <c r="I205" s="2">
        <f t="shared" ca="1" si="144"/>
        <v>-3.0293235415804795E-2</v>
      </c>
      <c r="J205" s="2" vm="6970">
        <f ca="1"/>
        <v>189.13</v>
      </c>
      <c r="K205" s="2">
        <f t="shared" ca="1" si="145"/>
        <v>-1.4434601354872382E-2</v>
      </c>
      <c r="L205" s="2" vm="6971">
        <f ca="1"/>
        <v>621.72</v>
      </c>
      <c r="M205" s="2">
        <f t="shared" ca="1" si="146"/>
        <v>-1.6390330337931927E-2</v>
      </c>
      <c r="N205" s="2" vm="2217">
        <f ca="1"/>
        <v>87.82</v>
      </c>
      <c r="O205" s="2">
        <f t="shared" ca="1" si="147"/>
        <v>1.0354348826507034E-2</v>
      </c>
      <c r="P205" s="2" vm="6972">
        <f ca="1"/>
        <v>309.11</v>
      </c>
      <c r="Q205" s="2">
        <f t="shared" ca="1" si="148"/>
        <v>2.029970953261168E-2</v>
      </c>
      <c r="R205" s="2" vm="6973">
        <f ca="1"/>
        <v>77.459999999999994</v>
      </c>
      <c r="S205" s="2">
        <f t="shared" ca="1" si="149"/>
        <v>-2.6762156049755115E-2</v>
      </c>
      <c r="T205" s="2" vm="6974">
        <f ca="1"/>
        <v>95.68</v>
      </c>
      <c r="U205" s="2">
        <f t="shared" ca="1" si="150"/>
        <v>8.2191780821917922E-3</v>
      </c>
      <c r="V205" s="2" vm="1233">
        <f ca="1"/>
        <v>47.215000000000003</v>
      </c>
      <c r="W205" s="2">
        <f t="shared" ca="1" si="151"/>
        <v>6.9740658590685314E-3</v>
      </c>
      <c r="X205" s="2" vm="6975">
        <f ca="1"/>
        <v>138.29</v>
      </c>
      <c r="Y205" s="2">
        <f t="shared" ca="1" si="152"/>
        <v>-4.8375997797963123E-2</v>
      </c>
      <c r="Z205" s="2" vm="6976">
        <f ca="1"/>
        <v>85.59</v>
      </c>
      <c r="AA205" s="2">
        <f t="shared" ca="1" si="153"/>
        <v>-1.8575851393188746E-2</v>
      </c>
      <c r="AB205" s="2" vm="6977">
        <f ca="1"/>
        <v>13.91</v>
      </c>
      <c r="AC205" s="2">
        <f t="shared" ca="1" si="154"/>
        <v>-3.066202090592331E-2</v>
      </c>
      <c r="AD205" s="2" vm="1276">
        <f ca="1"/>
        <v>4.8</v>
      </c>
      <c r="AE205" s="2">
        <f t="shared" ca="1" si="155"/>
        <v>2.1276595744680774E-2</v>
      </c>
      <c r="AF205" s="2" vm="6978">
        <f ca="1"/>
        <v>33.590000000000003</v>
      </c>
      <c r="AG205" s="2">
        <f t="shared" ca="1" si="156"/>
        <v>8.1032412965187008E-3</v>
      </c>
      <c r="AH205" s="2" vm="334">
        <f ca="1"/>
        <v>25.67</v>
      </c>
      <c r="AI205" s="2">
        <f t="shared" ca="1" si="157"/>
        <v>-8.8803088803087599E-3</v>
      </c>
      <c r="AJ205" s="2" vm="6979">
        <f ca="1"/>
        <v>4.3</v>
      </c>
      <c r="AK205" s="2">
        <f t="shared" ca="1" si="158"/>
        <v>-1.1494252873563178E-2</v>
      </c>
      <c r="AL205" s="2" vm="4625">
        <f ca="1"/>
        <v>66.459999999999994</v>
      </c>
      <c r="AM205" s="2">
        <f t="shared" ca="1" si="159"/>
        <v>2.0107444359170959E-2</v>
      </c>
      <c r="AN205" s="2" vm="6980">
        <f ca="1"/>
        <v>120.05</v>
      </c>
      <c r="AO205" s="2">
        <f t="shared" ca="1" si="160"/>
        <v>1.9013666072489558E-2</v>
      </c>
      <c r="AP205" s="2" vm="6981">
        <f ca="1"/>
        <v>26.67</v>
      </c>
      <c r="AQ205" s="2">
        <f t="shared" ca="1" si="161"/>
        <v>2.6315789473684314E-3</v>
      </c>
      <c r="AR205" s="2" vm="1590">
        <f ca="1"/>
        <v>50.86</v>
      </c>
      <c r="AS205" s="2">
        <f t="shared" ca="1" si="162"/>
        <v>-3.5266457680250729E-3</v>
      </c>
      <c r="AT205" s="2" vm="530">
        <f ca="1"/>
        <v>29.22</v>
      </c>
      <c r="AU205" s="2">
        <f t="shared" ca="1" si="163"/>
        <v>1.7140898183063817E-3</v>
      </c>
      <c r="AV205" s="2" vm="2481">
        <f ca="1"/>
        <v>26.5</v>
      </c>
      <c r="AW205" s="2">
        <f t="shared" ca="1" si="164"/>
        <v>9.5238095238095247E-3</v>
      </c>
      <c r="AX205" s="2" vm="1592">
        <f ca="1"/>
        <v>91.47</v>
      </c>
      <c r="AY205" s="2">
        <f t="shared" ca="1" si="165"/>
        <v>-3.0517711171662251E-3</v>
      </c>
      <c r="AZ205" s="2" vm="6982">
        <f ca="1"/>
        <v>472.84</v>
      </c>
      <c r="BA205" s="2">
        <f t="shared" ca="1" si="166"/>
        <v>2.034415529371831E-3</v>
      </c>
      <c r="BB205" s="2" vm="6983">
        <f ca="1"/>
        <v>289.37</v>
      </c>
      <c r="BC205" s="2">
        <f t="shared" ca="1" si="167"/>
        <v>-2.3190656224682703E-2</v>
      </c>
      <c r="BD205" s="2" vm="6984">
        <f ca="1"/>
        <v>45.66</v>
      </c>
      <c r="BE205" s="2">
        <f t="shared" ca="1" si="168"/>
        <v>-3.405965728792059E-2</v>
      </c>
      <c r="BF205" s="2" vm="6985">
        <f ca="1"/>
        <v>109.64</v>
      </c>
      <c r="BG205" s="2">
        <f t="shared" ca="1" si="169"/>
        <v>-1.791472590469366E-2</v>
      </c>
      <c r="BH205" s="2" vm="6986">
        <f ca="1"/>
        <v>151.4</v>
      </c>
      <c r="BI205" s="2">
        <f t="shared" ca="1" si="170"/>
        <v>-1.5826958586123759E-3</v>
      </c>
      <c r="BJ205" s="2" vm="6987">
        <f ca="1"/>
        <v>167.33</v>
      </c>
      <c r="BK205" s="2">
        <f t="shared" ca="1" si="171"/>
        <v>1.5721743353162579E-2</v>
      </c>
      <c r="BL205" s="2" vm="6988">
        <f ca="1"/>
        <v>68.86</v>
      </c>
      <c r="BM205" s="2">
        <f t="shared" ca="1" si="172"/>
        <v>1.4287818529974943E-2</v>
      </c>
      <c r="BN205" s="2" vm="6989">
        <f ca="1"/>
        <v>302.89</v>
      </c>
      <c r="BO205" s="2">
        <f t="shared" ca="1" si="173"/>
        <v>9.3978071783250346E-3</v>
      </c>
      <c r="BP205" s="2" vm="4212">
        <f ca="1"/>
        <v>116.59</v>
      </c>
      <c r="BQ205" s="2">
        <f t="shared" ca="1" si="174"/>
        <v>-2.1156913777180725E-2</v>
      </c>
      <c r="BR205" s="2" vm="6990">
        <f ca="1"/>
        <v>1158.5999999999999</v>
      </c>
      <c r="BS205" s="2">
        <f t="shared" ca="1" si="175"/>
        <v>-6.9001207521147306E-4</v>
      </c>
      <c r="BT205" s="2" vm="6991">
        <f ca="1"/>
        <v>150.65</v>
      </c>
      <c r="BU205" s="2">
        <f t="shared" ca="1" si="176"/>
        <v>1.1962517445338395E-3</v>
      </c>
      <c r="BV205" s="2" vm="6992">
        <f ca="1"/>
        <v>139.28</v>
      </c>
      <c r="BW205" s="2">
        <f t="shared" ca="1" si="177"/>
        <v>9.8607888631091489E-3</v>
      </c>
      <c r="BX205" s="2" vm="6993">
        <f ca="1"/>
        <v>235.02</v>
      </c>
      <c r="BY205" s="2">
        <f t="shared" ca="1" si="178"/>
        <v>-3.5696701132447023E-2</v>
      </c>
      <c r="BZ205" s="2" vm="2799">
        <f ca="1"/>
        <v>87.51</v>
      </c>
      <c r="CA205" s="2">
        <f t="shared" ca="1" si="179"/>
        <v>-3.0789677705172235E-2</v>
      </c>
      <c r="CB205" s="2" vm="1119">
        <f ca="1"/>
        <v>27.61</v>
      </c>
      <c r="CC205" s="2">
        <f t="shared" ca="1" si="180"/>
        <v>-3.6300174520069783E-2</v>
      </c>
      <c r="CD205" s="2" t="e" vm="92">
        <f ca="1"/>
        <v>#N/A</v>
      </c>
      <c r="CE205" s="2" t="e" vm="140">
        <f t="shared" ca="1" si="181"/>
        <v>#N/A</v>
      </c>
      <c r="CF205" s="2" vm="1568">
        <f ca="1"/>
        <v>22.945</v>
      </c>
      <c r="CG205" s="2">
        <f t="shared" ca="1" si="182"/>
        <v>5.4776511831726559E-3</v>
      </c>
      <c r="CH205" s="2" vm="5712">
        <f ca="1"/>
        <v>58.64</v>
      </c>
      <c r="CI205" s="2">
        <f t="shared" ca="1" si="183"/>
        <v>1.5371477369770011E-3</v>
      </c>
      <c r="CJ205" s="2" vm="6255">
        <f ca="1"/>
        <v>59.75</v>
      </c>
      <c r="CK205" s="2">
        <f t="shared" ca="1" si="184"/>
        <v>6.5700808625337023E-3</v>
      </c>
      <c r="CL205" s="2" vm="6994">
        <f ca="1"/>
        <v>55.93</v>
      </c>
      <c r="CM205" s="2">
        <f t="shared" ca="1" si="185"/>
        <v>9.3845876195633119E-3</v>
      </c>
      <c r="CN205" s="2" vm="736">
        <f ca="1"/>
        <v>29.21</v>
      </c>
      <c r="CO205" s="2">
        <f t="shared" ca="1" si="186"/>
        <v>3.4352456200618833E-3</v>
      </c>
      <c r="CP205" s="2" vm="6995">
        <f ca="1"/>
        <v>21.1783</v>
      </c>
      <c r="CQ205" s="2">
        <f t="shared" ca="1" si="187"/>
        <v>-1.9322032300782951E-3</v>
      </c>
    </row>
    <row r="206" spans="1:95" x14ac:dyDescent="0.2">
      <c r="A206" s="7" vm="6996">
        <f ca="1"/>
        <v>45873</v>
      </c>
      <c r="B206" s="2" vm="6997">
        <f ca="1"/>
        <v>203.35</v>
      </c>
      <c r="C206" s="2">
        <f t="shared" ca="1" si="141"/>
        <v>4.7929637315940257E-3</v>
      </c>
      <c r="D206" s="2" vm="6998">
        <f ca="1"/>
        <v>180</v>
      </c>
      <c r="E206" s="2">
        <f t="shared" ca="1" si="142"/>
        <v>3.6150126640571038E-2</v>
      </c>
      <c r="F206" s="2" vm="6999">
        <f ca="1"/>
        <v>535.64</v>
      </c>
      <c r="G206" s="2">
        <f t="shared" ca="1" si="143"/>
        <v>2.1999198641506502E-2</v>
      </c>
      <c r="H206" s="2" vm="7000">
        <f ca="1"/>
        <v>776.37</v>
      </c>
      <c r="I206" s="2">
        <f t="shared" ca="1" si="144"/>
        <v>3.5146198050692676E-2</v>
      </c>
      <c r="J206" s="2" vm="7001">
        <f ca="1"/>
        <v>195.04</v>
      </c>
      <c r="K206" s="2">
        <f t="shared" ca="1" si="145"/>
        <v>3.124834769735101E-2</v>
      </c>
      <c r="L206" s="2" vm="7002">
        <f ca="1"/>
        <v>631.16999999999996</v>
      </c>
      <c r="M206" s="2">
        <f t="shared" ca="1" si="146"/>
        <v>1.519976838448165E-2</v>
      </c>
      <c r="N206" s="2" vm="6484">
        <f ca="1"/>
        <v>88.06</v>
      </c>
      <c r="O206" s="2">
        <f t="shared" ca="1" si="147"/>
        <v>2.7328626736507528E-3</v>
      </c>
      <c r="P206" s="2" vm="7003">
        <f ca="1"/>
        <v>310.91000000000003</v>
      </c>
      <c r="Q206" s="2">
        <f t="shared" ca="1" si="148"/>
        <v>5.8231697453981152E-3</v>
      </c>
      <c r="R206" s="2" vm="7004">
        <f ca="1"/>
        <v>76.11</v>
      </c>
      <c r="S206" s="2">
        <f t="shared" ca="1" si="149"/>
        <v>-1.7428350116188929E-2</v>
      </c>
      <c r="T206" s="2" vm="810">
        <f ca="1"/>
        <v>95.81</v>
      </c>
      <c r="U206" s="2">
        <f t="shared" ca="1" si="150"/>
        <v>1.3586956521738655E-3</v>
      </c>
      <c r="V206" s="2" vm="7005">
        <f ca="1"/>
        <v>47.314999999999998</v>
      </c>
      <c r="W206" s="2">
        <f t="shared" ca="1" si="151"/>
        <v>2.1179709837974015E-3</v>
      </c>
      <c r="X206" s="2" vm="7006">
        <f ca="1"/>
        <v>142.02000000000001</v>
      </c>
      <c r="Y206" s="2">
        <f t="shared" ca="1" si="152"/>
        <v>2.6972304577337611E-2</v>
      </c>
      <c r="Z206" s="2" vm="7007">
        <f ca="1"/>
        <v>85.4</v>
      </c>
      <c r="AA206" s="2">
        <f t="shared" ca="1" si="153"/>
        <v>-2.2198855006425717E-3</v>
      </c>
      <c r="AB206" s="2" vm="7008">
        <f ca="1"/>
        <v>13.77</v>
      </c>
      <c r="AC206" s="2">
        <f t="shared" ca="1" si="154"/>
        <v>-1.0064701653486741E-2</v>
      </c>
      <c r="AD206" s="2" vm="1276">
        <f ca="1"/>
        <v>4.8</v>
      </c>
      <c r="AE206" s="2">
        <f t="shared" ca="1" si="155"/>
        <v>0</v>
      </c>
      <c r="AF206" s="2" vm="7009">
        <f ca="1"/>
        <v>33.979999999999997</v>
      </c>
      <c r="AG206" s="2">
        <f t="shared" ca="1" si="156"/>
        <v>1.1610598392378489E-2</v>
      </c>
      <c r="AH206" s="2" vm="291">
        <f ca="1"/>
        <v>25.73</v>
      </c>
      <c r="AI206" s="2">
        <f t="shared" ca="1" si="157"/>
        <v>2.3373587845733818E-3</v>
      </c>
      <c r="AJ206" s="2" vm="7010">
        <f ca="1"/>
        <v>4.3099999999999996</v>
      </c>
      <c r="AK206" s="2">
        <f t="shared" ca="1" si="158"/>
        <v>2.3255813953487877E-3</v>
      </c>
      <c r="AL206" s="2" vm="4837">
        <f ca="1"/>
        <v>66.849999999999994</v>
      </c>
      <c r="AM206" s="2">
        <f t="shared" ca="1" si="159"/>
        <v>5.868191393319299E-3</v>
      </c>
      <c r="AN206" s="2" vm="7011">
        <f ca="1"/>
        <v>121.07</v>
      </c>
      <c r="AO206" s="2">
        <f t="shared" ca="1" si="160"/>
        <v>8.4964598084131277E-3</v>
      </c>
      <c r="AP206" s="2" vm="4147">
        <f ca="1"/>
        <v>26.74</v>
      </c>
      <c r="AQ206" s="2">
        <f t="shared" ca="1" si="161"/>
        <v>2.6246719160103759E-3</v>
      </c>
      <c r="AR206" s="2" vm="2265">
        <f ca="1"/>
        <v>50.87</v>
      </c>
      <c r="AS206" s="2">
        <f t="shared" ca="1" si="162"/>
        <v>1.9661816751863961E-4</v>
      </c>
      <c r="AT206" s="2" vm="4160">
        <f ca="1"/>
        <v>29.23</v>
      </c>
      <c r="AU206" s="2">
        <f t="shared" ca="1" si="163"/>
        <v>3.4223134839156616E-4</v>
      </c>
      <c r="AV206" s="2" vm="4236">
        <f ca="1"/>
        <v>26.57</v>
      </c>
      <c r="AW206" s="2">
        <f t="shared" ca="1" si="164"/>
        <v>2.6415094339622748E-3</v>
      </c>
      <c r="AX206" s="2" vm="802">
        <f ca="1"/>
        <v>91.48</v>
      </c>
      <c r="AY206" s="2">
        <f t="shared" ca="1" si="165"/>
        <v>1.0932546190013246E-4</v>
      </c>
      <c r="AZ206" s="2" vm="7012">
        <f ca="1"/>
        <v>459.11</v>
      </c>
      <c r="BA206" s="2">
        <f t="shared" ca="1" si="166"/>
        <v>-2.9037306488452673E-2</v>
      </c>
      <c r="BB206" s="2" vm="7013">
        <f ca="1"/>
        <v>294.26</v>
      </c>
      <c r="BC206" s="2">
        <f t="shared" ca="1" si="167"/>
        <v>1.6898780108511546E-2</v>
      </c>
      <c r="BD206" s="2" vm="7014">
        <f ca="1"/>
        <v>45.85</v>
      </c>
      <c r="BE206" s="2">
        <f t="shared" ca="1" si="168"/>
        <v>4.1611914148051874E-3</v>
      </c>
      <c r="BF206" s="2" vm="4878">
        <f ca="1"/>
        <v>107.37</v>
      </c>
      <c r="BG206" s="2">
        <f t="shared" ca="1" si="169"/>
        <v>-2.070412258299887E-2</v>
      </c>
      <c r="BH206" s="2" vm="7015">
        <f ca="1"/>
        <v>151.04</v>
      </c>
      <c r="BI206" s="2">
        <f t="shared" ca="1" si="170"/>
        <v>-2.3778071334214904E-3</v>
      </c>
      <c r="BJ206" s="2" vm="7016">
        <f ca="1"/>
        <v>171.04</v>
      </c>
      <c r="BK206" s="2">
        <f t="shared" ca="1" si="171"/>
        <v>2.2171756409490106E-2</v>
      </c>
      <c r="BL206" s="2" vm="5340">
        <f ca="1"/>
        <v>68.959999999999994</v>
      </c>
      <c r="BM206" s="2">
        <f t="shared" ca="1" si="172"/>
        <v>1.4522218995061621E-3</v>
      </c>
      <c r="BN206" s="2" vm="7017">
        <f ca="1"/>
        <v>304.23</v>
      </c>
      <c r="BO206" s="2">
        <f t="shared" ca="1" si="173"/>
        <v>4.4240483343789229E-3</v>
      </c>
      <c r="BP206" s="2" vm="7018">
        <f ca="1"/>
        <v>119.35</v>
      </c>
      <c r="BQ206" s="2">
        <f t="shared" ca="1" si="174"/>
        <v>2.3672699202332882E-2</v>
      </c>
      <c r="BR206" s="2" vm="7019">
        <f ca="1"/>
        <v>1170.99</v>
      </c>
      <c r="BS206" s="2">
        <f t="shared" ca="1" si="175"/>
        <v>1.0693940963231573E-2</v>
      </c>
      <c r="BT206" s="2" vm="7020">
        <f ca="1"/>
        <v>150.76</v>
      </c>
      <c r="BU206" s="2">
        <f t="shared" ca="1" si="176"/>
        <v>7.3016926651168416E-4</v>
      </c>
      <c r="BV206" s="2" vm="490">
        <f ca="1"/>
        <v>139.56</v>
      </c>
      <c r="BW206" s="2">
        <f t="shared" ca="1" si="177"/>
        <v>2.0103388856978831E-3</v>
      </c>
      <c r="BX206" s="2" vm="7021">
        <f ca="1"/>
        <v>235.81</v>
      </c>
      <c r="BY206" s="2">
        <f t="shared" ca="1" si="178"/>
        <v>3.3614160496978642E-3</v>
      </c>
      <c r="BZ206" s="2" vm="5190">
        <f ca="1"/>
        <v>87.9</v>
      </c>
      <c r="CA206" s="2">
        <f t="shared" ca="1" si="179"/>
        <v>4.4566335275968523E-3</v>
      </c>
      <c r="CB206" s="2" vm="1119">
        <f ca="1"/>
        <v>27.61</v>
      </c>
      <c r="CC206" s="2">
        <f t="shared" ca="1" si="180"/>
        <v>0</v>
      </c>
      <c r="CD206" s="2" t="e" vm="92">
        <f ca="1"/>
        <v>#N/A</v>
      </c>
      <c r="CE206" s="2" t="e" vm="140">
        <f t="shared" ca="1" si="181"/>
        <v>#N/A</v>
      </c>
      <c r="CF206" s="2" vm="7022">
        <f ca="1"/>
        <v>22.965</v>
      </c>
      <c r="CG206" s="2">
        <f t="shared" ca="1" si="182"/>
        <v>8.7164959686204281E-4</v>
      </c>
      <c r="CH206" s="2" vm="5712">
        <f ca="1"/>
        <v>58.64</v>
      </c>
      <c r="CI206" s="2">
        <f t="shared" ca="1" si="183"/>
        <v>0</v>
      </c>
      <c r="CJ206" s="2" vm="4238">
        <f ca="1"/>
        <v>59.78</v>
      </c>
      <c r="CK206" s="2">
        <f t="shared" ca="1" si="184"/>
        <v>5.0209205020922403E-4</v>
      </c>
      <c r="CL206" s="2" vm="4751">
        <f ca="1"/>
        <v>56.07</v>
      </c>
      <c r="CM206" s="2">
        <f t="shared" ca="1" si="185"/>
        <v>2.5031289111389337E-3</v>
      </c>
      <c r="CN206" s="2" vm="3627">
        <f ca="1"/>
        <v>29.25</v>
      </c>
      <c r="CO206" s="2">
        <f t="shared" ca="1" si="186"/>
        <v>1.3693940431358832E-3</v>
      </c>
      <c r="CP206" s="2" vm="7023">
        <f ca="1"/>
        <v>21.302499999999998</v>
      </c>
      <c r="CQ206" s="2">
        <f t="shared" ca="1" si="187"/>
        <v>5.8644933729335366E-3</v>
      </c>
    </row>
    <row r="207" spans="1:95" x14ac:dyDescent="0.2">
      <c r="A207" s="7" vm="7024">
        <f ca="1"/>
        <v>45874</v>
      </c>
      <c r="B207" s="2" vm="7025">
        <f ca="1"/>
        <v>202.92</v>
      </c>
      <c r="C207" s="2">
        <f t="shared" ca="1" si="141"/>
        <v>-2.114580772067897E-3</v>
      </c>
      <c r="D207" s="2" vm="7026">
        <f ca="1"/>
        <v>178.26</v>
      </c>
      <c r="E207" s="2">
        <f t="shared" ca="1" si="142"/>
        <v>-9.6666666666667175E-3</v>
      </c>
      <c r="F207" s="2" vm="7027">
        <f ca="1"/>
        <v>527.75</v>
      </c>
      <c r="G207" s="2">
        <f t="shared" ca="1" si="143"/>
        <v>-1.4730042565902447E-2</v>
      </c>
      <c r="H207" s="2" vm="7028">
        <f ca="1"/>
        <v>763.46</v>
      </c>
      <c r="I207" s="2">
        <f t="shared" ca="1" si="144"/>
        <v>-1.6628669320040663E-2</v>
      </c>
      <c r="J207" s="2" vm="7029">
        <f ca="1"/>
        <v>194.67</v>
      </c>
      <c r="K207" s="2">
        <f t="shared" ca="1" si="145"/>
        <v>-1.8970467596390718E-3</v>
      </c>
      <c r="L207" s="2" vm="7030">
        <f ca="1"/>
        <v>627.97</v>
      </c>
      <c r="M207" s="2">
        <f t="shared" ca="1" si="146"/>
        <v>-5.0699494589412234E-3</v>
      </c>
      <c r="N207" s="2" vm="1365">
        <f ca="1"/>
        <v>88.33</v>
      </c>
      <c r="O207" s="2">
        <f t="shared" ca="1" si="147"/>
        <v>3.0660913013853736E-3</v>
      </c>
      <c r="P207" s="2" vm="7031">
        <f ca="1"/>
        <v>311.16000000000003</v>
      </c>
      <c r="Q207" s="2">
        <f t="shared" ca="1" si="148"/>
        <v>8.0409121610755519E-4</v>
      </c>
      <c r="R207" s="2" vm="7032">
        <f ca="1"/>
        <v>75.02</v>
      </c>
      <c r="S207" s="2">
        <f t="shared" ca="1" si="149"/>
        <v>-1.4321376954408138E-2</v>
      </c>
      <c r="T207" s="2" vm="7033">
        <f ca="1"/>
        <v>95.74</v>
      </c>
      <c r="U207" s="2">
        <f t="shared" ca="1" si="150"/>
        <v>-7.3061267091125554E-4</v>
      </c>
      <c r="V207" s="2" vm="7034">
        <f ca="1"/>
        <v>47.334299999999999</v>
      </c>
      <c r="W207" s="2">
        <f t="shared" ca="1" si="151"/>
        <v>4.0790447004123863E-4</v>
      </c>
      <c r="X207" s="2" vm="4218">
        <f ca="1"/>
        <v>145.54</v>
      </c>
      <c r="Y207" s="2">
        <f t="shared" ca="1" si="152"/>
        <v>2.4785241515279409E-2</v>
      </c>
      <c r="Z207" s="2" vm="7035">
        <f ca="1"/>
        <v>85.51</v>
      </c>
      <c r="AA207" s="2">
        <f t="shared" ca="1" si="153"/>
        <v>1.2880562060889863E-3</v>
      </c>
      <c r="AB207" s="2" vm="6628">
        <f ca="1"/>
        <v>13.59</v>
      </c>
      <c r="AC207" s="2">
        <f t="shared" ca="1" si="154"/>
        <v>-1.3071895424836581E-2</v>
      </c>
      <c r="AD207" s="2" vm="2838">
        <f ca="1"/>
        <v>4.5</v>
      </c>
      <c r="AE207" s="2">
        <f t="shared" ca="1" si="155"/>
        <v>-6.2499999999999965E-2</v>
      </c>
      <c r="AF207" s="2" vm="7036">
        <f ca="1"/>
        <v>34.35</v>
      </c>
      <c r="AG207" s="2">
        <f t="shared" ca="1" si="156"/>
        <v>1.0888758092996016E-2</v>
      </c>
      <c r="AH207" s="2" vm="7037">
        <f ca="1"/>
        <v>25.92</v>
      </c>
      <c r="AI207" s="2">
        <f t="shared" ca="1" si="157"/>
        <v>7.3843762145356113E-3</v>
      </c>
      <c r="AJ207" s="2" vm="7038">
        <f ca="1"/>
        <v>4.25</v>
      </c>
      <c r="AK207" s="2">
        <f t="shared" ca="1" si="158"/>
        <v>-1.3921113689095039E-2</v>
      </c>
      <c r="AL207" s="2" vm="7039">
        <f ca="1"/>
        <v>66.91</v>
      </c>
      <c r="AM207" s="2">
        <f t="shared" ca="1" si="159"/>
        <v>8.9753178758417769E-4</v>
      </c>
      <c r="AN207" s="2" vm="7040">
        <f ca="1"/>
        <v>119.93</v>
      </c>
      <c r="AO207" s="2">
        <f t="shared" ca="1" si="160"/>
        <v>-9.4160403072601501E-3</v>
      </c>
      <c r="AP207" s="2" vm="4147">
        <f ca="1"/>
        <v>26.74</v>
      </c>
      <c r="AQ207" s="2">
        <f t="shared" ca="1" si="161"/>
        <v>0</v>
      </c>
      <c r="AR207" s="2" vm="1590">
        <f ca="1"/>
        <v>50.86</v>
      </c>
      <c r="AS207" s="2">
        <f t="shared" ca="1" si="162"/>
        <v>-1.9657951641435052E-4</v>
      </c>
      <c r="AT207" s="2" vm="530">
        <f ca="1"/>
        <v>29.22</v>
      </c>
      <c r="AU207" s="2">
        <f t="shared" ca="1" si="163"/>
        <v>-3.4211426616495257E-4</v>
      </c>
      <c r="AV207" s="2" vm="3252">
        <f ca="1"/>
        <v>26.63</v>
      </c>
      <c r="AW207" s="2">
        <f t="shared" ca="1" si="164"/>
        <v>2.2581859239743591E-3</v>
      </c>
      <c r="AX207" s="2" vm="802">
        <f ca="1"/>
        <v>91.48</v>
      </c>
      <c r="AY207" s="2">
        <f t="shared" ca="1" si="165"/>
        <v>0</v>
      </c>
      <c r="AZ207" s="2" vm="7041">
        <f ca="1"/>
        <v>464.19</v>
      </c>
      <c r="BA207" s="2">
        <f t="shared" ca="1" si="166"/>
        <v>1.1064886410664077E-2</v>
      </c>
      <c r="BB207" s="2" vm="7042">
        <f ca="1"/>
        <v>291.37</v>
      </c>
      <c r="BC207" s="2">
        <f t="shared" ca="1" si="167"/>
        <v>-9.8212465166858786E-3</v>
      </c>
      <c r="BD207" s="2" vm="3709">
        <f ca="1"/>
        <v>45.56</v>
      </c>
      <c r="BE207" s="2">
        <f t="shared" ca="1" si="168"/>
        <v>-6.3249727371864585E-3</v>
      </c>
      <c r="BF207" s="2" vm="7043">
        <f ca="1"/>
        <v>107.24</v>
      </c>
      <c r="BG207" s="2">
        <f t="shared" ca="1" si="169"/>
        <v>-1.2107665083357516E-3</v>
      </c>
      <c r="BH207" s="2" vm="7044">
        <f ca="1"/>
        <v>153.04</v>
      </c>
      <c r="BI207" s="2">
        <f t="shared" ca="1" si="170"/>
        <v>1.3241525423728815E-2</v>
      </c>
      <c r="BJ207" s="2" vm="7045">
        <f ca="1"/>
        <v>170.74</v>
      </c>
      <c r="BK207" s="2">
        <f t="shared" ca="1" si="171"/>
        <v>-1.7539756782038293E-3</v>
      </c>
      <c r="BL207" s="2" vm="3422">
        <f ca="1"/>
        <v>69.05</v>
      </c>
      <c r="BM207" s="2">
        <f t="shared" ca="1" si="172"/>
        <v>1.3051044083527178E-3</v>
      </c>
      <c r="BN207" s="2" vm="7046">
        <f ca="1"/>
        <v>298.77</v>
      </c>
      <c r="BO207" s="2">
        <f t="shared" ca="1" si="173"/>
        <v>-1.7946948032738507E-2</v>
      </c>
      <c r="BP207" s="2" vm="7047">
        <f ca="1"/>
        <v>118.32</v>
      </c>
      <c r="BQ207" s="2">
        <f t="shared" ca="1" si="174"/>
        <v>-8.6300795978215428E-3</v>
      </c>
      <c r="BR207" s="2" vm="7048">
        <f ca="1"/>
        <v>1147.8699999999999</v>
      </c>
      <c r="BS207" s="2">
        <f t="shared" ca="1" si="175"/>
        <v>-1.9743977318337574E-2</v>
      </c>
      <c r="BT207" s="2" vm="7049">
        <f ca="1"/>
        <v>150.51</v>
      </c>
      <c r="BU207" s="2">
        <f t="shared" ca="1" si="176"/>
        <v>-1.6582647917219424E-3</v>
      </c>
      <c r="BV207" s="2" vm="7050">
        <f ca="1"/>
        <v>139.44999999999999</v>
      </c>
      <c r="BW207" s="2">
        <f t="shared" ca="1" si="177"/>
        <v>-7.8819145887083439E-4</v>
      </c>
      <c r="BX207" s="2" vm="7051">
        <f ca="1"/>
        <v>241.99</v>
      </c>
      <c r="BY207" s="2">
        <f t="shared" ca="1" si="178"/>
        <v>2.6207539968618833E-2</v>
      </c>
      <c r="BZ207" s="2" vm="3109">
        <f ca="1"/>
        <v>88.43</v>
      </c>
      <c r="CA207" s="2">
        <f t="shared" ca="1" si="179"/>
        <v>6.0295790671217415E-3</v>
      </c>
      <c r="CB207" s="2" vm="2669">
        <f ca="1"/>
        <v>27.96</v>
      </c>
      <c r="CC207" s="2">
        <f t="shared" ca="1" si="180"/>
        <v>1.267656646142707E-2</v>
      </c>
      <c r="CD207" s="2" t="e" vm="92">
        <f ca="1"/>
        <v>#N/A</v>
      </c>
      <c r="CE207" s="2" t="e" vm="140">
        <f t="shared" ca="1" si="181"/>
        <v>#N/A</v>
      </c>
      <c r="CF207" s="2" vm="7022">
        <f ca="1"/>
        <v>22.965</v>
      </c>
      <c r="CG207" s="2">
        <f t="shared" ca="1" si="182"/>
        <v>0</v>
      </c>
      <c r="CH207" s="2" vm="313">
        <f ca="1"/>
        <v>58.62</v>
      </c>
      <c r="CI207" s="2">
        <f t="shared" ca="1" si="183"/>
        <v>-3.4106412005462355E-4</v>
      </c>
      <c r="CJ207" s="2" vm="7052">
        <f ca="1"/>
        <v>59.73</v>
      </c>
      <c r="CK207" s="2">
        <f t="shared" ca="1" si="184"/>
        <v>-8.3640013382409271E-4</v>
      </c>
      <c r="CL207" s="2" vm="7053">
        <f ca="1"/>
        <v>56.22</v>
      </c>
      <c r="CM207" s="2">
        <f t="shared" ca="1" si="185"/>
        <v>2.6752273943284927E-3</v>
      </c>
      <c r="CN207" s="2" vm="1068">
        <f ca="1"/>
        <v>29.26</v>
      </c>
      <c r="CO207" s="2">
        <f t="shared" ca="1" si="186"/>
        <v>3.4188034188039533E-4</v>
      </c>
      <c r="CP207" s="2" vm="7054">
        <f ca="1"/>
        <v>21.363900000000001</v>
      </c>
      <c r="CQ207" s="2">
        <f t="shared" ca="1" si="187"/>
        <v>2.8822908109378039E-3</v>
      </c>
    </row>
    <row r="208" spans="1:95" x14ac:dyDescent="0.2">
      <c r="A208" s="7" vm="7055">
        <f ca="1"/>
        <v>45875</v>
      </c>
      <c r="B208" s="2" vm="7056">
        <f ca="1"/>
        <v>213.25</v>
      </c>
      <c r="C208" s="2">
        <f t="shared" ca="1" si="141"/>
        <v>5.0906761285235629E-2</v>
      </c>
      <c r="D208" s="2" vm="7057">
        <f ca="1"/>
        <v>179.42</v>
      </c>
      <c r="E208" s="2">
        <f t="shared" ca="1" si="142"/>
        <v>6.5073488163356705E-3</v>
      </c>
      <c r="F208" s="2" vm="7058">
        <f ca="1"/>
        <v>524.94000000000005</v>
      </c>
      <c r="G208" s="2">
        <f t="shared" ca="1" si="143"/>
        <v>-5.3244907626716163E-3</v>
      </c>
      <c r="H208" s="2" vm="7059">
        <f ca="1"/>
        <v>771.99</v>
      </c>
      <c r="I208" s="2">
        <f t="shared" ca="1" si="144"/>
        <v>1.1172818484268949E-2</v>
      </c>
      <c r="J208" s="2" vm="7060">
        <f ca="1"/>
        <v>196.09</v>
      </c>
      <c r="K208" s="2">
        <f t="shared" ca="1" si="145"/>
        <v>7.2943956439102892E-3</v>
      </c>
      <c r="L208" s="2" vm="7061">
        <f ca="1"/>
        <v>632.78</v>
      </c>
      <c r="M208" s="2">
        <f t="shared" ca="1" si="146"/>
        <v>7.6596015733234792E-3</v>
      </c>
      <c r="N208" s="2" vm="2217">
        <f ca="1"/>
        <v>87.82</v>
      </c>
      <c r="O208" s="2">
        <f t="shared" ca="1" si="147"/>
        <v>-5.7738027850108131E-3</v>
      </c>
      <c r="P208" s="2" vm="7062">
        <f ca="1"/>
        <v>310.5</v>
      </c>
      <c r="Q208" s="2">
        <f t="shared" ca="1" si="148"/>
        <v>-2.1210952564597796E-3</v>
      </c>
      <c r="R208" s="2" vm="4141">
        <f ca="1"/>
        <v>73.790000000000006</v>
      </c>
      <c r="S208" s="2">
        <f t="shared" ca="1" si="149"/>
        <v>-1.6395627832577843E-2</v>
      </c>
      <c r="T208" s="2" vm="7063">
        <f ca="1"/>
        <v>95.67</v>
      </c>
      <c r="U208" s="2">
        <f t="shared" ca="1" si="150"/>
        <v>-7.3114685606844769E-4</v>
      </c>
      <c r="V208" s="2" vm="7064">
        <f ca="1"/>
        <v>47.325000000000003</v>
      </c>
      <c r="W208" s="2">
        <f t="shared" ca="1" si="151"/>
        <v>-1.9647486072459273E-4</v>
      </c>
      <c r="X208" s="2" vm="7065">
        <f ca="1"/>
        <v>145.87</v>
      </c>
      <c r="Y208" s="2">
        <f t="shared" ca="1" si="152"/>
        <v>2.2674178919885428E-3</v>
      </c>
      <c r="Z208" s="2" vm="7066">
        <f ca="1"/>
        <v>84.72</v>
      </c>
      <c r="AA208" s="2">
        <f t="shared" ca="1" si="153"/>
        <v>-9.2386855338557616E-3</v>
      </c>
      <c r="AB208" s="2" vm="7067">
        <f ca="1"/>
        <v>13.4</v>
      </c>
      <c r="AC208" s="2">
        <f t="shared" ca="1" si="154"/>
        <v>-1.398086828550401E-2</v>
      </c>
      <c r="AD208" s="2" vm="2838">
        <f ca="1"/>
        <v>4.5</v>
      </c>
      <c r="AE208" s="2">
        <f t="shared" ca="1" si="155"/>
        <v>0</v>
      </c>
      <c r="AF208" s="2" vm="7036">
        <f ca="1"/>
        <v>34.35</v>
      </c>
      <c r="AG208" s="2">
        <f t="shared" ca="1" si="156"/>
        <v>0</v>
      </c>
      <c r="AH208" s="2" vm="248">
        <f ca="1"/>
        <v>25.99</v>
      </c>
      <c r="AI208" s="2">
        <f t="shared" ca="1" si="157"/>
        <v>2.7006172839504909E-3</v>
      </c>
      <c r="AJ208" s="2" vm="7038">
        <f ca="1"/>
        <v>4.25</v>
      </c>
      <c r="AK208" s="2">
        <f t="shared" ca="1" si="158"/>
        <v>0</v>
      </c>
      <c r="AL208" s="2" vm="7068">
        <f ca="1"/>
        <v>66.77</v>
      </c>
      <c r="AM208" s="2">
        <f t="shared" ca="1" si="159"/>
        <v>-2.0923628755044176E-3</v>
      </c>
      <c r="AN208" s="2" vm="7069">
        <f ca="1"/>
        <v>121.9</v>
      </c>
      <c r="AO208" s="2">
        <f t="shared" ca="1" si="160"/>
        <v>1.642624864504293E-2</v>
      </c>
      <c r="AP208" s="2" vm="3382">
        <f ca="1"/>
        <v>26.69</v>
      </c>
      <c r="AQ208" s="2">
        <f t="shared" ca="1" si="161"/>
        <v>-1.8698578908001931E-3</v>
      </c>
      <c r="AR208" s="2" vm="73">
        <f ca="1"/>
        <v>50.9</v>
      </c>
      <c r="AS208" s="2">
        <f t="shared" ca="1" si="162"/>
        <v>7.8647267007469818E-4</v>
      </c>
      <c r="AT208" s="2" vm="530">
        <f ca="1"/>
        <v>29.22</v>
      </c>
      <c r="AU208" s="2">
        <f t="shared" ca="1" si="163"/>
        <v>0</v>
      </c>
      <c r="AV208" s="2" vm="2410">
        <f ca="1"/>
        <v>26.49</v>
      </c>
      <c r="AW208" s="2">
        <f t="shared" ca="1" si="164"/>
        <v>-5.2572286894480126E-3</v>
      </c>
      <c r="AX208" s="2" vm="1706">
        <f ca="1"/>
        <v>91.51</v>
      </c>
      <c r="AY208" s="2">
        <f t="shared" ca="1" si="165"/>
        <v>3.2794053344994685E-4</v>
      </c>
      <c r="AZ208" s="2" vm="7070">
        <f ca="1"/>
        <v>468.91</v>
      </c>
      <c r="BA208" s="2">
        <f t="shared" ca="1" si="166"/>
        <v>1.0168250070014493E-2</v>
      </c>
      <c r="BB208" s="2" vm="7071">
        <f ca="1"/>
        <v>291.35000000000002</v>
      </c>
      <c r="BC208" s="2">
        <f t="shared" ca="1" si="167"/>
        <v>-6.8641246524974461E-5</v>
      </c>
      <c r="BD208" s="2" vm="7072">
        <f ca="1"/>
        <v>45.42</v>
      </c>
      <c r="BE208" s="2">
        <f t="shared" ca="1" si="168"/>
        <v>-3.0728709394205567E-3</v>
      </c>
      <c r="BF208" s="2" vm="7073">
        <f ca="1"/>
        <v>106.51</v>
      </c>
      <c r="BG208" s="2">
        <f t="shared" ca="1" si="169"/>
        <v>-6.8071615069003151E-3</v>
      </c>
      <c r="BH208" s="2" vm="7074">
        <f ca="1"/>
        <v>152.78</v>
      </c>
      <c r="BI208" s="2">
        <f t="shared" ca="1" si="170"/>
        <v>-1.6989022477782994E-3</v>
      </c>
      <c r="BJ208" s="2" vm="7075">
        <f ca="1"/>
        <v>170.59</v>
      </c>
      <c r="BK208" s="2">
        <f t="shared" ca="1" si="171"/>
        <v>-8.7852875717468477E-4</v>
      </c>
      <c r="BL208" s="2" vm="7076">
        <f ca="1"/>
        <v>69.510000000000005</v>
      </c>
      <c r="BM208" s="2">
        <f t="shared" ca="1" si="172"/>
        <v>6.6618392469226352E-3</v>
      </c>
      <c r="BN208" s="2" vm="7077">
        <f ca="1"/>
        <v>307.66000000000003</v>
      </c>
      <c r="BO208" s="2">
        <f t="shared" ca="1" si="173"/>
        <v>2.9755330187100592E-2</v>
      </c>
      <c r="BP208" s="2" vm="7078">
        <f ca="1"/>
        <v>115.17</v>
      </c>
      <c r="BQ208" s="2">
        <f t="shared" ca="1" si="174"/>
        <v>-2.6622718052738265E-2</v>
      </c>
      <c r="BR208" s="2" vm="7079">
        <f ca="1"/>
        <v>1178.48</v>
      </c>
      <c r="BS208" s="2">
        <f t="shared" ca="1" si="175"/>
        <v>2.6666782823839049E-2</v>
      </c>
      <c r="BT208" s="2" vm="7080">
        <f ca="1"/>
        <v>152.86000000000001</v>
      </c>
      <c r="BU208" s="2">
        <f t="shared" ca="1" si="176"/>
        <v>1.561358049299065E-2</v>
      </c>
      <c r="BV208" s="2" vm="7081">
        <f ca="1"/>
        <v>140.80000000000001</v>
      </c>
      <c r="BW208" s="2">
        <f t="shared" ca="1" si="177"/>
        <v>9.6808892076014549E-3</v>
      </c>
      <c r="BX208" s="2" vm="7082">
        <f ca="1"/>
        <v>238.95</v>
      </c>
      <c r="BY208" s="2">
        <f t="shared" ca="1" si="178"/>
        <v>-1.2562502582751437E-2</v>
      </c>
      <c r="BZ208" s="2" vm="2204">
        <f ca="1"/>
        <v>87.47</v>
      </c>
      <c r="CA208" s="2">
        <f t="shared" ca="1" si="179"/>
        <v>-1.0856044328847765E-2</v>
      </c>
      <c r="CB208" s="2" vm="7083">
        <f ca="1"/>
        <v>27.680099999999999</v>
      </c>
      <c r="CC208" s="2">
        <f t="shared" ca="1" si="180"/>
        <v>-1.0010729613733954E-2</v>
      </c>
      <c r="CD208" s="2" t="e" vm="92">
        <f ca="1"/>
        <v>#N/A</v>
      </c>
      <c r="CE208" s="2" t="e" vm="140">
        <f t="shared" ca="1" si="181"/>
        <v>#N/A</v>
      </c>
      <c r="CF208" s="2" vm="1568">
        <f ca="1"/>
        <v>22.945</v>
      </c>
      <c r="CG208" s="2">
        <f t="shared" ca="1" si="182"/>
        <v>-8.7089048552142713E-4</v>
      </c>
      <c r="CH208" s="2" vm="5712">
        <f ca="1"/>
        <v>58.64</v>
      </c>
      <c r="CI208" s="2">
        <f t="shared" ca="1" si="183"/>
        <v>3.4118048447634132E-4</v>
      </c>
      <c r="CJ208" s="2" vm="7052">
        <f ca="1"/>
        <v>59.73</v>
      </c>
      <c r="CK208" s="2">
        <f t="shared" ca="1" si="184"/>
        <v>0</v>
      </c>
      <c r="CL208" s="2" vm="3033">
        <f ca="1"/>
        <v>55.92</v>
      </c>
      <c r="CM208" s="2">
        <f t="shared" ca="1" si="185"/>
        <v>-5.3361792956242828E-3</v>
      </c>
      <c r="CN208" s="2" vm="1068">
        <f ca="1"/>
        <v>29.26</v>
      </c>
      <c r="CO208" s="2">
        <f t="shared" ca="1" si="186"/>
        <v>0</v>
      </c>
      <c r="CP208" s="2" vm="7084">
        <f ca="1"/>
        <v>21.192499999999999</v>
      </c>
      <c r="CQ208" s="2">
        <f t="shared" ca="1" si="187"/>
        <v>-8.0228797176546407E-3</v>
      </c>
    </row>
    <row r="209" spans="1:95" x14ac:dyDescent="0.2">
      <c r="A209" s="7" vm="7085">
        <f ca="1"/>
        <v>45876</v>
      </c>
      <c r="B209" s="2" vm="7086">
        <f ca="1"/>
        <v>220.03</v>
      </c>
      <c r="C209" s="2">
        <f t="shared" ca="1" si="141"/>
        <v>3.1793669402110203E-2</v>
      </c>
      <c r="D209" s="2" vm="7087">
        <f ca="1"/>
        <v>180.77</v>
      </c>
      <c r="E209" s="2">
        <f t="shared" ca="1" si="142"/>
        <v>7.5242447887639216E-3</v>
      </c>
      <c r="F209" s="2" vm="7088">
        <f ca="1"/>
        <v>520.84</v>
      </c>
      <c r="G209" s="2">
        <f t="shared" ca="1" si="143"/>
        <v>-7.8104164285442571E-3</v>
      </c>
      <c r="H209" s="2" vm="7089">
        <f ca="1"/>
        <v>761.83</v>
      </c>
      <c r="I209" s="2">
        <f t="shared" ca="1" si="144"/>
        <v>-1.3160792238241386E-2</v>
      </c>
      <c r="J209" s="2" vm="7090">
        <f ca="1"/>
        <v>196.52</v>
      </c>
      <c r="K209" s="2">
        <f t="shared" ca="1" si="145"/>
        <v>2.1928706206334175E-3</v>
      </c>
      <c r="L209" s="2" vm="7091">
        <f ca="1"/>
        <v>632.25</v>
      </c>
      <c r="M209" s="2">
        <f t="shared" ca="1" si="146"/>
        <v>-8.37573880337515E-4</v>
      </c>
      <c r="N209" s="2" vm="7092">
        <f ca="1"/>
        <v>87.67</v>
      </c>
      <c r="O209" s="2">
        <f t="shared" ca="1" si="147"/>
        <v>-1.7080391710315587E-3</v>
      </c>
      <c r="P209" s="2" vm="7093">
        <f ca="1"/>
        <v>313.12</v>
      </c>
      <c r="Q209" s="2">
        <f t="shared" ca="1" si="148"/>
        <v>8.438003220611931E-3</v>
      </c>
      <c r="R209" s="2" vm="7094">
        <f ca="1"/>
        <v>73.42</v>
      </c>
      <c r="S209" s="2">
        <f t="shared" ca="1" si="149"/>
        <v>-5.0142295704025544E-3</v>
      </c>
      <c r="T209" s="2" vm="7095">
        <f ca="1"/>
        <v>95.6</v>
      </c>
      <c r="U209" s="2">
        <f t="shared" ca="1" si="150"/>
        <v>-7.3168182293307604E-4</v>
      </c>
      <c r="V209" s="2" vm="7096">
        <f ca="1"/>
        <v>47.344999999999999</v>
      </c>
      <c r="W209" s="2">
        <f t="shared" ca="1" si="151"/>
        <v>4.2260961436864277E-4</v>
      </c>
      <c r="X209" s="2" vm="7097">
        <f ca="1"/>
        <v>141.11000000000001</v>
      </c>
      <c r="Y209" s="2">
        <f t="shared" ca="1" si="152"/>
        <v>-3.263179543429074E-2</v>
      </c>
      <c r="Z209" s="2" vm="7098">
        <f ca="1"/>
        <v>84.39</v>
      </c>
      <c r="AA209" s="2">
        <f t="shared" ca="1" si="153"/>
        <v>-3.895184135977317E-3</v>
      </c>
      <c r="AB209" s="2" vm="7099">
        <f ca="1"/>
        <v>13.39</v>
      </c>
      <c r="AC209" s="2">
        <f t="shared" ca="1" si="154"/>
        <v>-7.4626865671640198E-4</v>
      </c>
      <c r="AD209" s="2" vm="2874">
        <f ca="1"/>
        <v>4.5999999999999996</v>
      </c>
      <c r="AE209" s="2">
        <f t="shared" ca="1" si="155"/>
        <v>2.2222222222222143E-2</v>
      </c>
      <c r="AF209" s="2" vm="7100">
        <f ca="1"/>
        <v>34.76</v>
      </c>
      <c r="AG209" s="2">
        <f t="shared" ca="1" si="156"/>
        <v>1.1935953420669478E-2</v>
      </c>
      <c r="AH209" s="2" vm="2222">
        <f ca="1"/>
        <v>26.25</v>
      </c>
      <c r="AI209" s="2">
        <f t="shared" ca="1" si="157"/>
        <v>1.0003847633705333E-2</v>
      </c>
      <c r="AJ209" s="2" vm="7101">
        <f ca="1"/>
        <v>4.33</v>
      </c>
      <c r="AK209" s="2">
        <f t="shared" ca="1" si="158"/>
        <v>1.8823529411764722E-2</v>
      </c>
      <c r="AL209" s="2" vm="561">
        <f ca="1"/>
        <v>67.3</v>
      </c>
      <c r="AM209" s="2">
        <f t="shared" ca="1" si="159"/>
        <v>7.9376965703160281E-3</v>
      </c>
      <c r="AN209" s="2" vm="7102">
        <f ca="1"/>
        <v>121.89</v>
      </c>
      <c r="AO209" s="2">
        <f t="shared" ca="1" si="160"/>
        <v>-8.2034454470919727E-5</v>
      </c>
      <c r="AP209" s="2" vm="2670">
        <f ca="1"/>
        <v>26.73</v>
      </c>
      <c r="AQ209" s="2">
        <f t="shared" ca="1" si="161"/>
        <v>1.4986886474334636E-3</v>
      </c>
      <c r="AR209" s="2" vm="167">
        <f ca="1"/>
        <v>50.91</v>
      </c>
      <c r="AS209" s="2">
        <f t="shared" ca="1" si="162"/>
        <v>1.9646365422392947E-4</v>
      </c>
      <c r="AT209" s="2" vm="736">
        <f ca="1"/>
        <v>29.21</v>
      </c>
      <c r="AU209" s="2">
        <f t="shared" ca="1" si="163"/>
        <v>-3.4223134839144457E-4</v>
      </c>
      <c r="AV209" s="2" vm="3991">
        <f ca="1"/>
        <v>26.46</v>
      </c>
      <c r="AW209" s="2">
        <f t="shared" ca="1" si="164"/>
        <v>-1.1325028312569869E-3</v>
      </c>
      <c r="AX209" s="2" vm="1706">
        <f ca="1"/>
        <v>91.51</v>
      </c>
      <c r="AY209" s="2">
        <f t="shared" ca="1" si="165"/>
        <v>0</v>
      </c>
      <c r="AZ209" s="2" vm="7103">
        <f ca="1"/>
        <v>461.47</v>
      </c>
      <c r="BA209" s="2">
        <f t="shared" ca="1" si="166"/>
        <v>-1.5866584205924371E-2</v>
      </c>
      <c r="BB209" s="2" vm="7104">
        <f ca="1"/>
        <v>286.94</v>
      </c>
      <c r="BC209" s="2">
        <f t="shared" ca="1" si="167"/>
        <v>-1.513643384245761E-2</v>
      </c>
      <c r="BD209" s="2" vm="7105">
        <f ca="1"/>
        <v>44.92</v>
      </c>
      <c r="BE209" s="2">
        <f t="shared" ca="1" si="168"/>
        <v>-1.1008366358432407E-2</v>
      </c>
      <c r="BF209" s="2" vm="7106">
        <f ca="1"/>
        <v>105.95</v>
      </c>
      <c r="BG209" s="2">
        <f t="shared" ca="1" si="169"/>
        <v>-5.2577222795981808E-3</v>
      </c>
      <c r="BH209" s="2" vm="7107">
        <f ca="1"/>
        <v>153.16</v>
      </c>
      <c r="BI209" s="2">
        <f t="shared" ca="1" si="170"/>
        <v>2.4872365492865259E-3</v>
      </c>
      <c r="BJ209" s="2" vm="7108">
        <f ca="1"/>
        <v>171.53</v>
      </c>
      <c r="BK209" s="2">
        <f t="shared" ca="1" si="171"/>
        <v>5.5102878246086973E-3</v>
      </c>
      <c r="BL209" s="2" vm="624">
        <f ca="1"/>
        <v>70.430000000000007</v>
      </c>
      <c r="BM209" s="2">
        <f t="shared" ca="1" si="172"/>
        <v>1.3235505682635616E-2</v>
      </c>
      <c r="BN209" s="2" vm="7109">
        <f ca="1"/>
        <v>307.91000000000003</v>
      </c>
      <c r="BO209" s="2">
        <f t="shared" ca="1" si="173"/>
        <v>8.1258532145875306E-4</v>
      </c>
      <c r="BP209" s="2" vm="6900">
        <f ca="1"/>
        <v>112.88</v>
      </c>
      <c r="BQ209" s="2">
        <f t="shared" ca="1" si="174"/>
        <v>-1.9883650256143148E-2</v>
      </c>
      <c r="BR209" s="2" vm="7110">
        <f ca="1"/>
        <v>1180.3699999999999</v>
      </c>
      <c r="BS209" s="2">
        <f t="shared" ca="1" si="175"/>
        <v>1.6037607765934702E-3</v>
      </c>
      <c r="BT209" s="2" vm="3125">
        <f ca="1"/>
        <v>153.49</v>
      </c>
      <c r="BU209" s="2">
        <f t="shared" ca="1" si="176"/>
        <v>4.1214182912468625E-3</v>
      </c>
      <c r="BV209" s="2" vm="7111">
        <f ca="1"/>
        <v>143.91999999999999</v>
      </c>
      <c r="BW209" s="2">
        <f t="shared" ca="1" si="177"/>
        <v>2.2159090909090736E-2</v>
      </c>
      <c r="BX209" s="2" vm="7112">
        <f ca="1"/>
        <v>235.79</v>
      </c>
      <c r="BY209" s="2">
        <f t="shared" ca="1" si="178"/>
        <v>-1.3224523958987221E-2</v>
      </c>
      <c r="BZ209" s="2" vm="7113">
        <f ca="1"/>
        <v>86.63</v>
      </c>
      <c r="CA209" s="2">
        <f t="shared" ca="1" si="179"/>
        <v>-9.6032925574483074E-3</v>
      </c>
      <c r="CB209" s="2" vm="7114">
        <f ca="1"/>
        <v>27.482800000000001</v>
      </c>
      <c r="CC209" s="2">
        <f t="shared" ca="1" si="180"/>
        <v>-7.127864422455066E-3</v>
      </c>
      <c r="CD209" s="2" t="e" vm="92">
        <f ca="1"/>
        <v>#N/A</v>
      </c>
      <c r="CE209" s="2" t="e" vm="140">
        <f t="shared" ca="1" si="181"/>
        <v>#N/A</v>
      </c>
      <c r="CF209" s="2" vm="1721">
        <f ca="1"/>
        <v>22.93</v>
      </c>
      <c r="CG209" s="2">
        <f t="shared" ca="1" si="182"/>
        <v>-6.5373719764657081E-4</v>
      </c>
      <c r="CH209" s="2" vm="399">
        <f ca="1"/>
        <v>58.63</v>
      </c>
      <c r="CI209" s="2">
        <f t="shared" ca="1" si="183"/>
        <v>-1.705320600272512E-4</v>
      </c>
      <c r="CJ209" s="2" vm="7115">
        <f ca="1"/>
        <v>59.7</v>
      </c>
      <c r="CK209" s="2">
        <f t="shared" ca="1" si="184"/>
        <v>-5.0226017076835815E-4</v>
      </c>
      <c r="CL209" s="2" vm="7116">
        <f ca="1"/>
        <v>55.85</v>
      </c>
      <c r="CM209" s="2">
        <f t="shared" ca="1" si="185"/>
        <v>-1.2517882689556559E-3</v>
      </c>
      <c r="CN209" s="2" vm="694">
        <f ca="1"/>
        <v>29.24</v>
      </c>
      <c r="CO209" s="2">
        <f t="shared" ca="1" si="186"/>
        <v>-6.8352699931657985E-4</v>
      </c>
      <c r="CP209" s="2" vm="7117">
        <f ca="1"/>
        <v>21.240500000000001</v>
      </c>
      <c r="CQ209" s="2">
        <f t="shared" ca="1" si="187"/>
        <v>2.2649522236641182E-3</v>
      </c>
    </row>
    <row r="210" spans="1:95" x14ac:dyDescent="0.2">
      <c r="A210" s="7" vm="7118">
        <f ca="1"/>
        <v>45877</v>
      </c>
      <c r="B210" s="2" vm="7119">
        <f ca="1"/>
        <v>229.35</v>
      </c>
      <c r="C210" s="2">
        <f t="shared" ca="1" si="141"/>
        <v>4.2357860291778363E-2</v>
      </c>
      <c r="D210" s="2" vm="7120">
        <f ca="1"/>
        <v>182.7</v>
      </c>
      <c r="E210" s="2">
        <f t="shared" ca="1" si="142"/>
        <v>1.0676550312551741E-2</v>
      </c>
      <c r="F210" s="2" vm="7121">
        <f ca="1"/>
        <v>522.04</v>
      </c>
      <c r="G210" s="2">
        <f t="shared" ca="1" si="143"/>
        <v>2.3039705091773516E-3</v>
      </c>
      <c r="H210" s="2" vm="7122">
        <f ca="1"/>
        <v>769.3</v>
      </c>
      <c r="I210" s="2">
        <f t="shared" ca="1" si="144"/>
        <v>9.8053371487076026E-3</v>
      </c>
      <c r="J210" s="2" vm="7123">
        <f ca="1"/>
        <v>201.42</v>
      </c>
      <c r="K210" s="2">
        <f t="shared" ca="1" si="145"/>
        <v>2.4933848972114682E-2</v>
      </c>
      <c r="L210" s="2" vm="7124">
        <f ca="1"/>
        <v>637.17999999999995</v>
      </c>
      <c r="M210" s="2">
        <f t="shared" ca="1" si="146"/>
        <v>7.7975484381177544E-3</v>
      </c>
      <c r="N210" s="2" vm="2403">
        <f ca="1"/>
        <v>87.29</v>
      </c>
      <c r="O210" s="2">
        <f t="shared" ca="1" si="147"/>
        <v>-4.3344359530055375E-3</v>
      </c>
      <c r="P210" s="2" vm="7125">
        <f ca="1"/>
        <v>313.05</v>
      </c>
      <c r="Q210" s="2">
        <f t="shared" ca="1" si="148"/>
        <v>-2.2355646397545089E-4</v>
      </c>
      <c r="R210" s="2" vm="1989">
        <f ca="1"/>
        <v>73.3</v>
      </c>
      <c r="S210" s="2">
        <f t="shared" ca="1" si="149"/>
        <v>-1.6344320348679452E-3</v>
      </c>
      <c r="T210" s="2" vm="1275">
        <f ca="1"/>
        <v>95.38</v>
      </c>
      <c r="U210" s="2">
        <f t="shared" ca="1" si="150"/>
        <v>-2.3012552301255114E-3</v>
      </c>
      <c r="V210" s="2" vm="1233">
        <f ca="1"/>
        <v>47.215000000000003</v>
      </c>
      <c r="W210" s="2">
        <f t="shared" ca="1" si="151"/>
        <v>-2.7458020910338041E-3</v>
      </c>
      <c r="X210" s="2" vm="5984">
        <f ca="1"/>
        <v>141.97</v>
      </c>
      <c r="Y210" s="2">
        <f t="shared" ca="1" si="152"/>
        <v>6.0945361774501104E-3</v>
      </c>
      <c r="Z210" s="2" vm="7126">
        <f ca="1"/>
        <v>84.93</v>
      </c>
      <c r="AA210" s="2">
        <f t="shared" ca="1" si="153"/>
        <v>6.3988624244579479E-3</v>
      </c>
      <c r="AB210" s="2" vm="4556">
        <f ca="1"/>
        <v>13.32</v>
      </c>
      <c r="AC210" s="2">
        <f t="shared" ca="1" si="154"/>
        <v>-5.227781926811074E-3</v>
      </c>
      <c r="AD210" s="2" vm="2874">
        <f ca="1"/>
        <v>4.5999999999999996</v>
      </c>
      <c r="AE210" s="2">
        <f t="shared" ca="1" si="155"/>
        <v>0</v>
      </c>
      <c r="AF210" s="2" vm="7127">
        <f ca="1"/>
        <v>34.880000000000003</v>
      </c>
      <c r="AG210" s="2">
        <f t="shared" ca="1" si="156"/>
        <v>3.4522439585732037E-3</v>
      </c>
      <c r="AH210" s="2" vm="842">
        <f ca="1"/>
        <v>26.21</v>
      </c>
      <c r="AI210" s="2">
        <f t="shared" ca="1" si="157"/>
        <v>-1.5238095238094913E-3</v>
      </c>
      <c r="AJ210" s="2" vm="6979">
        <f ca="1"/>
        <v>4.3</v>
      </c>
      <c r="AK210" s="2">
        <f t="shared" ca="1" si="158"/>
        <v>-6.9284064665127596E-3</v>
      </c>
      <c r="AL210" s="2" vm="561">
        <f ca="1"/>
        <v>67.3</v>
      </c>
      <c r="AM210" s="2">
        <f t="shared" ca="1" si="159"/>
        <v>0</v>
      </c>
      <c r="AN210" s="2" vm="7128">
        <f ca="1"/>
        <v>121.13</v>
      </c>
      <c r="AO210" s="2">
        <f t="shared" ca="1" si="160"/>
        <v>-6.2351300352777514E-3</v>
      </c>
      <c r="AP210" s="2" vm="3676">
        <f ca="1"/>
        <v>26.71</v>
      </c>
      <c r="AQ210" s="2">
        <f t="shared" ca="1" si="161"/>
        <v>-7.4822297044517668E-4</v>
      </c>
      <c r="AR210" s="2" vm="380">
        <f ca="1"/>
        <v>50.95</v>
      </c>
      <c r="AS210" s="2">
        <f t="shared" ca="1" si="162"/>
        <v>7.8570025535270585E-4</v>
      </c>
      <c r="AT210" s="2" vm="736">
        <f ca="1"/>
        <v>29.21</v>
      </c>
      <c r="AU210" s="2">
        <f t="shared" ca="1" si="163"/>
        <v>0</v>
      </c>
      <c r="AV210" s="2" vm="1320">
        <f ca="1"/>
        <v>26.36</v>
      </c>
      <c r="AW210" s="2">
        <f t="shared" ca="1" si="164"/>
        <v>-3.7792894935752613E-3</v>
      </c>
      <c r="AX210" s="2" vm="76">
        <f ca="1"/>
        <v>91.54</v>
      </c>
      <c r="AY210" s="2">
        <f t="shared" ca="1" si="165"/>
        <v>3.2783302371326776E-4</v>
      </c>
      <c r="AZ210" s="2" vm="7129">
        <f ca="1"/>
        <v>465.4</v>
      </c>
      <c r="BA210" s="2">
        <f t="shared" ca="1" si="166"/>
        <v>8.5162632457146722E-3</v>
      </c>
      <c r="BB210" s="2" vm="7130">
        <f ca="1"/>
        <v>288.76</v>
      </c>
      <c r="BC210" s="2">
        <f t="shared" ca="1" si="167"/>
        <v>6.3427894333309863E-3</v>
      </c>
      <c r="BD210" s="2" vm="3454">
        <f ca="1"/>
        <v>46.01</v>
      </c>
      <c r="BE210" s="2">
        <f t="shared" ca="1" si="168"/>
        <v>2.4265360641139721E-2</v>
      </c>
      <c r="BF210" s="2" vm="7131">
        <f ca="1"/>
        <v>106.8</v>
      </c>
      <c r="BG210" s="2">
        <f t="shared" ca="1" si="169"/>
        <v>8.0226521944312817E-3</v>
      </c>
      <c r="BH210" s="2" vm="1559">
        <f ca="1"/>
        <v>155.01</v>
      </c>
      <c r="BI210" s="2">
        <f t="shared" ca="1" si="170"/>
        <v>1.2078871768085626E-2</v>
      </c>
      <c r="BJ210" s="2" vm="7132">
        <f ca="1"/>
        <v>173.33</v>
      </c>
      <c r="BK210" s="2">
        <f t="shared" ca="1" si="171"/>
        <v>1.0493791173555712E-2</v>
      </c>
      <c r="BL210" s="2" vm="219">
        <f ca="1"/>
        <v>70.34</v>
      </c>
      <c r="BM210" s="2">
        <f t="shared" ca="1" si="172"/>
        <v>-1.2778645463581344E-3</v>
      </c>
      <c r="BN210" s="2" vm="7133">
        <f ca="1"/>
        <v>305.45</v>
      </c>
      <c r="BO210" s="2">
        <f t="shared" ca="1" si="173"/>
        <v>-7.9893475366179609E-3</v>
      </c>
      <c r="BP210" s="2" vm="4431">
        <f ca="1"/>
        <v>112.43</v>
      </c>
      <c r="BQ210" s="2">
        <f t="shared" ca="1" si="174"/>
        <v>-3.9865343727851586E-3</v>
      </c>
      <c r="BR210" s="2" vm="7134">
        <f ca="1"/>
        <v>1211.6400000000001</v>
      </c>
      <c r="BS210" s="2">
        <f t="shared" ca="1" si="175"/>
        <v>2.6491693282614952E-2</v>
      </c>
      <c r="BT210" s="2" vm="3194">
        <f ca="1"/>
        <v>153.51</v>
      </c>
      <c r="BU210" s="2">
        <f t="shared" ca="1" si="176"/>
        <v>1.3030164831573268E-4</v>
      </c>
      <c r="BV210" s="2" vm="7135">
        <f ca="1"/>
        <v>145.21</v>
      </c>
      <c r="BW210" s="2">
        <f t="shared" ca="1" si="177"/>
        <v>8.9633129516399433E-3</v>
      </c>
      <c r="BX210" s="2" vm="7136">
        <f ca="1"/>
        <v>237.51</v>
      </c>
      <c r="BY210" s="2">
        <f t="shared" ca="1" si="178"/>
        <v>7.2946265744942484E-3</v>
      </c>
      <c r="BZ210" s="2" vm="6508">
        <f ca="1"/>
        <v>86.99</v>
      </c>
      <c r="CA210" s="2">
        <f t="shared" ca="1" si="179"/>
        <v>4.1556042941244308E-3</v>
      </c>
      <c r="CB210" s="2" vm="3186">
        <f ca="1"/>
        <v>27.68</v>
      </c>
      <c r="CC210" s="2">
        <f t="shared" ca="1" si="180"/>
        <v>7.1753969755628507E-3</v>
      </c>
      <c r="CD210" s="2" t="e" vm="92">
        <f ca="1"/>
        <v>#N/A</v>
      </c>
      <c r="CE210" s="2" t="e" vm="140">
        <f t="shared" ca="1" si="181"/>
        <v>#N/A</v>
      </c>
      <c r="CF210" s="2" vm="6221">
        <f ca="1"/>
        <v>22.89</v>
      </c>
      <c r="CG210" s="2">
        <f t="shared" ca="1" si="182"/>
        <v>-1.744439598778855E-3</v>
      </c>
      <c r="CH210" s="2" vm="185">
        <f ca="1"/>
        <v>58.6</v>
      </c>
      <c r="CI210" s="2">
        <f t="shared" ca="1" si="183"/>
        <v>-5.1168343851272621E-4</v>
      </c>
      <c r="CJ210" s="2" vm="7137">
        <f ca="1"/>
        <v>59.59</v>
      </c>
      <c r="CK210" s="2">
        <f t="shared" ca="1" si="184"/>
        <v>-1.8425460636515816E-3</v>
      </c>
      <c r="CL210" s="2" vm="7138">
        <f ca="1"/>
        <v>55.64</v>
      </c>
      <c r="CM210" s="2">
        <f t="shared" ca="1" si="185"/>
        <v>-3.7600716204118324E-3</v>
      </c>
      <c r="CN210" s="2" vm="122">
        <f ca="1"/>
        <v>29.17</v>
      </c>
      <c r="CO210" s="2">
        <f t="shared" ca="1" si="186"/>
        <v>-2.3939808481531033E-3</v>
      </c>
      <c r="CP210" s="2" vm="7139">
        <f ca="1"/>
        <v>21.043500000000002</v>
      </c>
      <c r="CQ210" s="2">
        <f t="shared" ca="1" si="187"/>
        <v>-9.274734587227192E-3</v>
      </c>
    </row>
    <row r="211" spans="1:95" x14ac:dyDescent="0.2">
      <c r="A211" s="7" vm="7140">
        <f ca="1"/>
        <v>45880</v>
      </c>
      <c r="B211" s="2" vm="7141">
        <f ca="1"/>
        <v>227.18</v>
      </c>
      <c r="C211" s="2">
        <f t="shared" ca="1" si="141"/>
        <v>-9.4615216917374647E-3</v>
      </c>
      <c r="D211" s="2" vm="7142">
        <f ca="1"/>
        <v>182.06</v>
      </c>
      <c r="E211" s="2">
        <f t="shared" ca="1" si="142"/>
        <v>-3.5030103995620492E-3</v>
      </c>
      <c r="F211" s="2" vm="7143">
        <f ca="1"/>
        <v>521.77</v>
      </c>
      <c r="G211" s="2">
        <f t="shared" ca="1" si="143"/>
        <v>-5.1720174699253284E-4</v>
      </c>
      <c r="H211" s="2" vm="7144">
        <f ca="1"/>
        <v>765.87</v>
      </c>
      <c r="I211" s="2">
        <f t="shared" ca="1" si="144"/>
        <v>-4.4585987261145845E-3</v>
      </c>
      <c r="J211" s="2" vm="6100">
        <f ca="1"/>
        <v>201</v>
      </c>
      <c r="K211" s="2">
        <f t="shared" ca="1" si="145"/>
        <v>-2.0851951146856691E-3</v>
      </c>
      <c r="L211" s="2" vm="7145">
        <f ca="1"/>
        <v>635.91999999999996</v>
      </c>
      <c r="M211" s="2">
        <f t="shared" ca="1" si="146"/>
        <v>-1.9774631972127046E-3</v>
      </c>
      <c r="N211" s="2" vm="2281">
        <f ca="1"/>
        <v>87.39</v>
      </c>
      <c r="O211" s="2">
        <f t="shared" ca="1" si="147"/>
        <v>1.1456065986939433E-3</v>
      </c>
      <c r="P211" s="2" vm="3390">
        <f ca="1"/>
        <v>308.55</v>
      </c>
      <c r="Q211" s="2">
        <f t="shared" ca="1" si="148"/>
        <v>-1.4374700527072352E-2</v>
      </c>
      <c r="R211" s="2" vm="7146">
        <f ca="1"/>
        <v>73.8</v>
      </c>
      <c r="S211" s="2">
        <f t="shared" ca="1" si="149"/>
        <v>6.8212824010914054E-3</v>
      </c>
      <c r="T211" s="2" vm="4487">
        <f ca="1"/>
        <v>95.41</v>
      </c>
      <c r="U211" s="2">
        <f t="shared" ca="1" si="150"/>
        <v>3.1453134829105827E-4</v>
      </c>
      <c r="V211" s="2" vm="7147">
        <f ca="1"/>
        <v>47.269199999999998</v>
      </c>
      <c r="W211" s="2">
        <f t="shared" ca="1" si="151"/>
        <v>1.1479402732181398E-3</v>
      </c>
      <c r="X211" s="2" vm="7148">
        <f ca="1"/>
        <v>142.12</v>
      </c>
      <c r="Y211" s="2">
        <f t="shared" ca="1" si="152"/>
        <v>1.0565612453335611E-3</v>
      </c>
      <c r="Z211" s="2" vm="7149">
        <f ca="1"/>
        <v>84.25</v>
      </c>
      <c r="AA211" s="2">
        <f t="shared" ca="1" si="153"/>
        <v>-8.0065936653715628E-3</v>
      </c>
      <c r="AB211" s="2" vm="7067">
        <f ca="1"/>
        <v>13.4</v>
      </c>
      <c r="AC211" s="2">
        <f t="shared" ca="1" si="154"/>
        <v>6.0060060060060112E-3</v>
      </c>
      <c r="AD211" s="2" vm="7150">
        <f ca="1"/>
        <v>4.58</v>
      </c>
      <c r="AE211" s="2">
        <f t="shared" ca="1" si="155"/>
        <v>-4.347826086956429E-3</v>
      </c>
      <c r="AF211" s="2" vm="7151">
        <f ca="1"/>
        <v>34.18</v>
      </c>
      <c r="AG211" s="2">
        <f t="shared" ca="1" si="156"/>
        <v>-2.0068807339449622E-2</v>
      </c>
      <c r="AH211" s="2" vm="3252">
        <f ca="1"/>
        <v>26.63</v>
      </c>
      <c r="AI211" s="2">
        <f t="shared" ca="1" si="157"/>
        <v>1.6024418161007178E-2</v>
      </c>
      <c r="AJ211" s="2" vm="7152">
        <f ca="1"/>
        <v>4.29</v>
      </c>
      <c r="AK211" s="2">
        <f t="shared" ca="1" si="158"/>
        <v>-2.3255813953487877E-3</v>
      </c>
      <c r="AL211" s="2" vm="7153">
        <f ca="1"/>
        <v>66.37</v>
      </c>
      <c r="AM211" s="2">
        <f t="shared" ca="1" si="159"/>
        <v>-1.3818722139672996E-2</v>
      </c>
      <c r="AN211" s="2" vm="7154">
        <f ca="1"/>
        <v>120.98</v>
      </c>
      <c r="AO211" s="2">
        <f t="shared" ca="1" si="160"/>
        <v>-1.2383389746552587E-3</v>
      </c>
      <c r="AP211" s="2" vm="2670">
        <f ca="1"/>
        <v>26.73</v>
      </c>
      <c r="AQ211" s="2">
        <f t="shared" ca="1" si="161"/>
        <v>7.4878322725569347E-4</v>
      </c>
      <c r="AR211" s="2" vm="422">
        <f ca="1"/>
        <v>50.96</v>
      </c>
      <c r="AS211" s="2">
        <f t="shared" ca="1" si="162"/>
        <v>1.9627085377817488E-4</v>
      </c>
      <c r="AT211" s="2" vm="168">
        <f ca="1"/>
        <v>29.2</v>
      </c>
      <c r="AU211" s="2">
        <f t="shared" ca="1" si="163"/>
        <v>-3.4234851078403158E-4</v>
      </c>
      <c r="AV211" s="2" vm="1705">
        <f ca="1"/>
        <v>26.39</v>
      </c>
      <c r="AW211" s="2">
        <f t="shared" ca="1" si="164"/>
        <v>1.1380880121396487E-3</v>
      </c>
      <c r="AX211" s="2" vm="124">
        <f ca="1"/>
        <v>91.55</v>
      </c>
      <c r="AY211" s="2">
        <f t="shared" ca="1" si="165"/>
        <v>1.0924186148122028E-4</v>
      </c>
      <c r="AZ211" s="2" vm="7155">
        <f ca="1"/>
        <v>464.73</v>
      </c>
      <c r="BA211" s="2">
        <f t="shared" ca="1" si="166"/>
        <v>-1.4396218306831953E-3</v>
      </c>
      <c r="BB211" s="2" vm="7156">
        <f ca="1"/>
        <v>289.56</v>
      </c>
      <c r="BC211" s="2">
        <f t="shared" ca="1" si="167"/>
        <v>2.7704668236598262E-3</v>
      </c>
      <c r="BD211" s="2" vm="7157">
        <f ca="1"/>
        <v>46.16</v>
      </c>
      <c r="BE211" s="2">
        <f t="shared" ca="1" si="168"/>
        <v>3.2601608346011428E-3</v>
      </c>
      <c r="BF211" s="2" vm="7158">
        <f ca="1"/>
        <v>105.83</v>
      </c>
      <c r="BG211" s="2">
        <f t="shared" ca="1" si="169"/>
        <v>-9.0823970037453086E-3</v>
      </c>
      <c r="BH211" s="2" vm="7159">
        <f ca="1"/>
        <v>153.44999999999999</v>
      </c>
      <c r="BI211" s="2">
        <f t="shared" ca="1" si="170"/>
        <v>-1.006386684730019E-2</v>
      </c>
      <c r="BJ211" s="2" vm="1758">
        <f ca="1"/>
        <v>173.82</v>
      </c>
      <c r="BK211" s="2">
        <f t="shared" ca="1" si="171"/>
        <v>2.8269774418737707E-3</v>
      </c>
      <c r="BL211" s="2" vm="6309">
        <f ca="1"/>
        <v>70.75</v>
      </c>
      <c r="BM211" s="2">
        <f t="shared" ca="1" si="172"/>
        <v>5.8288313903894877E-3</v>
      </c>
      <c r="BN211" s="2" vm="7160">
        <f ca="1"/>
        <v>304.36</v>
      </c>
      <c r="BO211" s="2">
        <f t="shared" ca="1" si="173"/>
        <v>-3.5685054837124733E-3</v>
      </c>
      <c r="BP211" s="2" vm="2234">
        <f ca="1"/>
        <v>112.55</v>
      </c>
      <c r="BQ211" s="2">
        <f t="shared" ca="1" si="174"/>
        <v>1.0673307835985977E-3</v>
      </c>
      <c r="BR211" s="2" vm="7161">
        <f ca="1"/>
        <v>1218.31</v>
      </c>
      <c r="BS211" s="2">
        <f t="shared" ca="1" si="175"/>
        <v>5.5049354593772444E-3</v>
      </c>
      <c r="BT211" s="2" vm="7162">
        <f ca="1"/>
        <v>154.97999999999999</v>
      </c>
      <c r="BU211" s="2">
        <f t="shared" ca="1" si="176"/>
        <v>9.575923392612852E-3</v>
      </c>
      <c r="BV211" s="2" vm="7163">
        <f ca="1"/>
        <v>144.87</v>
      </c>
      <c r="BW211" s="2">
        <f t="shared" ca="1" si="177"/>
        <v>-2.3414365401832065E-3</v>
      </c>
      <c r="BX211" s="2" vm="7164">
        <f ca="1"/>
        <v>233.61</v>
      </c>
      <c r="BY211" s="2">
        <f t="shared" ca="1" si="178"/>
        <v>-1.6420361247947358E-2</v>
      </c>
      <c r="BZ211" s="2" vm="7165">
        <f ca="1"/>
        <v>86.38</v>
      </c>
      <c r="CA211" s="2">
        <f t="shared" ca="1" si="179"/>
        <v>-7.0123002643982003E-3</v>
      </c>
      <c r="CB211" s="2" vm="510">
        <f ca="1"/>
        <v>27.41</v>
      </c>
      <c r="CC211" s="2">
        <f t="shared" ca="1" si="180"/>
        <v>-9.7543352601155917E-3</v>
      </c>
      <c r="CD211" s="2" t="e" vm="92">
        <f ca="1"/>
        <v>#N/A</v>
      </c>
      <c r="CE211" s="2" t="e" vm="140">
        <f t="shared" ca="1" si="181"/>
        <v>#N/A</v>
      </c>
      <c r="CF211" s="2" vm="483">
        <f ca="1"/>
        <v>22.9</v>
      </c>
      <c r="CG211" s="2">
        <f t="shared" ca="1" si="182"/>
        <v>4.3687199650493708E-4</v>
      </c>
      <c r="CH211" s="2" vm="185">
        <f ca="1"/>
        <v>58.6</v>
      </c>
      <c r="CI211" s="2">
        <f t="shared" ca="1" si="183"/>
        <v>0</v>
      </c>
      <c r="CJ211" s="2" vm="6222">
        <f ca="1"/>
        <v>59.6</v>
      </c>
      <c r="CK211" s="2">
        <f t="shared" ca="1" si="184"/>
        <v>1.6781339150860898E-4</v>
      </c>
      <c r="CL211" s="2" vm="2997">
        <f ca="1"/>
        <v>55.7</v>
      </c>
      <c r="CM211" s="2">
        <f t="shared" ca="1" si="185"/>
        <v>1.0783608914450445E-3</v>
      </c>
      <c r="CN211" s="2" vm="168">
        <f ca="1"/>
        <v>29.2</v>
      </c>
      <c r="CO211" s="2">
        <f t="shared" ca="1" si="186"/>
        <v>1.0284538909838047E-3</v>
      </c>
      <c r="CP211" s="2" vm="7166">
        <f ca="1"/>
        <v>21.004999999999999</v>
      </c>
      <c r="CQ211" s="2">
        <f t="shared" ca="1" si="187"/>
        <v>-1.8295435645212365E-3</v>
      </c>
    </row>
    <row r="212" spans="1:95" x14ac:dyDescent="0.2">
      <c r="A212" s="7" vm="7167">
        <f ca="1"/>
        <v>45881</v>
      </c>
      <c r="B212" s="2" vm="7168">
        <f ca="1"/>
        <v>229.65</v>
      </c>
      <c r="C212" s="2">
        <f t="shared" ca="1" si="141"/>
        <v>1.0872435953869173E-2</v>
      </c>
      <c r="D212" s="2" vm="7169">
        <f ca="1"/>
        <v>183.16</v>
      </c>
      <c r="E212" s="2">
        <f t="shared" ca="1" si="142"/>
        <v>6.0419641876304202E-3</v>
      </c>
      <c r="F212" s="2" vm="7170">
        <f ca="1"/>
        <v>529.24</v>
      </c>
      <c r="G212" s="2">
        <f t="shared" ca="1" si="143"/>
        <v>1.431665293136828E-2</v>
      </c>
      <c r="H212" s="2" vm="7171">
        <f ca="1"/>
        <v>790</v>
      </c>
      <c r="I212" s="2">
        <f t="shared" ca="1" si="144"/>
        <v>3.1506652565056727E-2</v>
      </c>
      <c r="J212" s="2" vm="7172">
        <f ca="1"/>
        <v>203.34</v>
      </c>
      <c r="K212" s="2">
        <f t="shared" ca="1" si="145"/>
        <v>1.1641791044776136E-2</v>
      </c>
      <c r="L212" s="2" vm="7173">
        <f ca="1"/>
        <v>642.69000000000005</v>
      </c>
      <c r="M212" s="2">
        <f t="shared" ca="1" si="146"/>
        <v>1.0645993206692817E-2</v>
      </c>
      <c r="N212" s="2" vm="7174">
        <f ca="1"/>
        <v>86.95</v>
      </c>
      <c r="O212" s="2">
        <f t="shared" ca="1" si="147"/>
        <v>-5.0349010184231342E-3</v>
      </c>
      <c r="P212" s="2" vm="7175">
        <f ca="1"/>
        <v>308.27</v>
      </c>
      <c r="Q212" s="2">
        <f t="shared" ca="1" si="148"/>
        <v>-9.0747042618709946E-4</v>
      </c>
      <c r="R212" s="2" vm="7176">
        <f ca="1"/>
        <v>72.95</v>
      </c>
      <c r="S212" s="2">
        <f t="shared" ca="1" si="149"/>
        <v>-1.1517615176151685E-2</v>
      </c>
      <c r="T212" s="2" vm="3702">
        <f ca="1"/>
        <v>95.39</v>
      </c>
      <c r="U212" s="2">
        <f t="shared" ca="1" si="150"/>
        <v>-2.0962163295247901E-4</v>
      </c>
      <c r="V212" s="2" vm="7177">
        <f ca="1"/>
        <v>47.266800000000003</v>
      </c>
      <c r="W212" s="2">
        <f t="shared" ca="1" si="151"/>
        <v>-5.0773019217469443E-5</v>
      </c>
      <c r="X212" s="2" vm="7178">
        <f ca="1"/>
        <v>144.6</v>
      </c>
      <c r="Y212" s="2">
        <f t="shared" ca="1" si="152"/>
        <v>1.7450042217844002E-2</v>
      </c>
      <c r="Z212" s="2" vm="4675">
        <f ca="1"/>
        <v>84.66</v>
      </c>
      <c r="AA212" s="2">
        <f t="shared" ca="1" si="153"/>
        <v>4.8664688427299298E-3</v>
      </c>
      <c r="AB212" s="2" vm="7179">
        <f ca="1"/>
        <v>13.27</v>
      </c>
      <c r="AC212" s="2">
        <f t="shared" ca="1" si="154"/>
        <v>-9.7014925373134914E-3</v>
      </c>
      <c r="AD212" s="2" vm="1398">
        <f ca="1"/>
        <v>5</v>
      </c>
      <c r="AE212" s="2">
        <f t="shared" ca="1" si="155"/>
        <v>9.170305676855893E-2</v>
      </c>
      <c r="AF212" s="2" vm="6630">
        <f ca="1"/>
        <v>34.409999999999997</v>
      </c>
      <c r="AG212" s="2">
        <f t="shared" ca="1" si="156"/>
        <v>6.7290813341134249E-3</v>
      </c>
      <c r="AH212" s="2" vm="3643">
        <f ca="1"/>
        <v>26.81</v>
      </c>
      <c r="AI212" s="2">
        <f t="shared" ca="1" si="157"/>
        <v>6.7592940292902637E-3</v>
      </c>
      <c r="AJ212" s="2" vm="7180">
        <f ca="1"/>
        <v>4.22</v>
      </c>
      <c r="AK212" s="2">
        <f t="shared" ca="1" si="158"/>
        <v>-1.6317016317016382E-2</v>
      </c>
      <c r="AL212" s="2" vm="5938">
        <f ca="1"/>
        <v>66.27</v>
      </c>
      <c r="AM212" s="2">
        <f t="shared" ca="1" si="159"/>
        <v>-1.5067048365226537E-3</v>
      </c>
      <c r="AN212" s="2" vm="7181">
        <f ca="1"/>
        <v>121.98</v>
      </c>
      <c r="AO212" s="2">
        <f t="shared" ca="1" si="160"/>
        <v>8.2658290626549842E-3</v>
      </c>
      <c r="AP212" s="2" vm="6981">
        <f ca="1"/>
        <v>26.67</v>
      </c>
      <c r="AQ212" s="2">
        <f t="shared" ca="1" si="161"/>
        <v>-2.2446689113355301E-3</v>
      </c>
      <c r="AR212" s="2" vm="380">
        <f ca="1"/>
        <v>50.95</v>
      </c>
      <c r="AS212" s="2">
        <f t="shared" ca="1" si="162"/>
        <v>-1.962323390894429E-4</v>
      </c>
      <c r="AT212" s="2" vm="530">
        <f ca="1"/>
        <v>29.22</v>
      </c>
      <c r="AU212" s="2">
        <f t="shared" ca="1" si="163"/>
        <v>6.8493150684930044E-4</v>
      </c>
      <c r="AV212" s="2" vm="634">
        <f ca="1"/>
        <v>26.26</v>
      </c>
      <c r="AW212" s="2">
        <f t="shared" ca="1" si="164"/>
        <v>-4.9261083743841983E-3</v>
      </c>
      <c r="AX212" s="2" vm="1786">
        <f ca="1"/>
        <v>91.56</v>
      </c>
      <c r="AY212" s="2">
        <f t="shared" ca="1" si="165"/>
        <v>1.0922992900060204E-4</v>
      </c>
      <c r="AZ212" s="2" vm="7182">
        <f ca="1"/>
        <v>470.39</v>
      </c>
      <c r="BA212" s="2">
        <f t="shared" ca="1" si="166"/>
        <v>1.2179114754803795E-2</v>
      </c>
      <c r="BB212" s="2" vm="853">
        <f ca="1"/>
        <v>292.85000000000002</v>
      </c>
      <c r="BC212" s="2">
        <f t="shared" ca="1" si="167"/>
        <v>1.1362066583782362E-2</v>
      </c>
      <c r="BD212" s="2" vm="1445">
        <f ca="1"/>
        <v>47.5</v>
      </c>
      <c r="BE212" s="2">
        <f t="shared" ca="1" si="168"/>
        <v>2.9029462738301638E-2</v>
      </c>
      <c r="BF212" s="2" vm="7183">
        <f ca="1"/>
        <v>106.13</v>
      </c>
      <c r="BG212" s="2">
        <f t="shared" ca="1" si="169"/>
        <v>2.8347349522819349E-3</v>
      </c>
      <c r="BH212" s="2" vm="3842">
        <f ca="1"/>
        <v>154.44</v>
      </c>
      <c r="BI212" s="2">
        <f t="shared" ca="1" si="170"/>
        <v>6.4516129032258663E-3</v>
      </c>
      <c r="BJ212" s="2" vm="7184">
        <f ca="1"/>
        <v>172.78</v>
      </c>
      <c r="BK212" s="2">
        <f t="shared" ca="1" si="171"/>
        <v>-5.9832010125416644E-3</v>
      </c>
      <c r="BL212" s="2" vm="7185">
        <f ca="1"/>
        <v>70.709999999999994</v>
      </c>
      <c r="BM212" s="2">
        <f t="shared" ca="1" si="172"/>
        <v>-5.6537102473507071E-4</v>
      </c>
      <c r="BN212" s="2" vm="7186">
        <f ca="1"/>
        <v>301.64</v>
      </c>
      <c r="BO212" s="2">
        <f t="shared" ca="1" si="173"/>
        <v>-8.9367853857275168E-3</v>
      </c>
      <c r="BP212" s="2" vm="7187">
        <f ca="1"/>
        <v>113.72</v>
      </c>
      <c r="BQ212" s="2">
        <f t="shared" ca="1" si="174"/>
        <v>1.0395379831186154E-2</v>
      </c>
      <c r="BR212" s="2" vm="7188">
        <f ca="1"/>
        <v>1225.28</v>
      </c>
      <c r="BS212" s="2">
        <f t="shared" ca="1" si="175"/>
        <v>5.7210398010358841E-3</v>
      </c>
      <c r="BT212" s="2" vm="7189">
        <f ca="1"/>
        <v>155.09</v>
      </c>
      <c r="BU212" s="2">
        <f t="shared" ca="1" si="176"/>
        <v>7.0976900245201739E-4</v>
      </c>
      <c r="BV212" s="2" vm="7190">
        <f ca="1"/>
        <v>146.87</v>
      </c>
      <c r="BW212" s="2">
        <f t="shared" ca="1" si="177"/>
        <v>1.3805480775868019E-2</v>
      </c>
      <c r="BX212" s="2" vm="7191">
        <f ca="1"/>
        <v>237.22</v>
      </c>
      <c r="BY212" s="2">
        <f t="shared" ca="1" si="178"/>
        <v>1.5453105603355957E-2</v>
      </c>
      <c r="BZ212" s="2" vm="7192">
        <f ca="1"/>
        <v>87.16</v>
      </c>
      <c r="CA212" s="2">
        <f t="shared" ca="1" si="179"/>
        <v>9.0298680250058012E-3</v>
      </c>
      <c r="CB212" s="2" vm="5468">
        <f ca="1"/>
        <v>27.7</v>
      </c>
      <c r="CC212" s="2">
        <f t="shared" ca="1" si="180"/>
        <v>1.0580080262677824E-2</v>
      </c>
      <c r="CD212" s="2" t="e" vm="92">
        <f ca="1"/>
        <v>#N/A</v>
      </c>
      <c r="CE212" s="2" t="e" vm="140">
        <f t="shared" ca="1" si="181"/>
        <v>#N/A</v>
      </c>
      <c r="CF212" s="2" vm="3973">
        <f ca="1"/>
        <v>22.88</v>
      </c>
      <c r="CG212" s="2">
        <f t="shared" ca="1" si="182"/>
        <v>-8.7336244541482864E-4</v>
      </c>
      <c r="CH212" s="2" vm="5712">
        <f ca="1"/>
        <v>58.64</v>
      </c>
      <c r="CI212" s="2">
        <f t="shared" ca="1" si="183"/>
        <v>6.8259385665527558E-4</v>
      </c>
      <c r="CJ212" s="2" vm="7193">
        <f ca="1"/>
        <v>59.61</v>
      </c>
      <c r="CK212" s="2">
        <f t="shared" ca="1" si="184"/>
        <v>1.6778523489929548E-4</v>
      </c>
      <c r="CL212" s="2" vm="7194">
        <f ca="1"/>
        <v>55.44</v>
      </c>
      <c r="CM212" s="2">
        <f t="shared" ca="1" si="185"/>
        <v>-4.6678635547577219E-3</v>
      </c>
      <c r="CN212" s="2" vm="4160">
        <f ca="1"/>
        <v>29.23</v>
      </c>
      <c r="CO212" s="2">
        <f t="shared" ca="1" si="186"/>
        <v>1.0273972602740115E-3</v>
      </c>
      <c r="CP212" s="2" vm="7195">
        <f ca="1"/>
        <v>21.141400000000001</v>
      </c>
      <c r="CQ212" s="2">
        <f t="shared" ca="1" si="187"/>
        <v>6.4936919781005409E-3</v>
      </c>
    </row>
    <row r="213" spans="1:95" x14ac:dyDescent="0.2">
      <c r="A213" s="7" vm="7196">
        <f ca="1"/>
        <v>45882</v>
      </c>
      <c r="B213" s="2" vm="7197">
        <f ca="1"/>
        <v>233.33</v>
      </c>
      <c r="C213" s="2">
        <f t="shared" ca="1" si="141"/>
        <v>1.6024384933594631E-2</v>
      </c>
      <c r="D213" s="2" vm="7198">
        <f ca="1"/>
        <v>181.59</v>
      </c>
      <c r="E213" s="2">
        <f t="shared" ca="1" si="142"/>
        <v>-8.5717405547062302E-3</v>
      </c>
      <c r="F213" s="2" vm="7199">
        <f ca="1"/>
        <v>520.58000000000004</v>
      </c>
      <c r="G213" s="2">
        <f t="shared" ca="1" si="143"/>
        <v>-1.6363086690348364E-2</v>
      </c>
      <c r="H213" s="2" vm="7200">
        <f ca="1"/>
        <v>780.08</v>
      </c>
      <c r="I213" s="2">
        <f t="shared" ca="1" si="144"/>
        <v>-1.2556962025316403E-2</v>
      </c>
      <c r="J213" s="2" vm="7201">
        <f ca="1"/>
        <v>201.96</v>
      </c>
      <c r="K213" s="2">
        <f t="shared" ca="1" si="145"/>
        <v>-6.7866627323694079E-3</v>
      </c>
      <c r="L213" s="2" vm="7202">
        <f ca="1"/>
        <v>644.89</v>
      </c>
      <c r="M213" s="2">
        <f t="shared" ca="1" si="146"/>
        <v>3.4231122314022804E-3</v>
      </c>
      <c r="N213" s="2" vm="7092">
        <f ca="1"/>
        <v>87.67</v>
      </c>
      <c r="O213" s="2">
        <f t="shared" ca="1" si="147"/>
        <v>8.2806210465784808E-3</v>
      </c>
      <c r="P213" s="2" vm="7203">
        <f ca="1"/>
        <v>309.20999999999998</v>
      </c>
      <c r="Q213" s="2">
        <f t="shared" ca="1" si="148"/>
        <v>3.0492749862133773E-3</v>
      </c>
      <c r="R213" s="2" vm="7204">
        <f ca="1"/>
        <v>72.459999999999994</v>
      </c>
      <c r="S213" s="2">
        <f t="shared" ca="1" si="149"/>
        <v>-6.7169294037012894E-3</v>
      </c>
      <c r="T213" s="2" vm="7205">
        <f ca="1"/>
        <v>95.73</v>
      </c>
      <c r="U213" s="2">
        <f t="shared" ca="1" si="150"/>
        <v>3.5643149177062941E-3</v>
      </c>
      <c r="V213" s="2" vm="7206">
        <f ca="1"/>
        <v>47.4328</v>
      </c>
      <c r="W213" s="2">
        <f t="shared" ca="1" si="151"/>
        <v>3.5119788096506809E-3</v>
      </c>
      <c r="X213" s="2" vm="7207">
        <f ca="1"/>
        <v>140.94999999999999</v>
      </c>
      <c r="Y213" s="2">
        <f t="shared" ca="1" si="152"/>
        <v>-2.524204702627943E-2</v>
      </c>
      <c r="Z213" s="2" vm="5592">
        <f ca="1"/>
        <v>85.64</v>
      </c>
      <c r="AA213" s="2">
        <f t="shared" ca="1" si="153"/>
        <v>1.1575714623198724E-2</v>
      </c>
      <c r="AB213" s="2" vm="6203">
        <f ca="1"/>
        <v>13.2</v>
      </c>
      <c r="AC213" s="2">
        <f t="shared" ca="1" si="154"/>
        <v>-5.2750565184627191E-3</v>
      </c>
      <c r="AD213" s="2" vm="6457">
        <f ca="1"/>
        <v>5.0999999999999996</v>
      </c>
      <c r="AE213" s="2">
        <f t="shared" ca="1" si="155"/>
        <v>1.9999999999999928E-2</v>
      </c>
      <c r="AF213" s="2" vm="7208">
        <f ca="1"/>
        <v>35</v>
      </c>
      <c r="AG213" s="2">
        <f t="shared" ca="1" si="156"/>
        <v>1.7146178436501118E-2</v>
      </c>
      <c r="AH213" s="2" vm="1242">
        <f ca="1"/>
        <v>26.9</v>
      </c>
      <c r="AI213" s="2">
        <f t="shared" ca="1" si="157"/>
        <v>3.3569563595673203E-3</v>
      </c>
      <c r="AJ213" s="2" vm="7209">
        <f ca="1"/>
        <v>4.24</v>
      </c>
      <c r="AK213" s="2">
        <f t="shared" ca="1" si="158"/>
        <v>4.7393364928911049E-3</v>
      </c>
      <c r="AL213" s="2" vm="7210">
        <f ca="1"/>
        <v>66.489999999999995</v>
      </c>
      <c r="AM213" s="2">
        <f t="shared" ca="1" si="159"/>
        <v>3.319752527538839E-3</v>
      </c>
      <c r="AN213" s="2" vm="7211">
        <f ca="1"/>
        <v>122.16</v>
      </c>
      <c r="AO213" s="2">
        <f t="shared" ca="1" si="160"/>
        <v>1.4756517461878391E-3</v>
      </c>
      <c r="AP213" s="2" vm="1477">
        <f ca="1"/>
        <v>26.77</v>
      </c>
      <c r="AQ213" s="2">
        <f t="shared" ca="1" si="161"/>
        <v>3.7495313085863465E-3</v>
      </c>
      <c r="AR213" s="2" vm="1924">
        <f ca="1"/>
        <v>50.97</v>
      </c>
      <c r="AS213" s="2">
        <f t="shared" ca="1" si="162"/>
        <v>3.9254170755634977E-4</v>
      </c>
      <c r="AT213" s="2" vm="1068">
        <f ca="1"/>
        <v>29.26</v>
      </c>
      <c r="AU213" s="2">
        <f t="shared" ca="1" si="163"/>
        <v>1.368925393566143E-3</v>
      </c>
      <c r="AV213" s="2" vm="3283">
        <f ca="1"/>
        <v>26.48</v>
      </c>
      <c r="AW213" s="2">
        <f t="shared" ca="1" si="164"/>
        <v>8.3777608530083338E-3</v>
      </c>
      <c r="AX213" s="2" vm="1049">
        <f ca="1"/>
        <v>91.57</v>
      </c>
      <c r="AY213" s="2">
        <f t="shared" ca="1" si="165"/>
        <v>1.0921799912615667E-4</v>
      </c>
      <c r="AZ213" s="2" vm="7212">
        <f ca="1"/>
        <v>477.31</v>
      </c>
      <c r="BA213" s="2">
        <f t="shared" ca="1" si="166"/>
        <v>1.4711197091774944E-2</v>
      </c>
      <c r="BB213" s="2" vm="7213">
        <f ca="1"/>
        <v>290.52999999999997</v>
      </c>
      <c r="BC213" s="2">
        <f t="shared" ca="1" si="167"/>
        <v>-7.9221444425475497E-3</v>
      </c>
      <c r="BD213" s="2" vm="7214">
        <f ca="1"/>
        <v>47.24</v>
      </c>
      <c r="BE213" s="2">
        <f t="shared" ca="1" si="168"/>
        <v>-5.4736842105262739E-3</v>
      </c>
      <c r="BF213" s="2" vm="7215">
        <f ca="1"/>
        <v>107.6</v>
      </c>
      <c r="BG213" s="2">
        <f t="shared" ca="1" si="169"/>
        <v>1.3850937529445009E-2</v>
      </c>
      <c r="BH213" s="2" vm="7216">
        <f ca="1"/>
        <v>155.87</v>
      </c>
      <c r="BI213" s="2">
        <f t="shared" ca="1" si="170"/>
        <v>9.2592592592593038E-3</v>
      </c>
      <c r="BJ213" s="2" vm="7217">
        <f ca="1"/>
        <v>174.42</v>
      </c>
      <c r="BK213" s="2">
        <f t="shared" ca="1" si="171"/>
        <v>9.4918393332560844E-3</v>
      </c>
      <c r="BL213" s="2" vm="3808">
        <f ca="1"/>
        <v>70.459999999999994</v>
      </c>
      <c r="BM213" s="2">
        <f t="shared" ca="1" si="172"/>
        <v>-3.535567812190638E-3</v>
      </c>
      <c r="BN213" s="2" vm="7218">
        <f ca="1"/>
        <v>305.07</v>
      </c>
      <c r="BO213" s="2">
        <f t="shared" ca="1" si="173"/>
        <v>1.1371170932237128E-2</v>
      </c>
      <c r="BP213" s="2" vm="7219">
        <f ca="1"/>
        <v>116.64</v>
      </c>
      <c r="BQ213" s="2">
        <f t="shared" ca="1" si="174"/>
        <v>2.5677101653183272E-2</v>
      </c>
      <c r="BR213" s="2" vm="7220">
        <f ca="1"/>
        <v>1204.44</v>
      </c>
      <c r="BS213" s="2">
        <f t="shared" ca="1" si="175"/>
        <v>-1.7008357273439474E-2</v>
      </c>
      <c r="BT213" s="2" vm="7221">
        <f ca="1"/>
        <v>155.41</v>
      </c>
      <c r="BU213" s="2">
        <f t="shared" ca="1" si="176"/>
        <v>2.0633180733767051E-3</v>
      </c>
      <c r="BV213" s="2" vm="7222">
        <f ca="1"/>
        <v>149.35</v>
      </c>
      <c r="BW213" s="2">
        <f t="shared" ca="1" si="177"/>
        <v>1.6885681214679579E-2</v>
      </c>
      <c r="BX213" s="2" vm="3600">
        <f ca="1"/>
        <v>240.36</v>
      </c>
      <c r="BY213" s="2">
        <f t="shared" ca="1" si="178"/>
        <v>1.3236657954641323E-2</v>
      </c>
      <c r="BZ213" s="2" vm="2102">
        <f ca="1"/>
        <v>88.31</v>
      </c>
      <c r="CA213" s="2">
        <f t="shared" ca="1" si="179"/>
        <v>1.3194125745754999E-2</v>
      </c>
      <c r="CB213" s="2" vm="7223">
        <f ca="1"/>
        <v>28.0441</v>
      </c>
      <c r="CC213" s="2">
        <f t="shared" ca="1" si="180"/>
        <v>1.242238267148018E-2</v>
      </c>
      <c r="CD213" s="2" t="e" vm="92">
        <f ca="1"/>
        <v>#N/A</v>
      </c>
      <c r="CE213" s="2" t="e" vm="140">
        <f t="shared" ca="1" si="181"/>
        <v>#N/A</v>
      </c>
      <c r="CF213" s="2" vm="7224">
        <f ca="1"/>
        <v>22.954999999999998</v>
      </c>
      <c r="CG213" s="2">
        <f t="shared" ca="1" si="182"/>
        <v>3.2779720279719972E-3</v>
      </c>
      <c r="CH213" s="2" vm="4441">
        <f ca="1"/>
        <v>58.71</v>
      </c>
      <c r="CI213" s="2">
        <f t="shared" ca="1" si="183"/>
        <v>1.1937244201910007E-3</v>
      </c>
      <c r="CJ213" s="2" vm="7225">
        <f ca="1"/>
        <v>59.77</v>
      </c>
      <c r="CK213" s="2">
        <f t="shared" ca="1" si="184"/>
        <v>2.684113403791372E-3</v>
      </c>
      <c r="CL213" s="2" vm="2927">
        <f ca="1"/>
        <v>55.87</v>
      </c>
      <c r="CM213" s="2">
        <f t="shared" ca="1" si="185"/>
        <v>7.7561327561327517E-3</v>
      </c>
      <c r="CN213" s="2" vm="3150">
        <f ca="1"/>
        <v>29.35</v>
      </c>
      <c r="CO213" s="2">
        <f t="shared" ca="1" si="186"/>
        <v>4.1053711939788226E-3</v>
      </c>
      <c r="CP213" s="2" vm="7226">
        <f ca="1"/>
        <v>21.341899999999999</v>
      </c>
      <c r="CQ213" s="2">
        <f t="shared" ca="1" si="187"/>
        <v>9.4837617187129575E-3</v>
      </c>
    </row>
    <row r="214" spans="1:95" x14ac:dyDescent="0.2">
      <c r="A214" s="7" vm="7227">
        <f ca="1"/>
        <v>45883</v>
      </c>
      <c r="B214" s="2" vm="7228">
        <f ca="1"/>
        <v>232.78</v>
      </c>
      <c r="C214" s="2">
        <f t="shared" ca="1" si="141"/>
        <v>-2.3571765310933497E-3</v>
      </c>
      <c r="D214" s="2" vm="7229">
        <f ca="1"/>
        <v>182.02</v>
      </c>
      <c r="E214" s="2">
        <f t="shared" ca="1" si="142"/>
        <v>2.3679718046148292E-3</v>
      </c>
      <c r="F214" s="2" vm="7230">
        <f ca="1"/>
        <v>522.48</v>
      </c>
      <c r="G214" s="2">
        <f t="shared" ca="1" si="143"/>
        <v>3.6497752506818876E-3</v>
      </c>
      <c r="H214" s="2" vm="7231">
        <f ca="1"/>
        <v>782.13</v>
      </c>
      <c r="I214" s="2">
        <f t="shared" ca="1" si="144"/>
        <v>2.627935596349034E-3</v>
      </c>
      <c r="J214" s="2" vm="7232">
        <f ca="1"/>
        <v>202.94</v>
      </c>
      <c r="K214" s="2">
        <f t="shared" ca="1" si="145"/>
        <v>4.852446028916566E-3</v>
      </c>
      <c r="L214" s="2" vm="7233">
        <f ca="1"/>
        <v>644.95000000000005</v>
      </c>
      <c r="M214" s="2">
        <f t="shared" ca="1" si="146"/>
        <v>9.3039122951292649E-5</v>
      </c>
      <c r="N214" s="2" vm="7234">
        <f ca="1"/>
        <v>87.02</v>
      </c>
      <c r="O214" s="2">
        <f t="shared" ca="1" si="147"/>
        <v>-7.4141667617201512E-3</v>
      </c>
      <c r="P214" s="2" vm="7235">
        <f ca="1"/>
        <v>307.25</v>
      </c>
      <c r="Q214" s="2">
        <f t="shared" ca="1" si="148"/>
        <v>-6.3387341935900506E-3</v>
      </c>
      <c r="R214" s="2" vm="7236">
        <f ca="1"/>
        <v>73.739999999999995</v>
      </c>
      <c r="S214" s="2">
        <f t="shared" ca="1" si="149"/>
        <v>1.7664918575765957E-2</v>
      </c>
      <c r="T214" s="2" vm="7237">
        <f ca="1"/>
        <v>95.42</v>
      </c>
      <c r="U214" s="2">
        <f t="shared" ca="1" si="150"/>
        <v>-3.2382743131724877E-3</v>
      </c>
      <c r="V214" s="2" vm="7238">
        <f ca="1"/>
        <v>47.31</v>
      </c>
      <c r="W214" s="2">
        <f t="shared" ca="1" si="151"/>
        <v>-2.5889258066147903E-3</v>
      </c>
      <c r="X214" s="2" vm="7239">
        <f ca="1"/>
        <v>140.68</v>
      </c>
      <c r="Y214" s="2">
        <f t="shared" ca="1" si="152"/>
        <v>-1.915572898190719E-3</v>
      </c>
      <c r="Z214" s="2" vm="7240">
        <f ca="1"/>
        <v>85.56</v>
      </c>
      <c r="AA214" s="2">
        <f t="shared" ca="1" si="153"/>
        <v>-9.3414292386733181E-4</v>
      </c>
      <c r="AB214" s="2" vm="7241">
        <f ca="1"/>
        <v>13.41</v>
      </c>
      <c r="AC214" s="2">
        <f t="shared" ca="1" si="154"/>
        <v>1.5909090909090973E-2</v>
      </c>
      <c r="AD214" s="2" vm="1361">
        <f ca="1"/>
        <v>5.5</v>
      </c>
      <c r="AE214" s="2">
        <f t="shared" ca="1" si="155"/>
        <v>7.8431372549019676E-2</v>
      </c>
      <c r="AF214" s="2" vm="7242">
        <f ca="1"/>
        <v>34.5</v>
      </c>
      <c r="AG214" s="2">
        <f t="shared" ca="1" si="156"/>
        <v>-1.4285714285714285E-2</v>
      </c>
      <c r="AH214" s="2" vm="166">
        <f ca="1"/>
        <v>26.6</v>
      </c>
      <c r="AI214" s="2">
        <f t="shared" ca="1" si="157"/>
        <v>-1.1152416356877219E-2</v>
      </c>
      <c r="AJ214" s="2" vm="7243">
        <f ca="1"/>
        <v>4.2</v>
      </c>
      <c r="AK214" s="2">
        <f t="shared" ca="1" si="158"/>
        <v>-9.4339622641509517E-3</v>
      </c>
      <c r="AL214" s="2" vm="4733">
        <f ca="1"/>
        <v>66.08</v>
      </c>
      <c r="AM214" s="2">
        <f t="shared" ca="1" si="159"/>
        <v>-6.1663408031282394E-3</v>
      </c>
      <c r="AN214" s="2" vm="7244">
        <f ca="1"/>
        <v>123.78</v>
      </c>
      <c r="AO214" s="2">
        <f t="shared" ca="1" si="160"/>
        <v>1.3261296660117916E-2</v>
      </c>
      <c r="AP214" s="2" vm="3676">
        <f ca="1"/>
        <v>26.71</v>
      </c>
      <c r="AQ214" s="2">
        <f t="shared" ca="1" si="161"/>
        <v>-2.2413149047440686E-3</v>
      </c>
      <c r="AR214" s="2" vm="466">
        <f ca="1"/>
        <v>50.98</v>
      </c>
      <c r="AS214" s="2">
        <f t="shared" ca="1" si="162"/>
        <v>1.9619383951340025E-4</v>
      </c>
      <c r="AT214" s="2" vm="530">
        <f ca="1"/>
        <v>29.22</v>
      </c>
      <c r="AU214" s="2">
        <f t="shared" ca="1" si="163"/>
        <v>-1.3670539986330383E-3</v>
      </c>
      <c r="AV214" s="2" vm="2303">
        <f ca="1"/>
        <v>26.27</v>
      </c>
      <c r="AW214" s="2">
        <f t="shared" ca="1" si="164"/>
        <v>-7.930513595166196E-3</v>
      </c>
      <c r="AX214" s="2" vm="1008">
        <f ca="1"/>
        <v>91.58</v>
      </c>
      <c r="AY214" s="2">
        <f t="shared" ca="1" si="165"/>
        <v>1.0920607185765116E-4</v>
      </c>
      <c r="AZ214" s="2" vm="7245">
        <f ca="1"/>
        <v>479.22</v>
      </c>
      <c r="BA214" s="2">
        <f t="shared" ca="1" si="166"/>
        <v>4.0015922566047748E-3</v>
      </c>
      <c r="BB214" s="2" vm="7246">
        <f ca="1"/>
        <v>294.16000000000003</v>
      </c>
      <c r="BC214" s="2">
        <f t="shared" ca="1" si="167"/>
        <v>1.2494406773827325E-2</v>
      </c>
      <c r="BD214" s="2" vm="7247">
        <f ca="1"/>
        <v>47.71</v>
      </c>
      <c r="BE214" s="2">
        <f t="shared" ca="1" si="168"/>
        <v>9.9491955969517112E-3</v>
      </c>
      <c r="BF214" s="2" vm="7248">
        <f ca="1"/>
        <v>107.38</v>
      </c>
      <c r="BG214" s="2">
        <f t="shared" ca="1" si="169"/>
        <v>-2.0446096654274989E-3</v>
      </c>
      <c r="BH214" s="2" vm="7249">
        <f ca="1"/>
        <v>155.16</v>
      </c>
      <c r="BI214" s="2">
        <f t="shared" ca="1" si="170"/>
        <v>-4.5550779495734132E-3</v>
      </c>
      <c r="BJ214" s="2" vm="7250">
        <f ca="1"/>
        <v>174.72</v>
      </c>
      <c r="BK214" s="2">
        <f t="shared" ca="1" si="171"/>
        <v>1.7199862401101444E-3</v>
      </c>
      <c r="BL214" s="2" vm="5724">
        <f ca="1"/>
        <v>69.55</v>
      </c>
      <c r="BM214" s="2">
        <f t="shared" ca="1" si="172"/>
        <v>-1.2915129151291466E-2</v>
      </c>
      <c r="BN214" s="2" vm="7251">
        <f ca="1"/>
        <v>308.95</v>
      </c>
      <c r="BO214" s="2">
        <f t="shared" ca="1" si="173"/>
        <v>1.2718392500081934E-2</v>
      </c>
      <c r="BP214" s="2" vm="7252">
        <f ca="1"/>
        <v>116.31</v>
      </c>
      <c r="BQ214" s="2">
        <f t="shared" ca="1" si="174"/>
        <v>-2.8292181069958702E-3</v>
      </c>
      <c r="BR214" s="2" vm="7253">
        <f ca="1"/>
        <v>1230.56</v>
      </c>
      <c r="BS214" s="2">
        <f t="shared" ca="1" si="175"/>
        <v>2.1686426887183995E-2</v>
      </c>
      <c r="BT214" s="2" vm="7254">
        <f ca="1"/>
        <v>153.74</v>
      </c>
      <c r="BU214" s="2">
        <f t="shared" ca="1" si="176"/>
        <v>-1.0745769255517583E-2</v>
      </c>
      <c r="BV214" s="2" vm="2853">
        <f ca="1"/>
        <v>148.62</v>
      </c>
      <c r="BW214" s="2">
        <f t="shared" ca="1" si="177"/>
        <v>-4.8878473384666209E-3</v>
      </c>
      <c r="BX214" s="2" vm="7255">
        <f ca="1"/>
        <v>239.63</v>
      </c>
      <c r="BY214" s="2">
        <f t="shared" ca="1" si="178"/>
        <v>-3.0371110001664926E-3</v>
      </c>
      <c r="BZ214" s="2" vm="3118">
        <f ca="1"/>
        <v>88.5</v>
      </c>
      <c r="CA214" s="2">
        <f t="shared" ca="1" si="179"/>
        <v>2.1515117200769755E-3</v>
      </c>
      <c r="CB214" s="2" vm="7256">
        <f ca="1"/>
        <v>28.08</v>
      </c>
      <c r="CC214" s="2">
        <f t="shared" ca="1" si="180"/>
        <v>1.2801266576569776E-3</v>
      </c>
      <c r="CD214" s="2" t="e" vm="92">
        <f ca="1"/>
        <v>#N/A</v>
      </c>
      <c r="CE214" s="2" t="e" vm="140">
        <f t="shared" ca="1" si="181"/>
        <v>#N/A</v>
      </c>
      <c r="CF214" s="2" vm="569">
        <f ca="1"/>
        <v>22.895</v>
      </c>
      <c r="CG214" s="2">
        <f t="shared" ca="1" si="182"/>
        <v>-2.6138096275320727E-3</v>
      </c>
      <c r="CH214" s="2" vm="7257">
        <f ca="1"/>
        <v>58.65</v>
      </c>
      <c r="CI214" s="2">
        <f t="shared" ca="1" si="183"/>
        <v>-1.0219724067450566E-3</v>
      </c>
      <c r="CJ214" s="2" vm="7258">
        <f ca="1"/>
        <v>59.64</v>
      </c>
      <c r="CK214" s="2">
        <f t="shared" ca="1" si="184"/>
        <v>-2.1750041827003942E-3</v>
      </c>
      <c r="CL214" s="2" vm="3052">
        <f ca="1"/>
        <v>55.48</v>
      </c>
      <c r="CM214" s="2">
        <f t="shared" ca="1" si="185"/>
        <v>-6.9804904241990437E-3</v>
      </c>
      <c r="CN214" s="2" vm="6271">
        <f ca="1"/>
        <v>29.27</v>
      </c>
      <c r="CO214" s="2">
        <f t="shared" ca="1" si="186"/>
        <v>-2.7257240204429929E-3</v>
      </c>
      <c r="CP214" s="2" vm="7259">
        <f ca="1"/>
        <v>21.150400000000001</v>
      </c>
      <c r="CQ214" s="2">
        <f t="shared" ca="1" si="187"/>
        <v>-8.972959296032583E-3</v>
      </c>
    </row>
    <row r="215" spans="1:95" x14ac:dyDescent="0.2">
      <c r="A215" s="7" vm="7260">
        <f ca="1"/>
        <v>45884</v>
      </c>
      <c r="B215" s="2" vm="7261">
        <f ca="1"/>
        <v>231.59</v>
      </c>
      <c r="C215" s="2">
        <f t="shared" ca="1" si="141"/>
        <v>-5.1121230346249579E-3</v>
      </c>
      <c r="D215" s="2" vm="7262">
        <f ca="1"/>
        <v>180.45</v>
      </c>
      <c r="E215" s="2">
        <f t="shared" ca="1" si="142"/>
        <v>-8.6254257773872179E-3</v>
      </c>
      <c r="F215" s="2" vm="7263">
        <f ca="1"/>
        <v>520.16999999999996</v>
      </c>
      <c r="G215" s="2">
        <f t="shared" ca="1" si="143"/>
        <v>-4.4212218649518813E-3</v>
      </c>
      <c r="H215" s="2" vm="7264">
        <f ca="1"/>
        <v>785.23</v>
      </c>
      <c r="I215" s="2">
        <f t="shared" ca="1" si="144"/>
        <v>3.9635354736425182E-3</v>
      </c>
      <c r="J215" s="2" vm="7265">
        <f ca="1"/>
        <v>203.9</v>
      </c>
      <c r="K215" s="2">
        <f t="shared" ca="1" si="145"/>
        <v>4.7304622055780428E-3</v>
      </c>
      <c r="L215" s="2" vm="7266">
        <f ca="1"/>
        <v>643.44000000000005</v>
      </c>
      <c r="M215" s="2">
        <f t="shared" ca="1" si="146"/>
        <v>-2.3412667648654794E-3</v>
      </c>
      <c r="N215" s="2" vm="4631">
        <f ca="1"/>
        <v>86.4</v>
      </c>
      <c r="O215" s="2">
        <f t="shared" ca="1" si="147"/>
        <v>-7.1247988968052211E-3</v>
      </c>
      <c r="P215" s="2" vm="7267">
        <f ca="1"/>
        <v>307.43</v>
      </c>
      <c r="Q215" s="2">
        <f t="shared" ca="1" si="148"/>
        <v>5.8584214808789854E-4</v>
      </c>
      <c r="R215" s="2" vm="3923">
        <f ca="1"/>
        <v>72.8</v>
      </c>
      <c r="S215" s="2">
        <f t="shared" ca="1" si="149"/>
        <v>-1.2747491185245426E-2</v>
      </c>
      <c r="T215" s="2" vm="7268">
        <f ca="1"/>
        <v>95.23</v>
      </c>
      <c r="U215" s="2">
        <f t="shared" ca="1" si="150"/>
        <v>-1.9911968140850734E-3</v>
      </c>
      <c r="V215" s="2" vm="1955">
        <f ca="1"/>
        <v>47.265000000000001</v>
      </c>
      <c r="W215" s="2">
        <f t="shared" ca="1" si="151"/>
        <v>-9.5117311350669421E-4</v>
      </c>
      <c r="X215" s="2" vm="7269">
        <f ca="1"/>
        <v>139.38999999999999</v>
      </c>
      <c r="Y215" s="2">
        <f t="shared" ca="1" si="152"/>
        <v>-9.1697469434178312E-3</v>
      </c>
      <c r="Z215" s="2" vm="7240">
        <f ca="1"/>
        <v>85.56</v>
      </c>
      <c r="AA215" s="2">
        <f t="shared" ca="1" si="153"/>
        <v>0</v>
      </c>
      <c r="AB215" s="2" vm="7270">
        <f ca="1"/>
        <v>13.24</v>
      </c>
      <c r="AC215" s="2">
        <f t="shared" ca="1" si="154"/>
        <v>-1.2677106636838175E-2</v>
      </c>
      <c r="AD215" s="2" vm="6863">
        <f ca="1"/>
        <v>5.4</v>
      </c>
      <c r="AE215" s="2">
        <f t="shared" ca="1" si="155"/>
        <v>-1.8181818181818118E-2</v>
      </c>
      <c r="AF215" s="2" vm="7242">
        <f ca="1"/>
        <v>34.5</v>
      </c>
      <c r="AG215" s="2">
        <f t="shared" ca="1" si="156"/>
        <v>0</v>
      </c>
      <c r="AH215" s="2" vm="3580">
        <f ca="1"/>
        <v>27.06</v>
      </c>
      <c r="AI215" s="2">
        <f t="shared" ca="1" si="157"/>
        <v>1.7293233082706666E-2</v>
      </c>
      <c r="AJ215" s="2" vm="7180">
        <f ca="1"/>
        <v>4.22</v>
      </c>
      <c r="AK215" s="2">
        <f t="shared" ca="1" si="158"/>
        <v>4.76190476190466E-3</v>
      </c>
      <c r="AL215" s="2" vm="7271">
        <f ca="1"/>
        <v>66.13</v>
      </c>
      <c r="AM215" s="2">
        <f t="shared" ca="1" si="159"/>
        <v>7.5665859564160354E-4</v>
      </c>
      <c r="AN215" s="2" vm="6280">
        <f ca="1"/>
        <v>122.34</v>
      </c>
      <c r="AO215" s="2">
        <f t="shared" ca="1" si="160"/>
        <v>-1.1633543383422183E-2</v>
      </c>
      <c r="AP215" s="2" vm="3896">
        <f ca="1"/>
        <v>26.64</v>
      </c>
      <c r="AQ215" s="2">
        <f t="shared" ca="1" si="161"/>
        <v>-2.6207412953949938E-3</v>
      </c>
      <c r="AR215" s="2" vm="1121">
        <f ca="1"/>
        <v>51</v>
      </c>
      <c r="AS215" s="2">
        <f t="shared" ca="1" si="162"/>
        <v>3.9231071008244661E-4</v>
      </c>
      <c r="AT215" s="2" vm="530">
        <f ca="1"/>
        <v>29.22</v>
      </c>
      <c r="AU215" s="2">
        <f t="shared" ca="1" si="163"/>
        <v>0</v>
      </c>
      <c r="AV215" s="2" vm="1123">
        <f ca="1"/>
        <v>26.11</v>
      </c>
      <c r="AW215" s="2">
        <f t="shared" ca="1" si="164"/>
        <v>-6.09059763989342E-3</v>
      </c>
      <c r="AX215" s="2" vm="64">
        <f ca="1"/>
        <v>91.62</v>
      </c>
      <c r="AY215" s="2">
        <f t="shared" ca="1" si="165"/>
        <v>4.3677658877490995E-4</v>
      </c>
      <c r="AZ215" s="2" vm="7272">
        <f ca="1"/>
        <v>477.2</v>
      </c>
      <c r="BA215" s="2">
        <f t="shared" ca="1" si="166"/>
        <v>-4.2151830057177049E-3</v>
      </c>
      <c r="BB215" s="2" vm="7273">
        <f ca="1"/>
        <v>290.49</v>
      </c>
      <c r="BC215" s="2">
        <f t="shared" ca="1" si="167"/>
        <v>-1.2476203426706607E-2</v>
      </c>
      <c r="BD215" s="2" vm="7274">
        <f ca="1"/>
        <v>46.94</v>
      </c>
      <c r="BE215" s="2">
        <f t="shared" ca="1" si="168"/>
        <v>-1.6139174177321382E-2</v>
      </c>
      <c r="BF215" s="2" vm="2229">
        <f ca="1"/>
        <v>106.49</v>
      </c>
      <c r="BG215" s="2">
        <f t="shared" ca="1" si="169"/>
        <v>-8.2883218476438869E-3</v>
      </c>
      <c r="BH215" s="2" vm="7275">
        <f ca="1"/>
        <v>156.55000000000001</v>
      </c>
      <c r="BI215" s="2">
        <f t="shared" ca="1" si="170"/>
        <v>8.9584944573344594E-3</v>
      </c>
      <c r="BJ215" s="2" vm="7276">
        <f ca="1"/>
        <v>176.64</v>
      </c>
      <c r="BK215" s="2">
        <f t="shared" ca="1" si="171"/>
        <v>1.0989010989010917E-2</v>
      </c>
      <c r="BL215" s="2" vm="7277">
        <f ca="1"/>
        <v>69.92</v>
      </c>
      <c r="BM215" s="2">
        <f t="shared" ca="1" si="172"/>
        <v>5.3199137311287503E-3</v>
      </c>
      <c r="BN215" s="2" vm="7278">
        <f ca="1"/>
        <v>308.93</v>
      </c>
      <c r="BO215" s="2">
        <f t="shared" ca="1" si="173"/>
        <v>-6.4735394076652572E-5</v>
      </c>
      <c r="BP215" s="2" vm="7279">
        <f ca="1"/>
        <v>115.39</v>
      </c>
      <c r="BQ215" s="2">
        <f t="shared" ca="1" si="174"/>
        <v>-7.909895967672614E-3</v>
      </c>
      <c r="BR215" s="2" vm="7280">
        <f ca="1"/>
        <v>1238.95</v>
      </c>
      <c r="BS215" s="2">
        <f t="shared" ca="1" si="175"/>
        <v>6.8180340657912663E-3</v>
      </c>
      <c r="BT215" s="2" vm="4672">
        <f ca="1"/>
        <v>154.36000000000001</v>
      </c>
      <c r="BU215" s="2">
        <f t="shared" ca="1" si="176"/>
        <v>4.0327826200078345E-3</v>
      </c>
      <c r="BV215" s="2" vm="7281">
        <f ca="1"/>
        <v>150.4</v>
      </c>
      <c r="BW215" s="2">
        <f t="shared" ca="1" si="177"/>
        <v>1.1976853720898944E-2</v>
      </c>
      <c r="BX215" s="2" vm="7282">
        <f ca="1"/>
        <v>236.66</v>
      </c>
      <c r="BY215" s="2">
        <f t="shared" ca="1" si="178"/>
        <v>-1.2394107582523052E-2</v>
      </c>
      <c r="BZ215" s="2" vm="5072">
        <f ca="1"/>
        <v>88.28</v>
      </c>
      <c r="CA215" s="2">
        <f t="shared" ca="1" si="179"/>
        <v>-2.4858757062146764E-3</v>
      </c>
      <c r="CB215" s="2" vm="7283">
        <f ca="1"/>
        <v>27.963999999999999</v>
      </c>
      <c r="CC215" s="2">
        <f t="shared" ca="1" si="180"/>
        <v>-4.1310541310541193E-3</v>
      </c>
      <c r="CD215" s="2" t="e" vm="92">
        <f ca="1"/>
        <v>#N/A</v>
      </c>
      <c r="CE215" s="2" t="e" vm="140">
        <f t="shared" ca="1" si="181"/>
        <v>#N/A</v>
      </c>
      <c r="CF215" s="2" vm="7284">
        <f ca="1"/>
        <v>22.855</v>
      </c>
      <c r="CG215" s="2">
        <f t="shared" ca="1" si="182"/>
        <v>-1.7471063550993295E-3</v>
      </c>
      <c r="CH215" s="2" vm="7257">
        <f ca="1"/>
        <v>58.65</v>
      </c>
      <c r="CI215" s="2">
        <f t="shared" ca="1" si="183"/>
        <v>0</v>
      </c>
      <c r="CJ215" s="2" vm="7285">
        <f ca="1"/>
        <v>59.58</v>
      </c>
      <c r="CK215" s="2">
        <f t="shared" ca="1" si="184"/>
        <v>-1.006036217303861E-3</v>
      </c>
      <c r="CL215" s="2" vm="6766">
        <f ca="1"/>
        <v>55.14</v>
      </c>
      <c r="CM215" s="2">
        <f t="shared" ca="1" si="185"/>
        <v>-6.1283345349674896E-3</v>
      </c>
      <c r="CN215" s="2" vm="4160">
        <f ca="1"/>
        <v>29.23</v>
      </c>
      <c r="CO215" s="2">
        <f t="shared" ca="1" si="186"/>
        <v>-1.3665869490946071E-3</v>
      </c>
      <c r="CP215" s="2" vm="7286">
        <f ca="1"/>
        <v>21.254999999999999</v>
      </c>
      <c r="CQ215" s="2">
        <f t="shared" ca="1" si="187"/>
        <v>4.9455329450033003E-3</v>
      </c>
    </row>
    <row r="216" spans="1:95" x14ac:dyDescent="0.2">
      <c r="A216" s="7" vm="7287">
        <f ca="1"/>
        <v>45887</v>
      </c>
      <c r="B216" s="2" vm="7288">
        <f ca="1"/>
        <v>230.89</v>
      </c>
      <c r="C216" s="2">
        <f t="shared" ca="1" si="141"/>
        <v>-3.02258301308354E-3</v>
      </c>
      <c r="D216" s="2" vm="7289">
        <f ca="1"/>
        <v>182.01</v>
      </c>
      <c r="E216" s="2">
        <f t="shared" ca="1" si="142"/>
        <v>8.6450540315877109E-3</v>
      </c>
      <c r="F216" s="2" vm="7290">
        <f ca="1"/>
        <v>517.1</v>
      </c>
      <c r="G216" s="2">
        <f t="shared" ca="1" si="143"/>
        <v>-5.9019166810849082E-3</v>
      </c>
      <c r="H216" s="2" vm="7291">
        <f ca="1"/>
        <v>767.37</v>
      </c>
      <c r="I216" s="2">
        <f t="shared" ca="1" si="144"/>
        <v>-2.2744928237586455E-2</v>
      </c>
      <c r="J216" s="2" vm="7292">
        <f ca="1"/>
        <v>203.5</v>
      </c>
      <c r="K216" s="2">
        <f t="shared" ca="1" si="145"/>
        <v>-1.961745953898998E-3</v>
      </c>
      <c r="L216" s="2" vm="7293">
        <f ca="1"/>
        <v>643.29999999999995</v>
      </c>
      <c r="M216" s="2">
        <f t="shared" ca="1" si="146"/>
        <v>-2.1758050478692657E-4</v>
      </c>
      <c r="N216" s="2" vm="4440">
        <f ca="1"/>
        <v>86.15</v>
      </c>
      <c r="O216" s="2">
        <f t="shared" ca="1" si="147"/>
        <v>-2.8935185185185184E-3</v>
      </c>
      <c r="P216" s="2" vm="7294">
        <f ca="1"/>
        <v>306.95</v>
      </c>
      <c r="Q216" s="2">
        <f t="shared" ca="1" si="148"/>
        <v>-1.5613310347071469E-3</v>
      </c>
      <c r="R216" s="2" vm="7295">
        <f ca="1"/>
        <v>73.17</v>
      </c>
      <c r="S216" s="2">
        <f t="shared" ca="1" si="149"/>
        <v>5.082417582417645E-3</v>
      </c>
      <c r="T216" s="2" vm="7296">
        <f ca="1"/>
        <v>95.14</v>
      </c>
      <c r="U216" s="2">
        <f t="shared" ca="1" si="150"/>
        <v>-9.4508033182824115E-4</v>
      </c>
      <c r="V216" s="2" vm="3542">
        <f ca="1"/>
        <v>47.21</v>
      </c>
      <c r="W216" s="2">
        <f t="shared" ca="1" si="151"/>
        <v>-1.1636517507669464E-3</v>
      </c>
      <c r="X216" s="2" vm="7269">
        <f ca="1"/>
        <v>139.38999999999999</v>
      </c>
      <c r="Y216" s="2">
        <f t="shared" ca="1" si="152"/>
        <v>0</v>
      </c>
      <c r="Z216" s="2" vm="7297">
        <f ca="1"/>
        <v>85.05</v>
      </c>
      <c r="AA216" s="2">
        <f t="shared" ca="1" si="153"/>
        <v>-5.960729312763033E-3</v>
      </c>
      <c r="AB216" s="2" vm="4556">
        <f ca="1"/>
        <v>13.32</v>
      </c>
      <c r="AC216" s="2">
        <f t="shared" ca="1" si="154"/>
        <v>6.0422960725075581E-3</v>
      </c>
      <c r="AD216" s="2" vm="6332">
        <f ca="1"/>
        <v>5.3</v>
      </c>
      <c r="AE216" s="2">
        <f t="shared" ca="1" si="155"/>
        <v>-1.8518518518518615E-2</v>
      </c>
      <c r="AF216" s="2" vm="7298">
        <f ca="1"/>
        <v>34.549999999999997</v>
      </c>
      <c r="AG216" s="2">
        <f t="shared" ca="1" si="156"/>
        <v>1.4492753623187582E-3</v>
      </c>
      <c r="AH216" s="2" vm="1282">
        <f ca="1"/>
        <v>27.02</v>
      </c>
      <c r="AI216" s="2">
        <f t="shared" ca="1" si="157"/>
        <v>-1.4781966001477882E-3</v>
      </c>
      <c r="AJ216" s="2" vm="7299">
        <f ca="1"/>
        <v>4.21</v>
      </c>
      <c r="AK216" s="2">
        <f t="shared" ca="1" si="158"/>
        <v>-2.3696682464454471E-3</v>
      </c>
      <c r="AL216" s="2" vm="7300">
        <f ca="1"/>
        <v>66.010000000000005</v>
      </c>
      <c r="AM216" s="2">
        <f t="shared" ca="1" si="159"/>
        <v>-1.8146075911082769E-3</v>
      </c>
      <c r="AN216" s="2" vm="7301">
        <f ca="1"/>
        <v>121.48</v>
      </c>
      <c r="AO216" s="2">
        <f t="shared" ca="1" si="160"/>
        <v>-7.0295896681379713E-3</v>
      </c>
      <c r="AP216" s="2" vm="3252">
        <f ca="1"/>
        <v>26.63</v>
      </c>
      <c r="AQ216" s="2">
        <f t="shared" ca="1" si="161"/>
        <v>-3.7537537537543403E-4</v>
      </c>
      <c r="AR216" s="2" vm="552">
        <f ca="1"/>
        <v>51.01</v>
      </c>
      <c r="AS216" s="2">
        <f t="shared" ca="1" si="162"/>
        <v>1.9607843137251001E-4</v>
      </c>
      <c r="AT216" s="2" vm="530">
        <f ca="1"/>
        <v>29.22</v>
      </c>
      <c r="AU216" s="2">
        <f t="shared" ca="1" si="163"/>
        <v>0</v>
      </c>
      <c r="AV216" s="2" vm="2709">
        <f ca="1"/>
        <v>26.06</v>
      </c>
      <c r="AW216" s="2">
        <f t="shared" ca="1" si="164"/>
        <v>-1.914975105323658E-3</v>
      </c>
      <c r="AX216" s="2" vm="64">
        <f ca="1"/>
        <v>91.62</v>
      </c>
      <c r="AY216" s="2">
        <f t="shared" ca="1" si="165"/>
        <v>0</v>
      </c>
      <c r="AZ216" s="2" vm="7302">
        <f ca="1"/>
        <v>478.52</v>
      </c>
      <c r="BA216" s="2">
        <f t="shared" ca="1" si="166"/>
        <v>2.7661357921206901E-3</v>
      </c>
      <c r="BB216" s="2" vm="7303">
        <f ca="1"/>
        <v>291.52999999999997</v>
      </c>
      <c r="BC216" s="2">
        <f t="shared" ca="1" si="167"/>
        <v>3.5801576646354904E-3</v>
      </c>
      <c r="BD216" s="2" vm="7304">
        <f ca="1"/>
        <v>47.92</v>
      </c>
      <c r="BE216" s="2">
        <f t="shared" ca="1" si="168"/>
        <v>2.0877716233489645E-2</v>
      </c>
      <c r="BF216" s="2" vm="7305">
        <f ca="1"/>
        <v>106.72</v>
      </c>
      <c r="BG216" s="2">
        <f t="shared" ca="1" si="169"/>
        <v>2.1598272138229316E-3</v>
      </c>
      <c r="BH216" s="2" vm="7306">
        <f ca="1"/>
        <v>155.32</v>
      </c>
      <c r="BI216" s="2">
        <f t="shared" ca="1" si="170"/>
        <v>-7.8569147237305525E-3</v>
      </c>
      <c r="BJ216" s="2" vm="7307">
        <f ca="1"/>
        <v>176.25</v>
      </c>
      <c r="BK216" s="2">
        <f t="shared" ca="1" si="171"/>
        <v>-2.2078804347825318E-3</v>
      </c>
      <c r="BL216" s="2" vm="7308">
        <f ca="1"/>
        <v>69.13</v>
      </c>
      <c r="BM216" s="2">
        <f t="shared" ca="1" si="172"/>
        <v>-1.1298627002288418E-2</v>
      </c>
      <c r="BN216" s="2" vm="7309">
        <f ca="1"/>
        <v>308.7</v>
      </c>
      <c r="BO216" s="2">
        <f t="shared" ca="1" si="173"/>
        <v>-7.4450522772154921E-4</v>
      </c>
      <c r="BP216" s="2" vm="7310">
        <f ca="1"/>
        <v>116.55</v>
      </c>
      <c r="BQ216" s="2">
        <f t="shared" ca="1" si="174"/>
        <v>1.0052864199670653E-2</v>
      </c>
      <c r="BR216" s="2" vm="7311">
        <f ca="1"/>
        <v>1245.0899999999999</v>
      </c>
      <c r="BS216" s="2">
        <f t="shared" ca="1" si="175"/>
        <v>4.9558093546954052E-3</v>
      </c>
      <c r="BT216" s="2" vm="7312">
        <f ca="1"/>
        <v>155.72</v>
      </c>
      <c r="BU216" s="2">
        <f t="shared" ca="1" si="176"/>
        <v>8.8105726872245733E-3</v>
      </c>
      <c r="BV216" s="2" vm="6119">
        <f ca="1"/>
        <v>149.55000000000001</v>
      </c>
      <c r="BW216" s="2">
        <f t="shared" ca="1" si="177"/>
        <v>-5.6515957446808133E-3</v>
      </c>
      <c r="BX216" s="2" vm="7313">
        <f ca="1"/>
        <v>239.02</v>
      </c>
      <c r="BY216" s="2">
        <f t="shared" ca="1" si="178"/>
        <v>9.9721118904758464E-3</v>
      </c>
      <c r="BZ216" s="2" vm="7314">
        <f ca="1"/>
        <v>87.42</v>
      </c>
      <c r="CA216" s="2">
        <f t="shared" ca="1" si="179"/>
        <v>-9.7417308563661018E-3</v>
      </c>
      <c r="CB216" s="2" vm="7315">
        <f ca="1"/>
        <v>27.6858</v>
      </c>
      <c r="CC216" s="2">
        <f t="shared" ca="1" si="180"/>
        <v>-9.9485052209983636E-3</v>
      </c>
      <c r="CD216" s="2" t="e" vm="92">
        <f ca="1"/>
        <v>#N/A</v>
      </c>
      <c r="CE216" s="2" t="e" vm="140">
        <f t="shared" ca="1" si="181"/>
        <v>#N/A</v>
      </c>
      <c r="CF216" s="2" vm="691">
        <f ca="1"/>
        <v>22.835000000000001</v>
      </c>
      <c r="CG216" s="2">
        <f t="shared" ca="1" si="182"/>
        <v>-8.7508203894113201E-4</v>
      </c>
      <c r="CH216" s="2" vm="7257">
        <f ca="1"/>
        <v>58.65</v>
      </c>
      <c r="CI216" s="2">
        <f t="shared" ca="1" si="183"/>
        <v>0</v>
      </c>
      <c r="CJ216" s="2" vm="4177">
        <f ca="1"/>
        <v>59.55</v>
      </c>
      <c r="CK216" s="2">
        <f t="shared" ca="1" si="184"/>
        <v>-5.0352467270898182E-4</v>
      </c>
      <c r="CL216" s="2" vm="4855">
        <f ca="1"/>
        <v>55.01</v>
      </c>
      <c r="CM216" s="2">
        <f t="shared" ca="1" si="185"/>
        <v>-2.35763511062754E-3</v>
      </c>
      <c r="CN216" s="2" vm="2322">
        <f ca="1"/>
        <v>29.18</v>
      </c>
      <c r="CO216" s="2">
        <f t="shared" ca="1" si="186"/>
        <v>-1.7105713308245196E-3</v>
      </c>
      <c r="CP216" s="2" vm="2653">
        <f ca="1"/>
        <v>21.07</v>
      </c>
      <c r="CQ216" s="2">
        <f t="shared" ca="1" si="187"/>
        <v>-8.7038343919077273E-3</v>
      </c>
    </row>
    <row r="217" spans="1:95" x14ac:dyDescent="0.2">
      <c r="A217" s="7" vm="7316">
        <f ca="1"/>
        <v>45888</v>
      </c>
      <c r="B217" s="2" vm="7317">
        <f ca="1"/>
        <v>230.56</v>
      </c>
      <c r="C217" s="2">
        <f t="shared" ca="1" si="141"/>
        <v>-1.429252024773633E-3</v>
      </c>
      <c r="D217" s="2" vm="1473">
        <f ca="1"/>
        <v>175.64</v>
      </c>
      <c r="E217" s="2">
        <f t="shared" ca="1" si="142"/>
        <v>-3.4998077028734711E-2</v>
      </c>
      <c r="F217" s="2" vm="7318">
        <f ca="1"/>
        <v>509.77</v>
      </c>
      <c r="G217" s="2">
        <f t="shared" ca="1" si="143"/>
        <v>-1.4175207890156721E-2</v>
      </c>
      <c r="H217" s="2" vm="7319">
        <f ca="1"/>
        <v>751.48</v>
      </c>
      <c r="I217" s="2">
        <f t="shared" ca="1" si="144"/>
        <v>-2.0707090451802895E-2</v>
      </c>
      <c r="J217" s="2" vm="7320">
        <f ca="1"/>
        <v>201.57</v>
      </c>
      <c r="K217" s="2">
        <f t="shared" ca="1" si="145"/>
        <v>-9.4840294840295176E-3</v>
      </c>
      <c r="L217" s="2" vm="7321">
        <f ca="1"/>
        <v>639.80999999999995</v>
      </c>
      <c r="M217" s="2">
        <f t="shared" ca="1" si="146"/>
        <v>-5.4251515622571259E-3</v>
      </c>
      <c r="N217" s="2" vm="6078">
        <f ca="1"/>
        <v>86.65</v>
      </c>
      <c r="O217" s="2">
        <f t="shared" ca="1" si="147"/>
        <v>5.8038305281485781E-3</v>
      </c>
      <c r="P217" s="2" vm="7322">
        <f ca="1"/>
        <v>305.27</v>
      </c>
      <c r="Q217" s="2">
        <f t="shared" ca="1" si="148"/>
        <v>-5.4732041049031007E-3</v>
      </c>
      <c r="R217" s="2" vm="7323">
        <f ca="1"/>
        <v>72.3</v>
      </c>
      <c r="S217" s="2">
        <f t="shared" ca="1" si="149"/>
        <v>-1.1890118901189075E-2</v>
      </c>
      <c r="T217" s="2" vm="1275">
        <f ca="1"/>
        <v>95.38</v>
      </c>
      <c r="U217" s="2">
        <f t="shared" ca="1" si="150"/>
        <v>2.5225982762244574E-3</v>
      </c>
      <c r="V217" s="2" vm="7324">
        <f ca="1"/>
        <v>47.288200000000003</v>
      </c>
      <c r="W217" s="2">
        <f t="shared" ca="1" si="151"/>
        <v>1.6564287227282882E-3</v>
      </c>
      <c r="X217" s="2" vm="7325">
        <f ca="1"/>
        <v>137.08000000000001</v>
      </c>
      <c r="Y217" s="2">
        <f t="shared" ca="1" si="152"/>
        <v>-1.6572207475428466E-2</v>
      </c>
      <c r="Z217" s="2" vm="7326">
        <f ca="1"/>
        <v>85.08</v>
      </c>
      <c r="AA217" s="2">
        <f t="shared" ca="1" si="153"/>
        <v>3.5273368606703276E-4</v>
      </c>
      <c r="AB217" s="2" vm="7327">
        <f ca="1"/>
        <v>13.18</v>
      </c>
      <c r="AC217" s="2">
        <f t="shared" ca="1" si="154"/>
        <v>-1.0510510510510553E-2</v>
      </c>
      <c r="AD217" s="2" vm="7328">
        <f ca="1"/>
        <v>5.2</v>
      </c>
      <c r="AE217" s="2">
        <f t="shared" ca="1" si="155"/>
        <v>-1.886792452830182E-2</v>
      </c>
      <c r="AF217" s="2" vm="7329">
        <f ca="1"/>
        <v>33.869999999999997</v>
      </c>
      <c r="AG217" s="2">
        <f t="shared" ca="1" si="156"/>
        <v>-1.9681620839363236E-2</v>
      </c>
      <c r="AH217" s="2" vm="3959">
        <f ca="1"/>
        <v>27.13</v>
      </c>
      <c r="AI217" s="2">
        <f t="shared" ca="1" si="157"/>
        <v>4.0710584752035317E-3</v>
      </c>
      <c r="AJ217" s="2" vm="7330">
        <f ca="1"/>
        <v>4.1900000000000004</v>
      </c>
      <c r="AK217" s="2">
        <f t="shared" ca="1" si="158"/>
        <v>-4.7505938242279272E-3</v>
      </c>
      <c r="AL217" s="2" vm="6487">
        <f ca="1"/>
        <v>65.650000000000006</v>
      </c>
      <c r="AM217" s="2">
        <f t="shared" ca="1" si="159"/>
        <v>-5.4537191334646179E-3</v>
      </c>
      <c r="AN217" s="2" vm="7331">
        <f ca="1"/>
        <v>119.46</v>
      </c>
      <c r="AO217" s="2">
        <f t="shared" ca="1" si="160"/>
        <v>-1.6628251564043548E-2</v>
      </c>
      <c r="AP217" s="2" vm="3896">
        <f ca="1"/>
        <v>26.64</v>
      </c>
      <c r="AQ217" s="2">
        <f t="shared" ca="1" si="161"/>
        <v>3.7551633496062949E-4</v>
      </c>
      <c r="AR217" s="2" vm="552">
        <f ca="1"/>
        <v>51.01</v>
      </c>
      <c r="AS217" s="2">
        <f t="shared" ca="1" si="162"/>
        <v>0</v>
      </c>
      <c r="AT217" s="2" vm="694">
        <f ca="1"/>
        <v>29.24</v>
      </c>
      <c r="AU217" s="2">
        <f t="shared" ca="1" si="163"/>
        <v>6.8446269678301079E-4</v>
      </c>
      <c r="AV217" s="2" vm="1323">
        <f ca="1"/>
        <v>26.19</v>
      </c>
      <c r="AW217" s="2">
        <f t="shared" ca="1" si="164"/>
        <v>4.9884881043746184E-3</v>
      </c>
      <c r="AX217" s="2" vm="341">
        <f ca="1"/>
        <v>91.64</v>
      </c>
      <c r="AY217" s="2">
        <f t="shared" ca="1" si="165"/>
        <v>2.182929491376994E-4</v>
      </c>
      <c r="AZ217" s="2" vm="7332">
        <f ca="1"/>
        <v>485.31</v>
      </c>
      <c r="BA217" s="2">
        <f t="shared" ca="1" si="166"/>
        <v>1.4189584552369849E-2</v>
      </c>
      <c r="BB217" s="2" vm="7333">
        <f ca="1"/>
        <v>290.66000000000003</v>
      </c>
      <c r="BC217" s="2">
        <f t="shared" ca="1" si="167"/>
        <v>-2.9842554797103139E-3</v>
      </c>
      <c r="BD217" s="2" vm="157">
        <f ca="1"/>
        <v>48.08</v>
      </c>
      <c r="BE217" s="2">
        <f t="shared" ca="1" si="168"/>
        <v>3.3388981636059386E-3</v>
      </c>
      <c r="BF217" s="2" vm="7334">
        <f ca="1"/>
        <v>107.42</v>
      </c>
      <c r="BG217" s="2">
        <f t="shared" ca="1" si="169"/>
        <v>6.5592203898051241E-3</v>
      </c>
      <c r="BH217" s="2" vm="3740">
        <f ca="1"/>
        <v>152</v>
      </c>
      <c r="BI217" s="2">
        <f t="shared" ca="1" si="170"/>
        <v>-2.1375225341230965E-2</v>
      </c>
      <c r="BJ217" s="2" vm="7335">
        <f ca="1"/>
        <v>177.8</v>
      </c>
      <c r="BK217" s="2">
        <f t="shared" ca="1" si="171"/>
        <v>8.7943262411348169E-3</v>
      </c>
      <c r="BL217" s="2" vm="7336">
        <f ca="1"/>
        <v>70.13</v>
      </c>
      <c r="BM217" s="2">
        <f t="shared" ca="1" si="172"/>
        <v>1.4465499783017505E-2</v>
      </c>
      <c r="BN217" s="2" vm="7337">
        <f ca="1"/>
        <v>310.93</v>
      </c>
      <c r="BO217" s="2">
        <f t="shared" ca="1" si="173"/>
        <v>7.2238419177195279E-3</v>
      </c>
      <c r="BP217" s="2" vm="7338">
        <f ca="1"/>
        <v>116.27</v>
      </c>
      <c r="BQ217" s="2">
        <f t="shared" ca="1" si="174"/>
        <v>-2.4024024024024123E-3</v>
      </c>
      <c r="BR217" s="2" vm="7339">
        <f ca="1"/>
        <v>1214.1500000000001</v>
      </c>
      <c r="BS217" s="2">
        <f t="shared" ca="1" si="175"/>
        <v>-2.4849609265193542E-2</v>
      </c>
      <c r="BT217" s="2" vm="7340">
        <f ca="1"/>
        <v>158.4</v>
      </c>
      <c r="BU217" s="2">
        <f t="shared" ca="1" si="176"/>
        <v>1.7210377600822033E-2</v>
      </c>
      <c r="BV217" s="2" vm="7341">
        <f ca="1"/>
        <v>152.16</v>
      </c>
      <c r="BW217" s="2">
        <f t="shared" ca="1" si="177"/>
        <v>1.745235707121354E-2</v>
      </c>
      <c r="BX217" s="2" vm="7342">
        <f ca="1"/>
        <v>237.65</v>
      </c>
      <c r="BY217" s="2">
        <f t="shared" ca="1" si="178"/>
        <v>-5.7317379298803635E-3</v>
      </c>
      <c r="BZ217" s="2" vm="7343">
        <f ca="1"/>
        <v>87.34</v>
      </c>
      <c r="CA217" s="2">
        <f t="shared" ca="1" si="179"/>
        <v>-9.1512239762066229E-4</v>
      </c>
      <c r="CB217" s="2" vm="3750">
        <f ca="1"/>
        <v>27.5</v>
      </c>
      <c r="CC217" s="2">
        <f t="shared" ca="1" si="180"/>
        <v>-6.711021534505068E-3</v>
      </c>
      <c r="CD217" s="2" t="e" vm="92">
        <f ca="1"/>
        <v>#N/A</v>
      </c>
      <c r="CE217" s="2" t="e" vm="140">
        <f t="shared" ca="1" si="181"/>
        <v>#N/A</v>
      </c>
      <c r="CF217" s="2" vm="6351">
        <f ca="1"/>
        <v>22.885000000000002</v>
      </c>
      <c r="CG217" s="2">
        <f t="shared" ca="1" si="182"/>
        <v>2.1896211955332039E-3</v>
      </c>
      <c r="CH217" s="2" vm="4317">
        <f ca="1"/>
        <v>58.68</v>
      </c>
      <c r="CI217" s="2">
        <f t="shared" ca="1" si="183"/>
        <v>5.1150895140666898E-4</v>
      </c>
      <c r="CJ217" s="2" vm="6286">
        <f ca="1"/>
        <v>59.65</v>
      </c>
      <c r="CK217" s="2">
        <f t="shared" ca="1" si="184"/>
        <v>1.6792611251049778E-3</v>
      </c>
      <c r="CL217" s="2" vm="7344">
        <f ca="1"/>
        <v>55.3</v>
      </c>
      <c r="CM217" s="2">
        <f t="shared" ca="1" si="185"/>
        <v>5.271768769314655E-3</v>
      </c>
      <c r="CN217" s="2" vm="4160">
        <f ca="1"/>
        <v>29.23</v>
      </c>
      <c r="CO217" s="2">
        <f t="shared" ca="1" si="186"/>
        <v>1.7135023989033828E-3</v>
      </c>
      <c r="CP217" s="2" vm="7345">
        <f ca="1"/>
        <v>21.375699999999998</v>
      </c>
      <c r="CQ217" s="2">
        <f t="shared" ca="1" si="187"/>
        <v>1.450878025628847E-2</v>
      </c>
    </row>
    <row r="218" spans="1:95" x14ac:dyDescent="0.2">
      <c r="A218" s="7" vm="7346">
        <f ca="1"/>
        <v>45889</v>
      </c>
      <c r="B218" s="2" vm="7347">
        <f ca="1"/>
        <v>226.01</v>
      </c>
      <c r="C218" s="2">
        <f t="shared" ca="1" si="141"/>
        <v>-1.9734559333796024E-2</v>
      </c>
      <c r="D218" s="2" vm="7348">
        <f ca="1"/>
        <v>175.4</v>
      </c>
      <c r="E218" s="2">
        <f t="shared" ca="1" si="142"/>
        <v>-1.3664313368252146E-3</v>
      </c>
      <c r="F218" s="2" vm="7349">
        <f ca="1"/>
        <v>505.72</v>
      </c>
      <c r="G218" s="2">
        <f t="shared" ca="1" si="143"/>
        <v>-7.9447594012985352E-3</v>
      </c>
      <c r="H218" s="2" vm="7350">
        <f ca="1"/>
        <v>747.72</v>
      </c>
      <c r="I218" s="2">
        <f t="shared" ca="1" si="144"/>
        <v>-5.0034598392505337E-3</v>
      </c>
      <c r="J218" s="2" vm="7351">
        <f ca="1"/>
        <v>199.32</v>
      </c>
      <c r="K218" s="2">
        <f t="shared" ca="1" si="145"/>
        <v>-1.116237535347522E-2</v>
      </c>
      <c r="L218" s="2" vm="7352">
        <f ca="1"/>
        <v>638.11</v>
      </c>
      <c r="M218" s="2">
        <f t="shared" ca="1" si="146"/>
        <v>-2.6570388083961361E-3</v>
      </c>
      <c r="N218" s="2" vm="7353">
        <f ca="1"/>
        <v>86.84</v>
      </c>
      <c r="O218" s="2">
        <f t="shared" ca="1" si="147"/>
        <v>2.1927293710328646E-3</v>
      </c>
      <c r="P218" s="2" vm="7354">
        <f ca="1"/>
        <v>308.36</v>
      </c>
      <c r="Q218" s="2">
        <f t="shared" ca="1" si="148"/>
        <v>1.0122186916500252E-2</v>
      </c>
      <c r="R218" s="2" vm="7355">
        <f ca="1"/>
        <v>73.52</v>
      </c>
      <c r="S218" s="2">
        <f t="shared" ca="1" si="149"/>
        <v>1.6874135546334702E-2</v>
      </c>
      <c r="T218" s="2" vm="7356">
        <f ca="1"/>
        <v>95.52</v>
      </c>
      <c r="U218" s="2">
        <f t="shared" ca="1" si="150"/>
        <v>1.4678129586915556E-3</v>
      </c>
      <c r="V218" s="2" vm="7357">
        <f ca="1"/>
        <v>47.102699999999999</v>
      </c>
      <c r="W218" s="2">
        <f t="shared" ca="1" si="151"/>
        <v>-3.9227545138111547E-3</v>
      </c>
      <c r="X218" s="2" vm="1500">
        <f ca="1"/>
        <v>135.34</v>
      </c>
      <c r="Y218" s="2">
        <f t="shared" ca="1" si="152"/>
        <v>-1.2693317770644945E-2</v>
      </c>
      <c r="Z218" s="2" vm="6540">
        <f ca="1"/>
        <v>85.79</v>
      </c>
      <c r="AA218" s="2">
        <f t="shared" ca="1" si="153"/>
        <v>8.3450869769629513E-3</v>
      </c>
      <c r="AB218" s="2" vm="7099">
        <f ca="1"/>
        <v>13.39</v>
      </c>
      <c r="AC218" s="2">
        <f t="shared" ca="1" si="154"/>
        <v>1.5933232169954542E-2</v>
      </c>
      <c r="AD218" s="2" vm="6457">
        <f ca="1"/>
        <v>5.0999999999999996</v>
      </c>
      <c r="AE218" s="2">
        <f t="shared" ca="1" si="155"/>
        <v>-1.9230769230769332E-2</v>
      </c>
      <c r="AF218" s="2" vm="7358">
        <f ca="1"/>
        <v>34.43</v>
      </c>
      <c r="AG218" s="2">
        <f t="shared" ca="1" si="156"/>
        <v>1.6533805727782767E-2</v>
      </c>
      <c r="AH218" s="2" vm="2628">
        <f ca="1"/>
        <v>27.2</v>
      </c>
      <c r="AI218" s="2">
        <f t="shared" ca="1" si="157"/>
        <v>2.5801695539992733E-3</v>
      </c>
      <c r="AJ218" s="2" vm="7359">
        <f ca="1"/>
        <v>4.2300000000000004</v>
      </c>
      <c r="AK218" s="2">
        <f t="shared" ca="1" si="158"/>
        <v>9.5465393794749477E-3</v>
      </c>
      <c r="AL218" s="2" vm="7360">
        <f ca="1"/>
        <v>66.319999999999993</v>
      </c>
      <c r="AM218" s="2">
        <f t="shared" ca="1" si="159"/>
        <v>1.0205635948210015E-2</v>
      </c>
      <c r="AN218" s="2" vm="7361">
        <f ca="1"/>
        <v>122.2</v>
      </c>
      <c r="AO218" s="2">
        <f t="shared" ca="1" si="160"/>
        <v>2.293654779842633E-2</v>
      </c>
      <c r="AP218" s="2" vm="2036">
        <f ca="1"/>
        <v>26.68</v>
      </c>
      <c r="AQ218" s="2">
        <f t="shared" ca="1" si="161"/>
        <v>1.5015015015014694E-3</v>
      </c>
      <c r="AR218" s="2" vm="1404">
        <f ca="1"/>
        <v>51.04</v>
      </c>
      <c r="AS218" s="2">
        <f t="shared" ca="1" si="162"/>
        <v>5.8811997647522328E-4</v>
      </c>
      <c r="AT218" s="2" vm="694">
        <f ca="1"/>
        <v>29.24</v>
      </c>
      <c r="AU218" s="2">
        <f t="shared" ca="1" si="163"/>
        <v>0</v>
      </c>
      <c r="AV218" s="2" vm="2222">
        <f ca="1"/>
        <v>26.25</v>
      </c>
      <c r="AW218" s="2">
        <f t="shared" ca="1" si="164"/>
        <v>2.2909507445589431E-3</v>
      </c>
      <c r="AX218" s="2" vm="1998">
        <f ca="1"/>
        <v>91.66</v>
      </c>
      <c r="AY218" s="2">
        <f t="shared" ca="1" si="165"/>
        <v>2.1824530772584046E-4</v>
      </c>
      <c r="AZ218" s="2" vm="7362">
        <f ca="1"/>
        <v>488.68</v>
      </c>
      <c r="BA218" s="2">
        <f t="shared" ca="1" si="166"/>
        <v>6.9440151655642875E-3</v>
      </c>
      <c r="BB218" s="2" vm="7363">
        <f ca="1"/>
        <v>292.24</v>
      </c>
      <c r="BC218" s="2">
        <f t="shared" ca="1" si="167"/>
        <v>5.4359044932222661E-3</v>
      </c>
      <c r="BD218" s="2" vm="7364">
        <f ca="1"/>
        <v>48.35</v>
      </c>
      <c r="BE218" s="2">
        <f t="shared" ca="1" si="168"/>
        <v>5.6156405990017292E-3</v>
      </c>
      <c r="BF218" s="2" vm="7365">
        <f ca="1"/>
        <v>108.53</v>
      </c>
      <c r="BG218" s="2">
        <f t="shared" ca="1" si="169"/>
        <v>1.0333271271644009E-2</v>
      </c>
      <c r="BH218" s="2" vm="3124">
        <f ca="1"/>
        <v>153.22</v>
      </c>
      <c r="BI218" s="2">
        <f t="shared" ca="1" si="170"/>
        <v>8.0263157894736765E-3</v>
      </c>
      <c r="BJ218" s="2" vm="7366">
        <f ca="1"/>
        <v>178.84</v>
      </c>
      <c r="BK218" s="2">
        <f t="shared" ca="1" si="171"/>
        <v>5.8492688413947806E-3</v>
      </c>
      <c r="BL218" s="2" vm="7367">
        <f ca="1"/>
        <v>70.7</v>
      </c>
      <c r="BM218" s="2">
        <f t="shared" ca="1" si="172"/>
        <v>8.1277627263654281E-3</v>
      </c>
      <c r="BN218" s="2" vm="7368">
        <f ca="1"/>
        <v>313.08</v>
      </c>
      <c r="BO218" s="2">
        <f t="shared" ca="1" si="173"/>
        <v>6.9147396520116335E-3</v>
      </c>
      <c r="BP218" s="2" vm="7369">
        <f ca="1"/>
        <v>117.04</v>
      </c>
      <c r="BQ218" s="2">
        <f t="shared" ca="1" si="174"/>
        <v>6.6225165562914792E-3</v>
      </c>
      <c r="BR218" s="2" vm="7370">
        <f ca="1"/>
        <v>1213.8599999999999</v>
      </c>
      <c r="BS218" s="2">
        <f t="shared" ca="1" si="175"/>
        <v>-2.3885022443700612E-4</v>
      </c>
      <c r="BT218" s="2" vm="7371">
        <f ca="1"/>
        <v>159.51</v>
      </c>
      <c r="BU218" s="2">
        <f t="shared" ca="1" si="176"/>
        <v>7.0075757575756639E-3</v>
      </c>
      <c r="BV218" s="2" vm="6091">
        <f ca="1"/>
        <v>150.72999999999999</v>
      </c>
      <c r="BW218" s="2">
        <f t="shared" ca="1" si="177"/>
        <v>-9.3980021030494673E-3</v>
      </c>
      <c r="BX218" s="2" vm="7372">
        <f ca="1"/>
        <v>236.51</v>
      </c>
      <c r="BY218" s="2">
        <f t="shared" ca="1" si="178"/>
        <v>-4.7969703345256253E-3</v>
      </c>
      <c r="BZ218" s="2" vm="3548">
        <f ca="1"/>
        <v>88.2</v>
      </c>
      <c r="CA218" s="2">
        <f t="shared" ca="1" si="179"/>
        <v>9.8465765972063132E-3</v>
      </c>
      <c r="CB218" s="2" vm="7373">
        <f ca="1"/>
        <v>27.751799999999999</v>
      </c>
      <c r="CC218" s="2">
        <f t="shared" ca="1" si="180"/>
        <v>9.1563636363636135E-3</v>
      </c>
      <c r="CD218" s="2" t="e" vm="92">
        <f ca="1"/>
        <v>#N/A</v>
      </c>
      <c r="CE218" s="2" t="e" vm="140">
        <f t="shared" ca="1" si="181"/>
        <v>#N/A</v>
      </c>
      <c r="CF218" s="2" vm="7374">
        <f ca="1"/>
        <v>22.905000000000001</v>
      </c>
      <c r="CG218" s="2">
        <f t="shared" ca="1" si="182"/>
        <v>8.7393489185053845E-4</v>
      </c>
      <c r="CH218" s="2" vm="4317">
        <f ca="1"/>
        <v>58.68</v>
      </c>
      <c r="CI218" s="2">
        <f t="shared" ca="1" si="183"/>
        <v>0</v>
      </c>
      <c r="CJ218" s="2" vm="7375">
        <f ca="1"/>
        <v>59.71</v>
      </c>
      <c r="CK218" s="2">
        <f t="shared" ca="1" si="184"/>
        <v>1.0058675607712033E-3</v>
      </c>
      <c r="CL218" s="2" vm="3016">
        <f ca="1"/>
        <v>55.39</v>
      </c>
      <c r="CM218" s="2">
        <f t="shared" ca="1" si="185"/>
        <v>1.6274864376130817E-3</v>
      </c>
      <c r="CN218" s="2" vm="3627">
        <f ca="1"/>
        <v>29.25</v>
      </c>
      <c r="CO218" s="2">
        <f t="shared" ca="1" si="186"/>
        <v>6.842285323297836E-4</v>
      </c>
      <c r="CP218" s="2" vm="7376">
        <f ca="1"/>
        <v>21.506</v>
      </c>
      <c r="CQ218" s="2">
        <f t="shared" ca="1" si="187"/>
        <v>6.09570680726254E-3</v>
      </c>
    </row>
    <row r="219" spans="1:95" x14ac:dyDescent="0.2">
      <c r="A219" s="7" vm="7377">
        <f ca="1"/>
        <v>45890</v>
      </c>
      <c r="B219" s="2" vm="5466">
        <f ca="1"/>
        <v>224.9</v>
      </c>
      <c r="C219" s="2">
        <f t="shared" ca="1" si="141"/>
        <v>-4.9112871111897053E-3</v>
      </c>
      <c r="D219" s="2" vm="7378">
        <f ca="1"/>
        <v>174.98</v>
      </c>
      <c r="E219" s="2">
        <f t="shared" ca="1" si="142"/>
        <v>-2.3945267958951875E-3</v>
      </c>
      <c r="F219" s="2" vm="7379">
        <f ca="1"/>
        <v>504.24</v>
      </c>
      <c r="G219" s="2">
        <f t="shared" ca="1" si="143"/>
        <v>-2.926520604286993E-3</v>
      </c>
      <c r="H219" s="2" vm="7380">
        <f ca="1"/>
        <v>739.1</v>
      </c>
      <c r="I219" s="2">
        <f t="shared" ca="1" si="144"/>
        <v>-1.1528379607339651E-2</v>
      </c>
      <c r="J219" s="2" vm="7381">
        <f ca="1"/>
        <v>199.75</v>
      </c>
      <c r="K219" s="2">
        <f t="shared" ca="1" si="145"/>
        <v>2.1573349387919269E-3</v>
      </c>
      <c r="L219" s="2" vm="7382">
        <f ca="1"/>
        <v>635.54999999999995</v>
      </c>
      <c r="M219" s="2">
        <f t="shared" ca="1" si="146"/>
        <v>-4.0118474871104655E-3</v>
      </c>
      <c r="N219" s="2" vm="7383">
        <f ca="1"/>
        <v>86.41</v>
      </c>
      <c r="O219" s="2">
        <f t="shared" ca="1" si="147"/>
        <v>-4.9516351911562274E-3</v>
      </c>
      <c r="P219" s="2" vm="7384">
        <f ca="1"/>
        <v>307.29000000000002</v>
      </c>
      <c r="Q219" s="2">
        <f t="shared" ca="1" si="148"/>
        <v>-3.4699701647424863E-3</v>
      </c>
      <c r="R219" s="2" vm="3574">
        <f ca="1"/>
        <v>74.13</v>
      </c>
      <c r="S219" s="2">
        <f t="shared" ca="1" si="149"/>
        <v>8.2970620239390565E-3</v>
      </c>
      <c r="T219" s="2" vm="7385">
        <f ca="1"/>
        <v>95.24</v>
      </c>
      <c r="U219" s="2">
        <f t="shared" ca="1" si="150"/>
        <v>-2.931323283082089E-3</v>
      </c>
      <c r="V219" s="2" vm="7386">
        <f ca="1"/>
        <v>46.984999999999999</v>
      </c>
      <c r="W219" s="2">
        <f t="shared" ca="1" si="151"/>
        <v>-2.4987951858385878E-3</v>
      </c>
      <c r="X219" s="2" vm="7387">
        <f ca="1"/>
        <v>134.01</v>
      </c>
      <c r="Y219" s="2">
        <f t="shared" ca="1" si="152"/>
        <v>-9.8271021131964859E-3</v>
      </c>
      <c r="Z219" s="2" vm="7165">
        <f ca="1"/>
        <v>86.38</v>
      </c>
      <c r="AA219" s="2">
        <f t="shared" ca="1" si="153"/>
        <v>6.8772584217273473E-3</v>
      </c>
      <c r="AB219" s="2" vm="7388">
        <f ca="1"/>
        <v>13.5</v>
      </c>
      <c r="AC219" s="2">
        <f t="shared" ca="1" si="154"/>
        <v>8.2150858849887546E-3</v>
      </c>
      <c r="AD219" s="2" vm="6457">
        <f ca="1"/>
        <v>5.0999999999999996</v>
      </c>
      <c r="AE219" s="2">
        <f t="shared" ca="1" si="155"/>
        <v>0</v>
      </c>
      <c r="AF219" s="2" vm="6692">
        <f ca="1"/>
        <v>34.61</v>
      </c>
      <c r="AG219" s="2">
        <f t="shared" ca="1" si="156"/>
        <v>5.2279988382224725E-3</v>
      </c>
      <c r="AH219" s="2" vm="7389">
        <f ca="1"/>
        <v>27.28</v>
      </c>
      <c r="AI219" s="2">
        <f t="shared" ca="1" si="157"/>
        <v>2.9411764705883033E-3</v>
      </c>
      <c r="AJ219" s="2" vm="7359">
        <f ca="1"/>
        <v>4.2300000000000004</v>
      </c>
      <c r="AK219" s="2">
        <f t="shared" ca="1" si="158"/>
        <v>0</v>
      </c>
      <c r="AL219" s="2" vm="7390">
        <f ca="1"/>
        <v>66.099999999999994</v>
      </c>
      <c r="AM219" s="2">
        <f t="shared" ca="1" si="159"/>
        <v>-3.3172496984318288E-3</v>
      </c>
      <c r="AN219" s="2" vm="2968">
        <f ca="1"/>
        <v>123.7</v>
      </c>
      <c r="AO219" s="2">
        <f t="shared" ca="1" si="160"/>
        <v>1.2274959083469721E-2</v>
      </c>
      <c r="AP219" s="2" vm="2036">
        <f ca="1"/>
        <v>26.68</v>
      </c>
      <c r="AQ219" s="2">
        <f t="shared" ca="1" si="161"/>
        <v>0</v>
      </c>
      <c r="AR219" s="2" vm="715">
        <f ca="1"/>
        <v>51.03</v>
      </c>
      <c r="AS219" s="2">
        <f t="shared" ca="1" si="162"/>
        <v>-1.9592476489024315E-4</v>
      </c>
      <c r="AT219" s="2" vm="4160">
        <f ca="1"/>
        <v>29.23</v>
      </c>
      <c r="AU219" s="2">
        <f t="shared" ca="1" si="163"/>
        <v>-3.4199726402181979E-4</v>
      </c>
      <c r="AV219" s="2" vm="2945">
        <f ca="1"/>
        <v>26.13</v>
      </c>
      <c r="AW219" s="2">
        <f t="shared" ca="1" si="164"/>
        <v>-4.5714285714286091E-3</v>
      </c>
      <c r="AX219" s="2" vm="1998">
        <f ca="1"/>
        <v>91.66</v>
      </c>
      <c r="AY219" s="2">
        <f t="shared" ca="1" si="165"/>
        <v>0</v>
      </c>
      <c r="AZ219" s="2" vm="7391">
        <f ca="1"/>
        <v>488.59</v>
      </c>
      <c r="BA219" s="2">
        <f t="shared" ca="1" si="166"/>
        <v>-1.8416959973813503E-4</v>
      </c>
      <c r="BB219" s="2" vm="6183">
        <f ca="1"/>
        <v>291.47000000000003</v>
      </c>
      <c r="BC219" s="2">
        <f t="shared" ca="1" si="167"/>
        <v>-2.6348206953188537E-3</v>
      </c>
      <c r="BD219" s="2" vm="7392">
        <f ca="1"/>
        <v>48.26</v>
      </c>
      <c r="BE219" s="2">
        <f t="shared" ca="1" si="168"/>
        <v>-1.8614270941055514E-3</v>
      </c>
      <c r="BF219" s="2" vm="3326">
        <f ca="1"/>
        <v>109.23</v>
      </c>
      <c r="BG219" s="2">
        <f t="shared" ca="1" si="169"/>
        <v>6.4498295402193205E-3</v>
      </c>
      <c r="BH219" s="2" vm="7393">
        <f ca="1"/>
        <v>155.55000000000001</v>
      </c>
      <c r="BI219" s="2">
        <f t="shared" ca="1" si="170"/>
        <v>1.5206892050646211E-2</v>
      </c>
      <c r="BJ219" s="2" vm="7394">
        <f ca="1"/>
        <v>178.93</v>
      </c>
      <c r="BK219" s="2">
        <f t="shared" ca="1" si="171"/>
        <v>5.0324312234401372E-4</v>
      </c>
      <c r="BL219" s="2" vm="7395">
        <f ca="1"/>
        <v>70.66</v>
      </c>
      <c r="BM219" s="2">
        <f t="shared" ca="1" si="172"/>
        <v>-5.6577086280065422E-4</v>
      </c>
      <c r="BN219" s="2" vm="7396">
        <f ca="1"/>
        <v>313.22000000000003</v>
      </c>
      <c r="BO219" s="2">
        <f t="shared" ca="1" si="173"/>
        <v>4.4717005238291559E-4</v>
      </c>
      <c r="BP219" s="2" vm="7397">
        <f ca="1"/>
        <v>116.21</v>
      </c>
      <c r="BQ219" s="2">
        <f t="shared" ca="1" si="174"/>
        <v>-7.0915926179085141E-3</v>
      </c>
      <c r="BR219" s="2" vm="7398">
        <f ca="1"/>
        <v>1206.21</v>
      </c>
      <c r="BS219" s="2">
        <f t="shared" ca="1" si="175"/>
        <v>-6.3022094805001106E-3</v>
      </c>
      <c r="BT219" s="2" vm="5344">
        <f ca="1"/>
        <v>158.72999999999999</v>
      </c>
      <c r="BU219" s="2">
        <f t="shared" ca="1" si="176"/>
        <v>-4.8899755501222572E-3</v>
      </c>
      <c r="BV219" s="2" vm="7399">
        <f ca="1"/>
        <v>148.97999999999999</v>
      </c>
      <c r="BW219" s="2">
        <f t="shared" ca="1" si="177"/>
        <v>-1.1610163869170039E-2</v>
      </c>
      <c r="BX219" s="2" vm="7400">
        <f ca="1"/>
        <v>240.14</v>
      </c>
      <c r="BY219" s="2">
        <f t="shared" ca="1" si="178"/>
        <v>1.5348188237283816E-2</v>
      </c>
      <c r="BZ219" s="2" vm="2321">
        <f ca="1"/>
        <v>88.35</v>
      </c>
      <c r="CA219" s="2">
        <f t="shared" ca="1" si="179"/>
        <v>1.7006802721087468E-3</v>
      </c>
      <c r="CB219" s="2" vm="381">
        <f ca="1"/>
        <v>27.92</v>
      </c>
      <c r="CC219" s="2">
        <f t="shared" ca="1" si="180"/>
        <v>6.0608681238695271E-3</v>
      </c>
      <c r="CD219" s="2" t="e" vm="92">
        <f ca="1"/>
        <v>#N/A</v>
      </c>
      <c r="CE219" s="2" t="e" vm="140">
        <f t="shared" ca="1" si="181"/>
        <v>#N/A</v>
      </c>
      <c r="CF219" s="2" vm="7284">
        <f ca="1"/>
        <v>22.855</v>
      </c>
      <c r="CG219" s="2">
        <f t="shared" ca="1" si="182"/>
        <v>-2.1829294913774592E-3</v>
      </c>
      <c r="CH219" s="2" vm="7257">
        <f ca="1"/>
        <v>58.65</v>
      </c>
      <c r="CI219" s="2">
        <f t="shared" ca="1" si="183"/>
        <v>-5.1124744376280053E-4</v>
      </c>
      <c r="CJ219" s="2" vm="314">
        <f ca="1"/>
        <v>59.57</v>
      </c>
      <c r="CK219" s="2">
        <f t="shared" ca="1" si="184"/>
        <v>-2.344665885111381E-3</v>
      </c>
      <c r="CL219" s="2" vm="4648">
        <f ca="1"/>
        <v>55.13</v>
      </c>
      <c r="CM219" s="2">
        <f t="shared" ca="1" si="185"/>
        <v>-4.6939880844917492E-3</v>
      </c>
      <c r="CN219" s="2" vm="596">
        <f ca="1"/>
        <v>29.15</v>
      </c>
      <c r="CO219" s="2">
        <f t="shared" ca="1" si="186"/>
        <v>-3.4188034188034674E-3</v>
      </c>
      <c r="CP219" s="2" vm="7401">
        <f ca="1"/>
        <v>21.4544</v>
      </c>
      <c r="CQ219" s="2">
        <f t="shared" ca="1" si="187"/>
        <v>-2.3993304194178619E-3</v>
      </c>
    </row>
    <row r="220" spans="1:95" x14ac:dyDescent="0.2">
      <c r="A220" s="7" vm="7402">
        <f ca="1"/>
        <v>45891</v>
      </c>
      <c r="B220" s="2" vm="7403">
        <f ca="1"/>
        <v>227.76</v>
      </c>
      <c r="C220" s="2">
        <f t="shared" ca="1" si="141"/>
        <v>1.2716763005780281E-2</v>
      </c>
      <c r="D220" s="2" vm="7404">
        <f ca="1"/>
        <v>177.99</v>
      </c>
      <c r="E220" s="2">
        <f t="shared" ca="1" si="142"/>
        <v>1.7201965938964565E-2</v>
      </c>
      <c r="F220" s="2" vm="7405">
        <f ca="1"/>
        <v>507.23</v>
      </c>
      <c r="G220" s="2">
        <f t="shared" ca="1" si="143"/>
        <v>5.9297160082500576E-3</v>
      </c>
      <c r="H220" s="2" vm="7406">
        <f ca="1"/>
        <v>754.79</v>
      </c>
      <c r="I220" s="2">
        <f t="shared" ca="1" si="144"/>
        <v>2.1228521174401219E-2</v>
      </c>
      <c r="J220" s="2" vm="4504">
        <f ca="1"/>
        <v>206.09</v>
      </c>
      <c r="K220" s="2">
        <f t="shared" ca="1" si="145"/>
        <v>3.1739674593241569E-2</v>
      </c>
      <c r="L220" s="2" vm="7407">
        <f ca="1"/>
        <v>645.30999999999995</v>
      </c>
      <c r="M220" s="2">
        <f t="shared" ca="1" si="146"/>
        <v>1.5356777594209727E-2</v>
      </c>
      <c r="N220" s="2" vm="5256">
        <f ca="1"/>
        <v>87.05</v>
      </c>
      <c r="O220" s="2">
        <f t="shared" ca="1" si="147"/>
        <v>7.4065501678046595E-3</v>
      </c>
      <c r="P220" s="2" vm="7408">
        <f ca="1"/>
        <v>310.58</v>
      </c>
      <c r="Q220" s="2">
        <f t="shared" ca="1" si="148"/>
        <v>1.070649874711173E-2</v>
      </c>
      <c r="R220" s="2" vm="7409">
        <f ca="1"/>
        <v>74.64</v>
      </c>
      <c r="S220" s="2">
        <f t="shared" ca="1" si="149"/>
        <v>6.8798057466613405E-3</v>
      </c>
      <c r="T220" s="2" vm="6297">
        <f ca="1"/>
        <v>95.77</v>
      </c>
      <c r="U220" s="2">
        <f t="shared" ca="1" si="150"/>
        <v>5.564888702225968E-3</v>
      </c>
      <c r="V220" s="2" vm="7410">
        <f ca="1"/>
        <v>47.244999999999997</v>
      </c>
      <c r="W220" s="2">
        <f t="shared" ca="1" si="151"/>
        <v>5.5336809620091095E-3</v>
      </c>
      <c r="X220" s="2" vm="7411">
        <f ca="1"/>
        <v>134.19999999999999</v>
      </c>
      <c r="Y220" s="2">
        <f t="shared" ca="1" si="152"/>
        <v>1.4178046414446515E-3</v>
      </c>
      <c r="Z220" s="2" vm="6326">
        <f ca="1"/>
        <v>88.14</v>
      </c>
      <c r="AA220" s="2">
        <f t="shared" ca="1" si="153"/>
        <v>2.0375086825654146E-2</v>
      </c>
      <c r="AB220" s="2" vm="6628">
        <f ca="1"/>
        <v>13.59</v>
      </c>
      <c r="AC220" s="2">
        <f t="shared" ca="1" si="154"/>
        <v>6.6666666666666558E-3</v>
      </c>
      <c r="AD220" s="2" vm="6457">
        <f ca="1"/>
        <v>5.0999999999999996</v>
      </c>
      <c r="AE220" s="2">
        <f t="shared" ca="1" si="155"/>
        <v>0</v>
      </c>
      <c r="AF220" s="2" vm="7412">
        <f ca="1"/>
        <v>35.340000000000003</v>
      </c>
      <c r="AG220" s="2">
        <f t="shared" ca="1" si="156"/>
        <v>2.1092169893094596E-2</v>
      </c>
      <c r="AH220" s="2" vm="3677">
        <f ca="1"/>
        <v>27.59</v>
      </c>
      <c r="AI220" s="2">
        <f t="shared" ca="1" si="157"/>
        <v>1.1363636363636317E-2</v>
      </c>
      <c r="AJ220" s="2" vm="7180">
        <f ca="1"/>
        <v>4.22</v>
      </c>
      <c r="AK220" s="2">
        <f t="shared" ca="1" si="158"/>
        <v>-2.3640661938535874E-3</v>
      </c>
      <c r="AL220" s="2" vm="7413">
        <f ca="1"/>
        <v>66.790000000000006</v>
      </c>
      <c r="AM220" s="2">
        <f t="shared" ca="1" si="159"/>
        <v>1.0438729198184751E-2</v>
      </c>
      <c r="AN220" s="2" vm="7414">
        <f ca="1"/>
        <v>123.98</v>
      </c>
      <c r="AO220" s="2">
        <f t="shared" ca="1" si="160"/>
        <v>2.2635408245755954E-3</v>
      </c>
      <c r="AP220" s="2" vm="2030">
        <f ca="1"/>
        <v>26.85</v>
      </c>
      <c r="AQ220" s="2">
        <f t="shared" ca="1" si="161"/>
        <v>6.3718140929535875E-3</v>
      </c>
      <c r="AR220" s="2" vm="1517">
        <f ca="1"/>
        <v>51.05</v>
      </c>
      <c r="AS220" s="2">
        <f t="shared" ca="1" si="162"/>
        <v>3.9192631785216577E-4</v>
      </c>
      <c r="AT220" s="2" vm="3691">
        <f ca="1"/>
        <v>29.28</v>
      </c>
      <c r="AU220" s="2">
        <f t="shared" ca="1" si="163"/>
        <v>1.7105713308245196E-3</v>
      </c>
      <c r="AV220" s="2" vm="758">
        <f ca="1"/>
        <v>26.31</v>
      </c>
      <c r="AW220" s="2">
        <f t="shared" ca="1" si="164"/>
        <v>6.8886337543053854E-3</v>
      </c>
      <c r="AX220" s="2" vm="424">
        <f ca="1"/>
        <v>91.69</v>
      </c>
      <c r="AY220" s="2">
        <f t="shared" ca="1" si="165"/>
        <v>3.2729653065678748E-4</v>
      </c>
      <c r="AZ220" s="2" vm="7415">
        <f ca="1"/>
        <v>489</v>
      </c>
      <c r="BA220" s="2">
        <f t="shared" ca="1" si="166"/>
        <v>8.3914938905836189E-4</v>
      </c>
      <c r="BB220" s="2" vm="6958">
        <f ca="1"/>
        <v>296.24</v>
      </c>
      <c r="BC220" s="2">
        <f t="shared" ca="1" si="167"/>
        <v>1.6365320616186851E-2</v>
      </c>
      <c r="BD220" s="2" vm="7416">
        <f ca="1"/>
        <v>49.48</v>
      </c>
      <c r="BE220" s="2">
        <f t="shared" ca="1" si="168"/>
        <v>2.5279734769995833E-2</v>
      </c>
      <c r="BF220" s="2" vm="7417">
        <f ca="1"/>
        <v>111.28</v>
      </c>
      <c r="BG220" s="2">
        <f t="shared" ca="1" si="169"/>
        <v>1.8767737800970404E-2</v>
      </c>
      <c r="BH220" s="2" vm="7418">
        <f ca="1"/>
        <v>158.18</v>
      </c>
      <c r="BI220" s="2">
        <f t="shared" ca="1" si="170"/>
        <v>1.6907746705239441E-2</v>
      </c>
      <c r="BJ220" s="2" vm="7419">
        <f ca="1"/>
        <v>179.29</v>
      </c>
      <c r="BK220" s="2">
        <f t="shared" ca="1" si="171"/>
        <v>2.0119599843513398E-3</v>
      </c>
      <c r="BL220" s="2" vm="7336">
        <f ca="1"/>
        <v>70.13</v>
      </c>
      <c r="BM220" s="2">
        <f t="shared" ca="1" si="172"/>
        <v>-7.5007076139258586E-3</v>
      </c>
      <c r="BN220" s="2" vm="7420">
        <f ca="1"/>
        <v>314.07</v>
      </c>
      <c r="BO220" s="2">
        <f t="shared" ca="1" si="173"/>
        <v>2.7137475257006764E-3</v>
      </c>
      <c r="BP220" s="2" vm="7421">
        <f ca="1"/>
        <v>118.86</v>
      </c>
      <c r="BQ220" s="2">
        <f t="shared" ca="1" si="174"/>
        <v>2.2803545305911763E-2</v>
      </c>
      <c r="BR220" s="2" vm="7422">
        <f ca="1"/>
        <v>1204.6500000000001</v>
      </c>
      <c r="BS220" s="2">
        <f t="shared" ca="1" si="175"/>
        <v>-1.2933071355733623E-3</v>
      </c>
      <c r="BT220" s="2" vm="7423">
        <f ca="1"/>
        <v>158.66999999999999</v>
      </c>
      <c r="BU220" s="2">
        <f t="shared" ca="1" si="176"/>
        <v>-3.7800037800039235E-4</v>
      </c>
      <c r="BV220" s="2" vm="7424">
        <f ca="1"/>
        <v>149.63999999999999</v>
      </c>
      <c r="BW220" s="2">
        <f t="shared" ca="1" si="177"/>
        <v>4.430124848972994E-3</v>
      </c>
      <c r="BX220" s="2" vm="7425">
        <f ca="1"/>
        <v>252.19</v>
      </c>
      <c r="BY220" s="2">
        <f t="shared" ca="1" si="178"/>
        <v>5.0179062213708721E-2</v>
      </c>
      <c r="BZ220" s="2" vm="7426">
        <f ca="1"/>
        <v>90.89</v>
      </c>
      <c r="CA220" s="2">
        <f t="shared" ca="1" si="179"/>
        <v>2.8749292586304542E-2</v>
      </c>
      <c r="CB220" s="2" vm="2075">
        <f ca="1"/>
        <v>28.88</v>
      </c>
      <c r="CC220" s="2">
        <f t="shared" ca="1" si="180"/>
        <v>3.4383954154727697E-2</v>
      </c>
      <c r="CD220" s="2" t="e" vm="92">
        <f ca="1"/>
        <v>#N/A</v>
      </c>
      <c r="CE220" s="2" t="e" vm="140">
        <f t="shared" ca="1" si="181"/>
        <v>#N/A</v>
      </c>
      <c r="CF220" s="2" vm="4406">
        <f ca="1"/>
        <v>22.95</v>
      </c>
      <c r="CG220" s="2">
        <f t="shared" ca="1" si="182"/>
        <v>4.1566396849704165E-3</v>
      </c>
      <c r="CH220" s="2" vm="5348">
        <f ca="1"/>
        <v>58.77</v>
      </c>
      <c r="CI220" s="2">
        <f t="shared" ca="1" si="183"/>
        <v>2.0460358056266759E-3</v>
      </c>
      <c r="CJ220" s="2" vm="315">
        <f ca="1"/>
        <v>59.84</v>
      </c>
      <c r="CK220" s="2">
        <f t="shared" ca="1" si="184"/>
        <v>4.5324827933524107E-3</v>
      </c>
      <c r="CL220" s="2" vm="7427">
        <f ca="1"/>
        <v>55.53</v>
      </c>
      <c r="CM220" s="2">
        <f t="shared" ca="1" si="185"/>
        <v>7.2555777253763571E-3</v>
      </c>
      <c r="CN220" s="2" vm="3316">
        <f ca="1"/>
        <v>29.34</v>
      </c>
      <c r="CO220" s="2">
        <f t="shared" ca="1" si="186"/>
        <v>6.5180102915952413E-3</v>
      </c>
      <c r="CP220" s="2" vm="7428">
        <f ca="1"/>
        <v>21.816700000000001</v>
      </c>
      <c r="CQ220" s="2">
        <f t="shared" ca="1" si="187"/>
        <v>1.6886978894772222E-2</v>
      </c>
    </row>
    <row r="221" spans="1:95" x14ac:dyDescent="0.2">
      <c r="A221" s="7" vm="7429">
        <f ca="1"/>
        <v>45894</v>
      </c>
      <c r="B221" s="2" vm="7430">
        <f ca="1"/>
        <v>227.16</v>
      </c>
      <c r="C221" s="2">
        <f t="shared" ca="1" si="141"/>
        <v>-2.6343519494204178E-3</v>
      </c>
      <c r="D221" s="2" vm="7431">
        <f ca="1"/>
        <v>179.81</v>
      </c>
      <c r="E221" s="2">
        <f t="shared" ca="1" si="142"/>
        <v>1.0225293555817704E-2</v>
      </c>
      <c r="F221" s="2" vm="7432">
        <f ca="1"/>
        <v>504.26</v>
      </c>
      <c r="G221" s="2">
        <f t="shared" ca="1" si="143"/>
        <v>-5.8553319007157052E-3</v>
      </c>
      <c r="H221" s="2" vm="7433">
        <f ca="1"/>
        <v>753.3</v>
      </c>
      <c r="I221" s="2">
        <f t="shared" ca="1" si="144"/>
        <v>-1.9740590097908151E-3</v>
      </c>
      <c r="J221" s="2" vm="7434">
        <f ca="1"/>
        <v>208.49</v>
      </c>
      <c r="K221" s="2">
        <f t="shared" ca="1" si="145"/>
        <v>1.1645397641807005E-2</v>
      </c>
      <c r="L221" s="2" vm="7435">
        <f ca="1"/>
        <v>642.47</v>
      </c>
      <c r="M221" s="2">
        <f t="shared" ca="1" si="146"/>
        <v>-4.4009855728253371E-3</v>
      </c>
      <c r="N221" s="2" vm="7436">
        <f ca="1"/>
        <v>86.8</v>
      </c>
      <c r="O221" s="2">
        <f t="shared" ca="1" si="147"/>
        <v>-2.8719126938541069E-3</v>
      </c>
      <c r="P221" s="2" vm="7437">
        <f ca="1"/>
        <v>309.83</v>
      </c>
      <c r="Q221" s="2">
        <f t="shared" ca="1" si="148"/>
        <v>-2.4148367570352245E-3</v>
      </c>
      <c r="R221" s="2" vm="7438">
        <f ca="1"/>
        <v>75.75</v>
      </c>
      <c r="S221" s="2">
        <f t="shared" ca="1" si="149"/>
        <v>1.487138263665594E-2</v>
      </c>
      <c r="T221" s="2" vm="7439">
        <f ca="1"/>
        <v>95.58</v>
      </c>
      <c r="U221" s="2">
        <f t="shared" ca="1" si="150"/>
        <v>-1.9839198078730053E-3</v>
      </c>
      <c r="V221" s="2" vm="7440">
        <f ca="1"/>
        <v>47.195</v>
      </c>
      <c r="W221" s="2">
        <f t="shared" ca="1" si="151"/>
        <v>-1.0583130489998341E-3</v>
      </c>
      <c r="X221" s="2" vm="7441">
        <f ca="1"/>
        <v>133.88999999999999</v>
      </c>
      <c r="Y221" s="2">
        <f t="shared" ca="1" si="152"/>
        <v>-2.3099850968703599E-3</v>
      </c>
      <c r="Z221" s="2" vm="7442">
        <f ca="1"/>
        <v>88.37</v>
      </c>
      <c r="AA221" s="2">
        <f t="shared" ca="1" si="153"/>
        <v>2.6094849103699114E-3</v>
      </c>
      <c r="AB221" s="2" vm="7443">
        <f ca="1"/>
        <v>13.8</v>
      </c>
      <c r="AC221" s="2">
        <f t="shared" ca="1" si="154"/>
        <v>1.5452538631346642E-2</v>
      </c>
      <c r="AD221" s="2" vm="7444">
        <f ca="1"/>
        <v>4.79</v>
      </c>
      <c r="AE221" s="2">
        <f t="shared" ca="1" si="155"/>
        <v>-6.0784313725490126E-2</v>
      </c>
      <c r="AF221" s="2" vm="7445">
        <f ca="1"/>
        <v>35.020000000000003</v>
      </c>
      <c r="AG221" s="2">
        <f t="shared" ca="1" si="156"/>
        <v>-9.0548953027730691E-3</v>
      </c>
      <c r="AH221" s="2" vm="1818">
        <f ca="1"/>
        <v>27.58</v>
      </c>
      <c r="AI221" s="2">
        <f t="shared" ca="1" si="157"/>
        <v>-3.6245016310263004E-4</v>
      </c>
      <c r="AJ221" s="2" vm="7209">
        <f ca="1"/>
        <v>4.24</v>
      </c>
      <c r="AK221" s="2">
        <f t="shared" ca="1" si="158"/>
        <v>4.7393364928911049E-3</v>
      </c>
      <c r="AL221" s="2" vm="7446">
        <f ca="1"/>
        <v>66.64</v>
      </c>
      <c r="AM221" s="2">
        <f t="shared" ca="1" si="159"/>
        <v>-2.2458451864052352E-3</v>
      </c>
      <c r="AN221" s="2" vm="7447">
        <f ca="1"/>
        <v>122.25</v>
      </c>
      <c r="AO221" s="2">
        <f t="shared" ca="1" si="160"/>
        <v>-1.3953863526375253E-2</v>
      </c>
      <c r="AP221" s="2" vm="3516">
        <f ca="1"/>
        <v>26.82</v>
      </c>
      <c r="AQ221" s="2">
        <f t="shared" ca="1" si="161"/>
        <v>-1.1173184357542321E-3</v>
      </c>
      <c r="AR221" s="2" vm="674">
        <f ca="1"/>
        <v>51.07</v>
      </c>
      <c r="AS221" s="2">
        <f t="shared" ca="1" si="162"/>
        <v>3.9177277179242167E-4</v>
      </c>
      <c r="AT221" s="2" vm="6271">
        <f ca="1"/>
        <v>29.27</v>
      </c>
      <c r="AU221" s="2">
        <f t="shared" ca="1" si="163"/>
        <v>-3.4153005464486214E-4</v>
      </c>
      <c r="AV221" s="2" vm="634">
        <f ca="1"/>
        <v>26.26</v>
      </c>
      <c r="AW221" s="2">
        <f t="shared" ca="1" si="164"/>
        <v>-1.9004180919801278E-3</v>
      </c>
      <c r="AX221" s="2" vm="468">
        <f ca="1"/>
        <v>91.7</v>
      </c>
      <c r="AY221" s="2">
        <f t="shared" ca="1" si="165"/>
        <v>1.0906314756249445E-4</v>
      </c>
      <c r="AZ221" s="2" vm="7448">
        <f ca="1"/>
        <v>486.18</v>
      </c>
      <c r="BA221" s="2">
        <f t="shared" ca="1" si="166"/>
        <v>-5.7668711656441579E-3</v>
      </c>
      <c r="BB221" s="2" vm="7449">
        <f ca="1"/>
        <v>294.89999999999998</v>
      </c>
      <c r="BC221" s="2">
        <f t="shared" ca="1" si="167"/>
        <v>-4.5233594382933827E-3</v>
      </c>
      <c r="BD221" s="2" vm="7416">
        <f ca="1"/>
        <v>49.48</v>
      </c>
      <c r="BE221" s="2">
        <f t="shared" ca="1" si="168"/>
        <v>0</v>
      </c>
      <c r="BF221" s="2" vm="6148">
        <f ca="1"/>
        <v>111.74</v>
      </c>
      <c r="BG221" s="2">
        <f t="shared" ca="1" si="169"/>
        <v>4.1337167505391239E-3</v>
      </c>
      <c r="BH221" s="2" vm="7450">
        <f ca="1"/>
        <v>158.19999999999999</v>
      </c>
      <c r="BI221" s="2">
        <f t="shared" ca="1" si="170"/>
        <v>1.2643823492212549E-4</v>
      </c>
      <c r="BJ221" s="2" vm="7451">
        <f ca="1"/>
        <v>178.41</v>
      </c>
      <c r="BK221" s="2">
        <f t="shared" ca="1" si="171"/>
        <v>-4.9082492051982568E-3</v>
      </c>
      <c r="BL221" s="2" vm="7452">
        <f ca="1"/>
        <v>68.930000000000007</v>
      </c>
      <c r="BM221" s="2">
        <f t="shared" ca="1" si="172"/>
        <v>-1.7111079423926832E-2</v>
      </c>
      <c r="BN221" s="2" vm="7453">
        <f ca="1"/>
        <v>313.44</v>
      </c>
      <c r="BO221" s="2">
        <f t="shared" ca="1" si="173"/>
        <v>-2.0059222466329019E-3</v>
      </c>
      <c r="BP221" s="2" vm="7454">
        <f ca="1"/>
        <v>117.71</v>
      </c>
      <c r="BQ221" s="2">
        <f t="shared" ca="1" si="174"/>
        <v>-9.6752481911492987E-3</v>
      </c>
      <c r="BR221" s="2" vm="7455">
        <f ca="1"/>
        <v>1218.07</v>
      </c>
      <c r="BS221" s="2">
        <f t="shared" ca="1" si="175"/>
        <v>1.1140165193209517E-2</v>
      </c>
      <c r="BT221" s="2" vm="3388">
        <f ca="1"/>
        <v>156.15</v>
      </c>
      <c r="BU221" s="2">
        <f t="shared" ca="1" si="176"/>
        <v>-1.588201928530902E-2</v>
      </c>
      <c r="BV221" s="2" vm="7456">
        <f ca="1"/>
        <v>148.19999999999999</v>
      </c>
      <c r="BW221" s="2">
        <f t="shared" ca="1" si="177"/>
        <v>-9.6230954290296572E-3</v>
      </c>
      <c r="BX221" s="2" vm="7457">
        <f ca="1"/>
        <v>251.9</v>
      </c>
      <c r="BY221" s="2">
        <f t="shared" ca="1" si="178"/>
        <v>-1.1499266426106985E-3</v>
      </c>
      <c r="BZ221" s="2" vm="1204">
        <f ca="1"/>
        <v>91.63</v>
      </c>
      <c r="CA221" s="2">
        <f t="shared" ca="1" si="179"/>
        <v>8.1417097590493447E-3</v>
      </c>
      <c r="CB221" s="2" vm="596">
        <f ca="1"/>
        <v>29.15</v>
      </c>
      <c r="CC221" s="2">
        <f t="shared" ca="1" si="180"/>
        <v>9.3490304709141128E-3</v>
      </c>
      <c r="CD221" s="2" t="e" vm="92">
        <f ca="1"/>
        <v>#N/A</v>
      </c>
      <c r="CE221" s="2" t="e" vm="140">
        <f t="shared" ca="1" si="181"/>
        <v>#N/A</v>
      </c>
      <c r="CF221" s="2" vm="4099">
        <f ca="1"/>
        <v>22.914999999999999</v>
      </c>
      <c r="CG221" s="2">
        <f t="shared" ca="1" si="182"/>
        <v>-1.525054466230943E-3</v>
      </c>
      <c r="CH221" s="2" vm="7458">
        <f ca="1"/>
        <v>58.72</v>
      </c>
      <c r="CI221" s="2">
        <f t="shared" ca="1" si="183"/>
        <v>-8.5077420452619123E-4</v>
      </c>
      <c r="CJ221" s="2" vm="7459">
        <f ca="1"/>
        <v>59.76</v>
      </c>
      <c r="CK221" s="2">
        <f t="shared" ca="1" si="184"/>
        <v>-1.3368983957220153E-3</v>
      </c>
      <c r="CL221" s="2" vm="2394">
        <f ca="1"/>
        <v>55.41</v>
      </c>
      <c r="CM221" s="2">
        <f t="shared" ca="1" si="185"/>
        <v>-2.1609940572664245E-3</v>
      </c>
      <c r="CN221" s="2" vm="572">
        <f ca="1"/>
        <v>29.29</v>
      </c>
      <c r="CO221" s="2">
        <f t="shared" ca="1" si="186"/>
        <v>-1.7041581458759616E-3</v>
      </c>
      <c r="CP221" s="2" vm="7460">
        <f ca="1"/>
        <v>21.6632</v>
      </c>
      <c r="CQ221" s="2">
        <f t="shared" ca="1" si="187"/>
        <v>-7.0358945211696118E-3</v>
      </c>
    </row>
    <row r="222" spans="1:95" x14ac:dyDescent="0.2">
      <c r="A222" s="7" vm="7461">
        <f ca="1"/>
        <v>45895</v>
      </c>
      <c r="B222" s="2" vm="7462">
        <f ca="1"/>
        <v>229.31</v>
      </c>
      <c r="C222" s="2">
        <f t="shared" ca="1" si="141"/>
        <v>9.4646944884663048E-3</v>
      </c>
      <c r="D222" s="2" vm="7463">
        <f ca="1"/>
        <v>181.77</v>
      </c>
      <c r="E222" s="2">
        <f t="shared" ca="1" si="142"/>
        <v>1.0900394861242467E-2</v>
      </c>
      <c r="F222" s="2" vm="7464">
        <f ca="1"/>
        <v>502.04</v>
      </c>
      <c r="G222" s="2">
        <f t="shared" ca="1" si="143"/>
        <v>-4.4024907785665543E-3</v>
      </c>
      <c r="H222" s="2" vm="7465">
        <f ca="1"/>
        <v>754.1</v>
      </c>
      <c r="I222" s="2">
        <f t="shared" ca="1" si="144"/>
        <v>1.0619938935352029E-3</v>
      </c>
      <c r="J222" s="2" vm="7466">
        <f ca="1"/>
        <v>207.14</v>
      </c>
      <c r="K222" s="2">
        <f t="shared" ca="1" si="145"/>
        <v>-6.4751307017124208E-3</v>
      </c>
      <c r="L222" s="2" vm="7467">
        <f ca="1"/>
        <v>645.16</v>
      </c>
      <c r="M222" s="2">
        <f t="shared" ca="1" si="146"/>
        <v>4.1869659283701038E-3</v>
      </c>
      <c r="N222" s="2" vm="2912">
        <f ca="1"/>
        <v>86.75</v>
      </c>
      <c r="O222" s="2">
        <f t="shared" ca="1" si="147"/>
        <v>-5.7603686635941426E-4</v>
      </c>
      <c r="P222" s="2" vm="7468">
        <f ca="1"/>
        <v>312.08</v>
      </c>
      <c r="Q222" s="2">
        <f t="shared" ca="1" si="148"/>
        <v>7.2620469289610438E-3</v>
      </c>
      <c r="R222" s="2" vm="7469">
        <f ca="1"/>
        <v>74.05</v>
      </c>
      <c r="S222" s="2">
        <f t="shared" ca="1" si="149"/>
        <v>-2.2442244224422481E-2</v>
      </c>
      <c r="T222" s="2" vm="109">
        <f ca="1"/>
        <v>95.83</v>
      </c>
      <c r="U222" s="2">
        <f t="shared" ca="1" si="150"/>
        <v>2.6156099602427287E-3</v>
      </c>
      <c r="V222" s="2" vm="7470">
        <f ca="1"/>
        <v>47.36</v>
      </c>
      <c r="W222" s="2">
        <f t="shared" ca="1" si="151"/>
        <v>3.4961330649433023E-3</v>
      </c>
      <c r="X222" s="2" vm="7471">
        <f ca="1"/>
        <v>134.4</v>
      </c>
      <c r="Y222" s="2">
        <f t="shared" ca="1" si="152"/>
        <v>3.809097019941888E-3</v>
      </c>
      <c r="Z222" s="2" vm="1046">
        <f ca="1"/>
        <v>88.23</v>
      </c>
      <c r="AA222" s="2">
        <f t="shared" ca="1" si="153"/>
        <v>-1.5842480479800901E-3</v>
      </c>
      <c r="AB222" s="2" vm="3893">
        <f ca="1"/>
        <v>13.46</v>
      </c>
      <c r="AC222" s="2">
        <f t="shared" ca="1" si="154"/>
        <v>-2.4637681159420277E-2</v>
      </c>
      <c r="AD222" s="2" vm="6722">
        <f ca="1"/>
        <v>4.7</v>
      </c>
      <c r="AE222" s="2">
        <f t="shared" ca="1" si="155"/>
        <v>-1.8789144050104355E-2</v>
      </c>
      <c r="AF222" s="2" vm="7445">
        <f ca="1"/>
        <v>35.020000000000003</v>
      </c>
      <c r="AG222" s="2">
        <f t="shared" ca="1" si="156"/>
        <v>0</v>
      </c>
      <c r="AH222" s="2" vm="597">
        <f ca="1"/>
        <v>27.42</v>
      </c>
      <c r="AI222" s="2">
        <f t="shared" ca="1" si="157"/>
        <v>-5.8013052936909575E-3</v>
      </c>
      <c r="AJ222" s="2" vm="7038">
        <f ca="1"/>
        <v>4.25</v>
      </c>
      <c r="AK222" s="2">
        <f t="shared" ca="1" si="158"/>
        <v>2.3584905660376855E-3</v>
      </c>
      <c r="AL222" s="2" vm="7472">
        <f ca="1"/>
        <v>67.12</v>
      </c>
      <c r="AM222" s="2">
        <f t="shared" ca="1" si="159"/>
        <v>7.2028811524610442E-3</v>
      </c>
      <c r="AN222" s="2" vm="7473">
        <f ca="1"/>
        <v>123.22</v>
      </c>
      <c r="AO222" s="2">
        <f t="shared" ca="1" si="160"/>
        <v>7.9345603271983554E-3</v>
      </c>
      <c r="AP222" s="2" vm="5163">
        <f ca="1"/>
        <v>26.88</v>
      </c>
      <c r="AQ222" s="2">
        <f t="shared" ca="1" si="161"/>
        <v>2.237136465324337E-3</v>
      </c>
      <c r="AR222" s="2" vm="715">
        <f ca="1"/>
        <v>51.03</v>
      </c>
      <c r="AS222" s="2">
        <f t="shared" ca="1" si="162"/>
        <v>-7.8323869199136765E-4</v>
      </c>
      <c r="AT222" s="2" vm="443">
        <f ca="1"/>
        <v>29.3</v>
      </c>
      <c r="AU222" s="2">
        <f t="shared" ca="1" si="163"/>
        <v>1.024940211821016E-3</v>
      </c>
      <c r="AV222" s="2" vm="3119">
        <f ca="1"/>
        <v>26.24</v>
      </c>
      <c r="AW222" s="2">
        <f t="shared" ca="1" si="164"/>
        <v>-7.6161462300088068E-4</v>
      </c>
      <c r="AX222" s="2" vm="554">
        <f ca="1"/>
        <v>91.71</v>
      </c>
      <c r="AY222" s="2">
        <f t="shared" ca="1" si="165"/>
        <v>1.0905125408932285E-4</v>
      </c>
      <c r="AZ222" s="2" vm="7474">
        <f ca="1"/>
        <v>492.21</v>
      </c>
      <c r="BA222" s="2">
        <f t="shared" ca="1" si="166"/>
        <v>1.240281377267673E-2</v>
      </c>
      <c r="BB222" s="2" vm="518">
        <f ca="1"/>
        <v>298.57</v>
      </c>
      <c r="BC222" s="2">
        <f t="shared" ca="1" si="167"/>
        <v>1.2444896575110262E-2</v>
      </c>
      <c r="BD222" s="2" vm="7475">
        <f ca="1"/>
        <v>50.25</v>
      </c>
      <c r="BE222" s="2">
        <f t="shared" ca="1" si="168"/>
        <v>1.5561843168957219E-2</v>
      </c>
      <c r="BF222" s="2" vm="7476">
        <f ca="1"/>
        <v>111.49</v>
      </c>
      <c r="BG222" s="2">
        <f t="shared" ca="1" si="169"/>
        <v>-2.2373366744227671E-3</v>
      </c>
      <c r="BH222" s="2" vm="7477">
        <f ca="1"/>
        <v>157.36000000000001</v>
      </c>
      <c r="BI222" s="2">
        <f t="shared" ca="1" si="170"/>
        <v>-5.3097345132741783E-3</v>
      </c>
      <c r="BJ222" s="2" vm="7478">
        <f ca="1"/>
        <v>176.49</v>
      </c>
      <c r="BK222" s="2">
        <f t="shared" ca="1" si="171"/>
        <v>-1.0761728602656732E-2</v>
      </c>
      <c r="BL222" s="2" vm="5359">
        <f ca="1"/>
        <v>68.73</v>
      </c>
      <c r="BM222" s="2">
        <f t="shared" ca="1" si="172"/>
        <v>-2.9014942695488586E-3</v>
      </c>
      <c r="BN222" s="2" vm="7479">
        <f ca="1"/>
        <v>312.94</v>
      </c>
      <c r="BO222" s="2">
        <f t="shared" ca="1" si="173"/>
        <v>-1.5952016334864728E-3</v>
      </c>
      <c r="BP222" s="2" vm="7480">
        <f ca="1"/>
        <v>117.65</v>
      </c>
      <c r="BQ222" s="2">
        <f t="shared" ca="1" si="174"/>
        <v>-5.0972729589659387E-4</v>
      </c>
      <c r="BR222" s="2" vm="7481">
        <f ca="1"/>
        <v>1226.0899999999999</v>
      </c>
      <c r="BS222" s="2">
        <f t="shared" ca="1" si="175"/>
        <v>6.5841864589062877E-3</v>
      </c>
      <c r="BT222" s="2" vm="7482">
        <f ca="1"/>
        <v>155.97</v>
      </c>
      <c r="BU222" s="2">
        <f t="shared" ca="1" si="176"/>
        <v>-1.1527377521614269E-3</v>
      </c>
      <c r="BV222" s="2" vm="7483">
        <f ca="1"/>
        <v>147</v>
      </c>
      <c r="BW222" s="2">
        <f t="shared" ca="1" si="177"/>
        <v>-8.0971659919027578E-3</v>
      </c>
      <c r="BX222" s="2" vm="7484">
        <f ca="1"/>
        <v>249.13</v>
      </c>
      <c r="BY222" s="2">
        <f t="shared" ca="1" si="178"/>
        <v>-1.0996427153632434E-2</v>
      </c>
      <c r="BZ222" s="2" vm="1592">
        <f ca="1"/>
        <v>91.47</v>
      </c>
      <c r="CA222" s="2">
        <f t="shared" ca="1" si="179"/>
        <v>-1.7461530066571712E-3</v>
      </c>
      <c r="CB222" s="2" vm="885">
        <f ca="1"/>
        <v>29.02</v>
      </c>
      <c r="CC222" s="2">
        <f t="shared" ca="1" si="180"/>
        <v>-4.4596912521440487E-3</v>
      </c>
      <c r="CD222" s="2" t="e" vm="92">
        <f ca="1"/>
        <v>#N/A</v>
      </c>
      <c r="CE222" s="2" t="e" vm="140">
        <f t="shared" ca="1" si="181"/>
        <v>#N/A</v>
      </c>
      <c r="CF222" s="2" vm="4406">
        <f ca="1"/>
        <v>22.95</v>
      </c>
      <c r="CG222" s="2">
        <f t="shared" ca="1" si="182"/>
        <v>1.5273838097316231E-3</v>
      </c>
      <c r="CH222" s="2" vm="1803">
        <f ca="1"/>
        <v>58.79</v>
      </c>
      <c r="CI222" s="2">
        <f t="shared" ca="1" si="183"/>
        <v>1.1920980926430566E-3</v>
      </c>
      <c r="CJ222" s="2" vm="4475">
        <f ca="1"/>
        <v>59.9</v>
      </c>
      <c r="CK222" s="2">
        <f t="shared" ca="1" si="184"/>
        <v>2.3427041499330752E-3</v>
      </c>
      <c r="CL222" s="2" vm="7485">
        <f ca="1"/>
        <v>55.4</v>
      </c>
      <c r="CM222" s="2">
        <f t="shared" ca="1" si="185"/>
        <v>-1.8047283883771903E-4</v>
      </c>
      <c r="CN222" s="2" vm="1647">
        <f ca="1"/>
        <v>29.31</v>
      </c>
      <c r="CO222" s="2">
        <f t="shared" ca="1" si="186"/>
        <v>6.8282690337997866E-4</v>
      </c>
      <c r="CP222" s="2" vm="7486">
        <f ca="1"/>
        <v>21.565300000000001</v>
      </c>
      <c r="CQ222" s="2">
        <f t="shared" ca="1" si="187"/>
        <v>-4.5191846079987823E-3</v>
      </c>
    </row>
    <row r="223" spans="1:95" x14ac:dyDescent="0.2">
      <c r="A223" s="7" vm="7487">
        <f ca="1"/>
        <v>45896</v>
      </c>
      <c r="B223" s="2" vm="7488">
        <f ca="1"/>
        <v>230.49</v>
      </c>
      <c r="C223" s="2">
        <f t="shared" ca="1" si="141"/>
        <v>5.1458723998081494E-3</v>
      </c>
      <c r="D223" s="2" vm="7489">
        <f ca="1"/>
        <v>181.6</v>
      </c>
      <c r="E223" s="2">
        <f t="shared" ca="1" si="142"/>
        <v>-9.3524784067786711E-4</v>
      </c>
      <c r="F223" s="2" vm="7490">
        <f ca="1"/>
        <v>506.74</v>
      </c>
      <c r="G223" s="2">
        <f t="shared" ca="1" si="143"/>
        <v>9.3618038403314244E-3</v>
      </c>
      <c r="H223" s="2" vm="7491">
        <f ca="1"/>
        <v>747.38</v>
      </c>
      <c r="I223" s="2">
        <f t="shared" ca="1" si="144"/>
        <v>-8.9112849754674813E-3</v>
      </c>
      <c r="J223" s="2" vm="7492">
        <f ca="1"/>
        <v>207.48</v>
      </c>
      <c r="K223" s="2">
        <f t="shared" ca="1" si="145"/>
        <v>1.6414019503717459E-3</v>
      </c>
      <c r="L223" s="2" vm="7493">
        <f ca="1"/>
        <v>646.63</v>
      </c>
      <c r="M223" s="2">
        <f t="shared" ca="1" si="146"/>
        <v>2.2785045570091565E-3</v>
      </c>
      <c r="N223" s="2" vm="6078">
        <f ca="1"/>
        <v>86.65</v>
      </c>
      <c r="O223" s="2">
        <f t="shared" ca="1" si="147"/>
        <v>-1.1527377521613179E-3</v>
      </c>
      <c r="P223" s="2" vm="7494">
        <f ca="1"/>
        <v>312.70999999999998</v>
      </c>
      <c r="Q223" s="2">
        <f t="shared" ca="1" si="148"/>
        <v>2.018713150474223E-3</v>
      </c>
      <c r="R223" s="2" vm="7495">
        <f ca="1"/>
        <v>74.680000000000007</v>
      </c>
      <c r="S223" s="2">
        <f t="shared" ca="1" si="149"/>
        <v>8.5077650236328115E-3</v>
      </c>
      <c r="T223" s="2" vm="7496">
        <f ca="1"/>
        <v>96.01</v>
      </c>
      <c r="U223" s="2">
        <f t="shared" ca="1" si="150"/>
        <v>1.8783262026505982E-3</v>
      </c>
      <c r="V223" s="2" vm="7497">
        <f ca="1"/>
        <v>47.284999999999997</v>
      </c>
      <c r="W223" s="2">
        <f t="shared" ca="1" si="151"/>
        <v>-1.5836148648649248E-3</v>
      </c>
      <c r="X223" s="2" vm="277">
        <f ca="1"/>
        <v>135.72</v>
      </c>
      <c r="Y223" s="2">
        <f t="shared" ca="1" si="152"/>
        <v>9.8214285714285209E-3</v>
      </c>
      <c r="Z223" s="2" vm="1918">
        <f ca="1"/>
        <v>89.22</v>
      </c>
      <c r="AA223" s="2">
        <f t="shared" ca="1" si="153"/>
        <v>1.1220673240394365E-2</v>
      </c>
      <c r="AB223" s="2" vm="6513">
        <f ca="1"/>
        <v>13.58</v>
      </c>
      <c r="AC223" s="2">
        <f t="shared" ca="1" si="154"/>
        <v>8.9153046062406538E-3</v>
      </c>
      <c r="AD223" s="2" vm="6722">
        <f ca="1"/>
        <v>4.7</v>
      </c>
      <c r="AE223" s="2">
        <f t="shared" ca="1" si="155"/>
        <v>0</v>
      </c>
      <c r="AF223" s="2" vm="7498">
        <f ca="1"/>
        <v>34.99</v>
      </c>
      <c r="AG223" s="2">
        <f t="shared" ca="1" si="156"/>
        <v>-8.5665334094806207E-4</v>
      </c>
      <c r="AH223" s="2" vm="3186">
        <f ca="1"/>
        <v>27.68</v>
      </c>
      <c r="AI223" s="2">
        <f t="shared" ca="1" si="157"/>
        <v>9.4821298322391688E-3</v>
      </c>
      <c r="AJ223" s="2" vm="7180">
        <f ca="1"/>
        <v>4.22</v>
      </c>
      <c r="AK223" s="2">
        <f t="shared" ca="1" si="158"/>
        <v>-7.0588235294118231E-3</v>
      </c>
      <c r="AL223" s="2" vm="7499">
        <f ca="1"/>
        <v>67.25</v>
      </c>
      <c r="AM223" s="2">
        <f t="shared" ca="1" si="159"/>
        <v>1.9368295589987402E-3</v>
      </c>
      <c r="AN223" s="2" vm="6377">
        <f ca="1"/>
        <v>122.98</v>
      </c>
      <c r="AO223" s="2">
        <f t="shared" ca="1" si="160"/>
        <v>-1.9477357571822341E-3</v>
      </c>
      <c r="AP223" s="2" vm="2372">
        <f ca="1"/>
        <v>26.93</v>
      </c>
      <c r="AQ223" s="2">
        <f t="shared" ca="1" si="161"/>
        <v>1.8601190476190742E-3</v>
      </c>
      <c r="AR223" s="2" vm="1517">
        <f ca="1"/>
        <v>51.05</v>
      </c>
      <c r="AS223" s="2">
        <f t="shared" ca="1" si="162"/>
        <v>3.9192631785216577E-4</v>
      </c>
      <c r="AT223" s="2" vm="1647">
        <f ca="1"/>
        <v>29.31</v>
      </c>
      <c r="AU223" s="2">
        <f t="shared" ca="1" si="163"/>
        <v>3.4129692832757713E-4</v>
      </c>
      <c r="AV223" s="2" vm="884">
        <f ca="1"/>
        <v>26.23</v>
      </c>
      <c r="AW223" s="2">
        <f t="shared" ca="1" si="164"/>
        <v>-3.8109756097553398E-4</v>
      </c>
      <c r="AX223" s="2" vm="1406">
        <f ca="1"/>
        <v>91.72</v>
      </c>
      <c r="AY223" s="2">
        <f t="shared" ca="1" si="165"/>
        <v>1.0903936321017465E-4</v>
      </c>
      <c r="AZ223" s="2" vm="7500">
        <f ca="1"/>
        <v>495.72</v>
      </c>
      <c r="BA223" s="2">
        <f t="shared" ca="1" si="166"/>
        <v>7.1311025781679522E-3</v>
      </c>
      <c r="BB223" s="2" vm="7501">
        <f ca="1"/>
        <v>299.27999999999997</v>
      </c>
      <c r="BC223" s="2">
        <f t="shared" ca="1" si="167"/>
        <v>2.3780018086210254E-3</v>
      </c>
      <c r="BD223" s="2" vm="7502">
        <f ca="1"/>
        <v>50.38</v>
      </c>
      <c r="BE223" s="2">
        <f t="shared" ca="1" si="168"/>
        <v>2.5870646766169665E-3</v>
      </c>
      <c r="BF223" s="2" vm="7503">
        <f ca="1"/>
        <v>112.75</v>
      </c>
      <c r="BG223" s="2">
        <f t="shared" ca="1" si="169"/>
        <v>1.1301462014530498E-2</v>
      </c>
      <c r="BH223" s="2" vm="7504">
        <f ca="1"/>
        <v>159.24</v>
      </c>
      <c r="BI223" s="2">
        <f t="shared" ca="1" si="170"/>
        <v>1.1947127605490564E-2</v>
      </c>
      <c r="BJ223" s="2" vm="6419">
        <f ca="1"/>
        <v>176.79</v>
      </c>
      <c r="BK223" s="2">
        <f t="shared" ca="1" si="171"/>
        <v>1.6998130205676408E-3</v>
      </c>
      <c r="BL223" s="2" vm="7505">
        <f ca="1"/>
        <v>68.83</v>
      </c>
      <c r="BM223" s="2">
        <f t="shared" ca="1" si="172"/>
        <v>1.4549687181724764E-3</v>
      </c>
      <c r="BN223" s="2" vm="7506">
        <f ca="1"/>
        <v>311.43</v>
      </c>
      <c r="BO223" s="2">
        <f t="shared" ca="1" si="173"/>
        <v>-4.8252061097973763E-3</v>
      </c>
      <c r="BP223" s="2" vm="7507">
        <f ca="1"/>
        <v>118.09</v>
      </c>
      <c r="BQ223" s="2">
        <f t="shared" ca="1" si="174"/>
        <v>3.739906502337422E-3</v>
      </c>
      <c r="BR223" s="2" vm="7508">
        <f ca="1"/>
        <v>1223.5</v>
      </c>
      <c r="BS223" s="2">
        <f t="shared" ca="1" si="175"/>
        <v>-2.1124061039564128E-3</v>
      </c>
      <c r="BT223" s="2" vm="7509">
        <f ca="1"/>
        <v>156.96</v>
      </c>
      <c r="BU223" s="2">
        <f t="shared" ca="1" si="176"/>
        <v>6.3473744950952688E-3</v>
      </c>
      <c r="BV223" s="2" vm="7510">
        <f ca="1"/>
        <v>147.63999999999999</v>
      </c>
      <c r="BW223" s="2">
        <f t="shared" ca="1" si="177"/>
        <v>4.3537414965985465E-3</v>
      </c>
      <c r="BX223" s="2" vm="746">
        <f ca="1"/>
        <v>253.51</v>
      </c>
      <c r="BY223" s="2">
        <f t="shared" ca="1" si="178"/>
        <v>1.7581182515152713E-2</v>
      </c>
      <c r="BZ223" s="2" vm="7511">
        <f ca="1"/>
        <v>92.55</v>
      </c>
      <c r="CA223" s="2">
        <f t="shared" ca="1" si="179"/>
        <v>1.1807149885208246E-2</v>
      </c>
      <c r="CB223" s="2" vm="4698">
        <f ca="1"/>
        <v>29.41</v>
      </c>
      <c r="CC223" s="2">
        <f t="shared" ca="1" si="180"/>
        <v>1.3439007580978655E-2</v>
      </c>
      <c r="CD223" s="2" t="e" vm="92">
        <f ca="1"/>
        <v>#N/A</v>
      </c>
      <c r="CE223" s="2" t="e" vm="140">
        <f t="shared" ca="1" si="181"/>
        <v>#N/A</v>
      </c>
      <c r="CF223" s="2" vm="7022">
        <f ca="1"/>
        <v>22.965</v>
      </c>
      <c r="CG223" s="2">
        <f t="shared" ca="1" si="182"/>
        <v>6.5359477124185485E-4</v>
      </c>
      <c r="CH223" s="2" vm="735">
        <f ca="1"/>
        <v>58.83</v>
      </c>
      <c r="CI223" s="2">
        <f t="shared" ca="1" si="183"/>
        <v>6.803878210579886E-4</v>
      </c>
      <c r="CJ223" s="2" vm="7512">
        <f ca="1"/>
        <v>60</v>
      </c>
      <c r="CK223" s="2">
        <f t="shared" ca="1" si="184"/>
        <v>1.6694490818030287E-3</v>
      </c>
      <c r="CL223" s="2" vm="2823">
        <f ca="1"/>
        <v>55.36</v>
      </c>
      <c r="CM223" s="2">
        <f t="shared" ca="1" si="185"/>
        <v>-7.2202166064980417E-4</v>
      </c>
      <c r="CN223" s="2" vm="4979">
        <f ca="1"/>
        <v>29.32</v>
      </c>
      <c r="CO223" s="2">
        <f t="shared" ca="1" si="186"/>
        <v>3.4118048447634132E-4</v>
      </c>
      <c r="CP223" s="2" vm="7513">
        <f ca="1"/>
        <v>21.726700000000001</v>
      </c>
      <c r="CQ223" s="2">
        <f t="shared" ca="1" si="187"/>
        <v>7.4842455240595046E-3</v>
      </c>
    </row>
    <row r="224" spans="1:95" x14ac:dyDescent="0.2">
      <c r="A224" s="7" vm="7514">
        <f ca="1"/>
        <v>45897</v>
      </c>
      <c r="B224" s="2" vm="7515">
        <f ca="1"/>
        <v>232.56</v>
      </c>
      <c r="C224" s="2">
        <f t="shared" ca="1" si="141"/>
        <v>8.9808668488871243E-3</v>
      </c>
      <c r="D224" s="2" vm="7516">
        <f ca="1"/>
        <v>180.17</v>
      </c>
      <c r="E224" s="2">
        <f t="shared" ca="1" si="142"/>
        <v>-7.8744493392070864E-3</v>
      </c>
      <c r="F224" s="2" vm="7517">
        <f ca="1"/>
        <v>509.64</v>
      </c>
      <c r="G224" s="2">
        <f t="shared" ca="1" si="143"/>
        <v>5.722855902435129E-3</v>
      </c>
      <c r="H224" s="2" vm="7518">
        <f ca="1"/>
        <v>751.11</v>
      </c>
      <c r="I224" s="2">
        <f t="shared" ca="1" si="144"/>
        <v>4.990767748668707E-3</v>
      </c>
      <c r="J224" s="2" vm="7519">
        <f ca="1"/>
        <v>211.64</v>
      </c>
      <c r="K224" s="2">
        <f t="shared" ca="1" si="145"/>
        <v>2.0050125313283193E-2</v>
      </c>
      <c r="L224" s="2" vm="7520">
        <f ca="1"/>
        <v>648.91999999999996</v>
      </c>
      <c r="M224" s="2">
        <f t="shared" ca="1" si="146"/>
        <v>3.5414379165828428E-3</v>
      </c>
      <c r="N224" s="2" vm="2866">
        <f ca="1"/>
        <v>87.22</v>
      </c>
      <c r="O224" s="2">
        <f t="shared" ca="1" si="147"/>
        <v>6.5781881130985934E-3</v>
      </c>
      <c r="P224" s="2" vm="7521">
        <f ca="1"/>
        <v>315.02999999999997</v>
      </c>
      <c r="Q224" s="2">
        <f t="shared" ca="1" si="148"/>
        <v>7.4190144223081874E-3</v>
      </c>
      <c r="R224" s="2" vm="7522">
        <f ca="1"/>
        <v>75.239999999999995</v>
      </c>
      <c r="S224" s="2">
        <f t="shared" ca="1" si="149"/>
        <v>7.4986609534010177E-3</v>
      </c>
      <c r="T224" s="2" vm="7523">
        <f ca="1"/>
        <v>96.23</v>
      </c>
      <c r="U224" s="2">
        <f t="shared" ca="1" si="150"/>
        <v>2.2914279762524616E-3</v>
      </c>
      <c r="V224" s="2" vm="7524">
        <f ca="1"/>
        <v>47.336199999999998</v>
      </c>
      <c r="W224" s="2">
        <f t="shared" ca="1" si="151"/>
        <v>1.0827958126255995E-3</v>
      </c>
      <c r="X224" s="2" vm="7525">
        <f ca="1"/>
        <v>136.38999999999999</v>
      </c>
      <c r="Y224" s="2">
        <f t="shared" ca="1" si="152"/>
        <v>4.936634246978982E-3</v>
      </c>
      <c r="Z224" s="2" vm="7526">
        <f ca="1"/>
        <v>89.9</v>
      </c>
      <c r="AA224" s="2">
        <f t="shared" ca="1" si="153"/>
        <v>7.6216095045954588E-3</v>
      </c>
      <c r="AB224" s="2" vm="6571">
        <f ca="1"/>
        <v>13.68</v>
      </c>
      <c r="AC224" s="2">
        <f t="shared" ca="1" si="154"/>
        <v>7.3637702503681624E-3</v>
      </c>
      <c r="AD224" s="2" vm="2874">
        <f ca="1"/>
        <v>4.5999999999999996</v>
      </c>
      <c r="AE224" s="2">
        <f t="shared" ca="1" si="155"/>
        <v>-2.1276595744680965E-2</v>
      </c>
      <c r="AF224" s="2" vm="7527">
        <f ca="1"/>
        <v>35.520000000000003</v>
      </c>
      <c r="AG224" s="2">
        <f t="shared" ca="1" si="156"/>
        <v>1.514718490997431E-2</v>
      </c>
      <c r="AH224" s="2" vm="4427">
        <f ca="1"/>
        <v>27.52</v>
      </c>
      <c r="AI224" s="2">
        <f t="shared" ca="1" si="157"/>
        <v>-5.7803468208092535E-3</v>
      </c>
      <c r="AJ224" s="2" vm="7209">
        <f ca="1"/>
        <v>4.24</v>
      </c>
      <c r="AK224" s="2">
        <f t="shared" ca="1" si="158"/>
        <v>4.7393364928911049E-3</v>
      </c>
      <c r="AL224" s="2" vm="7528">
        <f ca="1"/>
        <v>67.739999999999995</v>
      </c>
      <c r="AM224" s="2">
        <f t="shared" ca="1" si="159"/>
        <v>7.2862453531597751E-3</v>
      </c>
      <c r="AN224" s="2" vm="6207">
        <f ca="1"/>
        <v>124.05</v>
      </c>
      <c r="AO224" s="2">
        <f t="shared" ca="1" si="160"/>
        <v>8.7006017238574814E-3</v>
      </c>
      <c r="AP224" s="2" vm="1325">
        <f ca="1"/>
        <v>26.95</v>
      </c>
      <c r="AQ224" s="2">
        <f t="shared" ca="1" si="161"/>
        <v>7.4266617155586978E-4</v>
      </c>
      <c r="AR224" s="2" vm="1404">
        <f ca="1"/>
        <v>51.04</v>
      </c>
      <c r="AS224" s="2">
        <f t="shared" ca="1" si="162"/>
        <v>-1.9588638589614126E-4</v>
      </c>
      <c r="AT224" s="2" vm="4979">
        <f ca="1"/>
        <v>29.32</v>
      </c>
      <c r="AU224" s="2">
        <f t="shared" ca="1" si="163"/>
        <v>3.4118048447634132E-4</v>
      </c>
      <c r="AV224" s="2" vm="2946">
        <f ca="1"/>
        <v>26.38</v>
      </c>
      <c r="AW224" s="2">
        <f t="shared" ca="1" si="164"/>
        <v>5.7186427754479059E-3</v>
      </c>
      <c r="AX224" s="2" vm="1442">
        <f ca="1"/>
        <v>91.73</v>
      </c>
      <c r="AY224" s="2">
        <f t="shared" ca="1" si="165"/>
        <v>1.0902747492373655E-4</v>
      </c>
      <c r="AZ224" s="2" vm="7529">
        <f ca="1"/>
        <v>499.86</v>
      </c>
      <c r="BA224" s="2">
        <f t="shared" ca="1" si="166"/>
        <v>8.3514887436455781E-3</v>
      </c>
      <c r="BB224" s="2" vm="7530">
        <f ca="1"/>
        <v>301.07</v>
      </c>
      <c r="BC224" s="2">
        <f t="shared" ca="1" si="167"/>
        <v>5.9810211173483719E-3</v>
      </c>
      <c r="BD224" s="2" vm="7531">
        <f ca="1"/>
        <v>50.49</v>
      </c>
      <c r="BE224" s="2">
        <f t="shared" ca="1" si="168"/>
        <v>2.1834061135371065E-3</v>
      </c>
      <c r="BF224" s="2" vm="7532">
        <f ca="1"/>
        <v>113.35</v>
      </c>
      <c r="BG224" s="2">
        <f t="shared" ca="1" si="169"/>
        <v>5.3215077605321005E-3</v>
      </c>
      <c r="BH224" s="2" vm="6313">
        <f ca="1"/>
        <v>159.32</v>
      </c>
      <c r="BI224" s="2">
        <f t="shared" ca="1" si="170"/>
        <v>5.0238633509158551E-4</v>
      </c>
      <c r="BJ224" s="2" vm="7533">
        <f ca="1"/>
        <v>175.45</v>
      </c>
      <c r="BK224" s="2">
        <f t="shared" ca="1" si="171"/>
        <v>-7.5796142315742035E-3</v>
      </c>
      <c r="BL224" s="2" vm="7534">
        <f ca="1"/>
        <v>68.36</v>
      </c>
      <c r="BM224" s="2">
        <f t="shared" ca="1" si="172"/>
        <v>-6.8284178410576617E-3</v>
      </c>
      <c r="BN224" s="2" vm="7535">
        <f ca="1"/>
        <v>312.22000000000003</v>
      </c>
      <c r="BO224" s="2">
        <f t="shared" ca="1" si="173"/>
        <v>2.5366856115339579E-3</v>
      </c>
      <c r="BP224" s="2" vm="7536">
        <f ca="1"/>
        <v>117.64</v>
      </c>
      <c r="BQ224" s="2">
        <f t="shared" ca="1" si="174"/>
        <v>-3.810652891862163E-3</v>
      </c>
      <c r="BR224" s="2" vm="7537">
        <f ca="1"/>
        <v>1231.45</v>
      </c>
      <c r="BS224" s="2">
        <f t="shared" ca="1" si="175"/>
        <v>6.4977523498161386E-3</v>
      </c>
      <c r="BT224" s="2" vm="2881">
        <f ca="1"/>
        <v>155.65</v>
      </c>
      <c r="BU224" s="2">
        <f t="shared" ca="1" si="176"/>
        <v>-8.3460754332314105E-3</v>
      </c>
      <c r="BV224" s="2" vm="7538">
        <f ca="1"/>
        <v>146.97999999999999</v>
      </c>
      <c r="BW224" s="2">
        <f t="shared" ca="1" si="177"/>
        <v>-4.4703332430235483E-3</v>
      </c>
      <c r="BX224" s="2" vm="7539">
        <f ca="1"/>
        <v>256.11</v>
      </c>
      <c r="BY224" s="2">
        <f t="shared" ca="1" si="178"/>
        <v>1.025600568024939E-2</v>
      </c>
      <c r="BZ224" s="2" vm="5540">
        <f ca="1"/>
        <v>93.5</v>
      </c>
      <c r="CA224" s="2">
        <f t="shared" ca="1" si="179"/>
        <v>1.0264721772015158E-2</v>
      </c>
      <c r="CB224" s="2" vm="7540">
        <f ca="1"/>
        <v>29.776700000000002</v>
      </c>
      <c r="CC224" s="2">
        <f t="shared" ca="1" si="180"/>
        <v>1.2468548112886826E-2</v>
      </c>
      <c r="CD224" s="2" t="e" vm="92">
        <f ca="1"/>
        <v>#N/A</v>
      </c>
      <c r="CE224" s="2" t="e" vm="140">
        <f t="shared" ca="1" si="181"/>
        <v>#N/A</v>
      </c>
      <c r="CF224" s="2" vm="7541">
        <f ca="1"/>
        <v>23.004999999999999</v>
      </c>
      <c r="CG224" s="2">
        <f t="shared" ca="1" si="182"/>
        <v>1.7417809710428543E-3</v>
      </c>
      <c r="CH224" s="2" vm="5561">
        <f ca="1"/>
        <v>58.81</v>
      </c>
      <c r="CI224" s="2">
        <f t="shared" ca="1" si="183"/>
        <v>-3.3996260411347986E-4</v>
      </c>
      <c r="CJ224" s="2" vm="7542">
        <f ca="1"/>
        <v>60.06</v>
      </c>
      <c r="CK224" s="2">
        <f t="shared" ca="1" si="184"/>
        <v>1.000000000000038E-3</v>
      </c>
      <c r="CL224" s="2" vm="6223">
        <f ca="1"/>
        <v>55.68</v>
      </c>
      <c r="CM224" s="2">
        <f t="shared" ca="1" si="185"/>
        <v>5.7803468208092535E-3</v>
      </c>
      <c r="CN224" s="2" vm="3150">
        <f ca="1"/>
        <v>29.35</v>
      </c>
      <c r="CO224" s="2">
        <f t="shared" ca="1" si="186"/>
        <v>1.0231923601637495E-3</v>
      </c>
      <c r="CP224" s="2" vm="7543">
        <f ca="1"/>
        <v>21.633900000000001</v>
      </c>
      <c r="CQ224" s="2">
        <f t="shared" ca="1" si="187"/>
        <v>-4.2712422963450698E-3</v>
      </c>
    </row>
    <row r="225" spans="1:95" x14ac:dyDescent="0.2">
      <c r="A225" s="7" vm="7544">
        <f ca="1"/>
        <v>45898</v>
      </c>
      <c r="B225" s="2" vm="7545">
        <f ca="1"/>
        <v>232.14</v>
      </c>
      <c r="C225" s="2">
        <f t="shared" ca="1" si="141"/>
        <v>-1.8059855521156516E-3</v>
      </c>
      <c r="D225" s="2" vm="7546">
        <f ca="1"/>
        <v>174.18</v>
      </c>
      <c r="E225" s="2">
        <f t="shared" ca="1" si="142"/>
        <v>-3.3246378420380647E-2</v>
      </c>
      <c r="F225" s="2" vm="7547">
        <f ca="1"/>
        <v>506.69</v>
      </c>
      <c r="G225" s="2">
        <f t="shared" ca="1" si="143"/>
        <v>-5.7883996546581676E-3</v>
      </c>
      <c r="H225" s="2" vm="7548">
        <f ca="1"/>
        <v>738.7</v>
      </c>
      <c r="I225" s="2">
        <f t="shared" ca="1" si="144"/>
        <v>-1.6522213790257045E-2</v>
      </c>
      <c r="J225" s="2" vm="7549">
        <f ca="1"/>
        <v>212.91</v>
      </c>
      <c r="K225" s="2">
        <f t="shared" ca="1" si="145"/>
        <v>6.0007560007560492E-3</v>
      </c>
      <c r="L225" s="2" vm="5660">
        <f ca="1"/>
        <v>645.04999999999995</v>
      </c>
      <c r="M225" s="2">
        <f t="shared" ca="1" si="146"/>
        <v>-5.9637551624237266E-3</v>
      </c>
      <c r="N225" s="2" vm="7550">
        <f ca="1"/>
        <v>86.6</v>
      </c>
      <c r="O225" s="2">
        <f t="shared" ca="1" si="147"/>
        <v>-7.1084613620729714E-3</v>
      </c>
      <c r="P225" s="2" vm="7551">
        <f ca="1"/>
        <v>318.07</v>
      </c>
      <c r="Q225" s="2">
        <f t="shared" ca="1" si="148"/>
        <v>9.6498746151160858E-3</v>
      </c>
      <c r="R225" s="2" vm="7552">
        <f ca="1"/>
        <v>74.84</v>
      </c>
      <c r="S225" s="2">
        <f t="shared" ca="1" si="149"/>
        <v>-5.3163211057946774E-3</v>
      </c>
      <c r="T225" s="2" vm="7553">
        <f ca="1"/>
        <v>96.15</v>
      </c>
      <c r="U225" s="2">
        <f t="shared" ca="1" si="150"/>
        <v>-8.3134157747062544E-4</v>
      </c>
      <c r="V225" s="2" vm="7554">
        <f ca="1"/>
        <v>47.293700000000001</v>
      </c>
      <c r="W225" s="2">
        <f t="shared" ca="1" si="151"/>
        <v>-8.9783294814532798E-4</v>
      </c>
      <c r="X225" s="2" vm="7555">
        <f ca="1"/>
        <v>136.22999999999999</v>
      </c>
      <c r="Y225" s="2">
        <f t="shared" ca="1" si="152"/>
        <v>-1.1731065327369792E-3</v>
      </c>
      <c r="Z225" s="2" vm="1392">
        <f ca="1"/>
        <v>90.39</v>
      </c>
      <c r="AA225" s="2">
        <f t="shared" ca="1" si="153"/>
        <v>5.4505005561734689E-3</v>
      </c>
      <c r="AB225" s="2" vm="7556">
        <f ca="1"/>
        <v>13.62</v>
      </c>
      <c r="AC225" s="2">
        <f t="shared" ca="1" si="154"/>
        <v>-4.3859649122807379E-3</v>
      </c>
      <c r="AD225" s="2" vm="2874">
        <f ca="1"/>
        <v>4.5999999999999996</v>
      </c>
      <c r="AE225" s="2">
        <f t="shared" ca="1" si="155"/>
        <v>0</v>
      </c>
      <c r="AF225" s="2" vm="7557">
        <f ca="1"/>
        <v>36.19</v>
      </c>
      <c r="AG225" s="2">
        <f t="shared" ca="1" si="156"/>
        <v>1.8862612612612458E-2</v>
      </c>
      <c r="AH225" s="2" vm="2839">
        <f ca="1"/>
        <v>27.77</v>
      </c>
      <c r="AI225" s="2">
        <f t="shared" ca="1" si="157"/>
        <v>9.0843023255813959E-3</v>
      </c>
      <c r="AJ225" s="2" vm="7558">
        <f ca="1"/>
        <v>4.28</v>
      </c>
      <c r="AK225" s="2">
        <f t="shared" ca="1" si="158"/>
        <v>9.4339622641509517E-3</v>
      </c>
      <c r="AL225" s="2" vm="7559">
        <f ca="1"/>
        <v>68.400000000000006</v>
      </c>
      <c r="AM225" s="2">
        <f t="shared" ca="1" si="159"/>
        <v>9.7431355181578222E-3</v>
      </c>
      <c r="AN225" s="2" vm="7560">
        <f ca="1"/>
        <v>125.22</v>
      </c>
      <c r="AO225" s="2">
        <f t="shared" ca="1" si="160"/>
        <v>9.431680773881514E-3</v>
      </c>
      <c r="AP225" s="2" vm="2372">
        <f ca="1"/>
        <v>26.93</v>
      </c>
      <c r="AQ225" s="2">
        <f t="shared" ca="1" si="161"/>
        <v>-7.4211502782929779E-4</v>
      </c>
      <c r="AR225" s="2" vm="1517">
        <f ca="1"/>
        <v>51.05</v>
      </c>
      <c r="AS225" s="2">
        <f t="shared" ca="1" si="162"/>
        <v>1.9592476489024315E-4</v>
      </c>
      <c r="AT225" s="2" vm="3316">
        <f ca="1"/>
        <v>29.34</v>
      </c>
      <c r="AU225" s="2">
        <f t="shared" ca="1" si="163"/>
        <v>6.8212824010912599E-4</v>
      </c>
      <c r="AV225" s="2" vm="1278">
        <f ca="1"/>
        <v>26.22</v>
      </c>
      <c r="AW225" s="2">
        <f t="shared" ca="1" si="164"/>
        <v>-6.0652009097801425E-3</v>
      </c>
      <c r="AX225" s="2" vm="676">
        <f ca="1"/>
        <v>91.77</v>
      </c>
      <c r="AY225" s="2">
        <f t="shared" ca="1" si="165"/>
        <v>4.3606235691695235E-4</v>
      </c>
      <c r="AZ225" s="2" vm="7561">
        <f ca="1"/>
        <v>502.98</v>
      </c>
      <c r="BA225" s="2">
        <f t="shared" ca="1" si="166"/>
        <v>6.2417476893530275E-3</v>
      </c>
      <c r="BB225" s="2" vm="7562">
        <f ca="1"/>
        <v>301.42</v>
      </c>
      <c r="BC225" s="2">
        <f t="shared" ca="1" si="167"/>
        <v>1.1625203441060974E-3</v>
      </c>
      <c r="BD225" s="2" vm="5107">
        <f ca="1"/>
        <v>50.74</v>
      </c>
      <c r="BE225" s="2">
        <f t="shared" ca="1" si="168"/>
        <v>4.9514755397108336E-3</v>
      </c>
      <c r="BF225" s="2" vm="7563">
        <f ca="1"/>
        <v>114.29</v>
      </c>
      <c r="BG225" s="2">
        <f t="shared" ca="1" si="169"/>
        <v>8.2928981032202205E-3</v>
      </c>
      <c r="BH225" s="2" vm="2460">
        <f ca="1"/>
        <v>160.6</v>
      </c>
      <c r="BI225" s="2">
        <f t="shared" ca="1" si="170"/>
        <v>8.0341451167461782E-3</v>
      </c>
      <c r="BJ225" s="2" vm="7564">
        <f ca="1"/>
        <v>177.17</v>
      </c>
      <c r="BK225" s="2">
        <f t="shared" ca="1" si="171"/>
        <v>9.8033627814192014E-3</v>
      </c>
      <c r="BL225" s="2" vm="7565">
        <f ca="1"/>
        <v>68.989999999999995</v>
      </c>
      <c r="BM225" s="2">
        <f t="shared" ca="1" si="172"/>
        <v>9.2159157401988795E-3</v>
      </c>
      <c r="BN225" s="2" vm="7566">
        <f ca="1"/>
        <v>313.54000000000002</v>
      </c>
      <c r="BO225" s="2">
        <f t="shared" ca="1" si="173"/>
        <v>4.2277880981359079E-3</v>
      </c>
      <c r="BP225" s="2" vm="7567">
        <f ca="1"/>
        <v>118.38</v>
      </c>
      <c r="BQ225" s="2">
        <f t="shared" ca="1" si="174"/>
        <v>6.2903774226453152E-3</v>
      </c>
      <c r="BR225" s="2" vm="7568">
        <f ca="1"/>
        <v>1208.25</v>
      </c>
      <c r="BS225" s="2">
        <f t="shared" ca="1" si="175"/>
        <v>-1.8839579357667825E-2</v>
      </c>
      <c r="BT225" s="2" vm="4381">
        <f ca="1"/>
        <v>157.04</v>
      </c>
      <c r="BU225" s="2">
        <f t="shared" ca="1" si="176"/>
        <v>8.9302923225183829E-3</v>
      </c>
      <c r="BV225" s="2" vm="7569">
        <f ca="1"/>
        <v>148.65</v>
      </c>
      <c r="BW225" s="2">
        <f t="shared" ca="1" si="177"/>
        <v>1.1362090080283141E-2</v>
      </c>
      <c r="BX225" s="2" vm="7570">
        <f ca="1"/>
        <v>256.85000000000002</v>
      </c>
      <c r="BY225" s="2">
        <f t="shared" ca="1" si="178"/>
        <v>2.8893834680411117E-3</v>
      </c>
      <c r="BZ225" s="2" vm="1002">
        <f ca="1"/>
        <v>93.75</v>
      </c>
      <c r="CA225" s="2">
        <f t="shared" ca="1" si="179"/>
        <v>2.6737967914438501E-3</v>
      </c>
      <c r="CB225" s="2" vm="7571">
        <f ca="1"/>
        <v>29.78</v>
      </c>
      <c r="CC225" s="2">
        <f t="shared" ca="1" si="180"/>
        <v>1.108249067223505E-4</v>
      </c>
      <c r="CD225" s="2" t="e" vm="92">
        <f ca="1"/>
        <v>#N/A</v>
      </c>
      <c r="CE225" s="2" t="e" vm="140">
        <f t="shared" ca="1" si="181"/>
        <v>#N/A</v>
      </c>
      <c r="CF225" s="2" vm="3719">
        <f ca="1"/>
        <v>22.984999999999999</v>
      </c>
      <c r="CG225" s="2">
        <f t="shared" ca="1" si="182"/>
        <v>-8.6937622256029446E-4</v>
      </c>
      <c r="CH225" s="2" vm="7572">
        <f ca="1"/>
        <v>58.87</v>
      </c>
      <c r="CI225" s="2">
        <f t="shared" ca="1" si="183"/>
        <v>1.0202346539703311E-3</v>
      </c>
      <c r="CJ225" s="2" vm="7573">
        <f ca="1"/>
        <v>60.08</v>
      </c>
      <c r="CK225" s="2">
        <f t="shared" ca="1" si="184"/>
        <v>3.3300033300026676E-4</v>
      </c>
      <c r="CL225" s="2" vm="3016">
        <f ca="1"/>
        <v>55.39</v>
      </c>
      <c r="CM225" s="2">
        <f t="shared" ca="1" si="185"/>
        <v>-5.2083333333333183E-3</v>
      </c>
      <c r="CN225" s="2" vm="6271">
        <f ca="1"/>
        <v>29.27</v>
      </c>
      <c r="CO225" s="2">
        <f t="shared" ca="1" si="186"/>
        <v>-2.7257240204429929E-3</v>
      </c>
      <c r="CP225" s="2" vm="7574">
        <f ca="1"/>
        <v>21.747</v>
      </c>
      <c r="CQ225" s="2">
        <f t="shared" ca="1" si="187"/>
        <v>5.227906202765073E-3</v>
      </c>
    </row>
    <row r="226" spans="1:95" x14ac:dyDescent="0.2">
      <c r="A226" s="7" vm="7575">
        <f ca="1"/>
        <v>45902</v>
      </c>
      <c r="B226" s="2" vm="7576">
        <f ca="1"/>
        <v>229.72</v>
      </c>
      <c r="C226" s="2">
        <f t="shared" ca="1" si="141"/>
        <v>-1.0424743689153044E-2</v>
      </c>
      <c r="D226" s="2" vm="6770">
        <f ca="1"/>
        <v>170.78</v>
      </c>
      <c r="E226" s="2">
        <f t="shared" ca="1" si="142"/>
        <v>-1.9520036743598607E-2</v>
      </c>
      <c r="F226" s="2" vm="7577">
        <f ca="1"/>
        <v>505.12</v>
      </c>
      <c r="G226" s="2">
        <f t="shared" ca="1" si="143"/>
        <v>-3.0985415145355012E-3</v>
      </c>
      <c r="H226" s="2" vm="7578">
        <f ca="1"/>
        <v>735.11</v>
      </c>
      <c r="I226" s="2">
        <f t="shared" ca="1" si="144"/>
        <v>-4.8598889941790062E-3</v>
      </c>
      <c r="J226" s="2" vm="7579">
        <f ca="1"/>
        <v>211.35</v>
      </c>
      <c r="K226" s="2">
        <f t="shared" ca="1" si="145"/>
        <v>-7.3270395941947408E-3</v>
      </c>
      <c r="L226" s="2" vm="7580">
        <f ca="1"/>
        <v>640.27</v>
      </c>
      <c r="M226" s="2">
        <f t="shared" ca="1" si="146"/>
        <v>-7.4102782730020508E-3</v>
      </c>
      <c r="N226" s="2" vm="7581">
        <f ca="1"/>
        <v>85.63</v>
      </c>
      <c r="O226" s="2">
        <f t="shared" ca="1" si="147"/>
        <v>-1.1200923787528856E-2</v>
      </c>
      <c r="P226" s="2" vm="7582">
        <f ca="1"/>
        <v>325.58999999999997</v>
      </c>
      <c r="Q226" s="2">
        <f t="shared" ca="1" si="148"/>
        <v>2.3642594397459624E-2</v>
      </c>
      <c r="R226" s="2" vm="7583">
        <f ca="1"/>
        <v>76.760000000000005</v>
      </c>
      <c r="S226" s="2">
        <f t="shared" ca="1" si="149"/>
        <v>2.5654730090860525E-2</v>
      </c>
      <c r="T226" s="2" vm="7584">
        <f ca="1"/>
        <v>95.55</v>
      </c>
      <c r="U226" s="2">
        <f t="shared" ca="1" si="150"/>
        <v>-6.2402496099844881E-3</v>
      </c>
      <c r="V226" s="2" vm="6463">
        <f ca="1"/>
        <v>47.15</v>
      </c>
      <c r="W226" s="2">
        <f t="shared" ca="1" si="151"/>
        <v>-3.0384596679896604E-3</v>
      </c>
      <c r="X226" s="2" vm="7585">
        <f ca="1"/>
        <v>135.84</v>
      </c>
      <c r="Y226" s="2">
        <f t="shared" ca="1" si="152"/>
        <v>-2.8628055494383498E-3</v>
      </c>
      <c r="Z226" s="2" vm="6708">
        <f ca="1"/>
        <v>90.52</v>
      </c>
      <c r="AA226" s="2">
        <f t="shared" ca="1" si="153"/>
        <v>1.4382121916140663E-3</v>
      </c>
      <c r="AB226" s="2" vm="2185">
        <f ca="1"/>
        <v>13.95</v>
      </c>
      <c r="AC226" s="2">
        <f t="shared" ca="1" si="154"/>
        <v>2.4229074889867849E-2</v>
      </c>
      <c r="AD226" s="2" t="e" vm="92">
        <f ca="1"/>
        <v>#N/A</v>
      </c>
      <c r="AE226" s="2" t="e" vm="140">
        <f t="shared" ca="1" si="155"/>
        <v>#N/A</v>
      </c>
      <c r="AF226" s="2" vm="4564">
        <f ca="1"/>
        <v>37.15</v>
      </c>
      <c r="AG226" s="2">
        <f t="shared" ca="1" si="156"/>
        <v>2.652666482453719E-2</v>
      </c>
      <c r="AH226" s="2" vm="1512">
        <f ca="1"/>
        <v>27.45</v>
      </c>
      <c r="AI226" s="2">
        <f t="shared" ca="1" si="157"/>
        <v>-1.1523226503420969E-2</v>
      </c>
      <c r="AJ226" s="2" vm="7180">
        <f ca="1"/>
        <v>4.22</v>
      </c>
      <c r="AK226" s="2">
        <f t="shared" ca="1" si="158"/>
        <v>-1.4018691588785163E-2</v>
      </c>
      <c r="AL226" s="2" vm="7586">
        <f ca="1"/>
        <v>70.05</v>
      </c>
      <c r="AM226" s="2">
        <f t="shared" ca="1" si="159"/>
        <v>2.4122807017543733E-2</v>
      </c>
      <c r="AN226" s="2" vm="7587">
        <f ca="1"/>
        <v>128.08000000000001</v>
      </c>
      <c r="AO226" s="2">
        <f t="shared" ca="1" si="160"/>
        <v>2.2839801948570625E-2</v>
      </c>
      <c r="AP226" s="2" vm="1552">
        <f ca="1"/>
        <v>26.76</v>
      </c>
      <c r="AQ226" s="2">
        <f t="shared" ca="1" si="161"/>
        <v>-6.312662458224959E-3</v>
      </c>
      <c r="AR226" s="2" vm="799">
        <f ca="1"/>
        <v>50.85</v>
      </c>
      <c r="AS226" s="2">
        <f t="shared" ca="1" si="162"/>
        <v>-3.9177277179235212E-3</v>
      </c>
      <c r="AT226" s="2" vm="530">
        <f ca="1"/>
        <v>29.22</v>
      </c>
      <c r="AU226" s="2">
        <f t="shared" ca="1" si="163"/>
        <v>-4.0899795501022837E-3</v>
      </c>
      <c r="AV226" s="2" vm="162">
        <f ca="1"/>
        <v>25.96</v>
      </c>
      <c r="AW226" s="2">
        <f t="shared" ca="1" si="164"/>
        <v>-9.9160945842867287E-3</v>
      </c>
      <c r="AX226" s="2" vm="1592">
        <f ca="1"/>
        <v>91.47</v>
      </c>
      <c r="AY226" s="2">
        <f t="shared" ca="1" si="165"/>
        <v>-3.2690421706439705E-3</v>
      </c>
      <c r="AZ226" s="2" vm="7588">
        <f ca="1"/>
        <v>501.14</v>
      </c>
      <c r="BA226" s="2">
        <f t="shared" ca="1" si="166"/>
        <v>-3.6581971450157695E-3</v>
      </c>
      <c r="BB226" s="2" vm="7589">
        <f ca="1"/>
        <v>299.7</v>
      </c>
      <c r="BC226" s="2">
        <f t="shared" ca="1" si="167"/>
        <v>-5.7063234025613004E-3</v>
      </c>
      <c r="BD226" s="2" vm="7590">
        <f ca="1"/>
        <v>50.42</v>
      </c>
      <c r="BE226" s="2">
        <f t="shared" ca="1" si="168"/>
        <v>-6.3066614111154957E-3</v>
      </c>
      <c r="BF226" s="2" vm="7591">
        <f ca="1"/>
        <v>114.69</v>
      </c>
      <c r="BG226" s="2">
        <f t="shared" ca="1" si="169"/>
        <v>3.4998687549216158E-3</v>
      </c>
      <c r="BH226" s="2" vm="7592">
        <f ca="1"/>
        <v>161.83000000000001</v>
      </c>
      <c r="BI226" s="2">
        <f t="shared" ca="1" si="170"/>
        <v>7.6587795765879095E-3</v>
      </c>
      <c r="BJ226" s="2" vm="7593">
        <f ca="1"/>
        <v>178.06</v>
      </c>
      <c r="BK226" s="2">
        <f t="shared" ca="1" si="171"/>
        <v>5.0234238302196473E-3</v>
      </c>
      <c r="BL226" s="2" vm="7594">
        <f ca="1"/>
        <v>69.06</v>
      </c>
      <c r="BM226" s="2">
        <f t="shared" ca="1" si="172"/>
        <v>1.0146398028700882E-3</v>
      </c>
      <c r="BN226" s="2" vm="7595">
        <f ca="1"/>
        <v>315.76</v>
      </c>
      <c r="BO226" s="2">
        <f t="shared" ca="1" si="173"/>
        <v>7.0804363079669912E-3</v>
      </c>
      <c r="BP226" s="2" vm="4243">
        <f ca="1"/>
        <v>118.27</v>
      </c>
      <c r="BQ226" s="2">
        <f t="shared" ca="1" si="174"/>
        <v>-9.2921101537421383E-4</v>
      </c>
      <c r="BR226" s="2" vm="7596">
        <f ca="1"/>
        <v>1214.1099999999999</v>
      </c>
      <c r="BS226" s="2">
        <f t="shared" ca="1" si="175"/>
        <v>4.8499896544588455E-3</v>
      </c>
      <c r="BT226" s="2" vm="6291">
        <f ca="1"/>
        <v>157.99</v>
      </c>
      <c r="BU226" s="2">
        <f t="shared" ca="1" si="176"/>
        <v>6.0494141619970524E-3</v>
      </c>
      <c r="BV226" s="2" vm="7597">
        <f ca="1"/>
        <v>150.28</v>
      </c>
      <c r="BW226" s="2">
        <f t="shared" ca="1" si="177"/>
        <v>1.0965354860410328E-2</v>
      </c>
      <c r="BX226" s="2" vm="7598">
        <f ca="1"/>
        <v>254.73</v>
      </c>
      <c r="BY226" s="2">
        <f t="shared" ca="1" si="178"/>
        <v>-8.2538446564143775E-3</v>
      </c>
      <c r="BZ226" s="2" vm="7599">
        <f ca="1"/>
        <v>94.5</v>
      </c>
      <c r="CA226" s="2">
        <f t="shared" ca="1" si="179"/>
        <v>8.0000000000000002E-3</v>
      </c>
      <c r="CB226" s="2" vm="7600">
        <f ca="1"/>
        <v>30.16</v>
      </c>
      <c r="CC226" s="2">
        <f t="shared" ca="1" si="180"/>
        <v>1.276024177300198E-2</v>
      </c>
      <c r="CD226" s="2" t="e" vm="92">
        <f ca="1"/>
        <v>#N/A</v>
      </c>
      <c r="CE226" s="2" t="e" vm="140">
        <f t="shared" ca="1" si="181"/>
        <v>#N/A</v>
      </c>
      <c r="CF226" s="2" vm="3596">
        <f ca="1"/>
        <v>22.864999999999998</v>
      </c>
      <c r="CG226" s="2">
        <f t="shared" ca="1" si="182"/>
        <v>-5.220796171416184E-3</v>
      </c>
      <c r="CH226" s="2" vm="5712">
        <f ca="1"/>
        <v>58.64</v>
      </c>
      <c r="CI226" s="2">
        <f t="shared" ca="1" si="183"/>
        <v>-3.9069135383046861E-3</v>
      </c>
      <c r="CJ226" s="2" vm="7225">
        <f ca="1"/>
        <v>59.77</v>
      </c>
      <c r="CK226" s="2">
        <f t="shared" ca="1" si="184"/>
        <v>-5.1597869507322763E-3</v>
      </c>
      <c r="CL226" s="2" vm="7601">
        <f ca="1"/>
        <v>54.81</v>
      </c>
      <c r="CM226" s="2">
        <f t="shared" ca="1" si="185"/>
        <v>-1.0471204188481645E-2</v>
      </c>
      <c r="CN226" s="2" vm="1747">
        <f ca="1"/>
        <v>29.08</v>
      </c>
      <c r="CO226" s="2">
        <f t="shared" ca="1" si="186"/>
        <v>-6.4912880081995656E-3</v>
      </c>
      <c r="CP226" s="2" vm="7602">
        <f ca="1"/>
        <v>21.47</v>
      </c>
      <c r="CQ226" s="2">
        <f t="shared" ca="1" si="187"/>
        <v>-1.273738906515846E-2</v>
      </c>
    </row>
    <row r="227" spans="1:95" x14ac:dyDescent="0.2">
      <c r="A227" s="7" vm="7603">
        <f ca="1"/>
        <v>45903</v>
      </c>
      <c r="B227" s="2" vm="7604">
        <f ca="1"/>
        <v>238.47</v>
      </c>
      <c r="C227" s="2">
        <f t="shared" ca="1" si="141"/>
        <v>3.8089848511231067E-2</v>
      </c>
      <c r="D227" s="2" vm="7605">
        <f ca="1"/>
        <v>170.62</v>
      </c>
      <c r="E227" s="2">
        <f t="shared" ca="1" si="142"/>
        <v>-9.3687785454969307E-4</v>
      </c>
      <c r="F227" s="2" vm="7606">
        <f ca="1"/>
        <v>505.35</v>
      </c>
      <c r="G227" s="2">
        <f t="shared" ca="1" si="143"/>
        <v>4.5533734558128402E-4</v>
      </c>
      <c r="H227" s="2" vm="7607">
        <f ca="1"/>
        <v>737.05</v>
      </c>
      <c r="I227" s="2">
        <f t="shared" ca="1" si="144"/>
        <v>2.6390608208294551E-3</v>
      </c>
      <c r="J227" s="2" vm="7608">
        <f ca="1"/>
        <v>230.66</v>
      </c>
      <c r="K227" s="2">
        <f t="shared" ca="1" si="145"/>
        <v>9.1365034303288392E-2</v>
      </c>
      <c r="L227" s="2" vm="7609">
        <f ca="1"/>
        <v>643.74</v>
      </c>
      <c r="M227" s="2">
        <f t="shared" ca="1" si="146"/>
        <v>5.419588611054754E-3</v>
      </c>
      <c r="N227" s="2" vm="7610">
        <f ca="1"/>
        <v>86.57</v>
      </c>
      <c r="O227" s="2">
        <f t="shared" ca="1" si="147"/>
        <v>1.0977461170150622E-2</v>
      </c>
      <c r="P227" s="2" vm="7611">
        <f ca="1"/>
        <v>328.14</v>
      </c>
      <c r="Q227" s="2">
        <f t="shared" ca="1" si="148"/>
        <v>7.8319358702663208E-3</v>
      </c>
      <c r="R227" s="2" vm="7612">
        <f ca="1"/>
        <v>74.83</v>
      </c>
      <c r="S227" s="2">
        <f t="shared" ca="1" si="149"/>
        <v>-2.5143303804064703E-2</v>
      </c>
      <c r="T227" s="2" vm="7613">
        <f ca="1"/>
        <v>95.88</v>
      </c>
      <c r="U227" s="2">
        <f t="shared" ca="1" si="150"/>
        <v>3.4536891679748647E-3</v>
      </c>
      <c r="V227" s="2" vm="7614">
        <f ca="1"/>
        <v>47.335000000000001</v>
      </c>
      <c r="W227" s="2">
        <f t="shared" ca="1" si="151"/>
        <v>3.9236479321315436E-3</v>
      </c>
      <c r="X227" s="2" vm="7615">
        <f ca="1"/>
        <v>132.63</v>
      </c>
      <c r="Y227" s="2">
        <f t="shared" ca="1" si="152"/>
        <v>-2.3630742049470022E-2</v>
      </c>
      <c r="Z227" s="2" vm="5041">
        <f ca="1"/>
        <v>88.49</v>
      </c>
      <c r="AA227" s="2">
        <f t="shared" ca="1" si="153"/>
        <v>-2.2425983208130815E-2</v>
      </c>
      <c r="AB227" s="2" vm="7556">
        <f ca="1"/>
        <v>13.62</v>
      </c>
      <c r="AC227" s="2">
        <f t="shared" ca="1" si="154"/>
        <v>-2.365591397849463E-2</v>
      </c>
      <c r="AD227" s="2" vm="1398">
        <f ca="1"/>
        <v>5</v>
      </c>
      <c r="AE227" s="2" t="e" vm="140">
        <f t="shared" ca="1" si="155"/>
        <v>#N/A</v>
      </c>
      <c r="AF227" s="2" vm="7616">
        <f ca="1"/>
        <v>37.340000000000003</v>
      </c>
      <c r="AG227" s="2">
        <f t="shared" ca="1" si="156"/>
        <v>5.1144010767161466E-3</v>
      </c>
      <c r="AH227" s="2" vm="2910">
        <f ca="1"/>
        <v>27.32</v>
      </c>
      <c r="AI227" s="2">
        <f t="shared" ca="1" si="157"/>
        <v>-4.7358834244079781E-3</v>
      </c>
      <c r="AJ227" s="2" vm="7617">
        <f ca="1"/>
        <v>4.17</v>
      </c>
      <c r="AK227" s="2">
        <f t="shared" ca="1" si="158"/>
        <v>-1.1848341232227447E-2</v>
      </c>
      <c r="AL227" s="2" vm="7618">
        <f ca="1"/>
        <v>70.58</v>
      </c>
      <c r="AM227" s="2">
        <f t="shared" ca="1" si="159"/>
        <v>7.5660242683797457E-3</v>
      </c>
      <c r="AN227" s="2" vm="7619">
        <f ca="1"/>
        <v>129.63</v>
      </c>
      <c r="AO227" s="2">
        <f t="shared" ca="1" si="160"/>
        <v>1.2101811367894932E-2</v>
      </c>
      <c r="AP227" s="2" vm="1203">
        <f ca="1"/>
        <v>26.84</v>
      </c>
      <c r="AQ227" s="2">
        <f t="shared" ca="1" si="161"/>
        <v>2.9895366218235533E-3</v>
      </c>
      <c r="AR227" s="2" vm="843">
        <f ca="1"/>
        <v>50.88</v>
      </c>
      <c r="AS227" s="2">
        <f t="shared" ca="1" si="162"/>
        <v>5.8997050147494858E-4</v>
      </c>
      <c r="AT227" s="2" vm="694">
        <f ca="1"/>
        <v>29.24</v>
      </c>
      <c r="AU227" s="2">
        <f t="shared" ca="1" si="163"/>
        <v>6.8446269678301079E-4</v>
      </c>
      <c r="AV227" s="2" vm="842">
        <f ca="1"/>
        <v>26.21</v>
      </c>
      <c r="AW227" s="2">
        <f t="shared" ca="1" si="164"/>
        <v>9.6302003081664093E-3</v>
      </c>
      <c r="AX227" s="2" vm="802">
        <f ca="1"/>
        <v>91.48</v>
      </c>
      <c r="AY227" s="2">
        <f t="shared" ca="1" si="165"/>
        <v>1.0932546190013246E-4</v>
      </c>
      <c r="AZ227" s="2" vm="7620">
        <f ca="1"/>
        <v>501.49</v>
      </c>
      <c r="BA227" s="2">
        <f t="shared" ca="1" si="166"/>
        <v>6.9840763060227229E-4</v>
      </c>
      <c r="BB227" s="2" vm="2755">
        <f ca="1"/>
        <v>299.51</v>
      </c>
      <c r="BC227" s="2">
        <f t="shared" ca="1" si="167"/>
        <v>-6.3396730063395971E-4</v>
      </c>
      <c r="BD227" s="2" vm="7621">
        <f ca="1"/>
        <v>50.06</v>
      </c>
      <c r="BE227" s="2">
        <f t="shared" ca="1" si="168"/>
        <v>-7.1400238000793219E-3</v>
      </c>
      <c r="BF227" s="2" vm="7622">
        <f ca="1"/>
        <v>111.91</v>
      </c>
      <c r="BG227" s="2">
        <f t="shared" ca="1" si="169"/>
        <v>-2.4239253640247635E-2</v>
      </c>
      <c r="BH227" s="2" vm="7623">
        <f ca="1"/>
        <v>158.06</v>
      </c>
      <c r="BI227" s="2">
        <f t="shared" ca="1" si="170"/>
        <v>-2.3296051411975591E-2</v>
      </c>
      <c r="BJ227" s="2" vm="7624">
        <f ca="1"/>
        <v>178</v>
      </c>
      <c r="BK227" s="2">
        <f t="shared" ca="1" si="171"/>
        <v>-3.3696506795463481E-4</v>
      </c>
      <c r="BL227" s="2" vm="7565">
        <f ca="1"/>
        <v>68.989999999999995</v>
      </c>
      <c r="BM227" s="2">
        <f t="shared" ca="1" si="172"/>
        <v>-1.0136113524472543E-3</v>
      </c>
      <c r="BN227" s="2" vm="7625">
        <f ca="1"/>
        <v>316.39</v>
      </c>
      <c r="BO227" s="2">
        <f t="shared" ca="1" si="173"/>
        <v>1.9951862173802743E-3</v>
      </c>
      <c r="BP227" s="2" vm="7626">
        <f ca="1"/>
        <v>117.38</v>
      </c>
      <c r="BQ227" s="2">
        <f t="shared" ca="1" si="174"/>
        <v>-7.5251543079394656E-3</v>
      </c>
      <c r="BR227" s="2" vm="7627">
        <f ca="1"/>
        <v>1226.18</v>
      </c>
      <c r="BS227" s="2">
        <f t="shared" ca="1" si="175"/>
        <v>9.9414385846423835E-3</v>
      </c>
      <c r="BT227" s="2" vm="7628">
        <f ca="1"/>
        <v>158.16999999999999</v>
      </c>
      <c r="BU227" s="2">
        <f t="shared" ca="1" si="176"/>
        <v>1.139312614722314E-3</v>
      </c>
      <c r="BV227" s="2" vm="4248">
        <f ca="1"/>
        <v>148.63999999999999</v>
      </c>
      <c r="BW227" s="2">
        <f t="shared" ca="1" si="177"/>
        <v>-1.0912962470055994E-2</v>
      </c>
      <c r="BX227" s="2" vm="6470">
        <f ca="1"/>
        <v>249.83</v>
      </c>
      <c r="BY227" s="2">
        <f t="shared" ca="1" si="178"/>
        <v>-1.9236053860950723E-2</v>
      </c>
      <c r="BZ227" s="2" vm="554">
        <f ca="1"/>
        <v>91.71</v>
      </c>
      <c r="CA227" s="2">
        <f t="shared" ca="1" si="179"/>
        <v>-2.9523809523809591E-2</v>
      </c>
      <c r="CB227" s="2" vm="7629">
        <f ca="1"/>
        <v>29.303000000000001</v>
      </c>
      <c r="CC227" s="2">
        <f t="shared" ca="1" si="180"/>
        <v>-2.8415119363395202E-2</v>
      </c>
      <c r="CD227" s="2" t="e" vm="92">
        <f ca="1"/>
        <v>#N/A</v>
      </c>
      <c r="CE227" s="2" t="e" vm="140">
        <f t="shared" ca="1" si="181"/>
        <v>#N/A</v>
      </c>
      <c r="CF227" s="2" vm="4129">
        <f ca="1"/>
        <v>22.934999999999999</v>
      </c>
      <c r="CG227" s="2">
        <f t="shared" ca="1" si="182"/>
        <v>3.0614476273781014E-3</v>
      </c>
      <c r="CH227" s="2" vm="4317">
        <f ca="1"/>
        <v>58.68</v>
      </c>
      <c r="CI227" s="2">
        <f t="shared" ca="1" si="183"/>
        <v>6.8212824010912599E-4</v>
      </c>
      <c r="CJ227" s="2" vm="7630">
        <f ca="1"/>
        <v>59.89</v>
      </c>
      <c r="CK227" s="2">
        <f t="shared" ca="1" si="184"/>
        <v>2.0076961686464351E-3</v>
      </c>
      <c r="CL227" s="2" vm="7631">
        <f ca="1"/>
        <v>55.33</v>
      </c>
      <c r="CM227" s="2">
        <f t="shared" ca="1" si="185"/>
        <v>9.4873198321473451E-3</v>
      </c>
      <c r="CN227" s="2" vm="4160">
        <f ca="1"/>
        <v>29.23</v>
      </c>
      <c r="CO227" s="2">
        <f t="shared" ca="1" si="186"/>
        <v>5.1581843191197433E-3</v>
      </c>
      <c r="CP227" s="2" vm="7632">
        <f ca="1"/>
        <v>21.3978</v>
      </c>
      <c r="CQ227" s="2">
        <f t="shared" ca="1" si="187"/>
        <v>-3.3628318584070197E-3</v>
      </c>
    </row>
    <row r="228" spans="1:95" x14ac:dyDescent="0.2">
      <c r="A228" s="7" vm="7633">
        <f ca="1"/>
        <v>45904</v>
      </c>
      <c r="B228" s="2" vm="7634">
        <f ca="1"/>
        <v>239.78</v>
      </c>
      <c r="C228" s="2">
        <f t="shared" ca="1" si="141"/>
        <v>5.4933534616513702E-3</v>
      </c>
      <c r="D228" s="2" vm="7635">
        <f ca="1"/>
        <v>171.66</v>
      </c>
      <c r="E228" s="2">
        <f t="shared" ca="1" si="142"/>
        <v>6.0954167155081E-3</v>
      </c>
      <c r="F228" s="2" vm="7636">
        <f ca="1"/>
        <v>507.97</v>
      </c>
      <c r="G228" s="2">
        <f t="shared" ca="1" si="143"/>
        <v>5.184525576333243E-3</v>
      </c>
      <c r="H228" s="2" vm="7637">
        <f ca="1"/>
        <v>748.65</v>
      </c>
      <c r="I228" s="2">
        <f t="shared" ca="1" si="144"/>
        <v>1.573841666101353E-2</v>
      </c>
      <c r="J228" s="2" vm="7638">
        <f ca="1"/>
        <v>232.3</v>
      </c>
      <c r="K228" s="2">
        <f t="shared" ca="1" si="145"/>
        <v>7.110032081852141E-3</v>
      </c>
      <c r="L228" s="2" vm="7639">
        <f ca="1"/>
        <v>649.12</v>
      </c>
      <c r="M228" s="2">
        <f t="shared" ca="1" si="146"/>
        <v>8.3574113772641057E-3</v>
      </c>
      <c r="N228" s="2" vm="3310">
        <f ca="1"/>
        <v>87.23</v>
      </c>
      <c r="O228" s="2">
        <f t="shared" ca="1" si="147"/>
        <v>7.6238881829734416E-3</v>
      </c>
      <c r="P228" s="2" vm="7640">
        <f ca="1"/>
        <v>326.69</v>
      </c>
      <c r="Q228" s="2">
        <f t="shared" ca="1" si="148"/>
        <v>-4.4188456146766275E-3</v>
      </c>
      <c r="R228" s="2" vm="7641">
        <f ca="1"/>
        <v>74.180000000000007</v>
      </c>
      <c r="S228" s="2">
        <f t="shared" ca="1" si="149"/>
        <v>-8.6863557396764865E-3</v>
      </c>
      <c r="T228" s="2" vm="7642">
        <f ca="1"/>
        <v>96.31</v>
      </c>
      <c r="U228" s="2">
        <f t="shared" ca="1" si="150"/>
        <v>4.4847726324573093E-3</v>
      </c>
      <c r="V228" s="2" vm="7643">
        <f ca="1"/>
        <v>47.535499999999999</v>
      </c>
      <c r="W228" s="2">
        <f t="shared" ca="1" si="151"/>
        <v>4.2357663462553735E-3</v>
      </c>
      <c r="X228" s="2" vm="7644">
        <f ca="1"/>
        <v>134.76</v>
      </c>
      <c r="Y228" s="2">
        <f t="shared" ca="1" si="152"/>
        <v>1.605971499660707E-2</v>
      </c>
      <c r="Z228" s="2" vm="7645">
        <f ca="1"/>
        <v>89.08</v>
      </c>
      <c r="AA228" s="2">
        <f t="shared" ca="1" si="153"/>
        <v>6.6674200474630295E-3</v>
      </c>
      <c r="AB228" s="2" vm="7646">
        <f ca="1"/>
        <v>13.47</v>
      </c>
      <c r="AC228" s="2">
        <f t="shared" ca="1" si="154"/>
        <v>-1.1013215859030734E-2</v>
      </c>
      <c r="AD228" s="2" vm="7647">
        <f ca="1"/>
        <v>4.8499999999999996</v>
      </c>
      <c r="AE228" s="2">
        <f t="shared" ca="1" si="155"/>
        <v>-3.0000000000000072E-2</v>
      </c>
      <c r="AF228" s="2" vm="7648">
        <f ca="1"/>
        <v>36.93</v>
      </c>
      <c r="AG228" s="2">
        <f t="shared" ca="1" si="156"/>
        <v>-1.0980182110337538E-2</v>
      </c>
      <c r="AH228" s="2" vm="2447">
        <f ca="1"/>
        <v>27.24</v>
      </c>
      <c r="AI228" s="2">
        <f t="shared" ca="1" si="157"/>
        <v>-2.9282576866764953E-3</v>
      </c>
      <c r="AJ228" s="2" vm="7617">
        <f ca="1"/>
        <v>4.17</v>
      </c>
      <c r="AK228" s="2">
        <f t="shared" ca="1" si="158"/>
        <v>0</v>
      </c>
      <c r="AL228" s="2" vm="7649">
        <f ca="1"/>
        <v>70.27</v>
      </c>
      <c r="AM228" s="2">
        <f t="shared" ca="1" si="159"/>
        <v>-4.3921790875602476E-3</v>
      </c>
      <c r="AN228" s="2" vm="7650">
        <f ca="1"/>
        <v>125.33</v>
      </c>
      <c r="AO228" s="2">
        <f t="shared" ca="1" si="160"/>
        <v>-3.3171333796189133E-2</v>
      </c>
      <c r="AP228" s="2" vm="5163">
        <f ca="1"/>
        <v>26.88</v>
      </c>
      <c r="AQ228" s="2">
        <f t="shared" ca="1" si="161"/>
        <v>1.4903129657227701E-3</v>
      </c>
      <c r="AR228" s="2" vm="843">
        <f ca="1"/>
        <v>50.88</v>
      </c>
      <c r="AS228" s="2">
        <f t="shared" ca="1" si="162"/>
        <v>0</v>
      </c>
      <c r="AT228" s="2" vm="3627">
        <f ca="1"/>
        <v>29.25</v>
      </c>
      <c r="AU228" s="2">
        <f t="shared" ca="1" si="163"/>
        <v>3.4199726402194133E-4</v>
      </c>
      <c r="AV228" s="2" vm="1745">
        <f ca="1"/>
        <v>26.4</v>
      </c>
      <c r="AW228" s="2">
        <f t="shared" ca="1" si="164"/>
        <v>7.2491415490270016E-3</v>
      </c>
      <c r="AX228" s="2" vm="845">
        <f ca="1"/>
        <v>91.5</v>
      </c>
      <c r="AY228" s="2">
        <f t="shared" ca="1" si="165"/>
        <v>2.1862702229991278E-4</v>
      </c>
      <c r="AZ228" s="2" vm="7651">
        <f ca="1"/>
        <v>506.91</v>
      </c>
      <c r="BA228" s="2">
        <f t="shared" ca="1" si="166"/>
        <v>1.0807792777523013E-2</v>
      </c>
      <c r="BB228" s="2" vm="7652">
        <f ca="1"/>
        <v>303.82</v>
      </c>
      <c r="BC228" s="2">
        <f t="shared" ca="1" si="167"/>
        <v>1.4390170611999608E-2</v>
      </c>
      <c r="BD228" s="2" vm="7653">
        <f ca="1"/>
        <v>50.62</v>
      </c>
      <c r="BE228" s="2">
        <f t="shared" ca="1" si="168"/>
        <v>1.1186576108669499E-2</v>
      </c>
      <c r="BF228" s="2" vm="7654">
        <f ca="1"/>
        <v>112.4</v>
      </c>
      <c r="BG228" s="2">
        <f t="shared" ca="1" si="169"/>
        <v>4.378518452327845E-3</v>
      </c>
      <c r="BH228" s="2" vm="6523">
        <f ca="1"/>
        <v>157.69</v>
      </c>
      <c r="BI228" s="2">
        <f t="shared" ca="1" si="170"/>
        <v>-2.3408832089080382E-3</v>
      </c>
      <c r="BJ228" s="2" vm="7655">
        <f ca="1"/>
        <v>178.76</v>
      </c>
      <c r="BK228" s="2">
        <f t="shared" ca="1" si="171"/>
        <v>4.2696629213482638E-3</v>
      </c>
      <c r="BL228" s="2" vm="7656">
        <f ca="1"/>
        <v>68.25</v>
      </c>
      <c r="BM228" s="2">
        <f t="shared" ca="1" si="172"/>
        <v>-1.0726192201768299E-2</v>
      </c>
      <c r="BN228" s="2" vm="7657">
        <f ca="1"/>
        <v>316.99</v>
      </c>
      <c r="BO228" s="2">
        <f t="shared" ca="1" si="173"/>
        <v>1.8963936913303921E-3</v>
      </c>
      <c r="BP228" s="2" vm="7658">
        <f ca="1"/>
        <v>118.81</v>
      </c>
      <c r="BQ228" s="2">
        <f t="shared" ca="1" si="174"/>
        <v>1.218265462600108E-2</v>
      </c>
      <c r="BR228" s="2" vm="7659">
        <f ca="1"/>
        <v>1257.48</v>
      </c>
      <c r="BS228" s="2">
        <f t="shared" ca="1" si="175"/>
        <v>2.5526431682134722E-2</v>
      </c>
      <c r="BT228" s="2" vm="7660">
        <f ca="1"/>
        <v>159.19</v>
      </c>
      <c r="BU228" s="2">
        <f t="shared" ca="1" si="176"/>
        <v>6.4487576658026824E-3</v>
      </c>
      <c r="BV228" s="2" vm="7661">
        <f ca="1"/>
        <v>146.88999999999999</v>
      </c>
      <c r="BW228" s="2">
        <f t="shared" ca="1" si="177"/>
        <v>-1.177341227125942E-2</v>
      </c>
      <c r="BX228" s="2" vm="7662">
        <f ca="1"/>
        <v>257.83999999999997</v>
      </c>
      <c r="BY228" s="2">
        <f t="shared" ca="1" si="178"/>
        <v>3.2061802025377104E-2</v>
      </c>
      <c r="BZ228" s="2" vm="7663">
        <f ca="1"/>
        <v>92.58</v>
      </c>
      <c r="CA228" s="2">
        <f t="shared" ca="1" si="179"/>
        <v>9.4864245992803912E-3</v>
      </c>
      <c r="CB228" s="2" vm="7664">
        <f ca="1"/>
        <v>29.636800000000001</v>
      </c>
      <c r="CC228" s="2">
        <f t="shared" ca="1" si="180"/>
        <v>1.1391325120294853E-2</v>
      </c>
      <c r="CD228" s="2" t="e" vm="92">
        <f ca="1"/>
        <v>#N/A</v>
      </c>
      <c r="CE228" s="2" t="e" vm="140">
        <f t="shared" ca="1" si="181"/>
        <v>#N/A</v>
      </c>
      <c r="CF228" s="2" vm="4992">
        <f ca="1"/>
        <v>22.99</v>
      </c>
      <c r="CG228" s="2">
        <f t="shared" ca="1" si="182"/>
        <v>2.3980815347721699E-3</v>
      </c>
      <c r="CH228" s="2" vm="7458">
        <f ca="1"/>
        <v>58.72</v>
      </c>
      <c r="CI228" s="2">
        <f t="shared" ca="1" si="183"/>
        <v>6.8166325835036041E-4</v>
      </c>
      <c r="CJ228" s="2" vm="7665">
        <f ca="1"/>
        <v>60.05</v>
      </c>
      <c r="CK228" s="2">
        <f t="shared" ca="1" si="184"/>
        <v>2.6715645349807411E-3</v>
      </c>
      <c r="CL228" s="2" vm="7666">
        <f ca="1"/>
        <v>55.69</v>
      </c>
      <c r="CM228" s="2">
        <f t="shared" ca="1" si="185"/>
        <v>6.5064160491595776E-3</v>
      </c>
      <c r="CN228" s="2" vm="1608">
        <f ca="1"/>
        <v>29.38</v>
      </c>
      <c r="CO228" s="2">
        <f t="shared" ca="1" si="186"/>
        <v>5.1317139924734372E-3</v>
      </c>
      <c r="CP228" s="2" vm="7667">
        <f ca="1"/>
        <v>21.465199999999999</v>
      </c>
      <c r="CQ228" s="2">
        <f t="shared" ca="1" si="187"/>
        <v>3.14985652730651E-3</v>
      </c>
    </row>
    <row r="229" spans="1:95" x14ac:dyDescent="0.2">
      <c r="A229" s="7" vm="7668">
        <f ca="1"/>
        <v>45905</v>
      </c>
      <c r="B229" s="2" vm="7669">
        <f ca="1"/>
        <v>239.69</v>
      </c>
      <c r="C229" s="2">
        <f t="shared" ca="1" si="141"/>
        <v>-3.7534406539329137E-4</v>
      </c>
      <c r="D229" s="2" vm="7670">
        <f ca="1"/>
        <v>167.02</v>
      </c>
      <c r="E229" s="2">
        <f t="shared" ca="1" si="142"/>
        <v>-2.7030175929162219E-2</v>
      </c>
      <c r="F229" s="2" vm="7671">
        <f ca="1"/>
        <v>495</v>
      </c>
      <c r="G229" s="2">
        <f t="shared" ca="1" si="143"/>
        <v>-2.5533003917554239E-2</v>
      </c>
      <c r="H229" s="2" vm="7672">
        <f ca="1"/>
        <v>752.45</v>
      </c>
      <c r="I229" s="2">
        <f t="shared" ca="1" si="144"/>
        <v>5.0758031122688421E-3</v>
      </c>
      <c r="J229" s="2" vm="362">
        <f ca="1"/>
        <v>235</v>
      </c>
      <c r="K229" s="2">
        <f t="shared" ca="1" si="145"/>
        <v>1.162290142057679E-2</v>
      </c>
      <c r="L229" s="2" vm="7673">
        <f ca="1"/>
        <v>647.24</v>
      </c>
      <c r="M229" s="2">
        <f t="shared" ca="1" si="146"/>
        <v>-2.8962287404486003E-3</v>
      </c>
      <c r="N229" s="2" vm="3217">
        <f ca="1"/>
        <v>88.56</v>
      </c>
      <c r="O229" s="2">
        <f t="shared" ca="1" si="147"/>
        <v>1.524704803393326E-2</v>
      </c>
      <c r="P229" s="2" vm="7674">
        <f ca="1"/>
        <v>331.05</v>
      </c>
      <c r="Q229" s="2">
        <f t="shared" ca="1" si="148"/>
        <v>1.3345985490832329E-2</v>
      </c>
      <c r="R229" s="2" vm="7675">
        <f ca="1"/>
        <v>72.63</v>
      </c>
      <c r="S229" s="2">
        <f t="shared" ca="1" si="149"/>
        <v>-2.0895119978430996E-2</v>
      </c>
      <c r="T229" s="2" vm="7676">
        <f ca="1"/>
        <v>96.78</v>
      </c>
      <c r="U229" s="2">
        <f t="shared" ca="1" si="150"/>
        <v>4.8800747585920345E-3</v>
      </c>
      <c r="V229" s="2" vm="7677">
        <f ca="1"/>
        <v>47.87</v>
      </c>
      <c r="W229" s="2">
        <f t="shared" ca="1" si="151"/>
        <v>7.0368461465641144E-3</v>
      </c>
      <c r="X229" s="2" vm="7678">
        <f ca="1"/>
        <v>131.55000000000001</v>
      </c>
      <c r="Y229" s="2">
        <f t="shared" ca="1" si="152"/>
        <v>-2.3820124666072869E-2</v>
      </c>
      <c r="Z229" s="2" vm="7679">
        <f ca="1"/>
        <v>87.36</v>
      </c>
      <c r="AA229" s="2">
        <f t="shared" ca="1" si="153"/>
        <v>-1.9308486753480007E-2</v>
      </c>
      <c r="AB229" s="2" vm="7270">
        <f ca="1"/>
        <v>13.24</v>
      </c>
      <c r="AC229" s="2">
        <f t="shared" ca="1" si="154"/>
        <v>-1.7074981440237596E-2</v>
      </c>
      <c r="AD229" s="2" vm="2838">
        <f ca="1"/>
        <v>4.5</v>
      </c>
      <c r="AE229" s="2">
        <f t="shared" ca="1" si="155"/>
        <v>-7.2164948453608185E-2</v>
      </c>
      <c r="AF229" s="2" vm="7680">
        <f ca="1"/>
        <v>37.21</v>
      </c>
      <c r="AG229" s="2">
        <f t="shared" ca="1" si="156"/>
        <v>7.5819117248849483E-3</v>
      </c>
      <c r="AH229" s="2" vm="3877">
        <f ca="1"/>
        <v>27.16</v>
      </c>
      <c r="AI229" s="2">
        <f t="shared" ca="1" si="157"/>
        <v>-2.9368575624081606E-3</v>
      </c>
      <c r="AJ229" s="2" vm="7617">
        <f ca="1"/>
        <v>4.17</v>
      </c>
      <c r="AK229" s="2">
        <f t="shared" ca="1" si="158"/>
        <v>0</v>
      </c>
      <c r="AL229" s="2" vm="7681">
        <f ca="1"/>
        <v>71.180000000000007</v>
      </c>
      <c r="AM229" s="2">
        <f t="shared" ca="1" si="159"/>
        <v>1.295004980788403E-2</v>
      </c>
      <c r="AN229" s="2" vm="6866">
        <f ca="1"/>
        <v>125.78</v>
      </c>
      <c r="AO229" s="2">
        <f t="shared" ca="1" si="160"/>
        <v>3.5905210244953551E-3</v>
      </c>
      <c r="AP229" s="2" vm="2409">
        <f ca="1"/>
        <v>26.98</v>
      </c>
      <c r="AQ229" s="2">
        <f t="shared" ca="1" si="161"/>
        <v>3.7202380952381484E-3</v>
      </c>
      <c r="AR229" s="2" vm="843">
        <f ca="1"/>
        <v>50.88</v>
      </c>
      <c r="AS229" s="2">
        <f t="shared" ca="1" si="162"/>
        <v>0</v>
      </c>
      <c r="AT229" s="2" vm="443">
        <f ca="1"/>
        <v>29.3</v>
      </c>
      <c r="AU229" s="2">
        <f t="shared" ca="1" si="163"/>
        <v>1.7094017094017337E-3</v>
      </c>
      <c r="AV229" s="2" vm="1552">
        <f ca="1"/>
        <v>26.76</v>
      </c>
      <c r="AW229" s="2">
        <f t="shared" ca="1" si="164"/>
        <v>1.363636363636375E-2</v>
      </c>
      <c r="AX229" s="2" vm="968">
        <f ca="1"/>
        <v>91.53</v>
      </c>
      <c r="AY229" s="2">
        <f t="shared" ca="1" si="165"/>
        <v>3.2786885245902881E-4</v>
      </c>
      <c r="AZ229" s="2" vm="7682">
        <f ca="1"/>
        <v>499.77</v>
      </c>
      <c r="BA229" s="2">
        <f t="shared" ca="1" si="166"/>
        <v>-1.408534059300476E-2</v>
      </c>
      <c r="BB229" s="2" vm="7683">
        <f ca="1"/>
        <v>294.38</v>
      </c>
      <c r="BC229" s="2">
        <f t="shared" ca="1" si="167"/>
        <v>-3.1071028898690008E-2</v>
      </c>
      <c r="BD229" s="2" vm="7684">
        <f ca="1"/>
        <v>49.77</v>
      </c>
      <c r="BE229" s="2">
        <f t="shared" ca="1" si="168"/>
        <v>-1.6791781904385506E-2</v>
      </c>
      <c r="BF229" s="2" vm="3326">
        <f ca="1"/>
        <v>109.23</v>
      </c>
      <c r="BG229" s="2">
        <f t="shared" ca="1" si="169"/>
        <v>-2.8202846975088982E-2</v>
      </c>
      <c r="BH229" s="2" vm="5491">
        <f ca="1"/>
        <v>153.66</v>
      </c>
      <c r="BI229" s="2">
        <f t="shared" ca="1" si="170"/>
        <v>-2.555647155812037E-2</v>
      </c>
      <c r="BJ229" s="2" vm="7685">
        <f ca="1"/>
        <v>178.43</v>
      </c>
      <c r="BK229" s="2">
        <f t="shared" ca="1" si="171"/>
        <v>-1.8460505705973601E-3</v>
      </c>
      <c r="BL229" s="2" vm="6754">
        <f ca="1"/>
        <v>67.959999999999994</v>
      </c>
      <c r="BM229" s="2">
        <f t="shared" ca="1" si="172"/>
        <v>-4.249084249084341E-3</v>
      </c>
      <c r="BN229" s="2" vm="7686">
        <f ca="1"/>
        <v>314.38</v>
      </c>
      <c r="BO229" s="2">
        <f t="shared" ca="1" si="173"/>
        <v>-8.2336982239187787E-3</v>
      </c>
      <c r="BP229" s="2" vm="7687">
        <f ca="1"/>
        <v>117.91</v>
      </c>
      <c r="BQ229" s="2">
        <f t="shared" ca="1" si="174"/>
        <v>-7.575119939399088E-3</v>
      </c>
      <c r="BR229" s="2" vm="7688">
        <f ca="1"/>
        <v>1243.82</v>
      </c>
      <c r="BS229" s="2">
        <f t="shared" ca="1" si="175"/>
        <v>-1.0862995832935778E-2</v>
      </c>
      <c r="BT229" s="2" vm="7689">
        <f ca="1"/>
        <v>160.02000000000001</v>
      </c>
      <c r="BU229" s="2">
        <f t="shared" ca="1" si="176"/>
        <v>5.2138953451850781E-3</v>
      </c>
      <c r="BV229" s="2" vm="7690">
        <f ca="1"/>
        <v>146.38999999999999</v>
      </c>
      <c r="BW229" s="2">
        <f t="shared" ca="1" si="177"/>
        <v>-3.4039076860235555E-3</v>
      </c>
      <c r="BX229" s="2" vm="7691">
        <f ca="1"/>
        <v>255.13</v>
      </c>
      <c r="BY229" s="2">
        <f t="shared" ca="1" si="178"/>
        <v>-1.0510394042817173E-2</v>
      </c>
      <c r="BZ229" s="2" vm="7692">
        <f ca="1"/>
        <v>90.97</v>
      </c>
      <c r="CA229" s="2">
        <f t="shared" ca="1" si="179"/>
        <v>-1.7390365089652186E-2</v>
      </c>
      <c r="CB229" s="2" vm="759">
        <f ca="1"/>
        <v>29.12</v>
      </c>
      <c r="CC229" s="2">
        <f t="shared" ca="1" si="180"/>
        <v>-1.7437780057226147E-2</v>
      </c>
      <c r="CD229" s="2" t="e" vm="92">
        <f ca="1"/>
        <v>#N/A</v>
      </c>
      <c r="CE229" s="2" t="e" vm="140">
        <f t="shared" ca="1" si="181"/>
        <v>#N/A</v>
      </c>
      <c r="CF229" s="2" vm="7693">
        <f ca="1"/>
        <v>23.105</v>
      </c>
      <c r="CG229" s="2">
        <f t="shared" ca="1" si="182"/>
        <v>5.0021748586342755E-3</v>
      </c>
      <c r="CH229" s="2" vm="778">
        <f ca="1"/>
        <v>58.8</v>
      </c>
      <c r="CI229" s="2">
        <f t="shared" ca="1" si="183"/>
        <v>1.3623978201634586E-3</v>
      </c>
      <c r="CJ229" s="2" vm="7694">
        <f ca="1"/>
        <v>60.24</v>
      </c>
      <c r="CK229" s="2">
        <f t="shared" ca="1" si="184"/>
        <v>3.1640299750208965E-3</v>
      </c>
      <c r="CL229" s="2" vm="7695">
        <f ca="1"/>
        <v>56.45</v>
      </c>
      <c r="CM229" s="2">
        <f t="shared" ca="1" si="185"/>
        <v>1.3646974322140513E-2</v>
      </c>
      <c r="CN229" s="2" vm="144">
        <f ca="1"/>
        <v>29.53</v>
      </c>
      <c r="CO229" s="2">
        <f t="shared" ca="1" si="186"/>
        <v>5.1055139550715495E-3</v>
      </c>
      <c r="CP229" s="2" vm="7696">
        <f ca="1"/>
        <v>21.659800000000001</v>
      </c>
      <c r="CQ229" s="2">
        <f t="shared" ca="1" si="187"/>
        <v>9.0658367963029098E-3</v>
      </c>
    </row>
    <row r="230" spans="1:95" x14ac:dyDescent="0.2">
      <c r="A230" s="7" vm="7697">
        <f ca="1"/>
        <v>45908</v>
      </c>
      <c r="B230" s="2" vm="7698">
        <f ca="1"/>
        <v>237.88</v>
      </c>
      <c r="C230" s="2">
        <f t="shared" ca="1" si="141"/>
        <v>-7.5514205849222006E-3</v>
      </c>
      <c r="D230" s="2" vm="7699">
        <f ca="1"/>
        <v>168.31</v>
      </c>
      <c r="E230" s="2">
        <f t="shared" ca="1" si="142"/>
        <v>7.7236259130642557E-3</v>
      </c>
      <c r="F230" s="2" vm="7700">
        <f ca="1"/>
        <v>498.2</v>
      </c>
      <c r="G230" s="2">
        <f t="shared" ca="1" si="143"/>
        <v>6.4646464646464421E-3</v>
      </c>
      <c r="H230" s="2" vm="7701">
        <f ca="1"/>
        <v>752.3</v>
      </c>
      <c r="I230" s="2">
        <f t="shared" ca="1" si="144"/>
        <v>-1.9934879393991752E-4</v>
      </c>
      <c r="J230" s="2" vm="7702">
        <f ca="1"/>
        <v>234.04</v>
      </c>
      <c r="K230" s="2">
        <f t="shared" ca="1" si="145"/>
        <v>-4.085106382978757E-3</v>
      </c>
      <c r="L230" s="2" vm="7703">
        <f ca="1"/>
        <v>648.83000000000004</v>
      </c>
      <c r="M230" s="2">
        <f t="shared" ca="1" si="146"/>
        <v>2.4565848835053951E-3</v>
      </c>
      <c r="N230" s="2" vm="7704">
        <f ca="1"/>
        <v>89.74</v>
      </c>
      <c r="O230" s="2">
        <f t="shared" ca="1" si="147"/>
        <v>1.3324299909665679E-2</v>
      </c>
      <c r="P230" s="2" vm="7705">
        <f ca="1"/>
        <v>334.82</v>
      </c>
      <c r="Q230" s="2">
        <f t="shared" ca="1" si="148"/>
        <v>1.1388007853798465E-2</v>
      </c>
      <c r="R230" s="2" vm="1619">
        <f ca="1"/>
        <v>73.040000000000006</v>
      </c>
      <c r="S230" s="2">
        <f t="shared" ca="1" si="149"/>
        <v>5.6450502547158313E-3</v>
      </c>
      <c r="T230" s="2" vm="7706">
        <f ca="1"/>
        <v>97.08</v>
      </c>
      <c r="U230" s="2">
        <f t="shared" ca="1" si="150"/>
        <v>3.0998140111593011E-3</v>
      </c>
      <c r="V230" s="2" vm="7707">
        <f ca="1"/>
        <v>47.905000000000001</v>
      </c>
      <c r="W230" s="2">
        <f t="shared" ca="1" si="151"/>
        <v>7.3114685606859612E-4</v>
      </c>
      <c r="X230" s="2" vm="7708">
        <f ca="1"/>
        <v>134.44</v>
      </c>
      <c r="Y230" s="2">
        <f t="shared" ca="1" si="152"/>
        <v>2.1968833143291417E-2</v>
      </c>
      <c r="Z230" s="2" vm="7192">
        <f ca="1"/>
        <v>87.16</v>
      </c>
      <c r="AA230" s="2">
        <f t="shared" ca="1" si="153"/>
        <v>-2.289377289377322E-3</v>
      </c>
      <c r="AB230" s="2" vm="7709">
        <f ca="1"/>
        <v>13.33</v>
      </c>
      <c r="AC230" s="2">
        <f t="shared" ca="1" si="154"/>
        <v>6.7975830815709863E-3</v>
      </c>
      <c r="AD230" s="2" vm="6722">
        <f ca="1"/>
        <v>4.7</v>
      </c>
      <c r="AE230" s="2">
        <f t="shared" ca="1" si="155"/>
        <v>4.4444444444444481E-2</v>
      </c>
      <c r="AF230" s="2" vm="7710">
        <f ca="1"/>
        <v>37.51</v>
      </c>
      <c r="AG230" s="2">
        <f t="shared" ca="1" si="156"/>
        <v>8.0623488309593434E-3</v>
      </c>
      <c r="AH230" s="2" vm="7389">
        <f ca="1"/>
        <v>27.28</v>
      </c>
      <c r="AI230" s="2">
        <f t="shared" ca="1" si="157"/>
        <v>4.4182621502209495E-3</v>
      </c>
      <c r="AJ230" s="2" vm="7243">
        <f ca="1"/>
        <v>4.2</v>
      </c>
      <c r="AK230" s="2">
        <f t="shared" ca="1" si="158"/>
        <v>7.1942446043166061E-3</v>
      </c>
      <c r="AL230" s="2" vm="7711">
        <f ca="1"/>
        <v>72.010000000000005</v>
      </c>
      <c r="AM230" s="2">
        <f t="shared" ca="1" si="159"/>
        <v>1.1660578814273648E-2</v>
      </c>
      <c r="AN230" s="2" vm="7712">
        <f ca="1"/>
        <v>126.16</v>
      </c>
      <c r="AO230" s="2">
        <f t="shared" ca="1" si="160"/>
        <v>3.0211480362537404E-3</v>
      </c>
      <c r="AP230" s="2" vm="3580">
        <f ca="1"/>
        <v>27.06</v>
      </c>
      <c r="AQ230" s="2">
        <f t="shared" ca="1" si="161"/>
        <v>2.9651593773164673E-3</v>
      </c>
      <c r="AR230" s="2" vm="121">
        <f ca="1"/>
        <v>50.89</v>
      </c>
      <c r="AS230" s="2">
        <f t="shared" ca="1" si="162"/>
        <v>1.9654088050310555E-4</v>
      </c>
      <c r="AT230" s="2" vm="4979">
        <f ca="1"/>
        <v>29.32</v>
      </c>
      <c r="AU230" s="2">
        <f t="shared" ca="1" si="163"/>
        <v>6.8259385665527558E-4</v>
      </c>
      <c r="AV230" s="2" vm="3898">
        <f ca="1"/>
        <v>27.05</v>
      </c>
      <c r="AW230" s="2">
        <f t="shared" ca="1" si="164"/>
        <v>1.0837070254110581E-2</v>
      </c>
      <c r="AX230" s="2" vm="76">
        <f ca="1"/>
        <v>91.54</v>
      </c>
      <c r="AY230" s="2">
        <f t="shared" ca="1" si="165"/>
        <v>1.0925379656948667E-4</v>
      </c>
      <c r="AZ230" s="2" vm="7713">
        <f ca="1"/>
        <v>493.78</v>
      </c>
      <c r="BA230" s="2">
        <f t="shared" ca="1" si="166"/>
        <v>-1.1985513336134641E-2</v>
      </c>
      <c r="BB230" s="2" vm="7714">
        <f ca="1"/>
        <v>292.91000000000003</v>
      </c>
      <c r="BC230" s="2">
        <f t="shared" ca="1" si="167"/>
        <v>-4.9935457571844907E-3</v>
      </c>
      <c r="BD230" s="2" vm="7715">
        <f ca="1"/>
        <v>49.46</v>
      </c>
      <c r="BE230" s="2">
        <f t="shared" ca="1" si="168"/>
        <v>-6.2286517982720968E-3</v>
      </c>
      <c r="BF230" s="2" vm="7716">
        <f ca="1"/>
        <v>109.85</v>
      </c>
      <c r="BG230" s="2">
        <f t="shared" ca="1" si="169"/>
        <v>5.6760963105373097E-3</v>
      </c>
      <c r="BH230" s="2" vm="1210">
        <f ca="1"/>
        <v>154</v>
      </c>
      <c r="BI230" s="2">
        <f t="shared" ca="1" si="170"/>
        <v>2.2126773395809152E-3</v>
      </c>
      <c r="BJ230" s="2" vm="7717">
        <f ca="1"/>
        <v>178.13</v>
      </c>
      <c r="BK230" s="2">
        <f t="shared" ca="1" si="171"/>
        <v>-1.6813316146388575E-3</v>
      </c>
      <c r="BL230" s="2" vm="7718">
        <f ca="1"/>
        <v>67.430000000000007</v>
      </c>
      <c r="BM230" s="2">
        <f t="shared" ca="1" si="172"/>
        <v>-7.7987051206590196E-3</v>
      </c>
      <c r="BN230" s="2" vm="7719">
        <f ca="1"/>
        <v>312.8</v>
      </c>
      <c r="BO230" s="2">
        <f t="shared" ca="1" si="173"/>
        <v>-5.0257649977733451E-3</v>
      </c>
      <c r="BP230" s="2" vm="7720">
        <f ca="1"/>
        <v>118.84</v>
      </c>
      <c r="BQ230" s="2">
        <f t="shared" ca="1" si="174"/>
        <v>7.8873717241964795E-3</v>
      </c>
      <c r="BR230" s="2" vm="7721">
        <f ca="1"/>
        <v>1244.76</v>
      </c>
      <c r="BS230" s="2">
        <f t="shared" ca="1" si="175"/>
        <v>7.5573636056668536E-4</v>
      </c>
      <c r="BT230" s="2" vm="7722">
        <f ca="1"/>
        <v>159.01</v>
      </c>
      <c r="BU230" s="2">
        <f t="shared" ca="1" si="176"/>
        <v>-6.311711036120605E-3</v>
      </c>
      <c r="BV230" s="2" vm="7723">
        <f ca="1"/>
        <v>141.71</v>
      </c>
      <c r="BW230" s="2">
        <f t="shared" ca="1" si="177"/>
        <v>-3.1969396816722312E-2</v>
      </c>
      <c r="BX230" s="2" vm="7724">
        <f ca="1"/>
        <v>255.28</v>
      </c>
      <c r="BY230" s="2">
        <f t="shared" ca="1" si="178"/>
        <v>5.8793556226239836E-4</v>
      </c>
      <c r="BZ230" s="2" vm="7725">
        <f ca="1"/>
        <v>90.26</v>
      </c>
      <c r="CA230" s="2">
        <f t="shared" ca="1" si="179"/>
        <v>-7.8047708035615454E-3</v>
      </c>
      <c r="CB230" s="2" vm="690">
        <f ca="1"/>
        <v>28.85</v>
      </c>
      <c r="CC230" s="2">
        <f t="shared" ca="1" si="180"/>
        <v>-9.2719780219780064E-3</v>
      </c>
      <c r="CD230" s="2" t="e" vm="92">
        <f ca="1"/>
        <v>#N/A</v>
      </c>
      <c r="CE230" s="2" t="e" vm="140">
        <f t="shared" ca="1" si="181"/>
        <v>#N/A</v>
      </c>
      <c r="CF230" s="2" vm="7726">
        <f ca="1"/>
        <v>23.184999999999999</v>
      </c>
      <c r="CG230" s="2">
        <f t="shared" ca="1" si="182"/>
        <v>3.4624540142825489E-3</v>
      </c>
      <c r="CH230" s="2" vm="1535">
        <f ca="1"/>
        <v>58.85</v>
      </c>
      <c r="CI230" s="2">
        <f t="shared" ca="1" si="183"/>
        <v>8.5034013605449427E-4</v>
      </c>
      <c r="CJ230" s="2" vm="7727">
        <f ca="1"/>
        <v>60.33</v>
      </c>
      <c r="CK230" s="2">
        <f t="shared" ca="1" si="184"/>
        <v>1.4940239043824087E-3</v>
      </c>
      <c r="CL230" s="2" vm="1107">
        <f ca="1"/>
        <v>57.08</v>
      </c>
      <c r="CM230" s="2">
        <f t="shared" ca="1" si="185"/>
        <v>1.116031886625324E-2</v>
      </c>
      <c r="CN230" s="2" vm="7728">
        <f ca="1"/>
        <v>29.62</v>
      </c>
      <c r="CO230" s="2">
        <f t="shared" ca="1" si="186"/>
        <v>3.047748052827628E-3</v>
      </c>
      <c r="CP230" s="2" vm="7729">
        <f ca="1"/>
        <v>21.485800000000001</v>
      </c>
      <c r="CQ230" s="2">
        <f t="shared" ca="1" si="187"/>
        <v>-8.0333151737319586E-3</v>
      </c>
    </row>
    <row r="231" spans="1:95" x14ac:dyDescent="0.2">
      <c r="A231" s="7" vm="7730">
        <f ca="1"/>
        <v>45909</v>
      </c>
      <c r="B231" s="2" vm="7731">
        <f ca="1"/>
        <v>234.35</v>
      </c>
      <c r="C231" s="2">
        <f t="shared" ca="1" si="141"/>
        <v>-1.4839414831007236E-2</v>
      </c>
      <c r="D231" s="2" vm="1293">
        <f ca="1"/>
        <v>170.76</v>
      </c>
      <c r="E231" s="2">
        <f t="shared" ca="1" si="142"/>
        <v>1.4556473174499368E-2</v>
      </c>
      <c r="F231" s="2" vm="7732">
        <f ca="1"/>
        <v>498.41</v>
      </c>
      <c r="G231" s="2">
        <f t="shared" ca="1" si="143"/>
        <v>4.215174628663918E-4</v>
      </c>
      <c r="H231" s="2" vm="7733">
        <f ca="1"/>
        <v>765.7</v>
      </c>
      <c r="I231" s="2">
        <f t="shared" ca="1" si="144"/>
        <v>1.7812043067925151E-2</v>
      </c>
      <c r="J231" s="2" vm="7255">
        <f ca="1"/>
        <v>239.63</v>
      </c>
      <c r="K231" s="2">
        <f t="shared" ca="1" si="145"/>
        <v>2.3884806016065647E-2</v>
      </c>
      <c r="L231" s="2" vm="7734">
        <f ca="1"/>
        <v>650.33000000000004</v>
      </c>
      <c r="M231" s="2">
        <f t="shared" ca="1" si="146"/>
        <v>2.3118536442519612E-3</v>
      </c>
      <c r="N231" s="2" vm="7735">
        <f ca="1"/>
        <v>89.23</v>
      </c>
      <c r="O231" s="2">
        <f t="shared" ca="1" si="147"/>
        <v>-5.6830844662356913E-3</v>
      </c>
      <c r="P231" s="2" vm="7736">
        <f ca="1"/>
        <v>334.06</v>
      </c>
      <c r="Q231" s="2">
        <f t="shared" ca="1" si="148"/>
        <v>-2.269876351472406E-3</v>
      </c>
      <c r="R231" s="2" vm="7737">
        <f ca="1"/>
        <v>73.39</v>
      </c>
      <c r="S231" s="2">
        <f t="shared" ca="1" si="149"/>
        <v>4.7918948521357375E-3</v>
      </c>
      <c r="T231" s="2" vm="7738">
        <f ca="1"/>
        <v>96.85</v>
      </c>
      <c r="U231" s="2">
        <f t="shared" ca="1" si="150"/>
        <v>-2.3691800576844252E-3</v>
      </c>
      <c r="V231" s="2" vm="7739">
        <f ca="1"/>
        <v>47.820300000000003</v>
      </c>
      <c r="W231" s="2">
        <f t="shared" ca="1" si="151"/>
        <v>-1.7680826636050099E-3</v>
      </c>
      <c r="X231" s="2" vm="7740">
        <f ca="1"/>
        <v>134.41999999999999</v>
      </c>
      <c r="Y231" s="2">
        <f t="shared" ca="1" si="152"/>
        <v>-1.48765248438041E-4</v>
      </c>
      <c r="Z231" s="2" vm="6360">
        <f ca="1"/>
        <v>87.58</v>
      </c>
      <c r="AA231" s="2">
        <f t="shared" ca="1" si="153"/>
        <v>4.8187241854061695E-3</v>
      </c>
      <c r="AB231" s="2" vm="7099">
        <f ca="1"/>
        <v>13.39</v>
      </c>
      <c r="AC231" s="2">
        <f t="shared" ca="1" si="154"/>
        <v>4.5011252813203671E-3</v>
      </c>
      <c r="AD231" s="2" vm="1398">
        <f ca="1"/>
        <v>5</v>
      </c>
      <c r="AE231" s="2">
        <f t="shared" ca="1" si="155"/>
        <v>6.3829787234042507E-2</v>
      </c>
      <c r="AF231" s="2" vm="7741">
        <f ca="1"/>
        <v>37.18</v>
      </c>
      <c r="AG231" s="2">
        <f t="shared" ca="1" si="156"/>
        <v>-8.7976539589442373E-3</v>
      </c>
      <c r="AH231" s="2" vm="7742">
        <f ca="1"/>
        <v>27.1</v>
      </c>
      <c r="AI231" s="2">
        <f t="shared" ca="1" si="157"/>
        <v>-6.5982404692082001E-3</v>
      </c>
      <c r="AJ231" s="2" vm="7743">
        <f ca="1"/>
        <v>4.16</v>
      </c>
      <c r="AK231" s="2">
        <f t="shared" ca="1" si="158"/>
        <v>-9.5238095238095316E-3</v>
      </c>
      <c r="AL231" s="2" vm="4367">
        <f ca="1"/>
        <v>71.87</v>
      </c>
      <c r="AM231" s="2">
        <f t="shared" ca="1" si="159"/>
        <v>-1.9441744202194217E-3</v>
      </c>
      <c r="AN231" s="2" vm="7744">
        <f ca="1"/>
        <v>125</v>
      </c>
      <c r="AO231" s="2">
        <f t="shared" ca="1" si="160"/>
        <v>-9.1946734305643363E-3</v>
      </c>
      <c r="AP231" s="2" vm="801">
        <f ca="1"/>
        <v>27.01</v>
      </c>
      <c r="AQ231" s="2">
        <f t="shared" ca="1" si="161"/>
        <v>-1.8477457501846696E-3</v>
      </c>
      <c r="AR231" s="2" vm="121">
        <f ca="1"/>
        <v>50.89</v>
      </c>
      <c r="AS231" s="2">
        <f t="shared" ca="1" si="162"/>
        <v>0</v>
      </c>
      <c r="AT231" s="2" vm="443">
        <f ca="1"/>
        <v>29.3</v>
      </c>
      <c r="AU231" s="2">
        <f t="shared" ca="1" si="163"/>
        <v>-6.8212824010912599E-4</v>
      </c>
      <c r="AV231" s="2" vm="1162">
        <f ca="1"/>
        <v>26.92</v>
      </c>
      <c r="AW231" s="2">
        <f t="shared" ca="1" si="164"/>
        <v>-4.8059149722735305E-3</v>
      </c>
      <c r="AX231" s="2" vm="124">
        <f ca="1"/>
        <v>91.55</v>
      </c>
      <c r="AY231" s="2">
        <f t="shared" ca="1" si="165"/>
        <v>1.0924186148122028E-4</v>
      </c>
      <c r="AZ231" s="2" vm="7745">
        <f ca="1"/>
        <v>492.72</v>
      </c>
      <c r="BA231" s="2">
        <f t="shared" ca="1" si="166"/>
        <v>-2.1467050103283758E-3</v>
      </c>
      <c r="BB231" s="2" vm="7746">
        <f ca="1"/>
        <v>297.85000000000002</v>
      </c>
      <c r="BC231" s="2">
        <f t="shared" ca="1" si="167"/>
        <v>1.6865248711208213E-2</v>
      </c>
      <c r="BD231" s="2" vm="7747">
        <f ca="1"/>
        <v>50.29</v>
      </c>
      <c r="BE231" s="2">
        <f t="shared" ca="1" si="168"/>
        <v>1.6781237363526047E-2</v>
      </c>
      <c r="BF231" s="2" vm="7748">
        <f ca="1"/>
        <v>110.65</v>
      </c>
      <c r="BG231" s="2">
        <f t="shared" ca="1" si="169"/>
        <v>7.2826581702322389E-3</v>
      </c>
      <c r="BH231" s="2" vm="7749">
        <f ca="1"/>
        <v>154.85</v>
      </c>
      <c r="BI231" s="2">
        <f t="shared" ca="1" si="170"/>
        <v>5.5194805194804823E-3</v>
      </c>
      <c r="BJ231" s="2" vm="7750">
        <f ca="1"/>
        <v>176.96</v>
      </c>
      <c r="BK231" s="2">
        <f t="shared" ca="1" si="171"/>
        <v>-6.5682366810755491E-3</v>
      </c>
      <c r="BL231" s="2" vm="7751">
        <f ca="1"/>
        <v>67.86</v>
      </c>
      <c r="BM231" s="2">
        <f t="shared" ca="1" si="172"/>
        <v>6.3769835384842443E-3</v>
      </c>
      <c r="BN231" s="2" vm="7752">
        <f ca="1"/>
        <v>312.52</v>
      </c>
      <c r="BO231" s="2">
        <f t="shared" ca="1" si="173"/>
        <v>-8.9514066496173129E-4</v>
      </c>
      <c r="BP231" s="2" vm="5220">
        <f ca="1"/>
        <v>117.37</v>
      </c>
      <c r="BQ231" s="2">
        <f t="shared" ca="1" si="174"/>
        <v>-1.2369572534500158E-2</v>
      </c>
      <c r="BR231" s="2" vm="7753">
        <f ca="1"/>
        <v>1263.25</v>
      </c>
      <c r="BS231" s="2">
        <f t="shared" ca="1" si="175"/>
        <v>1.4854269096050652E-2</v>
      </c>
      <c r="BT231" s="2" vm="7754">
        <f ca="1"/>
        <v>159.46</v>
      </c>
      <c r="BU231" s="2">
        <f t="shared" ca="1" si="176"/>
        <v>2.8300106911516073E-3</v>
      </c>
      <c r="BV231" s="2" vm="7755">
        <f ca="1"/>
        <v>143.1</v>
      </c>
      <c r="BW231" s="2">
        <f t="shared" ca="1" si="177"/>
        <v>9.808764377954882E-3</v>
      </c>
      <c r="BX231" s="2" vm="7756">
        <f ca="1"/>
        <v>254.01</v>
      </c>
      <c r="BY231" s="2">
        <f t="shared" ca="1" si="178"/>
        <v>-4.974929489188382E-3</v>
      </c>
      <c r="BZ231" s="2" vm="1076">
        <f ca="1"/>
        <v>90.66</v>
      </c>
      <c r="CA231" s="2">
        <f t="shared" ca="1" si="179"/>
        <v>4.4316419233324999E-3</v>
      </c>
      <c r="CB231" s="2" vm="333">
        <f ca="1"/>
        <v>28.89</v>
      </c>
      <c r="CC231" s="2">
        <f t="shared" ca="1" si="180"/>
        <v>1.3864818024263135E-3</v>
      </c>
      <c r="CD231" s="2" t="e" vm="92">
        <f ca="1"/>
        <v>#N/A</v>
      </c>
      <c r="CE231" s="2" t="e" vm="140">
        <f t="shared" ca="1" si="181"/>
        <v>#N/A</v>
      </c>
      <c r="CF231" s="2" vm="7757">
        <f ca="1"/>
        <v>23.135000000000002</v>
      </c>
      <c r="CG231" s="2">
        <f t="shared" ca="1" si="182"/>
        <v>-2.1565667457406584E-3</v>
      </c>
      <c r="CH231" s="2" vm="4956">
        <f ca="1"/>
        <v>58.78</v>
      </c>
      <c r="CI231" s="2">
        <f t="shared" ca="1" si="183"/>
        <v>-1.1894647408666149E-3</v>
      </c>
      <c r="CJ231" s="2" vm="7694">
        <f ca="1"/>
        <v>60.24</v>
      </c>
      <c r="CK231" s="2">
        <f t="shared" ca="1" si="184"/>
        <v>-1.4917951268025246E-3</v>
      </c>
      <c r="CL231" s="2" vm="1222">
        <f ca="1"/>
        <v>56.82</v>
      </c>
      <c r="CM231" s="2">
        <f t="shared" ca="1" si="185"/>
        <v>-4.5550105115626845E-3</v>
      </c>
      <c r="CN231" s="2" vm="7758">
        <f ca="1"/>
        <v>29.58</v>
      </c>
      <c r="CO231" s="2">
        <f t="shared" ca="1" si="186"/>
        <v>-1.3504388926401992E-3</v>
      </c>
      <c r="CP231" s="2" vm="7759">
        <f ca="1"/>
        <v>21.500299999999999</v>
      </c>
      <c r="CQ231" s="2">
        <f t="shared" ca="1" si="187"/>
        <v>6.7486432899860284E-4</v>
      </c>
    </row>
    <row r="232" spans="1:95" x14ac:dyDescent="0.2">
      <c r="A232" s="7" vm="7760">
        <f ca="1"/>
        <v>45910</v>
      </c>
      <c r="B232" s="2" vm="7761">
        <f ca="1"/>
        <v>226.79</v>
      </c>
      <c r="C232" s="2">
        <f t="shared" ca="1" si="141"/>
        <v>-3.2259441007040764E-2</v>
      </c>
      <c r="D232" s="2" vm="7762">
        <f ca="1"/>
        <v>177.33</v>
      </c>
      <c r="E232" s="2">
        <f t="shared" ca="1" si="142"/>
        <v>3.8475052705551779E-2</v>
      </c>
      <c r="F232" s="2" vm="7763">
        <f ca="1"/>
        <v>500.37</v>
      </c>
      <c r="G232" s="2">
        <f t="shared" ca="1" si="143"/>
        <v>3.9325053670672327E-3</v>
      </c>
      <c r="H232" s="2" vm="7764">
        <f ca="1"/>
        <v>751.98</v>
      </c>
      <c r="I232" s="2">
        <f t="shared" ca="1" si="144"/>
        <v>-1.7918244743372114E-2</v>
      </c>
      <c r="J232" s="2" vm="7765">
        <f ca="1"/>
        <v>239.17</v>
      </c>
      <c r="K232" s="2">
        <f t="shared" ca="1" si="145"/>
        <v>-1.9196260902224595E-3</v>
      </c>
      <c r="L232" s="2" vm="7766">
        <f ca="1"/>
        <v>652.21</v>
      </c>
      <c r="M232" s="2">
        <f t="shared" ca="1" si="146"/>
        <v>2.8908400350591166E-3</v>
      </c>
      <c r="N232" s="2" vm="7704">
        <f ca="1"/>
        <v>89.74</v>
      </c>
      <c r="O232" s="2">
        <f t="shared" ca="1" si="147"/>
        <v>5.7155665135043242E-3</v>
      </c>
      <c r="P232" s="2" vm="7767">
        <f ca="1"/>
        <v>335.26</v>
      </c>
      <c r="Q232" s="2">
        <f t="shared" ca="1" si="148"/>
        <v>3.5921690714242611E-3</v>
      </c>
      <c r="R232" s="2" vm="7768">
        <f ca="1"/>
        <v>74.709999999999994</v>
      </c>
      <c r="S232" s="2">
        <f t="shared" ca="1" si="149"/>
        <v>1.798610164872589E-2</v>
      </c>
      <c r="T232" s="2" vm="7769">
        <f ca="1"/>
        <v>97.11</v>
      </c>
      <c r="U232" s="2">
        <f t="shared" ca="1" si="150"/>
        <v>2.6845637583893145E-3</v>
      </c>
      <c r="V232" s="2" vm="7770">
        <f ca="1"/>
        <v>47.9</v>
      </c>
      <c r="W232" s="2">
        <f t="shared" ca="1" si="151"/>
        <v>1.6666562108559636E-3</v>
      </c>
      <c r="X232" s="2" vm="7771">
        <f ca="1"/>
        <v>133.63999999999999</v>
      </c>
      <c r="Y232" s="2">
        <f t="shared" ca="1" si="152"/>
        <v>-5.8027079303675138E-3</v>
      </c>
      <c r="Z232" s="2" vm="7772">
        <f ca="1"/>
        <v>89.11</v>
      </c>
      <c r="AA232" s="2">
        <f t="shared" ca="1" si="153"/>
        <v>1.7469741950216958E-2</v>
      </c>
      <c r="AB232" s="2" vm="6598">
        <f ca="1"/>
        <v>13.63</v>
      </c>
      <c r="AC232" s="2">
        <f t="shared" ca="1" si="154"/>
        <v>1.7923823749066484E-2</v>
      </c>
      <c r="AD232" s="2" vm="7444">
        <f ca="1"/>
        <v>4.79</v>
      </c>
      <c r="AE232" s="2">
        <f t="shared" ca="1" si="155"/>
        <v>-4.1999999999999996E-2</v>
      </c>
      <c r="AF232" s="2" vm="4774">
        <f ca="1"/>
        <v>37.409999999999997</v>
      </c>
      <c r="AG232" s="2">
        <f t="shared" ca="1" si="156"/>
        <v>6.1861215707368711E-3</v>
      </c>
      <c r="AH232" s="2" vm="7773">
        <f ca="1"/>
        <v>27.21</v>
      </c>
      <c r="AI232" s="2">
        <f t="shared" ca="1" si="157"/>
        <v>4.0590405904058829E-3</v>
      </c>
      <c r="AJ232" s="2" vm="7774">
        <f ca="1"/>
        <v>4.1399999999999997</v>
      </c>
      <c r="AK232" s="2">
        <f t="shared" ca="1" si="158"/>
        <v>-4.807692307692419E-3</v>
      </c>
      <c r="AL232" s="2" vm="7775">
        <f ca="1"/>
        <v>72.12</v>
      </c>
      <c r="AM232" s="2">
        <f t="shared" ca="1" si="159"/>
        <v>3.4785028523723386E-3</v>
      </c>
      <c r="AN232" s="2" vm="7776">
        <f ca="1"/>
        <v>126.57</v>
      </c>
      <c r="AO232" s="2">
        <f t="shared" ca="1" si="160"/>
        <v>1.2559999999999946E-2</v>
      </c>
      <c r="AP232" s="2" vm="3547">
        <f ca="1"/>
        <v>27.03</v>
      </c>
      <c r="AQ232" s="2">
        <f t="shared" ca="1" si="161"/>
        <v>7.4046649389113563E-4</v>
      </c>
      <c r="AR232" s="2" vm="7777">
        <f ca="1"/>
        <v>50.914999999999999</v>
      </c>
      <c r="AS232" s="2">
        <f t="shared" ca="1" si="162"/>
        <v>4.9125564943994064E-4</v>
      </c>
      <c r="AT232" s="2" vm="443">
        <f ca="1"/>
        <v>29.3</v>
      </c>
      <c r="AU232" s="2">
        <f t="shared" ca="1" si="163"/>
        <v>0</v>
      </c>
      <c r="AV232" s="2" vm="3782">
        <f ca="1"/>
        <v>27.07</v>
      </c>
      <c r="AW232" s="2">
        <f t="shared" ca="1" si="164"/>
        <v>5.572065378900393E-3</v>
      </c>
      <c r="AX232" s="2" vm="1786">
        <f ca="1"/>
        <v>91.56</v>
      </c>
      <c r="AY232" s="2">
        <f t="shared" ca="1" si="165"/>
        <v>1.0922992900060204E-4</v>
      </c>
      <c r="AZ232" s="2" vm="7778">
        <f ca="1"/>
        <v>490.08</v>
      </c>
      <c r="BA232" s="2">
        <f t="shared" ca="1" si="166"/>
        <v>-5.3580126643936578E-3</v>
      </c>
      <c r="BB232" s="2" vm="7779">
        <f ca="1"/>
        <v>300.54000000000002</v>
      </c>
      <c r="BC232" s="2">
        <f t="shared" ca="1" si="167"/>
        <v>9.0313916400872832E-3</v>
      </c>
      <c r="BD232" s="2" vm="7780">
        <f ca="1"/>
        <v>50.13</v>
      </c>
      <c r="BE232" s="2">
        <f t="shared" ca="1" si="168"/>
        <v>-3.1815470272419286E-3</v>
      </c>
      <c r="BF232" s="2" vm="7781">
        <f ca="1"/>
        <v>112.5</v>
      </c>
      <c r="BG232" s="2">
        <f t="shared" ca="1" si="169"/>
        <v>1.6719385449615855E-2</v>
      </c>
      <c r="BH232" s="2" vm="1759">
        <f ca="1"/>
        <v>157.79</v>
      </c>
      <c r="BI232" s="2">
        <f t="shared" ca="1" si="170"/>
        <v>1.8986115595737797E-2</v>
      </c>
      <c r="BJ232" s="2" vm="7782">
        <f ca="1"/>
        <v>175.79</v>
      </c>
      <c r="BK232" s="2">
        <f t="shared" ca="1" si="171"/>
        <v>-6.6116636528029829E-3</v>
      </c>
      <c r="BL232" s="2" vm="4804">
        <f ca="1"/>
        <v>67.819999999999993</v>
      </c>
      <c r="BM232" s="2">
        <f t="shared" ca="1" si="172"/>
        <v>-5.894488653110264E-4</v>
      </c>
      <c r="BN232" s="2" vm="7783">
        <f ca="1"/>
        <v>305.94</v>
      </c>
      <c r="BO232" s="2">
        <f t="shared" ca="1" si="173"/>
        <v>-2.1054652502239805E-2</v>
      </c>
      <c r="BP232" s="2" vm="7784">
        <f ca="1"/>
        <v>115.79</v>
      </c>
      <c r="BQ232" s="2">
        <f t="shared" ca="1" si="174"/>
        <v>-1.3461702308937533E-2</v>
      </c>
      <c r="BR232" s="2" vm="7785">
        <f ca="1"/>
        <v>1247.71</v>
      </c>
      <c r="BS232" s="2">
        <f t="shared" ca="1" si="175"/>
        <v>-1.2301603008113962E-2</v>
      </c>
      <c r="BT232" s="2" vm="7786">
        <f ca="1"/>
        <v>157.35</v>
      </c>
      <c r="BU232" s="2">
        <f t="shared" ca="1" si="176"/>
        <v>-1.3232158535055898E-2</v>
      </c>
      <c r="BV232" s="2" vm="7787">
        <f ca="1"/>
        <v>142.66</v>
      </c>
      <c r="BW232" s="2">
        <f t="shared" ca="1" si="177"/>
        <v>-3.074772886093625E-3</v>
      </c>
      <c r="BX232" s="2" vm="7788">
        <f ca="1"/>
        <v>260.07</v>
      </c>
      <c r="BY232" s="2">
        <f t="shared" ca="1" si="178"/>
        <v>2.3857328451635771E-2</v>
      </c>
      <c r="BZ232" s="2" vm="1844">
        <f ca="1"/>
        <v>92.2</v>
      </c>
      <c r="CA232" s="2">
        <f t="shared" ca="1" si="179"/>
        <v>1.6986543128171258E-2</v>
      </c>
      <c r="CB232" s="2" vm="1570">
        <f ca="1"/>
        <v>29.48</v>
      </c>
      <c r="CC232" s="2">
        <f t="shared" ca="1" si="180"/>
        <v>2.0422291450328828E-2</v>
      </c>
      <c r="CD232" s="2" t="e" vm="92">
        <f ca="1"/>
        <v>#N/A</v>
      </c>
      <c r="CE232" s="2" t="e" vm="140">
        <f t="shared" ca="1" si="181"/>
        <v>#N/A</v>
      </c>
      <c r="CF232" s="2" vm="7789">
        <f ca="1"/>
        <v>23.175000000000001</v>
      </c>
      <c r="CG232" s="2">
        <f t="shared" ca="1" si="182"/>
        <v>1.7289820618110717E-3</v>
      </c>
      <c r="CH232" s="2" vm="778">
        <f ca="1"/>
        <v>58.8</v>
      </c>
      <c r="CI232" s="2">
        <f t="shared" ca="1" si="183"/>
        <v>3.4025178632181047E-4</v>
      </c>
      <c r="CJ232" s="2" vm="7790">
        <f ca="1"/>
        <v>60.3</v>
      </c>
      <c r="CK232" s="2">
        <f t="shared" ca="1" si="184"/>
        <v>9.9601593625489983E-4</v>
      </c>
      <c r="CL232" s="2" vm="7791">
        <f ca="1"/>
        <v>57.11</v>
      </c>
      <c r="CM232" s="2">
        <f t="shared" ca="1" si="185"/>
        <v>5.1038366772263137E-3</v>
      </c>
      <c r="CN232" s="2" vm="7792">
        <f ca="1"/>
        <v>29.65</v>
      </c>
      <c r="CO232" s="2">
        <f t="shared" ca="1" si="186"/>
        <v>2.3664638269100843E-3</v>
      </c>
      <c r="CP232" s="2" vm="7793">
        <f ca="1"/>
        <v>21.54</v>
      </c>
      <c r="CQ232" s="2">
        <f t="shared" ca="1" si="187"/>
        <v>1.8464858629879512E-3</v>
      </c>
    </row>
    <row r="233" spans="1:95" x14ac:dyDescent="0.2">
      <c r="A233" s="7" vm="7794">
        <f ca="1"/>
        <v>45911</v>
      </c>
      <c r="B233" s="2" vm="7795">
        <f ca="1"/>
        <v>230.03</v>
      </c>
      <c r="C233" s="2">
        <f t="shared" ca="1" si="141"/>
        <v>1.4286344195070371E-2</v>
      </c>
      <c r="D233" s="2" vm="7564">
        <f ca="1"/>
        <v>177.17</v>
      </c>
      <c r="E233" s="2">
        <f t="shared" ca="1" si="142"/>
        <v>-9.0227259910914681E-4</v>
      </c>
      <c r="F233" s="2" vm="7796">
        <f ca="1"/>
        <v>501.01</v>
      </c>
      <c r="G233" s="2">
        <f t="shared" ca="1" si="143"/>
        <v>1.2790535004096695E-3</v>
      </c>
      <c r="H233" s="2" vm="7797">
        <f ca="1"/>
        <v>750.9</v>
      </c>
      <c r="I233" s="2">
        <f t="shared" ca="1" si="144"/>
        <v>-1.4362084097981874E-3</v>
      </c>
      <c r="J233" s="2" vm="7798">
        <f ca="1"/>
        <v>240.37</v>
      </c>
      <c r="K233" s="2">
        <f t="shared" ca="1" si="145"/>
        <v>5.0173516745411926E-3</v>
      </c>
      <c r="L233" s="2" vm="7799">
        <f ca="1"/>
        <v>657.63</v>
      </c>
      <c r="M233" s="2">
        <f t="shared" ca="1" si="146"/>
        <v>8.3102068352217204E-3</v>
      </c>
      <c r="N233" s="2" vm="374">
        <f ca="1"/>
        <v>90.34</v>
      </c>
      <c r="O233" s="2">
        <f t="shared" ca="1" si="147"/>
        <v>6.6859817249833803E-3</v>
      </c>
      <c r="P233" s="2" vm="7800">
        <f ca="1"/>
        <v>334.76</v>
      </c>
      <c r="Q233" s="2">
        <f t="shared" ca="1" si="148"/>
        <v>-1.4913798246137327E-3</v>
      </c>
      <c r="R233" s="2" vm="4778">
        <f ca="1"/>
        <v>73</v>
      </c>
      <c r="S233" s="2">
        <f t="shared" ca="1" si="149"/>
        <v>-2.2888502208539604E-2</v>
      </c>
      <c r="T233" s="2" vm="7801">
        <f ca="1"/>
        <v>97.26</v>
      </c>
      <c r="U233" s="2">
        <f t="shared" ca="1" si="150"/>
        <v>1.5446400988570249E-3</v>
      </c>
      <c r="V233" s="2" vm="7802">
        <f ca="1"/>
        <v>48.024999999999999</v>
      </c>
      <c r="W233" s="2">
        <f t="shared" ca="1" si="151"/>
        <v>2.6096033402922755E-3</v>
      </c>
      <c r="X233" s="2" vm="7803">
        <f ca="1"/>
        <v>136.4</v>
      </c>
      <c r="Y233" s="2">
        <f t="shared" ca="1" si="152"/>
        <v>2.0652499251721187E-2</v>
      </c>
      <c r="Z233" s="2" vm="3609">
        <f ca="1"/>
        <v>89.13</v>
      </c>
      <c r="AA233" s="2">
        <f t="shared" ca="1" si="153"/>
        <v>2.2444170126805095E-4</v>
      </c>
      <c r="AB233" s="2" vm="7804">
        <f ca="1"/>
        <v>13.29</v>
      </c>
      <c r="AC233" s="2">
        <f t="shared" ca="1" si="154"/>
        <v>-2.494497432135008E-2</v>
      </c>
      <c r="AD233" s="2" vm="1276">
        <f ca="1"/>
        <v>4.8</v>
      </c>
      <c r="AE233" s="2">
        <f t="shared" ca="1" si="155"/>
        <v>2.087682672233776E-3</v>
      </c>
      <c r="AF233" s="2" vm="7805">
        <f ca="1"/>
        <v>37.79</v>
      </c>
      <c r="AG233" s="2">
        <f t="shared" ca="1" si="156"/>
        <v>1.0157711841753611E-2</v>
      </c>
      <c r="AH233" s="2" vm="510">
        <f ca="1"/>
        <v>27.41</v>
      </c>
      <c r="AI233" s="2">
        <f t="shared" ca="1" si="157"/>
        <v>7.3502388827636636E-3</v>
      </c>
      <c r="AJ233" s="2" vm="7806">
        <f ca="1"/>
        <v>4.18</v>
      </c>
      <c r="AK233" s="2">
        <f t="shared" ca="1" si="158"/>
        <v>9.6618357487922805E-3</v>
      </c>
      <c r="AL233" s="2" vm="5431">
        <f ca="1"/>
        <v>72</v>
      </c>
      <c r="AM233" s="2">
        <f t="shared" ca="1" si="159"/>
        <v>-1.6638935108153707E-3</v>
      </c>
      <c r="AN233" s="2" vm="7807">
        <f ca="1"/>
        <v>126.29</v>
      </c>
      <c r="AO233" s="2">
        <f t="shared" ca="1" si="160"/>
        <v>-2.2122145848146239E-3</v>
      </c>
      <c r="AP233" s="2" vm="7808">
        <f ca="1"/>
        <v>27.09</v>
      </c>
      <c r="AQ233" s="2">
        <f t="shared" ca="1" si="161"/>
        <v>2.2197558268589983E-3</v>
      </c>
      <c r="AR233" s="2" vm="1746">
        <f ca="1"/>
        <v>50.92</v>
      </c>
      <c r="AS233" s="2">
        <f t="shared" ca="1" si="162"/>
        <v>9.8202887164932886E-5</v>
      </c>
      <c r="AT233" s="2" vm="1647">
        <f ca="1"/>
        <v>29.31</v>
      </c>
      <c r="AU233" s="2">
        <f t="shared" ca="1" si="163"/>
        <v>3.4129692832757713E-4</v>
      </c>
      <c r="AV233" s="2" vm="2628">
        <f ca="1"/>
        <v>27.2</v>
      </c>
      <c r="AW233" s="2">
        <f t="shared" ca="1" si="164"/>
        <v>4.8023642408570001E-3</v>
      </c>
      <c r="AX233" s="2" vm="1049">
        <f ca="1"/>
        <v>91.57</v>
      </c>
      <c r="AY233" s="2">
        <f t="shared" ca="1" si="165"/>
        <v>1.0921799912615667E-4</v>
      </c>
      <c r="AZ233" s="2" vm="7809">
        <f ca="1"/>
        <v>496.91</v>
      </c>
      <c r="BA233" s="2">
        <f t="shared" ca="1" si="166"/>
        <v>1.3936500163238739E-2</v>
      </c>
      <c r="BB233" s="2" vm="7810">
        <f ca="1"/>
        <v>305.56</v>
      </c>
      <c r="BC233" s="2">
        <f t="shared" ca="1" si="167"/>
        <v>1.6703267451919815E-2</v>
      </c>
      <c r="BD233" s="2" vm="2074">
        <f ca="1"/>
        <v>50.75</v>
      </c>
      <c r="BE233" s="2">
        <f t="shared" ca="1" si="168"/>
        <v>1.2367843606622729E-2</v>
      </c>
      <c r="BF233" s="2" vm="2954">
        <f ca="1"/>
        <v>112.14</v>
      </c>
      <c r="BG233" s="2">
        <f t="shared" ca="1" si="169"/>
        <v>-3.1999999999999949E-3</v>
      </c>
      <c r="BH233" s="2" vm="7811">
        <f ca="1"/>
        <v>158.25</v>
      </c>
      <c r="BI233" s="2">
        <f t="shared" ca="1" si="170"/>
        <v>2.915267127194423E-3</v>
      </c>
      <c r="BJ233" s="2" vm="7812">
        <f ca="1"/>
        <v>178.5</v>
      </c>
      <c r="BK233" s="2">
        <f t="shared" ca="1" si="171"/>
        <v>1.5416121508618284E-2</v>
      </c>
      <c r="BL233" s="2" vm="7813">
        <f ca="1"/>
        <v>67.62</v>
      </c>
      <c r="BM233" s="2">
        <f t="shared" ca="1" si="172"/>
        <v>-2.9489826010024867E-3</v>
      </c>
      <c r="BN233" s="2" vm="7814">
        <f ca="1"/>
        <v>308.43</v>
      </c>
      <c r="BO233" s="2">
        <f t="shared" ca="1" si="173"/>
        <v>8.1388507550500394E-3</v>
      </c>
      <c r="BP233" s="2" vm="7815">
        <f ca="1"/>
        <v>117.08</v>
      </c>
      <c r="BQ233" s="2">
        <f t="shared" ca="1" si="174"/>
        <v>1.1140858450643337E-2</v>
      </c>
      <c r="BR233" s="2" vm="7816">
        <f ca="1"/>
        <v>1203.5</v>
      </c>
      <c r="BS233" s="2">
        <f t="shared" ca="1" si="175"/>
        <v>-3.5432913096793354E-2</v>
      </c>
      <c r="BT233" s="2" vm="6252">
        <f ca="1"/>
        <v>158.63</v>
      </c>
      <c r="BU233" s="2">
        <f t="shared" ca="1" si="176"/>
        <v>8.1347314903082377E-3</v>
      </c>
      <c r="BV233" s="2" vm="7817">
        <f ca="1"/>
        <v>144.22999999999999</v>
      </c>
      <c r="BW233" s="2">
        <f t="shared" ca="1" si="177"/>
        <v>1.1005187158278376E-2</v>
      </c>
      <c r="BX233" s="2" vm="7818">
        <f ca="1"/>
        <v>260.17</v>
      </c>
      <c r="BY233" s="2">
        <f t="shared" ca="1" si="178"/>
        <v>3.8451186219103605E-4</v>
      </c>
      <c r="BZ233" s="2" vm="3446">
        <f ca="1"/>
        <v>92.02</v>
      </c>
      <c r="CA233" s="2">
        <f t="shared" ca="1" si="179"/>
        <v>-1.9522776572668851E-3</v>
      </c>
      <c r="CB233" s="2" vm="7819">
        <f ca="1"/>
        <v>29.355</v>
      </c>
      <c r="CC233" s="2">
        <f t="shared" ca="1" si="180"/>
        <v>-4.2401628222523743E-3</v>
      </c>
      <c r="CD233" s="2" t="e" vm="92">
        <f ca="1"/>
        <v>#N/A</v>
      </c>
      <c r="CE233" s="2" t="e" vm="140">
        <f t="shared" ca="1" si="181"/>
        <v>#N/A</v>
      </c>
      <c r="CF233" s="2" vm="7820">
        <f ca="1"/>
        <v>23.204999999999998</v>
      </c>
      <c r="CG233" s="2">
        <f t="shared" ca="1" si="182"/>
        <v>1.2944983818769184E-3</v>
      </c>
      <c r="CH233" s="2" vm="7821">
        <f ca="1"/>
        <v>58.82</v>
      </c>
      <c r="CI233" s="2">
        <f t="shared" ca="1" si="183"/>
        <v>3.4013605442182192E-4</v>
      </c>
      <c r="CJ233" s="2" vm="7822">
        <f ca="1"/>
        <v>60.34</v>
      </c>
      <c r="CK233" s="2">
        <f t="shared" ca="1" si="184"/>
        <v>6.6334991708136412E-4</v>
      </c>
      <c r="CL233" s="2" vm="3282">
        <f ca="1"/>
        <v>57.41</v>
      </c>
      <c r="CM233" s="2">
        <f t="shared" ca="1" si="185"/>
        <v>5.2530204867798488E-3</v>
      </c>
      <c r="CN233" s="2" vm="3201">
        <f ca="1"/>
        <v>29.77</v>
      </c>
      <c r="CO233" s="2">
        <f t="shared" ca="1" si="186"/>
        <v>4.0472175379426979E-3</v>
      </c>
      <c r="CP233" s="2" vm="7823">
        <f ca="1"/>
        <v>21.846299999999999</v>
      </c>
      <c r="CQ233" s="2">
        <f t="shared" ca="1" si="187"/>
        <v>1.4220055710306418E-2</v>
      </c>
    </row>
    <row r="234" spans="1:95" x14ac:dyDescent="0.2">
      <c r="A234" s="7" vm="7824">
        <f ca="1"/>
        <v>45912</v>
      </c>
      <c r="B234" s="2" vm="7825">
        <f ca="1"/>
        <v>234.07</v>
      </c>
      <c r="C234" s="2">
        <f t="shared" ca="1" si="141"/>
        <v>1.7562926574794559E-2</v>
      </c>
      <c r="D234" s="2" vm="7826">
        <f ca="1"/>
        <v>177.82</v>
      </c>
      <c r="E234" s="2">
        <f t="shared" ca="1" si="142"/>
        <v>3.6687926849918481E-3</v>
      </c>
      <c r="F234" s="2" vm="7827">
        <f ca="1"/>
        <v>509.9</v>
      </c>
      <c r="G234" s="2">
        <f t="shared" ca="1" si="143"/>
        <v>1.7744156803257392E-2</v>
      </c>
      <c r="H234" s="2" vm="7828">
        <f ca="1"/>
        <v>755.59</v>
      </c>
      <c r="I234" s="2">
        <f t="shared" ca="1" si="144"/>
        <v>6.2458383273405974E-3</v>
      </c>
      <c r="J234" s="2" vm="7829">
        <f ca="1"/>
        <v>240.8</v>
      </c>
      <c r="K234" s="2">
        <f t="shared" ca="1" si="145"/>
        <v>1.7889087656529801E-3</v>
      </c>
      <c r="L234" s="2" vm="7830">
        <f ca="1"/>
        <v>657.41</v>
      </c>
      <c r="M234" s="2">
        <f t="shared" ca="1" si="146"/>
        <v>-3.3453461672981353E-4</v>
      </c>
      <c r="N234" s="2" vm="7831">
        <f ca="1"/>
        <v>89.95</v>
      </c>
      <c r="O234" s="2">
        <f t="shared" ca="1" si="147"/>
        <v>-4.3170245738321953E-3</v>
      </c>
      <c r="P234" s="2" vm="7832">
        <f ca="1"/>
        <v>335.42</v>
      </c>
      <c r="Q234" s="2">
        <f t="shared" ca="1" si="148"/>
        <v>1.9715617158562104E-3</v>
      </c>
      <c r="R234" s="2" vm="3730">
        <f ca="1"/>
        <v>73.31</v>
      </c>
      <c r="S234" s="2">
        <f t="shared" ca="1" si="149"/>
        <v>4.2465753424657847E-3</v>
      </c>
      <c r="T234" s="2" vm="7833">
        <f ca="1"/>
        <v>96.98</v>
      </c>
      <c r="U234" s="2">
        <f t="shared" ca="1" si="150"/>
        <v>-2.8788813489615578E-3</v>
      </c>
      <c r="V234" s="2" vm="7834">
        <f ca="1"/>
        <v>47.935000000000002</v>
      </c>
      <c r="W234" s="2">
        <f t="shared" ca="1" si="151"/>
        <v>-1.8740239458614537E-3</v>
      </c>
      <c r="X234" s="2" vm="5934">
        <f ca="1"/>
        <v>138.03</v>
      </c>
      <c r="Y234" s="2">
        <f t="shared" ca="1" si="152"/>
        <v>1.1950146627565949E-2</v>
      </c>
      <c r="Z234" s="2" vm="4734">
        <f ca="1"/>
        <v>88.6</v>
      </c>
      <c r="AA234" s="2">
        <f t="shared" ca="1" si="153"/>
        <v>-5.9463704700998673E-3</v>
      </c>
      <c r="AB234" s="2" vm="7067">
        <f ca="1"/>
        <v>13.4</v>
      </c>
      <c r="AC234" s="2">
        <f t="shared" ca="1" si="154"/>
        <v>8.2768999247555472E-3</v>
      </c>
      <c r="AD234" s="2" t="e" vm="92">
        <f ca="1"/>
        <v>#N/A</v>
      </c>
      <c r="AE234" s="2" t="e" vm="140">
        <f t="shared" ca="1" si="155"/>
        <v>#N/A</v>
      </c>
      <c r="AF234" s="2" vm="7835">
        <f ca="1"/>
        <v>38.340000000000003</v>
      </c>
      <c r="AG234" s="2">
        <f t="shared" ca="1" si="156"/>
        <v>1.4554114845197256E-2</v>
      </c>
      <c r="AH234" s="2" vm="3750">
        <f ca="1"/>
        <v>27.5</v>
      </c>
      <c r="AI234" s="2">
        <f t="shared" ca="1" si="157"/>
        <v>3.2834731849689844E-3</v>
      </c>
      <c r="AJ234" s="2" vm="7243">
        <f ca="1"/>
        <v>4.2</v>
      </c>
      <c r="AK234" s="2">
        <f t="shared" ca="1" si="158"/>
        <v>4.7846889952154218E-3</v>
      </c>
      <c r="AL234" s="2" vm="7836">
        <f ca="1"/>
        <v>72.16</v>
      </c>
      <c r="AM234" s="2">
        <f t="shared" ca="1" si="159"/>
        <v>2.2222222222221749E-3</v>
      </c>
      <c r="AN234" s="2" vm="7837">
        <f ca="1"/>
        <v>127.53</v>
      </c>
      <c r="AO234" s="2">
        <f t="shared" ca="1" si="160"/>
        <v>9.8186713120595043E-3</v>
      </c>
      <c r="AP234" s="2" vm="3898">
        <f ca="1"/>
        <v>27.05</v>
      </c>
      <c r="AQ234" s="2">
        <f t="shared" ca="1" si="161"/>
        <v>-1.4765596160944683E-3</v>
      </c>
      <c r="AR234" s="2" vm="1924">
        <f ca="1"/>
        <v>50.97</v>
      </c>
      <c r="AS234" s="2">
        <f t="shared" ca="1" si="162"/>
        <v>9.8193244304786253E-4</v>
      </c>
      <c r="AT234" s="2" vm="443">
        <f ca="1"/>
        <v>29.3</v>
      </c>
      <c r="AU234" s="2">
        <f t="shared" ca="1" si="163"/>
        <v>-3.4118048447622011E-4</v>
      </c>
      <c r="AV234" s="2" vm="7742">
        <f ca="1"/>
        <v>27.1</v>
      </c>
      <c r="AW234" s="2">
        <f t="shared" ca="1" si="164"/>
        <v>-3.676470588235216E-3</v>
      </c>
      <c r="AX234" s="2" vm="170">
        <f ca="1"/>
        <v>91.6</v>
      </c>
      <c r="AY234" s="2">
        <f t="shared" ca="1" si="165"/>
        <v>3.2761821557279828E-4</v>
      </c>
      <c r="AZ234" s="2" vm="7838">
        <f ca="1"/>
        <v>493.74</v>
      </c>
      <c r="BA234" s="2">
        <f t="shared" ca="1" si="166"/>
        <v>-6.3794248455455024E-3</v>
      </c>
      <c r="BB234" s="2" vm="7839">
        <f ca="1"/>
        <v>306.91000000000003</v>
      </c>
      <c r="BC234" s="2">
        <f t="shared" ca="1" si="167"/>
        <v>4.4181175546538247E-3</v>
      </c>
      <c r="BD234" s="2" vm="7840">
        <f ca="1"/>
        <v>50.58</v>
      </c>
      <c r="BE234" s="2">
        <f t="shared" ca="1" si="168"/>
        <v>-3.3497536945813144E-3</v>
      </c>
      <c r="BF234" s="2" vm="2885">
        <f ca="1"/>
        <v>112.16</v>
      </c>
      <c r="BG234" s="2">
        <f t="shared" ca="1" si="169"/>
        <v>1.7834849295519903E-4</v>
      </c>
      <c r="BH234" s="2" vm="6877">
        <f ca="1"/>
        <v>157.11000000000001</v>
      </c>
      <c r="BI234" s="2">
        <f t="shared" ca="1" si="170"/>
        <v>-7.2037914691942262E-3</v>
      </c>
      <c r="BJ234" s="2" vm="7593">
        <f ca="1"/>
        <v>178.06</v>
      </c>
      <c r="BK234" s="2">
        <f t="shared" ca="1" si="171"/>
        <v>-2.4649859943977463E-3</v>
      </c>
      <c r="BL234" s="2" vm="7841">
        <f ca="1"/>
        <v>67.010000000000005</v>
      </c>
      <c r="BM234" s="2">
        <f t="shared" ca="1" si="172"/>
        <v>-9.0209997042295081E-3</v>
      </c>
      <c r="BN234" s="2" vm="7842">
        <f ca="1"/>
        <v>305.39999999999998</v>
      </c>
      <c r="BO234" s="2">
        <f t="shared" ca="1" si="173"/>
        <v>-9.8239470868593508E-3</v>
      </c>
      <c r="BP234" s="2" vm="7843">
        <f ca="1"/>
        <v>115.96</v>
      </c>
      <c r="BQ234" s="2">
        <f t="shared" ca="1" si="174"/>
        <v>-9.5661086436624916E-3</v>
      </c>
      <c r="BR234" s="2" vm="7844">
        <f ca="1"/>
        <v>1188.44</v>
      </c>
      <c r="BS234" s="2">
        <f t="shared" ca="1" si="175"/>
        <v>-1.2513502285002032E-2</v>
      </c>
      <c r="BT234" s="2" vm="7845">
        <f ca="1"/>
        <v>157.9</v>
      </c>
      <c r="BU234" s="2">
        <f t="shared" ca="1" si="176"/>
        <v>-4.6019038012985554E-3</v>
      </c>
      <c r="BV234" s="2" vm="7846">
        <f ca="1"/>
        <v>143.53</v>
      </c>
      <c r="BW234" s="2">
        <f t="shared" ca="1" si="177"/>
        <v>-4.8533592179157503E-3</v>
      </c>
      <c r="BX234" s="2" vm="7847">
        <f ca="1"/>
        <v>257.62</v>
      </c>
      <c r="BY234" s="2">
        <f t="shared" ca="1" si="178"/>
        <v>-9.8012837759926634E-3</v>
      </c>
      <c r="BZ234" s="2" vm="4327">
        <f ca="1"/>
        <v>91.03</v>
      </c>
      <c r="CA234" s="2">
        <f t="shared" ca="1" si="179"/>
        <v>-1.0758530754183818E-2</v>
      </c>
      <c r="CB234" s="2" vm="74">
        <f ca="1"/>
        <v>29.14</v>
      </c>
      <c r="CC234" s="2">
        <f t="shared" ca="1" si="180"/>
        <v>-7.3241355816726231E-3</v>
      </c>
      <c r="CD234" s="2" t="e" vm="92">
        <f ca="1"/>
        <v>#N/A</v>
      </c>
      <c r="CE234" s="2" t="e" vm="140">
        <f t="shared" ca="1" si="181"/>
        <v>#N/A</v>
      </c>
      <c r="CF234" s="2" vm="7789">
        <f ca="1"/>
        <v>23.175000000000001</v>
      </c>
      <c r="CG234" s="2">
        <f t="shared" ca="1" si="182"/>
        <v>-1.292824822236483E-3</v>
      </c>
      <c r="CH234" s="2" vm="7821">
        <f ca="1"/>
        <v>58.82</v>
      </c>
      <c r="CI234" s="2">
        <f t="shared" ca="1" si="183"/>
        <v>0</v>
      </c>
      <c r="CJ234" s="2" vm="7694">
        <f ca="1"/>
        <v>60.24</v>
      </c>
      <c r="CK234" s="2">
        <f t="shared" ca="1" si="184"/>
        <v>-1.6572754391780149E-3</v>
      </c>
      <c r="CL234" s="2" vm="1301">
        <f ca="1"/>
        <v>57.18</v>
      </c>
      <c r="CM234" s="2">
        <f t="shared" ca="1" si="185"/>
        <v>-4.0062706845496758E-3</v>
      </c>
      <c r="CN234" s="2" vm="7848">
        <f ca="1"/>
        <v>29.72</v>
      </c>
      <c r="CO234" s="2">
        <f t="shared" ca="1" si="186"/>
        <v>-1.6795431642593454E-3</v>
      </c>
      <c r="CP234" s="2" vm="7849">
        <f ca="1"/>
        <v>21.766300000000001</v>
      </c>
      <c r="CQ234" s="2">
        <f t="shared" ca="1" si="187"/>
        <v>-3.6619473320424188E-3</v>
      </c>
    </row>
    <row r="235" spans="1:95" x14ac:dyDescent="0.2">
      <c r="A235" s="7" vm="7850">
        <f ca="1"/>
        <v>45915</v>
      </c>
      <c r="B235" s="2" vm="7851">
        <f ca="1"/>
        <v>236.7</v>
      </c>
      <c r="C235" s="2">
        <f t="shared" ca="1" si="141"/>
        <v>1.1235955056179756E-2</v>
      </c>
      <c r="D235" s="2" vm="7852">
        <f ca="1"/>
        <v>177.75</v>
      </c>
      <c r="E235" s="2">
        <f t="shared" ca="1" si="142"/>
        <v>-3.9365650657964898E-4</v>
      </c>
      <c r="F235" s="2" vm="7853">
        <f ca="1"/>
        <v>515.36</v>
      </c>
      <c r="G235" s="2">
        <f t="shared" ca="1" si="143"/>
        <v>1.0707981957246591E-2</v>
      </c>
      <c r="H235" s="2" vm="7854">
        <f ca="1"/>
        <v>764.7</v>
      </c>
      <c r="I235" s="2">
        <f t="shared" ca="1" si="144"/>
        <v>1.2056803292791081E-2</v>
      </c>
      <c r="J235" s="2" vm="7855">
        <f ca="1"/>
        <v>251.61</v>
      </c>
      <c r="K235" s="2">
        <f t="shared" ca="1" si="145"/>
        <v>4.4892026578073098E-2</v>
      </c>
      <c r="L235" s="2" vm="7856">
        <f ca="1"/>
        <v>660.91</v>
      </c>
      <c r="M235" s="2">
        <f t="shared" ca="1" si="146"/>
        <v>5.3239226662204712E-3</v>
      </c>
      <c r="N235" s="2" vm="3013">
        <f ca="1"/>
        <v>90.16</v>
      </c>
      <c r="O235" s="2">
        <f t="shared" ca="1" si="147"/>
        <v>2.3346303501944831E-3</v>
      </c>
      <c r="P235" s="2" vm="7857">
        <f ca="1"/>
        <v>338.91</v>
      </c>
      <c r="Q235" s="2">
        <f t="shared" ca="1" si="148"/>
        <v>1.0404865541708929E-2</v>
      </c>
      <c r="R235" s="2" vm="583">
        <f ca="1"/>
        <v>74.23</v>
      </c>
      <c r="S235" s="2">
        <f t="shared" ca="1" si="149"/>
        <v>1.2549447551493681E-2</v>
      </c>
      <c r="T235" s="2" vm="7858">
        <f ca="1"/>
        <v>97.14</v>
      </c>
      <c r="U235" s="2">
        <f t="shared" ca="1" si="150"/>
        <v>1.6498247061249389E-3</v>
      </c>
      <c r="V235" s="2" vm="7802">
        <f ca="1"/>
        <v>48.024999999999999</v>
      </c>
      <c r="W235" s="2">
        <f t="shared" ca="1" si="151"/>
        <v>1.8775425054760886E-3</v>
      </c>
      <c r="X235" s="2" vm="7859">
        <f ca="1"/>
        <v>138.47999999999999</v>
      </c>
      <c r="Y235" s="2">
        <f t="shared" ca="1" si="152"/>
        <v>3.2601608346010912E-3</v>
      </c>
      <c r="Z235" s="2" vm="3972">
        <f ca="1"/>
        <v>88.3</v>
      </c>
      <c r="AA235" s="2">
        <f t="shared" ca="1" si="153"/>
        <v>-3.3860045146726545E-3</v>
      </c>
      <c r="AB235" s="2" vm="7860">
        <f ca="1"/>
        <v>13.55</v>
      </c>
      <c r="AC235" s="2">
        <f t="shared" ca="1" si="154"/>
        <v>1.1194029850746294E-2</v>
      </c>
      <c r="AD235" s="2" t="e" vm="92">
        <f ca="1"/>
        <v>#N/A</v>
      </c>
      <c r="AE235" s="2" t="e" vm="140">
        <f t="shared" ca="1" si="155"/>
        <v>#N/A</v>
      </c>
      <c r="AF235" s="2" vm="7861">
        <f ca="1"/>
        <v>38.76</v>
      </c>
      <c r="AG235" s="2">
        <f t="shared" ca="1" si="156"/>
        <v>1.0954616588419263E-2</v>
      </c>
      <c r="AH235" s="2" vm="1668">
        <f ca="1"/>
        <v>27.91</v>
      </c>
      <c r="AI235" s="2">
        <f t="shared" ca="1" si="157"/>
        <v>1.4909090909090914E-2</v>
      </c>
      <c r="AJ235" s="2" vm="7180">
        <f ca="1"/>
        <v>4.22</v>
      </c>
      <c r="AK235" s="2">
        <f t="shared" ca="1" si="158"/>
        <v>4.76190476190466E-3</v>
      </c>
      <c r="AL235" s="2" vm="7862">
        <f ca="1"/>
        <v>72.89</v>
      </c>
      <c r="AM235" s="2">
        <f t="shared" ca="1" si="159"/>
        <v>1.0116407982261696E-2</v>
      </c>
      <c r="AN235" s="2" vm="7863">
        <f ca="1"/>
        <v>128.15</v>
      </c>
      <c r="AO235" s="2">
        <f t="shared" ca="1" si="160"/>
        <v>4.8616011918764567E-3</v>
      </c>
      <c r="AP235" s="2" vm="3782">
        <f ca="1"/>
        <v>27.07</v>
      </c>
      <c r="AQ235" s="2">
        <f t="shared" ca="1" si="161"/>
        <v>7.393715341959177E-4</v>
      </c>
      <c r="AR235" s="2" vm="466">
        <f ca="1"/>
        <v>50.98</v>
      </c>
      <c r="AS235" s="2">
        <f t="shared" ca="1" si="162"/>
        <v>1.9619383951340025E-4</v>
      </c>
      <c r="AT235" s="2" vm="1536">
        <f ca="1"/>
        <v>29.33</v>
      </c>
      <c r="AU235" s="2">
        <f t="shared" ca="1" si="163"/>
        <v>1.0238907849828528E-3</v>
      </c>
      <c r="AV235" s="2" vm="967">
        <f ca="1"/>
        <v>27.17</v>
      </c>
      <c r="AW235" s="2">
        <f t="shared" ca="1" si="164"/>
        <v>2.5830258302583131E-3</v>
      </c>
      <c r="AX235" s="2" vm="1887">
        <f ca="1"/>
        <v>91.61</v>
      </c>
      <c r="AY235" s="2">
        <f t="shared" ca="1" si="165"/>
        <v>1.0917030567691175E-4</v>
      </c>
      <c r="AZ235" s="2" vm="7864">
        <f ca="1"/>
        <v>491.54</v>
      </c>
      <c r="BA235" s="2">
        <f t="shared" ca="1" si="166"/>
        <v>-4.4557864463077501E-3</v>
      </c>
      <c r="BB235" s="2" vm="7865">
        <f ca="1"/>
        <v>308.89999999999998</v>
      </c>
      <c r="BC235" s="2">
        <f t="shared" ca="1" si="167"/>
        <v>6.4839855332180516E-3</v>
      </c>
      <c r="BD235" s="2" vm="7866">
        <f ca="1"/>
        <v>50.59</v>
      </c>
      <c r="BE235" s="2">
        <f t="shared" ca="1" si="168"/>
        <v>1.9770660340065474E-4</v>
      </c>
      <c r="BF235" s="2" vm="7867">
        <f ca="1"/>
        <v>112.35</v>
      </c>
      <c r="BG235" s="2">
        <f t="shared" ca="1" si="169"/>
        <v>1.6940085592011211E-3</v>
      </c>
      <c r="BH235" s="2" vm="7868">
        <f ca="1"/>
        <v>157.31</v>
      </c>
      <c r="BI235" s="2">
        <f t="shared" ca="1" si="170"/>
        <v>1.2729934440836904E-3</v>
      </c>
      <c r="BJ235" s="2" vm="7869">
        <f ca="1"/>
        <v>177.4</v>
      </c>
      <c r="BK235" s="2">
        <f t="shared" ca="1" si="171"/>
        <v>-3.7066157475008233E-3</v>
      </c>
      <c r="BL235" s="2" vm="7870">
        <f ca="1"/>
        <v>66.209999999999994</v>
      </c>
      <c r="BM235" s="2">
        <f t="shared" ca="1" si="172"/>
        <v>-1.1938516639307735E-2</v>
      </c>
      <c r="BN235" s="2" vm="1103">
        <f ca="1"/>
        <v>302.07</v>
      </c>
      <c r="BO235" s="2">
        <f t="shared" ca="1" si="173"/>
        <v>-1.0903732809430204E-2</v>
      </c>
      <c r="BP235" s="2" vm="7871">
        <f ca="1"/>
        <v>115.62</v>
      </c>
      <c r="BQ235" s="2">
        <f t="shared" ca="1" si="174"/>
        <v>-2.9320455329423008E-3</v>
      </c>
      <c r="BR235" s="2" vm="7872">
        <f ca="1"/>
        <v>1202.26</v>
      </c>
      <c r="BS235" s="2">
        <f t="shared" ca="1" si="175"/>
        <v>1.1628689710881438E-2</v>
      </c>
      <c r="BT235" s="2" vm="7873">
        <f ca="1"/>
        <v>156.83000000000001</v>
      </c>
      <c r="BU235" s="2">
        <f t="shared" ca="1" si="176"/>
        <v>-6.7764407853071126E-3</v>
      </c>
      <c r="BV235" s="2" vm="7874">
        <f ca="1"/>
        <v>140.63999999999999</v>
      </c>
      <c r="BW235" s="2">
        <f t="shared" ca="1" si="177"/>
        <v>-2.0135163380478053E-2</v>
      </c>
      <c r="BX235" s="2" vm="7875">
        <f ca="1"/>
        <v>255.03</v>
      </c>
      <c r="BY235" s="2">
        <f t="shared" ca="1" si="178"/>
        <v>-1.0053567269621937E-2</v>
      </c>
      <c r="BZ235" s="2" vm="5947">
        <f ca="1"/>
        <v>90.49</v>
      </c>
      <c r="CA235" s="2">
        <f t="shared" ca="1" si="179"/>
        <v>-5.9321102933099666E-3</v>
      </c>
      <c r="CB235" s="2" vm="2307">
        <f ca="1"/>
        <v>28.96</v>
      </c>
      <c r="CC235" s="2">
        <f t="shared" ca="1" si="180"/>
        <v>-6.177076183939592E-3</v>
      </c>
      <c r="CD235" s="2" t="e" vm="92">
        <f ca="1"/>
        <v>#N/A</v>
      </c>
      <c r="CE235" s="2" t="e" vm="140">
        <f t="shared" ca="1" si="181"/>
        <v>#N/A</v>
      </c>
      <c r="CF235" s="2" vm="7876">
        <f ca="1"/>
        <v>23.195</v>
      </c>
      <c r="CG235" s="2">
        <f t="shared" ca="1" si="182"/>
        <v>8.6299892125133002E-4</v>
      </c>
      <c r="CH235" s="2" vm="7877">
        <f ca="1"/>
        <v>58.84</v>
      </c>
      <c r="CI235" s="2">
        <f t="shared" ca="1" si="183"/>
        <v>3.4002040122412658E-4</v>
      </c>
      <c r="CJ235" s="2" vm="4114">
        <f ca="1"/>
        <v>60.31</v>
      </c>
      <c r="CK235" s="2">
        <f t="shared" ca="1" si="184"/>
        <v>1.1620185922974814E-3</v>
      </c>
      <c r="CL235" s="2" vm="7878">
        <f ca="1"/>
        <v>57.33</v>
      </c>
      <c r="CM235" s="2">
        <f t="shared" ca="1" si="185"/>
        <v>2.6232948583420528E-3</v>
      </c>
      <c r="CN235" s="2" vm="4803">
        <f ca="1"/>
        <v>29.79</v>
      </c>
      <c r="CO235" s="2">
        <f t="shared" ca="1" si="186"/>
        <v>2.3553162853297538E-3</v>
      </c>
      <c r="CP235" s="2" vm="7879">
        <f ca="1"/>
        <v>21.724299999999999</v>
      </c>
      <c r="CQ235" s="2">
        <f t="shared" ca="1" si="187"/>
        <v>-1.9295884004172316E-3</v>
      </c>
    </row>
    <row r="236" spans="1:95" x14ac:dyDescent="0.2">
      <c r="A236" s="7" vm="7880">
        <f ca="1"/>
        <v>45916</v>
      </c>
      <c r="B236" s="2" vm="7881">
        <f ca="1"/>
        <v>238.15</v>
      </c>
      <c r="C236" s="2">
        <f t="shared" ca="1" si="141"/>
        <v>6.1258977608788217E-3</v>
      </c>
      <c r="D236" s="2" vm="7882">
        <f ca="1"/>
        <v>174.88</v>
      </c>
      <c r="E236" s="2">
        <f t="shared" ca="1" si="142"/>
        <v>-1.6146272855133641E-2</v>
      </c>
      <c r="F236" s="2" vm="7883">
        <f ca="1"/>
        <v>509.04</v>
      </c>
      <c r="G236" s="2">
        <f t="shared" ca="1" si="143"/>
        <v>-1.2263272275690766E-2</v>
      </c>
      <c r="H236" s="2" vm="7884">
        <f ca="1"/>
        <v>779</v>
      </c>
      <c r="I236" s="2">
        <f t="shared" ca="1" si="144"/>
        <v>1.8700143847260303E-2</v>
      </c>
      <c r="J236" s="2" vm="7885">
        <f ca="1"/>
        <v>251.16</v>
      </c>
      <c r="K236" s="2">
        <f t="shared" ca="1" si="145"/>
        <v>-1.7884821747943922E-3</v>
      </c>
      <c r="L236" s="2" vm="7886">
        <f ca="1"/>
        <v>660</v>
      </c>
      <c r="M236" s="2">
        <f t="shared" ca="1" si="146"/>
        <v>-1.3768894403170904E-3</v>
      </c>
      <c r="N236" s="2" vm="7887">
        <f ca="1"/>
        <v>90.35</v>
      </c>
      <c r="O236" s="2">
        <f t="shared" ca="1" si="147"/>
        <v>2.1073646850044113E-3</v>
      </c>
      <c r="P236" s="2" vm="7888">
        <f ca="1"/>
        <v>339.59</v>
      </c>
      <c r="Q236" s="2">
        <f t="shared" ca="1" si="148"/>
        <v>2.0064323861790738E-3</v>
      </c>
      <c r="R236" s="2" vm="7889">
        <f ca="1"/>
        <v>75.67</v>
      </c>
      <c r="S236" s="2">
        <f t="shared" ca="1" si="149"/>
        <v>1.9399164758183991E-2</v>
      </c>
      <c r="T236" s="2" vm="7890">
        <f ca="1"/>
        <v>97.2</v>
      </c>
      <c r="U236" s="2">
        <f t="shared" ca="1" si="150"/>
        <v>6.1766522544783064E-4</v>
      </c>
      <c r="V236" s="2" vm="7891">
        <f ca="1"/>
        <v>48.07</v>
      </c>
      <c r="W236" s="2">
        <f t="shared" ca="1" si="151"/>
        <v>9.3701197293080078E-4</v>
      </c>
      <c r="X236" s="2" vm="7892">
        <f ca="1"/>
        <v>140.05000000000001</v>
      </c>
      <c r="Y236" s="2">
        <f t="shared" ca="1" si="152"/>
        <v>1.1337377238590567E-2</v>
      </c>
      <c r="Z236" s="2" vm="245">
        <f ca="1"/>
        <v>89.78</v>
      </c>
      <c r="AA236" s="2">
        <f t="shared" ca="1" si="153"/>
        <v>1.6761041902604801E-2</v>
      </c>
      <c r="AB236" s="2" vm="6485">
        <f ca="1"/>
        <v>13.79</v>
      </c>
      <c r="AC236" s="2">
        <f t="shared" ca="1" si="154"/>
        <v>1.7712177121771103E-2</v>
      </c>
      <c r="AD236" s="2" vm="1276">
        <f ca="1"/>
        <v>4.8</v>
      </c>
      <c r="AE236" s="2" t="e" vm="140">
        <f t="shared" ca="1" si="155"/>
        <v>#N/A</v>
      </c>
      <c r="AF236" s="2" vm="7893">
        <f ca="1"/>
        <v>38.6</v>
      </c>
      <c r="AG236" s="2">
        <f t="shared" ca="1" si="156"/>
        <v>-4.127966976264102E-3</v>
      </c>
      <c r="AH236" s="2" vm="1959">
        <f ca="1"/>
        <v>27.76</v>
      </c>
      <c r="AI236" s="2">
        <f t="shared" ca="1" si="157"/>
        <v>-5.3744177714080462E-3</v>
      </c>
      <c r="AJ236" s="2" vm="7152">
        <f ca="1"/>
        <v>4.29</v>
      </c>
      <c r="AK236" s="2">
        <f t="shared" ca="1" si="158"/>
        <v>1.6587677725118551E-2</v>
      </c>
      <c r="AL236" s="2" vm="7894">
        <f ca="1"/>
        <v>73.069999999999993</v>
      </c>
      <c r="AM236" s="2">
        <f t="shared" ca="1" si="159"/>
        <v>2.4694745506927233E-3</v>
      </c>
      <c r="AN236" s="2" vm="7895">
        <f ca="1"/>
        <v>126.86</v>
      </c>
      <c r="AO236" s="2">
        <f t="shared" ca="1" si="160"/>
        <v>-1.0066328521264193E-2</v>
      </c>
      <c r="AP236" s="2" vm="7742">
        <f ca="1"/>
        <v>27.1</v>
      </c>
      <c r="AQ236" s="2">
        <f t="shared" ca="1" si="161"/>
        <v>1.1082379017362813E-3</v>
      </c>
      <c r="AR236" s="2" vm="1924">
        <f ca="1"/>
        <v>50.97</v>
      </c>
      <c r="AS236" s="2">
        <f t="shared" ca="1" si="162"/>
        <v>-1.9615535504115362E-4</v>
      </c>
      <c r="AT236" s="2" vm="3316">
        <f ca="1"/>
        <v>29.34</v>
      </c>
      <c r="AU236" s="2">
        <f t="shared" ca="1" si="163"/>
        <v>3.409478349813012E-4</v>
      </c>
      <c r="AV236" s="2" vm="7773">
        <f ca="1"/>
        <v>27.21</v>
      </c>
      <c r="AW236" s="2">
        <f t="shared" ca="1" si="164"/>
        <v>1.4722119985277565E-3</v>
      </c>
      <c r="AX236" s="2" vm="64">
        <f ca="1"/>
        <v>91.62</v>
      </c>
      <c r="AY236" s="2">
        <f t="shared" ca="1" si="165"/>
        <v>1.0915838882223683E-4</v>
      </c>
      <c r="AZ236" s="2" vm="7896">
        <f ca="1"/>
        <v>490.99</v>
      </c>
      <c r="BA236" s="2">
        <f t="shared" ca="1" si="166"/>
        <v>-1.1189323351100853E-3</v>
      </c>
      <c r="BB236" s="2" vm="7897">
        <f ca="1"/>
        <v>309.19</v>
      </c>
      <c r="BC236" s="2">
        <f t="shared" ca="1" si="167"/>
        <v>9.3881515053421982E-4</v>
      </c>
      <c r="BD236" s="2" vm="7898">
        <f ca="1"/>
        <v>50.66</v>
      </c>
      <c r="BE236" s="2">
        <f t="shared" ca="1" si="168"/>
        <v>1.383672662581403E-3</v>
      </c>
      <c r="BF236" s="2" vm="7899">
        <f ca="1"/>
        <v>114.68</v>
      </c>
      <c r="BG236" s="2">
        <f t="shared" ca="1" si="169"/>
        <v>2.0738762794837672E-2</v>
      </c>
      <c r="BH236" s="2" vm="7900">
        <f ca="1"/>
        <v>159.54</v>
      </c>
      <c r="BI236" s="2">
        <f t="shared" ca="1" si="170"/>
        <v>1.417583116140099E-2</v>
      </c>
      <c r="BJ236" s="2" vm="7901">
        <f ca="1"/>
        <v>176.46</v>
      </c>
      <c r="BK236" s="2">
        <f t="shared" ca="1" si="171"/>
        <v>-5.2987598647125014E-3</v>
      </c>
      <c r="BL236" s="2" vm="7902">
        <f ca="1"/>
        <v>66.239999999999995</v>
      </c>
      <c r="BM236" s="2">
        <f t="shared" ca="1" si="172"/>
        <v>4.5310376076123152E-4</v>
      </c>
      <c r="BN236" s="2" vm="7903">
        <f ca="1"/>
        <v>303.29000000000002</v>
      </c>
      <c r="BO236" s="2">
        <f t="shared" ca="1" si="173"/>
        <v>4.0387989538849516E-3</v>
      </c>
      <c r="BP236" s="2" vm="7904">
        <f ca="1"/>
        <v>115.23</v>
      </c>
      <c r="BQ236" s="2">
        <f t="shared" ca="1" si="174"/>
        <v>-3.3731188375713591E-3</v>
      </c>
      <c r="BR236" s="2" vm="7905">
        <f ca="1"/>
        <v>1200.51</v>
      </c>
      <c r="BS236" s="2">
        <f t="shared" ca="1" si="175"/>
        <v>-1.4555919684594014E-3</v>
      </c>
      <c r="BT236" s="2" vm="7906">
        <f ca="1"/>
        <v>158.05000000000001</v>
      </c>
      <c r="BU236" s="2">
        <f t="shared" ca="1" si="176"/>
        <v>7.7791238921124705E-3</v>
      </c>
      <c r="BV236" s="2" vm="7907">
        <f ca="1"/>
        <v>140.03</v>
      </c>
      <c r="BW236" s="2">
        <f t="shared" ca="1" si="177"/>
        <v>-4.3373151308303843E-3</v>
      </c>
      <c r="BX236" s="2" vm="7908">
        <f ca="1"/>
        <v>260.20999999999998</v>
      </c>
      <c r="BY236" s="2">
        <f t="shared" ca="1" si="178"/>
        <v>2.0311335921264079E-2</v>
      </c>
      <c r="BZ236" s="2" vm="495">
        <f ca="1"/>
        <v>92.07</v>
      </c>
      <c r="CA236" s="2">
        <f t="shared" ca="1" si="179"/>
        <v>1.7460492872140552E-2</v>
      </c>
      <c r="CB236" s="2" vm="7909">
        <f ca="1"/>
        <v>29.763000000000002</v>
      </c>
      <c r="CC236" s="2">
        <f t="shared" ca="1" si="180"/>
        <v>2.7727900552486216E-2</v>
      </c>
      <c r="CD236" s="2" t="e" vm="92">
        <f ca="1"/>
        <v>#N/A</v>
      </c>
      <c r="CE236" s="2" t="e" vm="140">
        <f t="shared" ca="1" si="181"/>
        <v>#N/A</v>
      </c>
      <c r="CF236" s="2" vm="7910">
        <f ca="1"/>
        <v>23.22</v>
      </c>
      <c r="CG236" s="2">
        <f t="shared" ca="1" si="182"/>
        <v>1.0778184953653192E-3</v>
      </c>
      <c r="CH236" s="2" vm="3845">
        <f ca="1"/>
        <v>58.88</v>
      </c>
      <c r="CI236" s="2">
        <f t="shared" ca="1" si="183"/>
        <v>6.7980965329706225E-4</v>
      </c>
      <c r="CJ236" s="2" vm="7911">
        <f ca="1"/>
        <v>60.36</v>
      </c>
      <c r="CK236" s="2">
        <f t="shared" ca="1" si="184"/>
        <v>8.2904990880446289E-4</v>
      </c>
      <c r="CL236" s="2" vm="3282">
        <f ca="1"/>
        <v>57.41</v>
      </c>
      <c r="CM236" s="2">
        <f t="shared" ca="1" si="185"/>
        <v>1.3954299668585085E-3</v>
      </c>
      <c r="CN236" s="2" vm="7571">
        <f ca="1"/>
        <v>29.78</v>
      </c>
      <c r="CO236" s="2">
        <f t="shared" ca="1" si="186"/>
        <v>-3.3568311513924171E-4</v>
      </c>
      <c r="CP236" s="2" vm="7912">
        <f ca="1"/>
        <v>21.614599999999999</v>
      </c>
      <c r="CQ236" s="2">
        <f t="shared" ca="1" si="187"/>
        <v>-5.0496448677287706E-3</v>
      </c>
    </row>
    <row r="237" spans="1:95" x14ac:dyDescent="0.2">
      <c r="A237" s="7" vm="7913">
        <f ca="1"/>
        <v>45917</v>
      </c>
      <c r="B237" s="2" vm="7914">
        <f ca="1"/>
        <v>238.99</v>
      </c>
      <c r="C237" s="2">
        <f t="shared" ca="1" si="141"/>
        <v>3.5271887465882991E-3</v>
      </c>
      <c r="D237" s="2" vm="7915">
        <f ca="1"/>
        <v>170.29</v>
      </c>
      <c r="E237" s="2">
        <f t="shared" ca="1" si="142"/>
        <v>-2.6246569075937805E-2</v>
      </c>
      <c r="F237" s="2" vm="7916">
        <f ca="1"/>
        <v>510.02</v>
      </c>
      <c r="G237" s="2">
        <f t="shared" ca="1" si="143"/>
        <v>1.9251925192518492E-3</v>
      </c>
      <c r="H237" s="2" vm="7917">
        <f ca="1"/>
        <v>775.71500000000003</v>
      </c>
      <c r="I237" s="2">
        <f t="shared" ca="1" si="144"/>
        <v>-4.2169448010269169E-3</v>
      </c>
      <c r="J237" s="2" vm="7918">
        <f ca="1"/>
        <v>249.53</v>
      </c>
      <c r="K237" s="2">
        <f t="shared" ca="1" si="145"/>
        <v>-6.4898869246695157E-3</v>
      </c>
      <c r="L237" s="2" vm="7919">
        <f ca="1"/>
        <v>659.18</v>
      </c>
      <c r="M237" s="2">
        <f t="shared" ca="1" si="146"/>
        <v>-1.2424242424243183E-3</v>
      </c>
      <c r="N237" s="2" vm="7920">
        <f ca="1"/>
        <v>90.12</v>
      </c>
      <c r="O237" s="2">
        <f t="shared" ca="1" si="147"/>
        <v>-2.545655783065742E-3</v>
      </c>
      <c r="P237" s="2" vm="7921">
        <f ca="1"/>
        <v>336.97</v>
      </c>
      <c r="Q237" s="2">
        <f t="shared" ca="1" si="148"/>
        <v>-7.7151859595392912E-3</v>
      </c>
      <c r="R237" s="2" vm="7922">
        <f ca="1"/>
        <v>74.97</v>
      </c>
      <c r="S237" s="2">
        <f t="shared" ca="1" si="149"/>
        <v>-9.2506938020351908E-3</v>
      </c>
      <c r="T237" s="2" vm="7923">
        <f ca="1"/>
        <v>96.99</v>
      </c>
      <c r="U237" s="2">
        <f t="shared" ca="1" si="150"/>
        <v>-2.1604938271605756E-3</v>
      </c>
      <c r="V237" s="2" vm="7924">
        <f ca="1"/>
        <v>47.979399999999998</v>
      </c>
      <c r="W237" s="2">
        <f t="shared" ca="1" si="151"/>
        <v>-1.884751404202247E-3</v>
      </c>
      <c r="X237" s="2" vm="7925">
        <f ca="1"/>
        <v>138.82</v>
      </c>
      <c r="Y237" s="2">
        <f t="shared" ca="1" si="152"/>
        <v>-8.782577650839115E-3</v>
      </c>
      <c r="Z237" s="2" vm="7926">
        <f ca="1"/>
        <v>89.99</v>
      </c>
      <c r="AA237" s="2">
        <f t="shared" ca="1" si="153"/>
        <v>2.3390510135887031E-3</v>
      </c>
      <c r="AB237" s="2" vm="7927">
        <f ca="1"/>
        <v>13.65</v>
      </c>
      <c r="AC237" s="2">
        <f t="shared" ca="1" si="154"/>
        <v>-1.0152284263959303E-2</v>
      </c>
      <c r="AD237" s="2" vm="1276">
        <f ca="1"/>
        <v>4.8</v>
      </c>
      <c r="AE237" s="2">
        <f t="shared" ca="1" si="155"/>
        <v>0</v>
      </c>
      <c r="AF237" s="2" vm="7805">
        <f ca="1"/>
        <v>37.79</v>
      </c>
      <c r="AG237" s="2">
        <f t="shared" ca="1" si="156"/>
        <v>-2.0984455958549281E-2</v>
      </c>
      <c r="AH237" s="2" vm="3844">
        <f ca="1"/>
        <v>27.18</v>
      </c>
      <c r="AI237" s="2">
        <f t="shared" ca="1" si="157"/>
        <v>-2.0893371757925137E-2</v>
      </c>
      <c r="AJ237" s="2" vm="7038">
        <f ca="1"/>
        <v>4.25</v>
      </c>
      <c r="AK237" s="2">
        <f t="shared" ca="1" si="158"/>
        <v>-9.3240093240093327E-3</v>
      </c>
      <c r="AL237" s="2" vm="7928">
        <f ca="1"/>
        <v>72.489999999999995</v>
      </c>
      <c r="AM237" s="2">
        <f t="shared" ca="1" si="159"/>
        <v>-7.937594087860933E-3</v>
      </c>
      <c r="AN237" s="2" vm="7929">
        <f ca="1"/>
        <v>123.85</v>
      </c>
      <c r="AO237" s="2">
        <f t="shared" ca="1" si="160"/>
        <v>-2.3726943086867455E-2</v>
      </c>
      <c r="AP237" s="2" vm="3782">
        <f ca="1"/>
        <v>27.07</v>
      </c>
      <c r="AQ237" s="2">
        <f t="shared" ca="1" si="161"/>
        <v>-1.1070110701107429E-3</v>
      </c>
      <c r="AR237" s="2" vm="1924">
        <f ca="1"/>
        <v>50.97</v>
      </c>
      <c r="AS237" s="2">
        <f t="shared" ca="1" si="162"/>
        <v>0</v>
      </c>
      <c r="AT237" s="2" vm="1536">
        <f ca="1"/>
        <v>29.33</v>
      </c>
      <c r="AU237" s="2">
        <f t="shared" ca="1" si="163"/>
        <v>-3.4083162917524076E-4</v>
      </c>
      <c r="AV237" s="2" vm="3769">
        <f ca="1"/>
        <v>27.15</v>
      </c>
      <c r="AW237" s="2">
        <f t="shared" ca="1" si="164"/>
        <v>-2.2050716648291903E-3</v>
      </c>
      <c r="AX237" s="2" vm="1204">
        <f ca="1"/>
        <v>91.63</v>
      </c>
      <c r="AY237" s="2">
        <f t="shared" ca="1" si="165"/>
        <v>1.0914647456877215E-4</v>
      </c>
      <c r="AZ237" s="2" vm="7930">
        <f ca="1"/>
        <v>492.33</v>
      </c>
      <c r="BA237" s="2">
        <f t="shared" ca="1" si="166"/>
        <v>2.7291798203628891E-3</v>
      </c>
      <c r="BB237" s="2" vm="7931">
        <f ca="1"/>
        <v>311.75</v>
      </c>
      <c r="BC237" s="2">
        <f t="shared" ca="1" si="167"/>
        <v>8.279698567224044E-3</v>
      </c>
      <c r="BD237" s="2" vm="7932">
        <f ca="1"/>
        <v>51.4</v>
      </c>
      <c r="BE237" s="2">
        <f t="shared" ca="1" si="168"/>
        <v>1.4607185155941612E-2</v>
      </c>
      <c r="BF237" s="2" vm="7933">
        <f ca="1"/>
        <v>115.29</v>
      </c>
      <c r="BG237" s="2">
        <f t="shared" ca="1" si="169"/>
        <v>5.3191489361702074E-3</v>
      </c>
      <c r="BH237" s="2" vm="682">
        <f ca="1"/>
        <v>160.09</v>
      </c>
      <c r="BI237" s="2">
        <f t="shared" ca="1" si="170"/>
        <v>3.4474113075091601E-3</v>
      </c>
      <c r="BJ237" s="2" vm="7934">
        <f ca="1"/>
        <v>177.2</v>
      </c>
      <c r="BK237" s="2">
        <f t="shared" ca="1" si="171"/>
        <v>4.1935849484301298E-3</v>
      </c>
      <c r="BL237" s="2" vm="7935">
        <f ca="1"/>
        <v>67.040000000000006</v>
      </c>
      <c r="BM237" s="2">
        <f t="shared" ca="1" si="172"/>
        <v>1.2077294685990511E-2</v>
      </c>
      <c r="BN237" s="2" vm="7936">
        <f ca="1"/>
        <v>304.97000000000003</v>
      </c>
      <c r="BO237" s="2">
        <f t="shared" ca="1" si="173"/>
        <v>5.539252860298746E-3</v>
      </c>
      <c r="BP237" s="2" vm="7937">
        <f ca="1"/>
        <v>116.1</v>
      </c>
      <c r="BQ237" s="2">
        <f t="shared" ca="1" si="174"/>
        <v>7.550117156990283E-3</v>
      </c>
      <c r="BR237" s="2" vm="7938">
        <f ca="1"/>
        <v>1228.5</v>
      </c>
      <c r="BS237" s="2">
        <f t="shared" ca="1" si="175"/>
        <v>2.3315091086288334E-2</v>
      </c>
      <c r="BT237" s="2" vm="7939">
        <f ca="1"/>
        <v>160.33000000000001</v>
      </c>
      <c r="BU237" s="2">
        <f t="shared" ca="1" si="176"/>
        <v>1.4425814615627973E-2</v>
      </c>
      <c r="BV237" s="2" vm="7940">
        <f ca="1"/>
        <v>141.22999999999999</v>
      </c>
      <c r="BW237" s="2">
        <f t="shared" ca="1" si="177"/>
        <v>8.5695922302362962E-3</v>
      </c>
      <c r="BX237" s="2" vm="7941">
        <f ca="1"/>
        <v>256.41000000000003</v>
      </c>
      <c r="BY237" s="2">
        <f t="shared" ca="1" si="178"/>
        <v>-1.4603589408554456E-2</v>
      </c>
      <c r="BZ237" s="2" vm="7942">
        <f ca="1"/>
        <v>92.01</v>
      </c>
      <c r="CA237" s="2">
        <f t="shared" ca="1" si="179"/>
        <v>-6.5167807103278018E-4</v>
      </c>
      <c r="CB237" s="2" vm="7943">
        <f ca="1"/>
        <v>29.672000000000001</v>
      </c>
      <c r="CC237" s="2">
        <f t="shared" ca="1" si="180"/>
        <v>-3.0574874844606081E-3</v>
      </c>
      <c r="CD237" s="2" t="e" vm="92">
        <f ca="1"/>
        <v>#N/A</v>
      </c>
      <c r="CE237" s="2" t="e" vm="140">
        <f t="shared" ca="1" si="181"/>
        <v>#N/A</v>
      </c>
      <c r="CF237" s="2" vm="7944">
        <f ca="1"/>
        <v>23.18</v>
      </c>
      <c r="CG237" s="2">
        <f t="shared" ca="1" si="182"/>
        <v>-1.7226528854435465E-3</v>
      </c>
      <c r="CH237" s="2" vm="1535">
        <f ca="1"/>
        <v>58.85</v>
      </c>
      <c r="CI237" s="2">
        <f t="shared" ca="1" si="183"/>
        <v>-5.0951086956523668E-4</v>
      </c>
      <c r="CJ237" s="2" vm="7694">
        <f ca="1"/>
        <v>60.24</v>
      </c>
      <c r="CK237" s="2">
        <f t="shared" ca="1" si="184"/>
        <v>-1.9880715705764985E-3</v>
      </c>
      <c r="CL237" s="2" vm="4035">
        <f ca="1"/>
        <v>57.28</v>
      </c>
      <c r="CM237" s="2">
        <f t="shared" ca="1" si="185"/>
        <v>-2.2644138651802029E-3</v>
      </c>
      <c r="CN237" s="2" vm="316">
        <f ca="1"/>
        <v>29.73</v>
      </c>
      <c r="CO237" s="2">
        <f t="shared" ca="1" si="186"/>
        <v>-1.6789791806581837E-3</v>
      </c>
      <c r="CP237" s="2" vm="7945">
        <f ca="1"/>
        <v>21.613399999999999</v>
      </c>
      <c r="CQ237" s="2">
        <f t="shared" ca="1" si="187"/>
        <v>-5.5518029480108634E-5</v>
      </c>
    </row>
    <row r="238" spans="1:95" x14ac:dyDescent="0.2">
      <c r="A238" s="7" vm="7946">
        <f ca="1"/>
        <v>45918</v>
      </c>
      <c r="B238" s="2" vm="7698">
        <f ca="1"/>
        <v>237.88</v>
      </c>
      <c r="C238" s="2">
        <f t="shared" ca="1" si="141"/>
        <v>-4.6445457968953248E-3</v>
      </c>
      <c r="D238" s="2" vm="7947">
        <f ca="1"/>
        <v>176.24</v>
      </c>
      <c r="E238" s="2">
        <f t="shared" ca="1" si="142"/>
        <v>3.4940395795407933E-2</v>
      </c>
      <c r="F238" s="2" vm="7948">
        <f ca="1"/>
        <v>508.45</v>
      </c>
      <c r="G238" s="2">
        <f t="shared" ca="1" si="143"/>
        <v>-3.0783106544841248E-3</v>
      </c>
      <c r="H238" s="2" vm="7949">
        <f ca="1"/>
        <v>780.25</v>
      </c>
      <c r="I238" s="2">
        <f t="shared" ca="1" si="144"/>
        <v>5.8462192944573306E-3</v>
      </c>
      <c r="J238" s="2" vm="7950">
        <f ca="1"/>
        <v>252.03</v>
      </c>
      <c r="K238" s="2">
        <f t="shared" ca="1" si="145"/>
        <v>1.0018835410571875E-2</v>
      </c>
      <c r="L238" s="2" vm="7951">
        <f ca="1"/>
        <v>662.26</v>
      </c>
      <c r="M238" s="2">
        <f t="shared" ca="1" si="146"/>
        <v>4.6724718589763667E-3</v>
      </c>
      <c r="N238" s="2" vm="7952">
        <f ca="1"/>
        <v>89.19</v>
      </c>
      <c r="O238" s="2">
        <f t="shared" ca="1" si="147"/>
        <v>-1.0319573901464789E-2</v>
      </c>
      <c r="P238" s="2" vm="7953">
        <f ca="1"/>
        <v>335.62</v>
      </c>
      <c r="Q238" s="2">
        <f t="shared" ca="1" si="148"/>
        <v>-4.0062913612488428E-3</v>
      </c>
      <c r="R238" s="2" vm="7954">
        <f ca="1"/>
        <v>74.69</v>
      </c>
      <c r="S238" s="2">
        <f t="shared" ca="1" si="149"/>
        <v>-3.7348272642390443E-3</v>
      </c>
      <c r="T238" s="2" vm="7955">
        <f ca="1"/>
        <v>96.67</v>
      </c>
      <c r="U238" s="2">
        <f t="shared" ca="1" si="150"/>
        <v>-3.299309207134686E-3</v>
      </c>
      <c r="V238" s="2" vm="7956">
        <f ca="1"/>
        <v>47.854999999999997</v>
      </c>
      <c r="W238" s="2">
        <f t="shared" ca="1" si="151"/>
        <v>-2.5927794011596935E-3</v>
      </c>
      <c r="X238" s="2" vm="3131">
        <f ca="1"/>
        <v>143.49</v>
      </c>
      <c r="Y238" s="2">
        <f t="shared" ca="1" si="152"/>
        <v>3.3640685780147069E-2</v>
      </c>
      <c r="Z238" s="2" vm="3346">
        <f ca="1"/>
        <v>89.71</v>
      </c>
      <c r="AA238" s="2">
        <f t="shared" ca="1" si="153"/>
        <v>-3.111456828536517E-3</v>
      </c>
      <c r="AB238" s="2" vm="6598">
        <f ca="1"/>
        <v>13.63</v>
      </c>
      <c r="AC238" s="2">
        <f t="shared" ca="1" si="154"/>
        <v>-1.465201465201434E-3</v>
      </c>
      <c r="AD238" s="2" vm="7328">
        <f ca="1"/>
        <v>5.2</v>
      </c>
      <c r="AE238" s="2">
        <f t="shared" ca="1" si="155"/>
        <v>8.3333333333333412E-2</v>
      </c>
      <c r="AF238" s="2" vm="4704">
        <f ca="1"/>
        <v>37.99</v>
      </c>
      <c r="AG238" s="2">
        <f t="shared" ca="1" si="156"/>
        <v>5.2924053982535812E-3</v>
      </c>
      <c r="AH238" s="2" vm="3801">
        <f ca="1"/>
        <v>27.08</v>
      </c>
      <c r="AI238" s="2">
        <f t="shared" ca="1" si="157"/>
        <v>-3.6791758646063807E-3</v>
      </c>
      <c r="AJ238" s="2" vm="7180">
        <f ca="1"/>
        <v>4.22</v>
      </c>
      <c r="AK238" s="2">
        <f t="shared" ca="1" si="158"/>
        <v>-7.0588235294118231E-3</v>
      </c>
      <c r="AL238" s="2" vm="7957">
        <f ca="1"/>
        <v>72.2</v>
      </c>
      <c r="AM238" s="2">
        <f t="shared" ca="1" si="159"/>
        <v>-4.0005518002482008E-3</v>
      </c>
      <c r="AN238" s="2" vm="7958">
        <f ca="1"/>
        <v>126.15</v>
      </c>
      <c r="AO238" s="2">
        <f t="shared" ca="1" si="160"/>
        <v>1.8570851836899566E-2</v>
      </c>
      <c r="AP238" s="2" vm="1282">
        <f ca="1"/>
        <v>27.02</v>
      </c>
      <c r="AQ238" s="2">
        <f t="shared" ca="1" si="161"/>
        <v>-1.8470631695604253E-3</v>
      </c>
      <c r="AR238" s="2" vm="509">
        <f ca="1"/>
        <v>50.99</v>
      </c>
      <c r="AS238" s="2">
        <f t="shared" ca="1" si="162"/>
        <v>3.9238767902693988E-4</v>
      </c>
      <c r="AT238" s="2" vm="1647">
        <f ca="1"/>
        <v>29.31</v>
      </c>
      <c r="AU238" s="2">
        <f t="shared" ca="1" si="163"/>
        <v>-6.8189566996248129E-4</v>
      </c>
      <c r="AV238" s="2" vm="1366">
        <f ca="1"/>
        <v>26.91</v>
      </c>
      <c r="AW238" s="2">
        <f t="shared" ca="1" si="164"/>
        <v>-8.8397790055248053E-3</v>
      </c>
      <c r="AX238" s="2" vm="341">
        <f ca="1"/>
        <v>91.64</v>
      </c>
      <c r="AY238" s="2">
        <f t="shared" ca="1" si="165"/>
        <v>1.0913456291613135E-4</v>
      </c>
      <c r="AZ238" s="2" vm="7959">
        <f ca="1"/>
        <v>490.5</v>
      </c>
      <c r="BA238" s="2">
        <f t="shared" ca="1" si="166"/>
        <v>-3.7170190725732419E-3</v>
      </c>
      <c r="BB238" s="2" vm="7960">
        <f ca="1"/>
        <v>313.23</v>
      </c>
      <c r="BC238" s="2">
        <f t="shared" ca="1" si="167"/>
        <v>4.7473937449880295E-3</v>
      </c>
      <c r="BD238" s="2" vm="1703">
        <f ca="1"/>
        <v>52.13</v>
      </c>
      <c r="BE238" s="2">
        <f t="shared" ca="1" si="168"/>
        <v>1.4202334630350272E-2</v>
      </c>
      <c r="BF238" s="2" vm="7961">
        <f ca="1"/>
        <v>113.93</v>
      </c>
      <c r="BG238" s="2">
        <f t="shared" ca="1" si="169"/>
        <v>-1.1796339665192118E-2</v>
      </c>
      <c r="BH238" s="2" vm="2605">
        <f ca="1"/>
        <v>158.84</v>
      </c>
      <c r="BI238" s="2">
        <f t="shared" ca="1" si="170"/>
        <v>-7.8081079392841521E-3</v>
      </c>
      <c r="BJ238" s="2" vm="7962">
        <f ca="1"/>
        <v>174.16</v>
      </c>
      <c r="BK238" s="2">
        <f t="shared" ca="1" si="171"/>
        <v>-1.7155756207674899E-2</v>
      </c>
      <c r="BL238" s="2" vm="4625">
        <f ca="1"/>
        <v>66.459999999999994</v>
      </c>
      <c r="BM238" s="2">
        <f t="shared" ca="1" si="172"/>
        <v>-8.6515513126493512E-3</v>
      </c>
      <c r="BN238" s="2" vm="7963">
        <f ca="1"/>
        <v>301.14</v>
      </c>
      <c r="BO238" s="2">
        <f t="shared" ca="1" si="173"/>
        <v>-1.2558612322523661E-2</v>
      </c>
      <c r="BP238" s="2" vm="7964">
        <f ca="1"/>
        <v>114.86</v>
      </c>
      <c r="BQ238" s="2">
        <f t="shared" ca="1" si="174"/>
        <v>-1.0680447889750172E-2</v>
      </c>
      <c r="BR238" s="2" vm="7965">
        <f ca="1"/>
        <v>1207.78</v>
      </c>
      <c r="BS238" s="2">
        <f t="shared" ca="1" si="175"/>
        <v>-1.6866096866096889E-2</v>
      </c>
      <c r="BT238" s="2" vm="7966">
        <f ca="1"/>
        <v>157.32</v>
      </c>
      <c r="BU238" s="2">
        <f t="shared" ca="1" si="176"/>
        <v>-1.8773779080646286E-2</v>
      </c>
      <c r="BV238" s="2" vm="7967">
        <f ca="1"/>
        <v>140.72999999999999</v>
      </c>
      <c r="BW238" s="2">
        <f t="shared" ca="1" si="177"/>
        <v>-3.5403242937053036E-3</v>
      </c>
      <c r="BX238" s="2" vm="7968">
        <f ca="1"/>
        <v>258.37</v>
      </c>
      <c r="BY238" s="2">
        <f t="shared" ca="1" si="178"/>
        <v>7.6440076440075638E-3</v>
      </c>
      <c r="BZ238" s="2" vm="1786">
        <f ca="1"/>
        <v>91.56</v>
      </c>
      <c r="CA238" s="2">
        <f t="shared" ca="1" si="179"/>
        <v>-4.8907727420932816E-3</v>
      </c>
      <c r="CB238" s="2" vm="7969">
        <f ca="1"/>
        <v>29.52</v>
      </c>
      <c r="CC238" s="2">
        <f t="shared" ca="1" si="180"/>
        <v>-5.1226745753572738E-3</v>
      </c>
      <c r="CD238" s="2" t="e" vm="92">
        <f ca="1"/>
        <v>#N/A</v>
      </c>
      <c r="CE238" s="2" t="e" vm="140">
        <f t="shared" ca="1" si="181"/>
        <v>#N/A</v>
      </c>
      <c r="CF238" s="2" vm="7970">
        <f ca="1"/>
        <v>23.11</v>
      </c>
      <c r="CG238" s="2">
        <f t="shared" ca="1" si="182"/>
        <v>-3.0198446937014789E-3</v>
      </c>
      <c r="CH238" s="2" vm="7821">
        <f ca="1"/>
        <v>58.82</v>
      </c>
      <c r="CI238" s="2">
        <f t="shared" ca="1" si="183"/>
        <v>-5.0977060322856648E-4</v>
      </c>
      <c r="CJ238" s="2" vm="7971">
        <f ca="1"/>
        <v>60.13</v>
      </c>
      <c r="CK238" s="2">
        <f t="shared" ca="1" si="184"/>
        <v>-1.8260292164674541E-3</v>
      </c>
      <c r="CL238" s="2" vm="3203">
        <f ca="1"/>
        <v>56.77</v>
      </c>
      <c r="CM238" s="2">
        <f t="shared" ca="1" si="185"/>
        <v>-8.9036312849161657E-3</v>
      </c>
      <c r="CN238" s="2" vm="6557">
        <f ca="1"/>
        <v>29.68</v>
      </c>
      <c r="CO238" s="2">
        <f t="shared" ca="1" si="186"/>
        <v>-1.6818028927009993E-3</v>
      </c>
      <c r="CP238" s="2" vm="7972">
        <f ca="1"/>
        <v>21.5517</v>
      </c>
      <c r="CQ238" s="2">
        <f t="shared" ca="1" si="187"/>
        <v>-2.8547105036689424E-3</v>
      </c>
    </row>
    <row r="239" spans="1:95" x14ac:dyDescent="0.2">
      <c r="A239" s="7" vm="7973">
        <f ca="1"/>
        <v>45919</v>
      </c>
      <c r="B239" s="2" vm="7974">
        <f ca="1"/>
        <v>245.5</v>
      </c>
      <c r="C239" s="2">
        <f t="shared" ca="1" si="141"/>
        <v>3.2032957793845657E-2</v>
      </c>
      <c r="D239" s="2" vm="7975">
        <f ca="1"/>
        <v>176.67</v>
      </c>
      <c r="E239" s="2">
        <f t="shared" ca="1" si="142"/>
        <v>2.4398547435314252E-3</v>
      </c>
      <c r="F239" s="2" vm="7976">
        <f ca="1"/>
        <v>517.92999999999995</v>
      </c>
      <c r="G239" s="2">
        <f t="shared" ca="1" si="143"/>
        <v>1.8644901170223153E-2</v>
      </c>
      <c r="H239" s="2" vm="7977">
        <f ca="1"/>
        <v>778.38</v>
      </c>
      <c r="I239" s="2">
        <f t="shared" ca="1" si="144"/>
        <v>-2.3966677347004224E-3</v>
      </c>
      <c r="J239" s="2" vm="7978">
        <f ca="1"/>
        <v>254.72</v>
      </c>
      <c r="K239" s="2">
        <f t="shared" ca="1" si="145"/>
        <v>1.0673332539777002E-2</v>
      </c>
      <c r="L239" s="2" vm="7979">
        <f ca="1"/>
        <v>663.7</v>
      </c>
      <c r="M239" s="2">
        <f t="shared" ca="1" si="146"/>
        <v>2.174372602905286E-3</v>
      </c>
      <c r="N239" s="2" vm="4905">
        <f ca="1"/>
        <v>89.02</v>
      </c>
      <c r="O239" s="2">
        <f t="shared" ca="1" si="147"/>
        <v>-1.9060432783944579E-3</v>
      </c>
      <c r="P239" s="2" vm="7980">
        <f ca="1"/>
        <v>339.18</v>
      </c>
      <c r="Q239" s="2">
        <f t="shared" ca="1" si="148"/>
        <v>1.0607234372206668E-2</v>
      </c>
      <c r="R239" s="2" vm="7355">
        <f ca="1"/>
        <v>73.52</v>
      </c>
      <c r="S239" s="2">
        <f t="shared" ca="1" si="149"/>
        <v>-1.5664747623510535E-2</v>
      </c>
      <c r="T239" s="2" vm="895">
        <f ca="1"/>
        <v>96.63</v>
      </c>
      <c r="U239" s="2">
        <f t="shared" ca="1" si="150"/>
        <v>-4.1377883521264357E-4</v>
      </c>
      <c r="V239" s="2" vm="7981">
        <f ca="1"/>
        <v>47.877000000000002</v>
      </c>
      <c r="W239" s="2">
        <f t="shared" ca="1" si="151"/>
        <v>4.5972207710804665E-4</v>
      </c>
      <c r="X239" s="2" vm="2042">
        <f ca="1"/>
        <v>144.75</v>
      </c>
      <c r="Y239" s="2">
        <f t="shared" ca="1" si="152"/>
        <v>8.7810997282039924E-3</v>
      </c>
      <c r="Z239" s="2" vm="7982">
        <f ca="1"/>
        <v>88.52</v>
      </c>
      <c r="AA239" s="2">
        <f t="shared" ca="1" si="153"/>
        <v>-1.3264964886857628E-2</v>
      </c>
      <c r="AB239" s="2" vm="7067">
        <f ca="1"/>
        <v>13.4</v>
      </c>
      <c r="AC239" s="2">
        <f t="shared" ca="1" si="154"/>
        <v>-1.6874541452677947E-2</v>
      </c>
      <c r="AD239" s="2" vm="6397">
        <f ca="1"/>
        <v>4.9000000000000004</v>
      </c>
      <c r="AE239" s="2">
        <f t="shared" ca="1" si="155"/>
        <v>-5.7692307692307654E-2</v>
      </c>
      <c r="AF239" s="2" vm="7983">
        <f ca="1"/>
        <v>39.04</v>
      </c>
      <c r="AG239" s="2">
        <f t="shared" ca="1" si="156"/>
        <v>2.7638852329560336E-2</v>
      </c>
      <c r="AH239" s="2" vm="1091">
        <f ca="1"/>
        <v>26.97</v>
      </c>
      <c r="AI239" s="2">
        <f t="shared" ca="1" si="157"/>
        <v>-4.0620384047267153E-3</v>
      </c>
      <c r="AJ239" s="2" vm="7299">
        <f ca="1"/>
        <v>4.21</v>
      </c>
      <c r="AK239" s="2">
        <f t="shared" ca="1" si="158"/>
        <v>-2.3696682464454471E-3</v>
      </c>
      <c r="AL239" s="2" vm="7176">
        <f ca="1"/>
        <v>72.95</v>
      </c>
      <c r="AM239" s="2">
        <f t="shared" ca="1" si="159"/>
        <v>1.038781163434903E-2</v>
      </c>
      <c r="AN239" s="2" vm="7984">
        <f ca="1"/>
        <v>128.46</v>
      </c>
      <c r="AO239" s="2">
        <f t="shared" ca="1" si="160"/>
        <v>1.8311533888228315E-2</v>
      </c>
      <c r="AP239" s="2" vm="2409">
        <f ca="1"/>
        <v>26.98</v>
      </c>
      <c r="AQ239" s="2">
        <f t="shared" ca="1" si="161"/>
        <v>-1.4803849000739877E-3</v>
      </c>
      <c r="AR239" s="2" vm="1121">
        <f ca="1"/>
        <v>51</v>
      </c>
      <c r="AS239" s="2">
        <f t="shared" ca="1" si="162"/>
        <v>1.9611688566381662E-4</v>
      </c>
      <c r="AT239" s="2" vm="4979">
        <f ca="1"/>
        <v>29.32</v>
      </c>
      <c r="AU239" s="2">
        <f t="shared" ca="1" si="163"/>
        <v>3.4118048447634132E-4</v>
      </c>
      <c r="AV239" s="2" vm="925">
        <f ca="1"/>
        <v>26.87</v>
      </c>
      <c r="AW239" s="2">
        <f t="shared" ca="1" si="164"/>
        <v>-1.4864362690449331E-3</v>
      </c>
      <c r="AX239" s="2" vm="1326">
        <f ca="1"/>
        <v>91.68</v>
      </c>
      <c r="AY239" s="2">
        <f t="shared" ca="1" si="165"/>
        <v>4.3649061545183602E-4</v>
      </c>
      <c r="AZ239" s="2" vm="7985">
        <f ca="1"/>
        <v>492.85</v>
      </c>
      <c r="BA239" s="2">
        <f t="shared" ca="1" si="166"/>
        <v>4.7910295616718102E-3</v>
      </c>
      <c r="BB239" s="2" vm="7986">
        <f ca="1"/>
        <v>314.77999999999997</v>
      </c>
      <c r="BC239" s="2">
        <f t="shared" ca="1" si="167"/>
        <v>4.948440443124715E-3</v>
      </c>
      <c r="BD239" s="2" vm="1588">
        <f ca="1"/>
        <v>52.25</v>
      </c>
      <c r="BE239" s="2">
        <f t="shared" ca="1" si="168"/>
        <v>2.3019374640321781E-3</v>
      </c>
      <c r="BF239" s="2" vm="7987">
        <f ca="1"/>
        <v>112.82</v>
      </c>
      <c r="BG239" s="2">
        <f t="shared" ca="1" si="169"/>
        <v>-9.7428245413851804E-3</v>
      </c>
      <c r="BH239" s="2" vm="1860">
        <f ca="1"/>
        <v>156.21</v>
      </c>
      <c r="BI239" s="2">
        <f t="shared" ca="1" si="170"/>
        <v>-1.655754218081085E-2</v>
      </c>
      <c r="BJ239" s="2" vm="7988">
        <f ca="1"/>
        <v>176.19</v>
      </c>
      <c r="BK239" s="2">
        <f t="shared" ca="1" si="171"/>
        <v>1.1655948553054669E-2</v>
      </c>
      <c r="BL239" s="2" vm="7989">
        <f ca="1"/>
        <v>66.430000000000007</v>
      </c>
      <c r="BM239" s="2">
        <f t="shared" ca="1" si="172"/>
        <v>-4.5139933794744098E-4</v>
      </c>
      <c r="BN239" s="2" vm="7990">
        <f ca="1"/>
        <v>302.38</v>
      </c>
      <c r="BO239" s="2">
        <f t="shared" ca="1" si="173"/>
        <v>4.1176861260543577E-3</v>
      </c>
      <c r="BP239" s="2" vm="4025">
        <f ca="1"/>
        <v>113.76</v>
      </c>
      <c r="BQ239" s="2">
        <f t="shared" ca="1" si="174"/>
        <v>-9.5768761971094744E-3</v>
      </c>
      <c r="BR239" s="2" vm="7991">
        <f ca="1"/>
        <v>1226.97</v>
      </c>
      <c r="BS239" s="2">
        <f t="shared" ca="1" si="175"/>
        <v>1.5888655218665698E-2</v>
      </c>
      <c r="BT239" s="2" vm="7992">
        <f ca="1"/>
        <v>156.04</v>
      </c>
      <c r="BU239" s="2">
        <f t="shared" ca="1" si="176"/>
        <v>-8.1362827358250778E-3</v>
      </c>
      <c r="BV239" s="2" vm="7993">
        <f ca="1"/>
        <v>141.76</v>
      </c>
      <c r="BW239" s="2">
        <f t="shared" ca="1" si="177"/>
        <v>7.3189796063383872E-3</v>
      </c>
      <c r="BX239" s="2" vm="7994">
        <f ca="1"/>
        <v>254.52</v>
      </c>
      <c r="BY239" s="2">
        <f t="shared" ca="1" si="178"/>
        <v>-1.4901110810078548E-2</v>
      </c>
      <c r="BZ239" s="2" vm="4484">
        <f ca="1"/>
        <v>90.05</v>
      </c>
      <c r="CA239" s="2">
        <f t="shared" ca="1" si="179"/>
        <v>-1.6491917868064712E-2</v>
      </c>
      <c r="CB239" s="2" vm="7995">
        <f ca="1"/>
        <v>28.795300000000001</v>
      </c>
      <c r="CC239" s="2">
        <f t="shared" ca="1" si="180"/>
        <v>-2.4549457994579898E-2</v>
      </c>
      <c r="CD239" s="2" t="e" vm="92">
        <f ca="1"/>
        <v>#N/A</v>
      </c>
      <c r="CE239" s="2" t="e" vm="140">
        <f t="shared" ca="1" si="181"/>
        <v>#N/A</v>
      </c>
      <c r="CF239" s="2" vm="7996">
        <f ca="1"/>
        <v>23.114999999999998</v>
      </c>
      <c r="CG239" s="2">
        <f t="shared" ca="1" si="182"/>
        <v>2.1635655560359174E-4</v>
      </c>
      <c r="CH239" s="2" vm="7877">
        <f ca="1"/>
        <v>58.84</v>
      </c>
      <c r="CI239" s="2">
        <f t="shared" ca="1" si="183"/>
        <v>3.4002040122412658E-4</v>
      </c>
      <c r="CJ239" s="2" vm="7971">
        <f ca="1"/>
        <v>60.13</v>
      </c>
      <c r="CK239" s="2">
        <f t="shared" ca="1" si="184"/>
        <v>0</v>
      </c>
      <c r="CL239" s="2" vm="1140">
        <f ca="1"/>
        <v>56.68</v>
      </c>
      <c r="CM239" s="2">
        <f t="shared" ca="1" si="185"/>
        <v>-1.5853443720275392E-3</v>
      </c>
      <c r="CN239" s="2" vm="6557">
        <f ca="1"/>
        <v>29.68</v>
      </c>
      <c r="CO239" s="2">
        <f t="shared" ca="1" si="186"/>
        <v>0</v>
      </c>
      <c r="CP239" s="2" vm="7997">
        <f ca="1"/>
        <v>21.552199999999999</v>
      </c>
      <c r="CQ239" s="2">
        <f t="shared" ca="1" si="187"/>
        <v>2.3200025983975034E-5</v>
      </c>
    </row>
    <row r="240" spans="1:95" x14ac:dyDescent="0.2">
      <c r="A240" s="7" vm="7998">
        <f ca="1"/>
        <v>45922</v>
      </c>
      <c r="B240" s="2" vm="7999">
        <f ca="1"/>
        <v>256.08</v>
      </c>
      <c r="C240" s="2">
        <f t="shared" ca="1" si="141"/>
        <v>4.3095723014256557E-2</v>
      </c>
      <c r="D240" s="2" vm="3308">
        <f ca="1"/>
        <v>183.61</v>
      </c>
      <c r="E240" s="2">
        <f t="shared" ca="1" si="142"/>
        <v>3.9282277692873867E-2</v>
      </c>
      <c r="F240" s="2" vm="8000">
        <f ca="1"/>
        <v>514.45000000000005</v>
      </c>
      <c r="G240" s="2">
        <f t="shared" ca="1" si="143"/>
        <v>-6.719054698511198E-3</v>
      </c>
      <c r="H240" s="2" vm="8001">
        <f ca="1"/>
        <v>765.16</v>
      </c>
      <c r="I240" s="2">
        <f t="shared" ca="1" si="144"/>
        <v>-1.6983992394460325E-2</v>
      </c>
      <c r="J240" s="2" vm="8002">
        <f ca="1"/>
        <v>252.53</v>
      </c>
      <c r="K240" s="2">
        <f t="shared" ca="1" si="145"/>
        <v>-8.5976758793969762E-3</v>
      </c>
      <c r="L240" s="2" vm="8003">
        <f ca="1"/>
        <v>666.84</v>
      </c>
      <c r="M240" s="2">
        <f t="shared" ca="1" si="146"/>
        <v>4.731053186680708E-3</v>
      </c>
      <c r="N240" s="2" vm="8004">
        <f ca="1"/>
        <v>88.7</v>
      </c>
      <c r="O240" s="2">
        <f t="shared" ca="1" si="147"/>
        <v>-3.5946978207143697E-3</v>
      </c>
      <c r="P240" s="2" vm="8005">
        <f ca="1"/>
        <v>345.05</v>
      </c>
      <c r="Q240" s="2">
        <f t="shared" ca="1" si="148"/>
        <v>1.7306444955480879E-2</v>
      </c>
      <c r="R240" s="2" vm="8006">
        <f ca="1"/>
        <v>73.45</v>
      </c>
      <c r="S240" s="2">
        <f t="shared" ca="1" si="149"/>
        <v>-9.5212187159947207E-4</v>
      </c>
      <c r="T240" s="2" vm="8007">
        <f ca="1"/>
        <v>96.47</v>
      </c>
      <c r="U240" s="2">
        <f t="shared" ca="1" si="150"/>
        <v>-1.6558004760426016E-3</v>
      </c>
      <c r="V240" s="2" vm="8008">
        <f ca="1"/>
        <v>47.804699999999997</v>
      </c>
      <c r="W240" s="2">
        <f t="shared" ca="1" si="151"/>
        <v>-1.5101196816844325E-3</v>
      </c>
      <c r="X240" s="2" vm="5896">
        <f ca="1"/>
        <v>143.96</v>
      </c>
      <c r="Y240" s="2">
        <f t="shared" ca="1" si="152"/>
        <v>-5.4576856649394961E-3</v>
      </c>
      <c r="Z240" s="2" vm="7092">
        <f ca="1"/>
        <v>87.67</v>
      </c>
      <c r="AA240" s="2">
        <f t="shared" ca="1" si="153"/>
        <v>-9.6023497514685311E-3</v>
      </c>
      <c r="AB240" s="2" vm="7099">
        <f ca="1"/>
        <v>13.39</v>
      </c>
      <c r="AC240" s="2">
        <f t="shared" ca="1" si="154"/>
        <v>-7.4626865671640198E-4</v>
      </c>
      <c r="AD240" s="2" vm="6397">
        <f ca="1"/>
        <v>4.9000000000000004</v>
      </c>
      <c r="AE240" s="2">
        <f t="shared" ca="1" si="155"/>
        <v>0</v>
      </c>
      <c r="AF240" s="2" vm="8009">
        <f ca="1"/>
        <v>40.04</v>
      </c>
      <c r="AG240" s="2">
        <f t="shared" ca="1" si="156"/>
        <v>2.5614754098360656E-2</v>
      </c>
      <c r="AH240" s="2" vm="2030">
        <f ca="1"/>
        <v>26.85</v>
      </c>
      <c r="AI240" s="2">
        <f t="shared" ca="1" si="157"/>
        <v>-4.4493882091211513E-3</v>
      </c>
      <c r="AJ240" s="2" vm="8010">
        <f ca="1"/>
        <v>4.12</v>
      </c>
      <c r="AK240" s="2">
        <f t="shared" ca="1" si="158"/>
        <v>-2.1377672209026095E-2</v>
      </c>
      <c r="AL240" s="2" vm="1914">
        <f ca="1"/>
        <v>74.209999999999994</v>
      </c>
      <c r="AM240" s="2">
        <f t="shared" ca="1" si="159"/>
        <v>1.7272104180945727E-2</v>
      </c>
      <c r="AN240" s="2" vm="8011">
        <f ca="1"/>
        <v>129.77000000000001</v>
      </c>
      <c r="AO240" s="2">
        <f t="shared" ca="1" si="160"/>
        <v>1.0197726918885272E-2</v>
      </c>
      <c r="AP240" s="2" vm="2372">
        <f ca="1"/>
        <v>26.93</v>
      </c>
      <c r="AQ240" s="2">
        <f t="shared" ca="1" si="161"/>
        <v>-1.8532246108228581E-3</v>
      </c>
      <c r="AR240" s="2" vm="552">
        <f ca="1"/>
        <v>51.01</v>
      </c>
      <c r="AS240" s="2">
        <f t="shared" ca="1" si="162"/>
        <v>1.9607843137251001E-4</v>
      </c>
      <c r="AT240" s="2" vm="4979">
        <f ca="1"/>
        <v>29.32</v>
      </c>
      <c r="AU240" s="2">
        <f t="shared" ca="1" si="163"/>
        <v>0</v>
      </c>
      <c r="AV240" s="2" vm="4304">
        <f ca="1"/>
        <v>26.78</v>
      </c>
      <c r="AW240" s="2">
        <f t="shared" ca="1" si="164"/>
        <v>-3.3494603647190122E-3</v>
      </c>
      <c r="AX240" s="2" vm="424">
        <f ca="1"/>
        <v>91.69</v>
      </c>
      <c r="AY240" s="2">
        <f t="shared" ca="1" si="165"/>
        <v>1.0907504362991824E-4</v>
      </c>
      <c r="AZ240" s="2" vm="8012">
        <f ca="1"/>
        <v>493.71</v>
      </c>
      <c r="BA240" s="2">
        <f t="shared" ca="1" si="166"/>
        <v>1.7449528254031789E-3</v>
      </c>
      <c r="BB240" s="2" vm="8013">
        <f ca="1"/>
        <v>312.44</v>
      </c>
      <c r="BC240" s="2">
        <f t="shared" ca="1" si="167"/>
        <v>-7.4337632632313841E-3</v>
      </c>
      <c r="BD240" s="2" vm="8014">
        <f ca="1"/>
        <v>51.92</v>
      </c>
      <c r="BE240" s="2">
        <f t="shared" ca="1" si="168"/>
        <v>-6.3157894736841783E-3</v>
      </c>
      <c r="BF240" s="2" vm="5677">
        <f ca="1"/>
        <v>112.02</v>
      </c>
      <c r="BG240" s="2">
        <f t="shared" ca="1" si="169"/>
        <v>-7.0909413224605321E-3</v>
      </c>
      <c r="BH240" s="2" vm="6660">
        <f ca="1"/>
        <v>156.05000000000001</v>
      </c>
      <c r="BI240" s="2">
        <f t="shared" ca="1" si="170"/>
        <v>-1.0242622111260263E-3</v>
      </c>
      <c r="BJ240" s="2" vm="8015">
        <f ca="1"/>
        <v>174.21</v>
      </c>
      <c r="BK240" s="2">
        <f t="shared" ca="1" si="171"/>
        <v>-1.1237868210454565E-2</v>
      </c>
      <c r="BL240" s="2" vm="7870">
        <f ca="1"/>
        <v>66.209999999999994</v>
      </c>
      <c r="BM240" s="2">
        <f t="shared" ca="1" si="172"/>
        <v>-3.3117567364144671E-3</v>
      </c>
      <c r="BN240" s="2" vm="8016">
        <f ca="1"/>
        <v>302.99</v>
      </c>
      <c r="BO240" s="2">
        <f t="shared" ca="1" si="173"/>
        <v>2.0173291884384341E-3</v>
      </c>
      <c r="BP240" s="2" vm="2199">
        <f ca="1"/>
        <v>112.56</v>
      </c>
      <c r="BQ240" s="2">
        <f t="shared" ca="1" si="174"/>
        <v>-1.0548523206751079E-2</v>
      </c>
      <c r="BR240" s="2" vm="8017">
        <f ca="1"/>
        <v>1227.3699999999999</v>
      </c>
      <c r="BS240" s="2">
        <f t="shared" ca="1" si="175"/>
        <v>3.2600634082321784E-4</v>
      </c>
      <c r="BT240" s="2" vm="806">
        <f ca="1"/>
        <v>153.07</v>
      </c>
      <c r="BU240" s="2">
        <f t="shared" ca="1" si="176"/>
        <v>-1.9033581133042803E-2</v>
      </c>
      <c r="BV240" s="2" vm="8018">
        <f ca="1"/>
        <v>141.03</v>
      </c>
      <c r="BW240" s="2">
        <f t="shared" ca="1" si="177"/>
        <v>-5.1495485327313047E-3</v>
      </c>
      <c r="BX240" s="2" vm="8019">
        <f ca="1"/>
        <v>254.82</v>
      </c>
      <c r="BY240" s="2">
        <f t="shared" ca="1" si="178"/>
        <v>1.1786892975011115E-3</v>
      </c>
      <c r="BZ240" s="2" vm="1311">
        <f ca="1"/>
        <v>90.41</v>
      </c>
      <c r="CA240" s="2">
        <f t="shared" ca="1" si="179"/>
        <v>3.9977790116601823E-3</v>
      </c>
      <c r="CB240" s="2" vm="8020">
        <f ca="1"/>
        <v>28.8035</v>
      </c>
      <c r="CC240" s="2">
        <f t="shared" ca="1" si="180"/>
        <v>2.8476869489113337E-4</v>
      </c>
      <c r="CD240" s="2" t="e" vm="92">
        <f ca="1"/>
        <v>#N/A</v>
      </c>
      <c r="CE240" s="2" t="e" vm="140">
        <f t="shared" ca="1" si="181"/>
        <v>#N/A</v>
      </c>
      <c r="CF240" s="2" vm="5055">
        <f ca="1"/>
        <v>23.08</v>
      </c>
      <c r="CG240" s="2">
        <f t="shared" ca="1" si="182"/>
        <v>-1.5141682889898396E-3</v>
      </c>
      <c r="CH240" s="2" vm="5561">
        <f ca="1"/>
        <v>58.81</v>
      </c>
      <c r="CI240" s="2">
        <f t="shared" ca="1" si="183"/>
        <v>-5.0985723997282694E-4</v>
      </c>
      <c r="CJ240" s="2" vm="7542">
        <f ca="1"/>
        <v>60.06</v>
      </c>
      <c r="CK240" s="2">
        <f t="shared" ca="1" si="184"/>
        <v>-1.1641443538998883E-3</v>
      </c>
      <c r="CL240" s="2" vm="8021">
        <f ca="1"/>
        <v>56.5</v>
      </c>
      <c r="CM240" s="2">
        <f t="shared" ca="1" si="185"/>
        <v>-3.1757233592095927E-3</v>
      </c>
      <c r="CN240" s="2" vm="7728">
        <f ca="1"/>
        <v>29.62</v>
      </c>
      <c r="CO240" s="2">
        <f t="shared" ca="1" si="186"/>
        <v>-2.021563342318016E-3</v>
      </c>
      <c r="CP240" s="2" vm="8022">
        <f ca="1"/>
        <v>21.530799999999999</v>
      </c>
      <c r="CQ240" s="2">
        <f t="shared" ca="1" si="187"/>
        <v>-9.9293807592727734E-4</v>
      </c>
    </row>
    <row r="241" spans="1:95" x14ac:dyDescent="0.2">
      <c r="A241" s="7" vm="8023">
        <f ca="1"/>
        <v>45923</v>
      </c>
      <c r="B241" s="2" vm="2800">
        <f ca="1"/>
        <v>254.43</v>
      </c>
      <c r="C241" s="2">
        <f t="shared" ca="1" si="141"/>
        <v>-6.4432989690720761E-3</v>
      </c>
      <c r="D241" s="2" vm="7685">
        <f ca="1"/>
        <v>178.43</v>
      </c>
      <c r="E241" s="2">
        <f t="shared" ca="1" si="142"/>
        <v>-2.8211971025543306E-2</v>
      </c>
      <c r="F241" s="2" vm="8024">
        <f ca="1"/>
        <v>509.23</v>
      </c>
      <c r="G241" s="2">
        <f t="shared" ca="1" si="143"/>
        <v>-1.0146758674312424E-2</v>
      </c>
      <c r="H241" s="2" vm="8025">
        <f ca="1"/>
        <v>755.4</v>
      </c>
      <c r="I241" s="2">
        <f t="shared" ca="1" si="144"/>
        <v>-1.2755502117204234E-2</v>
      </c>
      <c r="J241" s="2" vm="8026">
        <f ca="1"/>
        <v>251.66</v>
      </c>
      <c r="K241" s="2">
        <f t="shared" ca="1" si="145"/>
        <v>-3.4451352314576666E-3</v>
      </c>
      <c r="L241" s="2" vm="8027">
        <f ca="1"/>
        <v>663.21</v>
      </c>
      <c r="M241" s="2">
        <f t="shared" ca="1" si="146"/>
        <v>-5.4435846679863169E-3</v>
      </c>
      <c r="N241" s="2" vm="8028">
        <f ca="1"/>
        <v>89.32</v>
      </c>
      <c r="O241" s="2">
        <f t="shared" ca="1" si="147"/>
        <v>6.9898534385568244E-3</v>
      </c>
      <c r="P241" s="2" vm="8029">
        <f ca="1"/>
        <v>346.46</v>
      </c>
      <c r="Q241" s="2">
        <f t="shared" ca="1" si="148"/>
        <v>4.086364295029613E-3</v>
      </c>
      <c r="R241" s="2" vm="5959">
        <f ca="1"/>
        <v>75.05</v>
      </c>
      <c r="S241" s="2">
        <f t="shared" ca="1" si="149"/>
        <v>2.1783526208304892E-2</v>
      </c>
      <c r="T241" s="2" vm="476">
        <f ca="1"/>
        <v>96.74</v>
      </c>
      <c r="U241" s="2">
        <f t="shared" ca="1" si="150"/>
        <v>2.7987975536435785E-3</v>
      </c>
      <c r="V241" s="2" vm="8030">
        <f ca="1"/>
        <v>47.875599999999999</v>
      </c>
      <c r="W241" s="2">
        <f t="shared" ca="1" si="151"/>
        <v>1.4831177687549915E-3</v>
      </c>
      <c r="X241" s="2" vm="8031">
        <f ca="1"/>
        <v>144.88999999999999</v>
      </c>
      <c r="Y241" s="2">
        <f t="shared" ca="1" si="152"/>
        <v>6.4601278132813168E-3</v>
      </c>
      <c r="Z241" s="2" vm="8032">
        <f ca="1"/>
        <v>89.18</v>
      </c>
      <c r="AA241" s="2">
        <f t="shared" ca="1" si="153"/>
        <v>1.7223679707995952E-2</v>
      </c>
      <c r="AB241" s="2" vm="6721">
        <f ca="1"/>
        <v>13.71</v>
      </c>
      <c r="AC241" s="2">
        <f t="shared" ca="1" si="154"/>
        <v>2.3898431665421976E-2</v>
      </c>
      <c r="AD241" s="2" vm="6397">
        <f ca="1"/>
        <v>4.9000000000000004</v>
      </c>
      <c r="AE241" s="2">
        <f t="shared" ca="1" si="155"/>
        <v>0</v>
      </c>
      <c r="AF241" s="2" vm="8033">
        <f ca="1"/>
        <v>39.96</v>
      </c>
      <c r="AG241" s="2">
        <f t="shared" ca="1" si="156"/>
        <v>-1.9980019980019555E-3</v>
      </c>
      <c r="AH241" s="2" vm="3643">
        <f ca="1"/>
        <v>26.81</v>
      </c>
      <c r="AI241" s="2">
        <f t="shared" ca="1" si="157"/>
        <v>-1.4897579143390205E-3</v>
      </c>
      <c r="AJ241" s="2" vm="7243">
        <f ca="1"/>
        <v>4.2</v>
      </c>
      <c r="AK241" s="2">
        <f t="shared" ca="1" si="158"/>
        <v>1.9417475728155355E-2</v>
      </c>
      <c r="AL241" s="2" vm="915">
        <f ca="1"/>
        <v>74.540000000000006</v>
      </c>
      <c r="AM241" s="2">
        <f t="shared" ca="1" si="159"/>
        <v>4.4468400485111513E-3</v>
      </c>
      <c r="AN241" s="2" vm="8034">
        <f ca="1"/>
        <v>134.75</v>
      </c>
      <c r="AO241" s="2">
        <f t="shared" ca="1" si="160"/>
        <v>3.8375587578022577E-2</v>
      </c>
      <c r="AP241" s="2" vm="1701">
        <f ca="1"/>
        <v>27</v>
      </c>
      <c r="AQ241" s="2">
        <f t="shared" ca="1" si="161"/>
        <v>2.5993316004456102E-3</v>
      </c>
      <c r="AR241" s="2" vm="1324">
        <f ca="1"/>
        <v>51.02</v>
      </c>
      <c r="AS241" s="2">
        <f t="shared" ca="1" si="162"/>
        <v>1.960399921585006E-4</v>
      </c>
      <c r="AT241" s="2" vm="1536">
        <f ca="1"/>
        <v>29.33</v>
      </c>
      <c r="AU241" s="2">
        <f t="shared" ca="1" si="163"/>
        <v>3.4106412005450239E-4</v>
      </c>
      <c r="AV241" s="2" vm="1405">
        <f ca="1"/>
        <v>26.94</v>
      </c>
      <c r="AW241" s="2">
        <f t="shared" ca="1" si="164"/>
        <v>5.9746079163554939E-3</v>
      </c>
      <c r="AX241" s="2" vm="424">
        <f ca="1"/>
        <v>91.69</v>
      </c>
      <c r="AY241" s="2">
        <f t="shared" ca="1" si="165"/>
        <v>0</v>
      </c>
      <c r="AZ241" s="2" vm="3614">
        <f ca="1"/>
        <v>494.1</v>
      </c>
      <c r="BA241" s="2">
        <f t="shared" ca="1" si="166"/>
        <v>7.8993741265123902E-4</v>
      </c>
      <c r="BB241" s="2" vm="8035">
        <f ca="1"/>
        <v>312.74</v>
      </c>
      <c r="BC241" s="2">
        <f t="shared" ca="1" si="167"/>
        <v>9.6018435539627252E-4</v>
      </c>
      <c r="BD241" s="2" vm="70">
        <f ca="1"/>
        <v>51.7</v>
      </c>
      <c r="BE241" s="2">
        <f t="shared" ca="1" si="168"/>
        <v>-4.2372881355931986E-3</v>
      </c>
      <c r="BF241" s="2" vm="8036">
        <f ca="1"/>
        <v>113.95</v>
      </c>
      <c r="BG241" s="2">
        <f t="shared" ca="1" si="169"/>
        <v>1.7229066238171817E-2</v>
      </c>
      <c r="BH241" s="2" vm="8037">
        <f ca="1"/>
        <v>157.41999999999999</v>
      </c>
      <c r="BI241" s="2">
        <f t="shared" ca="1" si="170"/>
        <v>8.7792374239024414E-3</v>
      </c>
      <c r="BJ241" s="2" vm="8038">
        <f ca="1"/>
        <v>176.58</v>
      </c>
      <c r="BK241" s="2">
        <f t="shared" ca="1" si="171"/>
        <v>1.3604270707766514E-2</v>
      </c>
      <c r="BL241" s="2" vm="8039">
        <f ca="1"/>
        <v>66.709999999999994</v>
      </c>
      <c r="BM241" s="2">
        <f t="shared" ca="1" si="172"/>
        <v>7.5517293460202395E-3</v>
      </c>
      <c r="BN241" s="2" vm="8040">
        <f ca="1"/>
        <v>303.19</v>
      </c>
      <c r="BO241" s="2">
        <f t="shared" ca="1" si="173"/>
        <v>6.6008779167625543E-4</v>
      </c>
      <c r="BP241" s="2" vm="8041">
        <f ca="1"/>
        <v>112.25</v>
      </c>
      <c r="BQ241" s="2">
        <f t="shared" ca="1" si="174"/>
        <v>-2.75408670931061E-3</v>
      </c>
      <c r="BR241" s="2" vm="8042">
        <f ca="1"/>
        <v>1218.47</v>
      </c>
      <c r="BS241" s="2">
        <f t="shared" ca="1" si="175"/>
        <v>-7.2512771209984478E-3</v>
      </c>
      <c r="BT241" s="2" vm="8043">
        <f ca="1"/>
        <v>152.5</v>
      </c>
      <c r="BU241" s="2">
        <f t="shared" ca="1" si="176"/>
        <v>-3.7237865029071224E-3</v>
      </c>
      <c r="BV241" s="2" vm="8044">
        <f ca="1"/>
        <v>141.9</v>
      </c>
      <c r="BW241" s="2">
        <f t="shared" ca="1" si="177"/>
        <v>6.1689002339927997E-3</v>
      </c>
      <c r="BX241" s="2" vm="8045">
        <f ca="1"/>
        <v>261.77999999999997</v>
      </c>
      <c r="BY241" s="2">
        <f t="shared" ca="1" si="178"/>
        <v>2.7313397692488736E-2</v>
      </c>
      <c r="BZ241" s="2" vm="8046">
        <f ca="1"/>
        <v>92.19</v>
      </c>
      <c r="CA241" s="2">
        <f t="shared" ca="1" si="179"/>
        <v>1.9688087600929115E-2</v>
      </c>
      <c r="CB241" s="2" vm="4698">
        <f ca="1"/>
        <v>29.41</v>
      </c>
      <c r="CC241" s="2">
        <f t="shared" ca="1" si="180"/>
        <v>2.1056468831912804E-2</v>
      </c>
      <c r="CD241" s="2" t="e" vm="92">
        <f ca="1"/>
        <v>#N/A</v>
      </c>
      <c r="CE241" s="2" t="e" vm="140">
        <f t="shared" ca="1" si="181"/>
        <v>#N/A</v>
      </c>
      <c r="CF241" s="2" vm="7757">
        <f ca="1"/>
        <v>23.135000000000002</v>
      </c>
      <c r="CG241" s="2">
        <f t="shared" ca="1" si="182"/>
        <v>2.383015597920419E-3</v>
      </c>
      <c r="CH241" s="2" vm="735">
        <f ca="1"/>
        <v>58.83</v>
      </c>
      <c r="CI241" s="2">
        <f t="shared" ca="1" si="183"/>
        <v>3.4007821799007007E-4</v>
      </c>
      <c r="CJ241" s="2" vm="4051">
        <f ca="1"/>
        <v>60.17</v>
      </c>
      <c r="CK241" s="2">
        <f t="shared" ca="1" si="184"/>
        <v>1.831501831501822E-3</v>
      </c>
      <c r="CL241" s="2" vm="8047">
        <f ca="1"/>
        <v>56.87</v>
      </c>
      <c r="CM241" s="2">
        <f t="shared" ca="1" si="185"/>
        <v>6.5486725663716364E-3</v>
      </c>
      <c r="CN241" s="2" vm="8048">
        <f ca="1"/>
        <v>29.66</v>
      </c>
      <c r="CO241" s="2">
        <f t="shared" ca="1" si="186"/>
        <v>1.3504388926400793E-3</v>
      </c>
      <c r="CP241" s="2" vm="8049">
        <f ca="1"/>
        <v>21.6752</v>
      </c>
      <c r="CQ241" s="2">
        <f t="shared" ca="1" si="187"/>
        <v>6.7066713731027631E-3</v>
      </c>
    </row>
    <row r="242" spans="1:95" x14ac:dyDescent="0.2">
      <c r="A242" s="7" vm="8050">
        <f ca="1"/>
        <v>45924</v>
      </c>
      <c r="B242" s="2" vm="8051">
        <f ca="1"/>
        <v>252.31</v>
      </c>
      <c r="C242" s="2">
        <f t="shared" ca="1" si="141"/>
        <v>-8.332350744802125E-3</v>
      </c>
      <c r="D242" s="2" vm="8052">
        <f ca="1"/>
        <v>176.97</v>
      </c>
      <c r="E242" s="2">
        <f t="shared" ca="1" si="142"/>
        <v>-8.1824805245755087E-3</v>
      </c>
      <c r="F242" s="2" vm="8053">
        <f ca="1"/>
        <v>510.15</v>
      </c>
      <c r="G242" s="2">
        <f t="shared" ca="1" si="143"/>
        <v>1.8066492547571019E-3</v>
      </c>
      <c r="H242" s="2" vm="8054">
        <f ca="1"/>
        <v>760.66</v>
      </c>
      <c r="I242" s="2">
        <f t="shared" ca="1" si="144"/>
        <v>6.9631983055334808E-3</v>
      </c>
      <c r="J242" s="2" vm="8055">
        <f ca="1"/>
        <v>247.14</v>
      </c>
      <c r="K242" s="2">
        <f t="shared" ca="1" si="145"/>
        <v>-1.7960740681872409E-2</v>
      </c>
      <c r="L242" s="2" vm="8056">
        <f ca="1"/>
        <v>661.1</v>
      </c>
      <c r="M242" s="2">
        <f t="shared" ca="1" si="146"/>
        <v>-3.1814960570558551E-3</v>
      </c>
      <c r="N242" s="2" vm="5921">
        <f ca="1"/>
        <v>88.98</v>
      </c>
      <c r="O242" s="2">
        <f t="shared" ca="1" si="147"/>
        <v>-3.8065382892967892E-3</v>
      </c>
      <c r="P242" s="2" vm="8057">
        <f ca="1"/>
        <v>343.32</v>
      </c>
      <c r="Q242" s="2">
        <f t="shared" ca="1" si="148"/>
        <v>-9.0630953068174865E-3</v>
      </c>
      <c r="R242" s="2" vm="3342">
        <f ca="1"/>
        <v>76.39</v>
      </c>
      <c r="S242" s="2">
        <f t="shared" ca="1" si="149"/>
        <v>1.7854763491006041E-2</v>
      </c>
      <c r="T242" s="2" vm="8058">
        <f ca="1"/>
        <v>96.48</v>
      </c>
      <c r="U242" s="2">
        <f t="shared" ca="1" si="150"/>
        <v>-2.6876162910894246E-3</v>
      </c>
      <c r="V242" s="2" vm="8059">
        <f ca="1"/>
        <v>47.5884</v>
      </c>
      <c r="W242" s="2">
        <f t="shared" ca="1" si="151"/>
        <v>-5.9988804317856817E-3</v>
      </c>
      <c r="X242" s="2" vm="8060">
        <f ca="1"/>
        <v>137.16</v>
      </c>
      <c r="Y242" s="2">
        <f t="shared" ca="1" si="152"/>
        <v>-5.3350817861826147E-2</v>
      </c>
      <c r="Z242" s="2" vm="374">
        <f ca="1"/>
        <v>90.34</v>
      </c>
      <c r="AA242" s="2">
        <f t="shared" ca="1" si="153"/>
        <v>1.3007400762502765E-2</v>
      </c>
      <c r="AB242" s="2" vm="6143">
        <f ca="1"/>
        <v>13.92</v>
      </c>
      <c r="AC242" s="2">
        <f t="shared" ca="1" si="154"/>
        <v>1.5317286652078706E-2</v>
      </c>
      <c r="AD242" s="2" vm="1276">
        <f ca="1"/>
        <v>4.8</v>
      </c>
      <c r="AE242" s="2">
        <f t="shared" ca="1" si="155"/>
        <v>-2.0408163265306228E-2</v>
      </c>
      <c r="AF242" s="2" vm="8061">
        <f ca="1"/>
        <v>39.82</v>
      </c>
      <c r="AG242" s="2">
        <f t="shared" ca="1" si="156"/>
        <v>-3.5035035035035178E-3</v>
      </c>
      <c r="AH242" s="2" vm="1242">
        <f ca="1"/>
        <v>26.9</v>
      </c>
      <c r="AI242" s="2">
        <f t="shared" ca="1" si="157"/>
        <v>3.3569563595673203E-3</v>
      </c>
      <c r="AJ242" s="2" vm="7806">
        <f ca="1"/>
        <v>4.18</v>
      </c>
      <c r="AK242" s="2">
        <f t="shared" ca="1" si="158"/>
        <v>-4.7619047619048716E-3</v>
      </c>
      <c r="AL242" s="2" vm="2256">
        <f ca="1"/>
        <v>73.849999999999994</v>
      </c>
      <c r="AM242" s="2">
        <f t="shared" ca="1" si="159"/>
        <v>-9.256774885967425E-3</v>
      </c>
      <c r="AN242" s="2" vm="3501">
        <f ca="1"/>
        <v>134.43</v>
      </c>
      <c r="AO242" s="2">
        <f t="shared" ca="1" si="160"/>
        <v>-2.3747680890537528E-3</v>
      </c>
      <c r="AP242" s="2" vm="1962">
        <f ca="1"/>
        <v>26.96</v>
      </c>
      <c r="AQ242" s="2">
        <f t="shared" ca="1" si="161"/>
        <v>-1.48148148148145E-3</v>
      </c>
      <c r="AR242" s="2" vm="715">
        <f ca="1"/>
        <v>51.03</v>
      </c>
      <c r="AS242" s="2">
        <f t="shared" ca="1" si="162"/>
        <v>1.960015680125051E-4</v>
      </c>
      <c r="AT242" s="2" vm="4979">
        <f ca="1"/>
        <v>29.32</v>
      </c>
      <c r="AU242" s="2">
        <f t="shared" ca="1" si="163"/>
        <v>-3.4094783498118004E-4</v>
      </c>
      <c r="AV242" s="2" vm="2030">
        <f ca="1"/>
        <v>26.85</v>
      </c>
      <c r="AW242" s="2">
        <f t="shared" ca="1" si="164"/>
        <v>-3.3407572383073441E-3</v>
      </c>
      <c r="AX242" s="2" vm="554">
        <f ca="1"/>
        <v>91.71</v>
      </c>
      <c r="AY242" s="2">
        <f t="shared" ca="1" si="165"/>
        <v>2.1812629512483391E-4</v>
      </c>
      <c r="AZ242" s="2" vm="8062">
        <f ca="1"/>
        <v>497.09</v>
      </c>
      <c r="BA242" s="2">
        <f t="shared" ca="1" si="166"/>
        <v>6.0514065978545884E-3</v>
      </c>
      <c r="BB242" s="2" vm="8063">
        <f ca="1"/>
        <v>313.42</v>
      </c>
      <c r="BC242" s="2">
        <f t="shared" ca="1" si="167"/>
        <v>2.1743301144721071E-3</v>
      </c>
      <c r="BD242" s="2" vm="70">
        <f ca="1"/>
        <v>51.7</v>
      </c>
      <c r="BE242" s="2">
        <f t="shared" ca="1" si="168"/>
        <v>0</v>
      </c>
      <c r="BF242" s="2" vm="8064">
        <f ca="1"/>
        <v>114.56</v>
      </c>
      <c r="BG242" s="2">
        <f t="shared" ca="1" si="169"/>
        <v>5.3532250987275067E-3</v>
      </c>
      <c r="BH242" s="2" vm="8065">
        <f ca="1"/>
        <v>159.18</v>
      </c>
      <c r="BI242" s="2">
        <f t="shared" ca="1" si="170"/>
        <v>1.1180282048024516E-2</v>
      </c>
      <c r="BJ242" s="2" vm="8066">
        <f ca="1"/>
        <v>176.69</v>
      </c>
      <c r="BK242" s="2">
        <f t="shared" ca="1" si="171"/>
        <v>6.2294710612745047E-4</v>
      </c>
      <c r="BL242" s="2" vm="8067">
        <f ca="1"/>
        <v>66.45</v>
      </c>
      <c r="BM242" s="2">
        <f t="shared" ca="1" si="172"/>
        <v>-3.897466646679522E-3</v>
      </c>
      <c r="BN242" s="2" vm="8068">
        <f ca="1"/>
        <v>304.33</v>
      </c>
      <c r="BO242" s="2">
        <f t="shared" ca="1" si="173"/>
        <v>3.7600184702661246E-3</v>
      </c>
      <c r="BP242" s="2" vm="3026">
        <f ca="1"/>
        <v>113.43</v>
      </c>
      <c r="BQ242" s="2">
        <f t="shared" ca="1" si="174"/>
        <v>1.0512249443207188E-2</v>
      </c>
      <c r="BR242" s="2" vm="8069">
        <f ca="1"/>
        <v>1203.95</v>
      </c>
      <c r="BS242" s="2">
        <f t="shared" ca="1" si="175"/>
        <v>-1.1916583912611703E-2</v>
      </c>
      <c r="BT242" s="2" vm="8070">
        <f ca="1"/>
        <v>152.41999999999999</v>
      </c>
      <c r="BU242" s="2">
        <f t="shared" ca="1" si="176"/>
        <v>-5.2459016393450824E-4</v>
      </c>
      <c r="BV242" s="2" vm="8071">
        <f ca="1"/>
        <v>142.16999999999999</v>
      </c>
      <c r="BW242" s="2">
        <f t="shared" ca="1" si="177"/>
        <v>1.9027484143761932E-3</v>
      </c>
      <c r="BX242" s="2" vm="8072">
        <f ca="1"/>
        <v>263.61</v>
      </c>
      <c r="BY242" s="2">
        <f t="shared" ca="1" si="178"/>
        <v>6.9906027962412754E-3</v>
      </c>
      <c r="BZ242" s="2" vm="8073">
        <f ca="1"/>
        <v>93.86</v>
      </c>
      <c r="CA242" s="2">
        <f t="shared" ca="1" si="179"/>
        <v>1.811476298947827E-2</v>
      </c>
      <c r="CB242" s="2" vm="268">
        <f ca="1"/>
        <v>29.99</v>
      </c>
      <c r="CC242" s="2">
        <f t="shared" ca="1" si="180"/>
        <v>1.9721183270996201E-2</v>
      </c>
      <c r="CD242" s="2" t="e" vm="92">
        <f ca="1"/>
        <v>#N/A</v>
      </c>
      <c r="CE242" s="2" t="e" vm="140">
        <f t="shared" ca="1" si="181"/>
        <v>#N/A</v>
      </c>
      <c r="CF242" s="2" vm="269">
        <f ca="1"/>
        <v>23.094999999999999</v>
      </c>
      <c r="CG242" s="2">
        <f t="shared" ca="1" si="182"/>
        <v>-1.7289820618112252E-3</v>
      </c>
      <c r="CH242" s="2" vm="5561">
        <f ca="1"/>
        <v>58.81</v>
      </c>
      <c r="CI242" s="2">
        <f t="shared" ca="1" si="183"/>
        <v>-3.3996260411347986E-4</v>
      </c>
      <c r="CJ242" s="2" vm="8074">
        <f ca="1"/>
        <v>60.04</v>
      </c>
      <c r="CK242" s="2">
        <f t="shared" ca="1" si="184"/>
        <v>-2.1605451221539396E-3</v>
      </c>
      <c r="CL242" s="2" vm="8075">
        <f ca="1"/>
        <v>56.67</v>
      </c>
      <c r="CM242" s="2">
        <f t="shared" ca="1" si="185"/>
        <v>-3.5167926850711404E-3</v>
      </c>
      <c r="CN242" s="2" vm="7758">
        <f ca="1"/>
        <v>29.58</v>
      </c>
      <c r="CO242" s="2">
        <f t="shared" ca="1" si="186"/>
        <v>-2.697235333782935E-3</v>
      </c>
      <c r="CP242" s="2" vm="8076">
        <f ca="1"/>
        <v>21.312899999999999</v>
      </c>
      <c r="CQ242" s="2">
        <f t="shared" ca="1" si="187"/>
        <v>-1.6714955340665884E-2</v>
      </c>
    </row>
    <row r="243" spans="1:95" x14ac:dyDescent="0.2">
      <c r="A243" s="7" vm="8077">
        <f ca="1"/>
        <v>45925</v>
      </c>
      <c r="B243" s="2" vm="8078">
        <f ca="1"/>
        <v>256.87</v>
      </c>
      <c r="C243" s="2">
        <f t="shared" ca="1" si="141"/>
        <v>1.8073005429828395E-2</v>
      </c>
      <c r="D243" s="2" vm="8079">
        <f ca="1"/>
        <v>177.69</v>
      </c>
      <c r="E243" s="2">
        <f t="shared" ca="1" si="142"/>
        <v>4.0684861840989935E-3</v>
      </c>
      <c r="F243" s="2" vm="5513">
        <f ca="1"/>
        <v>507.03</v>
      </c>
      <c r="G243" s="2">
        <f t="shared" ca="1" si="143"/>
        <v>-6.1158482799176803E-3</v>
      </c>
      <c r="H243" s="2" vm="8080">
        <f ca="1"/>
        <v>748.91</v>
      </c>
      <c r="I243" s="2">
        <f t="shared" ca="1" si="144"/>
        <v>-1.5447111718770543E-2</v>
      </c>
      <c r="J243" s="2" vm="8081">
        <f ca="1"/>
        <v>245.79</v>
      </c>
      <c r="K243" s="2">
        <f t="shared" ca="1" si="145"/>
        <v>-5.4624908958484843E-3</v>
      </c>
      <c r="L243" s="2" vm="8082">
        <f ca="1"/>
        <v>658.05</v>
      </c>
      <c r="M243" s="2">
        <f t="shared" ca="1" si="146"/>
        <v>-4.6135229163516379E-3</v>
      </c>
      <c r="N243" s="2" vm="5921">
        <f ca="1"/>
        <v>88.98</v>
      </c>
      <c r="O243" s="2">
        <f t="shared" ca="1" si="147"/>
        <v>0</v>
      </c>
      <c r="P243" s="2" vm="8083">
        <f ca="1"/>
        <v>344.75</v>
      </c>
      <c r="Q243" s="2">
        <f t="shared" ca="1" si="148"/>
        <v>4.1652102994291238E-3</v>
      </c>
      <c r="R243" s="2" vm="8084">
        <f ca="1"/>
        <v>76.989999999999995</v>
      </c>
      <c r="S243" s="2">
        <f t="shared" ca="1" si="149"/>
        <v>7.85443120827326E-3</v>
      </c>
      <c r="T243" s="2" vm="8085">
        <f ca="1"/>
        <v>96.27</v>
      </c>
      <c r="U243" s="2">
        <f t="shared" ca="1" si="150"/>
        <v>-2.176616915422968E-3</v>
      </c>
      <c r="V243" s="2" vm="8086">
        <f ca="1"/>
        <v>47.515000000000001</v>
      </c>
      <c r="W243" s="2">
        <f t="shared" ca="1" si="151"/>
        <v>-1.5423926839313669E-3</v>
      </c>
      <c r="X243" s="2" vm="8087">
        <f ca="1"/>
        <v>136.13</v>
      </c>
      <c r="Y243" s="2">
        <f t="shared" ca="1" si="152"/>
        <v>-7.5094779819189356E-3</v>
      </c>
      <c r="Z243" s="2" vm="2391">
        <f ca="1"/>
        <v>91.15</v>
      </c>
      <c r="AA243" s="2">
        <f t="shared" ca="1" si="153"/>
        <v>8.9661279610361109E-3</v>
      </c>
      <c r="AB243" s="2" vm="6862">
        <f ca="1"/>
        <v>14.02</v>
      </c>
      <c r="AC243" s="2">
        <f t="shared" ca="1" si="154"/>
        <v>7.1839080459769862E-3</v>
      </c>
      <c r="AD243" s="2" vm="6397">
        <f ca="1"/>
        <v>4.9000000000000004</v>
      </c>
      <c r="AE243" s="2">
        <f t="shared" ca="1" si="155"/>
        <v>2.0833333333333447E-2</v>
      </c>
      <c r="AF243" s="2" vm="8088">
        <f ca="1"/>
        <v>41.03</v>
      </c>
      <c r="AG243" s="2">
        <f t="shared" ca="1" si="156"/>
        <v>3.0386740331491732E-2</v>
      </c>
      <c r="AH243" s="2" vm="1203">
        <f ca="1"/>
        <v>26.84</v>
      </c>
      <c r="AI243" s="2">
        <f t="shared" ca="1" si="157"/>
        <v>-2.230483271375417E-3</v>
      </c>
      <c r="AJ243" s="2" vm="7359">
        <f ca="1"/>
        <v>4.2300000000000004</v>
      </c>
      <c r="AK243" s="2">
        <f t="shared" ca="1" si="158"/>
        <v>1.1961722488038447E-2</v>
      </c>
      <c r="AL243" s="2" vm="8089">
        <f ca="1"/>
        <v>74.17</v>
      </c>
      <c r="AM243" s="2">
        <f t="shared" ca="1" si="159"/>
        <v>4.3331076506432963E-3</v>
      </c>
      <c r="AN243" s="2" vm="8090">
        <f ca="1"/>
        <v>139.88999999999999</v>
      </c>
      <c r="AO243" s="2">
        <f t="shared" ca="1" si="160"/>
        <v>4.0615933943316071E-2</v>
      </c>
      <c r="AP243" s="2" vm="1242">
        <f ca="1"/>
        <v>26.9</v>
      </c>
      <c r="AQ243" s="2">
        <f t="shared" ca="1" si="161"/>
        <v>-2.2255192878339121E-3</v>
      </c>
      <c r="AR243" s="2" vm="1324">
        <f ca="1"/>
        <v>51.02</v>
      </c>
      <c r="AS243" s="2">
        <f t="shared" ca="1" si="162"/>
        <v>-1.9596315892608289E-4</v>
      </c>
      <c r="AT243" s="2" vm="3691">
        <f ca="1"/>
        <v>29.28</v>
      </c>
      <c r="AU243" s="2">
        <f t="shared" ca="1" si="163"/>
        <v>-1.364256480218252E-3</v>
      </c>
      <c r="AV243" s="2" vm="5042">
        <f ca="1"/>
        <v>26.83</v>
      </c>
      <c r="AW243" s="2">
        <f t="shared" ca="1" si="164"/>
        <v>-7.4487895716957638E-4</v>
      </c>
      <c r="AX243" s="2" vm="554">
        <f ca="1"/>
        <v>91.71</v>
      </c>
      <c r="AY243" s="2">
        <f t="shared" ca="1" si="165"/>
        <v>0</v>
      </c>
      <c r="AZ243" s="2" vm="8091">
        <f ca="1"/>
        <v>494.96</v>
      </c>
      <c r="BA243" s="2">
        <f t="shared" ca="1" si="166"/>
        <v>-4.2849383411454577E-3</v>
      </c>
      <c r="BB243" s="2" vm="8092">
        <f ca="1"/>
        <v>313.45</v>
      </c>
      <c r="BC243" s="2">
        <f t="shared" ca="1" si="167"/>
        <v>9.571820560261857E-5</v>
      </c>
      <c r="BD243" s="2" vm="8093">
        <f ca="1"/>
        <v>51.85</v>
      </c>
      <c r="BE243" s="2">
        <f t="shared" ca="1" si="168"/>
        <v>2.9013539651837248E-3</v>
      </c>
      <c r="BF243" s="2" vm="8094">
        <f ca="1"/>
        <v>115.59</v>
      </c>
      <c r="BG243" s="2">
        <f t="shared" ca="1" si="169"/>
        <v>8.9909217877095077E-3</v>
      </c>
      <c r="BH243" s="2" vm="8095">
        <f ca="1"/>
        <v>160.72</v>
      </c>
      <c r="BI243" s="2">
        <f t="shared" ca="1" si="170"/>
        <v>9.6745822339489376E-3</v>
      </c>
      <c r="BJ243" s="2" vm="8096">
        <f ca="1"/>
        <v>177.73</v>
      </c>
      <c r="BK243" s="2">
        <f t="shared" ca="1" si="171"/>
        <v>5.886015054615383E-3</v>
      </c>
      <c r="BL243" s="2" vm="4486">
        <f ca="1"/>
        <v>65.98</v>
      </c>
      <c r="BM243" s="2">
        <f t="shared" ca="1" si="172"/>
        <v>-7.0729872084273719E-3</v>
      </c>
      <c r="BN243" s="2" vm="8097">
        <f ca="1"/>
        <v>302.3</v>
      </c>
      <c r="BO243" s="2">
        <f t="shared" ca="1" si="173"/>
        <v>-6.6703906943120063E-3</v>
      </c>
      <c r="BP243" s="2" vm="8098">
        <f ca="1"/>
        <v>112.99</v>
      </c>
      <c r="BQ243" s="2">
        <f t="shared" ca="1" si="174"/>
        <v>-3.8790443445297709E-3</v>
      </c>
      <c r="BR243" s="2" vm="8099">
        <f ca="1"/>
        <v>1208.24</v>
      </c>
      <c r="BS243" s="2">
        <f t="shared" ca="1" si="175"/>
        <v>3.5632708999542868E-3</v>
      </c>
      <c r="BT243" s="2" vm="3060">
        <f ca="1"/>
        <v>152.15</v>
      </c>
      <c r="BU243" s="2">
        <f t="shared" ca="1" si="176"/>
        <v>-1.7714210733498349E-3</v>
      </c>
      <c r="BV243" s="2" vm="8100">
        <f ca="1"/>
        <v>139.91999999999999</v>
      </c>
      <c r="BW243" s="2">
        <f t="shared" ca="1" si="177"/>
        <v>-1.5826123654779492E-2</v>
      </c>
      <c r="BX243" s="2" vm="8101">
        <f ca="1"/>
        <v>263.25</v>
      </c>
      <c r="BY243" s="2">
        <f t="shared" ca="1" si="178"/>
        <v>-1.365653806760038E-3</v>
      </c>
      <c r="BZ243" s="2" vm="8102">
        <f ca="1"/>
        <v>94.72</v>
      </c>
      <c r="CA243" s="2">
        <f t="shared" ca="1" si="179"/>
        <v>9.1625825697847791E-3</v>
      </c>
      <c r="CB243" s="2" vm="4974">
        <f ca="1"/>
        <v>30.19</v>
      </c>
      <c r="CC243" s="2">
        <f t="shared" ca="1" si="180"/>
        <v>6.668889629876721E-3</v>
      </c>
      <c r="CD243" s="2" t="e" vm="92">
        <f ca="1"/>
        <v>#N/A</v>
      </c>
      <c r="CE243" s="2" t="e" vm="140">
        <f t="shared" ca="1" si="181"/>
        <v>#N/A</v>
      </c>
      <c r="CF243" s="2" vm="5024">
        <f ca="1"/>
        <v>23.06</v>
      </c>
      <c r="CG243" s="2">
        <f t="shared" ca="1" si="182"/>
        <v>-1.5154795410262023E-3</v>
      </c>
      <c r="CH243" s="2" vm="8103">
        <f ca="1"/>
        <v>58.76</v>
      </c>
      <c r="CI243" s="2">
        <f t="shared" ca="1" si="183"/>
        <v>-8.5019554497541678E-4</v>
      </c>
      <c r="CJ243" s="2" vm="8104">
        <f ca="1"/>
        <v>59.94</v>
      </c>
      <c r="CK243" s="2">
        <f t="shared" ca="1" si="184"/>
        <v>-1.6655562958028218E-3</v>
      </c>
      <c r="CL243" s="2" vm="8105">
        <f ca="1"/>
        <v>56.63</v>
      </c>
      <c r="CM243" s="2">
        <f t="shared" ca="1" si="185"/>
        <v>-7.0584083289216778E-4</v>
      </c>
      <c r="CN243" s="2" vm="188">
        <f ca="1"/>
        <v>29.54</v>
      </c>
      <c r="CO243" s="2">
        <f t="shared" ca="1" si="186"/>
        <v>-1.3522650439485853E-3</v>
      </c>
      <c r="CP243" s="2" vm="8106">
        <f ca="1"/>
        <v>21.196899999999999</v>
      </c>
      <c r="CQ243" s="2">
        <f t="shared" ca="1" si="187"/>
        <v>-5.4427130986397752E-3</v>
      </c>
    </row>
    <row r="244" spans="1:95" x14ac:dyDescent="0.2">
      <c r="A244" s="7" vm="8107">
        <f ca="1"/>
        <v>45926</v>
      </c>
      <c r="B244" s="2" vm="8108">
        <f ca="1"/>
        <v>255.46</v>
      </c>
      <c r="C244" s="2">
        <f t="shared" ca="1" si="141"/>
        <v>-5.4891579398139E-3</v>
      </c>
      <c r="D244" s="2" vm="8109">
        <f ca="1"/>
        <v>178.19</v>
      </c>
      <c r="E244" s="2">
        <f t="shared" ca="1" si="142"/>
        <v>2.8138893578704485E-3</v>
      </c>
      <c r="F244" s="2" vm="8110">
        <f ca="1"/>
        <v>511.46</v>
      </c>
      <c r="G244" s="2">
        <f t="shared" ca="1" si="143"/>
        <v>8.7371555923712735E-3</v>
      </c>
      <c r="H244" s="2" vm="8111">
        <f ca="1"/>
        <v>743.75</v>
      </c>
      <c r="I244" s="2">
        <f t="shared" ca="1" si="144"/>
        <v>-6.8900134862666653E-3</v>
      </c>
      <c r="J244" s="2" vm="3803">
        <f ca="1"/>
        <v>246.54</v>
      </c>
      <c r="K244" s="2">
        <f t="shared" ca="1" si="145"/>
        <v>3.0513853289393386E-3</v>
      </c>
      <c r="L244" s="2" vm="8112">
        <f ca="1"/>
        <v>661.82</v>
      </c>
      <c r="M244" s="2">
        <f t="shared" ca="1" si="146"/>
        <v>5.7290479446852E-3</v>
      </c>
      <c r="N244" s="2" vm="8113">
        <f ca="1"/>
        <v>88.9</v>
      </c>
      <c r="O244" s="2">
        <f t="shared" ca="1" si="147"/>
        <v>-8.9907844459427165E-4</v>
      </c>
      <c r="P244" s="2" vm="8114">
        <f ca="1"/>
        <v>346.74</v>
      </c>
      <c r="Q244" s="2">
        <f t="shared" ca="1" si="148"/>
        <v>5.7722987672226512E-3</v>
      </c>
      <c r="R244" s="2" vm="8115">
        <f ca="1"/>
        <v>77.02</v>
      </c>
      <c r="S244" s="2">
        <f t="shared" ca="1" si="149"/>
        <v>3.8966099493442186E-4</v>
      </c>
      <c r="T244" s="2" vm="8116">
        <f ca="1"/>
        <v>96.22</v>
      </c>
      <c r="U244" s="2">
        <f t="shared" ca="1" si="150"/>
        <v>-5.1937259790170518E-4</v>
      </c>
      <c r="V244" s="2" vm="8117">
        <f ca="1"/>
        <v>47.517600000000002</v>
      </c>
      <c r="W244" s="2">
        <f t="shared" ca="1" si="151"/>
        <v>5.4719562243524066E-5</v>
      </c>
      <c r="X244" s="2" vm="8118">
        <f ca="1"/>
        <v>137.63</v>
      </c>
      <c r="Y244" s="2">
        <f t="shared" ca="1" si="152"/>
        <v>1.1018879012708441E-2</v>
      </c>
      <c r="Z244" s="2" vm="8119">
        <f ca="1"/>
        <v>91.99</v>
      </c>
      <c r="AA244" s="2">
        <f t="shared" ca="1" si="153"/>
        <v>9.2155787164014177E-3</v>
      </c>
      <c r="AB244" s="2" vm="6862">
        <f ca="1"/>
        <v>14.02</v>
      </c>
      <c r="AC244" s="2">
        <f t="shared" ca="1" si="154"/>
        <v>0</v>
      </c>
      <c r="AD244" s="2" vm="8120">
        <f ca="1"/>
        <v>4.8899999999999997</v>
      </c>
      <c r="AE244" s="2">
        <f t="shared" ca="1" si="155"/>
        <v>-2.0408163265307499E-3</v>
      </c>
      <c r="AF244" s="2" vm="8121">
        <f ca="1"/>
        <v>41.86</v>
      </c>
      <c r="AG244" s="2">
        <f t="shared" ca="1" si="156"/>
        <v>2.0229100658055041E-2</v>
      </c>
      <c r="AH244" s="2" vm="2409">
        <f ca="1"/>
        <v>26.98</v>
      </c>
      <c r="AI244" s="2">
        <f t="shared" ca="1" si="157"/>
        <v>5.2160953800298275E-3</v>
      </c>
      <c r="AJ244" s="2" vm="7330">
        <f ca="1"/>
        <v>4.1900000000000004</v>
      </c>
      <c r="AK244" s="2">
        <f t="shared" ca="1" si="158"/>
        <v>-9.4562647754137183E-3</v>
      </c>
      <c r="AL244" s="2" vm="8122">
        <f ca="1"/>
        <v>74.59</v>
      </c>
      <c r="AM244" s="2">
        <f t="shared" ca="1" si="159"/>
        <v>5.6626668464338911E-3</v>
      </c>
      <c r="AN244" s="2" vm="8123">
        <f ca="1"/>
        <v>143.83000000000001</v>
      </c>
      <c r="AO244" s="2">
        <f t="shared" ca="1" si="160"/>
        <v>2.8164986775323659E-2</v>
      </c>
      <c r="AP244" s="2" vm="1366">
        <f ca="1"/>
        <v>26.91</v>
      </c>
      <c r="AQ244" s="2">
        <f t="shared" ca="1" si="161"/>
        <v>3.7174721189596889E-4</v>
      </c>
      <c r="AR244" s="2" vm="635">
        <f ca="1"/>
        <v>51.08</v>
      </c>
      <c r="AS244" s="2">
        <f t="shared" ca="1" si="162"/>
        <v>1.1760094080751698E-3</v>
      </c>
      <c r="AT244" s="2" vm="572">
        <f ca="1"/>
        <v>29.29</v>
      </c>
      <c r="AU244" s="2">
        <f t="shared" ca="1" si="163"/>
        <v>3.4153005464474076E-4</v>
      </c>
      <c r="AV244" s="2" vm="3643">
        <f ca="1"/>
        <v>26.81</v>
      </c>
      <c r="AW244" s="2">
        <f t="shared" ca="1" si="164"/>
        <v>-7.454342154304724E-4</v>
      </c>
      <c r="AX244" s="2" vm="5697">
        <f ca="1"/>
        <v>91.74</v>
      </c>
      <c r="AY244" s="2">
        <f t="shared" ca="1" si="165"/>
        <v>3.2711808963036898E-4</v>
      </c>
      <c r="AZ244" s="2" vm="8124">
        <f ca="1"/>
        <v>500.03</v>
      </c>
      <c r="BA244" s="2">
        <f t="shared" ca="1" si="166"/>
        <v>1.0243251979957964E-2</v>
      </c>
      <c r="BB244" s="2" vm="8125">
        <f ca="1"/>
        <v>316.06</v>
      </c>
      <c r="BC244" s="2">
        <f t="shared" ca="1" si="167"/>
        <v>8.3266868719094386E-3</v>
      </c>
      <c r="BD244" s="2" vm="8126">
        <f ca="1"/>
        <v>52.21</v>
      </c>
      <c r="BE244" s="2">
        <f t="shared" ca="1" si="168"/>
        <v>6.9431051108968063E-3</v>
      </c>
      <c r="BF244" s="2" vm="8127">
        <f ca="1"/>
        <v>117.22</v>
      </c>
      <c r="BG244" s="2">
        <f t="shared" ca="1" si="169"/>
        <v>1.4101565879401293E-2</v>
      </c>
      <c r="BH244" s="2" vm="5001">
        <f ca="1"/>
        <v>160.16</v>
      </c>
      <c r="BI244" s="2">
        <f t="shared" ca="1" si="170"/>
        <v>-3.4843205574913035E-3</v>
      </c>
      <c r="BJ244" s="2" vm="8128">
        <f ca="1"/>
        <v>179.71</v>
      </c>
      <c r="BK244" s="2">
        <f t="shared" ca="1" si="171"/>
        <v>1.1140494007764689E-2</v>
      </c>
      <c r="BL244" s="2" vm="5669">
        <f ca="1"/>
        <v>65.67</v>
      </c>
      <c r="BM244" s="2">
        <f t="shared" ca="1" si="172"/>
        <v>-4.6983934525614167E-3</v>
      </c>
      <c r="BN244" s="2" vm="8129">
        <f ca="1"/>
        <v>305.24</v>
      </c>
      <c r="BO244" s="2">
        <f t="shared" ca="1" si="173"/>
        <v>9.7254383063182185E-3</v>
      </c>
      <c r="BP244" s="2" vm="8130">
        <f ca="1"/>
        <v>113.47</v>
      </c>
      <c r="BQ244" s="2">
        <f t="shared" ca="1" si="174"/>
        <v>4.2481635542968759E-3</v>
      </c>
      <c r="BR244" s="2" vm="8131">
        <f ca="1"/>
        <v>1210.6099999999999</v>
      </c>
      <c r="BS244" s="2">
        <f t="shared" ca="1" si="175"/>
        <v>1.9615308216909644E-3</v>
      </c>
      <c r="BT244" s="2" vm="8043">
        <f ca="1"/>
        <v>152.5</v>
      </c>
      <c r="BU244" s="2">
        <f t="shared" ca="1" si="176"/>
        <v>2.3003614853762361E-3</v>
      </c>
      <c r="BV244" s="2" vm="8132">
        <f ca="1"/>
        <v>140.44</v>
      </c>
      <c r="BW244" s="2">
        <f t="shared" ca="1" si="177"/>
        <v>3.7164093767868087E-3</v>
      </c>
      <c r="BX244" s="2" vm="8133">
        <f ca="1"/>
        <v>268.01</v>
      </c>
      <c r="BY244" s="2">
        <f t="shared" ca="1" si="178"/>
        <v>1.8081671415004715E-2</v>
      </c>
      <c r="BZ244" s="2" vm="7033">
        <f ca="1"/>
        <v>95.74</v>
      </c>
      <c r="CA244" s="2">
        <f t="shared" ca="1" si="179"/>
        <v>1.0768581081081039E-2</v>
      </c>
      <c r="CB244" s="2" vm="8134">
        <f ca="1"/>
        <v>30.450299999999999</v>
      </c>
      <c r="CC244" s="2">
        <f t="shared" ca="1" si="180"/>
        <v>8.6220602848624487E-3</v>
      </c>
      <c r="CD244" s="2" t="e" vm="92">
        <f ca="1"/>
        <v>#N/A</v>
      </c>
      <c r="CE244" s="2" t="e" vm="140">
        <f t="shared" ca="1" si="181"/>
        <v>#N/A</v>
      </c>
      <c r="CF244" s="2" vm="8135">
        <f ca="1"/>
        <v>23.065000000000001</v>
      </c>
      <c r="CG244" s="2">
        <f t="shared" ca="1" si="182"/>
        <v>2.1682567215969463E-4</v>
      </c>
      <c r="CH244" s="2" vm="1803">
        <f ca="1"/>
        <v>58.79</v>
      </c>
      <c r="CI244" s="2">
        <f t="shared" ca="1" si="183"/>
        <v>5.1055139550716709E-4</v>
      </c>
      <c r="CJ244" s="2" vm="8104">
        <f ca="1"/>
        <v>59.94</v>
      </c>
      <c r="CK244" s="2">
        <f t="shared" ca="1" si="184"/>
        <v>0</v>
      </c>
      <c r="CL244" s="2" vm="8136">
        <f ca="1"/>
        <v>56.56</v>
      </c>
      <c r="CM244" s="2">
        <f t="shared" ca="1" si="185"/>
        <v>-1.2360939431396835E-3</v>
      </c>
      <c r="CN244" s="2" vm="8137">
        <f ca="1"/>
        <v>29.57</v>
      </c>
      <c r="CO244" s="2">
        <f t="shared" ca="1" si="186"/>
        <v>1.0155721056195376E-3</v>
      </c>
      <c r="CP244" s="2" vm="8138">
        <f ca="1"/>
        <v>21.416699999999999</v>
      </c>
      <c r="CQ244" s="2">
        <f t="shared" ca="1" si="187"/>
        <v>1.0369440814458687E-2</v>
      </c>
    </row>
    <row r="245" spans="1:95" x14ac:dyDescent="0.2">
      <c r="A245" s="7" vm="8139">
        <f ca="1"/>
        <v>45929</v>
      </c>
      <c r="B245" s="2" vm="2800">
        <f ca="1"/>
        <v>254.43</v>
      </c>
      <c r="C245" s="2">
        <f t="shared" ca="1" si="141"/>
        <v>-4.0319423784545569E-3</v>
      </c>
      <c r="D245" s="2" vm="8140">
        <f ca="1"/>
        <v>181.85</v>
      </c>
      <c r="E245" s="2">
        <f t="shared" ca="1" si="142"/>
        <v>2.0539873169089156E-2</v>
      </c>
      <c r="F245" s="2" vm="3994">
        <f ca="1"/>
        <v>514.6</v>
      </c>
      <c r="G245" s="2">
        <f t="shared" ca="1" si="143"/>
        <v>6.1392875298166881E-3</v>
      </c>
      <c r="H245" s="2" vm="8141">
        <f ca="1"/>
        <v>743.4</v>
      </c>
      <c r="I245" s="2">
        <f t="shared" ca="1" si="144"/>
        <v>-4.7058823529414823E-4</v>
      </c>
      <c r="J245" s="2" vm="8142">
        <f ca="1"/>
        <v>244.05</v>
      </c>
      <c r="K245" s="2">
        <f t="shared" ca="1" si="145"/>
        <v>-1.0099780968605422E-2</v>
      </c>
      <c r="L245" s="2" vm="8143">
        <f ca="1"/>
        <v>663.68</v>
      </c>
      <c r="M245" s="2">
        <f t="shared" ca="1" si="146"/>
        <v>2.8104318394728172E-3</v>
      </c>
      <c r="N245" s="2" vm="2353">
        <f ca="1"/>
        <v>89.63</v>
      </c>
      <c r="O245" s="2">
        <f t="shared" ca="1" si="147"/>
        <v>8.2114735658041591E-3</v>
      </c>
      <c r="P245" s="2" vm="8144">
        <f ca="1"/>
        <v>352.46</v>
      </c>
      <c r="Q245" s="2">
        <f t="shared" ca="1" si="148"/>
        <v>1.6496510353578964E-2</v>
      </c>
      <c r="R245" s="2" vm="8122">
        <f ca="1"/>
        <v>74.59</v>
      </c>
      <c r="S245" s="2">
        <f t="shared" ca="1" si="149"/>
        <v>-3.155024668917155E-2</v>
      </c>
      <c r="T245" s="2" vm="8145">
        <f ca="1"/>
        <v>96.5</v>
      </c>
      <c r="U245" s="2">
        <f t="shared" ca="1" si="150"/>
        <v>2.9099979214300678E-3</v>
      </c>
      <c r="V245" s="2" vm="8146">
        <f ca="1"/>
        <v>47.615000000000002</v>
      </c>
      <c r="W245" s="2">
        <f t="shared" ca="1" si="151"/>
        <v>2.0497668232402387E-3</v>
      </c>
      <c r="X245" s="2" vm="8147">
        <f ca="1"/>
        <v>138.44</v>
      </c>
      <c r="Y245" s="2">
        <f t="shared" ca="1" si="152"/>
        <v>5.8853447649495193E-3</v>
      </c>
      <c r="Z245" s="2" vm="8148">
        <f ca="1"/>
        <v>90.3</v>
      </c>
      <c r="AA245" s="2">
        <f t="shared" ca="1" si="153"/>
        <v>-1.8371562126318054E-2</v>
      </c>
      <c r="AB245" s="2" vm="6513">
        <f ca="1"/>
        <v>13.58</v>
      </c>
      <c r="AC245" s="2">
        <f t="shared" ca="1" si="154"/>
        <v>-3.1383737517831634E-2</v>
      </c>
      <c r="AD245" s="2" t="e" vm="92">
        <f ca="1"/>
        <v>#N/A</v>
      </c>
      <c r="AE245" s="2" t="e" vm="140">
        <f t="shared" ca="1" si="155"/>
        <v>#N/A</v>
      </c>
      <c r="AF245" s="2" vm="8149">
        <f ca="1"/>
        <v>42.5</v>
      </c>
      <c r="AG245" s="2">
        <f t="shared" ca="1" si="156"/>
        <v>1.528905876731965E-2</v>
      </c>
      <c r="AH245" s="2" vm="1366">
        <f ca="1"/>
        <v>26.91</v>
      </c>
      <c r="AI245" s="2">
        <f t="shared" ca="1" si="157"/>
        <v>-2.5945144551519747E-3</v>
      </c>
      <c r="AJ245" s="2" vm="7330">
        <f ca="1"/>
        <v>4.1900000000000004</v>
      </c>
      <c r="AK245" s="2">
        <f t="shared" ca="1" si="158"/>
        <v>0</v>
      </c>
      <c r="AL245" s="2" vm="3375">
        <f ca="1"/>
        <v>75.819999999999993</v>
      </c>
      <c r="AM245" s="2">
        <f t="shared" ca="1" si="159"/>
        <v>1.6490146132189163E-2</v>
      </c>
      <c r="AN245" s="2" vm="8150">
        <f ca="1"/>
        <v>145.77000000000001</v>
      </c>
      <c r="AO245" s="2">
        <f t="shared" ca="1" si="160"/>
        <v>1.3488145727595061E-2</v>
      </c>
      <c r="AP245" s="2" vm="1405">
        <f ca="1"/>
        <v>26.94</v>
      </c>
      <c r="AQ245" s="2">
        <f t="shared" ca="1" si="161"/>
        <v>1.1148272017837658E-3</v>
      </c>
      <c r="AR245" s="2" vm="635">
        <f ca="1"/>
        <v>51.08</v>
      </c>
      <c r="AS245" s="2">
        <f t="shared" ca="1" si="162"/>
        <v>0</v>
      </c>
      <c r="AT245" s="2" vm="1647">
        <f ca="1"/>
        <v>29.31</v>
      </c>
      <c r="AU245" s="2">
        <f t="shared" ca="1" si="163"/>
        <v>6.8282690337997866E-4</v>
      </c>
      <c r="AV245" s="2" vm="1701">
        <f ca="1"/>
        <v>27</v>
      </c>
      <c r="AW245" s="2">
        <f t="shared" ca="1" si="164"/>
        <v>7.0869078701977358E-3</v>
      </c>
      <c r="AX245" s="2" vm="598">
        <f ca="1"/>
        <v>91.75</v>
      </c>
      <c r="AY245" s="2">
        <f t="shared" ca="1" si="165"/>
        <v>1.0900370612606406E-4</v>
      </c>
      <c r="AZ245" s="2" vm="8151">
        <f ca="1"/>
        <v>499.25</v>
      </c>
      <c r="BA245" s="2">
        <f t="shared" ca="1" si="166"/>
        <v>-1.5599064056156086E-3</v>
      </c>
      <c r="BB245" s="2" vm="8152">
        <f ca="1"/>
        <v>315.69</v>
      </c>
      <c r="BC245" s="2">
        <f t="shared" ca="1" si="167"/>
        <v>-1.1706637980130499E-3</v>
      </c>
      <c r="BD245" s="2" vm="8153">
        <f ca="1"/>
        <v>52.42</v>
      </c>
      <c r="BE245" s="2">
        <f t="shared" ca="1" si="168"/>
        <v>4.0222179659069306E-3</v>
      </c>
      <c r="BF245" s="2" vm="8154">
        <f ca="1"/>
        <v>114.22</v>
      </c>
      <c r="BG245" s="2">
        <f t="shared" ca="1" si="169"/>
        <v>-2.5592902235113461E-2</v>
      </c>
      <c r="BH245" s="2" vm="8155">
        <f ca="1"/>
        <v>156.1</v>
      </c>
      <c r="BI245" s="2">
        <f t="shared" ca="1" si="170"/>
        <v>-2.5349650349650366E-2</v>
      </c>
      <c r="BJ245" s="2" vm="1074">
        <f ca="1"/>
        <v>181.62</v>
      </c>
      <c r="BK245" s="2">
        <f t="shared" ca="1" si="171"/>
        <v>1.0628234377608349E-2</v>
      </c>
      <c r="BL245" s="2" vm="6399">
        <f ca="1"/>
        <v>66.040000000000006</v>
      </c>
      <c r="BM245" s="2">
        <f t="shared" ca="1" si="172"/>
        <v>5.6342317648851005E-3</v>
      </c>
      <c r="BN245" s="2" vm="8016">
        <f ca="1"/>
        <v>302.99</v>
      </c>
      <c r="BO245" s="2">
        <f t="shared" ca="1" si="173"/>
        <v>-7.3712488533612891E-3</v>
      </c>
      <c r="BP245" s="2" vm="1709">
        <f ca="1"/>
        <v>114.78</v>
      </c>
      <c r="BQ245" s="2">
        <f t="shared" ca="1" si="174"/>
        <v>1.1544901736141732E-2</v>
      </c>
      <c r="BR245" s="2" vm="8156">
        <f ca="1"/>
        <v>1206.4100000000001</v>
      </c>
      <c r="BS245" s="2">
        <f t="shared" ca="1" si="175"/>
        <v>-3.4693253814191347E-3</v>
      </c>
      <c r="BT245" s="2" vm="8157">
        <f ca="1"/>
        <v>153.53</v>
      </c>
      <c r="BU245" s="2">
        <f t="shared" ca="1" si="176"/>
        <v>6.7540983606557449E-3</v>
      </c>
      <c r="BV245" s="2" vm="8158">
        <f ca="1"/>
        <v>140.16999999999999</v>
      </c>
      <c r="BW245" s="2">
        <f t="shared" ca="1" si="177"/>
        <v>-1.9225291939619072E-3</v>
      </c>
      <c r="BX245" s="2" vm="8159">
        <f ca="1"/>
        <v>264.60000000000002</v>
      </c>
      <c r="BY245" s="2">
        <f t="shared" ca="1" si="178"/>
        <v>-1.2723405843065439E-2</v>
      </c>
      <c r="BZ245" s="2" vm="8160">
        <f ca="1"/>
        <v>93.49</v>
      </c>
      <c r="CA245" s="2">
        <f t="shared" ca="1" si="179"/>
        <v>-2.3501148945059537E-2</v>
      </c>
      <c r="CB245" s="2" vm="8161">
        <f ca="1"/>
        <v>29.71</v>
      </c>
      <c r="CC245" s="2">
        <f t="shared" ca="1" si="180"/>
        <v>-2.4311747339106602E-2</v>
      </c>
      <c r="CD245" s="2" t="e" vm="92">
        <f ca="1"/>
        <v>#N/A</v>
      </c>
      <c r="CE245" s="2" t="e" vm="140">
        <f t="shared" ca="1" si="181"/>
        <v>#N/A</v>
      </c>
      <c r="CF245" s="2" vm="312">
        <f ca="1"/>
        <v>23.12</v>
      </c>
      <c r="CG245" s="2">
        <f t="shared" ca="1" si="182"/>
        <v>2.3845653587686848E-3</v>
      </c>
      <c r="CH245" s="2" vm="7821">
        <f ca="1"/>
        <v>58.82</v>
      </c>
      <c r="CI245" s="2">
        <f t="shared" ca="1" si="183"/>
        <v>5.1029086579352167E-4</v>
      </c>
      <c r="CJ245" s="2" vm="8162">
        <f ca="1"/>
        <v>60.03</v>
      </c>
      <c r="CK245" s="2">
        <f t="shared" ca="1" si="184"/>
        <v>1.5015015015015585E-3</v>
      </c>
      <c r="CL245" s="2" vm="8163">
        <f ca="1"/>
        <v>56.98</v>
      </c>
      <c r="CM245" s="2">
        <f t="shared" ca="1" si="185"/>
        <v>7.42574257425733E-3</v>
      </c>
      <c r="CN245" s="2" vm="837">
        <f ca="1"/>
        <v>29.63</v>
      </c>
      <c r="CO245" s="2">
        <f t="shared" ca="1" si="186"/>
        <v>2.0290835306052998E-3</v>
      </c>
      <c r="CP245" s="2" vm="8164">
        <f ca="1"/>
        <v>21.3916</v>
      </c>
      <c r="CQ245" s="2">
        <f t="shared" ca="1" si="187"/>
        <v>-1.171982611700138E-3</v>
      </c>
    </row>
    <row r="246" spans="1:95" x14ac:dyDescent="0.2">
      <c r="A246" s="7" vm="8165">
        <f ca="1"/>
        <v>45930</v>
      </c>
      <c r="B246" s="2" vm="8166">
        <f ca="1"/>
        <v>254.63</v>
      </c>
      <c r="C246" s="2">
        <f t="shared" ca="1" si="141"/>
        <v>7.8607082498128613E-4</v>
      </c>
      <c r="D246" s="2" vm="8167">
        <f ca="1"/>
        <v>186.58</v>
      </c>
      <c r="E246" s="2">
        <f t="shared" ca="1" si="142"/>
        <v>2.6010448171570076E-2</v>
      </c>
      <c r="F246" s="2" vm="8168">
        <f ca="1"/>
        <v>517.95000000000005</v>
      </c>
      <c r="G246" s="2">
        <f t="shared" ca="1" si="143"/>
        <v>6.5099106101827097E-3</v>
      </c>
      <c r="H246" s="2" vm="8169">
        <f ca="1"/>
        <v>734.38</v>
      </c>
      <c r="I246" s="2">
        <f t="shared" ca="1" si="144"/>
        <v>-1.2133440947000244E-2</v>
      </c>
      <c r="J246" s="2" vm="8170">
        <f ca="1"/>
        <v>243.1</v>
      </c>
      <c r="K246" s="2">
        <f t="shared" ca="1" si="145"/>
        <v>-3.8926449498054377E-3</v>
      </c>
      <c r="L246" s="2" vm="8171">
        <f ca="1"/>
        <v>666.18</v>
      </c>
      <c r="M246" s="2">
        <f t="shared" ca="1" si="146"/>
        <v>3.7668756027000967E-3</v>
      </c>
      <c r="N246" s="2" vm="8172">
        <f ca="1"/>
        <v>89.37</v>
      </c>
      <c r="O246" s="2">
        <f t="shared" ca="1" si="147"/>
        <v>-2.9008144594442811E-3</v>
      </c>
      <c r="P246" s="2" vm="8173">
        <f ca="1"/>
        <v>355.47</v>
      </c>
      <c r="Q246" s="2">
        <f t="shared" ca="1" si="148"/>
        <v>8.5399761675085065E-3</v>
      </c>
      <c r="R246" s="2" vm="8174">
        <f ca="1"/>
        <v>73.75</v>
      </c>
      <c r="S246" s="2">
        <f t="shared" ca="1" si="149"/>
        <v>-1.1261563212226886E-2</v>
      </c>
      <c r="T246" s="2" vm="2890">
        <f ca="1"/>
        <v>96.46</v>
      </c>
      <c r="U246" s="2">
        <f t="shared" ca="1" si="150"/>
        <v>-4.1450777202079017E-4</v>
      </c>
      <c r="V246" s="2" vm="8175">
        <f ca="1"/>
        <v>47.61</v>
      </c>
      <c r="W246" s="2">
        <f t="shared" ca="1" si="151"/>
        <v>-1.0500892575874321E-4</v>
      </c>
      <c r="X246" s="2" vm="8176">
        <f ca="1"/>
        <v>133.27000000000001</v>
      </c>
      <c r="Y246" s="2">
        <f t="shared" ca="1" si="152"/>
        <v>-3.7344698064143221E-2</v>
      </c>
      <c r="Z246" s="2" vm="4239">
        <f ca="1"/>
        <v>89.34</v>
      </c>
      <c r="AA246" s="2">
        <f t="shared" ca="1" si="153"/>
        <v>-1.063122923588033E-2</v>
      </c>
      <c r="AB246" s="2" vm="8177">
        <f ca="1"/>
        <v>13.45</v>
      </c>
      <c r="AC246" s="2">
        <f t="shared" ca="1" si="154"/>
        <v>-9.572901325478703E-3</v>
      </c>
      <c r="AD246" s="2" vm="1398">
        <f ca="1"/>
        <v>5</v>
      </c>
      <c r="AE246" s="2" t="e" vm="140">
        <f t="shared" ca="1" si="155"/>
        <v>#N/A</v>
      </c>
      <c r="AF246" s="2" vm="8178">
        <f ca="1"/>
        <v>42.37</v>
      </c>
      <c r="AG246" s="2">
        <f t="shared" ca="1" si="156"/>
        <v>-3.0588235294118247E-3</v>
      </c>
      <c r="AH246" s="2" vm="1552">
        <f ca="1"/>
        <v>26.76</v>
      </c>
      <c r="AI246" s="2">
        <f t="shared" ca="1" si="157"/>
        <v>-5.574136008918565E-3</v>
      </c>
      <c r="AJ246" s="2" vm="8179">
        <f ca="1"/>
        <v>4.1100000000000003</v>
      </c>
      <c r="AK246" s="2">
        <f t="shared" ca="1" si="158"/>
        <v>-1.9093078758949895E-2</v>
      </c>
      <c r="AL246" s="2" vm="8180">
        <f ca="1"/>
        <v>76.45</v>
      </c>
      <c r="AM246" s="2">
        <f t="shared" ca="1" si="159"/>
        <v>8.3091532577157703E-3</v>
      </c>
      <c r="AN246" s="2" vm="8181">
        <f ca="1"/>
        <v>142.88</v>
      </c>
      <c r="AO246" s="2">
        <f t="shared" ca="1" si="160"/>
        <v>-1.9825752898401692E-2</v>
      </c>
      <c r="AP246" s="2" vm="1325">
        <f ca="1"/>
        <v>26.95</v>
      </c>
      <c r="AQ246" s="2">
        <f t="shared" ca="1" si="161"/>
        <v>3.7119524870074278E-4</v>
      </c>
      <c r="AR246" s="2" vm="8182">
        <f ca="1"/>
        <v>51.085000000000001</v>
      </c>
      <c r="AS246" s="2">
        <f t="shared" ca="1" si="162"/>
        <v>9.7885669538029716E-5</v>
      </c>
      <c r="AT246" s="2" vm="4979">
        <f ca="1"/>
        <v>29.32</v>
      </c>
      <c r="AU246" s="2">
        <f t="shared" ca="1" si="163"/>
        <v>3.4118048447634132E-4</v>
      </c>
      <c r="AV246" s="2" vm="1325">
        <f ca="1"/>
        <v>26.95</v>
      </c>
      <c r="AW246" s="2">
        <f t="shared" ca="1" si="164"/>
        <v>-1.8518518518518782E-3</v>
      </c>
      <c r="AX246" s="2" vm="598">
        <f ca="1"/>
        <v>91.75</v>
      </c>
      <c r="AY246" s="2">
        <f t="shared" ca="1" si="165"/>
        <v>0</v>
      </c>
      <c r="AZ246" s="2" vm="8183">
        <f ca="1"/>
        <v>502.74</v>
      </c>
      <c r="BA246" s="2">
        <f t="shared" ca="1" si="166"/>
        <v>6.9904857285929076E-3</v>
      </c>
      <c r="BB246" s="2" vm="8184">
        <f ca="1"/>
        <v>315.43</v>
      </c>
      <c r="BC246" s="2">
        <f t="shared" ca="1" si="167"/>
        <v>-8.2359276505429666E-4</v>
      </c>
      <c r="BD246" s="2" vm="8185">
        <f ca="1"/>
        <v>51.59</v>
      </c>
      <c r="BE246" s="2">
        <f t="shared" ca="1" si="168"/>
        <v>-1.5833651278138083E-2</v>
      </c>
      <c r="BF246" s="2" vm="7503">
        <f ca="1"/>
        <v>112.75</v>
      </c>
      <c r="BG246" s="2">
        <f t="shared" ca="1" si="169"/>
        <v>-1.2869900192610742E-2</v>
      </c>
      <c r="BH246" s="2" vm="1095">
        <f ca="1"/>
        <v>155.29</v>
      </c>
      <c r="BI246" s="2">
        <f t="shared" ca="1" si="170"/>
        <v>-5.1889814221652937E-3</v>
      </c>
      <c r="BJ246" s="2" vm="8186">
        <f ca="1"/>
        <v>185.42</v>
      </c>
      <c r="BK246" s="2">
        <f t="shared" ca="1" si="171"/>
        <v>2.0922805858385546E-2</v>
      </c>
      <c r="BL246" s="2" vm="7360">
        <f ca="1"/>
        <v>66.319999999999993</v>
      </c>
      <c r="BM246" s="2">
        <f t="shared" ca="1" si="172"/>
        <v>4.2398546335552225E-3</v>
      </c>
      <c r="BN246" s="2" vm="8187">
        <f ca="1"/>
        <v>303.89</v>
      </c>
      <c r="BO246" s="2">
        <f t="shared" ca="1" si="173"/>
        <v>2.970395062543243E-3</v>
      </c>
      <c r="BP246" s="2" vm="5094">
        <f ca="1"/>
        <v>114.5</v>
      </c>
      <c r="BQ246" s="2">
        <f t="shared" ca="1" si="174"/>
        <v>-2.4394493814253455E-3</v>
      </c>
      <c r="BR246" s="2" vm="8188">
        <f ca="1"/>
        <v>1198.92</v>
      </c>
      <c r="BS246" s="2">
        <f t="shared" ca="1" si="175"/>
        <v>-6.2085029136031769E-3</v>
      </c>
      <c r="BT246" s="2" vm="8189">
        <f ca="1"/>
        <v>153.65</v>
      </c>
      <c r="BU246" s="2">
        <f t="shared" ca="1" si="176"/>
        <v>7.8160620074255551E-4</v>
      </c>
      <c r="BV246" s="2" vm="8132">
        <f ca="1"/>
        <v>140.44</v>
      </c>
      <c r="BW246" s="2">
        <f t="shared" ca="1" si="177"/>
        <v>1.9262324320468735E-3</v>
      </c>
      <c r="BX246" s="2" vm="8190">
        <f ca="1"/>
        <v>259.91000000000003</v>
      </c>
      <c r="BY246" s="2">
        <f t="shared" ca="1" si="178"/>
        <v>-1.7724867724867716E-2</v>
      </c>
      <c r="BZ246" s="2" vm="8191">
        <f ca="1"/>
        <v>92.6</v>
      </c>
      <c r="CA246" s="2">
        <f t="shared" ca="1" si="179"/>
        <v>-9.5197347309872778E-3</v>
      </c>
      <c r="CB246" s="2" vm="1835">
        <f ca="1"/>
        <v>29.39</v>
      </c>
      <c r="CC246" s="2">
        <f t="shared" ca="1" si="180"/>
        <v>-1.0770784247728047E-2</v>
      </c>
      <c r="CD246" s="2" t="e" vm="92">
        <f ca="1"/>
        <v>#N/A</v>
      </c>
      <c r="CE246" s="2" t="e" vm="140">
        <f t="shared" ca="1" si="181"/>
        <v>#N/A</v>
      </c>
      <c r="CF246" s="2" vm="312">
        <f ca="1"/>
        <v>23.12</v>
      </c>
      <c r="CG246" s="2">
        <f t="shared" ca="1" si="182"/>
        <v>0</v>
      </c>
      <c r="CH246" s="2" vm="1535">
        <f ca="1"/>
        <v>58.85</v>
      </c>
      <c r="CI246" s="2">
        <f t="shared" ca="1" si="183"/>
        <v>5.1003060183612951E-4</v>
      </c>
      <c r="CJ246" s="2" vm="8162">
        <f ca="1"/>
        <v>60.03</v>
      </c>
      <c r="CK246" s="2">
        <f t="shared" ca="1" si="184"/>
        <v>0</v>
      </c>
      <c r="CL246" s="2" vm="8192">
        <f ca="1"/>
        <v>56.86</v>
      </c>
      <c r="CM246" s="2">
        <f t="shared" ca="1" si="185"/>
        <v>-2.1060021060020613E-3</v>
      </c>
      <c r="CN246" s="2" vm="837">
        <f ca="1"/>
        <v>29.63</v>
      </c>
      <c r="CO246" s="2">
        <f t="shared" ca="1" si="186"/>
        <v>0</v>
      </c>
      <c r="CP246" s="2" vm="8193">
        <f ca="1"/>
        <v>21.51</v>
      </c>
      <c r="CQ246" s="2">
        <f t="shared" ca="1" si="187"/>
        <v>5.5348828512126799E-3</v>
      </c>
    </row>
    <row r="247" spans="1:95" x14ac:dyDescent="0.2">
      <c r="A247" s="7" vm="8194">
        <f ca="1"/>
        <v>45931</v>
      </c>
      <c r="B247" s="2" vm="8195">
        <f ca="1"/>
        <v>255.45</v>
      </c>
      <c r="C247" s="2">
        <f t="shared" ca="1" si="141"/>
        <v>3.2203589522051337E-3</v>
      </c>
      <c r="D247" s="2" vm="8196">
        <f ca="1"/>
        <v>187.24</v>
      </c>
      <c r="E247" s="2">
        <f t="shared" ca="1" si="142"/>
        <v>3.537356629863847E-3</v>
      </c>
      <c r="F247" s="2" vm="8197">
        <f ca="1"/>
        <v>519.71</v>
      </c>
      <c r="G247" s="2">
        <f t="shared" ca="1" si="143"/>
        <v>3.3980113910608953E-3</v>
      </c>
      <c r="H247" s="2" vm="8198">
        <f ca="1"/>
        <v>717.34</v>
      </c>
      <c r="I247" s="2">
        <f t="shared" ca="1" si="144"/>
        <v>-2.3203246275769987E-2</v>
      </c>
      <c r="J247" s="2" vm="8199">
        <f ca="1"/>
        <v>244.9</v>
      </c>
      <c r="K247" s="2">
        <f t="shared" ca="1" si="145"/>
        <v>7.4043603455368635E-3</v>
      </c>
      <c r="L247" s="2" vm="8200">
        <f ca="1"/>
        <v>668.45</v>
      </c>
      <c r="M247" s="2">
        <f t="shared" ca="1" si="146"/>
        <v>3.4074874658502141E-3</v>
      </c>
      <c r="N247" s="2" vm="8201">
        <f ca="1"/>
        <v>89.29</v>
      </c>
      <c r="O247" s="2">
        <f t="shared" ca="1" si="147"/>
        <v>-8.9515497370480353E-4</v>
      </c>
      <c r="P247" s="2" vm="8202">
        <f ca="1"/>
        <v>356.03</v>
      </c>
      <c r="Q247" s="2">
        <f t="shared" ca="1" si="148"/>
        <v>1.5753790755899102E-3</v>
      </c>
      <c r="R247" s="2" vm="8203">
        <f ca="1"/>
        <v>73.14</v>
      </c>
      <c r="S247" s="2">
        <f t="shared" ca="1" si="149"/>
        <v>-8.2711864406779592E-3</v>
      </c>
      <c r="T247" s="2" vm="8204">
        <f ca="1"/>
        <v>96.49</v>
      </c>
      <c r="U247" s="2">
        <f t="shared" ca="1" si="150"/>
        <v>3.1100974497202092E-4</v>
      </c>
      <c r="V247" s="2" vm="8205">
        <f ca="1"/>
        <v>47.734999999999999</v>
      </c>
      <c r="W247" s="2">
        <f t="shared" ca="1" si="151"/>
        <v>2.6254988447805081E-3</v>
      </c>
      <c r="X247" s="2" vm="8206">
        <f ca="1"/>
        <v>129.94999999999999</v>
      </c>
      <c r="Y247" s="2">
        <f t="shared" ca="1" si="152"/>
        <v>-2.4911833120732509E-2</v>
      </c>
      <c r="Z247" s="2" vm="4239">
        <f ca="1"/>
        <v>89.34</v>
      </c>
      <c r="AA247" s="2">
        <f t="shared" ca="1" si="153"/>
        <v>0</v>
      </c>
      <c r="AB247" s="2" vm="8207">
        <f ca="1"/>
        <v>13.35</v>
      </c>
      <c r="AC247" s="2">
        <f t="shared" ca="1" si="154"/>
        <v>-7.4349442379181892E-3</v>
      </c>
      <c r="AD247" s="2" vm="1276">
        <f ca="1"/>
        <v>4.8</v>
      </c>
      <c r="AE247" s="2">
        <f t="shared" ca="1" si="155"/>
        <v>-4.0000000000000036E-2</v>
      </c>
      <c r="AF247" s="2" vm="8208">
        <f ca="1"/>
        <v>42.91</v>
      </c>
      <c r="AG247" s="2">
        <f t="shared" ca="1" si="156"/>
        <v>1.2744866650932244E-2</v>
      </c>
      <c r="AH247" s="2" vm="3643">
        <f ca="1"/>
        <v>26.81</v>
      </c>
      <c r="AI247" s="2">
        <f t="shared" ca="1" si="157"/>
        <v>1.8684603886396545E-3</v>
      </c>
      <c r="AJ247" s="2" vm="8209">
        <f ca="1"/>
        <v>4.13</v>
      </c>
      <c r="AK247" s="2">
        <f t="shared" ca="1" si="158"/>
        <v>4.8661800486616965E-3</v>
      </c>
      <c r="AL247" s="2" vm="8210">
        <f ca="1"/>
        <v>76.56</v>
      </c>
      <c r="AM247" s="2">
        <f t="shared" ca="1" si="159"/>
        <v>1.4388489208633018E-3</v>
      </c>
      <c r="AN247" s="2" vm="8211">
        <f ca="1"/>
        <v>142.07</v>
      </c>
      <c r="AO247" s="2">
        <f t="shared" ca="1" si="160"/>
        <v>-5.6690929451287952E-3</v>
      </c>
      <c r="AP247" s="2" vm="1366">
        <f ca="1"/>
        <v>26.91</v>
      </c>
      <c r="AQ247" s="2">
        <f t="shared" ca="1" si="161"/>
        <v>-1.4842300556585956E-3</v>
      </c>
      <c r="AR247" s="2" vm="73">
        <f ca="1"/>
        <v>50.9</v>
      </c>
      <c r="AS247" s="2">
        <f t="shared" ca="1" si="162"/>
        <v>-3.6214152882451263E-3</v>
      </c>
      <c r="AT247" s="2" vm="1068">
        <f ca="1"/>
        <v>29.26</v>
      </c>
      <c r="AU247" s="2">
        <f t="shared" ca="1" si="163"/>
        <v>-2.0463847203273781E-3</v>
      </c>
      <c r="AV247" s="2" vm="1162">
        <f ca="1"/>
        <v>26.92</v>
      </c>
      <c r="AW247" s="2">
        <f t="shared" ca="1" si="164"/>
        <v>-1.1131725417438806E-3</v>
      </c>
      <c r="AX247" s="2" vm="2414">
        <f ca="1"/>
        <v>91.46</v>
      </c>
      <c r="AY247" s="2">
        <f t="shared" ca="1" si="165"/>
        <v>-3.1607629427793599E-3</v>
      </c>
      <c r="AZ247" s="2" vm="7700">
        <f ca="1"/>
        <v>498.2</v>
      </c>
      <c r="BA247" s="2">
        <f t="shared" ca="1" si="166"/>
        <v>-9.0305127899113265E-3</v>
      </c>
      <c r="BB247" s="2" vm="8212">
        <f ca="1"/>
        <v>310.70999999999998</v>
      </c>
      <c r="BC247" s="2">
        <f t="shared" ca="1" si="167"/>
        <v>-1.4963700345560115E-2</v>
      </c>
      <c r="BD247" s="2" vm="4805">
        <f ca="1"/>
        <v>50.68</v>
      </c>
      <c r="BE247" s="2">
        <f t="shared" ca="1" si="168"/>
        <v>-1.7639077340569947E-2</v>
      </c>
      <c r="BF247" s="2" vm="8213">
        <f ca="1"/>
        <v>111.99</v>
      </c>
      <c r="BG247" s="2">
        <f t="shared" ca="1" si="169"/>
        <v>-6.7405764966741027E-3</v>
      </c>
      <c r="BH247" s="2" vm="4948">
        <f ca="1"/>
        <v>154.58000000000001</v>
      </c>
      <c r="BI247" s="2">
        <f t="shared" ca="1" si="170"/>
        <v>-4.5720909266532264E-3</v>
      </c>
      <c r="BJ247" s="2" vm="8214">
        <f ca="1"/>
        <v>186.05</v>
      </c>
      <c r="BK247" s="2">
        <f t="shared" ca="1" si="171"/>
        <v>3.397691726890432E-3</v>
      </c>
      <c r="BL247" s="2" vm="8215">
        <f ca="1"/>
        <v>66.78</v>
      </c>
      <c r="BM247" s="2">
        <f t="shared" ca="1" si="172"/>
        <v>6.9360675512667074E-3</v>
      </c>
      <c r="BN247" s="2" vm="8216">
        <f ca="1"/>
        <v>300.52</v>
      </c>
      <c r="BO247" s="2">
        <f t="shared" ca="1" si="173"/>
        <v>-1.1089538977919658E-2</v>
      </c>
      <c r="BP247" s="2" vm="5739">
        <f ca="1"/>
        <v>112.95</v>
      </c>
      <c r="BQ247" s="2">
        <f t="shared" ca="1" si="174"/>
        <v>-1.3537117903930106E-2</v>
      </c>
      <c r="BR247" s="2" vm="8217">
        <f ca="1"/>
        <v>1170.9000000000001</v>
      </c>
      <c r="BS247" s="2">
        <f t="shared" ca="1" si="175"/>
        <v>-2.3371033930537466E-2</v>
      </c>
      <c r="BT247" s="2" vm="5518">
        <f ca="1"/>
        <v>153.18</v>
      </c>
      <c r="BU247" s="2">
        <f t="shared" ca="1" si="176"/>
        <v>-3.0589000976244639E-3</v>
      </c>
      <c r="BV247" s="2" vm="8218">
        <f ca="1"/>
        <v>143.13999999999999</v>
      </c>
      <c r="BW247" s="2">
        <f t="shared" ca="1" si="177"/>
        <v>1.922529193961826E-2</v>
      </c>
      <c r="BX247" s="2" vm="8219">
        <f ca="1"/>
        <v>264.77999999999997</v>
      </c>
      <c r="BY247" s="2">
        <f t="shared" ca="1" si="178"/>
        <v>1.8737255203724164E-2</v>
      </c>
      <c r="BZ247" s="2" vm="5540">
        <f ca="1"/>
        <v>93.5</v>
      </c>
      <c r="CA247" s="2">
        <f t="shared" ca="1" si="179"/>
        <v>9.7192224622030862E-3</v>
      </c>
      <c r="CB247" s="2" vm="8220">
        <f ca="1"/>
        <v>29.828399999999998</v>
      </c>
      <c r="CC247" s="2">
        <f t="shared" ca="1" si="180"/>
        <v>1.4916638312351068E-2</v>
      </c>
      <c r="CD247" s="2" t="e" vm="92">
        <f ca="1"/>
        <v>#N/A</v>
      </c>
      <c r="CE247" s="2" t="e" vm="140">
        <f t="shared" ca="1" si="181"/>
        <v>#N/A</v>
      </c>
      <c r="CF247" s="2" vm="8221">
        <f ca="1"/>
        <v>23.1</v>
      </c>
      <c r="CG247" s="2">
        <f t="shared" ca="1" si="182"/>
        <v>-8.6505190311416834E-4</v>
      </c>
      <c r="CH247" s="2" vm="7458">
        <f ca="1"/>
        <v>58.72</v>
      </c>
      <c r="CI247" s="2">
        <f t="shared" ca="1" si="183"/>
        <v>-2.2090059473237477E-3</v>
      </c>
      <c r="CJ247" s="2" vm="8222">
        <f ca="1"/>
        <v>60.02</v>
      </c>
      <c r="CK247" s="2">
        <f t="shared" ca="1" si="184"/>
        <v>-1.6658337497914394E-4</v>
      </c>
      <c r="CL247" s="2" vm="8223">
        <f ca="1"/>
        <v>56.79</v>
      </c>
      <c r="CM247" s="2">
        <f t="shared" ca="1" si="185"/>
        <v>-1.2310939148786543E-3</v>
      </c>
      <c r="CN247" s="2" vm="2354">
        <f ca="1"/>
        <v>29.6</v>
      </c>
      <c r="CO247" s="2">
        <f t="shared" ca="1" si="186"/>
        <v>-1.0124873439081197E-3</v>
      </c>
      <c r="CP247" s="2" vm="8224">
        <f ca="1"/>
        <v>21.522500000000001</v>
      </c>
      <c r="CQ247" s="2">
        <f t="shared" ca="1" si="187"/>
        <v>5.8112505811247278E-4</v>
      </c>
    </row>
    <row r="248" spans="1:95" x14ac:dyDescent="0.2">
      <c r="A248" s="7" vm="8225">
        <f ca="1"/>
        <v>45932</v>
      </c>
      <c r="B248" s="2" vm="8226">
        <f ca="1"/>
        <v>257.13</v>
      </c>
      <c r="C248" s="2">
        <f t="shared" ca="1" si="141"/>
        <v>6.5766294773928636E-3</v>
      </c>
      <c r="D248" s="2" vm="8227">
        <f ca="1"/>
        <v>188.89</v>
      </c>
      <c r="E248" s="2">
        <f t="shared" ca="1" si="142"/>
        <v>8.8122196111940672E-3</v>
      </c>
      <c r="F248" s="2" vm="8228">
        <f ca="1"/>
        <v>515.74</v>
      </c>
      <c r="G248" s="2">
        <f t="shared" ca="1" si="143"/>
        <v>-7.6388755267361164E-3</v>
      </c>
      <c r="H248" s="2" vm="8229">
        <f ca="1"/>
        <v>727.05</v>
      </c>
      <c r="I248" s="2">
        <f t="shared" ca="1" si="144"/>
        <v>1.3536119552792152E-2</v>
      </c>
      <c r="J248" s="2" vm="8230">
        <f ca="1"/>
        <v>245.69</v>
      </c>
      <c r="K248" s="2">
        <f t="shared" ca="1" si="145"/>
        <v>3.2258064516128707E-3</v>
      </c>
      <c r="L248" s="2" vm="8231">
        <f ca="1"/>
        <v>669.22</v>
      </c>
      <c r="M248" s="2">
        <f t="shared" ca="1" si="146"/>
        <v>1.1519186176976314E-3</v>
      </c>
      <c r="N248" s="2" vm="8232">
        <f ca="1"/>
        <v>89.55</v>
      </c>
      <c r="O248" s="2">
        <f t="shared" ca="1" si="147"/>
        <v>2.9118602307088241E-3</v>
      </c>
      <c r="P248" s="2" vm="8233">
        <f ca="1"/>
        <v>354.79</v>
      </c>
      <c r="Q248" s="2">
        <f t="shared" ca="1" si="148"/>
        <v>-3.4828525686036354E-3</v>
      </c>
      <c r="R248" s="2" vm="8234">
        <f ca="1"/>
        <v>71.540000000000006</v>
      </c>
      <c r="S248" s="2">
        <f t="shared" ca="1" si="149"/>
        <v>-2.1875854525567326E-2</v>
      </c>
      <c r="T248" s="2" vm="8235">
        <f ca="1"/>
        <v>96.59</v>
      </c>
      <c r="U248" s="2">
        <f t="shared" ca="1" si="150"/>
        <v>1.0363768266142452E-3</v>
      </c>
      <c r="V248" s="2" vm="8236">
        <f ca="1"/>
        <v>47.789700000000003</v>
      </c>
      <c r="W248" s="2">
        <f t="shared" ca="1" si="151"/>
        <v>1.1459097098565827E-3</v>
      </c>
      <c r="X248" s="2" vm="8237">
        <f ca="1"/>
        <v>127.23</v>
      </c>
      <c r="Y248" s="2">
        <f t="shared" ca="1" si="152"/>
        <v>-2.0931127356675527E-2</v>
      </c>
      <c r="Z248" s="2" vm="4874">
        <f ca="1"/>
        <v>88.44</v>
      </c>
      <c r="AA248" s="2">
        <f t="shared" ca="1" si="153"/>
        <v>-1.0073875083949023E-2</v>
      </c>
      <c r="AB248" s="2" vm="8238">
        <f ca="1"/>
        <v>13.07</v>
      </c>
      <c r="AC248" s="2">
        <f t="shared" ca="1" si="154"/>
        <v>-2.0973782771535533E-2</v>
      </c>
      <c r="AD248" s="2" vm="1276">
        <f ca="1"/>
        <v>4.8</v>
      </c>
      <c r="AE248" s="2">
        <f t="shared" ca="1" si="155"/>
        <v>0</v>
      </c>
      <c r="AF248" s="2" vm="679">
        <f ca="1"/>
        <v>42.53</v>
      </c>
      <c r="AG248" s="2">
        <f t="shared" ca="1" si="156"/>
        <v>-8.8557445816824856E-3</v>
      </c>
      <c r="AH248" s="2" vm="2036">
        <f ca="1"/>
        <v>26.68</v>
      </c>
      <c r="AI248" s="2">
        <f t="shared" ca="1" si="157"/>
        <v>-4.8489369638194339E-3</v>
      </c>
      <c r="AJ248" s="2" vm="7743">
        <f ca="1"/>
        <v>4.16</v>
      </c>
      <c r="AK248" s="2">
        <f t="shared" ca="1" si="158"/>
        <v>7.2639225181598665E-3</v>
      </c>
      <c r="AL248" s="2" vm="3312">
        <f ca="1"/>
        <v>76.319999999999993</v>
      </c>
      <c r="AM248" s="2">
        <f t="shared" ca="1" si="159"/>
        <v>-3.1347962382446328E-3</v>
      </c>
      <c r="AN248" s="2" vm="4713">
        <f ca="1"/>
        <v>142.84</v>
      </c>
      <c r="AO248" s="2">
        <f t="shared" ca="1" si="160"/>
        <v>5.4198634475963276E-3</v>
      </c>
      <c r="AP248" s="2" vm="1242">
        <f ca="1"/>
        <v>26.9</v>
      </c>
      <c r="AQ248" s="2">
        <f t="shared" ca="1" si="161"/>
        <v>-3.7160906726129924E-4</v>
      </c>
      <c r="AR248" s="2" vm="73">
        <f ca="1"/>
        <v>50.9</v>
      </c>
      <c r="AS248" s="2">
        <f t="shared" ca="1" si="162"/>
        <v>0</v>
      </c>
      <c r="AT248" s="2" vm="1068">
        <f ca="1"/>
        <v>29.26</v>
      </c>
      <c r="AU248" s="2">
        <f t="shared" ca="1" si="163"/>
        <v>0</v>
      </c>
      <c r="AV248" s="2" vm="1701">
        <f ca="1"/>
        <v>27</v>
      </c>
      <c r="AW248" s="2">
        <f t="shared" ca="1" si="164"/>
        <v>2.9717682020801743E-3</v>
      </c>
      <c r="AX248" s="2" vm="1592">
        <f ca="1"/>
        <v>91.47</v>
      </c>
      <c r="AY248" s="2">
        <f t="shared" ca="1" si="165"/>
        <v>1.0933741526355911E-4</v>
      </c>
      <c r="AZ248" s="2" vm="8239">
        <f ca="1"/>
        <v>495.92</v>
      </c>
      <c r="BA248" s="2">
        <f t="shared" ca="1" si="166"/>
        <v>-4.5764753111199779E-3</v>
      </c>
      <c r="BB248" s="2" vm="6327">
        <f ca="1"/>
        <v>307.55</v>
      </c>
      <c r="BC248" s="2">
        <f t="shared" ca="1" si="167"/>
        <v>-1.0170255221911005E-2</v>
      </c>
      <c r="BD248" s="2" vm="8240">
        <f ca="1"/>
        <v>50.48</v>
      </c>
      <c r="BE248" s="2">
        <f t="shared" ca="1" si="168"/>
        <v>-3.9463299131807976E-3</v>
      </c>
      <c r="BF248" s="2" vm="8241">
        <f ca="1"/>
        <v>111.29</v>
      </c>
      <c r="BG248" s="2">
        <f t="shared" ca="1" si="169"/>
        <v>-6.2505580855432511E-3</v>
      </c>
      <c r="BH248" s="2" vm="8242">
        <f ca="1"/>
        <v>153.37</v>
      </c>
      <c r="BI248" s="2">
        <f t="shared" ca="1" si="170"/>
        <v>-7.8276620520119546E-3</v>
      </c>
      <c r="BJ248" s="2" vm="8243">
        <f ca="1"/>
        <v>185.98</v>
      </c>
      <c r="BK248" s="2">
        <f t="shared" ca="1" si="171"/>
        <v>-3.7624294544488898E-4</v>
      </c>
      <c r="BL248" s="2" vm="7390">
        <f ca="1"/>
        <v>66.099999999999994</v>
      </c>
      <c r="BM248" s="2">
        <f t="shared" ca="1" si="172"/>
        <v>-1.0182689427972548E-2</v>
      </c>
      <c r="BN248" s="2" vm="8244">
        <f ca="1"/>
        <v>299.88</v>
      </c>
      <c r="BO248" s="2">
        <f t="shared" ca="1" si="173"/>
        <v>-2.1296419539464473E-3</v>
      </c>
      <c r="BP248" s="2" vm="2954">
        <f ca="1"/>
        <v>112.14</v>
      </c>
      <c r="BQ248" s="2">
        <f t="shared" ca="1" si="174"/>
        <v>-7.1713147410358766E-3</v>
      </c>
      <c r="BR248" s="2" vm="8245">
        <f ca="1"/>
        <v>1162.53</v>
      </c>
      <c r="BS248" s="2">
        <f t="shared" ca="1" si="175"/>
        <v>-7.1483474250577488E-3</v>
      </c>
      <c r="BT248" s="2" vm="8246">
        <f ca="1"/>
        <v>152.05000000000001</v>
      </c>
      <c r="BU248" s="2">
        <f t="shared" ca="1" si="176"/>
        <v>-7.3769421595508249E-3</v>
      </c>
      <c r="BV248" s="2" vm="8247">
        <f ca="1"/>
        <v>142.31</v>
      </c>
      <c r="BW248" s="2">
        <f t="shared" ca="1" si="177"/>
        <v>-5.7985189325135125E-3</v>
      </c>
      <c r="BX248" s="2" vm="8248">
        <f ca="1"/>
        <v>260.2</v>
      </c>
      <c r="BY248" s="2">
        <f t="shared" ca="1" si="178"/>
        <v>-1.729737895611445E-2</v>
      </c>
      <c r="BZ248" s="2" vm="8249">
        <f ca="1"/>
        <v>92.1</v>
      </c>
      <c r="CA248" s="2">
        <f t="shared" ca="1" si="179"/>
        <v>-1.4973262032085622E-2</v>
      </c>
      <c r="CB248" s="2" vm="1747">
        <f ca="1"/>
        <v>29.08</v>
      </c>
      <c r="CC248" s="2">
        <f t="shared" ca="1" si="180"/>
        <v>-2.5090182510627463E-2</v>
      </c>
      <c r="CD248" s="2" t="e" vm="92">
        <f ca="1"/>
        <v>#N/A</v>
      </c>
      <c r="CE248" s="2" t="e" vm="140">
        <f t="shared" ca="1" si="181"/>
        <v>#N/A</v>
      </c>
      <c r="CF248" s="2" vm="312">
        <f ca="1"/>
        <v>23.12</v>
      </c>
      <c r="CG248" s="2">
        <f t="shared" ca="1" si="182"/>
        <v>8.6580086580084726E-4</v>
      </c>
      <c r="CH248" s="2" vm="7458">
        <f ca="1"/>
        <v>58.72</v>
      </c>
      <c r="CI248" s="2">
        <f t="shared" ca="1" si="183"/>
        <v>0</v>
      </c>
      <c r="CJ248" s="2" vm="7542">
        <f ca="1"/>
        <v>60.06</v>
      </c>
      <c r="CK248" s="2">
        <f t="shared" ca="1" si="184"/>
        <v>6.664445184938211E-4</v>
      </c>
      <c r="CL248" s="2" vm="8250">
        <f ca="1"/>
        <v>56.95</v>
      </c>
      <c r="CM248" s="2">
        <f t="shared" ca="1" si="185"/>
        <v>2.8173974291249111E-3</v>
      </c>
      <c r="CN248" s="2" vm="837">
        <f ca="1"/>
        <v>29.63</v>
      </c>
      <c r="CO248" s="2">
        <f t="shared" ca="1" si="186"/>
        <v>1.0135135135134318E-3</v>
      </c>
      <c r="CP248" s="2" vm="8251">
        <f ca="1"/>
        <v>21.4</v>
      </c>
      <c r="CQ248" s="2">
        <f t="shared" ca="1" si="187"/>
        <v>-5.6917179695668381E-3</v>
      </c>
    </row>
    <row r="249" spans="1:95" x14ac:dyDescent="0.2">
      <c r="A249" s="7" vm="8252">
        <f ca="1"/>
        <v>45933</v>
      </c>
      <c r="B249" s="2" vm="8253">
        <f ca="1"/>
        <v>258.02</v>
      </c>
      <c r="C249" s="2">
        <f t="shared" ca="1" si="141"/>
        <v>3.461284175319824E-3</v>
      </c>
      <c r="D249" s="2" vm="8254">
        <f ca="1"/>
        <v>187.62</v>
      </c>
      <c r="E249" s="2">
        <f t="shared" ca="1" si="142"/>
        <v>-6.7234898618242465E-3</v>
      </c>
      <c r="F249" s="2" vm="8255">
        <f ca="1"/>
        <v>517.35</v>
      </c>
      <c r="G249" s="2">
        <f t="shared" ca="1" si="143"/>
        <v>3.1217280024818969E-3</v>
      </c>
      <c r="H249" s="2" vm="8256">
        <f ca="1"/>
        <v>710.56</v>
      </c>
      <c r="I249" s="2">
        <f t="shared" ca="1" si="144"/>
        <v>-2.2680695963138726E-2</v>
      </c>
      <c r="J249" s="2" vm="8257">
        <f ca="1"/>
        <v>245.35</v>
      </c>
      <c r="K249" s="2">
        <f t="shared" ca="1" si="145"/>
        <v>-1.3838577068663901E-3</v>
      </c>
      <c r="L249" s="2" vm="8258">
        <f ca="1"/>
        <v>669.21</v>
      </c>
      <c r="M249" s="2">
        <f t="shared" ca="1" si="146"/>
        <v>-1.4942769193973439E-5</v>
      </c>
      <c r="N249" s="2" vm="8259">
        <f ca="1"/>
        <v>89.38</v>
      </c>
      <c r="O249" s="2">
        <f t="shared" ca="1" si="147"/>
        <v>-1.8983807928531738E-3</v>
      </c>
      <c r="P249" s="2" vm="8260">
        <f ca="1"/>
        <v>357.64</v>
      </c>
      <c r="Q249" s="2">
        <f t="shared" ca="1" si="148"/>
        <v>8.0329208827756293E-3</v>
      </c>
      <c r="R249" s="2" vm="8261">
        <f ca="1"/>
        <v>71.709999999999994</v>
      </c>
      <c r="S249" s="2">
        <f t="shared" ca="1" si="149"/>
        <v>2.3762929829464281E-3</v>
      </c>
      <c r="T249" s="2" vm="8262">
        <f ca="1"/>
        <v>96.4</v>
      </c>
      <c r="U249" s="2">
        <f t="shared" ca="1" si="150"/>
        <v>-1.9670773371984443E-3</v>
      </c>
      <c r="V249" s="2" vm="8205">
        <f ca="1"/>
        <v>47.734999999999999</v>
      </c>
      <c r="W249" s="2">
        <f t="shared" ca="1" si="151"/>
        <v>-1.1445981037755827E-3</v>
      </c>
      <c r="X249" s="2" vm="8263">
        <f ca="1"/>
        <v>125.89</v>
      </c>
      <c r="Y249" s="2">
        <f t="shared" ca="1" si="152"/>
        <v>-1.053210720741966E-2</v>
      </c>
      <c r="Z249" s="2" vm="4260">
        <f ca="1"/>
        <v>88.91</v>
      </c>
      <c r="AA249" s="2">
        <f t="shared" ca="1" si="153"/>
        <v>5.3143374038896298E-3</v>
      </c>
      <c r="AB249" s="2" vm="5846">
        <f ca="1"/>
        <v>13.1</v>
      </c>
      <c r="AC249" s="2">
        <f t="shared" ca="1" si="154"/>
        <v>2.2953328232593237E-3</v>
      </c>
      <c r="AD249" s="2" vm="6397">
        <f ca="1"/>
        <v>4.9000000000000004</v>
      </c>
      <c r="AE249" s="2">
        <f t="shared" ca="1" si="155"/>
        <v>2.0833333333333447E-2</v>
      </c>
      <c r="AF249" s="2" vm="8264">
        <f ca="1"/>
        <v>43.52</v>
      </c>
      <c r="AG249" s="2">
        <f t="shared" ca="1" si="156"/>
        <v>2.3277686339054832E-2</v>
      </c>
      <c r="AH249" s="2" vm="6981">
        <f ca="1"/>
        <v>26.67</v>
      </c>
      <c r="AI249" s="2">
        <f t="shared" ca="1" si="157"/>
        <v>-3.7481259370307387E-4</v>
      </c>
      <c r="AJ249" s="2" vm="8265">
        <f ca="1"/>
        <v>4.1500000000000004</v>
      </c>
      <c r="AK249" s="2">
        <f t="shared" ca="1" si="158"/>
        <v>-2.4038461538461024E-3</v>
      </c>
      <c r="AL249" s="2" vm="8266">
        <f ca="1"/>
        <v>76.92</v>
      </c>
      <c r="AM249" s="2">
        <f t="shared" ca="1" si="159"/>
        <v>7.8616352201258989E-3</v>
      </c>
      <c r="AN249" s="2" vm="7690">
        <f ca="1"/>
        <v>146.38999999999999</v>
      </c>
      <c r="AO249" s="2">
        <f t="shared" ca="1" si="160"/>
        <v>2.4852982357882827E-2</v>
      </c>
      <c r="AP249" s="2" vm="925">
        <f ca="1"/>
        <v>26.87</v>
      </c>
      <c r="AQ249" s="2">
        <f t="shared" ca="1" si="161"/>
        <v>-1.1152416356876426E-3</v>
      </c>
      <c r="AR249" s="2" vm="1746">
        <f ca="1"/>
        <v>50.92</v>
      </c>
      <c r="AS249" s="2">
        <f t="shared" ca="1" si="162"/>
        <v>3.9292730844799859E-4</v>
      </c>
      <c r="AT249" s="2" vm="6271">
        <f ca="1"/>
        <v>29.27</v>
      </c>
      <c r="AU249" s="2">
        <f t="shared" ca="1" si="163"/>
        <v>3.4176349965816849E-4</v>
      </c>
      <c r="AV249" s="2" vm="1162">
        <f ca="1"/>
        <v>26.92</v>
      </c>
      <c r="AW249" s="2">
        <f t="shared" ca="1" si="164"/>
        <v>-2.9629629629628999E-3</v>
      </c>
      <c r="AX249" s="2" vm="1630">
        <f ca="1"/>
        <v>91.49</v>
      </c>
      <c r="AY249" s="2">
        <f t="shared" ca="1" si="165"/>
        <v>2.1865092380010954E-4</v>
      </c>
      <c r="AZ249" s="2" vm="8267">
        <f ca="1"/>
        <v>498.75</v>
      </c>
      <c r="BA249" s="2">
        <f t="shared" ca="1" si="166"/>
        <v>5.7065655750927246E-3</v>
      </c>
      <c r="BB249" s="2" vm="8268">
        <f ca="1"/>
        <v>310.02999999999997</v>
      </c>
      <c r="BC249" s="2">
        <f t="shared" ca="1" si="167"/>
        <v>8.0637294748820074E-3</v>
      </c>
      <c r="BD249" s="2" vm="4561">
        <f ca="1"/>
        <v>50.64</v>
      </c>
      <c r="BE249" s="2">
        <f t="shared" ca="1" si="168"/>
        <v>3.1695721077655251E-3</v>
      </c>
      <c r="BF249" s="2" vm="8269">
        <f ca="1"/>
        <v>113.26</v>
      </c>
      <c r="BG249" s="2">
        <f t="shared" ca="1" si="169"/>
        <v>1.7701500584059653E-2</v>
      </c>
      <c r="BH249" s="2" vm="8270">
        <f ca="1"/>
        <v>153.55000000000001</v>
      </c>
      <c r="BI249" s="2">
        <f t="shared" ca="1" si="170"/>
        <v>1.1736323922540706E-3</v>
      </c>
      <c r="BJ249" s="2" vm="8271">
        <f ca="1"/>
        <v>188.64</v>
      </c>
      <c r="BK249" s="2">
        <f t="shared" ca="1" si="171"/>
        <v>1.430261318421334E-2</v>
      </c>
      <c r="BL249" s="2" vm="8272">
        <f ca="1"/>
        <v>66.650000000000006</v>
      </c>
      <c r="BM249" s="2">
        <f t="shared" ca="1" si="172"/>
        <v>8.3207261724661339E-3</v>
      </c>
      <c r="BN249" s="2" vm="8273">
        <f ca="1"/>
        <v>300.98</v>
      </c>
      <c r="BO249" s="2">
        <f t="shared" ca="1" si="173"/>
        <v>3.6681339202348363E-3</v>
      </c>
      <c r="BP249" s="2" vm="8274">
        <f ca="1"/>
        <v>112.47</v>
      </c>
      <c r="BQ249" s="2">
        <f t="shared" ca="1" si="174"/>
        <v>2.9427501337613545E-3</v>
      </c>
      <c r="BR249" s="2" vm="8275">
        <f ca="1"/>
        <v>1153.32</v>
      </c>
      <c r="BS249" s="2">
        <f t="shared" ca="1" si="175"/>
        <v>-7.9223761967433422E-3</v>
      </c>
      <c r="BT249" s="2" vm="8276">
        <f ca="1"/>
        <v>152.27000000000001</v>
      </c>
      <c r="BU249" s="2">
        <f t="shared" ca="1" si="176"/>
        <v>1.4468924695823667E-3</v>
      </c>
      <c r="BV249" s="2" vm="1184">
        <f ca="1"/>
        <v>141.97999999999999</v>
      </c>
      <c r="BW249" s="2">
        <f t="shared" ca="1" si="177"/>
        <v>-2.318881315438216E-3</v>
      </c>
      <c r="BX249" s="2" vm="8277">
        <f ca="1"/>
        <v>262.73</v>
      </c>
      <c r="BY249" s="2">
        <f t="shared" ca="1" si="178"/>
        <v>9.7232897770946573E-3</v>
      </c>
      <c r="BZ249" s="2" vm="1938">
        <f ca="1"/>
        <v>92.54</v>
      </c>
      <c r="CA249" s="2">
        <f t="shared" ca="1" si="179"/>
        <v>4.7774158523345494E-3</v>
      </c>
      <c r="CB249" s="2" vm="8278">
        <f ca="1"/>
        <v>29.36</v>
      </c>
      <c r="CC249" s="2">
        <f t="shared" ca="1" si="180"/>
        <v>9.6286107290234242E-3</v>
      </c>
      <c r="CD249" s="2" t="e" vm="92">
        <f ca="1"/>
        <v>#N/A</v>
      </c>
      <c r="CE249" s="2" t="e" vm="140">
        <f t="shared" ca="1" si="181"/>
        <v>#N/A</v>
      </c>
      <c r="CF249" s="2" vm="8279">
        <f ca="1"/>
        <v>23.09</v>
      </c>
      <c r="CG249" s="2">
        <f t="shared" ca="1" si="182"/>
        <v>-1.2975778546713294E-3</v>
      </c>
      <c r="CH249" s="2" vm="7458">
        <f ca="1"/>
        <v>58.72</v>
      </c>
      <c r="CI249" s="2">
        <f t="shared" ca="1" si="183"/>
        <v>0</v>
      </c>
      <c r="CJ249" s="2" vm="8280">
        <f ca="1"/>
        <v>59.96</v>
      </c>
      <c r="CK249" s="2">
        <f t="shared" ca="1" si="184"/>
        <v>-1.6650016650016886E-3</v>
      </c>
      <c r="CL249" s="2" vm="1222">
        <f ca="1"/>
        <v>56.82</v>
      </c>
      <c r="CM249" s="2">
        <f t="shared" ca="1" si="185"/>
        <v>-2.2827041264267349E-3</v>
      </c>
      <c r="CN249" s="2" vm="4098">
        <f ca="1"/>
        <v>29.61</v>
      </c>
      <c r="CO249" s="2">
        <f t="shared" ca="1" si="186"/>
        <v>-6.7499156260545311E-4</v>
      </c>
      <c r="CP249" s="2" vm="8281">
        <f ca="1"/>
        <v>21.510400000000001</v>
      </c>
      <c r="CQ249" s="2">
        <f t="shared" ca="1" si="187"/>
        <v>5.1588785046729931E-3</v>
      </c>
    </row>
    <row r="250" spans="1:95" x14ac:dyDescent="0.2">
      <c r="A250" s="7" vm="8282">
        <f ca="1"/>
        <v>45936</v>
      </c>
      <c r="B250" s="2" vm="8283">
        <f ca="1"/>
        <v>256.69</v>
      </c>
      <c r="C250" s="2">
        <f t="shared" ca="1" si="141"/>
        <v>-5.1546391752576703E-3</v>
      </c>
      <c r="D250" s="2" vm="8284">
        <f ca="1"/>
        <v>185.54</v>
      </c>
      <c r="E250" s="2">
        <f t="shared" ca="1" si="142"/>
        <v>-1.1086238140923209E-2</v>
      </c>
      <c r="F250" s="2" vm="8285">
        <f ca="1"/>
        <v>528.57000000000005</v>
      </c>
      <c r="G250" s="2">
        <f t="shared" ca="1" si="143"/>
        <v>2.1687445636416405E-2</v>
      </c>
      <c r="H250" s="2" vm="8286">
        <f ca="1"/>
        <v>715.66</v>
      </c>
      <c r="I250" s="2">
        <f t="shared" ca="1" si="144"/>
        <v>7.1774375140734393E-3</v>
      </c>
      <c r="J250" s="2" vm="8287">
        <f ca="1"/>
        <v>250.43</v>
      </c>
      <c r="K250" s="2">
        <f t="shared" ca="1" si="145"/>
        <v>2.070511514163445E-2</v>
      </c>
      <c r="L250" s="2" vm="8288">
        <f ca="1"/>
        <v>671.61</v>
      </c>
      <c r="M250" s="2">
        <f t="shared" ca="1" si="146"/>
        <v>3.5863181960819131E-3</v>
      </c>
      <c r="N250" s="2" vm="8289">
        <f ca="1"/>
        <v>88.67</v>
      </c>
      <c r="O250" s="2">
        <f t="shared" ca="1" si="147"/>
        <v>-7.9436115462071348E-3</v>
      </c>
      <c r="P250" s="2" vm="8290">
        <f ca="1"/>
        <v>364.38</v>
      </c>
      <c r="Q250" s="2">
        <f t="shared" ca="1" si="148"/>
        <v>1.88457666927637E-2</v>
      </c>
      <c r="R250" s="2" vm="8291">
        <f ca="1"/>
        <v>72.87</v>
      </c>
      <c r="S250" s="2">
        <f t="shared" ca="1" si="149"/>
        <v>1.6176265513875483E-2</v>
      </c>
      <c r="T250" s="2" vm="8292">
        <f ca="1"/>
        <v>96.12</v>
      </c>
      <c r="U250" s="2">
        <f t="shared" ca="1" si="150"/>
        <v>-2.9045643153527089E-3</v>
      </c>
      <c r="V250" s="2" vm="8293">
        <f ca="1"/>
        <v>47.664999999999999</v>
      </c>
      <c r="W250" s="2">
        <f t="shared" ca="1" si="151"/>
        <v>-1.466429244788945E-3</v>
      </c>
      <c r="X250" s="2" vm="8294">
        <f ca="1"/>
        <v>126.7</v>
      </c>
      <c r="Y250" s="2">
        <f t="shared" ca="1" si="152"/>
        <v>6.4341885773294329E-3</v>
      </c>
      <c r="Z250" s="2" vm="8295">
        <f ca="1"/>
        <v>89.35</v>
      </c>
      <c r="AA250" s="2">
        <f t="shared" ca="1" si="153"/>
        <v>4.9488246541446153E-3</v>
      </c>
      <c r="AB250" s="2" vm="8296">
        <f ca="1"/>
        <v>13.31</v>
      </c>
      <c r="AC250" s="2">
        <f t="shared" ca="1" si="154"/>
        <v>1.6030534351145105E-2</v>
      </c>
      <c r="AD250" s="2" t="e" vm="92">
        <f ca="1"/>
        <v>#N/A</v>
      </c>
      <c r="AE250" s="2" t="e" vm="140">
        <f t="shared" ca="1" si="155"/>
        <v>#N/A</v>
      </c>
      <c r="AF250" s="2" vm="5643">
        <f ca="1"/>
        <v>44.06</v>
      </c>
      <c r="AG250" s="2">
        <f t="shared" ca="1" si="156"/>
        <v>1.2408088235294098E-2</v>
      </c>
      <c r="AH250" s="2" vm="4147">
        <f ca="1"/>
        <v>26.74</v>
      </c>
      <c r="AI250" s="2">
        <f t="shared" ca="1" si="157"/>
        <v>2.6246719160103759E-3</v>
      </c>
      <c r="AJ250" s="2" vm="7774">
        <f ca="1"/>
        <v>4.1399999999999997</v>
      </c>
      <c r="AK250" s="2">
        <f t="shared" ca="1" si="158"/>
        <v>-2.4096385542170299E-3</v>
      </c>
      <c r="AL250" s="2" vm="8297">
        <f ca="1"/>
        <v>78.39</v>
      </c>
      <c r="AM250" s="2">
        <f t="shared" ca="1" si="159"/>
        <v>1.9110764430577208E-2</v>
      </c>
      <c r="AN250" s="2" vm="3941">
        <f ca="1"/>
        <v>148.16999999999999</v>
      </c>
      <c r="AO250" s="2">
        <f t="shared" ca="1" si="160"/>
        <v>1.215930049866795E-2</v>
      </c>
      <c r="AP250" s="2" vm="5042">
        <f ca="1"/>
        <v>26.83</v>
      </c>
      <c r="AQ250" s="2">
        <f t="shared" ca="1" si="161"/>
        <v>-1.4886490509863305E-3</v>
      </c>
      <c r="AR250" s="2" vm="339">
        <f ca="1"/>
        <v>50.94</v>
      </c>
      <c r="AS250" s="2">
        <f t="shared" ca="1" si="162"/>
        <v>3.9277297721908918E-4</v>
      </c>
      <c r="AT250" s="2" vm="1068">
        <f ca="1"/>
        <v>29.26</v>
      </c>
      <c r="AU250" s="2">
        <f t="shared" ca="1" si="163"/>
        <v>-3.4164673727359106E-4</v>
      </c>
      <c r="AV250" s="2" vm="1552">
        <f ca="1"/>
        <v>26.76</v>
      </c>
      <c r="AW250" s="2">
        <f t="shared" ca="1" si="164"/>
        <v>-5.9435364041604804E-3</v>
      </c>
      <c r="AX250" s="2" vm="1706">
        <f ca="1"/>
        <v>91.51</v>
      </c>
      <c r="AY250" s="2">
        <f t="shared" ca="1" si="165"/>
        <v>2.1860312602481401E-4</v>
      </c>
      <c r="AZ250" s="2" vm="8298">
        <f ca="1"/>
        <v>500.02</v>
      </c>
      <c r="BA250" s="2">
        <f t="shared" ca="1" si="166"/>
        <v>2.5463659147869308E-3</v>
      </c>
      <c r="BB250" s="2" vm="8299">
        <f ca="1"/>
        <v>309.18</v>
      </c>
      <c r="BC250" s="2">
        <f t="shared" ca="1" si="167"/>
        <v>-2.7416701609520562E-3</v>
      </c>
      <c r="BD250" s="2" vm="8300">
        <f ca="1"/>
        <v>50.39</v>
      </c>
      <c r="BE250" s="2">
        <f t="shared" ca="1" si="168"/>
        <v>-4.9368088467614535E-3</v>
      </c>
      <c r="BF250" s="2" vm="8301">
        <f ca="1"/>
        <v>114.2</v>
      </c>
      <c r="BG250" s="2">
        <f t="shared" ca="1" si="169"/>
        <v>8.2994879039378217E-3</v>
      </c>
      <c r="BH250" s="2" vm="8302">
        <f ca="1"/>
        <v>154.02000000000001</v>
      </c>
      <c r="BI250" s="2">
        <f t="shared" ca="1" si="170"/>
        <v>3.0608922175187161E-3</v>
      </c>
      <c r="BJ250" s="2" vm="8303">
        <f ca="1"/>
        <v>188.16</v>
      </c>
      <c r="BK250" s="2">
        <f t="shared" ca="1" si="171"/>
        <v>-2.54452926208646E-3</v>
      </c>
      <c r="BL250" s="2" vm="7390">
        <f ca="1"/>
        <v>66.099999999999994</v>
      </c>
      <c r="BM250" s="2">
        <f t="shared" ca="1" si="172"/>
        <v>-8.2520630157541085E-3</v>
      </c>
      <c r="BN250" s="2" vm="8304">
        <f ca="1"/>
        <v>296.04000000000002</v>
      </c>
      <c r="BO250" s="2">
        <f t="shared" ca="1" si="173"/>
        <v>-1.641305070104325E-2</v>
      </c>
      <c r="BP250" s="2" vm="7503">
        <f ca="1"/>
        <v>112.75</v>
      </c>
      <c r="BQ250" s="2">
        <f t="shared" ca="1" si="174"/>
        <v>2.4895527696274663E-3</v>
      </c>
      <c r="BR250" s="2" vm="8305">
        <f ca="1"/>
        <v>1163.31</v>
      </c>
      <c r="BS250" s="2">
        <f t="shared" ca="1" si="175"/>
        <v>8.6619498491312119E-3</v>
      </c>
      <c r="BT250" s="2" vm="8306">
        <f ca="1"/>
        <v>150.41</v>
      </c>
      <c r="BU250" s="2">
        <f t="shared" ca="1" si="176"/>
        <v>-1.2215144151835644E-2</v>
      </c>
      <c r="BV250" s="2" vm="8307">
        <f ca="1"/>
        <v>139.69999999999999</v>
      </c>
      <c r="BW250" s="2">
        <f t="shared" ca="1" si="177"/>
        <v>-1.6058599802789134E-2</v>
      </c>
      <c r="BX250" s="2" vm="8308">
        <f ca="1"/>
        <v>265.31</v>
      </c>
      <c r="BY250" s="2">
        <f t="shared" ca="1" si="178"/>
        <v>9.8199672667757167E-3</v>
      </c>
      <c r="BZ250" s="2" vm="8309">
        <f ca="1"/>
        <v>93.26</v>
      </c>
      <c r="CA250" s="2">
        <f t="shared" ca="1" si="179"/>
        <v>7.7804192781499764E-3</v>
      </c>
      <c r="CB250" s="2" vm="273">
        <f ca="1"/>
        <v>29.64</v>
      </c>
      <c r="CC250" s="2">
        <f t="shared" ca="1" si="180"/>
        <v>9.5367847411444526E-3</v>
      </c>
      <c r="CD250" s="2" t="e" vm="92">
        <f ca="1"/>
        <v>#N/A</v>
      </c>
      <c r="CE250" s="2" t="e" vm="140">
        <f t="shared" ca="1" si="181"/>
        <v>#N/A</v>
      </c>
      <c r="CF250" s="2" vm="8310">
        <f ca="1"/>
        <v>23.04</v>
      </c>
      <c r="CG250" s="2">
        <f t="shared" ca="1" si="182"/>
        <v>-2.1654395842356307E-3</v>
      </c>
      <c r="CH250" s="2" vm="4441">
        <f ca="1"/>
        <v>58.71</v>
      </c>
      <c r="CI250" s="2">
        <f t="shared" ca="1" si="183"/>
        <v>-1.7029972752040208E-4</v>
      </c>
      <c r="CJ250" s="2" vm="8311">
        <f ca="1"/>
        <v>59.86</v>
      </c>
      <c r="CK250" s="2">
        <f t="shared" ca="1" si="184"/>
        <v>-1.6677785190126989E-3</v>
      </c>
      <c r="CL250" s="2" vm="3234">
        <f ca="1"/>
        <v>56.44</v>
      </c>
      <c r="CM250" s="2">
        <f t="shared" ca="1" si="185"/>
        <v>-6.6877859908483382E-3</v>
      </c>
      <c r="CN250" s="2" vm="144">
        <f ca="1"/>
        <v>29.53</v>
      </c>
      <c r="CO250" s="2">
        <f t="shared" ca="1" si="186"/>
        <v>-2.7017899358324315E-3</v>
      </c>
      <c r="CP250" s="2" vm="8312">
        <f ca="1"/>
        <v>21.279800000000002</v>
      </c>
      <c r="CQ250" s="2">
        <f t="shared" ca="1" si="187"/>
        <v>-1.0720395715560799E-2</v>
      </c>
    </row>
    <row r="251" spans="1:95" x14ac:dyDescent="0.2">
      <c r="A251" s="7" vm="8313">
        <f ca="1"/>
        <v>45937</v>
      </c>
      <c r="B251" s="2" vm="8314">
        <f ca="1"/>
        <v>256.48</v>
      </c>
      <c r="C251" s="2">
        <f t="shared" ca="1" si="141"/>
        <v>-8.1810744477766781E-4</v>
      </c>
      <c r="D251" s="2" vm="8315">
        <f ca="1"/>
        <v>185.04</v>
      </c>
      <c r="E251" s="2">
        <f t="shared" ca="1" si="142"/>
        <v>-2.6948366928964108E-3</v>
      </c>
      <c r="F251" s="2" vm="8316">
        <f ca="1"/>
        <v>523.98</v>
      </c>
      <c r="G251" s="2">
        <f t="shared" ca="1" si="143"/>
        <v>-8.6838072535331771E-3</v>
      </c>
      <c r="H251" s="2" vm="8317">
        <f ca="1"/>
        <v>713.08</v>
      </c>
      <c r="I251" s="2">
        <f t="shared" ca="1" si="144"/>
        <v>-3.6050638571387631E-3</v>
      </c>
      <c r="J251" s="2" vm="8318">
        <f ca="1"/>
        <v>245.76</v>
      </c>
      <c r="K251" s="2">
        <f t="shared" ca="1" si="145"/>
        <v>-1.8647925568023062E-2</v>
      </c>
      <c r="L251" s="2" vm="8319">
        <f ca="1"/>
        <v>669.12</v>
      </c>
      <c r="M251" s="2">
        <f t="shared" ca="1" si="146"/>
        <v>-3.7075088220842587E-3</v>
      </c>
      <c r="N251" s="2" vm="8032">
        <f ca="1"/>
        <v>89.18</v>
      </c>
      <c r="O251" s="2">
        <f t="shared" ca="1" si="147"/>
        <v>5.7516634712981287E-3</v>
      </c>
      <c r="P251" s="2" vm="8320">
        <f ca="1"/>
        <v>366.26</v>
      </c>
      <c r="Q251" s="2">
        <f t="shared" ca="1" si="148"/>
        <v>5.1594489269443863E-3</v>
      </c>
      <c r="R251" s="2" vm="1355">
        <f ca="1"/>
        <v>73.2</v>
      </c>
      <c r="S251" s="2">
        <f t="shared" ca="1" si="149"/>
        <v>4.5286125977768389E-3</v>
      </c>
      <c r="T251" s="2" vm="8321">
        <f ca="1"/>
        <v>96.36</v>
      </c>
      <c r="U251" s="2">
        <f t="shared" ca="1" si="150"/>
        <v>2.4968789013732301E-3</v>
      </c>
      <c r="V251" s="2" vm="8322">
        <f ca="1"/>
        <v>47.725000000000001</v>
      </c>
      <c r="W251" s="2">
        <f t="shared" ca="1" si="151"/>
        <v>1.2587852722123628E-3</v>
      </c>
      <c r="X251" s="2" vm="8323">
        <f ca="1"/>
        <v>126.05</v>
      </c>
      <c r="Y251" s="2">
        <f t="shared" ca="1" si="152"/>
        <v>-5.1302288871350092E-3</v>
      </c>
      <c r="Z251" s="2" vm="8324">
        <f ca="1"/>
        <v>89.49</v>
      </c>
      <c r="AA251" s="2">
        <f t="shared" ca="1" si="153"/>
        <v>1.5668718522663747E-3</v>
      </c>
      <c r="AB251" s="2" vm="3861">
        <f ca="1"/>
        <v>13.36</v>
      </c>
      <c r="AC251" s="2">
        <f t="shared" ca="1" si="154"/>
        <v>3.7565740045078086E-3</v>
      </c>
      <c r="AD251" s="2" vm="1276">
        <f ca="1"/>
        <v>4.8</v>
      </c>
      <c r="AE251" s="2" t="e" vm="140">
        <f t="shared" ca="1" si="155"/>
        <v>#N/A</v>
      </c>
      <c r="AF251" s="2" vm="8325">
        <f ca="1"/>
        <v>43.39</v>
      </c>
      <c r="AG251" s="2">
        <f t="shared" ca="1" si="156"/>
        <v>-1.5206536541080383E-2</v>
      </c>
      <c r="AH251" s="2" vm="166">
        <f ca="1"/>
        <v>26.6</v>
      </c>
      <c r="AI251" s="2">
        <f t="shared" ca="1" si="157"/>
        <v>-5.2356020942407261E-3</v>
      </c>
      <c r="AJ251" s="2" vm="8326">
        <f ca="1"/>
        <v>4.0999999999999996</v>
      </c>
      <c r="AK251" s="2">
        <f t="shared" ca="1" si="158"/>
        <v>-9.6618357487922805E-3</v>
      </c>
      <c r="AL251" s="2" vm="8327">
        <f ca="1"/>
        <v>78.819999999999993</v>
      </c>
      <c r="AM251" s="2">
        <f t="shared" ca="1" si="159"/>
        <v>5.485393545094943E-3</v>
      </c>
      <c r="AN251" s="2" vm="8328">
        <f ca="1"/>
        <v>147.79</v>
      </c>
      <c r="AO251" s="2">
        <f t="shared" ca="1" si="160"/>
        <v>-2.5646217182965208E-3</v>
      </c>
      <c r="AP251" s="2" vm="1513">
        <f ca="1"/>
        <v>26.89</v>
      </c>
      <c r="AQ251" s="2">
        <f t="shared" ca="1" si="161"/>
        <v>2.2363026462915497E-3</v>
      </c>
      <c r="AR251" s="2" vm="1048">
        <f ca="1"/>
        <v>50.93</v>
      </c>
      <c r="AS251" s="2">
        <f t="shared" ca="1" si="162"/>
        <v>-1.9630938358849648E-4</v>
      </c>
      <c r="AT251" s="2" vm="3691">
        <f ca="1"/>
        <v>29.28</v>
      </c>
      <c r="AU251" s="2">
        <f t="shared" ca="1" si="163"/>
        <v>6.8352699931645841E-4</v>
      </c>
      <c r="AV251" s="2" vm="1242">
        <f ca="1"/>
        <v>26.9</v>
      </c>
      <c r="AW251" s="2">
        <f t="shared" ca="1" si="164"/>
        <v>5.2316890881912185E-3</v>
      </c>
      <c r="AX251" s="2" vm="1706">
        <f ca="1"/>
        <v>91.51</v>
      </c>
      <c r="AY251" s="2">
        <f t="shared" ca="1" si="165"/>
        <v>0</v>
      </c>
      <c r="AZ251" s="2" vm="8329">
        <f ca="1"/>
        <v>502.3</v>
      </c>
      <c r="BA251" s="2">
        <f t="shared" ca="1" si="166"/>
        <v>4.5598176072957674E-3</v>
      </c>
      <c r="BB251" s="2" vm="8330">
        <f ca="1"/>
        <v>307.69</v>
      </c>
      <c r="BC251" s="2">
        <f t="shared" ca="1" si="167"/>
        <v>-4.819199172003393E-3</v>
      </c>
      <c r="BD251" s="2" vm="7747">
        <f ca="1"/>
        <v>50.29</v>
      </c>
      <c r="BE251" s="2">
        <f t="shared" ca="1" si="168"/>
        <v>-1.9845207382417429E-3</v>
      </c>
      <c r="BF251" s="2" vm="1335">
        <f ca="1"/>
        <v>114.26</v>
      </c>
      <c r="BG251" s="2">
        <f t="shared" ca="1" si="169"/>
        <v>5.253940455341705E-4</v>
      </c>
      <c r="BH251" s="2" vm="8331">
        <f ca="1"/>
        <v>154.91</v>
      </c>
      <c r="BI251" s="2">
        <f t="shared" ca="1" si="170"/>
        <v>5.7784703285286738E-3</v>
      </c>
      <c r="BJ251" s="2" vm="8227">
        <f ca="1"/>
        <v>188.89</v>
      </c>
      <c r="BK251" s="2">
        <f t="shared" ca="1" si="171"/>
        <v>3.8796768707482451E-3</v>
      </c>
      <c r="BL251" s="2" vm="7413">
        <f ca="1"/>
        <v>66.790000000000006</v>
      </c>
      <c r="BM251" s="2">
        <f t="shared" ca="1" si="172"/>
        <v>1.0438729198184751E-2</v>
      </c>
      <c r="BN251" s="2" vm="8332">
        <f ca="1"/>
        <v>296.32</v>
      </c>
      <c r="BO251" s="2">
        <f t="shared" ca="1" si="173"/>
        <v>9.4581813268468005E-4</v>
      </c>
      <c r="BP251" s="2" vm="5828">
        <f ca="1"/>
        <v>112.53</v>
      </c>
      <c r="BQ251" s="2">
        <f t="shared" ca="1" si="174"/>
        <v>-1.951219512195112E-3</v>
      </c>
      <c r="BR251" s="2" vm="8333">
        <f ca="1"/>
        <v>1191.06</v>
      </c>
      <c r="BS251" s="2">
        <f t="shared" ca="1" si="175"/>
        <v>2.3854346648786651E-2</v>
      </c>
      <c r="BT251" s="2" vm="8334">
        <f ca="1"/>
        <v>152.54</v>
      </c>
      <c r="BU251" s="2">
        <f t="shared" ca="1" si="176"/>
        <v>1.4161292467256137E-2</v>
      </c>
      <c r="BV251" s="2" vm="8335">
        <f ca="1"/>
        <v>140.79</v>
      </c>
      <c r="BW251" s="2">
        <f t="shared" ca="1" si="177"/>
        <v>7.80243378668578E-3</v>
      </c>
      <c r="BX251" s="2" vm="5699">
        <f ca="1"/>
        <v>264</v>
      </c>
      <c r="BY251" s="2">
        <f t="shared" ca="1" si="178"/>
        <v>-4.937620142474849E-3</v>
      </c>
      <c r="BZ251" s="2" vm="3245">
        <f ca="1"/>
        <v>93.12</v>
      </c>
      <c r="CA251" s="2">
        <f t="shared" ca="1" si="179"/>
        <v>-1.5011794981771452E-3</v>
      </c>
      <c r="CB251" s="2" vm="7728">
        <f ca="1"/>
        <v>29.62</v>
      </c>
      <c r="CC251" s="2">
        <f t="shared" ca="1" si="180"/>
        <v>-6.7476383265855505E-4</v>
      </c>
      <c r="CD251" s="2" t="e" vm="92">
        <f ca="1"/>
        <v>#N/A</v>
      </c>
      <c r="CE251" s="2" t="e" vm="140">
        <f t="shared" ca="1" si="181"/>
        <v>#N/A</v>
      </c>
      <c r="CF251" s="2" vm="8336">
        <f ca="1"/>
        <v>23.085000000000001</v>
      </c>
      <c r="CG251" s="2">
        <f t="shared" ca="1" si="182"/>
        <v>1.9531250000000742E-3</v>
      </c>
      <c r="CH251" s="2" vm="1869">
        <f ca="1"/>
        <v>58.74</v>
      </c>
      <c r="CI251" s="2">
        <f t="shared" ca="1" si="183"/>
        <v>5.1098620337252829E-4</v>
      </c>
      <c r="CJ251" s="2" vm="8337">
        <f ca="1"/>
        <v>59.98</v>
      </c>
      <c r="CK251" s="2">
        <f t="shared" ca="1" si="184"/>
        <v>2.0046775810223429E-3</v>
      </c>
      <c r="CL251" s="2" vm="8338">
        <f ca="1"/>
        <v>56.74</v>
      </c>
      <c r="CM251" s="2">
        <f t="shared" ca="1" si="185"/>
        <v>5.3153791637137538E-3</v>
      </c>
      <c r="CN251" s="2" vm="7758">
        <f ca="1"/>
        <v>29.58</v>
      </c>
      <c r="CO251" s="2">
        <f t="shared" ca="1" si="186"/>
        <v>1.693193362681922E-3</v>
      </c>
      <c r="CP251" s="2" vm="8339">
        <f ca="1"/>
        <v>21.224799999999998</v>
      </c>
      <c r="CQ251" s="2">
        <f t="shared" ca="1" si="187"/>
        <v>-2.5846107576200559E-3</v>
      </c>
    </row>
    <row r="252" spans="1:95" x14ac:dyDescent="0.2">
      <c r="A252" s="7" vm="8340">
        <f ca="1"/>
        <v>45938</v>
      </c>
      <c r="B252" s="2" vm="8341">
        <f ca="1"/>
        <v>258.06</v>
      </c>
      <c r="D252" s="2" vm="8342">
        <f ca="1"/>
        <v>189.11</v>
      </c>
      <c r="F252" s="2" vm="8343">
        <f ca="1"/>
        <v>524.85</v>
      </c>
      <c r="H252" s="2" vm="8344">
        <f ca="1"/>
        <v>717.84</v>
      </c>
      <c r="J252" s="2" vm="1312">
        <f ca="1"/>
        <v>244.62</v>
      </c>
      <c r="L252" s="2" vm="8345">
        <f ca="1"/>
        <v>673.11</v>
      </c>
      <c r="N252" s="2" vm="8346">
        <f ca="1"/>
        <v>89.25</v>
      </c>
      <c r="P252" s="2" vm="8347">
        <f ca="1"/>
        <v>372.3</v>
      </c>
      <c r="R252" s="2" vm="8348">
        <f ca="1"/>
        <v>73.53</v>
      </c>
      <c r="T252" s="2" vm="8349">
        <f ca="1"/>
        <v>96.38</v>
      </c>
      <c r="V252" s="2" vm="8350">
        <f ca="1"/>
        <v>47.7348</v>
      </c>
      <c r="X252" s="2" vm="8351">
        <f ca="1"/>
        <v>124.8</v>
      </c>
      <c r="Z252" s="2" vm="3219">
        <f ca="1"/>
        <v>88.97</v>
      </c>
      <c r="AB252" s="2" vm="7241">
        <f ca="1"/>
        <v>13.41</v>
      </c>
      <c r="AD252" s="2" vm="7444">
        <f ca="1"/>
        <v>4.79</v>
      </c>
      <c r="AF252" s="2" vm="8352">
        <f ca="1"/>
        <v>44.56</v>
      </c>
      <c r="AH252" s="2" vm="3896">
        <f ca="1"/>
        <v>26.64</v>
      </c>
      <c r="AJ252" s="2" vm="8326">
        <f ca="1"/>
        <v>4.0999999999999996</v>
      </c>
      <c r="AL252" s="2" vm="8353">
        <f ca="1"/>
        <v>80.09</v>
      </c>
      <c r="AN252" s="2" vm="8354">
        <f ca="1"/>
        <v>152.19999999999999</v>
      </c>
      <c r="AP252" s="2" vm="2372">
        <f ca="1"/>
        <v>26.93</v>
      </c>
      <c r="AR252" s="2" vm="422">
        <f ca="1"/>
        <v>50.96</v>
      </c>
      <c r="AT252" s="2" vm="6271">
        <f ca="1"/>
        <v>29.27</v>
      </c>
      <c r="AV252" s="2" vm="1366">
        <f ca="1"/>
        <v>26.91</v>
      </c>
      <c r="AX252" s="2" vm="968">
        <f ca="1"/>
        <v>91.53</v>
      </c>
      <c r="AZ252" s="2" vm="8355">
        <f ca="1"/>
        <v>499.84</v>
      </c>
      <c r="BB252" s="2" vm="8356">
        <f ca="1"/>
        <v>304.02999999999997</v>
      </c>
      <c r="BD252" s="2" vm="8357">
        <f ca="1"/>
        <v>49.84</v>
      </c>
      <c r="BF252" s="2" vm="8358">
        <f ca="1"/>
        <v>114.02</v>
      </c>
      <c r="BH252" s="2" vm="7254">
        <f ca="1"/>
        <v>153.74</v>
      </c>
      <c r="BJ252" s="2" vm="8359">
        <f ca="1"/>
        <v>189.69</v>
      </c>
      <c r="BL252" s="2" vm="8360">
        <f ca="1"/>
        <v>66.12</v>
      </c>
      <c r="BN252" s="2" vm="8361">
        <f ca="1"/>
        <v>294.39999999999998</v>
      </c>
      <c r="BP252" s="2" vm="8362">
        <f ca="1"/>
        <v>111.89</v>
      </c>
      <c r="BR252" s="2" vm="8363">
        <f ca="1"/>
        <v>1214.25</v>
      </c>
      <c r="BT252" s="2" vm="3066">
        <f ca="1"/>
        <v>150.69</v>
      </c>
      <c r="BV252" s="2" vm="8364">
        <f ca="1"/>
        <v>138.84</v>
      </c>
      <c r="BX252" s="2" vm="8365">
        <f ca="1"/>
        <v>262.89999999999998</v>
      </c>
      <c r="BZ252" s="2" vm="2025">
        <f ca="1"/>
        <v>92.69</v>
      </c>
      <c r="CB252" s="2" vm="8366">
        <f ca="1"/>
        <v>29.635000000000002</v>
      </c>
      <c r="CD252" s="2" t="e" vm="92">
        <f ca="1"/>
        <v>#N/A</v>
      </c>
      <c r="CF252" s="2" vm="8279">
        <f ca="1"/>
        <v>23.09</v>
      </c>
      <c r="CH252" s="2" vm="7458">
        <f ca="1"/>
        <v>58.72</v>
      </c>
      <c r="CJ252" s="2" vm="8104">
        <f ca="1"/>
        <v>59.94</v>
      </c>
      <c r="CL252" s="2" vm="8367">
        <f ca="1"/>
        <v>56.78</v>
      </c>
      <c r="CN252" s="2" vm="97">
        <f ca="1"/>
        <v>29.56</v>
      </c>
      <c r="CP252" s="2" vm="8368">
        <f ca="1"/>
        <v>21.184999999999999</v>
      </c>
    </row>
    <row r="253" spans="1:95" x14ac:dyDescent="0.2">
      <c r="AD253" s="2" vm="1276">
        <f ca="1"/>
        <v>4.8</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4" priority="47" stopIfTrue="1" operator="between">
      <formula>-0.0005</formula>
      <formula>0.0005</formula>
    </cfRule>
    <cfRule type="cellIs" dxfId="143" priority="199" stopIfTrue="1" operator="lessThan">
      <formula>0</formula>
    </cfRule>
    <cfRule type="cellIs" dxfId="142" priority="200" stopIfTrue="1" operator="greaterThan">
      <formula>0</formula>
    </cfRule>
  </conditionalFormatting>
  <conditionalFormatting sqref="E3:E251">
    <cfRule type="cellIs" dxfId="141" priority="46" stopIfTrue="1" operator="between">
      <formula>-0.0005</formula>
      <formula>0.0005</formula>
    </cfRule>
    <cfRule type="cellIs" dxfId="140" priority="201" stopIfTrue="1" operator="lessThan">
      <formula>0</formula>
    </cfRule>
    <cfRule type="cellIs" dxfId="139" priority="202" stopIfTrue="1" operator="greaterThan">
      <formula>0</formula>
    </cfRule>
  </conditionalFormatting>
  <conditionalFormatting sqref="G3:G251">
    <cfRule type="cellIs" dxfId="138" priority="45" stopIfTrue="1" operator="between">
      <formula>-0.0005</formula>
      <formula>0.0005</formula>
    </cfRule>
    <cfRule type="cellIs" dxfId="137" priority="203" stopIfTrue="1" operator="lessThan">
      <formula>0</formula>
    </cfRule>
    <cfRule type="cellIs" dxfId="136" priority="204" stopIfTrue="1" operator="greaterThan">
      <formula>0</formula>
    </cfRule>
  </conditionalFormatting>
  <conditionalFormatting sqref="I3:I251">
    <cfRule type="cellIs" dxfId="135" priority="44" stopIfTrue="1" operator="between">
      <formula>-0.0005</formula>
      <formula>0.0005</formula>
    </cfRule>
    <cfRule type="cellIs" dxfId="134" priority="205" stopIfTrue="1" operator="lessThan">
      <formula>0</formula>
    </cfRule>
    <cfRule type="cellIs" dxfId="133" priority="206" stopIfTrue="1" operator="greaterThan">
      <formula>0</formula>
    </cfRule>
  </conditionalFormatting>
  <conditionalFormatting sqref="K3:K251">
    <cfRule type="cellIs" dxfId="132" priority="43" stopIfTrue="1" operator="between">
      <formula>-0.0005</formula>
      <formula>0.0005</formula>
    </cfRule>
    <cfRule type="cellIs" dxfId="131" priority="207" stopIfTrue="1" operator="lessThan">
      <formula>0</formula>
    </cfRule>
    <cfRule type="cellIs" dxfId="130" priority="208" stopIfTrue="1" operator="greaterThan">
      <formula>0</formula>
    </cfRule>
  </conditionalFormatting>
  <conditionalFormatting sqref="M3:M251">
    <cfRule type="cellIs" dxfId="129" priority="42" stopIfTrue="1" operator="between">
      <formula>-0.0005</formula>
      <formula>0.0005</formula>
    </cfRule>
    <cfRule type="cellIs" dxfId="128" priority="209" stopIfTrue="1" operator="lessThan">
      <formula>0</formula>
    </cfRule>
    <cfRule type="cellIs" dxfId="127" priority="210" stopIfTrue="1" operator="greaterThan">
      <formula>0</formula>
    </cfRule>
  </conditionalFormatting>
  <conditionalFormatting sqref="O3:O251">
    <cfRule type="cellIs" dxfId="126" priority="41" stopIfTrue="1" operator="between">
      <formula>-0.0005</formula>
      <formula>0.0005</formula>
    </cfRule>
    <cfRule type="cellIs" dxfId="125" priority="211" stopIfTrue="1" operator="lessThan">
      <formula>0</formula>
    </cfRule>
    <cfRule type="cellIs" dxfId="124" priority="212" stopIfTrue="1" operator="greaterThan">
      <formula>0</formula>
    </cfRule>
  </conditionalFormatting>
  <conditionalFormatting sqref="Q3:Q251">
    <cfRule type="cellIs" dxfId="123" priority="40" stopIfTrue="1" operator="between">
      <formula>-0.0005</formula>
      <formula>0.0005</formula>
    </cfRule>
    <cfRule type="cellIs" dxfId="122" priority="213" stopIfTrue="1" operator="lessThan">
      <formula>0</formula>
    </cfRule>
    <cfRule type="cellIs" dxfId="121" priority="214" stopIfTrue="1" operator="greaterThan">
      <formula>0</formula>
    </cfRule>
  </conditionalFormatting>
  <conditionalFormatting sqref="S3:S251">
    <cfRule type="cellIs" dxfId="120" priority="39" stopIfTrue="1" operator="between">
      <formula>-0.0005</formula>
      <formula>0.0005</formula>
    </cfRule>
    <cfRule type="cellIs" dxfId="119" priority="215" stopIfTrue="1" operator="lessThan">
      <formula>0</formula>
    </cfRule>
    <cfRule type="cellIs" dxfId="118" priority="216" stopIfTrue="1" operator="greaterThan">
      <formula>0</formula>
    </cfRule>
  </conditionalFormatting>
  <conditionalFormatting sqref="U3:U251">
    <cfRule type="cellIs" dxfId="117" priority="38" stopIfTrue="1" operator="between">
      <formula>-0.0005</formula>
      <formula>0.0005</formula>
    </cfRule>
    <cfRule type="cellIs" dxfId="116" priority="217" stopIfTrue="1" operator="lessThan">
      <formula>0</formula>
    </cfRule>
    <cfRule type="cellIs" dxfId="115" priority="218" stopIfTrue="1" operator="greaterThan">
      <formula>0</formula>
    </cfRule>
  </conditionalFormatting>
  <conditionalFormatting sqref="W3:W251">
    <cfRule type="cellIs" dxfId="114" priority="37" stopIfTrue="1" operator="between">
      <formula>-0.0005</formula>
      <formula>0.0005</formula>
    </cfRule>
    <cfRule type="cellIs" dxfId="113" priority="219" stopIfTrue="1" operator="lessThan">
      <formula>0</formula>
    </cfRule>
    <cfRule type="cellIs" dxfId="112" priority="220" stopIfTrue="1" operator="greaterThan">
      <formula>0</formula>
    </cfRule>
  </conditionalFormatting>
  <conditionalFormatting sqref="Y3:Y251">
    <cfRule type="cellIs" dxfId="111" priority="36" stopIfTrue="1" operator="between">
      <formula>-0.0005</formula>
      <formula>0.0005</formula>
    </cfRule>
    <cfRule type="cellIs" dxfId="110" priority="221" stopIfTrue="1" operator="lessThan">
      <formula>0</formula>
    </cfRule>
    <cfRule type="cellIs" dxfId="109" priority="222" stopIfTrue="1" operator="greaterThan">
      <formula>0</formula>
    </cfRule>
  </conditionalFormatting>
  <conditionalFormatting sqref="AA3:AA251">
    <cfRule type="cellIs" dxfId="108" priority="35" stopIfTrue="1" operator="between">
      <formula>-0.0005</formula>
      <formula>0.0005</formula>
    </cfRule>
    <cfRule type="cellIs" dxfId="107" priority="223" stopIfTrue="1" operator="lessThan">
      <formula>0</formula>
    </cfRule>
    <cfRule type="cellIs" dxfId="106" priority="224" stopIfTrue="1" operator="greaterThan">
      <formula>0</formula>
    </cfRule>
  </conditionalFormatting>
  <conditionalFormatting sqref="AC3:AC251">
    <cfRule type="cellIs" dxfId="105" priority="34" stopIfTrue="1" operator="between">
      <formula>-0.0005</formula>
      <formula>0.0005</formula>
    </cfRule>
    <cfRule type="cellIs" dxfId="104" priority="225" stopIfTrue="1" operator="lessThan">
      <formula>0</formula>
    </cfRule>
    <cfRule type="cellIs" dxfId="103" priority="226" stopIfTrue="1" operator="greaterThan">
      <formula>0</formula>
    </cfRule>
  </conditionalFormatting>
  <conditionalFormatting sqref="AE3:AE251">
    <cfRule type="cellIs" dxfId="102" priority="33" stopIfTrue="1" operator="between">
      <formula>-0.0005</formula>
      <formula>0.0005</formula>
    </cfRule>
    <cfRule type="cellIs" dxfId="101" priority="227" stopIfTrue="1" operator="lessThan">
      <formula>0</formula>
    </cfRule>
    <cfRule type="cellIs" dxfId="100" priority="228" stopIfTrue="1" operator="greaterThan">
      <formula>0</formula>
    </cfRule>
  </conditionalFormatting>
  <conditionalFormatting sqref="AG3:AG251">
    <cfRule type="cellIs" dxfId="99" priority="32" stopIfTrue="1" operator="between">
      <formula>-0.0005</formula>
      <formula>0.0005</formula>
    </cfRule>
    <cfRule type="cellIs" dxfId="98" priority="229" stopIfTrue="1" operator="lessThan">
      <formula>0</formula>
    </cfRule>
    <cfRule type="cellIs" dxfId="97" priority="230" stopIfTrue="1" operator="greaterThan">
      <formula>0</formula>
    </cfRule>
  </conditionalFormatting>
  <conditionalFormatting sqref="AI3:AI251">
    <cfRule type="cellIs" dxfId="96" priority="31" stopIfTrue="1" operator="between">
      <formula>-0.0005</formula>
      <formula>0.0005</formula>
    </cfRule>
    <cfRule type="cellIs" dxfId="95" priority="231" stopIfTrue="1" operator="lessThan">
      <formula>0</formula>
    </cfRule>
    <cfRule type="cellIs" dxfId="94" priority="232" stopIfTrue="1" operator="greaterThan">
      <formula>0</formula>
    </cfRule>
  </conditionalFormatting>
  <conditionalFormatting sqref="AK3:AK251">
    <cfRule type="cellIs" dxfId="93" priority="30" stopIfTrue="1" operator="between">
      <formula>-0.0005</formula>
      <formula>0.0005</formula>
    </cfRule>
  </conditionalFormatting>
  <conditionalFormatting sqref="AK3:AK251">
    <cfRule type="cellIs" dxfId="92" priority="233" stopIfTrue="1" operator="lessThan">
      <formula>0</formula>
    </cfRule>
  </conditionalFormatting>
  <conditionalFormatting sqref="AK3:AK251">
    <cfRule type="cellIs" dxfId="91" priority="234" stopIfTrue="1" operator="greaterThan">
      <formula>0</formula>
    </cfRule>
  </conditionalFormatting>
  <conditionalFormatting sqref="AM3:AM251">
    <cfRule type="cellIs" dxfId="90" priority="29" stopIfTrue="1" operator="between">
      <formula>-0.0005</formula>
      <formula>0.0005</formula>
    </cfRule>
  </conditionalFormatting>
  <conditionalFormatting sqref="AM3:AM251">
    <cfRule type="cellIs" dxfId="89" priority="235" stopIfTrue="1" operator="lessThan">
      <formula>0</formula>
    </cfRule>
  </conditionalFormatting>
  <conditionalFormatting sqref="AM3:AM251">
    <cfRule type="cellIs" dxfId="88" priority="236" stopIfTrue="1" operator="greaterThan">
      <formula>0</formula>
    </cfRule>
  </conditionalFormatting>
  <conditionalFormatting sqref="AO3:AO251">
    <cfRule type="cellIs" dxfId="87" priority="28" stopIfTrue="1" operator="between">
      <formula>-0.0005</formula>
      <formula>0.0005</formula>
    </cfRule>
  </conditionalFormatting>
  <conditionalFormatting sqref="AO3:AO251">
    <cfRule type="cellIs" dxfId="86" priority="237" stopIfTrue="1" operator="lessThan">
      <formula>0</formula>
    </cfRule>
  </conditionalFormatting>
  <conditionalFormatting sqref="AO3:AO251">
    <cfRule type="cellIs" dxfId="85" priority="238" stopIfTrue="1" operator="greaterThan">
      <formula>0</formula>
    </cfRule>
  </conditionalFormatting>
  <conditionalFormatting sqref="AQ3:AQ251">
    <cfRule type="cellIs" dxfId="84" priority="27" stopIfTrue="1" operator="between">
      <formula>-0.0005</formula>
      <formula>0.0005</formula>
    </cfRule>
  </conditionalFormatting>
  <conditionalFormatting sqref="AQ3:AQ251">
    <cfRule type="cellIs" dxfId="83" priority="239" stopIfTrue="1" operator="lessThan">
      <formula>0</formula>
    </cfRule>
  </conditionalFormatting>
  <conditionalFormatting sqref="AQ3:AQ251">
    <cfRule type="cellIs" dxfId="82" priority="240" stopIfTrue="1" operator="greaterThan">
      <formula>0</formula>
    </cfRule>
  </conditionalFormatting>
  <conditionalFormatting sqref="AS3:AS251">
    <cfRule type="cellIs" dxfId="81" priority="26" stopIfTrue="1" operator="between">
      <formula>-0.0005</formula>
      <formula>0.0005</formula>
    </cfRule>
  </conditionalFormatting>
  <conditionalFormatting sqref="AS3:AS251">
    <cfRule type="cellIs" dxfId="80" priority="241" stopIfTrue="1" operator="lessThan">
      <formula>0</formula>
    </cfRule>
  </conditionalFormatting>
  <conditionalFormatting sqref="AS3:AS251">
    <cfRule type="cellIs" dxfId="79" priority="242" stopIfTrue="1" operator="greaterThan">
      <formula>0</formula>
    </cfRule>
  </conditionalFormatting>
  <conditionalFormatting sqref="AU3:AU251">
    <cfRule type="cellIs" dxfId="78" priority="25" stopIfTrue="1" operator="between">
      <formula>-0.0005</formula>
      <formula>0.0005</formula>
    </cfRule>
  </conditionalFormatting>
  <conditionalFormatting sqref="AU3:AU251">
    <cfRule type="cellIs" dxfId="77" priority="243" stopIfTrue="1" operator="lessThan">
      <formula>0</formula>
    </cfRule>
  </conditionalFormatting>
  <conditionalFormatting sqref="AU3:AU251">
    <cfRule type="cellIs" dxfId="76" priority="244" stopIfTrue="1" operator="greaterThan">
      <formula>0</formula>
    </cfRule>
  </conditionalFormatting>
  <conditionalFormatting sqref="AW3:AW251">
    <cfRule type="cellIs" dxfId="75" priority="24" stopIfTrue="1" operator="between">
      <formula>-0.0005</formula>
      <formula>0.0005</formula>
    </cfRule>
  </conditionalFormatting>
  <conditionalFormatting sqref="AW3:AW251">
    <cfRule type="cellIs" dxfId="74" priority="245" stopIfTrue="1" operator="lessThan">
      <formula>0</formula>
    </cfRule>
  </conditionalFormatting>
  <conditionalFormatting sqref="AW3:AW251">
    <cfRule type="cellIs" dxfId="73" priority="246" stopIfTrue="1" operator="greaterThan">
      <formula>0</formula>
    </cfRule>
  </conditionalFormatting>
  <conditionalFormatting sqref="AY3:AY251">
    <cfRule type="cellIs" dxfId="72" priority="23" stopIfTrue="1" operator="between">
      <formula>-0.0005</formula>
      <formula>0.0005</formula>
    </cfRule>
  </conditionalFormatting>
  <conditionalFormatting sqref="AY3:AY251">
    <cfRule type="cellIs" dxfId="71" priority="247" stopIfTrue="1" operator="lessThan">
      <formula>0</formula>
    </cfRule>
  </conditionalFormatting>
  <conditionalFormatting sqref="AY3:AY251">
    <cfRule type="cellIs" dxfId="70" priority="248" stopIfTrue="1" operator="greaterThan">
      <formula>0</formula>
    </cfRule>
  </conditionalFormatting>
  <conditionalFormatting sqref="BA3:BA251">
    <cfRule type="cellIs" dxfId="69" priority="22" stopIfTrue="1" operator="between">
      <formula>-0.0005</formula>
      <formula>0.0005</formula>
    </cfRule>
  </conditionalFormatting>
  <conditionalFormatting sqref="BA3:BA251">
    <cfRule type="cellIs" dxfId="68" priority="249" stopIfTrue="1" operator="lessThan">
      <formula>0</formula>
    </cfRule>
  </conditionalFormatting>
  <conditionalFormatting sqref="BA3:BA251">
    <cfRule type="cellIs" dxfId="67" priority="250" stopIfTrue="1" operator="greaterThan">
      <formula>0</formula>
    </cfRule>
  </conditionalFormatting>
  <conditionalFormatting sqref="BC3:BC251">
    <cfRule type="cellIs" dxfId="66" priority="21" stopIfTrue="1" operator="between">
      <formula>-0.0005</formula>
      <formula>0.0005</formula>
    </cfRule>
  </conditionalFormatting>
  <conditionalFormatting sqref="BC3:BC251">
    <cfRule type="cellIs" dxfId="65" priority="251" stopIfTrue="1" operator="lessThan">
      <formula>0</formula>
    </cfRule>
  </conditionalFormatting>
  <conditionalFormatting sqref="BC3:BC251">
    <cfRule type="cellIs" dxfId="64" priority="252" stopIfTrue="1" operator="greaterThan">
      <formula>0</formula>
    </cfRule>
  </conditionalFormatting>
  <conditionalFormatting sqref="BE3:BE251">
    <cfRule type="cellIs" dxfId="63" priority="20" stopIfTrue="1" operator="between">
      <formula>-0.0005</formula>
      <formula>0.0005</formula>
    </cfRule>
  </conditionalFormatting>
  <conditionalFormatting sqref="BE3:BE251">
    <cfRule type="cellIs" dxfId="62" priority="253" stopIfTrue="1" operator="lessThan">
      <formula>0</formula>
    </cfRule>
  </conditionalFormatting>
  <conditionalFormatting sqref="BE3:BE251">
    <cfRule type="cellIs" dxfId="61" priority="254" stopIfTrue="1" operator="greaterThan">
      <formula>0</formula>
    </cfRule>
  </conditionalFormatting>
  <conditionalFormatting sqref="BG3:BG251">
    <cfRule type="cellIs" dxfId="60" priority="19" stopIfTrue="1" operator="between">
      <formula>-0.0005</formula>
      <formula>0.0005</formula>
    </cfRule>
  </conditionalFormatting>
  <conditionalFormatting sqref="BG3:BG251">
    <cfRule type="cellIs" dxfId="59" priority="255" stopIfTrue="1" operator="lessThan">
      <formula>0</formula>
    </cfRule>
  </conditionalFormatting>
  <conditionalFormatting sqref="BG3:BG251">
    <cfRule type="cellIs" dxfId="58" priority="256" stopIfTrue="1" operator="greaterThan">
      <formula>0</formula>
    </cfRule>
  </conditionalFormatting>
  <conditionalFormatting sqref="BI3:BI251">
    <cfRule type="cellIs" dxfId="57" priority="18" stopIfTrue="1" operator="between">
      <formula>-0.0005</formula>
      <formula>0.0005</formula>
    </cfRule>
  </conditionalFormatting>
  <conditionalFormatting sqref="BI3:BI251">
    <cfRule type="cellIs" dxfId="56" priority="257" stopIfTrue="1" operator="lessThan">
      <formula>0</formula>
    </cfRule>
  </conditionalFormatting>
  <conditionalFormatting sqref="BI3:BI251">
    <cfRule type="cellIs" dxfId="55" priority="258" stopIfTrue="1" operator="greaterThan">
      <formula>0</formula>
    </cfRule>
  </conditionalFormatting>
  <conditionalFormatting sqref="BK3:BK251">
    <cfRule type="cellIs" dxfId="54" priority="17" stopIfTrue="1" operator="between">
      <formula>-0.0005</formula>
      <formula>0.0005</formula>
    </cfRule>
  </conditionalFormatting>
  <conditionalFormatting sqref="BK3:BK251">
    <cfRule type="cellIs" dxfId="53" priority="259" stopIfTrue="1" operator="lessThan">
      <formula>0</formula>
    </cfRule>
  </conditionalFormatting>
  <conditionalFormatting sqref="BK3:BK251">
    <cfRule type="cellIs" dxfId="52" priority="260" stopIfTrue="1" operator="greaterThan">
      <formula>0</formula>
    </cfRule>
  </conditionalFormatting>
  <conditionalFormatting sqref="BM3:BM251">
    <cfRule type="cellIs" dxfId="51" priority="16" stopIfTrue="1" operator="between">
      <formula>-0.0005</formula>
      <formula>0.0005</formula>
    </cfRule>
  </conditionalFormatting>
  <conditionalFormatting sqref="BM3:BM251">
    <cfRule type="cellIs" dxfId="50" priority="261" stopIfTrue="1" operator="lessThan">
      <formula>0</formula>
    </cfRule>
  </conditionalFormatting>
  <conditionalFormatting sqref="BM3:BM251">
    <cfRule type="cellIs" dxfId="49" priority="262" stopIfTrue="1" operator="greaterThan">
      <formula>0</formula>
    </cfRule>
  </conditionalFormatting>
  <conditionalFormatting sqref="BO3:BO251">
    <cfRule type="cellIs" dxfId="48" priority="15" stopIfTrue="1" operator="between">
      <formula>-0.0005</formula>
      <formula>0.0005</formula>
    </cfRule>
  </conditionalFormatting>
  <conditionalFormatting sqref="BO3:BO251">
    <cfRule type="cellIs" dxfId="47" priority="263" stopIfTrue="1" operator="lessThan">
      <formula>0</formula>
    </cfRule>
  </conditionalFormatting>
  <conditionalFormatting sqref="BO3:BO251">
    <cfRule type="cellIs" dxfId="46" priority="264" stopIfTrue="1" operator="greaterThan">
      <formula>0</formula>
    </cfRule>
  </conditionalFormatting>
  <conditionalFormatting sqref="BQ3:BQ251">
    <cfRule type="cellIs" dxfId="45" priority="14" stopIfTrue="1" operator="between">
      <formula>-0.0005</formula>
      <formula>0.0005</formula>
    </cfRule>
  </conditionalFormatting>
  <conditionalFormatting sqref="BQ3:BQ251">
    <cfRule type="cellIs" dxfId="44" priority="265" stopIfTrue="1" operator="lessThan">
      <formula>0</formula>
    </cfRule>
  </conditionalFormatting>
  <conditionalFormatting sqref="BQ3:BQ251">
    <cfRule type="cellIs" dxfId="43" priority="266" stopIfTrue="1" operator="greaterThan">
      <formula>0</formula>
    </cfRule>
  </conditionalFormatting>
  <conditionalFormatting sqref="BS3:BS251">
    <cfRule type="cellIs" dxfId="42" priority="13" stopIfTrue="1" operator="between">
      <formula>-0.0005</formula>
      <formula>0.0005</formula>
    </cfRule>
  </conditionalFormatting>
  <conditionalFormatting sqref="BS3:BS251">
    <cfRule type="cellIs" dxfId="41" priority="267" stopIfTrue="1" operator="lessThan">
      <formula>0</formula>
    </cfRule>
  </conditionalFormatting>
  <conditionalFormatting sqref="BS3:BS251">
    <cfRule type="cellIs" dxfId="40" priority="268" stopIfTrue="1" operator="greaterThan">
      <formula>0</formula>
    </cfRule>
  </conditionalFormatting>
  <conditionalFormatting sqref="BU3:BU251">
    <cfRule type="cellIs" dxfId="39" priority="12" stopIfTrue="1" operator="between">
      <formula>-0.0005</formula>
      <formula>0.0005</formula>
    </cfRule>
  </conditionalFormatting>
  <conditionalFormatting sqref="BU3:BU251">
    <cfRule type="cellIs" dxfId="38" priority="269" stopIfTrue="1" operator="lessThan">
      <formula>0</formula>
    </cfRule>
  </conditionalFormatting>
  <conditionalFormatting sqref="BU3:BU251">
    <cfRule type="cellIs" dxfId="37" priority="270" stopIfTrue="1" operator="greaterThan">
      <formula>0</formula>
    </cfRule>
  </conditionalFormatting>
  <conditionalFormatting sqref="BW3:BW251">
    <cfRule type="cellIs" dxfId="36" priority="11" stopIfTrue="1" operator="between">
      <formula>-0.0005</formula>
      <formula>0.0005</formula>
    </cfRule>
  </conditionalFormatting>
  <conditionalFormatting sqref="BW3:BW251">
    <cfRule type="cellIs" dxfId="35" priority="271" stopIfTrue="1" operator="lessThan">
      <formula>0</formula>
    </cfRule>
  </conditionalFormatting>
  <conditionalFormatting sqref="BW3:BW251">
    <cfRule type="cellIs" dxfId="34" priority="272" stopIfTrue="1" operator="greaterThan">
      <formula>0</formula>
    </cfRule>
  </conditionalFormatting>
  <conditionalFormatting sqref="BY3:BY251">
    <cfRule type="cellIs" dxfId="33" priority="10" stopIfTrue="1" operator="between">
      <formula>-0.0005</formula>
      <formula>0.0005</formula>
    </cfRule>
  </conditionalFormatting>
  <conditionalFormatting sqref="BY3:BY251">
    <cfRule type="cellIs" dxfId="32" priority="273" stopIfTrue="1" operator="lessThan">
      <formula>0</formula>
    </cfRule>
  </conditionalFormatting>
  <conditionalFormatting sqref="BY3:BY251">
    <cfRule type="cellIs" dxfId="31" priority="274" stopIfTrue="1" operator="greaterThan">
      <formula>0</formula>
    </cfRule>
  </conditionalFormatting>
  <conditionalFormatting sqref="CA3:CA251">
    <cfRule type="cellIs" dxfId="30" priority="9" stopIfTrue="1" operator="between">
      <formula>-0.0005</formula>
      <formula>0.0005</formula>
    </cfRule>
  </conditionalFormatting>
  <conditionalFormatting sqref="CA3:CA251">
    <cfRule type="cellIs" dxfId="29" priority="275" stopIfTrue="1" operator="lessThan">
      <formula>0</formula>
    </cfRule>
  </conditionalFormatting>
  <conditionalFormatting sqref="CA3:CA251">
    <cfRule type="cellIs" dxfId="28" priority="276" stopIfTrue="1" operator="greaterThan">
      <formula>0</formula>
    </cfRule>
  </conditionalFormatting>
  <conditionalFormatting sqref="CC3:CC251">
    <cfRule type="cellIs" dxfId="27" priority="8" stopIfTrue="1" operator="between">
      <formula>-0.0005</formula>
      <formula>0.0005</formula>
    </cfRule>
  </conditionalFormatting>
  <conditionalFormatting sqref="CC3:CC251">
    <cfRule type="cellIs" dxfId="26" priority="277" stopIfTrue="1" operator="lessThan">
      <formula>0</formula>
    </cfRule>
  </conditionalFormatting>
  <conditionalFormatting sqref="CC3:CC251">
    <cfRule type="cellIs" dxfId="25" priority="278" stopIfTrue="1" operator="greaterThan">
      <formula>0</formula>
    </cfRule>
  </conditionalFormatting>
  <conditionalFormatting sqref="CE3:CE251">
    <cfRule type="cellIs" dxfId="24" priority="7" stopIfTrue="1" operator="between">
      <formula>-0.0005</formula>
      <formula>0.0005</formula>
    </cfRule>
  </conditionalFormatting>
  <conditionalFormatting sqref="CE3:CE251">
    <cfRule type="cellIs" dxfId="23" priority="279" stopIfTrue="1" operator="lessThan">
      <formula>0</formula>
    </cfRule>
  </conditionalFormatting>
  <conditionalFormatting sqref="CE3:CE251">
    <cfRule type="cellIs" dxfId="22" priority="280" stopIfTrue="1" operator="greaterThan">
      <formula>0</formula>
    </cfRule>
  </conditionalFormatting>
  <conditionalFormatting sqref="CG3:CG251">
    <cfRule type="cellIs" dxfId="21" priority="6" stopIfTrue="1" operator="between">
      <formula>-0.0005</formula>
      <formula>0.0005</formula>
    </cfRule>
  </conditionalFormatting>
  <conditionalFormatting sqref="CG3:CG251">
    <cfRule type="cellIs" dxfId="20" priority="281" stopIfTrue="1" operator="lessThan">
      <formula>0</formula>
    </cfRule>
  </conditionalFormatting>
  <conditionalFormatting sqref="CG3:CG251">
    <cfRule type="cellIs" dxfId="19" priority="282" stopIfTrue="1" operator="greaterThan">
      <formula>0</formula>
    </cfRule>
  </conditionalFormatting>
  <conditionalFormatting sqref="CI3:CI251">
    <cfRule type="cellIs" dxfId="18" priority="5" stopIfTrue="1" operator="between">
      <formula>-0.0005</formula>
      <formula>0.0005</formula>
    </cfRule>
  </conditionalFormatting>
  <conditionalFormatting sqref="CI3:CI251">
    <cfRule type="cellIs" dxfId="17" priority="283" stopIfTrue="1" operator="lessThan">
      <formula>0</formula>
    </cfRule>
  </conditionalFormatting>
  <conditionalFormatting sqref="CI3:CI251">
    <cfRule type="cellIs" dxfId="16" priority="284" stopIfTrue="1" operator="greaterThan">
      <formula>0</formula>
    </cfRule>
  </conditionalFormatting>
  <conditionalFormatting sqref="CK3:CK251">
    <cfRule type="cellIs" dxfId="15" priority="4" stopIfTrue="1" operator="between">
      <formula>-0.0005</formula>
      <formula>0.0005</formula>
    </cfRule>
  </conditionalFormatting>
  <conditionalFormatting sqref="CK3:CK251">
    <cfRule type="cellIs" dxfId="14" priority="285" stopIfTrue="1" operator="lessThan">
      <formula>0</formula>
    </cfRule>
  </conditionalFormatting>
  <conditionalFormatting sqref="CK3:CK251">
    <cfRule type="cellIs" dxfId="13" priority="286" stopIfTrue="1" operator="greaterThan">
      <formula>0</formula>
    </cfRule>
  </conditionalFormatting>
  <conditionalFormatting sqref="CM3:CM251">
    <cfRule type="cellIs" dxfId="12" priority="3" stopIfTrue="1" operator="between">
      <formula>-0.0005</formula>
      <formula>0.0005</formula>
    </cfRule>
  </conditionalFormatting>
  <conditionalFormatting sqref="CM3:CM251">
    <cfRule type="cellIs" dxfId="11" priority="287" stopIfTrue="1" operator="lessThan">
      <formula>0</formula>
    </cfRule>
  </conditionalFormatting>
  <conditionalFormatting sqref="CM3:CM251">
    <cfRule type="cellIs" dxfId="10" priority="288" stopIfTrue="1" operator="greaterThan">
      <formula>0</formula>
    </cfRule>
  </conditionalFormatting>
  <conditionalFormatting sqref="CO3:CO251">
    <cfRule type="cellIs" dxfId="9" priority="2" stopIfTrue="1" operator="between">
      <formula>-0.0005</formula>
      <formula>0.0005</formula>
    </cfRule>
  </conditionalFormatting>
  <conditionalFormatting sqref="CO3:CO251">
    <cfRule type="cellIs" dxfId="8" priority="289" stopIfTrue="1" operator="lessThan">
      <formula>0</formula>
    </cfRule>
  </conditionalFormatting>
  <conditionalFormatting sqref="CO3:CO251">
    <cfRule type="cellIs" dxfId="7" priority="290" stopIfTrue="1" operator="greaterThan">
      <formula>0</formula>
    </cfRule>
  </conditionalFormatting>
  <conditionalFormatting sqref="CQ3:CQ251">
    <cfRule type="cellIs" dxfId="6" priority="1" stopIfTrue="1" operator="between">
      <formula>-0.0005</formula>
      <formula>0.0005</formula>
    </cfRule>
  </conditionalFormatting>
  <conditionalFormatting sqref="CQ3:CQ251">
    <cfRule type="cellIs" dxfId="5" priority="291" stopIfTrue="1" operator="lessThan">
      <formula>0</formula>
    </cfRule>
  </conditionalFormatting>
  <conditionalFormatting sqref="CQ3:CQ251">
    <cfRule type="cellIs" dxfId="4"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topLeftCell="A7" zoomScale="108" workbookViewId="0">
      <selection activeCell="B22" sqref="B22:B27"/>
    </sheetView>
  </sheetViews>
  <sheetFormatPr baseColWidth="10" defaultColWidth="10.83203125" defaultRowHeight="16" x14ac:dyDescent="0.2"/>
  <cols>
    <col min="1" max="1" width="18.33203125" style="24" customWidth="1"/>
    <col min="2" max="2" width="15.5" style="20" customWidth="1"/>
    <col min="3" max="3" width="21.5" style="20" customWidth="1"/>
    <col min="4" max="4" width="20.83203125" style="20" customWidth="1"/>
    <col min="5" max="16384" width="10.83203125" style="20"/>
  </cols>
  <sheetData>
    <row r="1" spans="1:4" s="23" customFormat="1" ht="35" customHeight="1" x14ac:dyDescent="0.2">
      <c r="A1" s="22" t="s">
        <v>28</v>
      </c>
      <c r="B1" s="22" t="s">
        <v>26</v>
      </c>
      <c r="C1" s="22" t="s">
        <v>27</v>
      </c>
      <c r="D1" s="23" t="s">
        <v>33</v>
      </c>
    </row>
    <row r="2" spans="1:4" x14ac:dyDescent="0.2">
      <c r="A2" s="24" t="s">
        <v>29</v>
      </c>
      <c r="B2" s="20" t="s">
        <v>3</v>
      </c>
      <c r="C2" s="20">
        <v>-12</v>
      </c>
      <c r="D2" s="21">
        <v>45931.999768518515</v>
      </c>
    </row>
    <row r="3" spans="1:4" x14ac:dyDescent="0.2">
      <c r="A3" s="24" t="s">
        <v>29</v>
      </c>
      <c r="B3" s="20" t="s">
        <v>7</v>
      </c>
      <c r="C3" s="20">
        <v>3</v>
      </c>
      <c r="D3" s="21">
        <v>45931.999768518515</v>
      </c>
    </row>
    <row r="4" spans="1:4" x14ac:dyDescent="0.2">
      <c r="A4" s="24" t="s">
        <v>29</v>
      </c>
      <c r="B4" s="20" t="s">
        <v>5</v>
      </c>
      <c r="C4" s="20">
        <v>-45</v>
      </c>
      <c r="D4" s="21">
        <v>45931.999768518515</v>
      </c>
    </row>
    <row r="5" spans="1:4" x14ac:dyDescent="0.2">
      <c r="A5" s="24" t="s">
        <v>29</v>
      </c>
      <c r="B5" s="20" t="s">
        <v>4</v>
      </c>
      <c r="C5" s="20">
        <v>12</v>
      </c>
      <c r="D5" s="21">
        <v>45931.999768518515</v>
      </c>
    </row>
    <row r="6" spans="1:4" x14ac:dyDescent="0.2">
      <c r="A6" s="24" t="s">
        <v>35</v>
      </c>
      <c r="B6" s="20" t="s">
        <v>3</v>
      </c>
      <c r="C6" s="20">
        <v>12</v>
      </c>
      <c r="D6" s="21">
        <v>45932.5155787037</v>
      </c>
    </row>
    <row r="7" spans="1:4" x14ac:dyDescent="0.2">
      <c r="A7" s="24" t="s">
        <v>35</v>
      </c>
      <c r="B7" s="20" t="s">
        <v>5</v>
      </c>
      <c r="C7" s="20">
        <v>15</v>
      </c>
      <c r="D7" s="21">
        <v>45932.5155787037</v>
      </c>
    </row>
    <row r="8" spans="1:4" x14ac:dyDescent="0.2">
      <c r="A8" s="24" t="s">
        <v>36</v>
      </c>
      <c r="B8" s="20" t="s">
        <v>3</v>
      </c>
      <c r="C8" s="20">
        <v>15</v>
      </c>
      <c r="D8" s="21">
        <v>45932.550798611112</v>
      </c>
    </row>
    <row r="9" spans="1:4" x14ac:dyDescent="0.2">
      <c r="A9" s="24" t="s">
        <v>36</v>
      </c>
      <c r="B9" s="20" t="s">
        <v>7</v>
      </c>
      <c r="C9" s="20">
        <v>52</v>
      </c>
      <c r="D9" s="21">
        <v>45932.550810185188</v>
      </c>
    </row>
    <row r="10" spans="1:4" x14ac:dyDescent="0.2">
      <c r="A10" s="24" t="s">
        <v>36</v>
      </c>
      <c r="B10" s="20" t="s">
        <v>6</v>
      </c>
      <c r="C10" s="20">
        <v>12</v>
      </c>
      <c r="D10" s="21">
        <v>45932.550810185188</v>
      </c>
    </row>
    <row r="11" spans="1:4" x14ac:dyDescent="0.2">
      <c r="A11" s="24" t="s">
        <v>37</v>
      </c>
      <c r="B11" s="20" t="s">
        <v>3</v>
      </c>
      <c r="C11" s="20">
        <v>-12</v>
      </c>
      <c r="D11" s="21">
        <v>45932.554444444446</v>
      </c>
    </row>
    <row r="12" spans="1:4" x14ac:dyDescent="0.2">
      <c r="A12" s="24" t="s">
        <v>37</v>
      </c>
      <c r="B12" s="20" t="s">
        <v>4</v>
      </c>
      <c r="C12" s="20">
        <v>-43</v>
      </c>
      <c r="D12" s="21">
        <v>45932.554456018515</v>
      </c>
    </row>
    <row r="13" spans="1:4" x14ac:dyDescent="0.2">
      <c r="A13" s="24" t="s">
        <v>38</v>
      </c>
      <c r="B13" s="20" t="s">
        <v>7</v>
      </c>
      <c r="C13" s="20">
        <v>10</v>
      </c>
      <c r="D13" s="21">
        <v>45938.982928240737</v>
      </c>
    </row>
    <row r="14" spans="1:4" x14ac:dyDescent="0.2">
      <c r="A14" s="24" t="s">
        <v>38</v>
      </c>
      <c r="B14" s="20" t="s">
        <v>6</v>
      </c>
      <c r="C14" s="20">
        <v>300</v>
      </c>
      <c r="D14" s="21">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2"/>
  <sheetViews>
    <sheetView zoomScale="117" workbookViewId="0">
      <selection activeCell="H11" sqref="H11"/>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6640625" style="34" bestFit="1" customWidth="1"/>
    <col min="5" max="5" width="13.1640625" style="32" bestFit="1" customWidth="1"/>
    <col min="6" max="6" width="9.6640625" bestFit="1" customWidth="1"/>
    <col min="7" max="7" width="8.83203125" customWidth="1"/>
    <col min="8" max="8" width="9.33203125" customWidth="1"/>
  </cols>
  <sheetData>
    <row r="1" spans="1:5" ht="32" customHeight="1" x14ac:dyDescent="0.2">
      <c r="A1" t="s">
        <v>8</v>
      </c>
      <c r="B1" t="s">
        <v>1</v>
      </c>
      <c r="C1" t="s">
        <v>9</v>
      </c>
      <c r="D1" s="34" t="s">
        <v>72</v>
      </c>
      <c r="E1" s="32" t="s">
        <v>10</v>
      </c>
    </row>
    <row r="3" spans="1:5" x14ac:dyDescent="0.2">
      <c r="A3" s="30" t="s">
        <v>39</v>
      </c>
    </row>
    <row r="4" spans="1:5" s="30" customFormat="1" x14ac:dyDescent="0.2">
      <c r="D4" s="35"/>
      <c r="E4" s="33"/>
    </row>
    <row r="5" spans="1:5" x14ac:dyDescent="0.2">
      <c r="A5" t="s">
        <v>15</v>
      </c>
      <c r="B5" t="s">
        <v>3</v>
      </c>
      <c r="C5" s="31">
        <v>-0.12</v>
      </c>
      <c r="D5" s="34">
        <v>-240</v>
      </c>
      <c r="E5" s="32">
        <v>-12</v>
      </c>
    </row>
    <row r="6" spans="1:5" x14ac:dyDescent="0.2">
      <c r="A6" t="s">
        <v>21</v>
      </c>
      <c r="B6" t="s">
        <v>3</v>
      </c>
      <c r="C6" s="31">
        <v>-0.12</v>
      </c>
      <c r="D6" s="34">
        <v>-120</v>
      </c>
      <c r="E6" s="32">
        <v>-12</v>
      </c>
    </row>
    <row r="7" spans="1:5" x14ac:dyDescent="0.2">
      <c r="A7" t="s">
        <v>22</v>
      </c>
      <c r="B7" t="s">
        <v>3</v>
      </c>
      <c r="C7" s="31">
        <v>-0.12</v>
      </c>
      <c r="D7" s="34">
        <v>-2760</v>
      </c>
      <c r="E7" s="32">
        <v>-12</v>
      </c>
    </row>
    <row r="8" spans="1:5" x14ac:dyDescent="0.2">
      <c r="A8" t="s">
        <v>23</v>
      </c>
      <c r="B8" t="s">
        <v>3</v>
      </c>
      <c r="C8" s="31">
        <v>-0.12</v>
      </c>
      <c r="D8" s="34">
        <v>-180</v>
      </c>
      <c r="E8" s="32">
        <v>-12</v>
      </c>
    </row>
    <row r="9" spans="1:5" x14ac:dyDescent="0.2">
      <c r="A9" t="s">
        <v>31</v>
      </c>
      <c r="B9" t="s">
        <v>4</v>
      </c>
      <c r="C9" s="31">
        <v>0.12</v>
      </c>
      <c r="D9" s="34">
        <v>1440</v>
      </c>
      <c r="E9" s="32">
        <v>12</v>
      </c>
    </row>
    <row r="10" spans="1:5" x14ac:dyDescent="0.2">
      <c r="A10" t="s">
        <v>32</v>
      </c>
      <c r="B10" t="s">
        <v>5</v>
      </c>
      <c r="C10" s="31">
        <v>-0.45</v>
      </c>
      <c r="D10" s="34">
        <v>-4050</v>
      </c>
      <c r="E10" s="32">
        <v>-45</v>
      </c>
    </row>
    <row r="11" spans="1:5" x14ac:dyDescent="0.2">
      <c r="A11" t="s">
        <v>73</v>
      </c>
      <c r="B11" t="s">
        <v>3</v>
      </c>
      <c r="C11" s="31">
        <v>-0.12</v>
      </c>
      <c r="D11" s="34">
        <v>-48</v>
      </c>
      <c r="E11" s="32">
        <v>-12</v>
      </c>
    </row>
    <row r="12" spans="1:5" x14ac:dyDescent="0.2">
      <c r="A12" t="s">
        <v>88</v>
      </c>
      <c r="B12" t="s">
        <v>7</v>
      </c>
      <c r="C12" s="31">
        <v>0.03</v>
      </c>
      <c r="D12" s="34">
        <v>6</v>
      </c>
      <c r="E12" s="32">
        <v>3</v>
      </c>
    </row>
    <row r="13" spans="1:5" x14ac:dyDescent="0.2">
      <c r="A13" t="s">
        <v>31</v>
      </c>
      <c r="B13" t="s">
        <v>4</v>
      </c>
      <c r="C13" s="31">
        <v>0.12</v>
      </c>
      <c r="D13" s="34">
        <v>12</v>
      </c>
      <c r="E13" s="32">
        <v>12</v>
      </c>
    </row>
    <row r="14" spans="1:5" s="30" customFormat="1" x14ac:dyDescent="0.2">
      <c r="A14" s="30" t="s">
        <v>40</v>
      </c>
      <c r="D14" s="35">
        <v>-5940</v>
      </c>
      <c r="E14" s="33">
        <v>-12.07</v>
      </c>
    </row>
    <row r="16" spans="1:5" x14ac:dyDescent="0.2">
      <c r="A16" s="30" t="s">
        <v>41</v>
      </c>
    </row>
    <row r="17" spans="1:5" s="30" customFormat="1" x14ac:dyDescent="0.2">
      <c r="D17" s="35"/>
      <c r="E17" s="33"/>
    </row>
    <row r="18" spans="1:5" x14ac:dyDescent="0.2">
      <c r="A18" t="s">
        <v>15</v>
      </c>
      <c r="B18" t="s">
        <v>3</v>
      </c>
      <c r="C18" s="31">
        <v>0.12</v>
      </c>
      <c r="D18" s="34">
        <v>240</v>
      </c>
      <c r="E18" s="32">
        <v>12</v>
      </c>
    </row>
    <row r="19" spans="1:5" x14ac:dyDescent="0.2">
      <c r="A19" t="s">
        <v>21</v>
      </c>
      <c r="B19" t="s">
        <v>3</v>
      </c>
      <c r="C19" s="31">
        <v>0.12</v>
      </c>
      <c r="D19" s="34">
        <v>120</v>
      </c>
      <c r="E19" s="32">
        <v>12</v>
      </c>
    </row>
    <row r="20" spans="1:5" x14ac:dyDescent="0.2">
      <c r="A20" t="s">
        <v>22</v>
      </c>
      <c r="B20" t="s">
        <v>3</v>
      </c>
      <c r="C20" s="31">
        <v>0.12</v>
      </c>
      <c r="D20" s="34">
        <v>2760</v>
      </c>
      <c r="E20" s="32">
        <v>12</v>
      </c>
    </row>
    <row r="21" spans="1:5" x14ac:dyDescent="0.2">
      <c r="A21" t="s">
        <v>23</v>
      </c>
      <c r="B21" t="s">
        <v>3</v>
      </c>
      <c r="C21" s="31">
        <v>0.12</v>
      </c>
      <c r="D21" s="34">
        <v>180</v>
      </c>
      <c r="E21" s="32">
        <v>12</v>
      </c>
    </row>
    <row r="22" spans="1:5" x14ac:dyDescent="0.2">
      <c r="A22" t="s">
        <v>32</v>
      </c>
      <c r="B22" t="s">
        <v>5</v>
      </c>
      <c r="C22" s="31">
        <v>0.15</v>
      </c>
      <c r="D22" s="34">
        <v>1350</v>
      </c>
      <c r="E22" s="32">
        <v>15</v>
      </c>
    </row>
    <row r="23" spans="1:5" x14ac:dyDescent="0.2">
      <c r="A23" t="s">
        <v>73</v>
      </c>
      <c r="B23" t="s">
        <v>3</v>
      </c>
      <c r="C23" s="31">
        <v>0.12</v>
      </c>
      <c r="D23" s="34">
        <v>48</v>
      </c>
      <c r="E23" s="32">
        <v>12</v>
      </c>
    </row>
    <row r="24" spans="1:5" s="30" customFormat="1" x14ac:dyDescent="0.2">
      <c r="A24" s="30" t="s">
        <v>42</v>
      </c>
      <c r="D24" s="35">
        <v>4698</v>
      </c>
      <c r="E24" s="33">
        <v>12.73</v>
      </c>
    </row>
    <row r="26" spans="1:5" x14ac:dyDescent="0.2">
      <c r="A26" s="30" t="s">
        <v>43</v>
      </c>
    </row>
    <row r="27" spans="1:5" s="30" customFormat="1" x14ac:dyDescent="0.2">
      <c r="D27" s="35"/>
      <c r="E27" s="33"/>
    </row>
    <row r="28" spans="1:5" x14ac:dyDescent="0.2">
      <c r="A28" t="s">
        <v>15</v>
      </c>
      <c r="B28" t="s">
        <v>3</v>
      </c>
      <c r="C28" s="31">
        <v>0.15</v>
      </c>
      <c r="D28" s="34">
        <v>300</v>
      </c>
      <c r="E28" s="32">
        <v>15</v>
      </c>
    </row>
    <row r="29" spans="1:5" x14ac:dyDescent="0.2">
      <c r="A29" t="s">
        <v>21</v>
      </c>
      <c r="B29" t="s">
        <v>3</v>
      </c>
      <c r="C29" s="31">
        <v>0.15</v>
      </c>
      <c r="D29" s="34">
        <v>150</v>
      </c>
      <c r="E29" s="32">
        <v>15</v>
      </c>
    </row>
    <row r="30" spans="1:5" x14ac:dyDescent="0.2">
      <c r="A30" t="s">
        <v>22</v>
      </c>
      <c r="B30" t="s">
        <v>3</v>
      </c>
      <c r="C30" s="31">
        <v>0.15</v>
      </c>
      <c r="D30" s="34">
        <v>3450</v>
      </c>
      <c r="E30" s="32">
        <v>15</v>
      </c>
    </row>
    <row r="31" spans="1:5" x14ac:dyDescent="0.2">
      <c r="A31" t="s">
        <v>23</v>
      </c>
      <c r="B31" t="s">
        <v>3</v>
      </c>
      <c r="C31" s="31">
        <v>0.15</v>
      </c>
      <c r="D31" s="34">
        <v>225</v>
      </c>
      <c r="E31" s="32">
        <v>15</v>
      </c>
    </row>
    <row r="32" spans="1:5" x14ac:dyDescent="0.2">
      <c r="A32" t="s">
        <v>30</v>
      </c>
      <c r="B32" t="s">
        <v>6</v>
      </c>
      <c r="C32" s="31">
        <v>0.12</v>
      </c>
      <c r="D32" s="34">
        <v>360</v>
      </c>
      <c r="E32" s="32">
        <v>12</v>
      </c>
    </row>
    <row r="33" spans="1:5" x14ac:dyDescent="0.2">
      <c r="A33" t="s">
        <v>73</v>
      </c>
      <c r="B33" t="s">
        <v>3</v>
      </c>
      <c r="C33" s="31">
        <v>0.15</v>
      </c>
      <c r="D33" s="34">
        <v>60</v>
      </c>
      <c r="E33" s="32">
        <v>15</v>
      </c>
    </row>
    <row r="34" spans="1:5" x14ac:dyDescent="0.2">
      <c r="A34" t="s">
        <v>88</v>
      </c>
      <c r="B34" t="s">
        <v>7</v>
      </c>
      <c r="C34" s="31">
        <v>0.52</v>
      </c>
      <c r="D34" s="34">
        <v>104</v>
      </c>
      <c r="E34" s="32">
        <v>52</v>
      </c>
    </row>
    <row r="35" spans="1:5" s="30" customFormat="1" x14ac:dyDescent="0.2">
      <c r="A35" s="30" t="s">
        <v>44</v>
      </c>
      <c r="D35" s="35">
        <v>4649</v>
      </c>
      <c r="E35" s="33">
        <v>14.95</v>
      </c>
    </row>
    <row r="37" spans="1:5" x14ac:dyDescent="0.2">
      <c r="A37" s="30" t="s">
        <v>45</v>
      </c>
    </row>
    <row r="38" spans="1:5" s="30" customFormat="1" x14ac:dyDescent="0.2">
      <c r="D38" s="35"/>
      <c r="E38" s="33"/>
    </row>
    <row r="39" spans="1:5" x14ac:dyDescent="0.2">
      <c r="A39" t="s">
        <v>15</v>
      </c>
      <c r="B39" t="s">
        <v>3</v>
      </c>
      <c r="C39" s="31">
        <v>-0.12</v>
      </c>
      <c r="D39" s="34">
        <v>-240</v>
      </c>
      <c r="E39" s="32">
        <v>-12</v>
      </c>
    </row>
    <row r="40" spans="1:5" x14ac:dyDescent="0.2">
      <c r="A40" t="s">
        <v>21</v>
      </c>
      <c r="B40" t="s">
        <v>3</v>
      </c>
      <c r="C40" s="31">
        <v>-0.12</v>
      </c>
      <c r="D40" s="34">
        <v>-120</v>
      </c>
      <c r="E40" s="32">
        <v>-12</v>
      </c>
    </row>
    <row r="41" spans="1:5" x14ac:dyDescent="0.2">
      <c r="A41" t="s">
        <v>22</v>
      </c>
      <c r="B41" t="s">
        <v>3</v>
      </c>
      <c r="C41" s="31">
        <v>-0.12</v>
      </c>
      <c r="D41" s="34">
        <v>-2760</v>
      </c>
      <c r="E41" s="32">
        <v>-12</v>
      </c>
    </row>
    <row r="42" spans="1:5" x14ac:dyDescent="0.2">
      <c r="A42" t="s">
        <v>23</v>
      </c>
      <c r="B42" t="s">
        <v>3</v>
      </c>
      <c r="C42" s="31">
        <v>-0.12</v>
      </c>
      <c r="D42" s="34">
        <v>-180</v>
      </c>
      <c r="E42" s="32">
        <v>-12</v>
      </c>
    </row>
    <row r="43" spans="1:5" x14ac:dyDescent="0.2">
      <c r="A43" t="s">
        <v>31</v>
      </c>
      <c r="B43" t="s">
        <v>4</v>
      </c>
      <c r="C43" s="31">
        <v>-0.43</v>
      </c>
      <c r="D43" s="34">
        <v>-5160</v>
      </c>
      <c r="E43" s="32">
        <v>-43</v>
      </c>
    </row>
    <row r="44" spans="1:5" x14ac:dyDescent="0.2">
      <c r="A44" t="s">
        <v>73</v>
      </c>
      <c r="B44" t="s">
        <v>3</v>
      </c>
      <c r="C44" s="31">
        <v>-0.12</v>
      </c>
      <c r="D44" s="34">
        <v>-48</v>
      </c>
      <c r="E44" s="32">
        <v>-12</v>
      </c>
    </row>
    <row r="45" spans="1:5" x14ac:dyDescent="0.2">
      <c r="A45" t="s">
        <v>31</v>
      </c>
      <c r="B45" t="s">
        <v>4</v>
      </c>
      <c r="C45" s="31">
        <v>-0.43</v>
      </c>
      <c r="D45" s="34">
        <v>-43</v>
      </c>
      <c r="E45" s="32">
        <v>-43</v>
      </c>
    </row>
    <row r="46" spans="1:5" s="30" customFormat="1" x14ac:dyDescent="0.2">
      <c r="A46" s="30" t="s">
        <v>46</v>
      </c>
      <c r="D46" s="35">
        <v>-8551</v>
      </c>
      <c r="E46" s="33">
        <v>-21.38</v>
      </c>
    </row>
    <row r="48" spans="1:5" x14ac:dyDescent="0.2">
      <c r="A48" s="30" t="s">
        <v>47</v>
      </c>
    </row>
    <row r="49" spans="1:5" s="30" customFormat="1" x14ac:dyDescent="0.2">
      <c r="D49" s="35"/>
      <c r="E49" s="33"/>
    </row>
    <row r="50" spans="1:5" x14ac:dyDescent="0.2">
      <c r="A50" t="s">
        <v>30</v>
      </c>
      <c r="B50" t="s">
        <v>6</v>
      </c>
      <c r="C50" s="31">
        <v>3</v>
      </c>
      <c r="D50" s="34">
        <v>9000</v>
      </c>
      <c r="E50" s="32">
        <v>300</v>
      </c>
    </row>
    <row r="51" spans="1:5" x14ac:dyDescent="0.2">
      <c r="A51" t="s">
        <v>88</v>
      </c>
      <c r="B51" t="s">
        <v>7</v>
      </c>
      <c r="C51" s="31">
        <v>0.1</v>
      </c>
      <c r="D51" s="34">
        <v>20</v>
      </c>
      <c r="E51" s="32">
        <v>10</v>
      </c>
    </row>
    <row r="52" spans="1:5" s="30" customFormat="1" x14ac:dyDescent="0.2">
      <c r="A52" s="30" t="s">
        <v>48</v>
      </c>
      <c r="D52" s="35">
        <v>9020</v>
      </c>
      <c r="E52" s="33">
        <v>281.88</v>
      </c>
    </row>
  </sheetData>
  <conditionalFormatting sqref="D2:E52">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4" sqref="C14"/>
    </sheetView>
  </sheetViews>
  <sheetFormatPr baseColWidth="10" defaultColWidth="10.83203125" defaultRowHeight="16" x14ac:dyDescent="0.2"/>
  <cols>
    <col min="1" max="1" width="34.5" style="27" bestFit="1" customWidth="1"/>
    <col min="2" max="2" width="9.5" style="11" bestFit="1" customWidth="1"/>
    <col min="3" max="3" width="10.5" style="11" bestFit="1" customWidth="1"/>
    <col min="4" max="4" width="22.83203125" style="11" bestFit="1" customWidth="1"/>
    <col min="5" max="16384" width="10.83203125" style="11"/>
  </cols>
  <sheetData>
    <row r="1" spans="1:4" s="27" customFormat="1" x14ac:dyDescent="0.2">
      <c r="A1" s="26" t="s">
        <v>8</v>
      </c>
      <c r="B1" s="26" t="s">
        <v>1</v>
      </c>
      <c r="C1" s="26" t="s">
        <v>24</v>
      </c>
      <c r="D1" s="26" t="s">
        <v>25</v>
      </c>
    </row>
    <row r="2" spans="1:4" x14ac:dyDescent="0.2">
      <c r="A2" s="27" t="s">
        <v>15</v>
      </c>
      <c r="B2" s="11" t="s">
        <v>3</v>
      </c>
      <c r="C2" s="25" t="s">
        <v>16</v>
      </c>
      <c r="D2" s="25" t="s">
        <v>16</v>
      </c>
    </row>
    <row r="3" spans="1:4" x14ac:dyDescent="0.2">
      <c r="A3" s="27" t="s">
        <v>21</v>
      </c>
      <c r="B3" s="11" t="s">
        <v>3</v>
      </c>
      <c r="C3" s="25" t="s">
        <v>16</v>
      </c>
      <c r="D3" s="25" t="s">
        <v>16</v>
      </c>
    </row>
    <row r="4" spans="1:4" x14ac:dyDescent="0.2">
      <c r="A4" s="27" t="s">
        <v>22</v>
      </c>
      <c r="B4" s="11" t="s">
        <v>3</v>
      </c>
      <c r="C4" s="25" t="s">
        <v>16</v>
      </c>
      <c r="D4" s="25" t="s">
        <v>16</v>
      </c>
    </row>
    <row r="5" spans="1:4" x14ac:dyDescent="0.2">
      <c r="A5" s="27" t="s">
        <v>23</v>
      </c>
      <c r="B5" s="11" t="s">
        <v>3</v>
      </c>
      <c r="C5" s="25" t="s">
        <v>16</v>
      </c>
      <c r="D5" s="25"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235"/>
  <sheetViews>
    <sheetView workbookViewId="0">
      <selection activeCell="D12" sqref="D12"/>
    </sheetView>
  </sheetViews>
  <sheetFormatPr baseColWidth="10" defaultColWidth="10.83203125" defaultRowHeight="16" x14ac:dyDescent="0.2"/>
  <cols>
    <col min="1" max="1" width="35.33203125" style="29" customWidth="1"/>
    <col min="2" max="2" width="31.33203125" style="11" customWidth="1"/>
    <col min="3" max="3" width="55.83203125" style="11" customWidth="1"/>
    <col min="4" max="16384" width="10.83203125" style="11"/>
  </cols>
  <sheetData>
    <row r="1" spans="1:3" s="9" customFormat="1" ht="34" customHeight="1" x14ac:dyDescent="0.2">
      <c r="A1" s="9" t="s">
        <v>69</v>
      </c>
      <c r="B1" s="9" t="s">
        <v>70</v>
      </c>
      <c r="C1" s="9" t="s">
        <v>71</v>
      </c>
    </row>
    <row r="2" spans="1:3" x14ac:dyDescent="0.2">
      <c r="A2" s="28">
        <v>45938.994293981479</v>
      </c>
      <c r="B2" s="11" t="s">
        <v>49</v>
      </c>
      <c r="C2" s="11" t="s">
        <v>50</v>
      </c>
    </row>
    <row r="3" spans="1:3" x14ac:dyDescent="0.2">
      <c r="A3" s="28">
        <v>45938.994293981479</v>
      </c>
      <c r="B3" s="11" t="s">
        <v>49</v>
      </c>
      <c r="C3" s="11" t="s">
        <v>51</v>
      </c>
    </row>
    <row r="4" spans="1:3" x14ac:dyDescent="0.2">
      <c r="A4" s="28">
        <v>45938.994293981479</v>
      </c>
      <c r="B4" s="11" t="s">
        <v>52</v>
      </c>
      <c r="C4" s="11" t="s">
        <v>53</v>
      </c>
    </row>
    <row r="5" spans="1:3" x14ac:dyDescent="0.2">
      <c r="A5" s="28">
        <v>45938.994305555556</v>
      </c>
      <c r="B5" s="11" t="s">
        <v>52</v>
      </c>
      <c r="C5" s="11" t="s">
        <v>54</v>
      </c>
    </row>
    <row r="6" spans="1:3" x14ac:dyDescent="0.2">
      <c r="A6" s="28">
        <v>45938.994305555556</v>
      </c>
      <c r="B6" s="11" t="s">
        <v>49</v>
      </c>
      <c r="C6" s="11" t="s">
        <v>55</v>
      </c>
    </row>
    <row r="7" spans="1:3" x14ac:dyDescent="0.2">
      <c r="A7" s="28">
        <v>45938.994305555556</v>
      </c>
      <c r="B7" s="11" t="s">
        <v>52</v>
      </c>
      <c r="C7" s="11" t="s">
        <v>56</v>
      </c>
    </row>
    <row r="8" spans="1:3" x14ac:dyDescent="0.2">
      <c r="A8" s="28">
        <v>45938.994305555556</v>
      </c>
      <c r="B8" s="11" t="s">
        <v>52</v>
      </c>
      <c r="C8" s="11" t="s">
        <v>57</v>
      </c>
    </row>
    <row r="9" spans="1:3" x14ac:dyDescent="0.2">
      <c r="A9" s="28">
        <v>45938.994305555556</v>
      </c>
      <c r="B9" s="11" t="s">
        <v>49</v>
      </c>
      <c r="C9" s="11" t="s">
        <v>58</v>
      </c>
    </row>
    <row r="10" spans="1:3" x14ac:dyDescent="0.2">
      <c r="A10" s="28">
        <v>45938.994305555556</v>
      </c>
      <c r="B10" s="11" t="s">
        <v>52</v>
      </c>
      <c r="C10" s="11" t="s">
        <v>59</v>
      </c>
    </row>
    <row r="11" spans="1:3" x14ac:dyDescent="0.2">
      <c r="A11" s="28">
        <v>45938.994305555556</v>
      </c>
      <c r="B11" s="11" t="s">
        <v>52</v>
      </c>
      <c r="C11" s="11" t="s">
        <v>60</v>
      </c>
    </row>
    <row r="12" spans="1:3" x14ac:dyDescent="0.2">
      <c r="A12" s="28">
        <v>45938.994305555556</v>
      </c>
      <c r="B12" s="11" t="s">
        <v>49</v>
      </c>
      <c r="C12" s="11" t="s">
        <v>61</v>
      </c>
    </row>
    <row r="13" spans="1:3" x14ac:dyDescent="0.2">
      <c r="A13" s="28">
        <v>45938.994305555556</v>
      </c>
      <c r="B13" s="11" t="s">
        <v>52</v>
      </c>
      <c r="C13" s="11" t="s">
        <v>62</v>
      </c>
    </row>
    <row r="14" spans="1:3" x14ac:dyDescent="0.2">
      <c r="A14" s="28">
        <v>45938.994305555556</v>
      </c>
      <c r="B14" s="11" t="s">
        <v>52</v>
      </c>
      <c r="C14" s="11" t="s">
        <v>63</v>
      </c>
    </row>
    <row r="15" spans="1:3" x14ac:dyDescent="0.2">
      <c r="A15" s="28">
        <v>45938.994305555556</v>
      </c>
      <c r="B15" s="11" t="s">
        <v>49</v>
      </c>
      <c r="C15" s="11" t="s">
        <v>64</v>
      </c>
    </row>
    <row r="16" spans="1:3" x14ac:dyDescent="0.2">
      <c r="A16" s="28">
        <v>45938.994305555556</v>
      </c>
      <c r="B16" s="11" t="s">
        <v>52</v>
      </c>
      <c r="C16" s="11" t="s">
        <v>65</v>
      </c>
    </row>
    <row r="17" spans="1:3" x14ac:dyDescent="0.2">
      <c r="A17" s="28">
        <v>45938.994305555556</v>
      </c>
      <c r="B17" s="11" t="s">
        <v>52</v>
      </c>
      <c r="C17" s="11" t="s">
        <v>66</v>
      </c>
    </row>
    <row r="18" spans="1:3" x14ac:dyDescent="0.2">
      <c r="A18" s="28">
        <v>45938.994305555556</v>
      </c>
      <c r="B18" s="11" t="s">
        <v>49</v>
      </c>
      <c r="C18" s="11" t="s">
        <v>67</v>
      </c>
    </row>
    <row r="19" spans="1:3" x14ac:dyDescent="0.2">
      <c r="A19" s="28">
        <v>45938.994305555556</v>
      </c>
      <c r="B19" s="11" t="s">
        <v>49</v>
      </c>
      <c r="C19" s="11" t="s">
        <v>68</v>
      </c>
    </row>
    <row r="20" spans="1:3" x14ac:dyDescent="0.2">
      <c r="A20" s="28">
        <v>45938.994328703702</v>
      </c>
      <c r="B20" s="11" t="s">
        <v>49</v>
      </c>
      <c r="C20" s="11" t="s">
        <v>50</v>
      </c>
    </row>
    <row r="21" spans="1:3" x14ac:dyDescent="0.2">
      <c r="A21" s="28">
        <v>45938.994328703702</v>
      </c>
      <c r="B21" s="11" t="s">
        <v>49</v>
      </c>
      <c r="C21" s="11" t="s">
        <v>51</v>
      </c>
    </row>
    <row r="22" spans="1:3" x14ac:dyDescent="0.2">
      <c r="A22" s="28">
        <v>45938.994328703702</v>
      </c>
      <c r="B22" s="11" t="s">
        <v>52</v>
      </c>
      <c r="C22" s="11" t="s">
        <v>53</v>
      </c>
    </row>
    <row r="23" spans="1:3" x14ac:dyDescent="0.2">
      <c r="A23" s="28">
        <v>45938.994328703702</v>
      </c>
      <c r="B23" s="11" t="s">
        <v>52</v>
      </c>
      <c r="C23" s="11" t="s">
        <v>54</v>
      </c>
    </row>
    <row r="24" spans="1:3" x14ac:dyDescent="0.2">
      <c r="A24" s="28">
        <v>45938.994328703702</v>
      </c>
      <c r="B24" s="11" t="s">
        <v>49</v>
      </c>
      <c r="C24" s="11" t="s">
        <v>55</v>
      </c>
    </row>
    <row r="25" spans="1:3" x14ac:dyDescent="0.2">
      <c r="A25" s="28">
        <v>45938.994328703702</v>
      </c>
      <c r="B25" s="11" t="s">
        <v>52</v>
      </c>
      <c r="C25" s="11" t="s">
        <v>56</v>
      </c>
    </row>
    <row r="26" spans="1:3" x14ac:dyDescent="0.2">
      <c r="A26" s="28">
        <v>45938.994328703702</v>
      </c>
      <c r="B26" s="11" t="s">
        <v>52</v>
      </c>
      <c r="C26" s="11" t="s">
        <v>57</v>
      </c>
    </row>
    <row r="27" spans="1:3" x14ac:dyDescent="0.2">
      <c r="A27" s="28">
        <v>45938.994328703702</v>
      </c>
      <c r="B27" s="11" t="s">
        <v>49</v>
      </c>
      <c r="C27" s="11" t="s">
        <v>58</v>
      </c>
    </row>
    <row r="28" spans="1:3" x14ac:dyDescent="0.2">
      <c r="A28" s="28">
        <v>45938.994328703702</v>
      </c>
      <c r="B28" s="11" t="s">
        <v>52</v>
      </c>
      <c r="C28" s="11" t="s">
        <v>59</v>
      </c>
    </row>
    <row r="29" spans="1:3" x14ac:dyDescent="0.2">
      <c r="A29" s="28">
        <v>45938.994328703702</v>
      </c>
      <c r="B29" s="11" t="s">
        <v>52</v>
      </c>
      <c r="C29" s="11" t="s">
        <v>60</v>
      </c>
    </row>
    <row r="30" spans="1:3" x14ac:dyDescent="0.2">
      <c r="A30" s="28">
        <v>45938.994328703702</v>
      </c>
      <c r="B30" s="11" t="s">
        <v>49</v>
      </c>
      <c r="C30" s="11" t="s">
        <v>61</v>
      </c>
    </row>
    <row r="31" spans="1:3" x14ac:dyDescent="0.2">
      <c r="A31" s="28">
        <v>45938.994328703702</v>
      </c>
      <c r="B31" s="11" t="s">
        <v>52</v>
      </c>
      <c r="C31" s="11" t="s">
        <v>62</v>
      </c>
    </row>
    <row r="32" spans="1:3" x14ac:dyDescent="0.2">
      <c r="A32" s="28">
        <v>45938.994328703702</v>
      </c>
      <c r="B32" s="11" t="s">
        <v>52</v>
      </c>
      <c r="C32" s="11" t="s">
        <v>63</v>
      </c>
    </row>
    <row r="33" spans="1:3" x14ac:dyDescent="0.2">
      <c r="A33" s="28">
        <v>45938.994328703702</v>
      </c>
      <c r="B33" s="11" t="s">
        <v>49</v>
      </c>
      <c r="C33" s="11" t="s">
        <v>64</v>
      </c>
    </row>
    <row r="34" spans="1:3" x14ac:dyDescent="0.2">
      <c r="A34" s="28">
        <v>45938.994328703702</v>
      </c>
      <c r="B34" s="11" t="s">
        <v>52</v>
      </c>
      <c r="C34" s="11" t="s">
        <v>65</v>
      </c>
    </row>
    <row r="35" spans="1:3" x14ac:dyDescent="0.2">
      <c r="A35" s="28">
        <v>45938.994328703702</v>
      </c>
      <c r="B35" s="11" t="s">
        <v>52</v>
      </c>
      <c r="C35" s="11" t="s">
        <v>66</v>
      </c>
    </row>
    <row r="36" spans="1:3" x14ac:dyDescent="0.2">
      <c r="A36" s="28">
        <v>45938.994340277779</v>
      </c>
      <c r="B36" s="11" t="s">
        <v>49</v>
      </c>
      <c r="C36" s="11" t="s">
        <v>67</v>
      </c>
    </row>
    <row r="37" spans="1:3" x14ac:dyDescent="0.2">
      <c r="A37" s="28">
        <v>45938.994340277779</v>
      </c>
      <c r="B37" s="11" t="s">
        <v>49</v>
      </c>
      <c r="C37" s="11" t="s">
        <v>68</v>
      </c>
    </row>
    <row r="38" spans="1:3" x14ac:dyDescent="0.2">
      <c r="A38" s="28">
        <v>45938.994351851848</v>
      </c>
      <c r="B38" s="11" t="s">
        <v>49</v>
      </c>
      <c r="C38" s="11" t="s">
        <v>50</v>
      </c>
    </row>
    <row r="39" spans="1:3" x14ac:dyDescent="0.2">
      <c r="A39" s="28">
        <v>45938.994351851848</v>
      </c>
      <c r="B39" s="11" t="s">
        <v>49</v>
      </c>
      <c r="C39" s="11" t="s">
        <v>51</v>
      </c>
    </row>
    <row r="40" spans="1:3" x14ac:dyDescent="0.2">
      <c r="A40" s="28">
        <v>45938.994351851848</v>
      </c>
      <c r="B40" s="11" t="s">
        <v>52</v>
      </c>
      <c r="C40" s="11" t="s">
        <v>53</v>
      </c>
    </row>
    <row r="41" spans="1:3" x14ac:dyDescent="0.2">
      <c r="A41" s="28">
        <v>45938.994351851848</v>
      </c>
      <c r="B41" s="11" t="s">
        <v>52</v>
      </c>
      <c r="C41" s="11" t="s">
        <v>54</v>
      </c>
    </row>
    <row r="42" spans="1:3" x14ac:dyDescent="0.2">
      <c r="A42" s="28">
        <v>45938.994351851848</v>
      </c>
      <c r="B42" s="11" t="s">
        <v>49</v>
      </c>
      <c r="C42" s="11" t="s">
        <v>55</v>
      </c>
    </row>
    <row r="43" spans="1:3" x14ac:dyDescent="0.2">
      <c r="A43" s="28">
        <v>45938.994351851848</v>
      </c>
      <c r="B43" s="11" t="s">
        <v>52</v>
      </c>
      <c r="C43" s="11" t="s">
        <v>56</v>
      </c>
    </row>
    <row r="44" spans="1:3" x14ac:dyDescent="0.2">
      <c r="A44" s="28">
        <v>45938.994351851848</v>
      </c>
      <c r="B44" s="11" t="s">
        <v>52</v>
      </c>
      <c r="C44" s="11" t="s">
        <v>57</v>
      </c>
    </row>
    <row r="45" spans="1:3" x14ac:dyDescent="0.2">
      <c r="A45" s="28">
        <v>45938.994351851848</v>
      </c>
      <c r="B45" s="11" t="s">
        <v>49</v>
      </c>
      <c r="C45" s="11" t="s">
        <v>58</v>
      </c>
    </row>
    <row r="46" spans="1:3" x14ac:dyDescent="0.2">
      <c r="A46" s="28">
        <v>45938.994351851848</v>
      </c>
      <c r="B46" s="11" t="s">
        <v>52</v>
      </c>
      <c r="C46" s="11" t="s">
        <v>59</v>
      </c>
    </row>
    <row r="47" spans="1:3" x14ac:dyDescent="0.2">
      <c r="A47" s="28">
        <v>45938.994351851848</v>
      </c>
      <c r="B47" s="11" t="s">
        <v>52</v>
      </c>
      <c r="C47" s="11" t="s">
        <v>60</v>
      </c>
    </row>
    <row r="48" spans="1:3" x14ac:dyDescent="0.2">
      <c r="A48" s="28">
        <v>45938.994351851848</v>
      </c>
      <c r="B48" s="11" t="s">
        <v>49</v>
      </c>
      <c r="C48" s="11" t="s">
        <v>61</v>
      </c>
    </row>
    <row r="49" spans="1:3" x14ac:dyDescent="0.2">
      <c r="A49" s="28">
        <v>45938.994351851848</v>
      </c>
      <c r="B49" s="11" t="s">
        <v>52</v>
      </c>
      <c r="C49" s="11" t="s">
        <v>62</v>
      </c>
    </row>
    <row r="50" spans="1:3" x14ac:dyDescent="0.2">
      <c r="A50" s="28">
        <v>45938.994351851848</v>
      </c>
      <c r="B50" s="11" t="s">
        <v>52</v>
      </c>
      <c r="C50" s="11" t="s">
        <v>63</v>
      </c>
    </row>
    <row r="51" spans="1:3" x14ac:dyDescent="0.2">
      <c r="A51" s="28">
        <v>45938.994351851848</v>
      </c>
      <c r="B51" s="11" t="s">
        <v>49</v>
      </c>
      <c r="C51" s="11" t="s">
        <v>64</v>
      </c>
    </row>
    <row r="52" spans="1:3" x14ac:dyDescent="0.2">
      <c r="A52" s="28">
        <v>45938.994351851848</v>
      </c>
      <c r="B52" s="11" t="s">
        <v>52</v>
      </c>
      <c r="C52" s="11" t="s">
        <v>65</v>
      </c>
    </row>
    <row r="53" spans="1:3" x14ac:dyDescent="0.2">
      <c r="A53" s="28">
        <v>45938.994351851848</v>
      </c>
      <c r="B53" s="11" t="s">
        <v>52</v>
      </c>
      <c r="C53" s="11" t="s">
        <v>66</v>
      </c>
    </row>
    <row r="54" spans="1:3" x14ac:dyDescent="0.2">
      <c r="A54" s="28">
        <v>45938.994351851848</v>
      </c>
      <c r="B54" s="11" t="s">
        <v>49</v>
      </c>
      <c r="C54" s="11" t="s">
        <v>67</v>
      </c>
    </row>
    <row r="55" spans="1:3" x14ac:dyDescent="0.2">
      <c r="A55" s="28">
        <v>45938.994351851848</v>
      </c>
      <c r="B55" s="11" t="s">
        <v>49</v>
      </c>
      <c r="C55" s="11" t="s">
        <v>68</v>
      </c>
    </row>
    <row r="56" spans="1:3" x14ac:dyDescent="0.2">
      <c r="A56" s="28">
        <v>45938.994351851848</v>
      </c>
      <c r="B56" s="11" t="s">
        <v>49</v>
      </c>
      <c r="C56" s="11" t="s">
        <v>50</v>
      </c>
    </row>
    <row r="57" spans="1:3" x14ac:dyDescent="0.2">
      <c r="A57" s="28">
        <v>45938.994351851848</v>
      </c>
      <c r="B57" s="11" t="s">
        <v>49</v>
      </c>
      <c r="C57" s="11" t="s">
        <v>51</v>
      </c>
    </row>
    <row r="58" spans="1:3" x14ac:dyDescent="0.2">
      <c r="A58" s="28">
        <v>45938.994351851848</v>
      </c>
      <c r="B58" s="11" t="s">
        <v>52</v>
      </c>
      <c r="C58" s="11" t="s">
        <v>53</v>
      </c>
    </row>
    <row r="59" spans="1:3" x14ac:dyDescent="0.2">
      <c r="A59" s="28">
        <v>45938.994351851848</v>
      </c>
      <c r="B59" s="11" t="s">
        <v>52</v>
      </c>
      <c r="C59" s="11" t="s">
        <v>54</v>
      </c>
    </row>
    <row r="60" spans="1:3" x14ac:dyDescent="0.2">
      <c r="A60" s="28">
        <v>45938.994351851848</v>
      </c>
      <c r="B60" s="11" t="s">
        <v>49</v>
      </c>
      <c r="C60" s="11" t="s">
        <v>55</v>
      </c>
    </row>
    <row r="61" spans="1:3" x14ac:dyDescent="0.2">
      <c r="A61" s="28">
        <v>45938.994351851848</v>
      </c>
      <c r="B61" s="11" t="s">
        <v>52</v>
      </c>
      <c r="C61" s="11" t="s">
        <v>56</v>
      </c>
    </row>
    <row r="62" spans="1:3" x14ac:dyDescent="0.2">
      <c r="A62" s="28">
        <v>45938.994351851848</v>
      </c>
      <c r="B62" s="11" t="s">
        <v>52</v>
      </c>
      <c r="C62" s="11" t="s">
        <v>57</v>
      </c>
    </row>
    <row r="63" spans="1:3" x14ac:dyDescent="0.2">
      <c r="A63" s="28">
        <v>45938.994351851848</v>
      </c>
      <c r="B63" s="11" t="s">
        <v>49</v>
      </c>
      <c r="C63" s="11" t="s">
        <v>58</v>
      </c>
    </row>
    <row r="64" spans="1:3" x14ac:dyDescent="0.2">
      <c r="A64" s="28">
        <v>45938.994351851848</v>
      </c>
      <c r="B64" s="11" t="s">
        <v>52</v>
      </c>
      <c r="C64" s="11" t="s">
        <v>59</v>
      </c>
    </row>
    <row r="65" spans="1:3" x14ac:dyDescent="0.2">
      <c r="A65" s="28">
        <v>45938.994351851848</v>
      </c>
      <c r="B65" s="11" t="s">
        <v>52</v>
      </c>
      <c r="C65" s="11" t="s">
        <v>60</v>
      </c>
    </row>
    <row r="66" spans="1:3" x14ac:dyDescent="0.2">
      <c r="A66" s="28">
        <v>45938.994351851848</v>
      </c>
      <c r="B66" s="11" t="s">
        <v>49</v>
      </c>
      <c r="C66" s="11" t="s">
        <v>61</v>
      </c>
    </row>
    <row r="67" spans="1:3" x14ac:dyDescent="0.2">
      <c r="A67" s="28">
        <v>45938.994351851848</v>
      </c>
      <c r="B67" s="11" t="s">
        <v>52</v>
      </c>
      <c r="C67" s="11" t="s">
        <v>62</v>
      </c>
    </row>
    <row r="68" spans="1:3" x14ac:dyDescent="0.2">
      <c r="A68" s="28">
        <v>45938.994351851848</v>
      </c>
      <c r="B68" s="11" t="s">
        <v>52</v>
      </c>
      <c r="C68" s="11" t="s">
        <v>63</v>
      </c>
    </row>
    <row r="69" spans="1:3" x14ac:dyDescent="0.2">
      <c r="A69" s="28">
        <v>45938.994351851848</v>
      </c>
      <c r="B69" s="11" t="s">
        <v>49</v>
      </c>
      <c r="C69" s="11" t="s">
        <v>64</v>
      </c>
    </row>
    <row r="70" spans="1:3" x14ac:dyDescent="0.2">
      <c r="A70" s="28">
        <v>45938.994351851848</v>
      </c>
      <c r="B70" s="11" t="s">
        <v>52</v>
      </c>
      <c r="C70" s="11" t="s">
        <v>65</v>
      </c>
    </row>
    <row r="71" spans="1:3" x14ac:dyDescent="0.2">
      <c r="A71" s="28">
        <v>45938.994351851848</v>
      </c>
      <c r="B71" s="11" t="s">
        <v>52</v>
      </c>
      <c r="C71" s="11" t="s">
        <v>66</v>
      </c>
    </row>
    <row r="72" spans="1:3" x14ac:dyDescent="0.2">
      <c r="A72" s="28">
        <v>45938.994351851848</v>
      </c>
      <c r="B72" s="11" t="s">
        <v>49</v>
      </c>
      <c r="C72" s="11" t="s">
        <v>67</v>
      </c>
    </row>
    <row r="73" spans="1:3" x14ac:dyDescent="0.2">
      <c r="A73" s="28">
        <v>45938.994351851848</v>
      </c>
      <c r="B73" s="11" t="s">
        <v>49</v>
      </c>
      <c r="C73" s="11" t="s">
        <v>68</v>
      </c>
    </row>
    <row r="74" spans="1:3" x14ac:dyDescent="0.2">
      <c r="A74" s="28">
        <v>45939.000034722223</v>
      </c>
      <c r="B74" s="11" t="s">
        <v>49</v>
      </c>
      <c r="C74" s="11" t="s">
        <v>50</v>
      </c>
    </row>
    <row r="75" spans="1:3" x14ac:dyDescent="0.2">
      <c r="A75" s="28">
        <v>45939.000034722223</v>
      </c>
      <c r="B75" s="11" t="s">
        <v>49</v>
      </c>
      <c r="C75" s="11" t="s">
        <v>51</v>
      </c>
    </row>
    <row r="76" spans="1:3" x14ac:dyDescent="0.2">
      <c r="A76" s="28">
        <v>45939.000034722223</v>
      </c>
      <c r="B76" s="11" t="s">
        <v>52</v>
      </c>
      <c r="C76" s="11" t="s">
        <v>53</v>
      </c>
    </row>
    <row r="77" spans="1:3" x14ac:dyDescent="0.2">
      <c r="A77" s="28">
        <v>45939.000034722223</v>
      </c>
      <c r="B77" s="11" t="s">
        <v>52</v>
      </c>
      <c r="C77" s="11" t="s">
        <v>54</v>
      </c>
    </row>
    <row r="78" spans="1:3" x14ac:dyDescent="0.2">
      <c r="A78" s="28">
        <v>45939.000034722223</v>
      </c>
      <c r="B78" s="11" t="s">
        <v>49</v>
      </c>
      <c r="C78" s="11" t="s">
        <v>55</v>
      </c>
    </row>
    <row r="79" spans="1:3" x14ac:dyDescent="0.2">
      <c r="A79" s="28">
        <v>45939.000034722223</v>
      </c>
      <c r="B79" s="11" t="s">
        <v>52</v>
      </c>
      <c r="C79" s="11" t="s">
        <v>56</v>
      </c>
    </row>
    <row r="80" spans="1:3" x14ac:dyDescent="0.2">
      <c r="A80" s="28">
        <v>45939.000034722223</v>
      </c>
      <c r="B80" s="11" t="s">
        <v>52</v>
      </c>
      <c r="C80" s="11" t="s">
        <v>57</v>
      </c>
    </row>
    <row r="81" spans="1:3" x14ac:dyDescent="0.2">
      <c r="A81" s="28">
        <v>45939.000034722223</v>
      </c>
      <c r="B81" s="11" t="s">
        <v>49</v>
      </c>
      <c r="C81" s="11" t="s">
        <v>58</v>
      </c>
    </row>
    <row r="82" spans="1:3" x14ac:dyDescent="0.2">
      <c r="A82" s="28">
        <v>45939.000034722223</v>
      </c>
      <c r="B82" s="11" t="s">
        <v>52</v>
      </c>
      <c r="C82" s="11" t="s">
        <v>59</v>
      </c>
    </row>
    <row r="83" spans="1:3" x14ac:dyDescent="0.2">
      <c r="A83" s="28">
        <v>45939.000034722223</v>
      </c>
      <c r="B83" s="11" t="s">
        <v>52</v>
      </c>
      <c r="C83" s="11" t="s">
        <v>60</v>
      </c>
    </row>
    <row r="84" spans="1:3" x14ac:dyDescent="0.2">
      <c r="A84" s="28">
        <v>45939.000034722223</v>
      </c>
      <c r="B84" s="11" t="s">
        <v>49</v>
      </c>
      <c r="C84" s="11" t="s">
        <v>61</v>
      </c>
    </row>
    <row r="85" spans="1:3" x14ac:dyDescent="0.2">
      <c r="A85" s="28">
        <v>45939.000034722223</v>
      </c>
      <c r="B85" s="11" t="s">
        <v>52</v>
      </c>
      <c r="C85" s="11" t="s">
        <v>62</v>
      </c>
    </row>
    <row r="86" spans="1:3" x14ac:dyDescent="0.2">
      <c r="A86" s="28">
        <v>45939.0000462963</v>
      </c>
      <c r="B86" s="11" t="s">
        <v>52</v>
      </c>
      <c r="C86" s="11" t="s">
        <v>63</v>
      </c>
    </row>
    <row r="87" spans="1:3" x14ac:dyDescent="0.2">
      <c r="A87" s="28">
        <v>45939.0000462963</v>
      </c>
      <c r="B87" s="11" t="s">
        <v>49</v>
      </c>
      <c r="C87" s="11" t="s">
        <v>64</v>
      </c>
    </row>
    <row r="88" spans="1:3" x14ac:dyDescent="0.2">
      <c r="A88" s="28">
        <v>45939.0000462963</v>
      </c>
      <c r="B88" s="11" t="s">
        <v>52</v>
      </c>
      <c r="C88" s="11" t="s">
        <v>65</v>
      </c>
    </row>
    <row r="89" spans="1:3" x14ac:dyDescent="0.2">
      <c r="A89" s="28">
        <v>45939.0000462963</v>
      </c>
      <c r="B89" s="11" t="s">
        <v>52</v>
      </c>
      <c r="C89" s="11" t="s">
        <v>66</v>
      </c>
    </row>
    <row r="90" spans="1:3" x14ac:dyDescent="0.2">
      <c r="A90" s="28">
        <v>45939.0000462963</v>
      </c>
      <c r="B90" s="11" t="s">
        <v>49</v>
      </c>
      <c r="C90" s="11" t="s">
        <v>67</v>
      </c>
    </row>
    <row r="91" spans="1:3" x14ac:dyDescent="0.2">
      <c r="A91" s="28">
        <v>45939.0000462963</v>
      </c>
      <c r="B91" s="11" t="s">
        <v>49</v>
      </c>
      <c r="C91" s="11" t="s">
        <v>68</v>
      </c>
    </row>
    <row r="92" spans="1:3" x14ac:dyDescent="0.2">
      <c r="A92" s="28">
        <v>45939.000196759262</v>
      </c>
      <c r="B92" s="11" t="s">
        <v>49</v>
      </c>
      <c r="C92" s="11" t="s">
        <v>50</v>
      </c>
    </row>
    <row r="93" spans="1:3" x14ac:dyDescent="0.2">
      <c r="A93" s="28">
        <v>45939.000196759262</v>
      </c>
      <c r="B93" s="11" t="s">
        <v>49</v>
      </c>
      <c r="C93" s="11" t="s">
        <v>51</v>
      </c>
    </row>
    <row r="94" spans="1:3" x14ac:dyDescent="0.2">
      <c r="A94" s="28">
        <v>45939.000196759262</v>
      </c>
      <c r="B94" s="11" t="s">
        <v>52</v>
      </c>
      <c r="C94" s="11" t="s">
        <v>53</v>
      </c>
    </row>
    <row r="95" spans="1:3" x14ac:dyDescent="0.2">
      <c r="A95" s="28">
        <v>45939.000196759262</v>
      </c>
      <c r="B95" s="11" t="s">
        <v>52</v>
      </c>
      <c r="C95" s="11" t="s">
        <v>54</v>
      </c>
    </row>
    <row r="96" spans="1:3" x14ac:dyDescent="0.2">
      <c r="A96" s="28">
        <v>45939.000196759262</v>
      </c>
      <c r="B96" s="11" t="s">
        <v>49</v>
      </c>
      <c r="C96" s="11" t="s">
        <v>55</v>
      </c>
    </row>
    <row r="97" spans="1:3" x14ac:dyDescent="0.2">
      <c r="A97" s="28">
        <v>45939.000208333331</v>
      </c>
      <c r="B97" s="11" t="s">
        <v>52</v>
      </c>
      <c r="C97" s="11" t="s">
        <v>56</v>
      </c>
    </row>
    <row r="98" spans="1:3" x14ac:dyDescent="0.2">
      <c r="A98" s="28">
        <v>45939.000208333331</v>
      </c>
      <c r="B98" s="11" t="s">
        <v>52</v>
      </c>
      <c r="C98" s="11" t="s">
        <v>57</v>
      </c>
    </row>
    <row r="99" spans="1:3" x14ac:dyDescent="0.2">
      <c r="A99" s="28">
        <v>45939.000208333331</v>
      </c>
      <c r="B99" s="11" t="s">
        <v>49</v>
      </c>
      <c r="C99" s="11" t="s">
        <v>58</v>
      </c>
    </row>
    <row r="100" spans="1:3" x14ac:dyDescent="0.2">
      <c r="A100" s="28">
        <v>45939.000208333331</v>
      </c>
      <c r="B100" s="11" t="s">
        <v>52</v>
      </c>
      <c r="C100" s="11" t="s">
        <v>59</v>
      </c>
    </row>
    <row r="101" spans="1:3" x14ac:dyDescent="0.2">
      <c r="A101" s="28">
        <v>45939.000208333331</v>
      </c>
      <c r="B101" s="11" t="s">
        <v>52</v>
      </c>
      <c r="C101" s="11" t="s">
        <v>60</v>
      </c>
    </row>
    <row r="102" spans="1:3" x14ac:dyDescent="0.2">
      <c r="A102" s="28">
        <v>45939.000208333331</v>
      </c>
      <c r="B102" s="11" t="s">
        <v>49</v>
      </c>
      <c r="C102" s="11" t="s">
        <v>61</v>
      </c>
    </row>
    <row r="103" spans="1:3" x14ac:dyDescent="0.2">
      <c r="A103" s="28">
        <v>45939.000208333331</v>
      </c>
      <c r="B103" s="11" t="s">
        <v>52</v>
      </c>
      <c r="C103" s="11" t="s">
        <v>62</v>
      </c>
    </row>
    <row r="104" spans="1:3" x14ac:dyDescent="0.2">
      <c r="A104" s="28">
        <v>45939.000208333331</v>
      </c>
      <c r="B104" s="11" t="s">
        <v>52</v>
      </c>
      <c r="C104" s="11" t="s">
        <v>63</v>
      </c>
    </row>
    <row r="105" spans="1:3" x14ac:dyDescent="0.2">
      <c r="A105" s="28">
        <v>45939.000208333331</v>
      </c>
      <c r="B105" s="11" t="s">
        <v>49</v>
      </c>
      <c r="C105" s="11" t="s">
        <v>64</v>
      </c>
    </row>
    <row r="106" spans="1:3" x14ac:dyDescent="0.2">
      <c r="A106" s="28">
        <v>45939.000208333331</v>
      </c>
      <c r="B106" s="11" t="s">
        <v>52</v>
      </c>
      <c r="C106" s="11" t="s">
        <v>65</v>
      </c>
    </row>
    <row r="107" spans="1:3" x14ac:dyDescent="0.2">
      <c r="A107" s="28">
        <v>45939.000208333331</v>
      </c>
      <c r="B107" s="11" t="s">
        <v>52</v>
      </c>
      <c r="C107" s="11" t="s">
        <v>66</v>
      </c>
    </row>
    <row r="108" spans="1:3" x14ac:dyDescent="0.2">
      <c r="A108" s="28">
        <v>45939.000208333331</v>
      </c>
      <c r="B108" s="11" t="s">
        <v>49</v>
      </c>
      <c r="C108" s="11" t="s">
        <v>67</v>
      </c>
    </row>
    <row r="109" spans="1:3" x14ac:dyDescent="0.2">
      <c r="A109" s="28">
        <v>45939.000208333331</v>
      </c>
      <c r="B109" s="11" t="s">
        <v>49</v>
      </c>
      <c r="C109" s="11" t="s">
        <v>68</v>
      </c>
    </row>
    <row r="110" spans="1:3" x14ac:dyDescent="0.2">
      <c r="A110" s="28">
        <v>45939.011944444443</v>
      </c>
      <c r="B110" s="11" t="s">
        <v>49</v>
      </c>
      <c r="C110" s="11" t="s">
        <v>50</v>
      </c>
    </row>
    <row r="111" spans="1:3" x14ac:dyDescent="0.2">
      <c r="A111" s="28">
        <v>45939.011944444443</v>
      </c>
      <c r="B111" s="11" t="s">
        <v>49</v>
      </c>
      <c r="C111" s="11" t="s">
        <v>51</v>
      </c>
    </row>
    <row r="112" spans="1:3" x14ac:dyDescent="0.2">
      <c r="A112" s="28">
        <v>45939.011944444443</v>
      </c>
      <c r="B112" s="11" t="s">
        <v>52</v>
      </c>
      <c r="C112" s="11" t="s">
        <v>53</v>
      </c>
    </row>
    <row r="113" spans="1:3" x14ac:dyDescent="0.2">
      <c r="A113" s="28">
        <v>45939.011944444443</v>
      </c>
      <c r="B113" s="11" t="s">
        <v>52</v>
      </c>
      <c r="C113" s="11" t="s">
        <v>74</v>
      </c>
    </row>
    <row r="114" spans="1:3" x14ac:dyDescent="0.2">
      <c r="A114" s="28">
        <v>45939.011944444443</v>
      </c>
      <c r="B114" s="11" t="s">
        <v>49</v>
      </c>
      <c r="C114" s="11" t="s">
        <v>75</v>
      </c>
    </row>
    <row r="115" spans="1:3" x14ac:dyDescent="0.2">
      <c r="A115" s="28">
        <v>45939.011944444443</v>
      </c>
      <c r="B115" s="11" t="s">
        <v>52</v>
      </c>
      <c r="C115" s="11" t="s">
        <v>56</v>
      </c>
    </row>
    <row r="116" spans="1:3" x14ac:dyDescent="0.2">
      <c r="A116" s="28">
        <v>45939.011944444443</v>
      </c>
      <c r="B116" s="11" t="s">
        <v>52</v>
      </c>
      <c r="C116" s="11" t="s">
        <v>76</v>
      </c>
    </row>
    <row r="117" spans="1:3" x14ac:dyDescent="0.2">
      <c r="A117" s="28">
        <v>45939.011944444443</v>
      </c>
      <c r="B117" s="11" t="s">
        <v>49</v>
      </c>
      <c r="C117" s="11" t="s">
        <v>77</v>
      </c>
    </row>
    <row r="118" spans="1:3" x14ac:dyDescent="0.2">
      <c r="A118" s="28">
        <v>45939.011944444443</v>
      </c>
      <c r="B118" s="11" t="s">
        <v>52</v>
      </c>
      <c r="C118" s="11" t="s">
        <v>59</v>
      </c>
    </row>
    <row r="119" spans="1:3" x14ac:dyDescent="0.2">
      <c r="A119" s="28">
        <v>45939.011944444443</v>
      </c>
      <c r="B119" s="11" t="s">
        <v>52</v>
      </c>
      <c r="C119" s="11" t="s">
        <v>78</v>
      </c>
    </row>
    <row r="120" spans="1:3" x14ac:dyDescent="0.2">
      <c r="A120" s="28">
        <v>45939.011944444443</v>
      </c>
      <c r="B120" s="11" t="s">
        <v>49</v>
      </c>
      <c r="C120" s="11" t="s">
        <v>79</v>
      </c>
    </row>
    <row r="121" spans="1:3" x14ac:dyDescent="0.2">
      <c r="A121" s="28">
        <v>45939.011944444443</v>
      </c>
      <c r="B121" s="11" t="s">
        <v>52</v>
      </c>
      <c r="C121" s="11" t="s">
        <v>62</v>
      </c>
    </row>
    <row r="122" spans="1:3" x14ac:dyDescent="0.2">
      <c r="A122" s="28">
        <v>45939.011944444443</v>
      </c>
      <c r="B122" s="11" t="s">
        <v>52</v>
      </c>
      <c r="C122" s="11" t="s">
        <v>80</v>
      </c>
    </row>
    <row r="123" spans="1:3" x14ac:dyDescent="0.2">
      <c r="A123" s="28">
        <v>45939.011944444443</v>
      </c>
      <c r="B123" s="11" t="s">
        <v>49</v>
      </c>
      <c r="C123" s="11" t="s">
        <v>81</v>
      </c>
    </row>
    <row r="124" spans="1:3" x14ac:dyDescent="0.2">
      <c r="A124" s="28">
        <v>45939.011944444443</v>
      </c>
      <c r="B124" s="11" t="s">
        <v>52</v>
      </c>
      <c r="C124" s="11" t="s">
        <v>65</v>
      </c>
    </row>
    <row r="125" spans="1:3" x14ac:dyDescent="0.2">
      <c r="A125" s="28">
        <v>45939.011956018519</v>
      </c>
      <c r="B125" s="11" t="s">
        <v>52</v>
      </c>
      <c r="C125" s="11" t="s">
        <v>82</v>
      </c>
    </row>
    <row r="126" spans="1:3" x14ac:dyDescent="0.2">
      <c r="A126" s="28">
        <v>45939.011956018519</v>
      </c>
      <c r="B126" s="11" t="s">
        <v>49</v>
      </c>
      <c r="C126" s="11" t="s">
        <v>83</v>
      </c>
    </row>
    <row r="127" spans="1:3" x14ac:dyDescent="0.2">
      <c r="A127" s="28">
        <v>45939.011956018519</v>
      </c>
      <c r="B127" s="11" t="s">
        <v>49</v>
      </c>
      <c r="C127" s="11" t="s">
        <v>84</v>
      </c>
    </row>
    <row r="128" spans="1:3" x14ac:dyDescent="0.2">
      <c r="A128" s="28">
        <v>45939.017581018517</v>
      </c>
      <c r="B128" s="11" t="s">
        <v>49</v>
      </c>
      <c r="C128" s="11" t="s">
        <v>50</v>
      </c>
    </row>
    <row r="129" spans="1:3" x14ac:dyDescent="0.2">
      <c r="A129" s="28">
        <v>45939.017581018517</v>
      </c>
      <c r="B129" s="11" t="s">
        <v>49</v>
      </c>
      <c r="C129" s="11" t="s">
        <v>51</v>
      </c>
    </row>
    <row r="130" spans="1:3" x14ac:dyDescent="0.2">
      <c r="A130" s="28">
        <v>45939.017581018517</v>
      </c>
      <c r="B130" s="11" t="s">
        <v>52</v>
      </c>
      <c r="C130" s="11" t="s">
        <v>53</v>
      </c>
    </row>
    <row r="131" spans="1:3" x14ac:dyDescent="0.2">
      <c r="A131" s="28">
        <v>45939.017581018517</v>
      </c>
      <c r="B131" s="11" t="s">
        <v>52</v>
      </c>
      <c r="C131" s="11" t="s">
        <v>74</v>
      </c>
    </row>
    <row r="132" spans="1:3" x14ac:dyDescent="0.2">
      <c r="A132" s="28">
        <v>45939.017581018517</v>
      </c>
      <c r="B132" s="11" t="s">
        <v>49</v>
      </c>
      <c r="C132" s="11" t="s">
        <v>75</v>
      </c>
    </row>
    <row r="133" spans="1:3" x14ac:dyDescent="0.2">
      <c r="A133" s="28">
        <v>45939.017581018517</v>
      </c>
      <c r="B133" s="11" t="s">
        <v>52</v>
      </c>
      <c r="C133" s="11" t="s">
        <v>56</v>
      </c>
    </row>
    <row r="134" spans="1:3" x14ac:dyDescent="0.2">
      <c r="A134" s="28">
        <v>45939.017581018517</v>
      </c>
      <c r="B134" s="11" t="s">
        <v>52</v>
      </c>
      <c r="C134" s="11" t="s">
        <v>76</v>
      </c>
    </row>
    <row r="135" spans="1:3" x14ac:dyDescent="0.2">
      <c r="A135" s="28">
        <v>45939.017581018517</v>
      </c>
      <c r="B135" s="11" t="s">
        <v>49</v>
      </c>
      <c r="C135" s="11" t="s">
        <v>77</v>
      </c>
    </row>
    <row r="136" spans="1:3" x14ac:dyDescent="0.2">
      <c r="A136" s="28">
        <v>45939.017581018517</v>
      </c>
      <c r="B136" s="11" t="s">
        <v>52</v>
      </c>
      <c r="C136" s="11" t="s">
        <v>59</v>
      </c>
    </row>
    <row r="137" spans="1:3" x14ac:dyDescent="0.2">
      <c r="A137" s="28">
        <v>45939.017581018517</v>
      </c>
      <c r="B137" s="11" t="s">
        <v>52</v>
      </c>
      <c r="C137" s="11" t="s">
        <v>78</v>
      </c>
    </row>
    <row r="138" spans="1:3" x14ac:dyDescent="0.2">
      <c r="A138" s="28">
        <v>45939.017581018517</v>
      </c>
      <c r="B138" s="11" t="s">
        <v>49</v>
      </c>
      <c r="C138" s="11" t="s">
        <v>79</v>
      </c>
    </row>
    <row r="139" spans="1:3" x14ac:dyDescent="0.2">
      <c r="A139" s="28">
        <v>45939.017581018517</v>
      </c>
      <c r="B139" s="11" t="s">
        <v>52</v>
      </c>
      <c r="C139" s="11" t="s">
        <v>62</v>
      </c>
    </row>
    <row r="140" spans="1:3" x14ac:dyDescent="0.2">
      <c r="A140" s="28">
        <v>45939.017592592594</v>
      </c>
      <c r="B140" s="11" t="s">
        <v>52</v>
      </c>
      <c r="C140" s="11" t="s">
        <v>80</v>
      </c>
    </row>
    <row r="141" spans="1:3" x14ac:dyDescent="0.2">
      <c r="A141" s="28">
        <v>45939.017592592594</v>
      </c>
      <c r="B141" s="11" t="s">
        <v>49</v>
      </c>
      <c r="C141" s="11" t="s">
        <v>81</v>
      </c>
    </row>
    <row r="142" spans="1:3" x14ac:dyDescent="0.2">
      <c r="A142" s="28">
        <v>45939.017592592594</v>
      </c>
      <c r="B142" s="11" t="s">
        <v>52</v>
      </c>
      <c r="C142" s="11" t="s">
        <v>65</v>
      </c>
    </row>
    <row r="143" spans="1:3" x14ac:dyDescent="0.2">
      <c r="A143" s="28">
        <v>45939.017592592594</v>
      </c>
      <c r="B143" s="11" t="s">
        <v>52</v>
      </c>
      <c r="C143" s="11" t="s">
        <v>82</v>
      </c>
    </row>
    <row r="144" spans="1:3" x14ac:dyDescent="0.2">
      <c r="A144" s="28">
        <v>45939.017592592594</v>
      </c>
      <c r="B144" s="11" t="s">
        <v>49</v>
      </c>
      <c r="C144" s="11" t="s">
        <v>83</v>
      </c>
    </row>
    <row r="145" spans="1:3" x14ac:dyDescent="0.2">
      <c r="A145" s="28">
        <v>45939.017592592594</v>
      </c>
      <c r="B145" s="11" t="s">
        <v>49</v>
      </c>
      <c r="C145" s="11" t="s">
        <v>84</v>
      </c>
    </row>
    <row r="146" spans="1:3" x14ac:dyDescent="0.2">
      <c r="A146" s="28">
        <v>45939.028263888889</v>
      </c>
      <c r="B146" s="11" t="s">
        <v>49</v>
      </c>
      <c r="C146" s="11" t="s">
        <v>50</v>
      </c>
    </row>
    <row r="147" spans="1:3" x14ac:dyDescent="0.2">
      <c r="A147" s="28">
        <v>45939.028263888889</v>
      </c>
      <c r="B147" s="11" t="s">
        <v>49</v>
      </c>
      <c r="C147" s="11" t="s">
        <v>51</v>
      </c>
    </row>
    <row r="148" spans="1:3" x14ac:dyDescent="0.2">
      <c r="A148" s="28">
        <v>45939.028263888889</v>
      </c>
      <c r="B148" s="11" t="s">
        <v>52</v>
      </c>
      <c r="C148" s="11" t="s">
        <v>53</v>
      </c>
    </row>
    <row r="149" spans="1:3" x14ac:dyDescent="0.2">
      <c r="A149" s="28">
        <v>45939.028275462966</v>
      </c>
      <c r="B149" s="11" t="s">
        <v>52</v>
      </c>
      <c r="C149" s="11" t="s">
        <v>74</v>
      </c>
    </row>
    <row r="150" spans="1:3" x14ac:dyDescent="0.2">
      <c r="A150" s="28">
        <v>45939.028275462966</v>
      </c>
      <c r="B150" s="11" t="s">
        <v>49</v>
      </c>
      <c r="C150" s="11" t="s">
        <v>75</v>
      </c>
    </row>
    <row r="151" spans="1:3" x14ac:dyDescent="0.2">
      <c r="A151" s="28">
        <v>45939.028275462966</v>
      </c>
      <c r="B151" s="11" t="s">
        <v>52</v>
      </c>
      <c r="C151" s="11" t="s">
        <v>56</v>
      </c>
    </row>
    <row r="152" spans="1:3" x14ac:dyDescent="0.2">
      <c r="A152" s="28">
        <v>45939.028275462966</v>
      </c>
      <c r="B152" s="11" t="s">
        <v>52</v>
      </c>
      <c r="C152" s="11" t="s">
        <v>76</v>
      </c>
    </row>
    <row r="153" spans="1:3" x14ac:dyDescent="0.2">
      <c r="A153" s="28">
        <v>45939.028275462966</v>
      </c>
      <c r="B153" s="11" t="s">
        <v>49</v>
      </c>
      <c r="C153" s="11" t="s">
        <v>77</v>
      </c>
    </row>
    <row r="154" spans="1:3" x14ac:dyDescent="0.2">
      <c r="A154" s="28">
        <v>45939.028275462966</v>
      </c>
      <c r="B154" s="11" t="s">
        <v>52</v>
      </c>
      <c r="C154" s="11" t="s">
        <v>59</v>
      </c>
    </row>
    <row r="155" spans="1:3" x14ac:dyDescent="0.2">
      <c r="A155" s="28">
        <v>45939.028275462966</v>
      </c>
      <c r="B155" s="11" t="s">
        <v>52</v>
      </c>
      <c r="C155" s="11" t="s">
        <v>78</v>
      </c>
    </row>
    <row r="156" spans="1:3" x14ac:dyDescent="0.2">
      <c r="A156" s="28">
        <v>45939.028275462966</v>
      </c>
      <c r="B156" s="11" t="s">
        <v>49</v>
      </c>
      <c r="C156" s="11" t="s">
        <v>79</v>
      </c>
    </row>
    <row r="157" spans="1:3" x14ac:dyDescent="0.2">
      <c r="A157" s="28">
        <v>45939.028275462966</v>
      </c>
      <c r="B157" s="11" t="s">
        <v>52</v>
      </c>
      <c r="C157" s="11" t="s">
        <v>62</v>
      </c>
    </row>
    <row r="158" spans="1:3" x14ac:dyDescent="0.2">
      <c r="A158" s="28">
        <v>45939.028275462966</v>
      </c>
      <c r="B158" s="11" t="s">
        <v>52</v>
      </c>
      <c r="C158" s="11" t="s">
        <v>80</v>
      </c>
    </row>
    <row r="159" spans="1:3" x14ac:dyDescent="0.2">
      <c r="A159" s="28">
        <v>45939.028275462966</v>
      </c>
      <c r="B159" s="11" t="s">
        <v>49</v>
      </c>
      <c r="C159" s="11" t="s">
        <v>81</v>
      </c>
    </row>
    <row r="160" spans="1:3" x14ac:dyDescent="0.2">
      <c r="A160" s="28">
        <v>45939.028275462966</v>
      </c>
      <c r="B160" s="11" t="s">
        <v>52</v>
      </c>
      <c r="C160" s="11" t="s">
        <v>65</v>
      </c>
    </row>
    <row r="161" spans="1:3" x14ac:dyDescent="0.2">
      <c r="A161" s="28">
        <v>45939.028275462966</v>
      </c>
      <c r="B161" s="11" t="s">
        <v>52</v>
      </c>
      <c r="C161" s="11" t="s">
        <v>82</v>
      </c>
    </row>
    <row r="162" spans="1:3" x14ac:dyDescent="0.2">
      <c r="A162" s="28">
        <v>45939.028275462966</v>
      </c>
      <c r="B162" s="11" t="s">
        <v>49</v>
      </c>
      <c r="C162" s="11" t="s">
        <v>83</v>
      </c>
    </row>
    <row r="163" spans="1:3" x14ac:dyDescent="0.2">
      <c r="A163" s="28">
        <v>45939.028275462966</v>
      </c>
      <c r="B163" s="11" t="s">
        <v>49</v>
      </c>
      <c r="C163" s="11" t="s">
        <v>84</v>
      </c>
    </row>
    <row r="164" spans="1:3" x14ac:dyDescent="0.2">
      <c r="A164" s="28">
        <v>45939.099340277775</v>
      </c>
      <c r="B164" s="11" t="s">
        <v>49</v>
      </c>
      <c r="C164" s="11" t="s">
        <v>50</v>
      </c>
    </row>
    <row r="165" spans="1:3" x14ac:dyDescent="0.2">
      <c r="A165" s="28">
        <v>45939.099351851852</v>
      </c>
      <c r="B165" s="11" t="s">
        <v>49</v>
      </c>
      <c r="C165" s="11" t="s">
        <v>51</v>
      </c>
    </row>
    <row r="166" spans="1:3" x14ac:dyDescent="0.2">
      <c r="A166" s="28">
        <v>45939.099351851852</v>
      </c>
      <c r="B166" s="11" t="s">
        <v>52</v>
      </c>
      <c r="C166" s="11" t="s">
        <v>53</v>
      </c>
    </row>
    <row r="167" spans="1:3" x14ac:dyDescent="0.2">
      <c r="A167" s="28">
        <v>45939.099351851852</v>
      </c>
      <c r="B167" s="11" t="s">
        <v>52</v>
      </c>
      <c r="C167" s="11" t="s">
        <v>74</v>
      </c>
    </row>
    <row r="168" spans="1:3" x14ac:dyDescent="0.2">
      <c r="A168" s="28">
        <v>45939.099351851852</v>
      </c>
      <c r="B168" s="11" t="s">
        <v>49</v>
      </c>
      <c r="C168" s="11" t="s">
        <v>75</v>
      </c>
    </row>
    <row r="169" spans="1:3" x14ac:dyDescent="0.2">
      <c r="A169" s="28">
        <v>45939.099351851852</v>
      </c>
      <c r="B169" s="11" t="s">
        <v>52</v>
      </c>
      <c r="C169" s="11" t="s">
        <v>56</v>
      </c>
    </row>
    <row r="170" spans="1:3" x14ac:dyDescent="0.2">
      <c r="A170" s="28">
        <v>45939.099351851852</v>
      </c>
      <c r="B170" s="11" t="s">
        <v>52</v>
      </c>
      <c r="C170" s="11" t="s">
        <v>76</v>
      </c>
    </row>
    <row r="171" spans="1:3" x14ac:dyDescent="0.2">
      <c r="A171" s="28">
        <v>45939.099351851852</v>
      </c>
      <c r="B171" s="11" t="s">
        <v>49</v>
      </c>
      <c r="C171" s="11" t="s">
        <v>77</v>
      </c>
    </row>
    <row r="172" spans="1:3" x14ac:dyDescent="0.2">
      <c r="A172" s="28">
        <v>45939.099351851852</v>
      </c>
      <c r="B172" s="11" t="s">
        <v>52</v>
      </c>
      <c r="C172" s="11" t="s">
        <v>59</v>
      </c>
    </row>
    <row r="173" spans="1:3" x14ac:dyDescent="0.2">
      <c r="A173" s="28">
        <v>45939.099351851852</v>
      </c>
      <c r="B173" s="11" t="s">
        <v>52</v>
      </c>
      <c r="C173" s="11" t="s">
        <v>78</v>
      </c>
    </row>
    <row r="174" spans="1:3" x14ac:dyDescent="0.2">
      <c r="A174" s="28">
        <v>45939.099351851852</v>
      </c>
      <c r="B174" s="11" t="s">
        <v>49</v>
      </c>
      <c r="C174" s="11" t="s">
        <v>79</v>
      </c>
    </row>
    <row r="175" spans="1:3" x14ac:dyDescent="0.2">
      <c r="A175" s="28">
        <v>45939.099351851852</v>
      </c>
      <c r="B175" s="11" t="s">
        <v>52</v>
      </c>
      <c r="C175" s="11" t="s">
        <v>62</v>
      </c>
    </row>
    <row r="176" spans="1:3" x14ac:dyDescent="0.2">
      <c r="A176" s="28">
        <v>45939.099363425928</v>
      </c>
      <c r="B176" s="11" t="s">
        <v>52</v>
      </c>
      <c r="C176" s="11" t="s">
        <v>80</v>
      </c>
    </row>
    <row r="177" spans="1:3" x14ac:dyDescent="0.2">
      <c r="A177" s="28">
        <v>45939.099363425928</v>
      </c>
      <c r="B177" s="11" t="s">
        <v>49</v>
      </c>
      <c r="C177" s="11" t="s">
        <v>81</v>
      </c>
    </row>
    <row r="178" spans="1:3" x14ac:dyDescent="0.2">
      <c r="A178" s="28">
        <v>45939.099363425928</v>
      </c>
      <c r="B178" s="11" t="s">
        <v>52</v>
      </c>
      <c r="C178" s="11" t="s">
        <v>65</v>
      </c>
    </row>
    <row r="179" spans="1:3" x14ac:dyDescent="0.2">
      <c r="A179" s="28">
        <v>45939.099363425928</v>
      </c>
      <c r="B179" s="11" t="s">
        <v>52</v>
      </c>
      <c r="C179" s="11" t="s">
        <v>82</v>
      </c>
    </row>
    <row r="180" spans="1:3" x14ac:dyDescent="0.2">
      <c r="A180" s="28">
        <v>45939.099363425928</v>
      </c>
      <c r="B180" s="11" t="s">
        <v>49</v>
      </c>
      <c r="C180" s="11" t="s">
        <v>83</v>
      </c>
    </row>
    <row r="181" spans="1:3" x14ac:dyDescent="0.2">
      <c r="A181" s="28">
        <v>45939.099363425928</v>
      </c>
      <c r="B181" s="11" t="s">
        <v>49</v>
      </c>
      <c r="C181" s="11" t="s">
        <v>84</v>
      </c>
    </row>
    <row r="182" spans="1:3" x14ac:dyDescent="0.2">
      <c r="A182" s="28">
        <v>45939.099490740744</v>
      </c>
      <c r="B182" s="11" t="s">
        <v>49</v>
      </c>
      <c r="C182" s="11" t="s">
        <v>50</v>
      </c>
    </row>
    <row r="183" spans="1:3" x14ac:dyDescent="0.2">
      <c r="A183" s="28">
        <v>45939.099490740744</v>
      </c>
      <c r="B183" s="11" t="s">
        <v>49</v>
      </c>
      <c r="C183" s="11" t="s">
        <v>51</v>
      </c>
    </row>
    <row r="184" spans="1:3" x14ac:dyDescent="0.2">
      <c r="A184" s="28">
        <v>45939.099490740744</v>
      </c>
      <c r="B184" s="11" t="s">
        <v>52</v>
      </c>
      <c r="C184" s="11" t="s">
        <v>53</v>
      </c>
    </row>
    <row r="185" spans="1:3" x14ac:dyDescent="0.2">
      <c r="A185" s="28">
        <v>45939.099490740744</v>
      </c>
      <c r="B185" s="11" t="s">
        <v>52</v>
      </c>
      <c r="C185" s="11" t="s">
        <v>74</v>
      </c>
    </row>
    <row r="186" spans="1:3" x14ac:dyDescent="0.2">
      <c r="A186" s="28">
        <v>45939.099490740744</v>
      </c>
      <c r="B186" s="11" t="s">
        <v>49</v>
      </c>
      <c r="C186" s="11" t="s">
        <v>75</v>
      </c>
    </row>
    <row r="187" spans="1:3" x14ac:dyDescent="0.2">
      <c r="A187" s="28">
        <v>45939.099490740744</v>
      </c>
      <c r="B187" s="11" t="s">
        <v>52</v>
      </c>
      <c r="C187" s="11" t="s">
        <v>56</v>
      </c>
    </row>
    <row r="188" spans="1:3" x14ac:dyDescent="0.2">
      <c r="A188" s="28">
        <v>45939.099490740744</v>
      </c>
      <c r="B188" s="11" t="s">
        <v>52</v>
      </c>
      <c r="C188" s="11" t="s">
        <v>76</v>
      </c>
    </row>
    <row r="189" spans="1:3" x14ac:dyDescent="0.2">
      <c r="A189" s="28">
        <v>45939.099490740744</v>
      </c>
      <c r="B189" s="11" t="s">
        <v>49</v>
      </c>
      <c r="C189" s="11" t="s">
        <v>77</v>
      </c>
    </row>
    <row r="190" spans="1:3" x14ac:dyDescent="0.2">
      <c r="A190" s="28">
        <v>45939.099490740744</v>
      </c>
      <c r="B190" s="11" t="s">
        <v>52</v>
      </c>
      <c r="C190" s="11" t="s">
        <v>59</v>
      </c>
    </row>
    <row r="191" spans="1:3" x14ac:dyDescent="0.2">
      <c r="A191" s="28">
        <v>45939.099490740744</v>
      </c>
      <c r="B191" s="11" t="s">
        <v>52</v>
      </c>
      <c r="C191" s="11" t="s">
        <v>78</v>
      </c>
    </row>
    <row r="192" spans="1:3" x14ac:dyDescent="0.2">
      <c r="A192" s="28">
        <v>45939.099490740744</v>
      </c>
      <c r="B192" s="11" t="s">
        <v>49</v>
      </c>
      <c r="C192" s="11" t="s">
        <v>79</v>
      </c>
    </row>
    <row r="193" spans="1:3" x14ac:dyDescent="0.2">
      <c r="A193" s="28">
        <v>45939.099490740744</v>
      </c>
      <c r="B193" s="11" t="s">
        <v>52</v>
      </c>
      <c r="C193" s="11" t="s">
        <v>62</v>
      </c>
    </row>
    <row r="194" spans="1:3" x14ac:dyDescent="0.2">
      <c r="A194" s="28">
        <v>45939.099502314813</v>
      </c>
      <c r="B194" s="11" t="s">
        <v>52</v>
      </c>
      <c r="C194" s="11" t="s">
        <v>80</v>
      </c>
    </row>
    <row r="195" spans="1:3" x14ac:dyDescent="0.2">
      <c r="A195" s="28">
        <v>45939.099502314813</v>
      </c>
      <c r="B195" s="11" t="s">
        <v>49</v>
      </c>
      <c r="C195" s="11" t="s">
        <v>81</v>
      </c>
    </row>
    <row r="196" spans="1:3" x14ac:dyDescent="0.2">
      <c r="A196" s="28">
        <v>45939.099502314813</v>
      </c>
      <c r="B196" s="11" t="s">
        <v>52</v>
      </c>
      <c r="C196" s="11" t="s">
        <v>65</v>
      </c>
    </row>
    <row r="197" spans="1:3" x14ac:dyDescent="0.2">
      <c r="A197" s="28">
        <v>45939.099502314813</v>
      </c>
      <c r="B197" s="11" t="s">
        <v>52</v>
      </c>
      <c r="C197" s="11" t="s">
        <v>82</v>
      </c>
    </row>
    <row r="198" spans="1:3" x14ac:dyDescent="0.2">
      <c r="A198" s="28">
        <v>45939.099502314813</v>
      </c>
      <c r="B198" s="11" t="s">
        <v>49</v>
      </c>
      <c r="C198" s="11" t="s">
        <v>83</v>
      </c>
    </row>
    <row r="199" spans="1:3" x14ac:dyDescent="0.2">
      <c r="A199" s="28">
        <v>45939.099502314813</v>
      </c>
      <c r="B199" s="11" t="s">
        <v>49</v>
      </c>
      <c r="C199" s="11" t="s">
        <v>84</v>
      </c>
    </row>
    <row r="200" spans="1:3" x14ac:dyDescent="0.2">
      <c r="A200" s="28">
        <v>45939.102314814816</v>
      </c>
      <c r="B200" s="11" t="s">
        <v>49</v>
      </c>
      <c r="C200" s="11" t="s">
        <v>50</v>
      </c>
    </row>
    <row r="201" spans="1:3" x14ac:dyDescent="0.2">
      <c r="A201" s="28">
        <v>45939.102314814816</v>
      </c>
      <c r="B201" s="11" t="s">
        <v>49</v>
      </c>
      <c r="C201" s="11" t="s">
        <v>51</v>
      </c>
    </row>
    <row r="202" spans="1:3" x14ac:dyDescent="0.2">
      <c r="A202" s="28">
        <v>45939.102314814816</v>
      </c>
      <c r="B202" s="11" t="s">
        <v>52</v>
      </c>
      <c r="C202" s="11" t="s">
        <v>53</v>
      </c>
    </row>
    <row r="203" spans="1:3" x14ac:dyDescent="0.2">
      <c r="A203" s="28">
        <v>45939.102314814816</v>
      </c>
      <c r="B203" s="11" t="s">
        <v>52</v>
      </c>
      <c r="C203" s="11" t="s">
        <v>74</v>
      </c>
    </row>
    <row r="204" spans="1:3" x14ac:dyDescent="0.2">
      <c r="A204" s="28">
        <v>45939.102314814816</v>
      </c>
      <c r="B204" s="11" t="s">
        <v>49</v>
      </c>
      <c r="C204" s="11" t="s">
        <v>75</v>
      </c>
    </row>
    <row r="205" spans="1:3" x14ac:dyDescent="0.2">
      <c r="A205" s="28">
        <v>45939.102314814816</v>
      </c>
      <c r="B205" s="11" t="s">
        <v>52</v>
      </c>
      <c r="C205" s="11" t="s">
        <v>56</v>
      </c>
    </row>
    <row r="206" spans="1:3" x14ac:dyDescent="0.2">
      <c r="A206" s="28">
        <v>45939.102326388886</v>
      </c>
      <c r="B206" s="11" t="s">
        <v>52</v>
      </c>
      <c r="C206" s="11" t="s">
        <v>76</v>
      </c>
    </row>
    <row r="207" spans="1:3" x14ac:dyDescent="0.2">
      <c r="A207" s="28">
        <v>45939.102326388886</v>
      </c>
      <c r="B207" s="11" t="s">
        <v>49</v>
      </c>
      <c r="C207" s="11" t="s">
        <v>77</v>
      </c>
    </row>
    <row r="208" spans="1:3" x14ac:dyDescent="0.2">
      <c r="A208" s="28">
        <v>45939.102326388886</v>
      </c>
      <c r="B208" s="11" t="s">
        <v>52</v>
      </c>
      <c r="C208" s="11" t="s">
        <v>59</v>
      </c>
    </row>
    <row r="209" spans="1:3" x14ac:dyDescent="0.2">
      <c r="A209" s="28">
        <v>45939.102326388886</v>
      </c>
      <c r="B209" s="11" t="s">
        <v>52</v>
      </c>
      <c r="C209" s="11" t="s">
        <v>78</v>
      </c>
    </row>
    <row r="210" spans="1:3" x14ac:dyDescent="0.2">
      <c r="A210" s="28">
        <v>45939.102326388886</v>
      </c>
      <c r="B210" s="11" t="s">
        <v>49</v>
      </c>
      <c r="C210" s="11" t="s">
        <v>79</v>
      </c>
    </row>
    <row r="211" spans="1:3" x14ac:dyDescent="0.2">
      <c r="A211" s="28">
        <v>45939.102326388886</v>
      </c>
      <c r="B211" s="11" t="s">
        <v>52</v>
      </c>
      <c r="C211" s="11" t="s">
        <v>62</v>
      </c>
    </row>
    <row r="212" spans="1:3" x14ac:dyDescent="0.2">
      <c r="A212" s="28">
        <v>45939.102326388886</v>
      </c>
      <c r="B212" s="11" t="s">
        <v>52</v>
      </c>
      <c r="C212" s="11" t="s">
        <v>80</v>
      </c>
    </row>
    <row r="213" spans="1:3" x14ac:dyDescent="0.2">
      <c r="A213" s="28">
        <v>45939.102326388886</v>
      </c>
      <c r="B213" s="11" t="s">
        <v>49</v>
      </c>
      <c r="C213" s="11" t="s">
        <v>81</v>
      </c>
    </row>
    <row r="214" spans="1:3" x14ac:dyDescent="0.2">
      <c r="A214" s="28">
        <v>45939.102326388886</v>
      </c>
      <c r="B214" s="11" t="s">
        <v>52</v>
      </c>
      <c r="C214" s="11" t="s">
        <v>65</v>
      </c>
    </row>
    <row r="215" spans="1:3" x14ac:dyDescent="0.2">
      <c r="A215" s="28">
        <v>45939.102326388886</v>
      </c>
      <c r="B215" s="11" t="s">
        <v>52</v>
      </c>
      <c r="C215" s="11" t="s">
        <v>82</v>
      </c>
    </row>
    <row r="216" spans="1:3" x14ac:dyDescent="0.2">
      <c r="A216" s="28">
        <v>45939.102326388886</v>
      </c>
      <c r="B216" s="11" t="s">
        <v>49</v>
      </c>
      <c r="C216" s="11" t="s">
        <v>83</v>
      </c>
    </row>
    <row r="217" spans="1:3" x14ac:dyDescent="0.2">
      <c r="A217" s="28">
        <v>45939.102326388886</v>
      </c>
      <c r="B217" s="11" t="s">
        <v>49</v>
      </c>
      <c r="C217" s="11" t="s">
        <v>84</v>
      </c>
    </row>
    <row r="218" spans="1:3" x14ac:dyDescent="0.2">
      <c r="A218" s="28">
        <v>45939.798148148147</v>
      </c>
      <c r="B218" s="11" t="s">
        <v>49</v>
      </c>
      <c r="C218" s="11" t="s">
        <v>50</v>
      </c>
    </row>
    <row r="219" spans="1:3" x14ac:dyDescent="0.2">
      <c r="A219" s="28">
        <v>45939.798148148147</v>
      </c>
      <c r="B219" s="11" t="s">
        <v>49</v>
      </c>
      <c r="C219" s="11" t="s">
        <v>51</v>
      </c>
    </row>
    <row r="220" spans="1:3" x14ac:dyDescent="0.2">
      <c r="A220" s="28">
        <v>45939.798148148147</v>
      </c>
      <c r="B220" s="11" t="s">
        <v>52</v>
      </c>
      <c r="C220" s="11" t="s">
        <v>53</v>
      </c>
    </row>
    <row r="221" spans="1:3" x14ac:dyDescent="0.2">
      <c r="A221" s="28">
        <v>45939.798148148147</v>
      </c>
      <c r="B221" s="11" t="s">
        <v>52</v>
      </c>
      <c r="C221" s="11" t="s">
        <v>89</v>
      </c>
    </row>
    <row r="222" spans="1:3" x14ac:dyDescent="0.2">
      <c r="A222" s="28">
        <v>45939.798148148147</v>
      </c>
      <c r="B222" s="11" t="s">
        <v>49</v>
      </c>
      <c r="C222" s="11" t="s">
        <v>90</v>
      </c>
    </row>
    <row r="223" spans="1:3" x14ac:dyDescent="0.2">
      <c r="A223" s="28">
        <v>45939.798148148147</v>
      </c>
      <c r="B223" s="11" t="s">
        <v>52</v>
      </c>
      <c r="C223" s="11" t="s">
        <v>56</v>
      </c>
    </row>
    <row r="224" spans="1:3" x14ac:dyDescent="0.2">
      <c r="A224" s="28">
        <v>45939.798148148147</v>
      </c>
      <c r="B224" s="11" t="s">
        <v>52</v>
      </c>
      <c r="C224" s="11" t="s">
        <v>76</v>
      </c>
    </row>
    <row r="225" spans="1:3" x14ac:dyDescent="0.2">
      <c r="A225" s="28">
        <v>45939.798148148147</v>
      </c>
      <c r="B225" s="11" t="s">
        <v>49</v>
      </c>
      <c r="C225" s="11" t="s">
        <v>77</v>
      </c>
    </row>
    <row r="226" spans="1:3" x14ac:dyDescent="0.2">
      <c r="A226" s="28">
        <v>45939.798148148147</v>
      </c>
      <c r="B226" s="11" t="s">
        <v>52</v>
      </c>
      <c r="C226" s="11" t="s">
        <v>59</v>
      </c>
    </row>
    <row r="227" spans="1:3" x14ac:dyDescent="0.2">
      <c r="A227" s="28">
        <v>45939.798159722224</v>
      </c>
      <c r="B227" s="11" t="s">
        <v>52</v>
      </c>
      <c r="C227" s="11" t="s">
        <v>91</v>
      </c>
    </row>
    <row r="228" spans="1:3" x14ac:dyDescent="0.2">
      <c r="A228" s="28">
        <v>45939.798159722224</v>
      </c>
      <c r="B228" s="11" t="s">
        <v>49</v>
      </c>
      <c r="C228" s="11" t="s">
        <v>79</v>
      </c>
    </row>
    <row r="229" spans="1:3" x14ac:dyDescent="0.2">
      <c r="A229" s="28">
        <v>45939.798159722224</v>
      </c>
      <c r="B229" s="11" t="s">
        <v>52</v>
      </c>
      <c r="C229" s="11" t="s">
        <v>62</v>
      </c>
    </row>
    <row r="230" spans="1:3" x14ac:dyDescent="0.2">
      <c r="A230" s="28">
        <v>45939.798159722224</v>
      </c>
      <c r="B230" s="11" t="s">
        <v>52</v>
      </c>
      <c r="C230" s="11" t="s">
        <v>92</v>
      </c>
    </row>
    <row r="231" spans="1:3" x14ac:dyDescent="0.2">
      <c r="A231" s="28">
        <v>45939.798159722224</v>
      </c>
      <c r="B231" s="11" t="s">
        <v>49</v>
      </c>
      <c r="C231" s="11" t="s">
        <v>93</v>
      </c>
    </row>
    <row r="232" spans="1:3" x14ac:dyDescent="0.2">
      <c r="A232" s="28">
        <v>45939.798159722224</v>
      </c>
      <c r="B232" s="11" t="s">
        <v>52</v>
      </c>
      <c r="C232" s="11" t="s">
        <v>65</v>
      </c>
    </row>
    <row r="233" spans="1:3" x14ac:dyDescent="0.2">
      <c r="A233" s="28">
        <v>45939.798159722224</v>
      </c>
      <c r="B233" s="11" t="s">
        <v>52</v>
      </c>
      <c r="C233" s="11" t="s">
        <v>94</v>
      </c>
    </row>
    <row r="234" spans="1:3" x14ac:dyDescent="0.2">
      <c r="A234" s="28">
        <v>45939.798159722224</v>
      </c>
      <c r="B234" s="11" t="s">
        <v>49</v>
      </c>
      <c r="C234" s="11" t="s">
        <v>83</v>
      </c>
    </row>
    <row r="235" spans="1:3" x14ac:dyDescent="0.2">
      <c r="A235" s="28">
        <v>45939.798159722224</v>
      </c>
      <c r="B235" s="11" t="s">
        <v>49</v>
      </c>
      <c r="C235" s="11" t="s">
        <v>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2025-10-09T17:09:52Z</dcterms:modified>
</cp:coreProperties>
</file>