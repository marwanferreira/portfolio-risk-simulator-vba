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mferr\Downloads\"/>
    </mc:Choice>
  </mc:AlternateContent>
  <xr:revisionPtr revIDLastSave="0" documentId="13_ncr:1_{14477EA7-CFBB-4369-8FDF-F2F8A86E8CAE}" xr6:coauthVersionLast="47" xr6:coauthVersionMax="47" xr10:uidLastSave="{00000000-0000-0000-0000-000000000000}"/>
  <bookViews>
    <workbookView xWindow="-110" yWindow="-110" windowWidth="19420" windowHeight="11500" firstSheet="1" activeTab="2"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8" l="1" a="1"/>
  <c r="A2" i="8"/>
  <c r="C2" i="8" a="1"/>
  <c r="C2" i="8"/>
  <c r="D2" i="8" a="1"/>
  <c r="D2" i="8"/>
  <c r="E2" i="8" a="1"/>
  <c r="E2" i="8"/>
  <c r="F2" i="8" a="1"/>
  <c r="F2" i="8"/>
  <c r="G2" i="8" a="1"/>
  <c r="G2" i="8"/>
  <c r="H2" i="8" a="1"/>
  <c r="H2" i="8"/>
  <c r="I2" i="8" a="1"/>
  <c r="I2" i="8"/>
  <c r="J2" i="8" a="1"/>
  <c r="J2" i="8"/>
  <c r="K2" i="8" a="1"/>
  <c r="K2" i="8"/>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F12" i="2" l="1"/>
  <c r="F2" i="2"/>
  <c r="F6" i="2"/>
  <c r="F13" i="2"/>
  <c r="F4" i="2"/>
  <c r="F7" i="2"/>
  <c r="F8" i="2"/>
  <c r="F5" i="2"/>
  <c r="F9" i="2"/>
  <c r="F14" i="2"/>
  <c r="F3" i="2"/>
  <c r="F1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398">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futureMetadata>
  <futureMetadata name="XLDAPR" count="1">
    <bk>
      <extLst>
        <ext uri="{bdbb8cdc-fa1e-496e-a857-3c3f30c029c3}">
          <xda:dynamicArrayProperties fDynamic="1" fCollapsed="0"/>
        </ext>
      </extLst>
    </bk>
  </futureMetadata>
  <cellMetadata count="1">
    <bk>
      <rc t="2" v="0"/>
    </bk>
  </cellMetadata>
  <valueMetadata count="239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valueMetadata>
</metadata>
</file>

<file path=xl/sharedStrings.xml><?xml version="1.0" encoding="utf-8"?>
<sst xmlns="http://schemas.openxmlformats.org/spreadsheetml/2006/main" count="91" uniqueCount="37">
  <si>
    <t>Asset Name</t>
  </si>
  <si>
    <t>Asset Type</t>
  </si>
  <si>
    <t>Exposure (€)</t>
  </si>
  <si>
    <t>Beta</t>
  </si>
  <si>
    <t>Equity</t>
  </si>
  <si>
    <t>Bond</t>
  </si>
  <si>
    <t>Shock</t>
  </si>
  <si>
    <t>Shock Unit (%, bps…)</t>
  </si>
  <si>
    <t>Timestamp</t>
  </si>
  <si>
    <t>Oil</t>
  </si>
  <si>
    <t>%</t>
  </si>
  <si>
    <t>Commodities</t>
  </si>
  <si>
    <t>Rates</t>
  </si>
  <si>
    <t>bps</t>
  </si>
  <si>
    <t>Asset</t>
  </si>
  <si>
    <t>Shock Applied</t>
  </si>
  <si>
    <t>PnL Impact (%)</t>
  </si>
  <si>
    <t>100</t>
  </si>
  <si>
    <t>Total Portfolio</t>
  </si>
  <si>
    <t>Ticker</t>
  </si>
  <si>
    <t>Price</t>
  </si>
  <si>
    <t>Market Cap</t>
  </si>
  <si>
    <t>FX</t>
  </si>
  <si>
    <t>MICROSOFT CORPORATION (XNAS:MSFT)</t>
  </si>
  <si>
    <t>12,5</t>
  </si>
  <si>
    <t>-15</t>
  </si>
  <si>
    <t>No data</t>
  </si>
  <si>
    <t>Bonds Powered Income USD</t>
  </si>
  <si>
    <t>ALPHABET INC. (XNAS:GOOGL)</t>
  </si>
  <si>
    <t>PnL Impact (€)</t>
  </si>
  <si>
    <t>12</t>
  </si>
  <si>
    <t>Asset (Ticker)</t>
  </si>
  <si>
    <t>VaR (95%) €</t>
  </si>
  <si>
    <t>Expected Shortfall (95%) €</t>
  </si>
  <si>
    <t>Previous close</t>
  </si>
  <si>
    <t>Returns</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</si>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</sst>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applyAlignment="1">
      <alignment horizontal="center"/>
    </xf>
    <xf numFmtId="0" fontId="1" fillId="0" borderId="0" xfId="0" applyFont="1"/>
    <xf numFmtId="165" fontId="0" fillId="0" borderId="0" xfId="0" applyNumberFormat="1"/>
    <xf numFmtId="165"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xf numFmtId="3" fontId="0" fillId="0" borderId="0" xfId="0" applyNumberFormat="1"/>
    <xf numFmtId="2" fontId="0" fillId="0" borderId="0" xfId="0" applyNumberFormat="1"/>
    <xf numFmtId="0" fontId="1" fillId="0" borderId="1" xfId="0" applyFont="1" applyBorder="1" applyAlignment="1">
      <alignment horizontal="center"/>
    </xf>
    <xf numFmtId="0" fontId="0" fillId="0" borderId="1" xfId="0" applyBorder="1"/>
    <xf numFmtId="49" fontId="0" fillId="0" borderId="1" xfId="0" applyNumberFormat="1" applyBorder="1"/>
    <xf numFmtId="165" fontId="0" fillId="0" borderId="1" xfId="0" applyNumberFormat="1" applyBorder="1"/>
    <xf numFmtId="164" fontId="0" fillId="0" borderId="1" xfId="0" applyNumberFormat="1" applyBorder="1"/>
    <xf numFmtId="0" fontId="1" fillId="0" borderId="1" xfId="0" applyFont="1" applyBorder="1"/>
    <xf numFmtId="165" fontId="1" fillId="0" borderId="1" xfId="0" applyNumberFormat="1" applyFont="1" applyBorder="1"/>
    <xf numFmtId="164" fontId="1" fillId="0" borderId="1" xfId="0" applyNumberFormat="1" applyFont="1" applyBorder="1"/>
    <xf numFmtId="169" fontId="0" fillId="0" borderId="0" xfId="0" applyNumberFormat="1"/>
    <xf numFmtId="14" fontId="0" fillId="0" borderId="0" xfId="0" applyNumberFormat="1"/>
    <xf numFmtId="0" fontId="2" fillId="0" borderId="0" xfId="0" applyFont="1" applyAlignment="1">
      <alignment horizontal="center" vertical="center" wrapText="1"/>
    </xf>
  </cellXfs>
  <cellStyles count="1">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0">
  <a r="1" c="249">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51</v>
    <v t="i">52</v>
    <v t="i">55</v>
    <v t="i">56</v>
    <v t="i">57</v>
    <v t="i">59</v>
    <v t="i">62</v>
    <v t="i">63</v>
    <v t="i">64</v>
    <v t="i">65</v>
    <v t="i">66</v>
    <v t="i">69</v>
    <v t="i">70</v>
    <v t="i">71</v>
    <v t="i">72</v>
    <v t="i">73</v>
    <v t="i">76</v>
    <v t="i">77</v>
    <v t="i">78</v>
    <v t="i">79</v>
    <v t="i">80</v>
    <v t="i">83</v>
    <v t="i">84</v>
    <v t="i">86</v>
    <v t="i">87</v>
    <v t="i">90</v>
    <v t="i">91</v>
    <v t="i">93</v>
    <v t="i">94</v>
    <v t="i">97</v>
    <v t="i">98</v>
    <v t="i">99</v>
    <v t="i">101</v>
    <v t="i">104</v>
    <v t="i">105</v>
    <v t="i">106</v>
    <v t="i">107</v>
    <v t="i">108</v>
    <v t="i">112</v>
    <v t="i">113</v>
    <v t="i">114</v>
    <v t="i">115</v>
    <v t="i">118</v>
    <v t="i">119</v>
    <v t="i">120</v>
    <v t="i">121</v>
    <v t="i">122</v>
    <v t="i">125</v>
    <v t="i">126</v>
    <v t="i">127</v>
    <v t="i">128</v>
    <v t="i">129</v>
    <v t="i">132</v>
    <v t="i">133</v>
    <v t="i">134</v>
    <v t="i">135</v>
    <v t="i">136</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192</v>
    <v t="i">195</v>
    <v t="i">196</v>
    <v t="i">197</v>
    <v t="i">198</v>
    <v t="i">202</v>
    <v t="i">203</v>
    <v t="i">204</v>
    <v t="i">205</v>
    <v t="i">206</v>
    <v t="i">209</v>
    <v t="i">210</v>
    <v t="i">211</v>
    <v t="i">212</v>
    <v t="i">213</v>
    <v t="i">216</v>
    <v t="i">217</v>
    <v t="i">218</v>
    <v t="i">219</v>
    <v t="i">220</v>
    <v t="i">223</v>
    <v t="i">224</v>
    <v t="i">225</v>
    <v t="i">226</v>
    <v t="i">227</v>
    <v t="i">230</v>
    <v t="i">231</v>
    <v t="i">232</v>
    <v t="i">233</v>
    <v t="i">234</v>
    <v t="i">238</v>
    <v t="i">239</v>
    <v t="i">240</v>
    <v t="i">241</v>
    <v t="i">244</v>
    <v t="i">245</v>
    <v t="i">246</v>
    <v t="i">247</v>
    <v t="i">248</v>
    <v t="i">251</v>
    <v t="i">252</v>
    <v t="i">253</v>
    <v t="i">254</v>
    <v t="i">255</v>
    <v t="i">258</v>
    <v t="i">259</v>
    <v t="i">260</v>
    <v t="i">262</v>
    <v t="i">265</v>
    <v t="i">266</v>
    <v t="i">267</v>
    <v t="i">268</v>
    <v t="i">269</v>
    <v t="i">272</v>
    <v t="i">273</v>
    <v t="i">274</v>
    <v t="i">275</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328</v>
    <v t="i">329</v>
    <v t="i">330</v>
    <v t="i">331</v>
    <v t="i">332</v>
    <v t="i">336</v>
    <v t="i">337</v>
    <v t="i">338</v>
    <v t="i">339</v>
    <v t="i">342</v>
    <v t="i">343</v>
    <v t="i">344</v>
    <v t="i">345</v>
    <v t="i">346</v>
    <v t="i">349</v>
    <v t="i">350</v>
    <v t="i">351</v>
    <v t="i">352</v>
    <v t="i">353</v>
    <v t="i">356</v>
    <v t="i">357</v>
    <v t="i">358</v>
    <v t="i">359</v>
    <v t="i">360</v>
    <v t="i">363</v>
  </a>
  <a r="1" c="249">
    <v>568.62</v>
    <v>568.86</v>
    <v>567.82000000000005</v>
    <v>572.98</v>
    <v>567.79999999999995</v>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 r="1" c="249">
    <v>226.21</v>
    <v>226.78</v>
    <v>225.67</v>
    <v>226.8</v>
    <v>221.69</v>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a>
  <a r="1" c="249">
    <v>117</v>
    <v>118.85</v>
    <v>122.85</v>
    <v>124.92</v>
    <v>127.72</v>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a>
  <a r="1" c="249">
    <v>420.69</v>
    <v>417.13</v>
    <v>416.54</v>
    <v>416.06</v>
    <v>409.54</v>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a>
  <a r="1" c="249">
    <v>576.47</v>
    <v>572.80999999999995</v>
    <v>582.77</v>
    <v>595.94000000000005</v>
    <v>584.78</v>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a>
  <a r="1" c="249">
    <v>166.99</v>
    <v>165.86</v>
    <v>165.86</v>
    <v>167.06</v>
    <v>162.97999999999999</v>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a>
  <a r="1" c="249">
    <v>245.61</v>
    <v>245.66</v>
    <v>245.49</v>
    <v>245</v>
    <v>244.17</v>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a>
  <a r="1" c="249">
    <v>72.11</v>
    <v>72.760000000000005</v>
    <v>75.73</v>
    <v>76.349999999999994</v>
    <v>79.2</v>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a>
  <a r="1" c="249">
    <v>98.19</v>
    <v>97.91</v>
    <v>97.41</v>
    <v>96.47</v>
    <v>96.12</v>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a>
</arrayData>
</file>

<file path=xl/richData/rdrichvalue.xml><?xml version="1.0" encoding="utf-8"?>
<rvData xmlns="http://schemas.microsoft.com/office/spreadsheetml/2017/richdata" count="2435">
  <rv s="0">
    <v>https://www.bing.com/financeapi/forcetrigger?t=a1mou2&amp;q=XNAS%3aAAPL&amp;form=skydnc</v>
    <v>Learn more on Bing</v>
  </rv>
  <rv s="1">
    <v>en-GB</v>
    <v>a1mou2</v>
    <v>268435456</v>
    <v>1</v>
    <v>Powered by Refinitiv</v>
    <v>0</v>
    <v>APPLE INC. (XNAS:AAPL)</v>
    <v>2</v>
    <v>3</v>
    <v>Finance</v>
    <v>4</v>
    <v>260.10000000000002</v>
    <v>169.21010000000001</v>
    <v>1.0931</v>
    <v>0.2</v>
    <v>-2.5530000000000001E-3</v>
    <v>7.8609999999999997E-4</v>
    <v>-0.65</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255.91900000000001</v>
    <v>Computers, Phones &amp; Household Electronics</v>
    <v>Stock</v>
    <v>45930.944264108592</v>
    <v>0</v>
    <v>253.11</v>
    <v>3778808505700</v>
    <v>APPLE INC.</v>
    <v>APPLE INC.</v>
    <v>254.85499999999999</v>
    <v>35.119900000000001</v>
    <v>254.43</v>
    <v>254.63</v>
    <v>253.98</v>
    <v>14840390000</v>
    <v>AAPL</v>
    <v>APPLE INC. (XNAS:AAPL)</v>
    <v>37678872</v>
    <v>56885723</v>
    <v>1977</v>
  </rv>
  <rv s="2">
    <v>1</v>
  </rv>
  <rv s="0">
    <v>https://www.bing.com/financeapi/forcetrigger?t=a1yv52&amp;q=XNAS%3aNVDA&amp;form=skydnc</v>
    <v>Learn more on Bing</v>
  </rv>
  <rv s="1">
    <v>en-GB</v>
    <v>a1yv52</v>
    <v>268435456</v>
    <v>1</v>
    <v>Powered by Refinitiv</v>
    <v>0</v>
    <v>NVIDIA CORPORATION (XNAS:NVDA)</v>
    <v>2</v>
    <v>3</v>
    <v>Finance</v>
    <v>4</v>
    <v>187.35</v>
    <v>86.62</v>
    <v>2.1213000000000002</v>
    <v>4.7249999999999996</v>
    <v>-2.0899999999999998E-3</v>
    <v>2.5982999999999999E-2</v>
    <v>-0.39</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187.35</v>
    <v>Semiconductors &amp; Semiconductor Equipment</v>
    <v>Stock</v>
    <v>45930.944238564065</v>
    <v>3</v>
    <v>181.48</v>
    <v>4533772500000</v>
    <v>NVIDIA CORPORATION</v>
    <v>NVIDIA CORPORATION</v>
    <v>182.08</v>
    <v>53.1023</v>
    <v>181.85</v>
    <v>186.57499999999999</v>
    <v>186.19</v>
    <v>24300000000</v>
    <v>NVDA</v>
    <v>NVIDIA CORPORATION (XNAS:NVDA)</v>
    <v>236559321</v>
    <v>189831199</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1.024</v>
    <v>3.35</v>
    <v>-4.7780000000000001E-3</v>
    <v>6.5100000000000002E-3</v>
    <v>-2.4750000000000001</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518.16</v>
    <v>9</v>
    <v>Software &amp; IT Services</v>
    <v>Stock</v>
    <v>45930.944251145309</v>
    <v>10</v>
    <v>509.66</v>
    <v>3850008847650</v>
    <v>MICROSOFT CORPORATION</v>
    <v>MICROSOFT CORPORATION</v>
    <v>513.24</v>
    <v>37.724299999999999</v>
    <v>514.6</v>
    <v>517.95000000000005</v>
    <v>515.47500000000002</v>
    <v>7433167000</v>
    <v>MSFT</v>
    <v>MICROSOFT CORPORATION (XNAS:MSFT)</v>
    <v>19716667</v>
    <v>20521067</v>
    <v>1993</v>
  </rv>
  <rv s="2">
    <v>11</v>
  </rv>
  <rv s="0">
    <v>https://www.bing.com/financeapi/forcetrigger?t=a1slm7&amp;q=XNAS%3aMETA&amp;form=skydnc</v>
    <v>Learn more on Bing</v>
  </rv>
  <rv s="1">
    <v>en-GB</v>
    <v>a1slm7</v>
    <v>268435456</v>
    <v>1</v>
    <v>Powered by Refinitiv</v>
    <v>0</v>
    <v>Meta Platforms, Inc. (XNAS:META)</v>
    <v>2</v>
    <v>3</v>
    <v>Finance</v>
    <v>4</v>
    <v>796.25</v>
    <v>479.8</v>
    <v>1.2076</v>
    <v>-9.02</v>
    <v>-1.362E-5</v>
    <v>-1.2133E-2</v>
    <v>-0.01</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742.97</v>
    <v>Software &amp; IT Services</v>
    <v>Stock</v>
    <v>45930.943886376561</v>
    <v>13</v>
    <v>726.3</v>
    <v>1844866107580</v>
    <v>Meta Platforms, Inc.</v>
    <v>Meta Platforms, Inc.</v>
    <v>742.25</v>
    <v>26.689900000000002</v>
    <v>743.4</v>
    <v>734.38</v>
    <v>734.37</v>
    <v>2512141000</v>
    <v>META</v>
    <v>Meta Platforms, Inc. (XNAS:META)</v>
    <v>16213978</v>
    <v>10300696</v>
    <v>2004</v>
  </rv>
  <rv s="2">
    <v>14</v>
  </rv>
  <rv s="0">
    <v>https://www.bing.com/financeapi/forcetrigger?t=a1u3rw&amp;q=XNAS%3aGOOGL&amp;form=skydnc</v>
    <v>Learn more on Bing</v>
  </rv>
  <rv s="1">
    <v>en-GB</v>
    <v>a1u3rw</v>
    <v>268435456</v>
    <v>1</v>
    <v>Powered by Refinitiv</v>
    <v>0</v>
    <v>ALPHABET INC. (XNAS:GOOGL)</v>
    <v>2</v>
    <v>3</v>
    <v>Finance</v>
    <v>4</v>
    <v>256</v>
    <v>140.53</v>
    <v>0.998</v>
    <v>-0.95</v>
    <v>-2.879E-4</v>
    <v>-3.8929999999999998E-3</v>
    <v>-7.0000000000000007E-2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243.29</v>
    <v>Software &amp; IT Services</v>
    <v>Stock</v>
    <v>45930.944244756247</v>
    <v>16</v>
    <v>239.245</v>
    <v>2953224000000</v>
    <v>ALPHABET INC.</v>
    <v>ALPHABET INC.</v>
    <v>242.81</v>
    <v>25.988</v>
    <v>244.05</v>
    <v>243.1</v>
    <v>243.03</v>
    <v>12094000000</v>
    <v>GOOGL</v>
    <v>ALPHABET INC. (XNAS:GOOGL)</v>
    <v>34707225</v>
    <v>37928993</v>
    <v>2015</v>
  </rv>
  <rv s="2">
    <v>17</v>
  </rv>
  <rv s="0">
    <v>https://www.bing.com/financeapi/forcetrigger?t=a23hqh&amp;q=ARCX%3aSPY&amp;form=skydnc</v>
    <v>Learn more on Bing</v>
  </rv>
  <rv s="6">
    <v>en-GB</v>
    <v>a23hqh</v>
    <v>268435456</v>
    <v>1</v>
    <v>Powered by Refinitiv</v>
    <v>10</v>
    <v>SPDR S&amp;P 500 (ARCX:SPY)</v>
    <v>11</v>
    <v>12</v>
    <v>Finance</v>
    <v>13</v>
    <v>667.34</v>
    <v>481.8</v>
    <v>0.99850000000000005</v>
    <v>2.5249999999999999</v>
    <v>-1.441E-3</v>
    <v>3.8050000000000002E-3</v>
    <v>-0.96</v>
    <v>USD</v>
    <v>NYSE Arca</v>
    <v>ARCX</v>
    <v>9.4499999999999998E-4</v>
    <v>666.65</v>
    <v>ETF</v>
    <v>45930.944262800782</v>
    <v>19</v>
    <v>661.61</v>
    <v>654797681275.29004</v>
    <v>SPDR S&amp;P 500</v>
    <v>662.93</v>
    <v>663.68</v>
    <v>666.20500000000004</v>
    <v>665.22</v>
    <v>SPY</v>
    <v>SPDR S&amp;P 500 (ARCX:SPY)</v>
    <v>86181236</v>
    <v>70240998</v>
  </rv>
  <rv s="2">
    <v>20</v>
  </rv>
  <rv s="0">
    <v>https://www.bing.com/financeapi/forcetrigger?t=a24b5r&amp;q=XNAS%3aTLT&amp;form=skydnc</v>
    <v>Learn more on Bing</v>
  </rv>
  <rv s="6">
    <v>en-GB</v>
    <v>a24b5r</v>
    <v>268435456</v>
    <v>1</v>
    <v>Powered by Refinitiv</v>
    <v>10</v>
    <v>iShares:20+ Trs Bd ETF (XNAS:TLT)</v>
    <v>11</v>
    <v>12</v>
    <v>Finance</v>
    <v>13</v>
    <v>99.33</v>
    <v>83.295000000000002</v>
    <v>1.0716000000000001</v>
    <v>-0.26</v>
    <v>-7.2730000000000006E-4</v>
    <v>-2.9010000000000004E-3</v>
    <v>-6.5000000000000002E-2</v>
    <v>USD</v>
    <v>Nasdaq Stock Market</v>
    <v>XNAS</v>
    <v>1.5E-3</v>
    <v>90.04</v>
    <v>ETF</v>
    <v>45930.943409687497</v>
    <v>22</v>
    <v>89.21</v>
    <v>47464401523.18</v>
    <v>iShares:20+ Trs Bd ETF</v>
    <v>89.66</v>
    <v>89.63</v>
    <v>89.37</v>
    <v>89.305000000000007</v>
    <v>TLT</v>
    <v>iShares:20+ Trs Bd ETF (XNAS:TLT)</v>
    <v>38541080</v>
    <v>38176395</v>
  </rv>
  <rv s="2">
    <v>23</v>
  </rv>
  <rv s="0">
    <v>https://www.bing.com/financeapi/forcetrigger?t=a1twnm&amp;q=ARCX%3aGLD&amp;form=skydnc</v>
    <v>Learn more on Bing</v>
  </rv>
  <rv s="6">
    <v>en-GB</v>
    <v>a1twnm</v>
    <v>268435456</v>
    <v>1</v>
    <v>Powered by Refinitiv</v>
    <v>10</v>
    <v>SPDR Gold (ARCX:GLD)</v>
    <v>11</v>
    <v>12</v>
    <v>Finance</v>
    <v>13</v>
    <v>355.57</v>
    <v>236.1326</v>
    <v>0.81589999999999996</v>
    <v>2.97</v>
    <v>-7.5960000000000003E-4</v>
    <v>8.4259999999999995E-3</v>
    <v>-0.27</v>
    <v>USD</v>
    <v>NYSE Arca</v>
    <v>ARCX</v>
    <v>4.0000000000000001E-3</v>
    <v>355.57</v>
    <v>ETF</v>
    <v>45930.944175346878</v>
    <v>25</v>
    <v>350.86500000000001</v>
    <v>82394162386.910004</v>
    <v>SPDR Gold</v>
    <v>351.13</v>
    <v>352.46</v>
    <v>355.43</v>
    <v>355.2</v>
    <v>GLD</v>
    <v>SPDR Gold (ARCX:GLD)</v>
    <v>13293647</v>
    <v>13198245</v>
  </rv>
  <rv s="2">
    <v>26</v>
  </rv>
  <rv s="7">
    <v>en-GB</v>
    <v>av932w</v>
    <v>268435456</v>
    <v>1</v>
    <v>Powered by Refinitiv</v>
    <v>14</v>
    <v>EUR/USD</v>
    <v>15</v>
    <v>16</v>
    <v>Finance</v>
    <v>17</v>
    <v>1.1918</v>
    <v>1.0176000000000001</v>
    <v>1E-4</v>
    <v>8.5229999999999995E-5</v>
    <v>USD</v>
    <v>EUR</v>
    <v>1.1741999999999999</v>
    <v>Currency Pair</v>
    <v>45930.944212962961</v>
    <v>1.1734</v>
    <v>Euro/US Dollar FX Spot Rate</v>
    <v>1.1733</v>
    <v>1.1733</v>
    <v>1.1734</v>
    <v>EURUSD</v>
    <v>EUR/USD</v>
  </rv>
  <rv s="2">
    <v>28</v>
  </rv>
  <rv s="8">
    <v>12</v>
    <v>Beta</v>
    <v>0</v>
  </rv>
  <rv s="8">
    <v>12</v>
    <v>Market cap</v>
    <v>0</v>
  </rv>
  <rv s="0">
    <v>https://www.bing.com/financeapi/forcetrigger?t=a253hw&amp;q=ARCX%3aUSO&amp;form=skydnc</v>
    <v>Learn more on Bing</v>
  </rv>
  <rv s="6">
    <v>en-GB</v>
    <v>a253hw</v>
    <v>268435456</v>
    <v>1</v>
    <v>Powered by Refinitiv</v>
    <v>10</v>
    <v>United States Oil Fund (ARCX:USO)</v>
    <v>11</v>
    <v>12</v>
    <v>Finance</v>
    <v>13</v>
    <v>84.58</v>
    <v>60.67</v>
    <v>1.0226</v>
    <v>-0.82</v>
    <v>-4.7460000000000004E-4</v>
    <v>-1.0992999999999999E-2</v>
    <v>-3.5000000000000003E-2</v>
    <v>USD</v>
    <v>NYSE Arca</v>
    <v>ARCX</v>
    <v>8.199999999999999E-3</v>
    <v>74.349999999999994</v>
    <v>ETF</v>
    <v>45930.943614409378</v>
    <v>32</v>
    <v>73.400000000000006</v>
    <v>982808980.90999997</v>
    <v>United States Oil Fund</v>
    <v>73.87</v>
    <v>74.59</v>
    <v>73.77</v>
    <v>73.715000000000003</v>
    <v>USO</v>
    <v>United States Oil Fund (ARCX:USO)</v>
    <v>7707451</v>
    <v>4583326</v>
  </rv>
  <rv s="2">
    <v>33</v>
  </rv>
  <rv s="0">
    <v>https://www.bing.com/financeapi/forcetrigger?t=a21mim&amp;q=XNAS%3aQQQ&amp;form=skydnc</v>
    <v>Learn more on Bing</v>
  </rv>
  <rv s="6">
    <v>en-GB</v>
    <v>a21mim</v>
    <v>268435456</v>
    <v>1</v>
    <v>Powered by Refinitiv</v>
    <v>10</v>
    <v>Invesco QQQ Trust 1 (XNAS:QQQ)</v>
    <v>11</v>
    <v>12</v>
    <v>Finance</v>
    <v>13</v>
    <v>602.87</v>
    <v>402.39</v>
    <v>1.0321</v>
    <v>1.64</v>
    <v>-1.3990000000000001E-3</v>
    <v>2.7389999999999997E-3</v>
    <v>-0.84</v>
    <v>USD</v>
    <v>Nasdaq Stock Market</v>
    <v>XNAS</v>
    <v>2E-3</v>
    <v>600.71</v>
    <v>ETF</v>
    <v>45930.94424991875</v>
    <v>35</v>
    <v>596.1</v>
    <v>365550355557.59003</v>
    <v>Invesco QQQ Trust 1</v>
    <v>598.42999999999995</v>
    <v>598.73</v>
    <v>600.37</v>
    <v>599.53</v>
    <v>QQQ</v>
    <v>Invesco QQQ Trust 1 (XNAS:QQQ)</v>
    <v>46435715</v>
    <v>51769252</v>
  </rv>
  <rv s="2">
    <v>36</v>
  </rv>
  <rv s="0">
    <v>https://www.bing.com/financeapi/forcetrigger?t=a1vbbh&amp;q=XNAS%3aIEF&amp;form=skydnc</v>
    <v>Learn more on Bing</v>
  </rv>
  <rv s="6">
    <v>en-GB</v>
    <v>a1vbbh</v>
    <v>268435456</v>
    <v>1</v>
    <v>Powered by Refinitiv</v>
    <v>10</v>
    <v>iShares:7-10 Trs Bd (XNAS:IEF)</v>
    <v>11</v>
    <v>12</v>
    <v>Finance</v>
    <v>13</v>
    <v>98.47</v>
    <v>91.08</v>
    <v>1.1922999999999999</v>
    <v>-0.04</v>
    <v>6.2199999999999994E-4</v>
    <v>-4.1449999999999999E-4</v>
    <v>0.06</v>
    <v>USD</v>
    <v>Nasdaq Stock Market</v>
    <v>XNAS</v>
    <v>1.5E-3</v>
    <v>96.76</v>
    <v>ETF</v>
    <v>45930.944229062501</v>
    <v>38</v>
    <v>96.420100000000005</v>
    <v>35770398943.690002</v>
    <v>iShares:7-10 Trs Bd</v>
    <v>96.58</v>
    <v>96.5</v>
    <v>96.46</v>
    <v>96.52</v>
    <v>IEF</v>
    <v>iShares:7-10 Trs Bd (XNAS:IEF)</v>
    <v>9255158</v>
    <v>8356821</v>
  </rv>
  <rv s="2">
    <v>39</v>
  </rv>
  <rv s="9">
    <v>en-GB</v>
    <v>caxasm</v>
    <v>268435456</v>
    <v>1</v>
    <v>Powered by Refinitiv</v>
    <v>18</v>
    <v>Bonds Powered Income USD</v>
    <v>19</v>
    <v>20</v>
    <v>Finance</v>
    <v>21</v>
    <v>0.14000000000000001</v>
    <v>2.101E-3</v>
    <v>KY</v>
    <v>USD</v>
    <v>Mutual Fund</v>
    <v>45929</v>
    <v>45930.837299154686</v>
    <v>Bonds Powered Income USD</v>
    <v>9912700</v>
    <v>66.62</v>
    <v>66.760000000000005</v>
    <v>0</v>
    <v>9.3939999999999996E-3</v>
    <v>-1.7656999999999999E-2</v>
    <v>3.2414999999999999E-2</v>
    <v>3.6177000000000001E-2</v>
    <v>0.11439199999999999</v>
    <v>0</v>
    <v>0.15679500000000002</v>
    <v>Bonds Powered Income USD</v>
  </rv>
  <rv s="2">
    <v>41</v>
  </rv>
  <rv s="10">
    <v>2</v>
    <v>18</v>
  </rv>
  <rv s="11">
    <fb>45566</fb>
    <v>22</v>
  </rv>
  <rv s="11">
    <fb>226.21</fb>
    <v>23</v>
  </rv>
  <rv s="11">
    <fb>117</fb>
    <v>23</v>
  </rv>
  <rv s="11">
    <fb>420.69</fb>
    <v>23</v>
  </rv>
  <rv s="11">
    <fb>576.47</fb>
    <v>23</v>
  </rv>
  <rv s="11">
    <fb>166.99</fb>
    <v>23</v>
  </rv>
  <rv s="11">
    <fb>568.62</fb>
    <v>23</v>
  </rv>
  <rv s="11">
    <fb>245.61</fb>
    <v>23</v>
  </rv>
  <rv s="11">
    <fb>72.11</fb>
    <v>23</v>
  </rv>
  <rv s="11">
    <fb>98.19</fb>
    <v>23</v>
  </rv>
  <rv s="11">
    <fb>45567</fb>
    <v>22</v>
  </rv>
  <rv s="11">
    <fb>226.78</fb>
    <v>23</v>
  </rv>
  <rv s="11">
    <fb>118.85</fb>
    <v>23</v>
  </rv>
  <rv s="11">
    <fb>417.13</fb>
    <v>23</v>
  </rv>
  <rv s="11">
    <fb>572.80999999999995</fb>
    <v>23</v>
  </rv>
  <rv s="11">
    <fb>165.86</fb>
    <v>23</v>
  </rv>
  <rv s="11">
    <fb>568.86</fb>
    <v>23</v>
  </rv>
  <rv s="11">
    <fb>245.66</fb>
    <v>23</v>
  </rv>
  <rv s="11">
    <fb>72.760000000000005</fb>
    <v>23</v>
  </rv>
  <rv s="11">
    <fb>97.91</fb>
    <v>23</v>
  </rv>
  <rv s="11">
    <fb>45568</fb>
    <v>22</v>
  </rv>
  <rv s="11">
    <fb>225.67</fb>
    <v>23</v>
  </rv>
  <rv s="11">
    <fb>122.85</fb>
    <v>23</v>
  </rv>
  <rv s="11">
    <fb>416.54</fb>
    <v>23</v>
  </rv>
  <rv s="11">
    <fb>582.77</fb>
    <v>23</v>
  </rv>
  <rv s="11">
    <fb>567.82000000000005</fb>
    <v>23</v>
  </rv>
  <rv s="11">
    <fb>245.49</fb>
    <v>23</v>
  </rv>
  <rv s="11">
    <fb>75.73</fb>
    <v>23</v>
  </rv>
  <rv s="11">
    <fb>97.41</fb>
    <v>23</v>
  </rv>
  <rv s="11">
    <fb>45569</fb>
    <v>22</v>
  </rv>
  <rv s="11">
    <fb>226.8</fb>
    <v>23</v>
  </rv>
  <rv s="11">
    <fb>124.92</fb>
    <v>23</v>
  </rv>
  <rv s="11">
    <fb>416.06</fb>
    <v>23</v>
  </rv>
  <rv s="11">
    <fb>595.94000000000005</fb>
    <v>23</v>
  </rv>
  <rv s="11">
    <fb>167.06</fb>
    <v>23</v>
  </rv>
  <rv s="11">
    <fb>572.98</fb>
    <v>23</v>
  </rv>
  <rv s="11">
    <fb>245</fb>
    <v>23</v>
  </rv>
  <rv s="11">
    <fb>76.349999999999994</fb>
    <v>23</v>
  </rv>
  <rv s="11">
    <fb>96.47</fb>
    <v>23</v>
  </rv>
  <rv s="11">
    <fb>45572</fb>
    <v>22</v>
  </rv>
  <rv s="11">
    <fb>221.69</fb>
    <v>23</v>
  </rv>
  <rv s="11">
    <fb>127.72</fb>
    <v>23</v>
  </rv>
  <rv s="11">
    <fb>409.54</fb>
    <v>23</v>
  </rv>
  <rv s="11">
    <fb>584.78</fb>
    <v>23</v>
  </rv>
  <rv s="11">
    <fb>162.97999999999999</fb>
    <v>23</v>
  </rv>
  <rv s="11">
    <fb>567.79999999999995</fb>
    <v>23</v>
  </rv>
  <rv s="11">
    <fb>244.17</fb>
    <v>23</v>
  </rv>
  <rv s="11">
    <fb>79.2</fb>
    <v>23</v>
  </rv>
  <rv s="11">
    <fb>96.12</fb>
    <v>23</v>
  </rv>
  <rv s="11">
    <fb>45573</fb>
    <v>22</v>
  </rv>
  <rv s="11">
    <fb>225.77</fb>
    <v>23</v>
  </rv>
  <rv s="11">
    <fb>132.88999999999999</fb>
    <v>23</v>
  </rv>
  <rv s="11">
    <fb>414.71</fb>
    <v>23</v>
  </rv>
  <rv s="11">
    <fb>592.89</fb>
    <v>23</v>
  </rv>
  <rv s="11">
    <fb>164.38</fb>
    <v>23</v>
  </rv>
  <rv s="11">
    <fb>573.16999999999996</fb>
    <v>23</v>
  </rv>
  <rv s="11">
    <fb>242.37</fb>
    <v>23</v>
  </rv>
  <rv s="11">
    <fb>75.790000000000006</fb>
    <v>23</v>
  </rv>
  <rv s="11">
    <fb>96.2</fb>
    <v>23</v>
  </rv>
  <rv s="11">
    <fb>45574</fb>
    <v>22</v>
  </rv>
  <rv s="11">
    <fb>229.54</fb>
    <v>23</v>
  </rv>
  <rv s="11">
    <fb>132.65</fb>
    <v>23</v>
  </rv>
  <rv s="11">
    <fb>417.46</fb>
    <v>23</v>
  </rv>
  <rv s="11">
    <fb>590.51</fb>
    <v>23</v>
  </rv>
  <rv s="11">
    <fb>161.86000000000001</fb>
    <v>23</v>
  </rv>
  <rv s="11">
    <fb>577.14</fb>
    <v>23</v>
  </rv>
  <rv s="11">
    <fb>241.05</fb>
    <v>23</v>
  </rv>
  <rv s="11">
    <fb>75.25</fb>
    <v>23</v>
  </rv>
  <rv s="11">
    <fb>95.84</fb>
    <v>23</v>
  </rv>
  <rv s="11">
    <fb>45575</fb>
    <v>22</v>
  </rv>
  <rv s="11">
    <fb>229.04</fb>
    <v>23</v>
  </rv>
  <rv s="11">
    <fb>134.81</fb>
    <v>23</v>
  </rv>
  <rv s="11">
    <fb>415.84</fb>
    <v>23</v>
  </rv>
  <rv s="11">
    <fb>583.83000000000004</fb>
    <v>23</v>
  </rv>
  <rv s="11">
    <fb>162.08000000000001</fb>
    <v>23</v>
  </rv>
  <rv s="11">
    <fb>576.13</fb>
    <v>23</v>
  </rv>
  <rv s="11">
    <fb>242.82</fb>
    <v>23</v>
  </rv>
  <rv s="11">
    <fb>77.77</fb>
    <v>23</v>
  </rv>
  <rv s="11">
    <fb>95.83</fb>
    <v>23</v>
  </rv>
  <rv s="11">
    <fb>45576</fb>
    <v>22</v>
  </rv>
  <rv s="11">
    <fb>227.55</fb>
    <v>23</v>
  </rv>
  <rv s="11">
    <fb>134.80000000000001</fb>
    <v>23</v>
  </rv>
  <rv s="11">
    <fb>416.32</fb>
    <v>23</v>
  </rv>
  <rv s="11">
    <fb>589.95000000000005</fb>
    <v>23</v>
  </rv>
  <rv s="11">
    <fb>163.24</fb>
    <v>23</v>
  </rv>
  <rv s="11">
    <fb>579.58000000000004</fb>
    <v>23</v>
  </rv>
  <rv s="11">
    <fb>245.47</fb>
    <v>23</v>
  </rv>
  <rv s="11">
    <fb>77.489999999999995</fb>
    <v>23</v>
  </rv>
  <rv s="11">
    <fb>95.86</fb>
    <v>23</v>
  </rv>
  <rv s="11">
    <fb>45579</fb>
    <v>22</v>
  </rv>
  <rv s="11">
    <fb>231.3</fb>
    <v>23</v>
  </rv>
  <rv s="11">
    <fb>138.07</fb>
    <v>23</v>
  </rv>
  <rv s="11">
    <fb>419.14</fb>
    <v>23</v>
  </rv>
  <rv s="11">
    <fb>590.41999999999996</fb>
    <v>23</v>
  </rv>
  <rv s="11">
    <fb>164.96</fb>
    <v>23</v>
  </rv>
  <rv s="11">
    <fb>584.32000000000005</fb>
    <v>23</v>
  </rv>
  <rv s="11">
    <fb>245.07</fb>
    <v>23</v>
  </rv>
  <rv s="11">
    <fb>75.930000000000007</fb>
    <v>23</v>
  </rv>
  <rv s="11">
    <fb>95.69</fb>
    <v>23</v>
  </rv>
  <rv s="11">
    <fb>45580</fb>
    <v>22</v>
  </rv>
  <rv s="11">
    <fb>233.85</fb>
    <v>23</v>
  </rv>
  <rv s="11">
    <fb>131.6</fb>
    <v>23</v>
  </rv>
  <rv s="11">
    <fb>418.74</fb>
    <v>23</v>
  </rv>
  <rv s="11">
    <fb>586.27</fb>
    <v>23</v>
  </rv>
  <rv s="11">
    <fb>165.46</fb>
    <v>23</v>
  </rv>
  <rv s="11">
    <fb>579.78</fb>
    <v>23</v>
  </rv>
  <rv s="11">
    <fb>245.92</fb>
    <v>23</v>
  </rv>
  <rv s="11">
    <fb>96.18</fb>
    <v>23</v>
  </rv>
  <rv s="11">
    <fb>45581</fb>
    <v>22</v>
  </rv>
  <rv s="11">
    <fb>231.78</fb>
    <v>23</v>
  </rv>
  <rv s="11">
    <fb>135.72</fb>
    <v>23</v>
  </rv>
  <rv s="11">
    <fb>416.12</fb>
    <v>23</v>
  </rv>
  <rv s="11">
    <fb>576.79</fb>
    <v>23</v>
  </rv>
  <rv s="11">
    <fb>165.16</fb>
    <v>23</v>
  </rv>
  <rv s="11">
    <fb>582.29999999999995</fb>
    <v>23</v>
  </rv>
  <rv s="11">
    <fb>247.15</fb>
    <v>23</v>
  </rv>
  <rv s="11">
    <fb>72.400000000000006</fb>
    <v>23</v>
  </rv>
  <rv s="11">
    <fb>96.33</fb>
    <v>23</v>
  </rv>
  <rv s="11">
    <fb>45582</fb>
    <v>22</v>
  </rv>
  <rv s="11">
    <fb>232.15</fb>
    <v>23</v>
  </rv>
  <rv s="11">
    <fb>136.93</fb>
    <v>23</v>
  </rv>
  <rv s="11">
    <fb>416.72</fb>
    <v>23</v>
  </rv>
  <rv s="11">
    <fb>576.92999999999995</fb>
    <v>23</v>
  </rv>
  <rv s="11">
    <fb>162.93</fb>
    <v>23</v>
  </rv>
  <rv s="11">
    <fb>582.35</fb>
    <v>23</v>
  </rv>
  <rv s="11">
    <fb>248.63</fb>
    <v>23</v>
  </rv>
  <rv s="11">
    <fb>72.62</fb>
    <v>23</v>
  </rv>
  <rv s="11">
    <fb>45583</fb>
    <v>22</v>
  </rv>
  <rv s="11">
    <fb>235</fb>
    <v>23</v>
  </rv>
  <rv s="11">
    <fb>138</fb>
    <v>23</v>
  </rv>
  <rv s="11">
    <fb>418.16</fb>
    <v>23</v>
  </rv>
  <rv s="11">
    <fb>163.41999999999999</fb>
    <v>23</v>
  </rv>
  <rv s="11">
    <fb>584.59</fb>
    <v>23</v>
  </rv>
  <rv s="11">
    <fb>251.27</fb>
    <v>23</v>
  </rv>
  <rv s="11">
    <fb>71.38</fb>
    <v>23</v>
  </rv>
  <rv s="11">
    <fb>95.94</fb>
    <v>23</v>
  </rv>
  <rv s="11">
    <fb>45586</fb>
    <v>22</v>
  </rv>
  <rv s="11">
    <fb>236.48</fb>
    <v>23</v>
  </rv>
  <rv s="11">
    <fb>143.71</fb>
    <v>23</v>
  </rv>
  <rv s="11">
    <fb>418.78</fb>
    <v>23</v>
  </rv>
  <rv s="11">
    <fb>575.16</fb>
    <v>23</v>
  </rv>
  <rv s="11">
    <fb>164.07</fb>
    <v>23</v>
  </rv>
  <rv s="11">
    <fb>583.63</fb>
    <v>23</v>
  </rv>
  <rv s="11">
    <fb>251.22</fb>
    <v>23</v>
  </rv>
  <rv s="11">
    <fb>72.260000000000005</fb>
    <v>23</v>
  </rv>
  <rv s="11">
    <fb>95.2</fb>
    <v>23</v>
  </rv>
  <rv s="11">
    <fb>45587</fb>
    <v>22</v>
  </rv>
  <rv s="11">
    <fb>235.86</fb>
    <v>23</v>
  </rv>
  <rv s="11">
    <fb>143.59</fb>
    <v>23</v>
  </rv>
  <rv s="11">
    <fb>427.51</fb>
    <v>23</v>
  </rv>
  <rv s="11">
    <fb>582.01</fb>
    <v>23</v>
  </rv>
  <rv s="11">
    <fb>165.14</fb>
    <v>23</v>
  </rv>
  <rv s="11">
    <fb>583.32000000000005</fb>
    <v>23</v>
  </rv>
  <rv s="11">
    <fb>253.93</fb>
    <v>23</v>
  </rv>
  <rv s="11">
    <fb>73.98</fb>
    <v>23</v>
  </rv>
  <rv s="11">
    <fb>95.11</fb>
    <v>23</v>
  </rv>
  <rv s="11">
    <fb>45588</fb>
    <v>22</v>
  </rv>
  <rv s="11">
    <fb>230.76</fb>
    <v>23</v>
  </rv>
  <rv s="11">
    <fb>139.56</fb>
    <v>23</v>
  </rv>
  <rv s="11">
    <fb>424.6</fb>
    <v>23</v>
  </rv>
  <rv s="11">
    <fb>563.69000000000005</fb>
    <v>23</v>
  </rv>
  <rv s="11">
    <fb>162.78</fb>
    <v>23</v>
  </rv>
  <rv s="11">
    <fb>577.99</fb>
    <v>23</v>
  </rv>
  <rv s="11">
    <fb>250.87</fb>
    <v>23</v>
  </rv>
  <rv s="11">
    <fb>73.55</fb>
    <v>23</v>
  </rv>
  <rv s="11">
    <fb>94.89</fb>
    <v>23</v>
  </rv>
  <rv s="11">
    <fb>45589</fb>
    <v>22</v>
  </rv>
  <rv s="11">
    <fb>230.57</fb>
    <v>23</v>
  </rv>
  <rv s="11">
    <fb>140.41</fb>
    <v>23</v>
  </rv>
  <rv s="11">
    <fb>424.73</fb>
    <v>23</v>
  </rv>
  <rv s="11">
    <fb>567.78</fb>
    <v>23</v>
  </rv>
  <rv s="11">
    <fb>162.72</fb>
    <v>23</v>
  </rv>
  <rv s="11">
    <fb>579.24</fb>
    <v>23</v>
  </rv>
  <rv s="11">
    <fb>252.8</fb>
    <v>23</v>
  </rv>
  <rv s="11">
    <fb>73.06</fb>
    <v>23</v>
  </rv>
  <rv s="11">
    <fb>95.1</fb>
    <v>23</v>
  </rv>
  <rv s="11">
    <fb>45590</fb>
    <v>22</v>
  </rv>
  <rv s="11">
    <fb>231.41</fb>
    <v>23</v>
  </rv>
  <rv s="11">
    <fb>141.54</fb>
    <v>23</v>
  </rv>
  <rv s="11">
    <fb>428.15</fb>
    <v>23</v>
  </rv>
  <rv s="11">
    <fb>573.25</fb>
    <v>23</v>
  </rv>
  <rv s="11">
    <fb>165.27</fb>
    <v>23</v>
  </rv>
  <rv s="11">
    <fb>579.04</fb>
    <v>23</v>
  </rv>
  <rv s="11">
    <fb>253.32</fb>
    <v>23</v>
  </rv>
  <rv s="11">
    <fb>74.23</fb>
    <v>23</v>
  </rv>
  <rv s="11">
    <fb>45593</fb>
    <v>22</v>
  </rv>
  <rv s="11">
    <fb>233.4</fb>
    <v>23</v>
  </rv>
  <rv s="11">
    <fb>140.52000000000001</fb>
    <v>23</v>
  </rv>
  <rv s="11">
    <fb>426.59</fb>
    <v>23</v>
  </rv>
  <rv s="11">
    <fb>578.16</fb>
    <v>23</v>
  </rv>
  <rv s="11">
    <fb>166.72</fb>
    <v>23</v>
  </rv>
  <rv s="11">
    <fb>580.83000000000004</fb>
    <v>23</v>
  </rv>
  <rv s="11">
    <fb>253.33</fb>
    <v>23</v>
  </rv>
  <rv s="11">
    <fb>70.430000000000007</fb>
    <v>23</v>
  </rv>
  <rv s="11">
    <fb>94.67</fb>
    <v>23</v>
  </rv>
  <rv s="11">
    <fb>45594</fb>
    <v>22</v>
  </rv>
  <rv s="11">
    <fb>233.67</fb>
    <v>23</v>
  </rv>
  <rv s="11">
    <fb>141.25</fb>
    <v>23</v>
  </rv>
  <rv s="11">
    <fb>431.95</fb>
    <v>23</v>
  </rv>
  <rv s="11">
    <fb>593.28</fb>
    <v>23</v>
  </rv>
  <rv s="11">
    <fb>169.68</fb>
    <v>23</v>
  </rv>
  <rv s="11">
    <fb>581.77</fb>
    <v>23</v>
  </rv>
  <rv s="11">
    <fb>256.08999999999997</fb>
    <v>23</v>
  </rv>
  <rv s="11">
    <fb>69.66</fb>
    <v>23</v>
  </rv>
  <rv s="11">
    <fb>94.71</fb>
    <v>23</v>
  </rv>
  <rv s="11">
    <fb>45595</fb>
    <v>22</v>
  </rv>
  <rv s="11">
    <fb>230.1</fb>
    <v>23</v>
  </rv>
  <rv s="11">
    <fb>139.33500000000001</fb>
    <v>23</v>
  </rv>
  <rv s="11">
    <fb>432.53</fb>
    <v>23</v>
  </rv>
  <rv s="11">
    <fb>591.79999999999995</fb>
    <v>23</v>
  </rv>
  <rv s="11">
    <fb>174.46</fb>
    <v>23</v>
  </rv>
  <rv s="11">
    <fb>580.01</fb>
    <v>23</v>
  </rv>
  <rv s="11">
    <fb>257.5</fb>
    <v>23</v>
  </rv>
  <rv s="11">
    <fb>71.36</fb>
    <v>23</v>
  </rv>
  <rv s="11">
    <fb>94.57</fb>
    <v>23</v>
  </rv>
  <rv s="11">
    <fb>45596</fb>
    <v>22</v>
  </rv>
  <rv s="11">
    <fb>225.91</fb>
    <v>23</v>
  </rv>
  <rv s="11">
    <fb>132.76</fb>
    <v>23</v>
  </rv>
  <rv s="11">
    <fb>406.35</fb>
    <v>23</v>
  </rv>
  <rv s="11">
    <fb>567.58000000000004</fb>
    <v>23</v>
  </rv>
  <rv s="11">
    <fb>171.11</fb>
    <v>23</v>
  </rv>
  <rv s="11">
    <fb>568.64</fb>
    <v>23</v>
  </rv>
  <rv s="11">
    <fb>253.51</fb>
    <v>23</v>
  </rv>
  <rv s="11">
    <fb>73.08</fb>
    <v>23</v>
  </rv>
  <rv s="11">
    <fb>94.52</fb>
    <v>23</v>
  </rv>
  <rv s="11">
    <fb>45597</fb>
    <v>22</v>
  </rv>
  <rv s="11">
    <fb>222.91</fb>
    <v>23</v>
  </rv>
  <rv s="11">
    <fb>135.4</fb>
    <v>23</v>
  </rv>
  <rv s="11">
    <fb>410.37</fb>
    <v>23</v>
  </rv>
  <rv s="11">
    <fb>567.16</fb>
    <v>23</v>
  </rv>
  <rv s="11">
    <fb>171.29</fb>
    <v>23</v>
  </rv>
  <rv s="11">
    <fb>571.04</fb>
    <v>23</v>
  </rv>
  <rv s="11">
    <fb>252.47</fb>
    <v>23</v>
  </rv>
  <rv s="11">
    <fb>72.02</fb>
    <v>23</v>
  </rv>
  <rv s="11">
    <fb>93.67</fb>
    <v>23</v>
  </rv>
  <rv s="11">
    <fb>45600</fb>
    <v>22</v>
  </rv>
  <rv s="11">
    <fb>222.01</fb>
    <v>23</v>
  </rv>
  <rv s="11">
    <fb>136.05000000000001</fb>
    <v>23</v>
  </rv>
  <rv s="11">
    <fb>408.46</fb>
    <v>23</v>
  </rv>
  <rv s="11">
    <fb>560.67999999999995</fb>
    <v>23</v>
  </rv>
  <rv s="11">
    <fb>169.24</fb>
    <v>23</v>
  </rv>
  <rv s="11">
    <fb>569.80999999999995</fb>
    <v>23</v>
  </rv>
  <rv s="11">
    <fb>252.83</fb>
    <v>23</v>
  </rv>
  <rv s="11">
    <fb>74.290000000000006</fb>
    <v>23</v>
  </rv>
  <rv s="11">
    <fb>94.17</fb>
    <v>23</v>
  </rv>
  <rv s="11">
    <fb>45601</fb>
    <v>22</v>
  </rv>
  <rv s="11">
    <fb>223.45</fb>
    <v>23</v>
  </rv>
  <rv s="11">
    <fb>139.91</fb>
    <v>23</v>
  </rv>
  <rv s="11">
    <fb>411.46</fb>
    <v>23</v>
  </rv>
  <rv s="11">
    <fb>572.42999999999995</fb>
    <v>23</v>
  </rv>
  <rv s="11">
    <fb>169.74</fb>
    <v>23</v>
  </rv>
  <rv s="11">
    <fb>576.70000000000005</fb>
    <v>23</v>
  </rv>
  <rv s="11">
    <fb>253.4</fb>
    <v>23</v>
  </rv>
  <rv s="11">
    <fb>74.73</fb>
    <v>23</v>
  </rv>
  <rv s="11">
    <fb>94.22</fb>
    <v>23</v>
  </rv>
  <rv s="11">
    <fb>45602</fb>
    <v>22</v>
  </rv>
  <rv s="11">
    <fb>222.72</fb>
    <v>23</v>
  </rv>
  <rv s="11">
    <fb>145.61000000000001</fb>
    <v>23</v>
  </rv>
  <rv s="11">
    <fb>420.18</fb>
    <v>23</v>
  </rv>
  <rv s="11">
    <fb>572.04999999999995</fb>
    <v>23</v>
  </rv>
  <rv s="11">
    <fb>176.51</fb>
    <v>23</v>
  </rv>
  <rv s="11">
    <fb>591.04</fb>
    <v>23</v>
  </rv>
  <rv s="11">
    <fb>245.7</fb>
    <v>23</v>
  </rv>
  <rv s="11">
    <fb>74.540000000000006</fb>
    <v>23</v>
  </rv>
  <rv s="11">
    <fb>93.25</fb>
    <v>23</v>
  </rv>
  <rv s="11">
    <fb>45603</fb>
    <v>22</v>
  </rv>
  <rv s="11">
    <fb>227.48</fb>
    <v>23</v>
  </rv>
  <rv s="11">
    <fb>148.88</fb>
    <v>23</v>
  </rv>
  <rv s="11">
    <fb>425.43</fb>
    <v>23</v>
  </rv>
  <rv s="11">
    <fb>591.70000000000005</fb>
    <v>23</v>
  </rv>
  <rv s="11">
    <fb>180.75</fb>
    <v>23</v>
  </rv>
  <rv s="11">
    <fb>595.61</fb>
    <v>23</v>
  </rv>
  <rv s="11">
    <fb>249.65</fb>
    <v>23</v>
  </rv>
  <rv s="11">
    <fb>74.66</fb>
    <v>23</v>
  </rv>
  <rv s="11">
    <fb>94</fb>
    <v>23</v>
  </rv>
  <rv s="11">
    <fb>45604</fb>
    <v>22</v>
  </rv>
  <rv s="11">
    <fb>226.96</fb>
    <v>23</v>
  </rv>
  <rv s="11">
    <fb>147.63</fb>
    <v>23</v>
  </rv>
  <rv s="11">
    <fb>422.54</fb>
    <v>23</v>
  </rv>
  <rv s="11">
    <fb>589.34</fb>
    <v>23</v>
  </rv>
  <rv s="11">
    <fb>178.35</fb>
    <v>23</v>
  </rv>
  <rv s="11">
    <fb>598.19000000000005</fb>
    <v>23</v>
  </rv>
  <rv s="11">
    <fb>247.96</fb>
    <v>23</v>
  </rv>
  <rv s="11">
    <fb>73.13</fb>
    <v>23</v>
  </rv>
  <rv s="11">
    <fb>94.2</fb>
    <v>23</v>
  </rv>
  <rv s="11">
    <fb>45607</fb>
    <v>22</v>
  </rv>
  <rv s="11">
    <fb>224.23</fb>
    <v>23</v>
  </rv>
  <rv s="11">
    <fb>145.26</fb>
    <v>23</v>
  </rv>
  <rv s="11">
    <fb>418.01</fb>
    <v>23</v>
  </rv>
  <rv s="11">
    <fb>583.16999999999996</fb>
    <v>23</v>
  </rv>
  <rv s="11">
    <fb>180.35</fb>
    <v>23</v>
  </rv>
  <rv s="11">
    <fb>598.76</fb>
    <v>23</v>
  </rv>
  <rv s="11">
    <fb>242.14</fb>
    <v>23</v>
  </rv>
  <rv s="11">
    <fb>70.94</fb>
    <v>23</v>
  </rv>
  <rv s="11">
    <fb>93.94</fb>
    <v>23</v>
  </rv>
  <rv s="11">
    <fb>45608</fb>
    <v>22</v>
  </rv>
  <rv s="11">
    <fb>148.29</fb>
    <v>23</v>
  </rv>
  <rv s="11">
    <fb>423.03</fb>
    <v>23</v>
  </rv>
  <rv s="11">
    <fb>584.82000000000005</fb>
    <v>23</v>
  </rv>
  <rv s="11">
    <fb>181.62</fb>
    <v>23</v>
  </rv>
  <rv s="11">
    <fb>596.9</fb>
    <v>23</v>
  </rv>
  <rv s="11">
    <fb>240.05</fb>
    <v>23</v>
  </rv>
  <rv s="11">
    <fb>70.69</fb>
    <v>23</v>
  </rv>
  <rv s="11">
    <fb>93.35</fb>
    <v>23</v>
  </rv>
  <rv s="11">
    <fb>45609</fb>
    <v>22</v>
  </rv>
  <rv s="11">
    <fb>225.12</fb>
    <v>23</v>
  </rv>
  <rv s="11">
    <fb>146.27000000000001</fb>
    <v>23</v>
  </rv>
  <rv s="11">
    <fb>425.2</fb>
    <v>23</v>
  </rv>
  <rv s="11">
    <fb>580</fb>
    <v>23</v>
  </rv>
  <rv s="11">
    <fb>178.88</fb>
    <v>23</v>
  </rv>
  <rv s="11">
    <fb>597.19000000000005</fb>
    <v>23</v>
  </rv>
  <rv s="11">
    <fb>237.63</fb>
    <v>23</v>
  </rv>
  <rv s="11">
    <fb>70.73</fb>
    <v>23</v>
  </rv>
  <rv s="11">
    <fb>93.29</fb>
    <v>23</v>
  </rv>
  <rv s="11">
    <fb>45610</fb>
    <v>22</v>
  </rv>
  <rv s="11">
    <fb>228.22</fb>
    <v>23</v>
  </rv>
  <rv s="11">
    <fb>146.76</fb>
    <v>23</v>
  </rv>
  <rv s="11">
    <fb>426.89</fb>
    <v>23</v>
  </rv>
  <rv s="11">
    <fb>577.16</fb>
    <v>23</v>
  </rv>
  <rv s="11">
    <fb>175.58</fb>
    <v>23</v>
  </rv>
  <rv s="11">
    <fb>593.35</fb>
    <v>23</v>
  </rv>
  <rv s="11">
    <fb>237.01</fb>
    <v>23</v>
  </rv>
  <rv s="11">
    <fb>71.290000000000006</fb>
    <v>23</v>
  </rv>
  <rv s="11">
    <fb>93.28</fb>
    <v>23</v>
  </rv>
  <rv s="11">
    <fb>45611</fb>
    <v>22</v>
  </rv>
  <rv s="11">
    <fb>225</fb>
    <v>23</v>
  </rv>
  <rv s="11">
    <fb>141.97999999999999</fb>
    <v>23</v>
  </rv>
  <rv s="11">
    <fb>415</fb>
    <v>23</v>
  </rv>
  <rv s="11">
    <fb>554.08000000000004</fb>
    <v>23</v>
  </rv>
  <rv s="11">
    <fb>172.49</fb>
    <v>23</v>
  </rv>
  <rv s="11">
    <fb>585.75</fb>
    <v>23</v>
  </rv>
  <rv s="11">
    <fb>236.59</fb>
    <v>23</v>
  </rv>
  <rv s="11">
    <fb>69.75</fb>
    <v>23</v>
  </rv>
  <rv s="11">
    <fb>93.32</fb>
    <v>23</v>
  </rv>
  <rv s="11">
    <fb>45614</fb>
    <v>22</v>
  </rv>
  <rv s="11">
    <fb>228.02</fb>
    <v>23</v>
  </rv>
  <rv s="11">
    <fb>140.15</fb>
    <v>23</v>
  </rv>
  <rv s="11">
    <fb>415.76</fb>
    <v>23</v>
  </rv>
  <rv s="11">
    <fb>554.4</fb>
    <v>23</v>
  </rv>
  <rv s="11">
    <fb>175.3</fb>
    <v>23</v>
  </rv>
  <rv s="11">
    <fb>588.15</fb>
    <v>23</v>
  </rv>
  <rv s="11">
    <fb>241.09</fb>
    <v>23</v>
  </rv>
  <rv s="11">
    <fb>72.069999999999993</fb>
    <v>23</v>
  </rv>
  <rv s="11">
    <fb>93.53</fb>
    <v>23</v>
  </rv>
  <rv s="11">
    <fb>45615</fb>
    <v>22</v>
  </rv>
  <rv s="11">
    <fb>228.28</fb>
    <v>23</v>
  </rv>
  <rv s="11">
    <fb>147.01</fb>
    <v>23</v>
  </rv>
  <rv s="11">
    <fb>417.79</fb>
    <v>23</v>
  </rv>
  <rv s="11">
    <fb>561.09</fb>
    <v>23</v>
  </rv>
  <rv s="11">
    <fb>178.12</fb>
    <v>23</v>
  </rv>
  <rv s="11">
    <fb>590.29999999999995</fb>
    <v>23</v>
  </rv>
  <rv s="11">
    <fb>243.25</fb>
    <v>23</v>
  </rv>
  <rv s="11">
    <fb>72.31</fb>
    <v>23</v>
  </rv>
  <rv s="11">
    <fb>93.73</fb>
    <v>23</v>
  </rv>
  <rv s="11">
    <fb>45616</fb>
    <v>22</v>
  </rv>
  <rv s="11">
    <fb>229</fb>
    <v>23</v>
  </rv>
  <rv s="11">
    <fb>145.88999999999999</fb>
    <v>23</v>
  </rv>
  <rv s="11">
    <fb>415.49</fb>
    <v>23</v>
  </rv>
  <rv s="11">
    <fb>565.52</fb>
    <v>23</v>
  </rv>
  <rv s="11">
    <fb>175.98</fb>
    <v>23</v>
  </rv>
  <rv s="11">
    <fb>590.5</fb>
    <v>23</v>
  </rv>
  <rv s="11">
    <fb>244.62</fb>
    <v>23</v>
  </rv>
  <rv s="11">
    <fb>93.59</fb>
    <v>23</v>
  </rv>
  <rv s="11">
    <fb>45617</fb>
    <v>22</v>
  </rv>
  <rv s="11">
    <fb>228.52</fb>
    <v>23</v>
  </rv>
  <rv s="11">
    <fb>146.66999999999999</fb>
    <v>23</v>
  </rv>
  <rv s="11">
    <fb>412.87</fb>
    <v>23</v>
  </rv>
  <rv s="11">
    <fb>563.09</fb>
    <v>23</v>
  </rv>
  <rv s="11">
    <fb>167.63</fb>
    <v>23</v>
  </rv>
  <rv s="11">
    <fb>593.66999999999996</fb>
    <v>23</v>
  </rv>
  <rv s="11">
    <fb>246.66</fb>
    <v>23</v>
  </rv>
  <rv s="11">
    <fb>73.2</fb>
    <v>23</v>
  </rv>
  <rv s="11">
    <fb>93.54</fb>
    <v>23</v>
  </rv>
  <rv s="11">
    <fb>45618</fb>
    <v>22</v>
  </rv>
  <rv s="11">
    <fb>229.87</fb>
    <v>23</v>
  </rv>
  <rv s="11">
    <fb>141.94999999999999</fb>
    <v>23</v>
  </rv>
  <rv s="11">
    <fb>417</fb>
    <v>23</v>
  </rv>
  <rv s="11">
    <fb>559.14</fb>
    <v>23</v>
  </rv>
  <rv s="11">
    <fb>164.76</fb>
    <v>23</v>
  </rv>
  <rv s="11">
    <fb>595.51</fb>
    <v>23</v>
  </rv>
  <rv s="11">
    <fb>249.84</fb>
    <v>23</v>
  </rv>
  <rv s="11">
    <fb>74.25</fb>
    <v>23</v>
  </rv>
  <rv s="11">
    <fb>93.6</fb>
    <v>23</v>
  </rv>
  <rv s="11">
    <fb>45621</fb>
    <v>22</v>
  </rv>
  <rv s="11">
    <fb>232.87</fb>
    <v>23</v>
  </rv>
  <rv s="11">
    <fb>136.02000000000001</fb>
    <v>23</v>
  </rv>
  <rv s="11">
    <fb>418.79</fb>
    <v>23</v>
  </rv>
  <rv s="11">
    <fb>565.11</fb>
    <v>23</v>
  </rv>
  <rv s="11">
    <fb>167.65</fb>
    <v>23</v>
  </rv>
  <rv s="11">
    <fb>597.53</fb>
    <v>23</v>
  </rv>
  <rv s="11">
    <fb>242.48</fb>
    <v>23</v>
  </rv>
  <rv s="11">
    <fb>72.099999999999994</fb>
    <v>23</v>
  </rv>
  <rv s="11">
    <fb>94.61</fb>
    <v>23</v>
  </rv>
  <rv s="11">
    <fb>45622</fb>
    <v>22</v>
  </rv>
  <rv s="11">
    <fb>235.06</fb>
    <v>23</v>
  </rv>
  <rv s="11">
    <fb>136.91999999999999</fb>
    <v>23</v>
  </rv>
  <rv s="11">
    <fb>427.99</fb>
    <v>23</v>
  </rv>
  <rv s="11">
    <fb>573.54</fb>
    <v>23</v>
  </rv>
  <rv s="11">
    <fb>169.12</fb>
    <v>23</v>
  </rv>
  <rv s="11">
    <fb>600.65</fb>
    <v>23</v>
  </rv>
  <rv s="11">
    <fb>242.95</fb>
    <v>23</v>
  </rv>
  <rv s="11">
    <fb>71.61</fb>
    <v>23</v>
  </rv>
  <rv s="11">
    <fb>94.41</fb>
    <v>23</v>
  </rv>
  <rv s="11">
    <fb>45623</fb>
    <v>22</v>
  </rv>
  <rv s="11">
    <fb>234.93</fb>
    <v>23</v>
  </rv>
  <rv s="11">
    <fb>135.34</fb>
    <v>23</v>
  </rv>
  <rv s="11">
    <fb>422.99</fb>
    <v>23</v>
  </rv>
  <rv s="11">
    <fb>569.20000000000005</fb>
    <v>23</v>
  </rv>
  <rv s="11">
    <fb>169.23</fb>
    <v>23</v>
  </rv>
  <rv s="11">
    <fb>598.83000000000004</fb>
    <v>23</v>
  </rv>
  <rv s="11">
    <fb>243.49</fb>
    <v>23</v>
  </rv>
  <rv s="11">
    <fb>71.72</fb>
    <v>23</v>
  </rv>
  <rv s="11">
    <fb>94.79</fb>
    <v>23</v>
  </rv>
  <rv s="11">
    <fb>45625</fb>
    <v>22</v>
  </rv>
  <rv s="11">
    <fb>237.33</fb>
    <v>23</v>
  </rv>
  <rv s="11">
    <fb>138.25</fb>
    <v>23</v>
  </rv>
  <rv s="11">
    <fb>423.46</fb>
    <v>23</v>
  </rv>
  <rv s="11">
    <fb>574.32000000000005</fb>
    <v>23</v>
  </rv>
  <rv s="11">
    <fb>168.95</fb>
    <v>23</v>
  </rv>
  <rv s="11">
    <fb>602.54999999999995</fb>
    <v>23</v>
  </rv>
  <rv s="11">
    <fb>245.59</fb>
    <v>23</v>
  </rv>
  <rv s="11">
    <fb>95.19</fb>
    <v>23</v>
  </rv>
  <rv s="11">
    <fb>45628</fb>
    <v>22</v>
  </rv>
  <rv s="11">
    <fb>239.59</fb>
    <v>23</v>
  </rv>
  <rv s="11">
    <fb>138.63</fb>
    <v>23</v>
  </rv>
  <rv s="11">
    <fb>430.98</fb>
    <v>23</v>
  </rv>
  <rv s="11">
    <fb>592.83000000000004</fb>
    <v>23</v>
  </rv>
  <rv s="11">
    <fb>171.49</fb>
    <v>23</v>
  </rv>
  <rv s="11">
    <fb>603.63</fb>
    <v>23</v>
  </rv>
  <rv s="11">
    <fb>243.44</fb>
    <v>23</v>
  </rv>
  <rv s="11">
    <fb>71.040000000000006</fb>
    <v>23</v>
  </rv>
  <rv s="11">
    <fb>45629</fb>
    <v>22</v>
  </rv>
  <rv s="11">
    <fb>242.65</fb>
    <v>23</v>
  </rv>
  <rv s="11">
    <fb>140.26</fb>
    <v>23</v>
  </rv>
  <rv s="11">
    <fb>431.2</fb>
    <v>23</v>
  </rv>
  <rv s="11">
    <fb>613.65</fb>
    <v>23</v>
  </rv>
  <rv s="11">
    <fb>171.34</fb>
    <v>23</v>
  </rv>
  <rv s="11">
    <fb>603.91</fb>
    <v>23</v>
  </rv>
  <rv s="11">
    <fb>243.93</fb>
    <v>23</v>
  </rv>
  <rv s="11">
    <fb>73.040000000000006</fb>
    <v>23</v>
  </rv>
  <rv s="11">
    <fb>94.62</fb>
    <v>23</v>
  </rv>
  <rv s="11">
    <fb>45630</fb>
    <v>22</v>
  </rv>
  <rv s="11">
    <fb>243.01</fb>
    <v>23</v>
  </rv>
  <rv s="11">
    <fb>145.13999999999999</fb>
    <v>23</v>
  </rv>
  <rv s="11">
    <fb>437.42</fb>
    <v>23</v>
  </rv>
  <rv s="11">
    <fb>613.78</fb>
    <v>23</v>
  </rv>
  <rv s="11">
    <fb>174.37</fb>
    <v>23</v>
  </rv>
  <rv s="11">
    <fb>607.66</fb>
    <v>23</v>
  </rv>
  <rv s="11">
    <fb>244.67</fb>
    <v>23</v>
  </rv>
  <rv s="11">
    <fb>71.88</fb>
    <v>23</v>
  </rv>
  <rv s="11">
    <fb>94.98</fb>
    <v>23</v>
  </rv>
  <rv s="11">
    <fb>45631</fb>
    <v>22</v>
  </rv>
  <rv s="11">
    <fb>243.04</fb>
    <v>23</v>
  </rv>
  <rv s="11">
    <fb>145.06</fb>
    <v>23</v>
  </rv>
  <rv s="11">
    <fb>442.62</fb>
    <v>23</v>
  </rv>
  <rv s="11">
    <fb>608.92999999999995</fb>
    <v>23</v>
  </rv>
  <rv s="11">
    <fb>172.64</fb>
    <v>23</v>
  </rv>
  <rv s="11">
    <fb>606.66</fb>
    <v>23</v>
  </rv>
  <rv s="11">
    <fb>242.86</fb>
    <v>23</v>
  </rv>
  <rv s="11">
    <fb>71.47</fb>
    <v>23</v>
  </rv>
  <rv s="11">
    <fb>94.97</fb>
    <v>23</v>
  </rv>
  <rv s="11">
    <fb>45632</fb>
    <v>22</v>
  </rv>
  <rv s="11">
    <fb>242.84</fb>
    <v>23</v>
  </rv>
  <rv s="11">
    <fb>142.44</fb>
    <v>23</v>
  </rv>
  <rv s="11">
    <fb>443.57</fb>
    <v>23</v>
  </rv>
  <rv s="11">
    <fb>623.77</fb>
    <v>23</v>
  </rv>
  <rv s="11">
    <fb>174.71</fb>
    <v>23</v>
  </rv>
  <rv s="11">
    <fb>607.80999999999995</fb>
    <v>23</v>
  </rv>
  <rv s="11">
    <fb>70.239999999999995</fb>
    <v>23</v>
  </rv>
  <rv s="11">
    <fb>95.27</fb>
    <v>23</v>
  </rv>
  <rv s="11">
    <fb>45635</fb>
    <v>22</v>
  </rv>
  <rv s="11">
    <fb>246.75</fb>
    <v>23</v>
  </rv>
  <rv s="11">
    <fb>138.81</fb>
    <v>23</v>
  </rv>
  <rv s="11">
    <fb>446.02</fb>
    <v>23</v>
  </rv>
  <rv s="11">
    <fb>613.57000000000005</fb>
    <v>23</v>
  </rv>
  <rv s="11">
    <fb>175.37</fb>
    <v>23</v>
  </rv>
  <rv s="11">
    <fb>604.67999999999995</fb>
    <v>23</v>
  </rv>
  <rv s="11">
    <fb>245.36</fb>
    <v>23</v>
  </rv>
  <rv s="11">
    <fb>71.17</fb>
    <v>23</v>
  </rv>
  <rv s="11">
    <fb>94.94</fb>
    <v>23</v>
  </rv>
  <rv s="11">
    <fb>45636</fb>
    <v>22</v>
  </rv>
  <rv s="11">
    <fb>247.77</fb>
    <v>23</v>
  </rv>
  <rv s="11">
    <fb>135.07</fb>
    <v>23</v>
  </rv>
  <rv s="11">
    <fb>443.33</fb>
    <v>23</v>
  </rv>
  <rv s="11">
    <fb>619.32000000000005</fb>
    <v>23</v>
  </rv>
  <rv s="11">
    <fb>185.17</fb>
    <v>23</v>
  </rv>
  <rv s="11">
    <fb>602.79999999999995</fb>
    <v>23</v>
  </rv>
  <rv s="11">
    <fb>248.59</fb>
    <v>23</v>
  </rv>
  <rv s="11">
    <fb>71.400000000000006</fb>
    <v>23</v>
  </rv>
  <rv s="11">
    <fb>94.77</fb>
    <v>23</v>
  </rv>
  <rv s="11">
    <fb>45637</fb>
    <v>22</v>
  </rv>
  <rv s="11">
    <fb>246.49</fb>
    <v>23</v>
  </rv>
  <rv s="11">
    <fb>139.31</fb>
    <v>23</v>
  </rv>
  <rv s="11">
    <fb>448.99</fb>
    <v>23</v>
  </rv>
  <rv s="11">
    <fb>632.67999999999995</fb>
    <v>23</v>
  </rv>
  <rv s="11">
    <fb>195.4</fb>
    <v>23</v>
  </rv>
  <rv s="11">
    <fb>607.46</fb>
    <v>23</v>
  </rv>
  <rv s="11">
    <fb>250.96</fb>
    <v>23</v>
  </rv>
  <rv s="11">
    <fb>73.33</fb>
    <v>23</v>
  </rv>
  <rv s="11">
    <fb>94.49</fb>
    <v>23</v>
  </rv>
  <rv s="11">
    <fb>45638</fb>
    <v>22</v>
  </rv>
  <rv s="11">
    <fb>137.34</fb>
    <v>23</v>
  </rv>
  <rv s="11">
    <fb>449.56</fb>
    <v>23</v>
  </rv>
  <rv s="11">
    <fb>630.79</fb>
    <v>23</v>
  </rv>
  <rv s="11">
    <fb>191.96</fb>
    <v>23</v>
  </rv>
  <rv s="11">
    <fb>604.33000000000004</fb>
    <v>23</v>
  </rv>
  <rv s="11">
    <fb>247.28</fb>
    <v>23</v>
  </rv>
  <rv s="11">
    <fb>73.209999999999994</fb>
    <v>23</v>
  </rv>
  <rv s="11">
    <fb>94.13</fb>
    <v>23</v>
  </rv>
  <rv s="11">
    <fb>45639</fb>
    <v>22</v>
  </rv>
  <rv s="11">
    <fb>248.13</fb>
    <v>23</v>
  </rv>
  <rv s="11">
    <fb>134.25</fb>
    <v>23</v>
  </rv>
  <rv s="11">
    <fb>447.27</fb>
    <v>23</v>
  </rv>
  <rv s="11">
    <fb>620.35</fb>
    <v>23</v>
  </rv>
  <rv s="11">
    <fb>189.82</fb>
    <v>23</v>
  </rv>
  <rv s="11">
    <fb>604.21</fb>
    <v>23</v>
  </rv>
  <rv s="11">
    <fb>244.29</fb>
    <v>23</v>
  </rv>
  <rv s="11">
    <fb>74.209999999999994</fb>
    <v>23</v>
  </rv>
  <rv s="11">
    <fb>93.69</fb>
    <v>23</v>
  </rv>
  <rv s="11">
    <fb>45642</fb>
    <v>22</v>
  </rv>
  <rv s="11">
    <fb>251.04</fb>
    <v>23</v>
  </rv>
  <rv s="11">
    <fb>132</fb>
    <v>23</v>
  </rv>
  <rv s="11">
    <fb>451.59</fb>
    <v>23</v>
  </rv>
  <rv s="11">
    <fb>624.24</fb>
    <v>23</v>
  </rv>
  <rv s="11">
    <fb>196.66</fb>
    <v>23</v>
  </rv>
  <rv s="11">
    <fb>606.79</fb>
    <v>23</v>
  </rv>
  <rv s="11">
    <fb>244.88</fb>
    <v>23</v>
  </rv>
  <rv s="11">
    <fb>73.7</fb>
    <v>23</v>
  </rv>
  <rv s="11">
    <fb>93.72</fb>
    <v>23</v>
  </rv>
  <rv s="11">
    <fb>45643</fb>
    <v>22</v>
  </rv>
  <rv s="11">
    <fb>253.48</fb>
    <v>23</v>
  </rv>
  <rv s="11">
    <fb>130.38999999999999</fb>
    <v>23</v>
  </rv>
  <rv s="11">
    <fb>454.46</fb>
    <v>23</v>
  </rv>
  <rv s="11">
    <fb>619.44000000000005</fb>
    <v>23</v>
  </rv>
  <rv s="11">
    <fb>195.42</fb>
    <v>23</v>
  </rv>
  <rv s="11">
    <fb>604.29</fb>
    <v>23</v>
  </rv>
  <rv s="11">
    <fb>243.94</fb>
    <v>23</v>
  </rv>
  <rv s="11">
    <fb>73.3</fb>
    <v>23</v>
  </rv>
  <rv s="11">
    <fb>45644</fb>
    <v>22</v>
  </rv>
  <rv s="11">
    <fb>248.05</fb>
    <v>23</v>
  </rv>
  <rv s="11">
    <fb>128.91</fb>
    <v>23</v>
  </rv>
  <rv s="11">
    <fb>437.39</fb>
    <v>23</v>
  </rv>
  <rv s="11">
    <fb>188.4</fb>
    <v>23</v>
  </rv>
  <rv s="11">
    <fb>586.28</fb>
    <v>23</v>
  </rv>
  <rv s="11">
    <fb>239.26</fb>
    <v>23</v>
  </rv>
  <rv s="11">
    <fb>72.94</fb>
    <v>23</v>
  </rv>
  <rv s="11">
    <fb>92.69</fb>
    <v>23</v>
  </rv>
  <rv s="11">
    <fb>45645</fb>
    <v>22</v>
  </rv>
  <rv s="11">
    <fb>249.79</fb>
    <v>23</v>
  </rv>
  <rv s="11">
    <fb>130.68</fb>
    <v>23</v>
  </rv>
  <rv s="11">
    <fb>437.03</fb>
    <v>23</v>
  </rv>
  <rv s="11">
    <fb>595.57000000000005</fb>
    <v>23</v>
  </rv>
  <rv s="11">
    <fb>188.51</fb>
    <v>23</v>
  </rv>
  <rv s="11">
    <fb>586.1</fb>
    <v>23</v>
  </rv>
  <rv s="11">
    <fb>239.6</fb>
    <v>23</v>
  </rv>
  <rv s="11">
    <fb>72.61</fb>
    <v>23</v>
  </rv>
  <rv s="11">
    <fb>92.27</fb>
    <v>23</v>
  </rv>
  <rv s="11">
    <fb>45646</fb>
    <v>22</v>
  </rv>
  <rv s="11">
    <fb>254.49</fb>
    <v>23</v>
  </rv>
  <rv s="11">
    <fb>134.69999999999999</fb>
    <v>23</v>
  </rv>
  <rv s="11">
    <fb>436.6</fb>
    <v>23</v>
  </rv>
  <rv s="11">
    <fb>585.25</fb>
    <v>23</v>
  </rv>
  <rv s="11">
    <fb>191.41</fb>
    <v>23</v>
  </rv>
  <rv s="11">
    <fb>591.15</fb>
    <v>23</v>
  </rv>
  <rv s="11">
    <fb>242.1</fb>
    <v>23</v>
  </rv>
  <rv s="11">
    <fb>73.099999999999994</fb>
    <v>23</v>
  </rv>
  <rv s="11">
    <fb>92.61</fb>
    <v>23</v>
  </rv>
  <rv s="11">
    <fb>45649</fb>
    <v>22</v>
  </rv>
  <rv s="11">
    <fb>255.27</fb>
    <v>23</v>
  </rv>
  <rv s="11">
    <fb>139.66999999999999</fb>
    <v>23</v>
  </rv>
  <rv s="11">
    <fb>435.25</fb>
    <v>23</v>
  </rv>
  <rv s="11">
    <fb>599.85</fb>
    <v>23</v>
  </rv>
  <rv s="11">
    <fb>194.63</fb>
    <v>23</v>
  </rv>
  <rv s="11">
    <fb>594.69000000000005</fb>
    <v>23</v>
  </rv>
  <rv s="11">
    <fb>240.96</fb>
    <v>23</v>
  </rv>
  <rv s="11">
    <fb>92.2</fb>
    <v>23</v>
  </rv>
  <rv s="11">
    <fb>45650</fb>
    <v>22</v>
  </rv>
  <rv s="11">
    <fb>258.2</fb>
    <v>23</v>
  </rv>
  <rv s="11">
    <fb>140.22</fb>
    <v>23</v>
  </rv>
  <rv s="11">
    <fb>439.33</fb>
    <v>23</v>
  </rv>
  <rv s="11">
    <fb>607.75</fb>
    <v>23</v>
  </rv>
  <rv s="11">
    <fb>196.11</fb>
    <v>23</v>
  </rv>
  <rv s="11">
    <fb>601.29999999999995</fb>
    <v>23</v>
  </rv>
  <rv s="11">
    <fb>241.44</fb>
    <v>23</v>
  </rv>
  <rv s="11">
    <fb>73.650000000000006</fb>
    <v>23</v>
  </rv>
  <rv s="11">
    <fb>92.25</fb>
    <v>23</v>
  </rv>
  <rv s="11">
    <fb>45652</fb>
    <v>22</v>
  </rv>
  <rv s="11">
    <fb>259.02</fb>
    <v>23</v>
  </rv>
  <rv s="11">
    <fb>139.93</fb>
    <v>23</v>
  </rv>
  <rv s="11">
    <fb>438.11</fb>
    <v>23</v>
  </rv>
  <rv s="11">
    <fb>603.35</fb>
    <v>23</v>
  </rv>
  <rv s="11">
    <fb>195.6</fb>
    <v>23</v>
  </rv>
  <rv s="11">
    <fb>601.34</fb>
    <v>23</v>
  </rv>
  <rv s="11">
    <fb>243.07</fb>
    <v>23</v>
  </rv>
  <rv s="11">
    <fb>92.32</fb>
    <v>23</v>
  </rv>
  <rv s="11">
    <fb>45653</fb>
    <v>22</v>
  </rv>
  <rv s="11">
    <fb>255.59</fb>
    <v>23</v>
  </rv>
  <rv s="11">
    <fb>137.01</fb>
    <v>23</v>
  </rv>
  <rv s="11">
    <fb>430.53</fb>
    <v>23</v>
  </rv>
  <rv s="11">
    <fb>599.80999999999995</fb>
    <v>23</v>
  </rv>
  <rv s="11">
    <fb>192.76</fb>
    <v>23</v>
  </rv>
  <rv s="11">
    <fb>595.01</fb>
    <v>23</v>
  </rv>
  <rv s="11">
    <fb>241.4</fb>
    <v>23</v>
  </rv>
  <rv s="11">
    <fb>73.849999999999994</fb>
    <v>23</v>
  </rv>
  <rv s="11">
    <fb>92.08</fb>
    <v>23</v>
  </rv>
  <rv s="11">
    <fb>45656</fb>
    <v>22</v>
  </rv>
  <rv s="11">
    <fb>252.2</fb>
    <v>23</v>
  </rv>
  <rv s="11">
    <fb>137.49</fb>
    <v>23</v>
  </rv>
  <rv s="11">
    <fb>424.83</fb>
    <v>23</v>
  </rv>
  <rv s="11">
    <fb>591.24</fb>
    <v>23</v>
  </rv>
  <rv s="11">
    <fb>191.24</fb>
    <v>23</v>
  </rv>
  <rv s="11">
    <fb>588.22</fb>
    <v>23</v>
  </rv>
  <rv s="11">
    <fb>240.63</fb>
    <v>23</v>
  </rv>
  <rv s="11">
    <fb>74.819999999999993</fb>
    <v>23</v>
  </rv>
  <rv s="11">
    <fb>92.62</fb>
    <v>23</v>
  </rv>
  <rv s="11">
    <fb>45657</fb>
    <v>22</v>
  </rv>
  <rv s="11">
    <fb>250.42</fb>
    <v>23</v>
  </rv>
  <rv s="11">
    <fb>134.29</fb>
    <v>23</v>
  </rv>
  <rv s="11">
    <fb>421.5</fb>
    <v>23</v>
  </rv>
  <rv s="11">
    <fb>585.51</fb>
    <v>23</v>
  </rv>
  <rv s="11">
    <fb>189.3</fb>
    <v>23</v>
  </rv>
  <rv s="11">
    <fb>586.08000000000004</fb>
    <v>23</v>
  </rv>
  <rv s="11">
    <fb>242.13</fb>
    <v>23</v>
  </rv>
  <rv s="11">
    <fb>75.55</fb>
    <v>23</v>
  </rv>
  <rv s="11">
    <fb>92.45</fb>
    <v>23</v>
  </rv>
  <rv s="11">
    <fb>45659</fb>
    <v>22</v>
  </rv>
  <rv s="11">
    <fb>243.85</fb>
    <v>23</v>
  </rv>
  <rv s="11">
    <fb>138.31</fb>
    <v>23</v>
  </rv>
  <rv s="11">
    <fb>418.58</fb>
    <v>23</v>
  </rv>
  <rv s="11">
    <fb>599.24</fb>
    <v>23</v>
  </rv>
  <rv s="11">
    <fb>189.43</fb>
    <v>23</v>
  </rv>
  <rv s="11">
    <fb>584.64</fb>
    <v>23</v>
  </rv>
  <rv s="11">
    <fb>245.42</fb>
    <v>23</v>
  </rv>
  <rv s="11">
    <fb>76.930000000000007</fb>
    <v>23</v>
  </rv>
  <rv s="11">
    <fb>92.5</fb>
    <v>23</v>
  </rv>
  <rv s="11">
    <fb>45660</fb>
    <v>22</v>
  </rv>
  <rv s="11">
    <fb>243.36</fb>
    <v>23</v>
  </rv>
  <rv s="11">
    <fb>144.47</fb>
    <v>23</v>
  </rv>
  <rv s="11">
    <fb>423.35</fb>
    <v>23</v>
  </rv>
  <rv s="11">
    <fb>604.63</fb>
    <v>23</v>
  </rv>
  <rv s="11">
    <fb>191.79</fb>
    <v>23</v>
  </rv>
  <rv s="11">
    <fb>591.95000000000005</fb>
    <v>23</v>
  </rv>
  <rv s="11">
    <fb>77.92</fb>
    <v>23</v>
  </rv>
  <rv s="11">
    <fb>92.35</fb>
    <v>23</v>
  </rv>
  <rv s="11">
    <fb>45663</fb>
    <v>22</v>
  </rv>
  <rv s="11">
    <fb>149.43</fb>
    <v>23</v>
  </rv>
  <rv s="11">
    <fb>427.85</fb>
    <v>23</v>
  </rv>
  <rv s="11">
    <fb>630.20000000000005</fb>
    <v>23</v>
  </rv>
  <rv s="11">
    <fb>196.87</fb>
    <v>23</v>
  </rv>
  <rv s="11">
    <fb>595.36</fb>
    <v>23</v>
  </rv>
  <rv s="11">
    <fb>243.19</fb>
    <v>23</v>
  </rv>
  <rv s="11">
    <fb>77.3</fb>
    <v>23</v>
  </rv>
  <rv s="11">
    <fb>92.26</fb>
    <v>23</v>
  </rv>
  <rv s="11">
    <fb>45664</fb>
    <v>22</v>
  </rv>
  <rv s="11">
    <fb>242.21</fb>
    <v>23</v>
  </rv>
  <rv s="11">
    <fb>140.13999999999999</fb>
    <v>23</v>
  </rv>
  <rv s="11">
    <fb>422.37</fb>
    <v>23</v>
  </rv>
  <rv s="11">
    <fb>617.89</fb>
    <v>23</v>
  </rv>
  <rv s="11">
    <fb>195.49</fb>
    <v>23</v>
  </rv>
  <rv s="11">
    <fb>588.63</fb>
    <v>23</v>
  </rv>
  <rv s="11">
    <fb>244.56</fb>
    <v>23</v>
  </rv>
  <rv s="11">
    <fb>78.17</fb>
    <v>23</v>
  </rv>
  <rv s="11">
    <fb>91.84</fb>
    <v>23</v>
  </rv>
  <rv s="11">
    <fb>45665</fb>
    <v>22</v>
  </rv>
  <rv s="11">
    <fb>242.7</fb>
    <v>23</v>
  </rv>
  <rv s="11">
    <fb>140.11000000000001</fb>
    <v>23</v>
  </rv>
  <rv s="11">
    <fb>424.56</fb>
    <v>23</v>
  </rv>
  <rv s="11">
    <fb>610.72</fb>
    <v>23</v>
  </rv>
  <rv s="11">
    <fb>193.95</fb>
    <v>23</v>
  </rv>
  <rv s="11">
    <fb>589.49</fb>
    <v>23</v>
  </rv>
  <rv s="11">
    <fb>245.86</fb>
    <v>23</v>
  </rv>
  <rv s="11">
    <fb>92</fb>
    <v>23</v>
  </rv>
  <rv s="11">
    <fb>45667</fb>
    <v>22</v>
  </rv>
  <rv s="11">
    <fb>236.85</fb>
    <v>23</v>
  </rv>
  <rv s="11">
    <fb>135.91</fb>
    <v>23</v>
  </rv>
  <rv s="11">
    <fb>418.95</fb>
    <v>23</v>
  </rv>
  <rv s="11">
    <fb>615.86</fb>
    <v>23</v>
  </rv>
  <rv s="11">
    <fb>192.04</fb>
    <v>23</v>
  </rv>
  <rv s="11">
    <fb>580.49</fb>
    <v>23</v>
  </rv>
  <rv s="11">
    <fb>248.21</fb>
    <v>23</v>
  </rv>
  <rv s="11">
    <fb>80.64</fb>
    <v>23</v>
  </rv>
  <rv s="11">
    <fb>91.33</fb>
    <v>23</v>
  </rv>
  <rv s="11">
    <fb>45670</fb>
    <v>22</v>
  </rv>
  <rv s="11">
    <fb>234.4</fb>
    <v>23</v>
  </rv>
  <rv s="11">
    <fb>133.22999999999999</fb>
    <v>23</v>
  </rv>
  <rv s="11">
    <fb>417.19</fb>
    <v>23</v>
  </rv>
  <rv s="11">
    <fb>608.33000000000004</fb>
    <v>23</v>
  </rv>
  <rv s="11">
    <fb>191.01</fb>
    <v>23</v>
  </rv>
  <rv s="11">
    <fb>581.39</fb>
    <v>23</v>
  </rv>
  <rv s="11">
    <fb>245.74</fb>
    <v>23</v>
  </rv>
  <rv s="11">
    <fb>82.23</fb>
    <v>23</v>
  </rv>
  <rv s="11">
    <fb>91.17</fb>
    <v>23</v>
  </rv>
  <rv s="11">
    <fb>45671</fb>
    <v>22</v>
  </rv>
  <rv s="11">
    <fb>233.28</fb>
    <v>23</v>
  </rv>
  <rv s="11">
    <fb>131.76</fb>
    <v>23</v>
  </rv>
  <rv s="11">
    <fb>415.67</fb>
    <v>23</v>
  </rv>
  <rv s="11">
    <fb>594.25</fb>
    <v>23</v>
  </rv>
  <rv s="11">
    <fb>189.66</fb>
    <v>23</v>
  </rv>
  <rv s="11">
    <fb>582.19000000000005</fb>
    <v>23</v>
  </rv>
  <rv s="11">
    <fb>247.03</fb>
    <v>23</v>
  </rv>
  <rv s="11">
    <fb>81.67</fb>
    <v>23</v>
  </rv>
  <rv s="11">
    <fb>91.2</fb>
    <v>23</v>
  </rv>
  <rv s="11">
    <fb>45672</fb>
    <v>22</v>
  </rv>
  <rv s="11">
    <fb>237.87</fb>
    <v>23</v>
  </rv>
  <rv s="11">
    <fb>136.24</fb>
    <v>23</v>
  </rv>
  <rv s="11">
    <fb>426.31</fb>
    <v>23</v>
  </rv>
  <rv s="11">
    <fb>617.12</fb>
    <v>23</v>
  </rv>
  <rv s="11">
    <fb>195.55</fb>
    <v>23</v>
  </rv>
  <rv s="11">
    <fb>592.78</fb>
    <v>23</v>
  </rv>
  <rv s="11">
    <fb>248.88</fb>
    <v>23</v>
  </rv>
  <rv s="11">
    <fb>84.34</fb>
    <v>23</v>
  </rv>
  <rv s="11">
    <fb>92.16</fb>
    <v>23</v>
  </rv>
  <rv s="11">
    <fb>45673</fb>
    <v>22</v>
  </rv>
  <rv s="11">
    <fb>228.26</fb>
    <v>23</v>
  </rv>
  <rv s="11">
    <fb>133.57</fb>
    <v>23</v>
  </rv>
  <rv s="11">
    <fb>424.58</fb>
    <v>23</v>
  </rv>
  <rv s="11">
    <fb>611.29999999999995</fb>
    <v>23</v>
  </rv>
  <rv s="11">
    <fb>192.91</fb>
    <v>23</v>
  </rv>
  <rv s="11">
    <fb>591.64</fb>
    <v>23</v>
  </rv>
  <rv s="11">
    <fb>250.6</fb>
    <v>23</v>
  </rv>
  <rv s="11">
    <fb>82.94</fb>
    <v>23</v>
  </rv>
  <rv s="11">
    <fb>92.38</fb>
    <v>23</v>
  </rv>
  <rv s="11">
    <fb>45674</fb>
    <v>22</v>
  </rv>
  <rv s="11">
    <fb>229.98</fb>
    <v>23</v>
  </rv>
  <rv s="11">
    <fb>137.71</fb>
    <v>23</v>
  </rv>
  <rv s="11">
    <fb>429.03</fb>
    <v>23</v>
  </rv>
  <rv s="11">
    <fb>612.77</fb>
    <v>23</v>
  </rv>
  <rv s="11">
    <fb>196</fb>
    <v>23</v>
  </rv>
  <rv s="11">
    <fb>597.58000000000004</fb>
    <v>23</v>
  </rv>
  <rv s="11">
    <fb>249.27</fb>
    <v>23</v>
  </rv>
  <rv s="11">
    <fb>82.52</fb>
    <v>23</v>
  </rv>
  <rv s="11">
    <fb>45678</fb>
    <v>22</v>
  </rv>
  <rv s="11">
    <fb>222.64</fb>
    <v>23</v>
  </rv>
  <rv s="11">
    <fb>140.83000000000001</fb>
    <v>23</v>
  </rv>
  <rv s="11">
    <fb>428.5</fb>
    <v>23</v>
  </rv>
  <rv s="11">
    <fb>616.46</fb>
    <v>23</v>
  </rv>
  <rv s="11">
    <fb>198.05</fb>
    <v>23</v>
  </rv>
  <rv s="11">
    <fb>603.04999999999995</fb>
    <v>23</v>
  </rv>
  <rv s="11">
    <fb>253.13</fb>
    <v>23</v>
  </rv>
  <rv s="11">
    <fb>81.11</fb>
    <v>23</v>
  </rv>
  <rv s="11">
    <fb>92.76</fb>
    <v>23</v>
  </rv>
  <rv s="11">
    <fb>45679</fb>
    <v>22</v>
  </rv>
  <rv s="11">
    <fb>223.83</fb>
    <v>23</v>
  </rv>
  <rv s="11">
    <fb>147.07</fb>
    <v>23</v>
  </rv>
  <rv s="11">
    <fb>446.2</fb>
    <v>23</v>
  </rv>
  <rv s="11">
    <fb>623.5</fb>
    <v>23</v>
  </rv>
  <rv s="11">
    <fb>198.37</fb>
    <v>23</v>
  </rv>
  <rv s="11">
    <fb>606.44000000000005</fb>
    <v>23</v>
  </rv>
  <rv s="11">
    <fb>254.43</fb>
    <v>23</v>
  </rv>
  <rv s="11">
    <fb>80.430000000000007</fb>
    <v>23</v>
  </rv>
  <rv s="11">
    <fb>92.52</fb>
    <v>23</v>
  </rv>
  <rv s="11">
    <fb>45680</fb>
    <v>22</v>
  </rv>
  <rv s="11">
    <fb>223.66</fb>
    <v>23</v>
  </rv>
  <rv s="11">
    <fb>147.22</fb>
    <v>23</v>
  </rv>
  <rv s="11">
    <fb>446.71</fb>
    <v>23</v>
  </rv>
  <rv s="11">
    <fb>636.45000000000005</fb>
    <v>23</v>
  </rv>
  <rv s="11">
    <fb>197.98</fb>
    <v>23</v>
  </rv>
  <rv s="11">
    <fb>609.75</fb>
    <v>23</v>
  </rv>
  <rv s="11">
    <fb>254.07</fb>
    <v>23</v>
  </rv>
  <rv s="11">
    <fb>79.209999999999994</fb>
    <v>23</v>
  </rv>
  <rv s="11">
    <fb>92.28</fb>
    <v>23</v>
  </rv>
  <rv s="11">
    <fb>45681</fb>
    <v>22</v>
  </rv>
  <rv s="11">
    <fb>222.78</fb>
    <v>23</v>
  </rv>
  <rv s="11">
    <fb>142.62</fb>
    <v>23</v>
  </rv>
  <rv s="11">
    <fb>444.06</fb>
    <v>23</v>
  </rv>
  <rv s="11">
    <fb>647.49</fb>
    <v>23</v>
  </rv>
  <rv s="11">
    <fb>200.21</fb>
    <v>23</v>
  </rv>
  <rv s="11">
    <fb>607.97</fb>
    <v>23</v>
  </rv>
  <rv s="11">
    <fb>255.65</fb>
    <v>23</v>
  </rv>
  <rv s="11">
    <fb>79.599999999999994</fb>
    <v>23</v>
  </rv>
  <rv s="11">
    <fb>92.47</fb>
    <v>23</v>
  </rv>
  <rv s="11">
    <fb>45684</fb>
    <v>22</v>
  </rv>
  <rv s="11">
    <fb>229.86</fb>
    <v>23</v>
  </rv>
  <rv s="11">
    <fb>118.42</fb>
    <v>23</v>
  </rv>
  <rv s="11">
    <fb>434.56</fb>
    <v>23</v>
  </rv>
  <rv s="11">
    <fb>659.88</fb>
    <v>23</v>
  </rv>
  <rv s="11">
    <fb>191.81</fb>
    <v>23</v>
  </rv>
  <rv s="11">
    <fb>599.37</fb>
    <v>23</v>
  </rv>
  <rv s="11">
    <fb>252.99</fb>
    <v>23</v>
  </rv>
  <rv s="11">
    <fb>77.930000000000007</fb>
    <v>23</v>
  </rv>
  <rv s="11">
    <fb>93.07</fb>
    <v>23</v>
  </rv>
  <rv s="11">
    <fb>45685</fb>
    <v>22</v>
  </rv>
  <rv s="11">
    <fb>238.26</fb>
    <v>23</v>
  </rv>
  <rv s="11">
    <fb>128.99</fb>
    <v>23</v>
  </rv>
  <rv s="11">
    <fb>447.2</fb>
    <v>23</v>
  </rv>
  <rv s="11">
    <fb>674.33</fb>
    <v>23</v>
  </rv>
  <rv s="11">
    <fb>195.3</fb>
    <v>23</v>
  </rv>
  <rv s="11">
    <fb>604.52</fb>
    <v>23</v>
  </rv>
  <rv s="11">
    <fb>255.18</fb>
    <v>23</v>
  </rv>
  <rv s="11">
    <fb>78.86</fb>
    <v>23</v>
  </rv>
  <rv s="11">
    <fb>93.08</fb>
    <v>23</v>
  </rv>
  <rv s="11">
    <fb>45686</fb>
    <v>22</v>
  </rv>
  <rv s="11">
    <fb>239.36</fb>
    <v>23</v>
  </rv>
  <rv s="11">
    <fb>123.7</fb>
    <v>23</v>
  </rv>
  <rv s="11">
    <fb>442.33</fb>
    <v>23</v>
  </rv>
  <rv s="11">
    <fb>676.49</fb>
    <v>23</v>
  </rv>
  <rv s="11">
    <fb>195.41</fb>
    <v>23</v>
  </rv>
  <rv s="11">
    <fb>601.80999999999995</fb>
    <v>23</v>
  </rv>
  <rv s="11">
    <fb>254.2</fb>
    <v>23</v>
  </rv>
  <rv s="11">
    <fb>77.78</fb>
    <v>23</v>
  </rv>
  <rv s="11">
    <fb>92.97</fb>
    <v>23</v>
  </rv>
  <rv s="11">
    <fb>45687</fb>
    <v>22</v>
  </rv>
  <rv s="11">
    <fb>237.59</fb>
    <v>23</v>
  </rv>
  <rv s="11">
    <fb>124.65</fb>
    <v>23</v>
  </rv>
  <rv s="11">
    <fb>414.99</fb>
    <v>23</v>
  </rv>
  <rv s="11">
    <fb>687</fb>
    <v>23</v>
  </rv>
  <rv s="11">
    <fb>200.87</fb>
    <v>23</v>
  </rv>
  <rv s="11">
    <fb>605.04</fb>
    <v>23</v>
  </rv>
  <rv s="11">
    <fb>258.05</fb>
    <v>23</v>
  </rv>
  <rv s="11">
    <fb>77.75</fb>
    <v>23</v>
  </rv>
  <rv s="11">
    <fb>93.17</fb>
    <v>23</v>
  </rv>
  <rv s="11">
    <fb>45688</fb>
    <v>22</v>
  </rv>
  <rv s="11">
    <fb>236</fb>
    <v>23</v>
  </rv>
  <rv s="11">
    <fb>120.07</fb>
    <v>23</v>
  </rv>
  <rv s="11">
    <fb>415.06</fb>
    <v>23</v>
  </rv>
  <rv s="11">
    <fb>689.18</fb>
    <v>23</v>
  </rv>
  <rv s="11">
    <fb>204.02</fb>
    <v>23</v>
  </rv>
  <rv s="11">
    <fb>601.82000000000005</fb>
    <v>23</v>
  </rv>
  <rv s="11">
    <fb>258.56</fb>
    <v>23</v>
  </rv>
  <rv s="11">
    <fb>78.02</fb>
    <v>23</v>
  </rv>
  <rv s="11">
    <fb>93.02</fb>
    <v>23</v>
  </rv>
  <rv s="11">
    <fb>45691</fb>
    <v>22</v>
  </rv>
  <rv s="11">
    <fb>228.01</fb>
    <v>23</v>
  </rv>
  <rv s="11">
    <fb>116.66</fb>
    <v>23</v>
  </rv>
  <rv s="11">
    <fb>410.92</fb>
    <v>23</v>
  </rv>
  <rv s="11">
    <fb>697.46</fb>
    <v>23</v>
  </rv>
  <rv s="11">
    <fb>201.23</fb>
    <v>23</v>
  </rv>
  <rv s="11">
    <fb>597.77</fb>
    <v>23</v>
  </rv>
  <rv s="11">
    <fb>259.94</fb>
    <v>23</v>
  </rv>
  <rv s="11">
    <fb>77.819999999999993</fb>
    <v>23</v>
  </rv>
  <rv s="11">
    <fb>92.79</fb>
    <v>23</v>
  </rv>
  <rv s="11">
    <fb>45692</fb>
    <v>22</v>
  </rv>
  <rv s="11">
    <fb>232.8</fb>
    <v>23</v>
  </rv>
  <rv s="11">
    <fb>118.65</fb>
    <v>23</v>
  </rv>
  <rv s="11">
    <fb>412.37</fb>
    <v>23</v>
  </rv>
  <rv s="11">
    <fb>704.19</fb>
    <v>23</v>
  </rv>
  <rv s="11">
    <fb>206.38</fb>
    <v>23</v>
  </rv>
  <rv s="11">
    <fb>601.78</fb>
    <v>23</v>
  </rv>
  <rv s="11">
    <fb>262.5</fb>
    <v>23</v>
  </rv>
  <rv s="11">
    <fb>77.510000000000005</fb>
    <v>23</v>
  </rv>
  <rv s="11">
    <fb>45693</fb>
    <v>22</v>
  </rv>
  <rv s="11">
    <fb>232.47</fb>
    <v>23</v>
  </rv>
  <rv s="11">
    <fb>124.83</fb>
    <v>23</v>
  </rv>
  <rv s="11">
    <fb>413.29</fb>
    <v>23</v>
  </rv>
  <rv s="11">
    <fb>704.87</fb>
    <v>23</v>
  </rv>
  <rv s="11">
    <fb>191.33</fb>
    <v>23</v>
  </rv>
  <rv s="11">
    <fb>604.22</fb>
    <v>23</v>
  </rv>
  <rv s="11">
    <fb>264.13</fb>
    <v>23</v>
  </rv>
  <rv s="11">
    <fb>76.09</fb>
    <v>23</v>
  </rv>
  <rv s="11">
    <fb>93.56</fb>
    <v>23</v>
  </rv>
  <rv s="11">
    <fb>45694</fb>
    <v>22</v>
  </rv>
  <rv s="11">
    <fb>233.22</fb>
    <v>23</v>
  </rv>
  <rv s="11">
    <fb>128.68</fb>
    <v>23</v>
  </rv>
  <rv s="11">
    <fb>415.82</fb>
    <v>23</v>
  </rv>
  <rv s="11">
    <fb>711.99</fb>
    <v>23</v>
  </rv>
  <rv s="11">
    <fb>191.6</fb>
    <v>23</v>
  </rv>
  <rv s="11">
    <fb>606.32000000000005</fb>
    <v>23</v>
  </rv>
  <rv s="11">
    <fb>263.43</fb>
    <v>23</v>
  </rv>
  <rv s="11">
    <fb>75.45</fb>
    <v>23</v>
  </rv>
  <rv s="11">
    <fb>93.45</fb>
    <v>23</v>
  </rv>
  <rv s="11">
    <fb>45695</fb>
    <v>22</v>
  </rv>
  <rv s="11">
    <fb>227.63</fb>
    <v>23</v>
  </rv>
  <rv s="11">
    <fb>129.84</fb>
    <v>23</v>
  </rv>
  <rv s="11">
    <fb>409.75</fb>
    <v>23</v>
  </rv>
  <rv s="11">
    <fb>714.52</fb>
    <v>23</v>
  </rv>
  <rv s="11">
    <fb>185.34</fb>
    <v>23</v>
  </rv>
  <rv s="11">
    <fb>600.77</fb>
    <v>23</v>
  </rv>
  <rv s="11">
    <fb>263.89999999999998</fb>
    <v>23</v>
  </rv>
  <rv s="11">
    <fb>75.86</fb>
    <v>23</v>
  </rv>
  <rv s="11">
    <fb>93.14</fb>
    <v>23</v>
  </rv>
  <rv s="11">
    <fb>45698</fb>
    <v>22</v>
  </rv>
  <rv s="11">
    <fb>227.65</fb>
    <v>23</v>
  </rv>
  <rv s="11">
    <fb>412.22</fb>
    <v>23</v>
  </rv>
  <rv s="11">
    <fb>717.4</fb>
    <v>23</v>
  </rv>
  <rv s="11">
    <fb>186.47</fb>
    <v>23</v>
  </rv>
  <rv s="11">
    <fb>604.85</fb>
    <v>23</v>
  </rv>
  <rv s="11">
    <fb>268.37</fb>
    <v>23</v>
  </rv>
  <rv s="11">
    <fb>77.400000000000006</fb>
    <v>23</v>
  </rv>
  <rv s="11">
    <fb>93.12</fb>
    <v>23</v>
  </rv>
  <rv s="11">
    <fb>45699</fb>
    <v>22</v>
  </rv>
  <rv s="11">
    <fb>232.62</fb>
    <v>23</v>
  </rv>
  <rv s="11">
    <fb>132.80000000000001</fb>
    <v>23</v>
  </rv>
  <rv s="11">
    <fb>411.44</fb>
    <v>23</v>
  </rv>
  <rv s="11">
    <fb>719.8</fb>
    <v>23</v>
  </rv>
  <rv s="11">
    <fb>185.32</fb>
    <v>23</v>
  </rv>
  <rv s="11">
    <fb>605.30999999999995</fb>
    <v>23</v>
  </rv>
  <rv s="11">
    <fb>267.39</fb>
    <v>23</v>
  </rv>
  <rv s="11">
    <fb>78.27</fb>
    <v>23</v>
  </rv>
  <rv s="11">
    <fb>92.88</fb>
    <v>23</v>
  </rv>
  <rv s="11">
    <fb>45700</fb>
    <v>22</v>
  </rv>
  <rv s="11">
    <fb>236.87</fb>
    <v>23</v>
  </rv>
  <rv s="11">
    <fb>131.13999999999999</fb>
    <v>23</v>
  </rv>
  <rv s="11">
    <fb>409.04</fb>
    <v>23</v>
  </rv>
  <rv s="11">
    <fb>725.38</fb>
    <v>23</v>
  </rv>
  <rv s="11">
    <fb>183.61</fb>
    <v>23</v>
  </rv>
  <rv s="11">
    <fb>603.36</fb>
    <v>23</v>
  </rv>
  <rv s="11">
    <fb>267.67</fb>
    <v>23</v>
  </rv>
  <rv s="11">
    <fb>76.319999999999993</fb>
    <v>23</v>
  </rv>
  <rv s="11">
    <fb>92.24</fb>
    <v>23</v>
  </rv>
  <rv s="11">
    <fb>45701</fb>
    <v>22</v>
  </rv>
  <rv s="11">
    <fb>241.53</fb>
    <v>23</v>
  </rv>
  <rv s="11">
    <fb>135.29</fb>
    <v>23</v>
  </rv>
  <rv s="11">
    <fb>410.54</fb>
    <v>23</v>
  </rv>
  <rv s="11">
    <fb>728.56</fb>
    <v>23</v>
  </rv>
  <rv s="11">
    <fb>186.14</fb>
    <v>23</v>
  </rv>
  <rv s="11">
    <fb>609.73</fb>
    <v>23</v>
  </rv>
  <rv s="11">
    <fb>270.31</fb>
    <v>23</v>
  </rv>
  <rv s="11">
    <fb>76.39</fb>
    <v>23</v>
  </rv>
  <rv s="11">
    <fb>92.93</fb>
    <v>23</v>
  </rv>
  <rv s="11">
    <fb>45702</fb>
    <v>22</v>
  </rv>
  <rv s="11">
    <fb>244.6</fb>
    <v>23</v>
  </rv>
  <rv s="11">
    <fb>138.85</fb>
    <v>23</v>
  </rv>
  <rv s="11">
    <fb>408.43</fb>
    <v>23</v>
  </rv>
  <rv s="11">
    <fb>736.67</fb>
    <v>23</v>
  </rv>
  <rv s="11">
    <fb>185.23</fb>
    <v>23</v>
  </rv>
  <rv s="11">
    <fb>609.70000000000005</fb>
    <v>23</v>
  </rv>
  <rv s="11">
    <fb>266.29000000000002</fb>
    <v>23</v>
  </rv>
  <rv s="11">
    <fb>75.819999999999993</fb>
    <v>23</v>
  </rv>
  <rv s="11">
    <fb>45706</fb>
    <v>22</v>
  </rv>
  <rv s="11">
    <fb>244.47</fb>
    <v>23</v>
  </rv>
  <rv s="11">
    <fb>139.4</fb>
    <v>23</v>
  </rv>
  <rv s="11">
    <fb>409.64</fb>
    <v>23</v>
  </rv>
  <rv s="11">
    <fb>716.37</fb>
    <v>23</v>
  </rv>
  <rv s="11">
    <fb>183.77</fb>
    <v>23</v>
  </rv>
  <rv s="11">
    <fb>611.49</fb>
    <v>23</v>
  </rv>
  <rv s="11">
    <fb>270.7</fb>
    <v>23</v>
  </rv>
  <rv s="11">
    <fb>76.959999999999994</fb>
    <v>23</v>
  </rv>
  <rv s="11">
    <fb>92.82</fb>
    <v>23</v>
  </rv>
  <rv s="11">
    <fb>45707</fb>
    <v>22</v>
  </rv>
  <rv s="11">
    <fb>244.87</fb>
    <v>23</v>
  </rv>
  <rv s="11">
    <fb>139.22999999999999</fb>
    <v>23</v>
  </rv>
  <rv s="11">
    <fb>414.77</fb>
    <v>23</v>
  </rv>
  <rv s="11">
    <fb>703.77</fb>
    <v>23</v>
  </rv>
  <rv s="11">
    <fb>185.27</fb>
    <v>23</v>
  </rv>
  <rv s="11">
    <fb>612.92999999999995</fb>
    <v>23</v>
  </rv>
  <rv s="11">
    <fb>270.85000000000002</fb>
    <v>23</v>
  </rv>
  <rv s="11">
    <fb>77.45</fb>
    <v>23</v>
  </rv>
  <rv s="11">
    <fb>45708</fb>
    <v>22</v>
  </rv>
  <rv s="11">
    <fb>245.83</fb>
    <v>23</v>
  </rv>
  <rv s="11">
    <fb>416.13</fb>
    <v>23</v>
  </rv>
  <rv s="11">
    <fb>694.84</fb>
    <v>23</v>
  </rv>
  <rv s="11">
    <fb>184.56</fb>
    <v>23</v>
  </rv>
  <rv s="11">
    <fb>610.38</fb>
    <v>23</v>
  </rv>
  <rv s="11">
    <fb>270.99</fb>
    <v>23</v>
  </rv>
  <rv s="11">
    <fb>77.760000000000005</fb>
    <v>23</v>
  </rv>
  <rv s="11">
    <fb>93.16</fb>
    <v>23</v>
  </rv>
  <rv s="11">
    <fb>45709</fb>
    <v>22</v>
  </rv>
  <rv s="11">
    <fb>245.55</fb>
    <v>23</v>
  </rv>
  <rv s="11">
    <fb>134.43</fb>
    <v>23</v>
  </rv>
  <rv s="11">
    <fb>408.21</fb>
    <v>23</v>
  </rv>
  <rv s="11">
    <fb>683.55</fb>
    <v>23</v>
  </rv>
  <rv s="11">
    <fb>179.66</fb>
    <v>23</v>
  </rv>
  <rv s="11">
    <fb>599.94000000000005</fb>
    <v>23</v>
  </rv>
  <rv s="11">
    <fb>270.74</fb>
    <v>23</v>
  </rv>
  <rv s="11">
    <fb>75.349999999999994</fb>
    <v>23</v>
  </rv>
  <rv s="11">
    <fb>93.71</fb>
    <v>23</v>
  </rv>
  <rv s="11">
    <fb>45712</fb>
    <v>22</v>
  </rv>
  <rv s="11">
    <fb>247.1</fb>
    <v>23</v>
  </rv>
  <rv s="11">
    <fb>130.28</fb>
    <v>23</v>
  </rv>
  <rv s="11">
    <fb>404</fb>
    <v>23</v>
  </rv>
  <rv s="11">
    <fb>668.13</fb>
    <v>23</v>
  </rv>
  <rv s="11">
    <fb>179.25</fb>
    <v>23</v>
  </rv>
  <rv s="11">
    <fb>597.21</fb>
    <v>23</v>
  </rv>
  <rv s="11">
    <fb>272.20999999999998</fb>
    <v>23</v>
  </rv>
  <rv s="11">
    <fb>75.97</fb>
    <v>23</v>
  </rv>
  <rv s="11">
    <fb>93.91</fb>
    <v>23</v>
  </rv>
  <rv s="11">
    <fb>45713</fb>
    <v>22</v>
  </rv>
  <rv s="11">
    <fb>247.04</fb>
    <v>23</v>
  </rv>
  <rv s="11">
    <fb>126.63</fb>
    <v>23</v>
  </rv>
  <rv s="11">
    <fb>397.9</fb>
    <v>23</v>
  </rv>
  <rv s="11">
    <fb>657.5</fb>
    <v>23</v>
  </rv>
  <rv s="11">
    <fb>175.42</fb>
    <v>23</v>
  </rv>
  <rv s="11">
    <fb>594.24</fb>
    <v>23</v>
  </rv>
  <rv s="11">
    <fb>268.62</fb>
    <v>23</v>
  </rv>
  <rv s="11">
    <fb>74.13</fb>
    <v>23</v>
  </rv>
  <rv s="11">
    <fb>94.65</fb>
    <v>23</v>
  </rv>
  <rv s="11">
    <fb>45714</fb>
    <v>22</v>
  </rv>
  <rv s="11">
    <fb>240.36</fb>
    <v>23</v>
  </rv>
  <rv s="11">
    <fb>131.28</fb>
    <v>23</v>
  </rv>
  <rv s="11">
    <fb>399.73</fb>
    <v>23</v>
  </rv>
  <rv s="11">
    <fb>673.7</fb>
    <v>23</v>
  </rv>
  <rv s="11">
    <fb>172.73</fb>
    <v>23</v>
  </rv>
  <rv s="11">
    <fb>594.54</fb>
    <v>23</v>
  </rv>
  <rv s="11">
    <fb>269.02999999999997</fb>
    <v>23</v>
  </rv>
  <rv s="11">
    <fb>94.91</fb>
    <v>23</v>
  </rv>
  <rv s="11">
    <fb>45715</fb>
    <v>22</v>
  </rv>
  <rv s="11">
    <fb>237.3</fb>
    <v>23</v>
  </rv>
  <rv s="11">
    <fb>120.15</fb>
    <v>23</v>
  </rv>
  <rv s="11">
    <fb>392.53</fb>
    <v>23</v>
  </rv>
  <rv s="11">
    <fb>658.24</fb>
    <v>23</v>
  </rv>
  <rv s="11">
    <fb>168.5</fb>
    <v>23</v>
  </rv>
  <rv s="11">
    <fb>585.04999999999995</fb>
    <v>23</v>
  </rv>
  <rv s="11">
    <fb>264.93</fb>
    <v>23</v>
  </rv>
  <rv s="11">
    <fb>75.28</fb>
    <v>23</v>
  </rv>
  <rv s="11">
    <fb>94.8</fb>
    <v>23</v>
  </rv>
  <rv s="11">
    <fb>45716</fb>
    <v>22</v>
  </rv>
  <rv s="11">
    <fb>241.84</fb>
    <v>23</v>
  </rv>
  <rv s="11">
    <fb>396.99</fb>
    <v>23</v>
  </rv>
  <rv s="11">
    <fb>668.2</fb>
    <v>23</v>
  </rv>
  <rv s="11">
    <fb>170.28</fb>
    <v>23</v>
  </rv>
  <rv s="11">
    <fb>594.17999999999995</fb>
    <v>23</v>
  </rv>
  <rv s="11">
    <fb>263.27</fb>
    <v>23</v>
  </rv>
  <rv s="11">
    <fb>75.22</fb>
    <v>23</v>
  </rv>
  <rv s="11">
    <fb>95.32</fb>
    <v>23</v>
  </rv>
  <rv s="11">
    <fb>45719</fb>
    <v>22</v>
  </rv>
  <rv s="11">
    <fb>238.03</fb>
    <v>23</v>
  </rv>
  <rv s="11">
    <fb>114.06</fb>
    <v>23</v>
  </rv>
  <rv s="11">
    <fb>388.49</fb>
    <v>23</v>
  </rv>
  <rv s="11">
    <fb>655.04999999999995</fb>
    <v>23</v>
  </rv>
  <rv s="11">
    <fb>167.01</fb>
    <v>23</v>
  </rv>
  <rv s="11">
    <fb>583.77</fb>
    <v>23</v>
  </rv>
  <rv s="11">
    <fb>266.74</fb>
    <v>23</v>
  </rv>
  <rv s="11">
    <fb>73.319999999999993</fb>
    <v>23</v>
  </rv>
  <rv s="11">
    <fb>95.39</fb>
    <v>23</v>
  </rv>
  <rv s="11">
    <fb>45720</fb>
    <v>22</v>
  </rv>
  <rv s="11">
    <fb>235.93</fb>
    <v>23</v>
  </rv>
  <rv s="11">
    <fb>115.99</fb>
    <v>23</v>
  </rv>
  <rv s="11">
    <fb>388.61</fb>
    <v>23</v>
  </rv>
  <rv s="11">
    <fb>640</fb>
    <v>23</v>
  </rv>
  <rv s="11">
    <fb>170.92</fb>
    <v>23</v>
  </rv>
  <rv s="11">
    <fb>576.86</fb>
    <v>23</v>
  </rv>
  <rv s="11">
    <fb>269.06</fb>
    <v>23</v>
  </rv>
  <rv s="11">
    <fb>73.31</fb>
    <v>23</v>
  </rv>
  <rv s="11">
    <fb>95.09</fb>
    <v>23</v>
  </rv>
  <rv s="11">
    <fb>45721</fb>
    <v>22</v>
  </rv>
  <rv s="11">
    <fb>235.74</fb>
    <v>23</v>
  </rv>
  <rv s="11">
    <fb>117.3</fb>
    <v>23</v>
  </rv>
  <rv s="11">
    <fb>401.02</fb>
    <v>23</v>
  </rv>
  <rv s="11">
    <fb>656.47</fb>
    <v>23</v>
  </rv>
  <rv s="11">
    <fb>173.02</fb>
    <v>23</v>
  </rv>
  <rv s="11">
    <fb>583.05999999999995</fb>
    <v>23</v>
  </rv>
  <rv s="11">
    <fb>269.62</fb>
    <v>23</v>
  </rv>
  <rv s="11">
    <fb>71.42</fb>
    <v>23</v>
  </rv>
  <rv s="11">
    <fb>94.56</fb>
    <v>23</v>
  </rv>
  <rv s="11">
    <fb>45722</fb>
    <v>22</v>
  </rv>
  <rv s="11">
    <fb>235.33</fb>
    <v>23</v>
  </rv>
  <rv s="11">
    <fb>110.57</fb>
    <v>23</v>
  </rv>
  <rv s="11">
    <fb>396.89</fb>
    <v>23</v>
  </rv>
  <rv s="11">
    <fb>627.92999999999995</fb>
    <v>23</v>
  </rv>
  <rv s="11">
    <fb>172.35</fb>
    <v>23</v>
  </rv>
  <rv s="11">
    <fb>572.71</fb>
    <v>23</v>
  </rv>
  <rv s="11">
    <fb>268.25</fb>
    <v>23</v>
  </rv>
  <rv s="11">
    <fb>71.13</fb>
    <v>23</v>
  </rv>
  <rv s="11">
    <fb>94.51</fb>
    <v>23</v>
  </rv>
  <rv s="11">
    <fb>45723</fb>
    <v>22</v>
  </rv>
  <rv s="11">
    <fb>239.07</fb>
    <v>23</v>
  </rv>
  <rv s="11">
    <fb>112.69</fb>
    <v>23</v>
  </rv>
  <rv s="11">
    <fb>393.31</fb>
    <v>23</v>
  </rv>
  <rv s="11">
    <fb>625.66</fb>
    <v>23</v>
  </rv>
  <rv s="11">
    <fb>173.86</fb>
    <v>23</v>
  </rv>
  <rv s="11">
    <fb>575.91999999999996</fb>
    <v>23</v>
  </rv>
  <rv s="11">
    <fb>268.39</fb>
    <v>23</v>
  </rv>
  <rv s="11">
    <fb>72.09</fb>
    <v>23</v>
  </rv>
  <rv s="11">
    <fb>94.39</fb>
    <v>23</v>
  </rv>
  <rv s="11">
    <fb>45726</fb>
    <v>22</v>
  </rv>
  <rv s="11">
    <fb>106.98</fb>
    <v>23</v>
  </rv>
  <rv s="11">
    <fb>380.16</fb>
    <v>23</v>
  </rv>
  <rv s="11">
    <fb>597.99</fb>
    <v>23</v>
  </rv>
  <rv s="11">
    <fb>165.87</fb>
    <v>23</v>
  </rv>
  <rv s="11">
    <fb>560.58000000000004</fb>
    <v>23</v>
  </rv>
  <rv s="11">
    <fb>266.04000000000002</fb>
    <v>23</v>
  </rv>
  <rv s="11">
    <fb>70.89</fb>
    <v>23</v>
  </rv>
  <rv s="11">
    <fb>95.05</fb>
    <v>23</v>
  </rv>
  <rv s="11">
    <fb>45727</fb>
    <v>22</v>
  </rv>
  <rv s="11">
    <fb>220.84</fb>
    <v>23</v>
  </rv>
  <rv s="11">
    <fb>108.76</fb>
    <v>23</v>
  </rv>
  <rv s="11">
    <fb>380.45</fb>
    <v>23</v>
  </rv>
  <rv s="11">
    <fb>605.71</fb>
    <v>23</v>
  </rv>
  <rv s="11">
    <fb>164.04</fb>
    <v>23</v>
  </rv>
  <rv s="11">
    <fb>555.91999999999996</fb>
    <v>23</v>
  </rv>
  <rv s="11">
    <fb>269.16000000000003</fb>
    <v>23</v>
  </rv>
  <rv s="11">
    <fb>71.45</fb>
    <v>23</v>
  </rv>
  <rv s="11">
    <fb>45728</fb>
    <v>22</v>
  </rv>
  <rv s="11">
    <fb>216.98</fb>
    <v>23</v>
  </rv>
  <rv s="11">
    <fb>115.74</fb>
    <v>23</v>
  </rv>
  <rv s="11">
    <fb>383.27</fb>
    <v>23</v>
  </rv>
  <rv s="11">
    <fb>619.55999999999995</fb>
    <v>23</v>
  </rv>
  <rv s="11">
    <fb>167.11</fb>
    <v>23</v>
  </rv>
  <rv s="11">
    <fb>558.87</fb>
    <v>23</v>
  </rv>
  <rv s="11">
    <fb>270.33</fb>
    <v>23</v>
  </rv>
  <rv s="11">
    <fb>72.8</fb>
    <v>23</v>
  </rv>
  <rv s="11">
    <fb>94.43</fb>
    <v>23</v>
  </rv>
  <rv s="11">
    <fb>45729</fb>
    <v>22</v>
  </rv>
  <rv s="11">
    <fb>209.68</fb>
    <v>23</v>
  </rv>
  <rv s="11">
    <fb>115.58</fb>
    <v>23</v>
  </rv>
  <rv s="11">
    <fb>378.77</fb>
    <v>23</v>
  </rv>
  <rv s="11">
    <fb>590.64</fb>
    <v>23</v>
  </rv>
  <rv s="11">
    <fb>162.76</fb>
    <v>23</v>
  </rv>
  <rv s="11">
    <fb>551.41999999999996</fb>
    <v>23</v>
  </rv>
  <rv s="11">
    <fb>275.13</fb>
    <v>23</v>
  </rv>
  <rv s="11">
    <fb>71.62</fb>
    <v>23</v>
  </rv>
  <rv s="11">
    <fb>94.81</fb>
    <v>23</v>
  </rv>
  <rv s="11">
    <fb>45730</fb>
    <v>22</v>
  </rv>
  <rv s="11">
    <fb>213.49</fb>
    <v>23</v>
  </rv>
  <rv s="11">
    <fb>121.67</fb>
    <v>23</v>
  </rv>
  <rv s="11">
    <fb>388.56</fb>
    <v>23</v>
  </rv>
  <rv s="11">
    <fb>607.6</fb>
    <v>23</v>
  </rv>
  <rv s="11">
    <fb>165.49</fb>
    <v>23</v>
  </rv>
  <rv s="11">
    <fb>562.80999999999995</fb>
    <v>23</v>
  </rv>
  <rv s="11">
    <fb>275.24</fb>
    <v>23</v>
  </rv>
  <rv s="11">
    <fb>72.28</fb>
    <v>23</v>
  </rv>
  <rv s="11">
    <fb>94.48</fb>
    <v>23</v>
  </rv>
  <rv s="11">
    <fb>45733</fb>
    <v>22</v>
  </rv>
  <rv s="11">
    <fb>214</fb>
    <v>23</v>
  </rv>
  <rv s="11">
    <fb>119.53</fb>
    <v>23</v>
  </rv>
  <rv s="11">
    <fb>388.7</fb>
    <v>23</v>
  </rv>
  <rv s="11">
    <fb>604.9</fb>
    <v>23</v>
  </rv>
  <rv s="11">
    <fb>164.29</fb>
    <v>23</v>
  </rv>
  <rv s="11">
    <fb>567.15</fb>
    <v>23</v>
  </rv>
  <rv s="11">
    <fb>276.73</fb>
    <v>23</v>
  </rv>
  <rv s="11">
    <fb>72.709999999999994</fb>
    <v>23</v>
  </rv>
  <rv s="11">
    <fb>45734</fb>
    <v>22</v>
  </rv>
  <rv s="11">
    <fb>212.69</fb>
    <v>23</v>
  </rv>
  <rv s="11">
    <fb>115.43</fb>
    <v>23</v>
  </rv>
  <rv s="11">
    <fb>383.52</fb>
    <v>23</v>
  </rv>
  <rv s="11">
    <fb>582.36</fb>
    <v>23</v>
  </rv>
  <rv s="11">
    <fb>160.66999999999999</fb>
    <v>23</v>
  </rv>
  <rv s="11">
    <fb>561.02</fb>
    <v>23</v>
  </rv>
  <rv s="11">
    <fb>279.95999999999998</fb>
    <v>23</v>
  </rv>
  <rv s="11">
    <fb>72.209999999999994</fb>
    <v>23</v>
  </rv>
  <rv s="11">
    <fb>45735</fb>
    <v>22</v>
  </rv>
  <rv s="11">
    <fb>215.24</fb>
    <v>23</v>
  </rv>
  <rv s="11">
    <fb>117.52</fb>
    <v>23</v>
  </rv>
  <rv s="11">
    <fb>387.82</fb>
    <v>23</v>
  </rv>
  <rv s="11">
    <fb>584.05999999999995</fb>
    <v>23</v>
  </rv>
  <rv s="11">
    <fb>163.89</fb>
    <v>23</v>
  </rv>
  <rv s="11">
    <fb>567.13</fb>
    <v>23</v>
  </rv>
  <rv s="11">
    <fb>281.11</fb>
    <v>23</v>
  </rv>
  <rv s="11">
    <fb>72.42</fb>
    <v>23</v>
  </rv>
  <rv s="11">
    <fb>94.96</fb>
    <v>23</v>
  </rv>
  <rv s="11">
    <fb>45736</fb>
    <v>22</v>
  </rv>
  <rv s="11">
    <fb>214.1</fb>
    <v>23</v>
  </rv>
  <rv s="11">
    <fb>118.53</fb>
    <v>23</v>
  </rv>
  <rv s="11">
    <fb>386.84</fb>
    <v>23</v>
  </rv>
  <rv s="11">
    <fb>586</fb>
    <v>23</v>
  </rv>
  <rv s="11">
    <fb>162.80000000000001</fb>
    <v>23</v>
  </rv>
  <rv s="11">
    <fb>565.49</fb>
    <v>23</v>
  </rv>
  <rv s="11">
    <fb>280.75</fb>
    <v>23</v>
  </rv>
  <rv s="11">
    <fb>73.73</fb>
    <v>23</v>
  </rv>
  <rv s="11">
    <fb>45737</fb>
    <v>22</v>
  </rv>
  <rv s="11">
    <fb>218.27</fb>
    <v>23</v>
  </rv>
  <rv s="11">
    <fb>117.7</fb>
    <v>23</v>
  </rv>
  <rv s="11">
    <fb>391.26</fb>
    <v>23</v>
  </rv>
  <rv s="11">
    <fb>596.25</fb>
    <v>23</v>
  </rv>
  <rv s="11">
    <fb>163.99</fb>
    <v>23</v>
  </rv>
  <rv s="11">
    <fb>563.98</fb>
    <v>23</v>
  </rv>
  <rv s="11">
    <fb>278.49</fb>
    <v>23</v>
  </rv>
  <rv s="11">
    <fb>73.790000000000006</fb>
    <v>23</v>
  </rv>
  <rv s="11">
    <fb>95.02</fb>
    <v>23</v>
  </rv>
  <rv s="11">
    <fb>45740</fb>
    <v>22</v>
  </rv>
  <rv s="11">
    <fb>220.73</fb>
    <v>23</v>
  </rv>
  <rv s="11">
    <fb>121.41</fb>
    <v>23</v>
  </rv>
  <rv s="11">
    <fb>393.08</fb>
    <v>23</v>
  </rv>
  <rv s="11">
    <fb>618.85</fb>
    <v>23</v>
  </rv>
  <rv s="11">
    <fb>167.68</fb>
    <v>23</v>
  </rv>
  <rv s="11">
    <fb>574.08000000000004</fb>
    <v>23</v>
  </rv>
  <rv s="11">
    <fb>277.25</fb>
    <v>23</v>
  </rv>
  <rv s="11">
    <fb>74.88</fb>
    <v>23</v>
  </rv>
  <rv s="11">
    <fb>94.47</fb>
    <v>23</v>
  </rv>
  <rv s="11">
    <fb>45741</fb>
    <v>22</v>
  </rv>
  <rv s="11">
    <fb>223.75</fb>
    <v>23</v>
  </rv>
  <rv s="11">
    <fb>120.69</fb>
    <v>23</v>
  </rv>
  <rv s="11">
    <fb>395.16</fb>
    <v>23</v>
  </rv>
  <rv s="11">
    <fb>626.30999999999995</fb>
    <v>23</v>
  </rv>
  <rv s="11">
    <fb>170.56</fb>
    <v>23</v>
  </rv>
  <rv s="11">
    <fb>575.46</fb>
    <v>23</v>
  </rv>
  <rv s="11">
    <fb>278.47000000000003</fb>
    <v>23</v>
  </rv>
  <rv s="11">
    <fb>94.63</fb>
    <v>23</v>
  </rv>
  <rv s="11">
    <fb>45742</fb>
    <v>22</v>
  </rv>
  <rv s="11">
    <fb>221.53</fb>
    <v>23</v>
  </rv>
  <rv s="11">
    <fb>113.76</fb>
    <v>23</v>
  </rv>
  <rv s="11">
    <fb>389.97</fb>
    <v>23</v>
  </rv>
  <rv s="11">
    <fb>610.98</fb>
    <v>23</v>
  </rv>
  <rv s="11">
    <fb>165.06</fb>
    <v>23</v>
  </rv>
  <rv s="11">
    <fb>568.59</fb>
    <v>23</v>
  </rv>
  <rv s="11">
    <fb>278.24</fb>
    <v>23</v>
  </rv>
  <rv s="11">
    <fb>75.42</fb>
    <v>23</v>
  </rv>
  <rv s="11">
    <fb>45743</fb>
    <v>22</v>
  </rv>
  <rv s="11">
    <fb>223.85</fb>
    <v>23</v>
  </rv>
  <rv s="11">
    <fb>111.43</fb>
    <v>23</v>
  </rv>
  <rv s="11">
    <fb>390.58</fb>
    <v>23</v>
  </rv>
  <rv s="11">
    <fb>602.58000000000004</fb>
    <v>23</v>
  </rv>
  <rv s="11">
    <fb>162.24</fb>
    <v>23</v>
  </rv>
  <rv s="11">
    <fb>567.08000000000004</fb>
    <v>23</v>
  </rv>
  <rv s="11">
    <fb>281.97000000000003</fb>
    <v>23</v>
  </rv>
  <rv s="11">
    <fb>75.48</fb>
    <v>23</v>
  </rv>
  <rv s="11">
    <fb>94.33</fb>
    <v>23</v>
  </rv>
  <rv s="11">
    <fb>45744</fb>
    <v>22</v>
  </rv>
  <rv s="11">
    <fb>217.9</fb>
    <v>23</v>
  </rv>
  <rv s="11">
    <fb>109.67</fb>
    <v>23</v>
  </rv>
  <rv s="11">
    <fb>378.8</fb>
    <v>23</v>
  </rv>
  <rv s="11">
    <fb>576.74</fb>
    <v>23</v>
  </rv>
  <rv s="11">
    <fb>154.33000000000001</fb>
    <v>23</v>
  </rv>
  <rv s="11">
    <fb>555.66</fb>
    <v>23</v>
  </rv>
  <rv s="11">
    <fb>284.06</fb>
    <v>23</v>
  </rv>
  <rv s="11">
    <fb>74.77</fb>
    <v>23</v>
  </rv>
  <rv s="11">
    <fb>45747</fb>
    <v>22</v>
  </rv>
  <rv s="11">
    <fb>222.13</fb>
    <v>23</v>
  </rv>
  <rv s="11">
    <fb>108.38</fb>
    <v>23</v>
  </rv>
  <rv s="11">
    <fb>375.39</fb>
    <v>23</v>
  </rv>
  <rv s="11">
    <fb>576.36</fb>
    <v>23</v>
  </rv>
  <rv s="11">
    <fb>154.63999999999999</fb>
    <v>23</v>
  </rv>
  <rv s="11">
    <fb>559.39</fb>
    <v>23</v>
  </rv>
  <rv s="11">
    <fb>288.14</fb>
    <v>23</v>
  </rv>
  <rv s="11">
    <fb>77.33</fb>
    <v>23</v>
  </rv>
  <rv s="11">
    <fb>95.37</fb>
    <v>23</v>
  </rv>
  <rv s="11">
    <fb>45748</fb>
    <v>22</v>
  </rv>
  <rv s="11">
    <fb>223.19</fb>
    <v>23</v>
  </rv>
  <rv s="11">
    <fb>110.15</fb>
    <v>23</v>
  </rv>
  <rv s="11">
    <fb>382.19</fb>
    <v>23</v>
  </rv>
  <rv s="11">
    <fb>157.07</fb>
    <v>23</v>
  </rv>
  <rv s="11">
    <fb>560.97</fb>
    <v>23</v>
  </rv>
  <rv s="11">
    <fb>287.57</fb>
    <v>23</v>
  </rv>
  <rv s="11">
    <fb>77.08</fb>
    <v>23</v>
  </rv>
  <rv s="11">
    <fb>95.4</fb>
    <v>23</v>
  </rv>
  <rv s="11">
    <fb>45749</fb>
    <v>22</v>
  </rv>
  <rv s="11">
    <fb>223.89</fb>
    <v>23</v>
  </rv>
  <rv s="11">
    <fb>110.42</fb>
    <v>23</v>
  </rv>
  <rv s="11">
    <fb>382.14</fb>
    <v>23</v>
  </rv>
  <rv s="11">
    <fb>583.92999999999995</fb>
    <v>23</v>
  </rv>
  <rv s="11">
    <fb>157.04</fb>
    <v>23</v>
  </rv>
  <rv s="11">
    <fb>564.52</fb>
    <v>23</v>
  </rv>
  <rv s="11">
    <fb>288.16000000000003</fb>
    <v>23</v>
  </rv>
  <rv s="11">
    <fb>77.739999999999995</fb>
    <v>23</v>
  </rv>
  <rv s="11">
    <fb>95.31</fb>
    <v>23</v>
  </rv>
  <rv s="11">
    <fb>45750</fb>
    <v>22</v>
  </rv>
  <rv s="11">
    <fb>203.19</fb>
    <v>23</v>
  </rv>
  <rv s="11">
    <fb>101.8</fb>
    <v>23</v>
  </rv>
  <rv s="11">
    <fb>373.11</fb>
    <v>23</v>
  </rv>
  <rv s="11">
    <fb>531.62</fb>
    <v>23</v>
  </rv>
  <rv s="11">
    <fb>150.72</fb>
    <v>23</v>
  </rv>
  <rv s="11">
    <fb>536.70000000000005</fb>
    <v>23</v>
  </rv>
  <rv s="11">
    <fb>286.42</fb>
    <v>23</v>
  </rv>
  <rv s="11">
    <fb>72.25</fb>
    <v>23</v>
  </rv>
  <rv s="11">
    <fb>96.29</fb>
    <v>23</v>
  </rv>
  <rv s="11">
    <fb>45751</fb>
    <v>22</v>
  </rv>
  <rv s="11">
    <fb>188.38</fb>
    <v>23</v>
  </rv>
  <rv s="11">
    <fb>94.31</fb>
    <v>23</v>
  </rv>
  <rv s="11">
    <fb>359.84</fb>
    <v>23</v>
  </rv>
  <rv s="11">
    <fb>504.73</fb>
    <v>23</v>
  </rv>
  <rv s="11">
    <fb>145.6</fb>
    <v>23</v>
  </rv>
  <rv s="11">
    <fb>505.28</fb>
    <v>23</v>
  </rv>
  <rv s="11">
    <fb>279.72000000000003</fb>
    <v>23</v>
  </rv>
  <rv s="11">
    <fb>67.92</fb>
    <v>23</v>
  </rv>
  <rv s="11">
    <fb>96.56</fb>
    <v>23</v>
  </rv>
  <rv s="11">
    <fb>45754</fb>
    <v>22</v>
  </rv>
  <rv s="11">
    <fb>181.46</fb>
    <v>23</v>
  </rv>
  <rv s="11">
    <fb>97.64</fb>
    <v>23</v>
  </rv>
  <rv s="11">
    <fb>357.86</fb>
    <v>23</v>
  </rv>
  <rv s="11">
    <fb>516.25</fb>
    <v>23</v>
  </rv>
  <rv s="11">
    <fb>146.75</fb>
    <v>23</v>
  </rv>
  <rv s="11">
    <fb>504.38</fb>
    <v>23</v>
  </rv>
  <rv s="11">
    <fb>273.70999999999998</fb>
    <v>23</v>
  </rv>
  <rv s="11">
    <fb>65.98</fb>
    <v>23</v>
  </rv>
  <rv s="11">
    <fb>95.41</fb>
    <v>23</v>
  </rv>
  <rv s="11">
    <fb>45755</fb>
    <v>22</v>
  </rv>
  <rv s="11">
    <fb>172.42</fb>
    <v>23</v>
  </rv>
  <rv s="11">
    <fb>96.3</fb>
    <v>23</v>
  </rv>
  <rv s="11">
    <fb>354.56</fb>
    <v>23</v>
  </rv>
  <rv s="11">
    <fb>510.45</fb>
    <v>23</v>
  </rv>
  <rv s="11">
    <fb>144.69999999999999</fb>
    <v>23</v>
  </rv>
  <rv s="11">
    <fb>496.48</fb>
    <v>23</v>
  </rv>
  <rv s="11">
    <fb>275.2</fb>
    <v>23</v>
  </rv>
  <rv s="11">
    <fb>63.34</fb>
    <v>23</v>
  </rv>
  <rv s="11">
    <fb>94.93</fb>
    <v>23</v>
  </rv>
  <rv s="11">
    <fb>45756</fb>
    <v>22</v>
  </rv>
  <rv s="11">
    <fb>198.85</fb>
    <v>23</v>
  </rv>
  <rv s="11">
    <fb>114.33</fb>
    <v>23</v>
  </rv>
  <rv s="11">
    <fb>390.49</fb>
    <v>23</v>
  </rv>
  <rv s="11">
    <fb>585.77</fb>
    <v>23</v>
  </rv>
  <rv s="11">
    <fb>158.71</fb>
    <v>23</v>
  </rv>
  <rv s="11">
    <fb>548.62</fb>
    <v>23</v>
  </rv>
  <rv s="11">
    <fb>285.38</fb>
    <v>23</v>
  </rv>
  <rv s="11">
    <fb>67.58</fb>
    <v>23</v>
  </rv>
  <rv s="11">
    <fb>45757</fb>
    <v>22</v>
  </rv>
  <rv s="11">
    <fb>190.42</fb>
    <v>23</v>
  </rv>
  <rv s="11">
    <fb>107.57</fb>
    <v>23</v>
  </rv>
  <rv s="11">
    <fb>381.35</fb>
    <v>23</v>
  </rv>
  <rv s="11">
    <fb>546.29</fb>
    <v>23</v>
  </rv>
  <rv s="11">
    <fb>152.82</fb>
    <v>23</v>
  </rv>
  <rv s="11">
    <fb>524.58000000000004</fb>
    <v>23</v>
  </rv>
  <rv s="11">
    <fb>292.35000000000002</fb>
    <v>23</v>
  </rv>
  <rv s="11">
    <fb>65.319999999999993</fb>
    <v>23</v>
  </rv>
  <rv s="11">
    <fb>94.04</fb>
    <v>23</v>
  </rv>
  <rv s="11">
    <fb>45758</fb>
    <v>22</v>
  </rv>
  <rv s="11">
    <fb>198.15</fb>
    <v>23</v>
  </rv>
  <rv s="11">
    <fb>110.93</fb>
    <v>23</v>
  </rv>
  <rv s="11">
    <fb>388.45</fb>
    <v>23</v>
  </rv>
  <rv s="11">
    <fb>543.57000000000005</fb>
    <v>23</v>
  </rv>
  <rv s="11">
    <fb>157.13999999999999</fb>
    <v>23</v>
  </rv>
  <rv s="11">
    <fb>533.94000000000005</fb>
    <v>23</v>
  </rv>
  <rv s="11">
    <fb>297.93</fb>
    <v>23</v>
  </rv>
  <rv s="11">
    <fb>66.459999999999994</fb>
    <v>23</v>
  </rv>
  <rv s="11">
    <fb>93.51</fb>
    <v>23</v>
  </rv>
  <rv s="11">
    <fb>45761</fb>
    <v>22</v>
  </rv>
  <rv s="11">
    <fb>202.52</fb>
    <v>23</v>
  </rv>
  <rv s="11">
    <fb>110.71</fb>
    <v>23</v>
  </rv>
  <rv s="11">
    <fb>387.81</fb>
    <v>23</v>
  </rv>
  <rv s="11">
    <fb>531.48</fb>
    <v>23</v>
  </rv>
  <rv s="11">
    <fb>159.07</fb>
    <v>23</v>
  </rv>
  <rv s="11">
    <fb>539.12</fb>
    <v>23</v>
  </rv>
  <rv s="11">
    <fb>296.23</fb>
    <v>23</v>
  </rv>
  <rv s="11">
    <fb>66.66</fb>
    <v>23</v>
  </rv>
  <rv s="11">
    <fb>94.26</fb>
    <v>23</v>
  </rv>
  <rv s="11">
    <fb>45762</fb>
    <v>22</v>
  </rv>
  <rv s="11">
    <fb>202.14</fb>
    <v>23</v>
  </rv>
  <rv s="11">
    <fb>112.2</fb>
    <v>23</v>
  </rv>
  <rv s="11">
    <fb>385.73</fb>
    <v>23</v>
  </rv>
  <rv s="11">
    <fb>521.52</fb>
    <v>23</v>
  </rv>
  <rv s="11">
    <fb>156.31</fb>
    <v>23</v>
  </rv>
  <rv s="11">
    <fb>537.61</fb>
    <v>23</v>
  </rv>
  <rv s="11">
    <fb>297.77999999999997</fb>
    <v>23</v>
  </rv>
  <rv s="11">
    <fb>66.48</fb>
    <v>23</v>
  </rv>
  <rv s="11">
    <fb>94.54</fb>
    <v>23</v>
  </rv>
  <rv s="11">
    <fb>45763</fb>
    <v>22</v>
  </rv>
  <rv s="11">
    <fb>194.27</fb>
    <v>23</v>
  </rv>
  <rv s="11">
    <fb>104.49</fb>
    <v>23</v>
  </rv>
  <rv s="11">
    <fb>371.61</fb>
    <v>23</v>
  </rv>
  <rv s="11">
    <fb>502.31</fb>
    <v>23</v>
  </rv>
  <rv s="11">
    <fb>153.33000000000001</fb>
    <v>23</v>
  </rv>
  <rv s="11">
    <fb>525.66</fb>
    <v>23</v>
  </rv>
  <rv s="11">
    <fb>307.47000000000003</fb>
    <v>23</v>
  </rv>
  <rv s="11">
    <fb>67.75</fb>
    <v>23</v>
  </rv>
  <rv s="11">
    <fb>94.95</fb>
    <v>23</v>
  </rv>
  <rv s="11">
    <fb>45764</fb>
    <v>22</v>
  </rv>
  <rv s="11">
    <fb>196.98</fb>
    <v>23</v>
  </rv>
  <rv s="11">
    <fb>101.49</fb>
    <v>23</v>
  </rv>
  <rv s="11">
    <fb>367.78</fb>
    <v>23</v>
  </rv>
  <rv s="11">
    <fb>501.48</fb>
    <v>23</v>
  </rv>
  <rv s="11">
    <fb>151.16</fb>
    <v>23</v>
  </rv>
  <rv s="11">
    <fb>526.41</fb>
    <v>23</v>
  </rv>
  <rv s="11">
    <fb>306.12</fb>
    <v>23</v>
  </rv>
  <rv s="11">
    <fb>69.48</fb>
    <v>23</v>
  </rv>
  <rv s="11">
    <fb>94.68</fb>
    <v>23</v>
  </rv>
  <rv s="11">
    <fb>45768</fb>
    <v>22</v>
  </rv>
  <rv s="11">
    <fb>193.16</fb>
    <v>23</v>
  </rv>
  <rv s="11">
    <fb>96.91</fb>
    <v>23</v>
  </rv>
  <rv s="11">
    <fb>359.12</fb>
    <v>23</v>
  </rv>
  <rv s="11">
    <fb>484.66</fb>
    <v>23</v>
  </rv>
  <rv s="11">
    <fb>147.66999999999999</fb>
    <v>23</v>
  </rv>
  <rv s="11">
    <fb>513.88</fb>
    <v>23</v>
  </rv>
  <rv s="11">
    <fb>315.58999999999997</fb>
    <v>23</v>
  </rv>
  <rv s="11">
    <fb>68.62</fb>
    <v>23</v>
  </rv>
  <rv s="11">
    <fb>45769</fb>
    <v>22</v>
  </rv>
  <rv s="11">
    <fb>199.74</fb>
    <v>23</v>
  </rv>
  <rv s="11">
    <fb>98.89</fb>
    <v>23</v>
  </rv>
  <rv s="11">
    <fb>366.82</fb>
    <v>23</v>
  </rv>
  <rv s="11">
    <fb>500.28</fb>
    <v>23</v>
  </rv>
  <rv s="11">
    <fb>151.47</fb>
    <v>23</v>
  </rv>
  <rv s="11">
    <fb>527.25</fb>
    <v>23</v>
  </rv>
  <rv s="11">
    <fb>311.11</fb>
    <v>23</v>
  </rv>
  <rv s="11">
    <fb>69.37</fb>
    <v>23</v>
  </rv>
  <rv s="11">
    <fb>94.24</fb>
    <v>23</v>
  </rv>
  <rv s="11">
    <fb>45770</fb>
    <v>22</v>
  </rv>
  <rv s="11">
    <fb>204.6</fb>
    <v>23</v>
  </rv>
  <rv s="11">
    <fb>102.71</fb>
    <v>23</v>
  </rv>
  <rv s="11">
    <fb>374.39</fb>
    <v>23</v>
  </rv>
  <rv s="11">
    <fb>520.27</fb>
    <v>23</v>
  </rv>
  <rv s="11">
    <fb>155.35</fb>
    <v>23</v>
  </rv>
  <rv s="11">
    <fb>535.41999999999996</fb>
    <v>23</v>
  </rv>
  <rv s="11">
    <fb>303.64999999999998</fb>
    <v>23</v>
  </rv>
  <rv s="11">
    <fb>68.05</fb>
    <v>23</v>
  </rv>
  <rv s="11">
    <fb>94.34</fb>
    <v>23</v>
  </rv>
  <rv s="11">
    <fb>45771</fb>
    <v>22</v>
  </rv>
  <rv s="11">
    <fb>208.37</fb>
    <v>23</v>
  </rv>
  <rv s="11">
    <fb>106.43</fb>
    <v>23</v>
  </rv>
  <rv s="11">
    <fb>387.3</fb>
    <v>23</v>
  </rv>
  <rv s="11">
    <fb>533.15</fb>
    <v>23</v>
  </rv>
  <rv s="11">
    <fb>159.28</fb>
    <v>23</v>
  </rv>
  <rv s="11">
    <fb>546.69000000000005</fb>
    <v>23</v>
  </rv>
  <rv s="11">
    <fb>308.07</fb>
    <v>23</v>
  </rv>
  <rv s="11">
    <fb>68.459999999999994</fb>
    <v>23</v>
  </rv>
  <rv s="11">
    <fb>94.85</fb>
    <v>23</v>
  </rv>
  <rv s="11">
    <fb>45772</fb>
    <v>22</v>
  </rv>
  <rv s="11">
    <fb>209.28</fb>
    <v>23</v>
  </rv>
  <rv s="11">
    <fb>111.01</fb>
    <v>23</v>
  </rv>
  <rv s="11">
    <fb>391.85</fb>
    <v>23</v>
  </rv>
  <rv s="11">
    <fb>547.27</fb>
    <v>23</v>
  </rv>
  <rv s="11">
    <fb>161.96</fb>
    <v>23</v>
  </rv>
  <rv s="11">
    <fb>550.64</fb>
    <v>23</v>
  </rv>
  <rv s="11">
    <fb>304.73</fb>
    <v>23</v>
  </rv>
  <rv s="11">
    <fb>69.03</fb>
    <v>23</v>
  </rv>
  <rv s="11">
    <fb>95.21</fb>
    <v>23</v>
  </rv>
  <rv s="11">
    <fb>45775</fb>
    <v>22</v>
  </rv>
  <rv s="11">
    <fb>210.14</fb>
    <v>23</v>
  </rv>
  <rv s="11">
    <fb>108.73</fb>
    <v>23</v>
  </rv>
  <rv s="11">
    <fb>391.16</fb>
    <v>23</v>
  </rv>
  <rv s="11">
    <fb>549.74</fb>
    <v>23</v>
  </rv>
  <rv s="11">
    <fb>160.61000000000001</fb>
    <v>23</v>
  </rv>
  <rv s="11">
    <fb>550.85</fb>
    <v>23</v>
  </rv>
  <rv s="11">
    <fb>309.07</fb>
    <v>23</v>
  </rv>
  <rv s="11">
    <fb>67.760000000000005</fb>
    <v>23</v>
  </rv>
  <rv s="11">
    <fb>95.59</fb>
    <v>23</v>
  </rv>
  <rv s="11">
    <fb>45776</fb>
    <v>22</v>
  </rv>
  <rv s="11">
    <fb>211.21</fb>
    <v>23</v>
  </rv>
  <rv s="11">
    <fb>109.02</fb>
    <v>23</v>
  </rv>
  <rv s="11">
    <fb>394.04</fb>
    <v>23</v>
  </rv>
  <rv s="11">
    <fb>554.44000000000005</fb>
    <v>23</v>
  </rv>
  <rv s="11">
    <fb>160.16</fb>
    <v>23</v>
  </rv>
  <rv s="11">
    <fb>554.32000000000005</fb>
    <v>23</v>
  </rv>
  <rv s="11">
    <fb>306.06</fb>
    <v>23</v>
  </rv>
  <rv s="11">
    <fb>65.849999999999994</fb>
    <v>23</v>
  </rv>
  <rv s="11">
    <fb>95.92</fb>
    <v>23</v>
  </rv>
  <rv s="11">
    <fb>45777</fb>
    <v>22</v>
  </rv>
  <rv s="11">
    <fb>212.5</fb>
    <v>23</v>
  </rv>
  <rv s="11">
    <fb>108.92</fb>
    <v>23</v>
  </rv>
  <rv s="11">
    <fb>395.26</fb>
    <v>23</v>
  </rv>
  <rv s="11">
    <fb>549</fb>
    <v>23</v>
  </rv>
  <rv s="11">
    <fb>158.80000000000001</fb>
    <v>23</v>
  </rv>
  <rv s="11">
    <fb>554.54</fb>
    <v>23</v>
  </rv>
  <rv s="11">
    <fb>303.77</fb>
    <v>23</v>
  </rv>
  <rv s="11">
    <fb>63.56</fb>
    <v>23</v>
  </rv>
  <rv s="11">
    <fb>96.07</fb>
    <v>23</v>
  </rv>
  <rv s="11">
    <fb>45778</fb>
    <v>22</v>
  </rv>
  <rv s="11">
    <fb>213.32</fb>
    <v>23</v>
  </rv>
  <rv s="11">
    <fb>111.61</fb>
    <v>23</v>
  </rv>
  <rv s="11">
    <fb>425.4</fb>
    <v>23</v>
  </rv>
  <rv s="11">
    <fb>572.21</fb>
    <v>23</v>
  </rv>
  <rv s="11">
    <fb>161.30000000000001</fb>
    <v>23</v>
  </rv>
  <rv s="11">
    <fb>558.47</fb>
    <v>23</v>
  </rv>
  <rv s="11">
    <fb>297.45999999999998</fb>
    <v>23</v>
  </rv>
  <rv s="11">
    <fb>64.52</fb>
    <v>23</v>
  </rv>
  <rv s="11">
    <fb>95.34</fb>
    <v>23</v>
  </rv>
  <rv s="11">
    <fb>45779</fb>
    <v>22</v>
  </rv>
  <rv s="11">
    <fb>205.35</fb>
    <v>23</v>
  </rv>
  <rv s="11">
    <fb>114.5</fb>
    <v>23</v>
  </rv>
  <rv s="11">
    <fb>435.28</fb>
    <v>23</v>
  </rv>
  <rv s="11">
    <fb>597.02</fb>
    <v>23</v>
  </rv>
  <rv s="11">
    <fb>164.03</fb>
    <v>23</v>
  </rv>
  <rv s="11">
    <fb>566.76</fb>
    <v>23</v>
  </rv>
  <rv s="11">
    <fb>297.98</fb>
    <v>23</v>
  </rv>
  <rv s="11">
    <fb>64.010000000000005</fb>
    <v>23</v>
  </rv>
  <rv s="11">
    <fb>94.7</fb>
    <v>23</v>
  </rv>
  <rv s="11">
    <fb>45782</fb>
    <v>22</v>
  </rv>
  <rv s="11">
    <fb>198.89</fb>
    <v>23</v>
  </rv>
  <rv s="11">
    <fb>113.82</fb>
    <v>23</v>
  </rv>
  <rv s="11">
    <fb>436.17</fb>
    <v>23</v>
  </rv>
  <rv s="11">
    <fb>599.27</fb>
    <v>23</v>
  </rv>
  <rv s="11">
    <fb>164.21</fb>
    <v>23</v>
  </rv>
  <rv s="11">
    <fb>563.51</fb>
    <v>23</v>
  </rv>
  <rv s="11">
    <fb>306.88</fb>
    <v>23</v>
  </rv>
  <rv s="11">
    <fb>62.37</fb>
    <v>23</v>
  </rv>
  <rv s="11">
    <fb>94.53</fb>
    <v>23</v>
  </rv>
  <rv s="11">
    <fb>45783</fb>
    <v>22</v>
  </rv>
  <rv s="11">
    <fb>198.51</fb>
    <v>23</v>
  </rv>
  <rv s="11">
    <fb>113.54</fb>
    <v>23</v>
  </rv>
  <rv s="11">
    <fb>433.31</fb>
    <v>23</v>
  </rv>
  <rv s="11">
    <fb>587.30999999999995</fb>
    <v>23</v>
  </rv>
  <rv s="11">
    <fb>163.22999999999999</fb>
    <v>23</v>
  </rv>
  <rv s="11">
    <fb>558.79999999999995</fb>
    <v>23</v>
  </rv>
  <rv s="11">
    <fb>315.48</fb>
    <v>23</v>
  </rv>
  <rv s="11">
    <fb>64.599999999999994</fb>
    <v>23</v>
  </rv>
  <rv s="11">
    <fb>45784</fb>
    <v>22</v>
  </rv>
  <rv s="11">
    <fb>196.25</fb>
    <v>23</v>
  </rv>
  <rv s="11">
    <fb>117.06</fb>
    <v>23</v>
  </rv>
  <rv s="11">
    <fb>433.35</fb>
    <v>23</v>
  </rv>
  <rv s="11">
    <fb>596.80999999999995</fb>
    <v>23</v>
  </rv>
  <rv s="11">
    <fb>151.38</fb>
    <v>23</v>
  </rv>
  <rv s="11">
    <fb>561.15</fb>
    <v>23</v>
  </rv>
  <rv s="11">
    <fb>310.75</fb>
    <v>23</v>
  </rv>
  <rv s="11">
    <fb>63.51</fb>
    <v>23</v>
  </rv>
  <rv s="11">
    <fb>45785</fb>
    <v>22</v>
  </rv>
  <rv s="11">
    <fb>197.49</fb>
    <v>23</v>
  </rv>
  <rv s="11">
    <fb>117.37</fb>
    <v>23</v>
  </rv>
  <rv s="11">
    <fb>438.17</fb>
    <v>23</v>
  </rv>
  <rv s="11">
    <fb>598.01</fb>
    <v>23</v>
  </rv>
  <rv s="11">
    <fb>154.28</fb>
    <v>23</v>
  </rv>
  <rv s="11">
    <fb>565.05999999999995</fb>
    <v>23</v>
  </rv>
  <rv s="11">
    <fb>304.63</fb>
    <v>23</v>
  </rv>
  <rv s="11">
    <fb>65.599999999999994</fb>
    <v>23</v>
  </rv>
  <rv s="11">
    <fb>94.28</fb>
    <v>23</v>
  </rv>
  <rv s="11">
    <fb>45786</fb>
    <v>22</v>
  </rv>
  <rv s="11">
    <fb>198.53</fb>
    <v>23</v>
  </rv>
  <rv s="11">
    <fb>116.65</fb>
    <v>23</v>
  </rv>
  <rv s="11">
    <fb>438.73</fb>
    <v>23</v>
  </rv>
  <rv s="11">
    <fb>592.49</fb>
    <v>23</v>
  </rv>
  <rv s="11">
    <fb>152.75</fb>
    <v>23</v>
  </rv>
  <rv s="11">
    <fb>564.34</fb>
    <v>23</v>
  </rv>
  <rv s="11">
    <fb>306.83999999999997</fb>
    <v>23</v>
  </rv>
  <rv s="11">
    <fb>66.61</fb>
    <v>23</v>
  </rv>
  <rv s="11">
    <fb>94.35</fb>
    <v>23</v>
  </rv>
  <rv s="11">
    <fb>45789</fb>
    <v>22</v>
  </rv>
  <rv s="11">
    <fb>210.79</fb>
    <v>23</v>
  </rv>
  <rv s="11">
    <fb>123</fb>
    <v>23</v>
  </rv>
  <rv s="11">
    <fb>449.26</fb>
    <v>23</v>
  </rv>
  <rv s="11">
    <fb>639.42999999999995</fb>
    <v>23</v>
  </rv>
  <rv s="11">
    <fb>158.46</fb>
    <v>23</v>
  </rv>
  <rv s="11">
    <fb>582.99</fb>
    <v>23</v>
  </rv>
  <rv s="11">
    <fb>298.19</fb>
    <v>23</v>
  </rv>
  <rv s="11">
    <fb>67.599999999999994</fb>
    <v>23</v>
  </rv>
  <rv s="11">
    <fb>93.75</fb>
    <v>23</v>
  </rv>
  <rv s="11">
    <fb>45790</fb>
    <v>22</v>
  </rv>
  <rv s="11">
    <fb>212.93</fb>
    <v>23</v>
  </rv>
  <rv s="11">
    <fb>129.93</fb>
    <v>23</v>
  </rv>
  <rv s="11">
    <fb>449.14</fb>
    <v>23</v>
  </rv>
  <rv s="11">
    <fb>656.03</fb>
    <v>23</v>
  </rv>
  <rv s="11">
    <fb>159.53</fb>
    <v>23</v>
  </rv>
  <rv s="11">
    <fb>586.84</fb>
    <v>23</v>
  </rv>
  <rv s="11">
    <fb>299.45999999999998</fb>
    <v>23</v>
  </rv>
  <rv s="11">
    <fb>69.59</fb>
    <v>23</v>
  </rv>
  <rv s="11">
    <fb>93.68</fb>
    <v>23</v>
  </rv>
  <rv s="11">
    <fb>45791</fb>
    <v>22</v>
  </rv>
  <rv s="11">
    <fb>212.33</fb>
    <v>23</v>
  </rv>
  <rv s="11">
    <fb>452.94</fb>
    <v>23</v>
  </rv>
  <rv s="11">
    <fb>659.36</fb>
    <v>23</v>
  </rv>
  <rv s="11">
    <fb>165.37</fb>
    <v>23</v>
  </rv>
  <rv s="11">
    <fb>587.59</fb>
    <v>23</v>
  </rv>
  <rv s="11">
    <fb>293.16000000000003</fb>
    <v>23</v>
  </rv>
  <rv s="11">
    <fb>68.73</fb>
    <v>23</v>
  </rv>
  <rv s="11">
    <fb>93.33</fb>
    <v>23</v>
  </rv>
  <rv s="11">
    <fb>45792</fb>
    <v>22</v>
  </rv>
  <rv s="11">
    <fb>211.45</fb>
    <v>23</v>
  </rv>
  <rv s="11">
    <fb>134.83000000000001</fb>
    <v>23</v>
  </rv>
  <rv s="11">
    <fb>453.13</fb>
    <v>23</v>
  </rv>
  <rv s="11">
    <fb>643.88</fb>
    <v>23</v>
  </rv>
  <rv s="11">
    <fb>163.96</fb>
    <v>23</v>
  </rv>
  <rv s="11">
    <fb>590.46</fb>
    <v>23</v>
  </rv>
  <rv s="11">
    <fb>297.83999999999997</fb>
    <v>23</v>
  </rv>
  <rv s="11">
    <fb>67.59</fb>
    <v>23</v>
  </rv>
  <rv s="11">
    <fb>45793</fb>
    <v>22</v>
  </rv>
  <rv s="11">
    <fb>211.26</fb>
    <v>23</v>
  </rv>
  <rv s="11">
    <fb>454.27</fb>
    <v>23</v>
  </rv>
  <rv s="11">
    <fb>640.34</fb>
    <v>23</v>
  </rv>
  <rv s="11">
    <fb>166.19</fb>
    <v>23</v>
  </rv>
  <rv s="11">
    <fb>594.20000000000005</fb>
    <v>23</v>
  </rv>
  <rv s="11">
    <fb>294.24</fb>
    <v>23</v>
  </rv>
  <rv s="11">
    <fb>68.099999999999994</fb>
    <v>23</v>
  </rv>
  <rv s="11">
    <fb>93.97</fb>
    <v>23</v>
  </rv>
  <rv s="11">
    <fb>45796</fb>
    <v>22</v>
  </rv>
  <rv s="11">
    <fb>208.78</fb>
    <v>23</v>
  </rv>
  <rv s="11">
    <fb>135.57</fb>
    <v>23</v>
  </rv>
  <rv s="11">
    <fb>458.87</fb>
    <v>23</v>
  </rv>
  <rv s="11">
    <fb>640.42999999999995</fb>
    <v>23</v>
  </rv>
  <rv s="11">
    <fb>166.54</fb>
    <v>23</v>
  </rv>
  <rv s="11">
    <fb>594.85</fb>
    <v>23</v>
  </rv>
  <rv s="11">
    <fb>298.02999999999997</fb>
    <v>23</v>
  </rv>
  <rv s="11">
    <fb>68.510000000000005</fb>
    <v>23</v>
  </rv>
  <rv s="11">
    <fb>93.92</fb>
    <v>23</v>
  </rv>
  <rv s="11">
    <fb>45797</fb>
    <v>22</v>
  </rv>
  <rv s="11">
    <fb>206.86</fb>
    <v>23</v>
  </rv>
  <rv s="11">
    <fb>134.38</fb>
    <v>23</v>
  </rv>
  <rv s="11">
    <fb>458.17</fb>
    <v>23</v>
  </rv>
  <rv s="11">
    <fb>637.1</fb>
    <v>23</v>
  </rv>
  <rv s="11">
    <fb>163.98</fb>
    <v>23</v>
  </rv>
  <rv s="11">
    <fb>592.85</fb>
    <v>23</v>
  </rv>
  <rv s="11">
    <fb>303.58</fb>
    <v>23</v>
  </rv>
  <rv s="11">
    <fb>68.66</fb>
    <v>23</v>
  </rv>
  <rv s="11">
    <fb>93.8</fb>
    <v>23</v>
  </rv>
  <rv s="11">
    <fb>45798</fb>
    <v>22</v>
  </rv>
  <rv s="11">
    <fb>202.09</fb>
    <v>23</v>
  </rv>
  <rv s="11">
    <fb>131.80000000000001</fb>
    <v>23</v>
  </rv>
  <rv s="11">
    <fb>452.57</fb>
    <v>23</v>
  </rv>
  <rv s="11">
    <fb>635.5</fb>
    <v>23</v>
  </rv>
  <rv s="11">
    <fb>168.56</fb>
    <v>23</v>
  </rv>
  <rv s="11">
    <fb>582.86</fb>
    <v>23</v>
  </rv>
  <rv s="11">
    <fb>305.82</fb>
    <v>23</v>
  </rv>
  <rv s="11">
    <fb>93.15</fb>
    <v>23</v>
  </rv>
  <rv s="11">
    <fb>45799</fb>
    <v>22</v>
  </rv>
  <rv s="11">
    <fb>201.36</fb>
    <v>23</v>
  </rv>
  <rv s="11">
    <fb>132.83000000000001</fb>
    <v>23</v>
  </rv>
  <rv s="11">
    <fb>454.86</fb>
    <v>23</v>
  </rv>
  <rv s="11">
    <fb>636.57000000000005</fb>
    <v>23</v>
  </rv>
  <rv s="11">
    <fb>170.87</fb>
    <v>23</v>
  </rv>
  <rv s="11">
    <fb>583.09</fb>
    <v>23</v>
  </rv>
  <rv s="11">
    <fb>303.11</fb>
    <v>23</v>
  </rv>
  <rv s="11">
    <fb>67.14</fb>
    <v>23</v>
  </rv>
  <rv s="11">
    <fb>93.5</fb>
    <v>23</v>
  </rv>
  <rv s="11">
    <fb>45800</fb>
    <v>22</v>
  </rv>
  <rv s="11">
    <fb>195.27</fb>
    <v>23</v>
  </rv>
  <rv s="11">
    <fb>131.29</fb>
    <v>23</v>
  </rv>
  <rv s="11">
    <fb>450.18</fb>
    <v>23</v>
  </rv>
  <rv s="11">
    <fb>627.05999999999995</fb>
    <v>23</v>
  </rv>
  <rv s="11">
    <fb>168.47</fb>
    <v>23</v>
  </rv>
  <rv s="11">
    <fb>579.11</fb>
    <v>23</v>
  </rv>
  <rv s="11">
    <fb>309.75</fb>
    <v>23</v>
  </rv>
  <rv s="11">
    <fb>67.989999999999995</fb>
    <v>23</v>
  </rv>
  <rv s="11">
    <fb>93.77</fb>
    <v>23</v>
  </rv>
  <rv s="11">
    <fb>45804</fb>
    <v>22</v>
  </rv>
  <rv s="11">
    <fb>135.5</fb>
    <v>23</v>
  </rv>
  <rv s="11">
    <fb>460.69</fb>
    <v>23</v>
  </rv>
  <rv s="11">
    <fb>642.32000000000005</fb>
    <v>23</v>
  </rv>
  <rv s="11">
    <fb>172.9</fb>
    <v>23</v>
  </rv>
  <rv s="11">
    <fb>304.5</fb>
    <v>23</v>
  </rv>
  <rv s="11">
    <fb>67.28</fb>
    <v>23</v>
  </rv>
  <rv s="11">
    <fb>94.16</fb>
    <v>23</v>
  </rv>
  <rv s="11">
    <fb>45805</fb>
    <v>22</v>
  </rv>
  <rv s="11">
    <fb>200.42</fb>
    <v>23</v>
  </rv>
  <rv s="11">
    <fb>457.36</fb>
    <v>23</v>
  </rv>
  <rv s="11">
    <fb>643.58000000000004</fb>
    <v>23</v>
  </rv>
  <rv s="11">
    <fb>172.36</fb>
    <v>23</v>
  </rv>
  <rv s="11">
    <fb>587.73</fb>
    <v>23</v>
  </rv>
  <rv s="11">
    <fb>303.81</fb>
    <v>23</v>
  </rv>
  <rv s="11">
    <fb>67.89</fb>
    <v>23</v>
  </rv>
  <rv s="11">
    <fb>93.9</fb>
    <v>23</v>
  </rv>
  <rv s="11">
    <fb>45806</fb>
    <v>22</v>
  </rv>
  <rv s="11">
    <fb>199.95</fb>
    <v>23</v>
  </rv>
  <rv s="11">
    <fb>139.19</fb>
    <v>23</v>
  </rv>
  <rv s="11">
    <fb>458.68</fb>
    <v>23</v>
  </rv>
  <rv s="11">
    <fb>645.04999999999995</fb>
    <v>23</v>
  </rv>
  <rv s="11">
    <fb>171.86</fb>
    <v>23</v>
  </rv>
  <rv s="11">
    <fb>590.04999999999995</fb>
    <v>23</v>
  </rv>
  <rv s="11">
    <fb>305.61</fb>
    <v>23</v>
  </rv>
  <rv s="11">
    <fb>67.19</fb>
    <v>23</v>
  </rv>
  <rv s="11">
    <fb>94.29</fb>
    <v>23</v>
  </rv>
  <rv s="11">
    <fb>45807</fb>
    <v>22</v>
  </rv>
  <rv s="11">
    <fb>200.85</fb>
    <v>23</v>
  </rv>
  <rv s="11">
    <fb>135.13</fb>
    <v>23</v>
  </rv>
  <rv s="11">
    <fb>460.36</fb>
    <v>23</v>
  </rv>
  <rv s="11">
    <fb>171.74</fb>
    <v>23</v>
  </rv>
  <rv s="11">
    <fb>589.39</fb>
    <v>23</v>
  </rv>
  <rv s="11">
    <fb>303.60000000000002</fb>
    <v>23</v>
  </rv>
  <rv s="11">
    <fb>67.150000000000006</fb>
    <v>23</v>
  </rv>
  <rv s="11">
    <fb>45810</fb>
    <v>22</v>
  </rv>
  <rv s="11">
    <fb>201.7</fb>
    <v>23</v>
  </rv>
  <rv s="11">
    <fb>137.38</fb>
    <v>23</v>
  </rv>
  <rv s="11">
    <fb>461.97</fb>
    <v>23</v>
  </rv>
  <rv s="11">
    <fb>670.9</fb>
    <v>23</v>
  </rv>
  <rv s="11">
    <fb>169.03</fb>
    <v>23</v>
  </rv>
  <rv s="11">
    <fb>592.71</fb>
    <v>23</v>
  </rv>
  <rv s="11">
    <fb>311.67</fb>
    <v>23</v>
  </rv>
  <rv s="11">
    <fb>69.55</fb>
    <v>23</v>
  </rv>
  <rv s="11">
    <fb>45811</fb>
    <v>22</v>
  </rv>
  <rv s="11">
    <fb>203.27</fb>
    <v>23</v>
  </rv>
  <rv s="11">
    <fb>141.22</fb>
    <v>23</v>
  </rv>
  <rv s="11">
    <fb>462.97</fb>
    <v>23</v>
  </rv>
  <rv s="11">
    <fb>666.85</fb>
    <v>23</v>
  </rv>
  <rv s="11">
    <fb>166.18</fb>
    <v>23</v>
  </rv>
  <rv s="11">
    <fb>596.09</fb>
    <v>23</v>
  </rv>
  <rv s="11">
    <fb>308.91000000000003</fb>
    <v>23</v>
  </rv>
  <rv s="11">
    <fb>69.89</fb>
    <v>23</v>
  </rv>
  <rv s="11">
    <fb>93.85</fb>
    <v>23</v>
  </rv>
  <rv s="11">
    <fb>45812</fb>
    <v>22</v>
  </rv>
  <rv s="11">
    <fb>202.82</fb>
    <v>23</v>
  </rv>
  <rv s="11">
    <fb>141.91999999999999</fb>
    <v>23</v>
  </rv>
  <rv s="11">
    <fb>463.87</fb>
    <v>23</v>
  </rv>
  <rv s="11">
    <fb>687.95</fb>
    <v>23</v>
  </rv>
  <rv s="11">
    <fb>168.05</fb>
    <v>23</v>
  </rv>
  <rv s="11">
    <fb>595.92999999999995</fb>
    <v>23</v>
  </rv>
  <rv s="11">
    <fb>310.89999999999998</fb>
    <v>23</v>
  </rv>
  <rv s="11">
    <fb>69.34</fb>
    <v>23</v>
  </rv>
  <rv s="11">
    <fb>45813</fb>
    <v>22</v>
  </rv>
  <rv s="11">
    <fb>200.63</fb>
    <v>23</v>
  </rv>
  <rv s="11">
    <fb>139.99</fb>
    <v>23</v>
  </rv>
  <rv s="11">
    <fb>467.68</fb>
    <v>23</v>
  </rv>
  <rv s="11">
    <fb>684.62</fb>
    <v>23</v>
  </rv>
  <rv s="11">
    <fb>168.21</fb>
    <v>23</v>
  </rv>
  <rv s="11">
    <fb>593.04999999999995</fb>
    <v>23</v>
  </rv>
  <rv s="11">
    <fb>309.33</fb>
    <v>23</v>
  </rv>
  <rv s="11">
    <fb>69.930000000000007</fb>
    <v>23</v>
  </rv>
  <rv s="11">
    <fb>45814</fb>
    <v>22</v>
  </rv>
  <rv s="11">
    <fb>203.92</fb>
    <v>23</v>
  </rv>
  <rv s="11">
    <fb>141.72</fb>
    <v>23</v>
  </rv>
  <rv s="11">
    <fb>470.38</fb>
    <v>23</v>
  </rv>
  <rv s="11">
    <fb>697.71</fb>
    <v>23</v>
  </rv>
  <rv s="11">
    <fb>173.68</fb>
    <v>23</v>
  </rv>
  <rv s="11">
    <fb>599.14</fb>
    <v>23</v>
  </rv>
  <rv s="11">
    <fb>305.18</fb>
    <v>23</v>
  </rv>
  <rv s="11">
    <fb>45817</fb>
    <v>22</v>
  </rv>
  <rv s="11">
    <fb>201.45</fb>
    <v>23</v>
  </rv>
  <rv s="11">
    <fb>142.63</fb>
    <v>23</v>
  </rv>
  <rv s="11">
    <fb>472.75</fb>
    <v>23</v>
  </rv>
  <rv s="11">
    <fb>694.06</fb>
    <v>23</v>
  </rv>
  <rv s="11">
    <fb>176.09</fb>
    <v>23</v>
  </rv>
  <rv s="11">
    <fb>599.67999999999995</fb>
    <v>23</v>
  </rv>
  <rv s="11">
    <fb>306.62</fb>
    <v>23</v>
  </rv>
  <rv s="11">
    <fb>72.05</fb>
    <v>23</v>
  </rv>
  <rv s="11">
    <fb>45818</fb>
    <v>22</v>
  </rv>
  <rv s="11">
    <fb>202.67</fb>
    <v>23</v>
  </rv>
  <rv s="11">
    <fb>143.96</fb>
    <v>23</v>
  </rv>
  <rv s="11">
    <fb>470.92</fb>
    <v>23</v>
  </rv>
  <rv s="11">
    <fb>702.4</fb>
    <v>23</v>
  </rv>
  <rv s="11">
    <fb>178.6</fb>
    <v>23</v>
  </rv>
  <rv s="11">
    <fb>603.08000000000004</fb>
    <v>23</v>
  </rv>
  <rv s="11">
    <fb>306.70999999999998</fb>
    <v>23</v>
  </rv>
  <rv s="11">
    <fb>71.599999999999994</fb>
    <v>23</v>
  </rv>
  <rv s="11">
    <fb>93.84</fb>
    <v>23</v>
  </rv>
  <rv s="11">
    <fb>45819</fb>
    <v>22</v>
  </rv>
  <rv s="11">
    <fb>198.78</fb>
    <v>23</v>
  </rv>
  <rv s="11">
    <fb>142.83000000000001</fb>
    <v>23</v>
  </rv>
  <rv s="11">
    <fb>472.62</fb>
    <v>23</v>
  </rv>
  <rv s="11">
    <fb>694.14</fb>
    <v>23</v>
  </rv>
  <rv s="11">
    <fb>177.35</fb>
    <v>23</v>
  </rv>
  <rv s="11">
    <fb>601.36</fb>
    <v>23</v>
  </rv>
  <rv s="11">
    <fb>308.37</fb>
    <v>23</v>
  </rv>
  <rv s="11">
    <fb>94.23</fb>
    <v>23</v>
  </rv>
  <rv s="11">
    <fb>45820</fb>
    <v>22</v>
  </rv>
  <rv s="11">
    <fb>199.2</fb>
    <v>23</v>
  </rv>
  <rv s="11">
    <fb>145</fb>
    <v>23</v>
  </rv>
  <rv s="11">
    <fb>478.87</fb>
    <v>23</v>
  </rv>
  <rv s="11">
    <fb>693.36</fb>
    <v>23</v>
  </rv>
  <rv s="11">
    <fb>175.7</fb>
    <v>23</v>
  </rv>
  <rv s="11">
    <fb>603.75</fb>
    <v>23</v>
  </rv>
  <rv s="11">
    <fb>312.2</fb>
    <v>23</v>
  </rv>
  <rv s="11">
    <fb>75.05</fb>
    <v>23</v>
  </rv>
  <rv s="11">
    <fb>94.64</fb>
    <v>23</v>
  </rv>
  <rv s="11">
    <fb>45821</fb>
    <v>22</v>
  </rv>
  <rv s="11">
    <fb>196.45</fb>
    <v>23</v>
  </rv>
  <rv s="11">
    <fb>141.97</fb>
    <v>23</v>
  </rv>
  <rv s="11">
    <fb>474.96</fb>
    <v>23</v>
  </rv>
  <rv s="11">
    <fb>682.87</fb>
    <v>23</v>
  </rv>
  <rv s="11">
    <fb>174.67</fb>
    <v>23</v>
  </rv>
  <rv s="11">
    <fb>597</fb>
    <v>23</v>
  </rv>
  <rv s="11">
    <fb>316.29000000000002</fb>
    <v>23</v>
  </rv>
  <rv s="11">
    <fb>80.22</fb>
    <v>23</v>
  </rv>
  <rv s="11">
    <fb>45824</fb>
    <v>22</v>
  </rv>
  <rv s="11">
    <fb>198.42</fb>
    <v>23</v>
  </rv>
  <rv s="11">
    <fb>144.69</fb>
    <v>23</v>
  </rv>
  <rv s="11">
    <fb>479.14</fb>
    <v>23</v>
  </rv>
  <rv s="11">
    <fb>702.12</fb>
    <v>23</v>
  </rv>
  <rv s="11">
    <fb>176.77</fb>
    <v>23</v>
  </rv>
  <rv s="11">
    <fb>602.67999999999995</fb>
    <v>23</v>
  </rv>
  <rv s="11">
    <fb>311.77999999999997</fb>
    <v>23</v>
  </rv>
  <rv s="11">
    <fb>78.59</fb>
    <v>23</v>
  </rv>
  <rv s="11">
    <fb>94.02</fb>
    <v>23</v>
  </rv>
  <rv s="11">
    <fb>45825</fb>
    <v>22</v>
  </rv>
  <rv s="11">
    <fb>195.64</fb>
    <v>23</v>
  </rv>
  <rv s="11">
    <fb>144.12</fb>
    <v>23</v>
  </rv>
  <rv s="11">
    <fb>478.04</fb>
    <v>23</v>
  </rv>
  <rv s="11">
    <fb>697.23</fb>
    <v>23</v>
  </rv>
  <rv s="11">
    <fb>175.95</fb>
    <v>23</v>
  </rv>
  <rv s="11">
    <fb>311.94</fb>
    <v>23</v>
  </rv>
  <rv s="11">
    <fb>82.3</fb>
    <v>23</v>
  </rv>
  <rv s="11">
    <fb>45826</fb>
    <v>22</v>
  </rv>
  <rv s="11">
    <fb>196.58</fb>
    <v>23</v>
  </rv>
  <rv s="11">
    <fb>145.47999999999999</fb>
    <v>23</v>
  </rv>
  <rv s="11">
    <fb>480.24</fb>
    <v>23</v>
  </rv>
  <rv s="11">
    <fb>695.77</fb>
    <v>23</v>
  </rv>
  <rv s="11">
    <fb>173.32</fb>
    <v>23</v>
  </rv>
  <rv s="11">
    <fb>597.44000000000005</fb>
    <v>23</v>
  </rv>
  <rv s="11">
    <fb>310.26</fb>
    <v>23</v>
  </rv>
  <rv s="11">
    <fb>82.27</fb>
    <v>23</v>
  </rv>
  <rv s="11">
    <fb>45828</fb>
    <v>22</v>
  </rv>
  <rv s="11">
    <fb>201</fb>
    <v>23</v>
  </rv>
  <rv s="11">
    <fb>143.85</fb>
    <v>23</v>
  </rv>
  <rv s="11">
    <fb>477.4</fb>
    <v>23</v>
  </rv>
  <rv s="11">
    <fb>682.35</fb>
    <v>23</v>
  </rv>
  <rv s="11">
    <fb>166.64</fb>
    <v>23</v>
  </rv>
  <rv s="11">
    <fb>594.28</fb>
    <v>23</v>
  </rv>
  <rv s="11">
    <fb>310.13</fb>
    <v>23</v>
  </rv>
  <rv s="11">
    <fb>83.12</fb>
    <v>23</v>
  </rv>
  <rv s="11">
    <fb>94.6</fb>
    <v>23</v>
  </rv>
  <rv s="11">
    <fb>45831</fb>
    <v>22</v>
  </rv>
  <rv s="11">
    <fb>201.5</fb>
    <v>23</v>
  </rv>
  <rv s="11">
    <fb>144.16999999999999</fb>
    <v>23</v>
  </rv>
  <rv s="11">
    <fb>486</fb>
    <v>23</v>
  </rv>
  <rv s="11">
    <fb>698.53</fb>
    <v>23</v>
  </rv>
  <rv s="11">
    <fb>165.19</fb>
    <v>23</v>
  </rv>
  <rv s="11">
    <fb>600.15</fb>
    <v>23</v>
  </rv>
  <rv s="11">
    <fb>311.08</fb>
    <v>23</v>
  </rv>
  <rv s="11">
    <fb>76.41</fb>
    <v>23</v>
  </rv>
  <rv s="11">
    <fb>45832</fb>
    <v>22</v>
  </rv>
  <rv s="11">
    <fb>200.3</fb>
    <v>23</v>
  </rv>
  <rv s="11">
    <fb>147.9</fb>
    <v>23</v>
  </rv>
  <rv s="11">
    <fb>490.11</fb>
    <v>23</v>
  </rv>
  <rv s="11">
    <fb>712.2</fb>
    <v>23</v>
  </rv>
  <rv s="11">
    <fb>166.77</fb>
    <v>23</v>
  </rv>
  <rv s="11">
    <fb>606.78</fb>
    <v>23</v>
  </rv>
  <rv s="11">
    <fb>306.19</fb>
    <v>23</v>
  </rv>
  <rv s="11">
    <fb>73</fb>
    <v>23</v>
  </rv>
  <rv s="11">
    <fb>95.26</fb>
    <v>23</v>
  </rv>
  <rv s="11">
    <fb>45833</fb>
    <v>22</v>
  </rv>
  <rv s="11">
    <fb>201.56</fb>
    <v>23</v>
  </rv>
  <rv s="11">
    <fb>154.31</fb>
    <v>23</v>
  </rv>
  <rv s="11">
    <fb>492.27</fb>
    <v>23</v>
  </rv>
  <rv s="11">
    <fb>708.68</fb>
    <v>23</v>
  </rv>
  <rv s="11">
    <fb>170.68</fb>
    <v>23</v>
  </rv>
  <rv s="11">
    <fb>607.12</fb>
    <v>23</v>
  </rv>
  <rv s="11">
    <fb>307.12</fb>
    <v>23</v>
  </rv>
  <rv s="11">
    <fb>95.3</fb>
    <v>23</v>
  </rv>
  <rv s="11">
    <fb>45834</fb>
    <v>22</v>
  </rv>
  <rv s="11">
    <fb>155.02000000000001</fb>
    <v>23</v>
  </rv>
  <rv s="11">
    <fb>497.45</fb>
    <v>23</v>
  </rv>
  <rv s="11">
    <fb>726.09</fb>
    <v>23</v>
  </rv>
  <rv s="11">
    <fb>173.54</fb>
    <v>23</v>
  </rv>
  <rv s="11">
    <fb>611.87</fb>
    <v>23</v>
  </rv>
  <rv s="11">
    <fb>306.77999999999997</fb>
    <v>23</v>
  </rv>
  <rv s="11">
    <fb>73.59</fb>
    <v>23</v>
  </rv>
  <rv s="11">
    <fb>95.64</fb>
    <v>23</v>
  </rv>
  <rv s="11">
    <fb>45835</fb>
    <v>22</v>
  </rv>
  <rv s="11">
    <fb>201.08</fb>
    <v>23</v>
  </rv>
  <rv s="11">
    <fb>157.75</fb>
    <v>23</v>
  </rv>
  <rv s="11">
    <fb>495.94</fb>
    <v>23</v>
  </rv>
  <rv s="11">
    <fb>733.63</fb>
    <v>23</v>
  </rv>
  <rv s="11">
    <fb>178.53</fb>
    <v>23</v>
  </rv>
  <rv s="11">
    <fb>614.91</fb>
    <v>23</v>
  </rv>
  <rv s="11">
    <fb>301.22000000000003</fb>
    <v>23</v>
  </rv>
  <rv s="11">
    <fb>73.28</fb>
    <v>23</v>
  </rv>
  <rv s="11">
    <fb>45838</fb>
    <v>22</v>
  </rv>
  <rv s="11">
    <fb>205.17</fb>
    <v>23</v>
  </rv>
  <rv s="11">
    <fb>157.99</fb>
    <v>23</v>
  </rv>
  <rv s="11">
    <fb>497.41</fb>
    <v>23</v>
  </rv>
  <rv s="11">
    <fb>738.09</fb>
    <v>23</v>
  </rv>
  <rv s="11">
    <fb>176.23</fb>
    <v>23</v>
  </rv>
  <rv s="11">
    <fb>617.85</fb>
    <v>23</v>
  </rv>
  <rv s="11">
    <fb>304.83</fb>
    <v>23</v>
  </rv>
  <rv s="11">
    <fb>73.11</fb>
    <v>23</v>
  </rv>
  <rv s="11">
    <fb>95.77</fb>
    <v>23</v>
  </rv>
  <rv s="11">
    <fb>45839</fb>
    <v>22</v>
  </rv>
  <rv s="11">
    <fb>207.82</fb>
    <v>23</v>
  </rv>
  <rv s="11">
    <fb>153.30000000000001</fb>
    <v>23</v>
  </rv>
  <rv s="11">
    <fb>492.05</fb>
    <v>23</v>
  </rv>
  <rv s="11">
    <fb>719.22</fb>
    <v>23</v>
  </rv>
  <rv s="11">
    <fb>175.84</fb>
    <v>23</v>
  </rv>
  <rv s="11">
    <fb>617.65</fb>
    <v>23</v>
  </rv>
  <rv s="11">
    <fb>307.55</fb>
    <v>23</v>
  </rv>
  <rv s="11">
    <fb>73.930000000000007</fb>
    <v>23</v>
  </rv>
  <rv s="11">
    <fb>95.29</fb>
    <v>23</v>
  </rv>
  <rv s="11">
    <fb>45840</fb>
    <v>22</v>
  </rv>
  <rv s="11">
    <fb>212.44</fb>
    <v>23</v>
  </rv>
  <rv s="11">
    <fb>157.25</fb>
    <v>23</v>
  </rv>
  <rv s="11">
    <fb>491.09</fb>
    <v>23</v>
  </rv>
  <rv s="11">
    <fb>713.57</fb>
    <v>23</v>
  </rv>
  <rv s="11">
    <fb>178.64</fb>
    <v>23</v>
  </rv>
  <rv s="11">
    <fb>620.45000000000005</fb>
    <v>23</v>
  </rv>
  <rv s="11">
    <fb>309.25</fb>
    <v>23</v>
  </rv>
  <rv s="11">
    <fb>75.59</fb>
    <v>23</v>
  </rv>
  <rv s="11">
    <fb>45841</fb>
    <v>22</v>
  </rv>
  <rv s="11">
    <fb>213.55</fb>
    <v>23</v>
  </rv>
  <rv s="11">
    <fb>159.34</fb>
    <v>23</v>
  </rv>
  <rv s="11">
    <fb>498.84</fb>
    <v>23</v>
  </rv>
  <rv s="11">
    <fb>719.01</fb>
    <v>23</v>
  </rv>
  <rv s="11">
    <fb>179.53</fb>
    <v>23</v>
  </rv>
  <rv s="11">
    <fb>625.34</fb>
    <v>23</v>
  </rv>
  <rv s="11">
    <fb>307.14</fb>
    <v>23</v>
  </rv>
  <rv s="11">
    <fb>75.19</fb>
    <v>23</v>
  </rv>
  <rv s="11">
    <fb>94.76</fb>
    <v>23</v>
  </rv>
  <rv s="11">
    <fb>45845</fb>
    <v>22</v>
  </rv>
  <rv s="11">
    <fb>209.95</fb>
    <v>23</v>
  </rv>
  <rv s="11">
    <fb>158.24</fb>
    <v>23</v>
  </rv>
  <rv s="11">
    <fb>497.72</fb>
    <v>23</v>
  </rv>
  <rv s="11">
    <fb>718.35</fb>
    <v>23</v>
  </rv>
  <rv s="11">
    <fb>176.79</fb>
    <v>23</v>
  </rv>
  <rv s="11">
    <fb>620.67999999999995</fb>
    <v>23</v>
  </rv>
  <rv s="11">
    <fb>307.37</fb>
    <v>23</v>
  </rv>
  <rv s="11">
    <fb>76.48</fb>
    <v>23</v>
  </rv>
  <rv s="11">
    <fb>94.46</fb>
    <v>23</v>
  </rv>
  <rv s="11">
    <fb>45846</fb>
    <v>22</v>
  </rv>
  <rv s="11">
    <fb>210.01</fb>
    <v>23</v>
  </rv>
  <rv s="11">
    <fb>160</fb>
    <v>23</v>
  </rv>
  <rv s="11">
    <fb>496.62</fb>
    <v>23</v>
  </rv>
  <rv s="11">
    <fb>720.67</fb>
    <v>23</v>
  </rv>
  <rv s="11">
    <fb>174.36</fb>
    <v>23</v>
  </rv>
  <rv s="11">
    <fb>620.34</fb>
    <v>23</v>
  </rv>
  <rv s="11">
    <fb>304.16000000000003</fb>
    <v>23</v>
  </rv>
  <rv s="11">
    <fb>94.32</fb>
    <v>23</v>
  </rv>
  <rv s="11">
    <fb>45847</fb>
    <v>22</v>
  </rv>
  <rv s="11">
    <fb>211.14</fb>
    <v>23</v>
  </rv>
  <rv s="11">
    <fb>162.88</fb>
    <v>23</v>
  </rv>
  <rv s="11">
    <fb>503.51</fb>
    <v>23</v>
  </rv>
  <rv s="11">
    <fb>732.78</fb>
    <v>23</v>
  </rv>
  <rv s="11">
    <fb>176.62</fb>
    <v>23</v>
  </rv>
  <rv s="11">
    <fb>624.05999999999995</fb>
    <v>23</v>
  </rv>
  <rv s="11">
    <fb>305.52</fb>
    <v>23</v>
  </rv>
  <rv s="11">
    <fb>45848</fb>
    <v>22</v>
  </rv>
  <rv s="11">
    <fb>212.41</fb>
    <v>23</v>
  </rv>
  <rv s="11">
    <fb>164.1</fb>
    <v>23</v>
  </rv>
  <rv s="11">
    <fb>727.24</fb>
    <v>23</v>
  </rv>
  <rv s="11">
    <fb>177.62</fb>
    <v>23</v>
  </rv>
  <rv s="11">
    <fb>625.82000000000005</fb>
    <v>23</v>
  </rv>
  <rv s="11">
    <fb>306.2</fb>
    <v>23</v>
  </rv>
  <rv s="11">
    <fb>75.39</fb>
    <v>23</v>
  </rv>
  <rv s="11">
    <fb>45849</fb>
    <v>22</v>
  </rv>
  <rv s="11">
    <fb>211.16</fb>
    <v>23</v>
  </rv>
  <rv s="11">
    <fb>164.92</fb>
    <v>23</v>
  </rv>
  <rv s="11">
    <fb>503.32</fb>
    <v>23</v>
  </rv>
  <rv s="11">
    <fb>717.51</fb>
    <v>23</v>
  </rv>
  <rv s="11">
    <fb>180.19</fb>
    <v>23</v>
  </rv>
  <rv s="11">
    <fb>623.62</fb>
    <v>23</v>
  </rv>
  <rv s="11">
    <fb>309.14</fb>
    <v>23</v>
  </rv>
  <rv s="11">
    <fb>77.290000000000006</fb>
    <v>23</v>
  </rv>
  <rv s="11">
    <fb>45852</fb>
    <v>22</v>
  </rv>
  <rv s="11">
    <fb>208.62</fb>
    <v>23</v>
  </rv>
  <rv s="11">
    <fb>503.02</fb>
    <v>23</v>
  </rv>
  <rv s="11">
    <fb>720.92</fb>
    <v>23</v>
  </rv>
  <rv s="11">
    <fb>181.56</fb>
    <v>23</v>
  </rv>
  <rv s="11">
    <fb>624.80999999999995</fb>
    <v>23</v>
  </rv>
  <rv s="11">
    <fb>308.01</fb>
    <v>23</v>
  </rv>
  <rv s="11">
    <fb>75.62</fb>
    <v>23</v>
  </rv>
  <rv s="11">
    <fb>45853</fb>
    <v>22</v>
  </rv>
  <rv s="11">
    <fb>209.11</fb>
    <v>23</v>
  </rv>
  <rv s="11">
    <fb>170.7</fb>
    <v>23</v>
  </rv>
  <rv s="11">
    <fb>505.82</fb>
    <v>23</v>
  </rv>
  <rv s="11">
    <fb>710.39</fb>
    <v>23</v>
  </rv>
  <rv s="11">
    <fb>182</fb>
    <v>23</v>
  </rv>
  <rv s="11">
    <fb>622.14</fb>
    <v>23</v>
  </rv>
  <rv s="11">
    <fb>306.73</fb>
    <v>23</v>
  </rv>
  <rv s="11">
    <fb>75.260000000000005</fb>
    <v>23</v>
  </rv>
  <rv s="11">
    <fb>45854</fb>
    <v>22</v>
  </rv>
  <rv s="11">
    <fb>210.16</fb>
    <v>23</v>
  </rv>
  <rv s="11">
    <fb>171.37</fb>
    <v>23</v>
  </rv>
  <rv s="11">
    <fb>505.62</fb>
    <v>23</v>
  </rv>
  <rv s="11">
    <fb>702.91</fb>
    <v>23</v>
  </rv>
  <rv s="11">
    <fb>182.97</fb>
    <v>23</v>
  </rv>
  <rv s="11">
    <fb>624.22</fb>
    <v>23</v>
  </rv>
  <rv s="11">
    <fb>308.26</fb>
    <v>23</v>
  </rv>
  <rv s="11">
    <fb>45855</fb>
    <v>22</v>
  </rv>
  <rv s="11">
    <fb>210.02</fb>
    <v>23</v>
  </rv>
  <rv s="11">
    <fb>173</fb>
    <v>23</v>
  </rv>
  <rv s="11">
    <fb>511.7</fb>
    <v>23</v>
  </rv>
  <rv s="11">
    <fb>701.41</fb>
    <v>23</v>
  </rv>
  <rv s="11">
    <fb>183.58</fb>
    <v>23</v>
  </rv>
  <rv s="11">
    <fb>628.04</fb>
    <v>23</v>
  </rv>
  <rv s="11">
    <fb>307.58999999999997</fb>
    <v>23</v>
  </rv>
  <rv s="11">
    <fb>76.16</fb>
    <v>23</v>
  </rv>
  <rv s="11">
    <fb>94.14</fb>
    <v>23</v>
  </rv>
  <rv s="11">
    <fb>45856</fb>
    <v>22</v>
  </rv>
  <rv s="11">
    <fb>211.18</fb>
    <v>23</v>
  </rv>
  <rv s="11">
    <fb>172.41</fb>
    <v>23</v>
  </rv>
  <rv s="11">
    <fb>510.05</fb>
    <v>23</v>
  </rv>
  <rv s="11">
    <fb>704.28</fb>
    <v>23</v>
  </rv>
  <rv s="11">
    <fb>185.06</fb>
    <v>23</v>
  </rv>
  <rv s="11">
    <fb>627.58000000000004</fb>
    <v>23</v>
  </rv>
  <rv s="11">
    <fb>308.39</fb>
    <v>23</v>
  </rv>
  <rv s="11">
    <fb>94.4</fb>
    <v>23</v>
  </rv>
  <rv s="11">
    <fb>45859</fb>
    <v>22</v>
  </rv>
  <rv s="11">
    <fb>212.48</fb>
    <v>23</v>
  </rv>
  <rv s="11">
    <fb>171.38</fb>
    <v>23</v>
  </rv>
  <rv s="11">
    <fb>510.06</fb>
    <v>23</v>
  </rv>
  <rv s="11">
    <fb>712.96500000000003</fb>
    <v>23</v>
  </rv>
  <rv s="11">
    <fb>190.1</fb>
    <v>23</v>
  </rv>
  <rv s="11">
    <fb>628.77</fb>
    <v>23</v>
  </rv>
  <rv s="11">
    <fb>313.13</fb>
    <v>23</v>
  </rv>
  <rv s="11">
    <fb>94.73</fb>
    <v>23</v>
  </rv>
  <rv s="11">
    <fb>45860</fb>
    <v>22</v>
  </rv>
  <rv s="11">
    <fb>214.4</fb>
    <v>23</v>
  </rv>
  <rv s="11">
    <fb>167.03</fb>
    <v>23</v>
  </rv>
  <rv s="11">
    <fb>505.27</fb>
    <v>23</v>
  </rv>
  <rv s="11">
    <fb>704.81</fb>
    <v>23</v>
  </rv>
  <rv s="11">
    <fb>191.34</fb>
    <v>23</v>
  </rv>
  <rv s="11">
    <fb>628.86</fb>
    <v>23</v>
  </rv>
  <rv s="11">
    <fb>316.10000000000002</fb>
    <v>23</v>
  </rv>
  <rv s="11">
    <fb>95</fb>
    <v>23</v>
  </rv>
  <rv s="11">
    <fb>45861</fb>
    <v>22</v>
  </rv>
  <rv s="11">
    <fb>214.15</fb>
    <v>23</v>
  </rv>
  <rv s="11">
    <fb>170.78</fb>
    <v>23</v>
  </rv>
  <rv s="11">
    <fb>505.87</fb>
    <v>23</v>
  </rv>
  <rv s="11">
    <fb>713.58</fb>
    <v>23</v>
  </rv>
  <rv s="11">
    <fb>190.23</fb>
    <v>23</v>
  </rv>
  <rv s="11">
    <fb>634.21</fb>
    <v>23</v>
  </rv>
  <rv s="11">
    <fb>312.18</fb>
    <v>23</v>
  </rv>
  <rv s="11">
    <fb>94.66</fb>
    <v>23</v>
  </rv>
  <rv s="11">
    <fb>45862</fb>
    <v>22</v>
  </rv>
  <rv s="11">
    <fb>213.76</fb>
    <v>23</v>
  </rv>
  <rv s="11">
    <fb>173.74</fb>
    <v>23</v>
  </rv>
  <rv s="11">
    <fb>510.88</fb>
    <v>23</v>
  </rv>
  <rv s="11">
    <fb>714.8</fb>
    <v>23</v>
  </rv>
  <rv s="11">
    <fb>192.17</fb>
    <v>23</v>
  </rv>
  <rv s="11">
    <fb>634.41999999999996</fb>
    <v>23</v>
  </rv>
  <rv s="11">
    <fb>310.27</fb>
    <v>23</v>
  </rv>
  <rv s="11">
    <fb>45863</fb>
    <v>22</v>
  </rv>
  <rv s="11">
    <fb>213.88</fb>
    <v>23</v>
  </rv>
  <rv s="11">
    <fb>173.5</fb>
    <v>23</v>
  </rv>
  <rv s="11">
    <fb>513.71</fb>
    <v>23</v>
  </rv>
  <rv s="11">
    <fb>712.68</fb>
    <v>23</v>
  </rv>
  <rv s="11">
    <fb>193.18</fb>
    <v>23</v>
  </rv>
  <rv s="11">
    <fb>307.39999999999998</fb>
    <v>23</v>
  </rv>
  <rv s="11">
    <fb>74.849999999999994</fb>
    <v>23</v>
  </rv>
  <rv s="11">
    <fb>94.74</fb>
    <v>23</v>
  </rv>
  <rv s="11">
    <fb>45866</fb>
    <v>22</v>
  </rv>
  <rv s="11">
    <fb>214.05</fb>
    <v>23</v>
  </rv>
  <rv s="11">
    <fb>176.75</fb>
    <v>23</v>
  </rv>
  <rv s="11">
    <fb>512.5</fb>
    <v>23</v>
  </rv>
  <rv s="11">
    <fb>717.63</fb>
    <v>23</v>
  </rv>
  <rv s="11">
    <fb>192.58</fb>
    <v>23</v>
  </rv>
  <rv s="11">
    <fb>636.94000000000005</fb>
    <v>23</v>
  </rv>
  <rv s="11">
    <fb>305.41000000000003</fb>
    <v>23</v>
  </rv>
  <rv s="11">
    <fb>77.17</fb>
    <v>23</v>
  </rv>
  <rv s="11">
    <fb>45867</fb>
    <v>22</v>
  </rv>
  <rv s="11">
    <fb>211.27</fb>
    <v>23</v>
  </rv>
  <rv s="11">
    <fb>175.51</fb>
    <v>23</v>
  </rv>
  <rv s="11">
    <fb>512.57000000000005</fb>
    <v>23</v>
  </rv>
  <rv s="11">
    <fb>700</fb>
    <v>23</v>
  </rv>
  <rv s="11">
    <fb>195.75</fb>
    <v>23</v>
  </rv>
  <rv s="11">
    <fb>635.26</fb>
    <v>23</v>
  </rv>
  <rv s="11">
    <fb>306.25</fb>
    <v>23</v>
  </rv>
  <rv s="11">
    <fb>79.8</fb>
    <v>23</v>
  </rv>
  <rv s="11">
    <fb>95.15</fb>
    <v>23</v>
  </rv>
  <rv s="11">
    <fb>45868</fb>
    <v>22</v>
  </rv>
  <rv s="11">
    <fb>209.05</fb>
    <v>23</v>
  </rv>
  <rv s="11">
    <fb>179.27</fb>
    <v>23</v>
  </rv>
  <rv s="11">
    <fb>513.24</fb>
    <v>23</v>
  </rv>
  <rv s="11">
    <fb>695.21</fb>
    <v>23</v>
  </rv>
  <rv s="11">
    <fb>196.53</fb>
    <v>23</v>
  </rv>
  <rv s="11">
    <fb>634.46</fb>
    <v>23</v>
  </rv>
  <rv s="11">
    <fb>300.95999999999998</fb>
    <v>23</v>
  </rv>
  <rv s="11">
    <fb>81.040000000000006</fb>
    <v>23</v>
  </rv>
  <rv s="11">
    <fb>94.82</fb>
    <v>23</v>
  </rv>
  <rv s="11">
    <fb>45869</fb>
    <v>22</v>
  </rv>
  <rv s="11">
    <fb>207.57</fb>
    <v>23</v>
  </rv>
  <rv s="11">
    <fb>177.87</fb>
    <v>23</v>
  </rv>
  <rv s="11">
    <fb>533.5</fb>
    <v>23</v>
  </rv>
  <rv s="11">
    <fb>773.44</fb>
    <v>23</v>
  </rv>
  <rv s="11">
    <fb>191.9</fb>
    <v>23</v>
  </rv>
  <rv s="11">
    <fb>632.08000000000004</fb>
    <v>23</v>
  </rv>
  <rv s="11">
    <fb>302.95999999999998</fb>
    <v>23</v>
  </rv>
  <rv s="11">
    <fb>79.59</fb>
    <v>23</v>
  </rv>
  <rv s="11">
    <fb>94.9</fb>
    <v>23</v>
  </rv>
  <rv s="11">
    <fb>45870</fb>
    <v>22</v>
  </rv>
  <rv s="11">
    <fb>202.38</fb>
    <v>23</v>
  </rv>
  <rv s="11">
    <fb>173.72</fb>
    <v>23</v>
  </rv>
  <rv s="11">
    <fb>524.11</fb>
    <v>23</v>
  </rv>
  <rv s="11">
    <fb>750.01</fb>
    <v>23</v>
  </rv>
  <rv s="11">
    <fb>189.13</fb>
    <v>23</v>
  </rv>
  <rv s="11">
    <fb>621.72</fb>
    <v>23</v>
  </rv>
  <rv s="11">
    <fb>309.11</fb>
    <v>23</v>
  </rv>
  <rv s="11">
    <fb>77.459999999999994</fb>
    <v>23</v>
  </rv>
  <rv s="11">
    <fb>95.68</fb>
    <v>23</v>
  </rv>
  <rv s="11">
    <fb>45873</fb>
    <v>22</v>
  </rv>
  <rv s="11">
    <fb>203.35</fb>
    <v>23</v>
  </rv>
  <rv s="11">
    <fb>180</fb>
    <v>23</v>
  </rv>
  <rv s="11">
    <fb>535.64</fb>
    <v>23</v>
  </rv>
  <rv s="11">
    <fb>776.37</fb>
    <v>23</v>
  </rv>
  <rv s="11">
    <fb>195.04</fb>
    <v>23</v>
  </rv>
  <rv s="11">
    <fb>631.16999999999996</fb>
    <v>23</v>
  </rv>
  <rv s="11">
    <fb>310.91000000000003</fb>
    <v>23</v>
  </rv>
  <rv s="11">
    <fb>76.11</fb>
    <v>23</v>
  </rv>
  <rv s="11">
    <fb>95.81</fb>
    <v>23</v>
  </rv>
  <rv s="11">
    <fb>45874</fb>
    <v>22</v>
  </rv>
  <rv s="11">
    <fb>202.92</fb>
    <v>23</v>
  </rv>
  <rv s="11">
    <fb>178.26</fb>
    <v>23</v>
  </rv>
  <rv s="11">
    <fb>527.75</fb>
    <v>23</v>
  </rv>
  <rv s="11">
    <fb>763.46</fb>
    <v>23</v>
  </rv>
  <rv s="11">
    <fb>194.67</fb>
    <v>23</v>
  </rv>
  <rv s="11">
    <fb>627.97</fb>
    <v>23</v>
  </rv>
  <rv s="11">
    <fb>311.16000000000003</fb>
    <v>23</v>
  </rv>
  <rv s="11">
    <fb>75.02</fb>
    <v>23</v>
  </rv>
  <rv s="11">
    <fb>95.74</fb>
    <v>23</v>
  </rv>
  <rv s="11">
    <fb>45875</fb>
    <v>22</v>
  </rv>
  <rv s="11">
    <fb>213.25</fb>
    <v>23</v>
  </rv>
  <rv s="11">
    <fb>179.42</fb>
    <v>23</v>
  </rv>
  <rv s="11">
    <fb>524.94000000000005</fb>
    <v>23</v>
  </rv>
  <rv s="11">
    <fb>771.99</fb>
    <v>23</v>
  </rv>
  <rv s="11">
    <fb>196.09</fb>
    <v>23</v>
  </rv>
  <rv s="11">
    <fb>632.78</fb>
    <v>23</v>
  </rv>
  <rv s="11">
    <fb>310.5</fb>
    <v>23</v>
  </rv>
  <rv s="11">
    <fb>95.67</fb>
    <v>23</v>
  </rv>
  <rv s="11">
    <fb>45876</fb>
    <v>22</v>
  </rv>
  <rv s="11">
    <fb>220.03</fb>
    <v>23</v>
  </rv>
  <rv s="11">
    <fb>180.77</fb>
    <v>23</v>
  </rv>
  <rv s="11">
    <fb>520.84</fb>
    <v>23</v>
  </rv>
  <rv s="11">
    <fb>761.83</fb>
    <v>23</v>
  </rv>
  <rv s="11">
    <fb>196.52</fb>
    <v>23</v>
  </rv>
  <rv s="11">
    <fb>632.25</fb>
    <v>23</v>
  </rv>
  <rv s="11">
    <fb>313.12</fb>
    <v>23</v>
  </rv>
  <rv s="11">
    <fb>73.42</fb>
    <v>23</v>
  </rv>
  <rv s="11">
    <fb>95.6</fb>
    <v>23</v>
  </rv>
  <rv s="11">
    <fb>45877</fb>
    <v>22</v>
  </rv>
  <rv s="11">
    <fb>229.35</fb>
    <v>23</v>
  </rv>
  <rv s="11">
    <fb>182.7</fb>
    <v>23</v>
  </rv>
  <rv s="11">
    <fb>522.04</fb>
    <v>23</v>
  </rv>
  <rv s="11">
    <fb>769.3</fb>
    <v>23</v>
  </rv>
  <rv s="11">
    <fb>201.42</fb>
    <v>23</v>
  </rv>
  <rv s="11">
    <fb>637.17999999999995</fb>
    <v>23</v>
  </rv>
  <rv s="11">
    <fb>313.05</fb>
    <v>23</v>
  </rv>
  <rv s="11">
    <fb>95.38</fb>
    <v>23</v>
  </rv>
  <rv s="11">
    <fb>45880</fb>
    <v>22</v>
  </rv>
  <rv s="11">
    <fb>227.18</fb>
    <v>23</v>
  </rv>
  <rv s="11">
    <fb>182.06</fb>
    <v>23</v>
  </rv>
  <rv s="11">
    <fb>521.77</fb>
    <v>23</v>
  </rv>
  <rv s="11">
    <fb>765.87</fb>
    <v>23</v>
  </rv>
  <rv s="11">
    <fb>635.91999999999996</fb>
    <v>23</v>
  </rv>
  <rv s="11">
    <fb>308.55</fb>
    <v>23</v>
  </rv>
  <rv s="11">
    <fb>73.8</fb>
    <v>23</v>
  </rv>
  <rv s="11">
    <fb>45881</fb>
    <v>22</v>
  </rv>
  <rv s="11">
    <fb>229.65</fb>
    <v>23</v>
  </rv>
  <rv s="11">
    <fb>183.16</fb>
    <v>23</v>
  </rv>
  <rv s="11">
    <fb>529.24</fb>
    <v>23</v>
  </rv>
  <rv s="11">
    <fb>790</fb>
    <v>23</v>
  </rv>
  <rv s="11">
    <fb>203.34</fb>
    <v>23</v>
  </rv>
  <rv s="11">
    <fb>642.69000000000005</fb>
    <v>23</v>
  </rv>
  <rv s="11">
    <fb>308.27</fb>
    <v>23</v>
  </rv>
  <rv s="11">
    <fb>72.95</fb>
    <v>23</v>
  </rv>
  <rv s="11">
    <fb>45882</fb>
    <v>22</v>
  </rv>
  <rv s="11">
    <fb>233.33</fb>
    <v>23</v>
  </rv>
  <rv s="11">
    <fb>181.59</fb>
    <v>23</v>
  </rv>
  <rv s="11">
    <fb>520.58000000000004</fb>
    <v>23</v>
  </rv>
  <rv s="11">
    <fb>780.08</fb>
    <v>23</v>
  </rv>
  <rv s="11">
    <fb>201.96</fb>
    <v>23</v>
  </rv>
  <rv s="11">
    <fb>644.89</fb>
    <v>23</v>
  </rv>
  <rv s="11">
    <fb>309.20999999999998</fb>
    <v>23</v>
  </rv>
  <rv s="11">
    <fb>72.459999999999994</fb>
    <v>23</v>
  </rv>
  <rv s="11">
    <fb>95.73</fb>
    <v>23</v>
  </rv>
  <rv s="11">
    <fb>45883</fb>
    <v>22</v>
  </rv>
  <rv s="11">
    <fb>232.78</fb>
    <v>23</v>
  </rv>
  <rv s="11">
    <fb>182.02</fb>
    <v>23</v>
  </rv>
  <rv s="11">
    <fb>522.48</fb>
    <v>23</v>
  </rv>
  <rv s="11">
    <fb>782.13</fb>
    <v>23</v>
  </rv>
  <rv s="11">
    <fb>202.94</fb>
    <v>23</v>
  </rv>
  <rv s="11">
    <fb>644.95000000000005</fb>
    <v>23</v>
  </rv>
  <rv s="11">
    <fb>307.25</fb>
    <v>23</v>
  </rv>
  <rv s="11">
    <fb>73.739999999999995</fb>
    <v>23</v>
  </rv>
  <rv s="11">
    <fb>95.42</fb>
    <v>23</v>
  </rv>
  <rv s="11">
    <fb>45884</fb>
    <v>22</v>
  </rv>
  <rv s="11">
    <fb>231.59</fb>
    <v>23</v>
  </rv>
  <rv s="11">
    <fb>180.45</fb>
    <v>23</v>
  </rv>
  <rv s="11">
    <fb>520.16999999999996</fb>
    <v>23</v>
  </rv>
  <rv s="11">
    <fb>785.23</fb>
    <v>23</v>
  </rv>
  <rv s="11">
    <fb>203.9</fb>
    <v>23</v>
  </rv>
  <rv s="11">
    <fb>643.44000000000005</fb>
    <v>23</v>
  </rv>
  <rv s="11">
    <fb>307.43</fb>
    <v>23</v>
  </rv>
  <rv s="11">
    <fb>95.23</fb>
    <v>23</v>
  </rv>
  <rv s="11">
    <fb>45887</fb>
    <v>22</v>
  </rv>
  <rv s="11">
    <fb>230.89</fb>
    <v>23</v>
  </rv>
  <rv s="11">
    <fb>182.01</fb>
    <v>23</v>
  </rv>
  <rv s="11">
    <fb>517.1</fb>
    <v>23</v>
  </rv>
  <rv s="11">
    <fb>767.37</fb>
    <v>23</v>
  </rv>
  <rv s="11">
    <fb>203.5</fb>
    <v>23</v>
  </rv>
  <rv s="11">
    <fb>643.29999999999995</fb>
    <v>23</v>
  </rv>
  <rv s="11">
    <fb>306.95</fb>
    <v>23</v>
  </rv>
  <rv s="11">
    <fb>73.17</fb>
    <v>23</v>
  </rv>
  <rv s="11">
    <fb>95.14</fb>
    <v>23</v>
  </rv>
  <rv s="11">
    <fb>45888</fb>
    <v>22</v>
  </rv>
  <rv s="11">
    <fb>230.56</fb>
    <v>23</v>
  </rv>
  <rv s="11">
    <fb>175.64</fb>
    <v>23</v>
  </rv>
  <rv s="11">
    <fb>509.77</fb>
    <v>23</v>
  </rv>
  <rv s="11">
    <fb>751.48</fb>
    <v>23</v>
  </rv>
  <rv s="11">
    <fb>201.57</fb>
    <v>23</v>
  </rv>
  <rv s="11">
    <fb>639.80999999999995</fb>
    <v>23</v>
  </rv>
  <rv s="11">
    <fb>305.27</fb>
    <v>23</v>
  </rv>
  <rv s="11">
    <fb>72.3</fb>
    <v>23</v>
  </rv>
  <rv s="11">
    <fb>45889</fb>
    <v>22</v>
  </rv>
  <rv s="11">
    <fb>226.01</fb>
    <v>23</v>
  </rv>
  <rv s="11">
    <fb>175.4</fb>
    <v>23</v>
  </rv>
  <rv s="11">
    <fb>505.72</fb>
    <v>23</v>
  </rv>
  <rv s="11">
    <fb>747.72</fb>
    <v>23</v>
  </rv>
  <rv s="11">
    <fb>199.32</fb>
    <v>23</v>
  </rv>
  <rv s="11">
    <fb>638.11</fb>
    <v>23</v>
  </rv>
  <rv s="11">
    <fb>308.36</fb>
    <v>23</v>
  </rv>
  <rv s="11">
    <fb>73.52</fb>
    <v>23</v>
  </rv>
  <rv s="11">
    <fb>95.52</fb>
    <v>23</v>
  </rv>
  <rv s="11">
    <fb>45890</fb>
    <v>22</v>
  </rv>
  <rv s="11">
    <fb>224.9</fb>
    <v>23</v>
  </rv>
  <rv s="11">
    <fb>174.98</fb>
    <v>23</v>
  </rv>
  <rv s="11">
    <fb>504.24</fb>
    <v>23</v>
  </rv>
  <rv s="11">
    <fb>739.1</fb>
    <v>23</v>
  </rv>
  <rv s="11">
    <fb>199.75</fb>
    <v>23</v>
  </rv>
  <rv s="11">
    <fb>635.54999999999995</fb>
    <v>23</v>
  </rv>
  <rv s="11">
    <fb>307.29000000000002</fb>
    <v>23</v>
  </rv>
  <rv s="11">
    <fb>95.24</fb>
    <v>23</v>
  </rv>
  <rv s="11">
    <fb>45891</fb>
    <v>22</v>
  </rv>
  <rv s="11">
    <fb>227.76</fb>
    <v>23</v>
  </rv>
  <rv s="11">
    <fb>177.99</fb>
    <v>23</v>
  </rv>
  <rv s="11">
    <fb>507.23</fb>
    <v>23</v>
  </rv>
  <rv s="11">
    <fb>754.79</fb>
    <v>23</v>
  </rv>
  <rv s="11">
    <fb>206.09</fb>
    <v>23</v>
  </rv>
  <rv s="11">
    <fb>645.30999999999995</fb>
    <v>23</v>
  </rv>
  <rv s="11">
    <fb>310.58</fb>
    <v>23</v>
  </rv>
  <rv s="11">
    <fb>74.64</fb>
    <v>23</v>
  </rv>
  <rv s="11">
    <fb>45894</fb>
    <v>22</v>
  </rv>
  <rv s="11">
    <fb>227.16</fb>
    <v>23</v>
  </rv>
  <rv s="11">
    <fb>179.81</fb>
    <v>23</v>
  </rv>
  <rv s="11">
    <fb>504.26</fb>
    <v>23</v>
  </rv>
  <rv s="11">
    <fb>753.3</fb>
    <v>23</v>
  </rv>
  <rv s="11">
    <fb>208.49</fb>
    <v>23</v>
  </rv>
  <rv s="11">
    <fb>642.47</fb>
    <v>23</v>
  </rv>
  <rv s="11">
    <fb>309.83</fb>
    <v>23</v>
  </rv>
  <rv s="11">
    <fb>75.75</fb>
    <v>23</v>
  </rv>
  <rv s="11">
    <fb>95.58</fb>
    <v>23</v>
  </rv>
  <rv s="11">
    <fb>45895</fb>
    <v>22</v>
  </rv>
  <rv s="11">
    <fb>229.31</fb>
    <v>23</v>
  </rv>
  <rv s="11">
    <fb>181.77</fb>
    <v>23</v>
  </rv>
  <rv s="11">
    <fb>502.04</fb>
    <v>23</v>
  </rv>
  <rv s="11">
    <fb>754.1</fb>
    <v>23</v>
  </rv>
  <rv s="11">
    <fb>207.14</fb>
    <v>23</v>
  </rv>
  <rv s="11">
    <fb>645.16</fb>
    <v>23</v>
  </rv>
  <rv s="11">
    <fb>312.08</fb>
    <v>23</v>
  </rv>
  <rv s="11">
    <fb>74.05</fb>
    <v>23</v>
  </rv>
  <rv s="11">
    <fb>45896</fb>
    <v>22</v>
  </rv>
  <rv s="11">
    <fb>230.49</fb>
    <v>23</v>
  </rv>
  <rv s="11">
    <fb>181.6</fb>
    <v>23</v>
  </rv>
  <rv s="11">
    <fb>506.74</fb>
    <v>23</v>
  </rv>
  <rv s="11">
    <fb>747.38</fb>
    <v>23</v>
  </rv>
  <rv s="11">
    <fb>207.48</fb>
    <v>23</v>
  </rv>
  <rv s="11">
    <fb>646.63</fb>
    <v>23</v>
  </rv>
  <rv s="11">
    <fb>312.70999999999998</fb>
    <v>23</v>
  </rv>
  <rv s="11">
    <fb>74.680000000000007</fb>
    <v>23</v>
  </rv>
  <rv s="11">
    <fb>96.01</fb>
    <v>23</v>
  </rv>
  <rv s="11">
    <fb>45897</fb>
    <v>22</v>
  </rv>
  <rv s="11">
    <fb>232.56</fb>
    <v>23</v>
  </rv>
  <rv s="11">
    <fb>180.17</fb>
    <v>23</v>
  </rv>
  <rv s="11">
    <fb>509.64</fb>
    <v>23</v>
  </rv>
  <rv s="11">
    <fb>751.11</fb>
    <v>23</v>
  </rv>
  <rv s="11">
    <fb>211.64</fb>
    <v>23</v>
  </rv>
  <rv s="11">
    <fb>648.91999999999996</fb>
    <v>23</v>
  </rv>
  <rv s="11">
    <fb>315.02999999999997</fb>
    <v>23</v>
  </rv>
  <rv s="11">
    <fb>75.239999999999995</fb>
    <v>23</v>
  </rv>
  <rv s="11">
    <fb>96.23</fb>
    <v>23</v>
  </rv>
  <rv s="11">
    <fb>45898</fb>
    <v>22</v>
  </rv>
  <rv s="11">
    <fb>232.14</fb>
    <v>23</v>
  </rv>
  <rv s="11">
    <fb>174.18</fb>
    <v>23</v>
  </rv>
  <rv s="11">
    <fb>506.69</fb>
    <v>23</v>
  </rv>
  <rv s="11">
    <fb>738.7</fb>
    <v>23</v>
  </rv>
  <rv s="11">
    <fb>212.91</fb>
    <v>23</v>
  </rv>
  <rv s="11">
    <fb>318.07</fb>
    <v>23</v>
  </rv>
  <rv s="11">
    <fb>74.84</fb>
    <v>23</v>
  </rv>
  <rv s="11">
    <fb>96.15</fb>
    <v>23</v>
  </rv>
  <rv s="11">
    <fb>45902</fb>
    <v>22</v>
  </rv>
  <rv s="11">
    <fb>229.72</fb>
    <v>23</v>
  </rv>
  <rv s="11">
    <fb>505.12</fb>
    <v>23</v>
  </rv>
  <rv s="11">
    <fb>735.11</fb>
    <v>23</v>
  </rv>
  <rv s="11">
    <fb>211.35</fb>
    <v>23</v>
  </rv>
  <rv s="11">
    <fb>640.27</fb>
    <v>23</v>
  </rv>
  <rv s="11">
    <fb>325.58999999999997</fb>
    <v>23</v>
  </rv>
  <rv s="11">
    <fb>76.760000000000005</fb>
    <v>23</v>
  </rv>
  <rv s="11">
    <fb>95.55</fb>
    <v>23</v>
  </rv>
  <rv s="11">
    <fb>45903</fb>
    <v>22</v>
  </rv>
  <rv s="11">
    <fb>238.47</fb>
    <v>23</v>
  </rv>
  <rv s="11">
    <fb>170.62</fb>
    <v>23</v>
  </rv>
  <rv s="11">
    <fb>505.35</fb>
    <v>23</v>
  </rv>
  <rv s="11">
    <fb>737.05</fb>
    <v>23</v>
  </rv>
  <rv s="11">
    <fb>230.66</fb>
    <v>23</v>
  </rv>
  <rv s="11">
    <fb>643.74</fb>
    <v>23</v>
  </rv>
  <rv s="11">
    <fb>328.14</fb>
    <v>23</v>
  </rv>
  <rv s="11">
    <fb>74.83</fb>
    <v>23</v>
  </rv>
  <rv s="11">
    <fb>95.88</fb>
    <v>23</v>
  </rv>
  <rv s="11">
    <fb>45904</fb>
    <v>22</v>
  </rv>
  <rv s="11">
    <fb>239.78</fb>
    <v>23</v>
  </rv>
  <rv s="11">
    <fb>171.66</fb>
    <v>23</v>
  </rv>
  <rv s="11">
    <fb>507.97</fb>
    <v>23</v>
  </rv>
  <rv s="11">
    <fb>748.65</fb>
    <v>23</v>
  </rv>
  <rv s="11">
    <fb>232.3</fb>
    <v>23</v>
  </rv>
  <rv s="11">
    <fb>649.12</fb>
    <v>23</v>
  </rv>
  <rv s="11">
    <fb>326.69</fb>
    <v>23</v>
  </rv>
  <rv s="11">
    <fb>74.180000000000007</fb>
    <v>23</v>
  </rv>
  <rv s="11">
    <fb>96.31</fb>
    <v>23</v>
  </rv>
  <rv s="11">
    <fb>45905</fb>
    <v>22</v>
  </rv>
  <rv s="11">
    <fb>239.69</fb>
    <v>23</v>
  </rv>
  <rv s="11">
    <fb>167.02</fb>
    <v>23</v>
  </rv>
  <rv s="11">
    <fb>495</fb>
    <v>23</v>
  </rv>
  <rv s="11">
    <fb>752.45</fb>
    <v>23</v>
  </rv>
  <rv s="11">
    <fb>647.24</fb>
    <v>23</v>
  </rv>
  <rv s="11">
    <fb>331.05</fb>
    <v>23</v>
  </rv>
  <rv s="11">
    <fb>72.63</fb>
    <v>23</v>
  </rv>
  <rv s="11">
    <fb>96.78</fb>
    <v>23</v>
  </rv>
  <rv s="11">
    <fb>45908</fb>
    <v>22</v>
  </rv>
  <rv s="11">
    <fb>237.88</fb>
    <v>23</v>
  </rv>
  <rv s="11">
    <fb>168.31</fb>
    <v>23</v>
  </rv>
  <rv s="11">
    <fb>498.2</fb>
    <v>23</v>
  </rv>
  <rv s="11">
    <fb>752.3</fb>
    <v>23</v>
  </rv>
  <rv s="11">
    <fb>234.04</fb>
    <v>23</v>
  </rv>
  <rv s="11">
    <fb>648.83000000000004</fb>
    <v>23</v>
  </rv>
  <rv s="11">
    <fb>334.82</fb>
    <v>23</v>
  </rv>
  <rv s="11">
    <fb>97.08</fb>
    <v>23</v>
  </rv>
  <rv s="11">
    <fb>45909</fb>
    <v>22</v>
  </rv>
  <rv s="11">
    <fb>234.35</fb>
    <v>23</v>
  </rv>
  <rv s="11">
    <fb>170.76</fb>
    <v>23</v>
  </rv>
  <rv s="11">
    <fb>498.41</fb>
    <v>23</v>
  </rv>
  <rv s="11">
    <fb>765.7</fb>
    <v>23</v>
  </rv>
  <rv s="11">
    <fb>239.63</fb>
    <v>23</v>
  </rv>
  <rv s="11">
    <fb>650.33000000000004</fb>
    <v>23</v>
  </rv>
  <rv s="11">
    <fb>334.06</fb>
    <v>23</v>
  </rv>
  <rv s="11">
    <fb>73.39</fb>
    <v>23</v>
  </rv>
  <rv s="11">
    <fb>96.85</fb>
    <v>23</v>
  </rv>
  <rv s="11">
    <fb>45910</fb>
    <v>22</v>
  </rv>
  <rv s="11">
    <fb>226.79</fb>
    <v>23</v>
  </rv>
  <rv s="11">
    <fb>177.33</fb>
    <v>23</v>
  </rv>
  <rv s="11">
    <fb>500.37</fb>
    <v>23</v>
  </rv>
  <rv s="11">
    <fb>751.98</fb>
    <v>23</v>
  </rv>
  <rv s="11">
    <fb>239.17</fb>
    <v>23</v>
  </rv>
  <rv s="11">
    <fb>652.21</fb>
    <v>23</v>
  </rv>
  <rv s="11">
    <fb>335.26</fb>
    <v>23</v>
  </rv>
  <rv s="11">
    <fb>74.709999999999994</fb>
    <v>23</v>
  </rv>
  <rv s="11">
    <fb>97.11</fb>
    <v>23</v>
  </rv>
  <rv s="11">
    <fb>45911</fb>
    <v>22</v>
  </rv>
  <rv s="11">
    <fb>230.03</fb>
    <v>23</v>
  </rv>
  <rv s="11">
    <fb>177.17</fb>
    <v>23</v>
  </rv>
  <rv s="11">
    <fb>501.01</fb>
    <v>23</v>
  </rv>
  <rv s="11">
    <fb>750.9</fb>
    <v>23</v>
  </rv>
  <rv s="11">
    <fb>240.37</fb>
    <v>23</v>
  </rv>
  <rv s="11">
    <fb>657.63</fb>
    <v>23</v>
  </rv>
  <rv s="11">
    <fb>334.76</fb>
    <v>23</v>
  </rv>
  <rv s="11">
    <fb>97.26</fb>
    <v>23</v>
  </rv>
  <rv s="11">
    <fb>45912</fb>
    <v>22</v>
  </rv>
  <rv s="11">
    <fb>234.07</fb>
    <v>23</v>
  </rv>
  <rv s="11">
    <fb>177.82</fb>
    <v>23</v>
  </rv>
  <rv s="11">
    <fb>509.9</fb>
    <v>23</v>
  </rv>
  <rv s="11">
    <fb>755.59</fb>
    <v>23</v>
  </rv>
  <rv s="11">
    <fb>240.8</fb>
    <v>23</v>
  </rv>
  <rv s="11">
    <fb>657.41</fb>
    <v>23</v>
  </rv>
  <rv s="11">
    <fb>335.42</fb>
    <v>23</v>
  </rv>
  <rv s="11">
    <fb>96.98</fb>
    <v>23</v>
  </rv>
  <rv s="11">
    <fb>45915</fb>
    <v>22</v>
  </rv>
  <rv s="11">
    <fb>236.7</fb>
    <v>23</v>
  </rv>
  <rv s="11">
    <fb>177.75</fb>
    <v>23</v>
  </rv>
  <rv s="11">
    <fb>515.36</fb>
    <v>23</v>
  </rv>
  <rv s="11">
    <fb>764.7</fb>
    <v>23</v>
  </rv>
  <rv s="11">
    <fb>251.61</fb>
    <v>23</v>
  </rv>
  <rv s="11">
    <fb>660.91</fb>
    <v>23</v>
  </rv>
  <rv s="11">
    <fb>338.91</fb>
    <v>23</v>
  </rv>
  <rv s="11">
    <fb>97.14</fb>
    <v>23</v>
  </rv>
  <rv s="11">
    <fb>45916</fb>
    <v>22</v>
  </rv>
  <rv s="11">
    <fb>238.15</fb>
    <v>23</v>
  </rv>
  <rv s="11">
    <fb>174.88</fb>
    <v>23</v>
  </rv>
  <rv s="11">
    <fb>509.04</fb>
    <v>23</v>
  </rv>
  <rv s="11">
    <fb>779</fb>
    <v>23</v>
  </rv>
  <rv s="11">
    <fb>251.16</fb>
    <v>23</v>
  </rv>
  <rv s="11">
    <fb>660</fb>
    <v>23</v>
  </rv>
  <rv s="11">
    <fb>339.59</fb>
    <v>23</v>
  </rv>
  <rv s="11">
    <fb>75.67</fb>
    <v>23</v>
  </rv>
  <rv s="11">
    <fb>97.2</fb>
    <v>23</v>
  </rv>
  <rv s="11">
    <fb>45917</fb>
    <v>22</v>
  </rv>
  <rv s="11">
    <fb>238.99</fb>
    <v>23</v>
  </rv>
  <rv s="11">
    <fb>170.29</fb>
    <v>23</v>
  </rv>
  <rv s="11">
    <fb>510.02</fb>
    <v>23</v>
  </rv>
  <rv s="11">
    <fb>775.71500000000003</fb>
    <v>23</v>
  </rv>
  <rv s="11">
    <fb>249.53</fb>
    <v>23</v>
  </rv>
  <rv s="11">
    <fb>659.18</fb>
    <v>23</v>
  </rv>
  <rv s="11">
    <fb>336.97</fb>
    <v>23</v>
  </rv>
  <rv s="11">
    <fb>74.97</fb>
    <v>23</v>
  </rv>
  <rv s="11">
    <fb>96.99</fb>
    <v>23</v>
  </rv>
  <rv s="11">
    <fb>45918</fb>
    <v>22</v>
  </rv>
  <rv s="11">
    <fb>176.24</fb>
    <v>23</v>
  </rv>
  <rv s="11">
    <fb>508.45</fb>
    <v>23</v>
  </rv>
  <rv s="11">
    <fb>780.25</fb>
    <v>23</v>
  </rv>
  <rv s="11">
    <fb>252.03</fb>
    <v>23</v>
  </rv>
  <rv s="11">
    <fb>662.26</fb>
    <v>23</v>
  </rv>
  <rv s="11">
    <fb>335.62</fb>
    <v>23</v>
  </rv>
  <rv s="11">
    <fb>74.69</fb>
    <v>23</v>
  </rv>
  <rv s="11">
    <fb>96.67</fb>
    <v>23</v>
  </rv>
  <rv s="11">
    <fb>45919</fb>
    <v>22</v>
  </rv>
  <rv s="11">
    <fb>245.5</fb>
    <v>23</v>
  </rv>
  <rv s="11">
    <fb>176.67</fb>
    <v>23</v>
  </rv>
  <rv s="11">
    <fb>517.92999999999995</fb>
    <v>23</v>
  </rv>
  <rv s="11">
    <fb>778.38</fb>
    <v>23</v>
  </rv>
  <rv s="11">
    <fb>254.72</fb>
    <v>23</v>
  </rv>
  <rv s="11">
    <fb>663.7</fb>
    <v>23</v>
  </rv>
  <rv s="11">
    <fb>339.18</fb>
    <v>23</v>
  </rv>
  <rv s="11">
    <fb>96.63</fb>
    <v>23</v>
  </rv>
  <rv s="11">
    <fb>45922</fb>
    <v>22</v>
  </rv>
  <rv s="11">
    <fb>256.08</fb>
    <v>23</v>
  </rv>
  <rv s="11">
    <fb>514.45000000000005</fb>
    <v>23</v>
  </rv>
  <rv s="11">
    <fb>765.16</fb>
    <v>23</v>
  </rv>
  <rv s="11">
    <fb>252.53</fb>
    <v>23</v>
  </rv>
  <rv s="11">
    <fb>666.84</fb>
    <v>23</v>
  </rv>
  <rv s="11">
    <fb>345.05</fb>
    <v>23</v>
  </rv>
  <rv s="11">
    <fb>73.45</fb>
    <v>23</v>
  </rv>
  <rv s="11">
    <fb>45923</fb>
    <v>22</v>
  </rv>
  <rv s="11">
    <fb>178.43</fb>
    <v>23</v>
  </rv>
  <rv s="11">
    <fb>509.23</fb>
    <v>23</v>
  </rv>
  <rv s="11">
    <fb>755.4</fb>
    <v>23</v>
  </rv>
  <rv s="11">
    <fb>251.66</fb>
    <v>23</v>
  </rv>
  <rv s="11">
    <fb>663.21</fb>
    <v>23</v>
  </rv>
  <rv s="11">
    <fb>346.46</fb>
    <v>23</v>
  </rv>
  <rv s="11">
    <fb>96.74</fb>
    <v>23</v>
  </rv>
  <rv s="11">
    <fb>45924</fb>
    <v>22</v>
  </rv>
  <rv s="11">
    <fb>252.31</fb>
    <v>23</v>
  </rv>
  <rv s="11">
    <fb>176.97</fb>
    <v>23</v>
  </rv>
  <rv s="11">
    <fb>510.15</fb>
    <v>23</v>
  </rv>
  <rv s="11">
    <fb>760.66</fb>
    <v>23</v>
  </rv>
  <rv s="11">
    <fb>247.14</fb>
    <v>23</v>
  </rv>
  <rv s="11">
    <fb>661.1</fb>
    <v>23</v>
  </rv>
  <rv s="11">
    <fb>343.32</fb>
    <v>23</v>
  </rv>
  <rv s="11">
    <fb>96.48</fb>
    <v>23</v>
  </rv>
  <rv s="11">
    <fb>45925</fb>
    <v>22</v>
  </rv>
  <rv s="11">
    <fb>256.87</fb>
    <v>23</v>
  </rv>
  <rv s="11">
    <fb>177.69</fb>
    <v>23</v>
  </rv>
  <rv s="11">
    <fb>507.03</fb>
    <v>23</v>
  </rv>
  <rv s="11">
    <fb>748.91</fb>
    <v>23</v>
  </rv>
  <rv s="11">
    <fb>245.79</fb>
    <v>23</v>
  </rv>
  <rv s="11">
    <fb>658.05</fb>
    <v>23</v>
  </rv>
  <rv s="11">
    <fb>344.75</fb>
    <v>23</v>
  </rv>
  <rv s="11">
    <fb>76.989999999999995</fb>
    <v>23</v>
  </rv>
  <rv s="11">
    <fb>96.27</fb>
    <v>23</v>
  </rv>
  <rv s="11">
    <fb>45926</fb>
    <v>22</v>
  </rv>
  <rv s="11">
    <fb>255.46</fb>
    <v>23</v>
  </rv>
  <rv s="11">
    <fb>178.19</fb>
    <v>23</v>
  </rv>
  <rv s="11">
    <fb>511.46</fb>
    <v>23</v>
  </rv>
  <rv s="11">
    <fb>743.75</fb>
    <v>23</v>
  </rv>
  <rv s="11">
    <fb>246.54</fb>
    <v>23</v>
  </rv>
  <rv s="11">
    <fb>661.82</fb>
    <v>23</v>
  </rv>
  <rv s="11">
    <fb>346.74</fb>
    <v>23</v>
  </rv>
  <rv s="11">
    <fb>77.02</fb>
    <v>23</v>
  </rv>
  <rv s="11">
    <fb>96.22</fb>
    <v>23</v>
  </rv>
  <rv s="11">
    <fb>45929</fb>
    <v>22</v>
  </rv>
  <rv s="11">
    <fb>181.85</fb>
    <v>23</v>
  </rv>
  <rv s="11">
    <fb>514.6</fb>
    <v>23</v>
  </rv>
  <rv s="11">
    <fb>743.4</fb>
    <v>23</v>
  </rv>
  <rv s="11">
    <fb>244.05</fb>
    <v>23</v>
  </rv>
  <rv s="11">
    <fb>663.68</fb>
    <v>23</v>
  </rv>
  <rv s="11">
    <fb>352.46</fb>
    <v>23</v>
  </rv>
  <rv s="11">
    <fb>74.59</fb>
    <v>23</v>
  </rv>
  <rv s="11">
    <fb>96.5</fb>
    <v>23</v>
  </rv>
  <rv s="12">
    <v>24</v>
    <v>SPY</v>
    <v>Daily</v>
    <v>45566</v>
    <v>45931</v>
    <v>0</v>
    <v>1</v>
    <v>638947008000000000,638948689369789605,0</v>
    <v>0</v>
    <v>a23hqh</v>
    <v>ARCX:SPY</v>
    <v>1</v>
  </rv>
  <rv s="12">
    <v>24</v>
    <v>AAPL</v>
    <v>Daily</v>
    <v>45566</v>
    <v>45931</v>
    <v>0</v>
    <v>1</v>
    <v>638947008000000000,638948689369562660,0</v>
    <v>0</v>
    <v>a1mou2</v>
    <v>XNAS:AAPL</v>
    <v>2</v>
  </rv>
  <rv s="12">
    <v>24</v>
    <v>NVDA</v>
    <v>Daily</v>
    <v>45566</v>
    <v>45931</v>
    <v>0</v>
    <v>1</v>
    <v>638947008000000000,638948689369603915,0</v>
    <v>0</v>
    <v>a1yv52</v>
    <v>XNAS:NVDA</v>
    <v>3</v>
  </rv>
  <rv s="12">
    <v>24</v>
    <v>MSFT</v>
    <v>Daily</v>
    <v>45566</v>
    <v>45931</v>
    <v>0</v>
    <v>1</v>
    <v>638947008000000000,638948689369647788,0</v>
    <v>0</v>
    <v>a1xzim</v>
    <v>XNAS:MSFT</v>
    <v>4</v>
  </rv>
  <rv s="12">
    <v>24</v>
    <v>meta</v>
    <v>Daily</v>
    <v>45566</v>
    <v>45931</v>
    <v>0</v>
    <v>1</v>
    <v>638947008000000000,638948689369703071,0</v>
    <v>0</v>
    <v>a1slm7</v>
    <v>XNAS:META</v>
    <v>5</v>
  </rv>
  <rv s="12">
    <v>24</v>
    <v>GOOGL</v>
    <v>Daily</v>
    <v>45566</v>
    <v>45931</v>
    <v>0</v>
    <v>1</v>
    <v>638947008000000000,638948689369739436,0</v>
    <v>0</v>
    <v>a1u3rw</v>
    <v>XNAS:GOOGL</v>
    <v>6</v>
  </rv>
  <rv s="12">
    <v>24</v>
    <v>GLD</v>
    <v>Daily</v>
    <v>45566</v>
    <v>45931</v>
    <v>0</v>
    <v>1</v>
    <v>638947008000000000,638948689369846229,0</v>
    <v>0</v>
    <v>a1twnm</v>
    <v>ARCX:GLD</v>
    <v>7</v>
  </rv>
  <rv s="12">
    <v>24</v>
    <v>USO</v>
    <v>Daily</v>
    <v>45566</v>
    <v>45931</v>
    <v>0</v>
    <v>1</v>
    <v>638947008000000000,638948689369892206,0</v>
    <v>0</v>
    <v>a253hw</v>
    <v>ARCX:USO</v>
    <v>8</v>
  </rv>
  <rv s="12">
    <v>24</v>
    <v>IEF</v>
    <v>Daily</v>
    <v>45566</v>
    <v>45931</v>
    <v>0</v>
    <v>1</v>
    <v>638947008000000000,638948689369951956,0</v>
    <v>0</v>
    <v>a1vbbh</v>
    <v>XNAS:IEF</v>
    <v>9</v>
  </rv>
</rvData>
</file>

<file path=xl/richData/rdrichvaluestructure.xml><?xml version="1.0" encoding="utf-8"?>
<rvStructures xmlns="http://schemas.microsoft.com/office/spreadsheetml/2017/richdata" count="1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subType" t="i"/>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8"/>
  <sheetViews>
    <sheetView topLeftCell="N1" zoomScale="142" workbookViewId="0">
      <selection activeCell="G9" sqref="G9"/>
    </sheetView>
  </sheetViews>
  <sheetFormatPr defaultColWidth="10.83203125" defaultRowHeight="16" x14ac:dyDescent="0.4"/>
  <cols>
    <col min="1" max="1" width="29.5" customWidth="1"/>
    <col min="2" max="2" width="13.33203125" customWidth="1"/>
    <col min="3" max="3" width="14.6640625" customWidth="1"/>
    <col min="4" max="4" width="7.6640625" customWidth="1"/>
    <col min="6" max="6" width="14.5" customWidth="1"/>
  </cols>
  <sheetData>
    <row r="1" spans="1:4" s="4" customFormat="1" x14ac:dyDescent="0.4">
      <c r="A1" s="4" t="s">
        <v>0</v>
      </c>
      <c r="B1" s="4" t="s">
        <v>1</v>
      </c>
      <c r="C1" s="4" t="s">
        <v>2</v>
      </c>
      <c r="D1" s="4" t="s">
        <v>3</v>
      </c>
    </row>
    <row r="2" spans="1:4" x14ac:dyDescent="0.4">
      <c r="A2" t="s">
        <v>23</v>
      </c>
      <c r="B2" t="s">
        <v>4</v>
      </c>
      <c r="C2" s="11">
        <v>2000</v>
      </c>
      <c r="D2" s="12">
        <v>1.024</v>
      </c>
    </row>
    <row r="3" spans="1:4" x14ac:dyDescent="0.4">
      <c r="A3" t="s">
        <v>27</v>
      </c>
      <c r="B3" t="s">
        <v>5</v>
      </c>
      <c r="C3" s="11">
        <v>4000</v>
      </c>
      <c r="D3" s="12">
        <v>0</v>
      </c>
    </row>
    <row r="4" spans="1:4" x14ac:dyDescent="0.4">
      <c r="A4" t="s">
        <v>28</v>
      </c>
      <c r="B4" t="s">
        <v>4</v>
      </c>
      <c r="C4" s="11">
        <v>500</v>
      </c>
      <c r="D4" s="12">
        <v>0.998</v>
      </c>
    </row>
    <row r="5" spans="1:4" x14ac:dyDescent="0.4">
      <c r="C5" s="11"/>
      <c r="D5" s="12"/>
    </row>
    <row r="6" spans="1:4" x14ac:dyDescent="0.4">
      <c r="C6" s="11"/>
      <c r="D6" s="12"/>
    </row>
    <row r="7" spans="1:4" x14ac:dyDescent="0.4">
      <c r="C7" s="11"/>
      <c r="D7" s="12"/>
    </row>
    <row r="8" spans="1:4" x14ac:dyDescent="0.4">
      <c r="C8" s="11"/>
      <c r="D8" s="1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workbookViewId="0">
      <selection activeCell="A14" sqref="A14"/>
    </sheetView>
  </sheetViews>
  <sheetFormatPr defaultColWidth="10.83203125" defaultRowHeight="16" x14ac:dyDescent="0.4"/>
  <cols>
    <col min="1" max="1" width="37.83203125" customWidth="1"/>
    <col min="2" max="2" width="16.83203125" customWidth="1"/>
    <col min="4" max="4" width="22.1640625" customWidth="1"/>
    <col min="5" max="5" width="13.1640625" customWidth="1"/>
    <col min="6" max="7" width="12.6640625" customWidth="1"/>
  </cols>
  <sheetData>
    <row r="1" spans="1:7" x14ac:dyDescent="0.4">
      <c r="A1" t="s">
        <v>19</v>
      </c>
      <c r="B1" t="s">
        <v>20</v>
      </c>
      <c r="C1" t="s">
        <v>3</v>
      </c>
      <c r="D1" t="s">
        <v>21</v>
      </c>
      <c r="E1" t="s">
        <v>1</v>
      </c>
      <c r="F1" t="s">
        <v>35</v>
      </c>
      <c r="G1" t="s">
        <v>34</v>
      </c>
    </row>
    <row r="2" spans="1:7" x14ac:dyDescent="0.4">
      <c r="A2" t="e" vm="1">
        <v>#VALUE!</v>
      </c>
      <c r="B2" s="7" cm="1">
        <f t="array" aca="1" ref="B2" ca="1">_FV(A2,"Price")</f>
        <v>254.63</v>
      </c>
      <c r="C2" s="8" cm="1">
        <f t="array" aca="1" ref="C2" ca="1">_FV(A2,"Beta")</f>
        <v>1.0931</v>
      </c>
      <c r="D2" s="9" cm="1">
        <f t="array" aca="1" ref="D2" ca="1">_FV(A2,"Market cap",TRUE)</f>
        <v>3778808505700</v>
      </c>
      <c r="E2" s="7" t="s">
        <v>4</v>
      </c>
      <c r="F2" s="21">
        <f ca="1">(B2/G2)/G2</f>
        <v>3.9334436616160883E-3</v>
      </c>
      <c r="G2" s="7" cm="1">
        <f t="array" aca="1" ref="G2" ca="1">_FV(A2,"Previous close",TRUE)</f>
        <v>254.43</v>
      </c>
    </row>
    <row r="3" spans="1:7" x14ac:dyDescent="0.4">
      <c r="A3" t="e" vm="2">
        <v>#VALUE!</v>
      </c>
      <c r="B3" s="7" cm="1">
        <f t="array" aca="1" ref="B3" ca="1">_FV(A3,"Price")</f>
        <v>186.57499999999999</v>
      </c>
      <c r="C3" s="8" cm="1">
        <f t="array" aca="1" ref="C3" ca="1">_FV(A3,"Beta")</f>
        <v>2.1213000000000002</v>
      </c>
      <c r="D3" s="9" cm="1">
        <f t="array" aca="1" ref="D3" ca="1">_FV(A3,"Market cap",TRUE)</f>
        <v>4533772500000</v>
      </c>
      <c r="E3" s="7" t="s">
        <v>4</v>
      </c>
      <c r="F3" s="21">
        <f t="shared" ref="F3:F14" ca="1" si="0">(B3/G3)/G3</f>
        <v>5.6419189055992736E-3</v>
      </c>
      <c r="G3" s="7" cm="1">
        <f t="array" aca="1" ref="G3" ca="1">_FV(A3,"Previous close",TRUE)</f>
        <v>181.85</v>
      </c>
    </row>
    <row r="4" spans="1:7" x14ac:dyDescent="0.4">
      <c r="A4" t="e" vm="3">
        <v>#VALUE!</v>
      </c>
      <c r="B4" s="7" cm="1">
        <f t="array" aca="1" ref="B4" ca="1">_FV(A4,"Price")</f>
        <v>517.95000000000005</v>
      </c>
      <c r="C4" s="8" cm="1">
        <f t="array" aca="1" ref="C4" ca="1">_FV(A4,"Beta")</f>
        <v>1.024</v>
      </c>
      <c r="D4" s="9" cm="1">
        <f t="array" aca="1" ref="D4" ca="1">_FV(A4,"Market cap",TRUE)</f>
        <v>3850008847650</v>
      </c>
      <c r="E4" s="7" t="s">
        <v>4</v>
      </c>
      <c r="F4" s="21">
        <f t="shared" ca="1" si="0"/>
        <v>1.9559073272642493E-3</v>
      </c>
      <c r="G4" s="7" cm="1">
        <f t="array" aca="1" ref="G4" ca="1">_FV(A4,"Previous close",TRUE)</f>
        <v>514.6</v>
      </c>
    </row>
    <row r="5" spans="1:7" x14ac:dyDescent="0.4">
      <c r="A5" t="e" vm="4">
        <v>#VALUE!</v>
      </c>
      <c r="B5" s="7" cm="1">
        <f t="array" aca="1" ref="B5" ca="1">_FV(A5,"Price")</f>
        <v>734.38</v>
      </c>
      <c r="C5" s="8" cm="1">
        <f t="array" aca="1" ref="C5" ca="1">_FV(A5,"Beta")</f>
        <v>1.2076</v>
      </c>
      <c r="D5" s="9" cm="1">
        <f t="array" aca="1" ref="D5" ca="1">_FV(A5,"Market cap",TRUE)</f>
        <v>1844866107580</v>
      </c>
      <c r="E5" s="7" t="s">
        <v>4</v>
      </c>
      <c r="F5" s="21">
        <f t="shared" ca="1" si="0"/>
        <v>1.3288492857855794E-3</v>
      </c>
      <c r="G5" s="7" cm="1">
        <f t="array" aca="1" ref="G5" ca="1">_FV(A5,"Previous close",TRUE)</f>
        <v>743.4</v>
      </c>
    </row>
    <row r="6" spans="1:7" x14ac:dyDescent="0.4">
      <c r="A6" t="e" vm="5">
        <v>#VALUE!</v>
      </c>
      <c r="B6" s="7" cm="1">
        <f t="array" aca="1" ref="B6" ca="1">_FV(A6,"Price")</f>
        <v>243.1</v>
      </c>
      <c r="C6" s="8" cm="1">
        <f t="array" aca="1" ref="C6" ca="1">_FV(A6,"Beta")</f>
        <v>0.998</v>
      </c>
      <c r="D6" s="9" cm="1">
        <f t="array" aca="1" ref="D6" ca="1">_FV(A6,"Market cap",TRUE)</f>
        <v>2953224000000</v>
      </c>
      <c r="E6" s="7" t="s">
        <v>4</v>
      </c>
      <c r="F6" s="21">
        <f t="shared" ca="1" si="0"/>
        <v>4.0815708053685493E-3</v>
      </c>
      <c r="G6" s="7" cm="1">
        <f t="array" aca="1" ref="G6" ca="1">_FV(A6,"Previous close",TRUE)</f>
        <v>244.05</v>
      </c>
    </row>
    <row r="7" spans="1:7" x14ac:dyDescent="0.4">
      <c r="A7" t="e" vm="6">
        <v>#VALUE!</v>
      </c>
      <c r="B7" s="7" cm="1">
        <f t="array" aca="1" ref="B7" ca="1">_FV(A7,"Price")</f>
        <v>666.20500000000004</v>
      </c>
      <c r="C7" s="8" cm="1">
        <f t="array" aca="1" ref="C7" ca="1">_FV(A7,"Beta")</f>
        <v>0.99850000000000005</v>
      </c>
      <c r="D7" s="9" cm="1">
        <f t="array" aca="1" ref="D7" ca="1">_FV(A7,"Market cap",TRUE)</f>
        <v>654797681275.29004</v>
      </c>
      <c r="E7" s="7" t="s">
        <v>4</v>
      </c>
      <c r="F7" s="21">
        <f t="shared" ca="1" si="0"/>
        <v>1.5124827392097504E-3</v>
      </c>
      <c r="G7" s="7" cm="1">
        <f t="array" aca="1" ref="G7" ca="1">_FV(A7,"Previous close",TRUE)</f>
        <v>663.68</v>
      </c>
    </row>
    <row r="8" spans="1:7" x14ac:dyDescent="0.4">
      <c r="A8" t="e" vm="7">
        <v>#VALUE!</v>
      </c>
      <c r="B8" s="7" cm="1">
        <f t="array" aca="1" ref="B8" ca="1">_FV(A8,"Price")</f>
        <v>89.37</v>
      </c>
      <c r="C8" s="8" cm="1">
        <f t="array" aca="1" ref="C8" ca="1">_FV(A8,"Beta")</f>
        <v>1.0716000000000001</v>
      </c>
      <c r="D8" s="9" cm="1">
        <f t="array" aca="1" ref="D8" ca="1">_FV(A8,"Market cap",TRUE)</f>
        <v>47464401523.18</v>
      </c>
      <c r="E8" s="7" t="s">
        <v>5</v>
      </c>
      <c r="F8" s="21">
        <f t="shared" ca="1" si="0"/>
        <v>1.1124614365062544E-2</v>
      </c>
      <c r="G8" s="7" cm="1">
        <f t="array" aca="1" ref="G8" ca="1">_FV(A8,"Previous close",TRUE)</f>
        <v>89.63</v>
      </c>
    </row>
    <row r="9" spans="1:7" x14ac:dyDescent="0.4">
      <c r="A9" t="e" vm="8">
        <v>#VALUE!</v>
      </c>
      <c r="B9" s="7" cm="1">
        <f t="array" aca="1" ref="B9" ca="1">_FV(A9,"Price")</f>
        <v>355.43</v>
      </c>
      <c r="C9" s="8" cm="1">
        <f t="array" aca="1" ref="C9" ca="1">_FV(A9,"Beta")</f>
        <v>0.81589999999999996</v>
      </c>
      <c r="D9" s="7" cm="1">
        <f t="array" aca="1" ref="D9" ca="1">_FV(A9,"Market cap",TRUE)</f>
        <v>82394162386.910004</v>
      </c>
      <c r="E9" s="7" t="s">
        <v>11</v>
      </c>
      <c r="F9" s="21">
        <f t="shared" ca="1" si="0"/>
        <v>2.8611090282929306E-3</v>
      </c>
      <c r="G9" s="7" cm="1">
        <f t="array" aca="1" ref="G9" ca="1">_FV(A9,"Previous close",TRUE)</f>
        <v>352.46</v>
      </c>
    </row>
    <row r="10" spans="1:7" x14ac:dyDescent="0.4">
      <c r="A10" t="e" vm="9">
        <v>#VALUE!</v>
      </c>
      <c r="B10" s="7" cm="1">
        <f t="array" aca="1" ref="B10" ca="1">_FV(A10,"Price")</f>
        <v>1.1734</v>
      </c>
      <c r="C10" t="e" cm="1" vm="10">
        <f t="array" ref="C10">_FV(A10,"Beta")</f>
        <v>#VALUE!</v>
      </c>
      <c r="D10" s="7" t="e" cm="1" vm="11">
        <f t="array" ref="D10">_FV(A10,"Market cap",TRUE)</f>
        <v>#VALUE!</v>
      </c>
      <c r="E10" s="7" t="s">
        <v>22</v>
      </c>
      <c r="F10" s="21">
        <v>0</v>
      </c>
      <c r="G10" s="7" cm="1">
        <f t="array" aca="1" ref="G10" ca="1">_FV(A10,"Previous close",TRUE)</f>
        <v>1.1733</v>
      </c>
    </row>
    <row r="11" spans="1:7" x14ac:dyDescent="0.4">
      <c r="A11" t="e" vm="12">
        <v>#VALUE!</v>
      </c>
      <c r="B11" s="7" cm="1">
        <f t="array" aca="1" ref="B11" ca="1">_FV(A11,"Price")</f>
        <v>73.77</v>
      </c>
      <c r="C11" s="8" cm="1">
        <f t="array" aca="1" ref="C11" ca="1">_FV(A11,"Beta")</f>
        <v>1.0226</v>
      </c>
      <c r="D11" s="7" cm="1">
        <f t="array" aca="1" ref="D11" ca="1">_FV(A11,"Market cap",TRUE)</f>
        <v>982808980.90999997</v>
      </c>
      <c r="E11" s="7" t="s">
        <v>9</v>
      </c>
      <c r="F11" s="21">
        <f t="shared" ca="1" si="0"/>
        <v>1.3259238091502977E-2</v>
      </c>
      <c r="G11" s="7" cm="1">
        <f t="array" aca="1" ref="G11" ca="1">_FV(A11,"Previous close",TRUE)</f>
        <v>74.59</v>
      </c>
    </row>
    <row r="12" spans="1:7" x14ac:dyDescent="0.4">
      <c r="A12" t="e" vm="13">
        <v>#VALUE!</v>
      </c>
      <c r="B12" s="10" cm="1">
        <f t="array" aca="1" ref="B12" ca="1">_FV(A12,"Price")</f>
        <v>600.37</v>
      </c>
      <c r="C12" cm="1">
        <f t="array" aca="1" ref="C12" ca="1">_FV(A12,"Beta")</f>
        <v>1.0321</v>
      </c>
      <c r="D12" s="10" cm="1">
        <f t="array" aca="1" ref="D12" ca="1">_FV(A12,"Market cap",TRUE)</f>
        <v>365550355557.59003</v>
      </c>
      <c r="E12" s="7" t="s">
        <v>4</v>
      </c>
      <c r="F12" s="21">
        <f t="shared" ca="1" si="0"/>
        <v>1.6747768295574921E-3</v>
      </c>
      <c r="G12" s="7" cm="1">
        <f t="array" aca="1" ref="G12" ca="1">_FV(A12,"Previous close",TRUE)</f>
        <v>598.73</v>
      </c>
    </row>
    <row r="13" spans="1:7" x14ac:dyDescent="0.4">
      <c r="A13" t="e" vm="14">
        <v>#VALUE!</v>
      </c>
      <c r="B13" s="7" cm="1">
        <f t="array" aca="1" ref="B13" ca="1">_FV(A13,"Price")</f>
        <v>96.46</v>
      </c>
      <c r="C13" s="8" cm="1">
        <f t="array" aca="1" ref="C13" ca="1">_FV(A13,"Beta")</f>
        <v>1.1922999999999999</v>
      </c>
      <c r="D13" s="7" cm="1">
        <f t="array" aca="1" ref="D13" ca="1">_FV(A13,"Market cap",TRUE)</f>
        <v>35770398943.690002</v>
      </c>
      <c r="E13" t="s">
        <v>5</v>
      </c>
      <c r="F13" s="21">
        <f t="shared" ca="1" si="0"/>
        <v>1.0358398883191495E-2</v>
      </c>
      <c r="G13" s="7" cm="1">
        <f t="array" aca="1" ref="G13" ca="1">_FV(A13,"Previous close",TRUE)</f>
        <v>96.5</v>
      </c>
    </row>
    <row r="14" spans="1:7" x14ac:dyDescent="0.4">
      <c r="A14" t="e" vm="15">
        <v>#VALUE!</v>
      </c>
      <c r="B14" s="7" cm="1">
        <f t="array" aca="1" ref="B14" ca="1">_FV(A14,"Price")</f>
        <v>66.760000000000005</v>
      </c>
      <c r="C14" t="e" cm="1" vm="10">
        <f t="array" ref="C14">_FV(A14,"Beta")</f>
        <v>#VALUE!</v>
      </c>
      <c r="D14" s="7" t="e" cm="1" vm="11">
        <f t="array" ref="D14">_FV(A14,"Market cap",TRUE)</f>
        <v>#VALUE!</v>
      </c>
      <c r="E14" t="s">
        <v>5</v>
      </c>
      <c r="F14" s="21">
        <f t="shared" ca="1" si="0"/>
        <v>1.504205150149686E-2</v>
      </c>
      <c r="G14" s="7" cm="1">
        <f t="array" aca="1" ref="G14" ca="1">_FV(A14,"Previous close",TRUE)</f>
        <v>66.62</v>
      </c>
    </row>
    <row r="15" spans="1:7" x14ac:dyDescent="0.4">
      <c r="B15" s="7"/>
      <c r="C15" s="8"/>
      <c r="D15"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K251"/>
  <sheetViews>
    <sheetView tabSelected="1" zoomScale="89" workbookViewId="0">
      <selection activeCell="E10" sqref="E10"/>
    </sheetView>
  </sheetViews>
  <sheetFormatPr defaultColWidth="10.6640625" defaultRowHeight="16" x14ac:dyDescent="0.4"/>
  <cols>
    <col min="2" max="2" width="13.58203125" customWidth="1"/>
    <col min="3" max="3" width="15.1640625" customWidth="1"/>
    <col min="4" max="4" width="17.58203125" customWidth="1"/>
    <col min="5" max="6" width="15.08203125" customWidth="1"/>
    <col min="7" max="7" width="17.75" customWidth="1"/>
    <col min="8" max="8" width="14.75" customWidth="1"/>
    <col min="9" max="9" width="16.08203125" customWidth="1"/>
    <col min="10" max="10" width="14.4140625" customWidth="1"/>
    <col min="11" max="11" width="17.6640625" customWidth="1"/>
  </cols>
  <sheetData>
    <row r="1" spans="1:11" s="23" customFormat="1" ht="64" x14ac:dyDescent="0.4">
      <c r="A1" s="23" t="s">
        <v>36</v>
      </c>
      <c r="B1" s="23" t="e" vm="1">
        <v>#VALUE!</v>
      </c>
      <c r="C1" s="23" t="e" vm="2">
        <v>#VALUE!</v>
      </c>
      <c r="D1" s="23" t="e" vm="3">
        <v>#VALUE!</v>
      </c>
      <c r="E1" s="23" t="e" vm="4">
        <v>#VALUE!</v>
      </c>
      <c r="F1" s="23" t="e" vm="5">
        <v>#VALUE!</v>
      </c>
      <c r="G1" s="23" t="e" vm="6">
        <v>#VALUE!</v>
      </c>
      <c r="H1" s="23" t="e" vm="7">
        <v>#VALUE!</v>
      </c>
      <c r="I1" s="23" t="e" vm="8">
        <v>#VALUE!</v>
      </c>
      <c r="J1" s="23" t="e" vm="12">
        <v>#VALUE!</v>
      </c>
      <c r="K1" s="23" t="e" vm="14">
        <v>#VALUE!</v>
      </c>
    </row>
    <row r="2" spans="1:11" x14ac:dyDescent="0.4">
      <c r="A2" s="22" t="str" cm="1">
        <f t="array" aca="1" ref="A2:B251" ca="1">_xlfn.STOCKHISTORY("AAPL", TODAY()-365, TODAY(), 0, 1)</f>
        <v>Date</v>
      </c>
      <c r="B2" t="str">
        <f ca="1"/>
        <v>Close</v>
      </c>
      <c r="C2" t="str" cm="1">
        <f t="array" aca="1" ref="C2:C251" ca="1">INDEX(_xlfn.STOCKHISTORY("NVDA", TODAY()-365, TODAY(), 0, 1), , 2)</f>
        <v>Close</v>
      </c>
      <c r="D2" t="str" cm="1">
        <f t="array" aca="1" ref="D2:D251" ca="1">INDEX(_xlfn.STOCKHISTORY("MSFT", TODAY()-365, TODAY(), 0, 1), , 2)</f>
        <v>Close</v>
      </c>
      <c r="E2" t="str" cm="1">
        <f t="array" aca="1" ref="E2:E251" ca="1">INDEX(_xlfn.STOCKHISTORY("meta", TODAY()-365, TODAY(), 0, 1), , 2)</f>
        <v>Close</v>
      </c>
      <c r="F2" t="str" cm="1">
        <f t="array" aca="1" ref="F2:F251" ca="1">INDEX(_xlfn.STOCKHISTORY("GOOGL", TODAY()-365, TODAY(), 0, 1), , 2)</f>
        <v>Close</v>
      </c>
      <c r="G2" t="str" cm="1">
        <f t="array" aca="1" ref="G2:G251" ca="1">INDEX(_xlfn.STOCKHISTORY("SPY", TODAY()-365, TODAY(), 0, 1), , 2)</f>
        <v>Close</v>
      </c>
      <c r="H2" t="e" cm="1" vm="16">
        <f t="array" aca="1" ref="H2" ca="1">INDEX(_xlfn.STOCKHISTORY(Market_Data!A7, TODAY()-365, TODAY(), 0, 1), , 2)</f>
        <v>#VALUE!</v>
      </c>
      <c r="I2" t="str" cm="1">
        <f t="array" aca="1" ref="I2:I251" ca="1">INDEX(_xlfn.STOCKHISTORY("GLD", TODAY()-365, TODAY(), 0, 1), , 2)</f>
        <v>Close</v>
      </c>
      <c r="J2" t="str" cm="1">
        <f t="array" aca="1" ref="J2:J251" ca="1">INDEX(_xlfn.STOCKHISTORY("USO", TODAY()-365, TODAY(), 0, 1), , 2)</f>
        <v>Close</v>
      </c>
      <c r="K2" t="str" cm="1">
        <f t="array" aca="1" ref="K2:K251" ca="1">INDEX(_xlfn.STOCKHISTORY("IEF", TODAY()-365, TODAY(), 0, 1), , 2)</f>
        <v>Close</v>
      </c>
    </row>
    <row r="3" spans="1:11" x14ac:dyDescent="0.4">
      <c r="A3" vm="17">
        <f ca="1"/>
        <v>45566</v>
      </c>
      <c r="B3" vm="18">
        <f ca="1"/>
        <v>226.21</v>
      </c>
      <c r="C3" vm="19">
        <f ca="1"/>
        <v>117</v>
      </c>
      <c r="D3" vm="20">
        <f ca="1"/>
        <v>420.69</v>
      </c>
      <c r="E3" vm="21">
        <f ca="1"/>
        <v>576.47</v>
      </c>
      <c r="F3" vm="22">
        <f ca="1"/>
        <v>166.99</v>
      </c>
      <c r="G3" vm="23">
        <f ca="1"/>
        <v>568.62</v>
      </c>
      <c r="I3" vm="24">
        <f ca="1"/>
        <v>245.61</v>
      </c>
      <c r="J3" vm="25">
        <f ca="1"/>
        <v>72.11</v>
      </c>
      <c r="K3" vm="26">
        <f ca="1"/>
        <v>98.19</v>
      </c>
    </row>
    <row r="4" spans="1:11" x14ac:dyDescent="0.4">
      <c r="A4" vm="27">
        <f ca="1"/>
        <v>45567</v>
      </c>
      <c r="B4" vm="28">
        <f ca="1"/>
        <v>226.78</v>
      </c>
      <c r="C4" vm="29">
        <f ca="1"/>
        <v>118.85</v>
      </c>
      <c r="D4" vm="30">
        <f ca="1"/>
        <v>417.13</v>
      </c>
      <c r="E4" vm="31">
        <f ca="1"/>
        <v>572.80999999999995</v>
      </c>
      <c r="F4" vm="32">
        <f ca="1"/>
        <v>165.86</v>
      </c>
      <c r="G4" vm="33">
        <f ca="1"/>
        <v>568.86</v>
      </c>
      <c r="I4" vm="34">
        <f ca="1"/>
        <v>245.66</v>
      </c>
      <c r="J4" vm="35">
        <f ca="1"/>
        <v>72.760000000000005</v>
      </c>
      <c r="K4" vm="36">
        <f ca="1"/>
        <v>97.91</v>
      </c>
    </row>
    <row r="5" spans="1:11" x14ac:dyDescent="0.4">
      <c r="A5" vm="37">
        <f ca="1"/>
        <v>45568</v>
      </c>
      <c r="B5" vm="38">
        <f ca="1"/>
        <v>225.67</v>
      </c>
      <c r="C5" vm="39">
        <f ca="1"/>
        <v>122.85</v>
      </c>
      <c r="D5" vm="40">
        <f ca="1"/>
        <v>416.54</v>
      </c>
      <c r="E5" vm="41">
        <f ca="1"/>
        <v>582.77</v>
      </c>
      <c r="F5" vm="32">
        <f ca="1"/>
        <v>165.86</v>
      </c>
      <c r="G5" vm="42">
        <f ca="1"/>
        <v>567.82000000000005</v>
      </c>
      <c r="I5" vm="43">
        <f ca="1"/>
        <v>245.49</v>
      </c>
      <c r="J5" vm="44">
        <f ca="1"/>
        <v>75.73</v>
      </c>
      <c r="K5" vm="45">
        <f ca="1"/>
        <v>97.41</v>
      </c>
    </row>
    <row r="6" spans="1:11" x14ac:dyDescent="0.4">
      <c r="A6" vm="46">
        <f ca="1"/>
        <v>45569</v>
      </c>
      <c r="B6" vm="47">
        <f ca="1"/>
        <v>226.8</v>
      </c>
      <c r="C6" vm="48">
        <f ca="1"/>
        <v>124.92</v>
      </c>
      <c r="D6" vm="49">
        <f ca="1"/>
        <v>416.06</v>
      </c>
      <c r="E6" vm="50">
        <f ca="1"/>
        <v>595.94000000000005</v>
      </c>
      <c r="F6" vm="51">
        <f ca="1"/>
        <v>167.06</v>
      </c>
      <c r="G6" vm="52">
        <f ca="1"/>
        <v>572.98</v>
      </c>
      <c r="I6" vm="53">
        <f ca="1"/>
        <v>245</v>
      </c>
      <c r="J6" vm="54">
        <f ca="1"/>
        <v>76.349999999999994</v>
      </c>
      <c r="K6" vm="55">
        <f ca="1"/>
        <v>96.47</v>
      </c>
    </row>
    <row r="7" spans="1:11" x14ac:dyDescent="0.4">
      <c r="A7" vm="56">
        <f ca="1"/>
        <v>45572</v>
      </c>
      <c r="B7" vm="57">
        <f ca="1"/>
        <v>221.69</v>
      </c>
      <c r="C7" vm="58">
        <f ca="1"/>
        <v>127.72</v>
      </c>
      <c r="D7" vm="59">
        <f ca="1"/>
        <v>409.54</v>
      </c>
      <c r="E7" vm="60">
        <f ca="1"/>
        <v>584.78</v>
      </c>
      <c r="F7" vm="61">
        <f ca="1"/>
        <v>162.97999999999999</v>
      </c>
      <c r="G7" vm="62">
        <f ca="1"/>
        <v>567.79999999999995</v>
      </c>
      <c r="I7" vm="63">
        <f ca="1"/>
        <v>244.17</v>
      </c>
      <c r="J7" vm="64">
        <f ca="1"/>
        <v>79.2</v>
      </c>
      <c r="K7" vm="65">
        <f ca="1"/>
        <v>96.12</v>
      </c>
    </row>
    <row r="8" spans="1:11" x14ac:dyDescent="0.4">
      <c r="A8" vm="66">
        <f ca="1"/>
        <v>45573</v>
      </c>
      <c r="B8" vm="67">
        <f ca="1"/>
        <v>225.77</v>
      </c>
      <c r="C8" vm="68">
        <f ca="1"/>
        <v>132.88999999999999</v>
      </c>
      <c r="D8" vm="69">
        <f ca="1"/>
        <v>414.71</v>
      </c>
      <c r="E8" vm="70">
        <f ca="1"/>
        <v>592.89</v>
      </c>
      <c r="F8" vm="71">
        <f ca="1"/>
        <v>164.38</v>
      </c>
      <c r="G8" vm="72">
        <f ca="1"/>
        <v>573.16999999999996</v>
      </c>
      <c r="I8" vm="73">
        <f ca="1"/>
        <v>242.37</v>
      </c>
      <c r="J8" vm="74">
        <f ca="1"/>
        <v>75.790000000000006</v>
      </c>
      <c r="K8" vm="75">
        <f ca="1"/>
        <v>96.2</v>
      </c>
    </row>
    <row r="9" spans="1:11" x14ac:dyDescent="0.4">
      <c r="A9" vm="76">
        <f ca="1"/>
        <v>45574</v>
      </c>
      <c r="B9" vm="77">
        <f ca="1"/>
        <v>229.54</v>
      </c>
      <c r="C9" vm="78">
        <f ca="1"/>
        <v>132.65</v>
      </c>
      <c r="D9" vm="79">
        <f ca="1"/>
        <v>417.46</v>
      </c>
      <c r="E9" vm="80">
        <f ca="1"/>
        <v>590.51</v>
      </c>
      <c r="F9" vm="81">
        <f ca="1"/>
        <v>161.86000000000001</v>
      </c>
      <c r="G9" vm="82">
        <f ca="1"/>
        <v>577.14</v>
      </c>
      <c r="I9" vm="83">
        <f ca="1"/>
        <v>241.05</v>
      </c>
      <c r="J9" vm="84">
        <f ca="1"/>
        <v>75.25</v>
      </c>
      <c r="K9" vm="85">
        <f ca="1"/>
        <v>95.84</v>
      </c>
    </row>
    <row r="10" spans="1:11" x14ac:dyDescent="0.4">
      <c r="A10" vm="86">
        <f ca="1"/>
        <v>45575</v>
      </c>
      <c r="B10" vm="87">
        <f ca="1"/>
        <v>229.04</v>
      </c>
      <c r="C10" vm="88">
        <f ca="1"/>
        <v>134.81</v>
      </c>
      <c r="D10" vm="89">
        <f ca="1"/>
        <v>415.84</v>
      </c>
      <c r="E10" vm="90">
        <f ca="1"/>
        <v>583.83000000000004</v>
      </c>
      <c r="F10" vm="91">
        <f ca="1"/>
        <v>162.08000000000001</v>
      </c>
      <c r="G10" vm="92">
        <f ca="1"/>
        <v>576.13</v>
      </c>
      <c r="I10" vm="93">
        <f ca="1"/>
        <v>242.82</v>
      </c>
      <c r="J10" vm="94">
        <f ca="1"/>
        <v>77.77</v>
      </c>
      <c r="K10" vm="95">
        <f ca="1"/>
        <v>95.83</v>
      </c>
    </row>
    <row r="11" spans="1:11" x14ac:dyDescent="0.4">
      <c r="A11" vm="96">
        <f ca="1"/>
        <v>45576</v>
      </c>
      <c r="B11" vm="97">
        <f ca="1"/>
        <v>227.55</v>
      </c>
      <c r="C11" vm="98">
        <f ca="1"/>
        <v>134.80000000000001</v>
      </c>
      <c r="D11" vm="99">
        <f ca="1"/>
        <v>416.32</v>
      </c>
      <c r="E11" vm="100">
        <f ca="1"/>
        <v>589.95000000000005</v>
      </c>
      <c r="F11" vm="101">
        <f ca="1"/>
        <v>163.24</v>
      </c>
      <c r="G11" vm="102">
        <f ca="1"/>
        <v>579.58000000000004</v>
      </c>
      <c r="I11" vm="103">
        <f ca="1"/>
        <v>245.47</v>
      </c>
      <c r="J11" vm="104">
        <f ca="1"/>
        <v>77.489999999999995</v>
      </c>
      <c r="K11" vm="105">
        <f ca="1"/>
        <v>95.86</v>
      </c>
    </row>
    <row r="12" spans="1:11" x14ac:dyDescent="0.4">
      <c r="A12" vm="106">
        <f ca="1"/>
        <v>45579</v>
      </c>
      <c r="B12" vm="107">
        <f ca="1"/>
        <v>231.3</v>
      </c>
      <c r="C12" vm="108">
        <f ca="1"/>
        <v>138.07</v>
      </c>
      <c r="D12" vm="109">
        <f ca="1"/>
        <v>419.14</v>
      </c>
      <c r="E12" vm="110">
        <f ca="1"/>
        <v>590.41999999999996</v>
      </c>
      <c r="F12" vm="111">
        <f ca="1"/>
        <v>164.96</v>
      </c>
      <c r="G12" vm="112">
        <f ca="1"/>
        <v>584.32000000000005</v>
      </c>
      <c r="I12" vm="113">
        <f ca="1"/>
        <v>245.07</v>
      </c>
      <c r="J12" vm="114">
        <f ca="1"/>
        <v>75.930000000000007</v>
      </c>
      <c r="K12" vm="115">
        <f ca="1"/>
        <v>95.69</v>
      </c>
    </row>
    <row r="13" spans="1:11" x14ac:dyDescent="0.4">
      <c r="A13" vm="116">
        <f ca="1"/>
        <v>45580</v>
      </c>
      <c r="B13" vm="117">
        <f ca="1"/>
        <v>233.85</v>
      </c>
      <c r="C13" vm="118">
        <f ca="1"/>
        <v>131.6</v>
      </c>
      <c r="D13" vm="119">
        <f ca="1"/>
        <v>418.74</v>
      </c>
      <c r="E13" vm="120">
        <f ca="1"/>
        <v>586.27</v>
      </c>
      <c r="F13" vm="121">
        <f ca="1"/>
        <v>165.46</v>
      </c>
      <c r="G13" vm="122">
        <f ca="1"/>
        <v>579.78</v>
      </c>
      <c r="I13" vm="123">
        <f ca="1"/>
        <v>245.92</v>
      </c>
      <c r="J13" vm="35">
        <f ca="1"/>
        <v>72.760000000000005</v>
      </c>
      <c r="K13" vm="124">
        <f ca="1"/>
        <v>96.18</v>
      </c>
    </row>
    <row r="14" spans="1:11" x14ac:dyDescent="0.4">
      <c r="A14" vm="125">
        <f ca="1"/>
        <v>45581</v>
      </c>
      <c r="B14" vm="126">
        <f ca="1"/>
        <v>231.78</v>
      </c>
      <c r="C14" vm="127">
        <f ca="1"/>
        <v>135.72</v>
      </c>
      <c r="D14" vm="128">
        <f ca="1"/>
        <v>416.12</v>
      </c>
      <c r="E14" vm="129">
        <f ca="1"/>
        <v>576.79</v>
      </c>
      <c r="F14" vm="130">
        <f ca="1"/>
        <v>165.16</v>
      </c>
      <c r="G14" vm="131">
        <f ca="1"/>
        <v>582.29999999999995</v>
      </c>
      <c r="I14" vm="132">
        <f ca="1"/>
        <v>247.15</v>
      </c>
      <c r="J14" vm="133">
        <f ca="1"/>
        <v>72.400000000000006</v>
      </c>
      <c r="K14" vm="134">
        <f ca="1"/>
        <v>96.33</v>
      </c>
    </row>
    <row r="15" spans="1:11" x14ac:dyDescent="0.4">
      <c r="A15" vm="135">
        <f ca="1"/>
        <v>45582</v>
      </c>
      <c r="B15" vm="136">
        <f ca="1"/>
        <v>232.15</v>
      </c>
      <c r="C15" vm="137">
        <f ca="1"/>
        <v>136.93</v>
      </c>
      <c r="D15" vm="138">
        <f ca="1"/>
        <v>416.72</v>
      </c>
      <c r="E15" vm="139">
        <f ca="1"/>
        <v>576.92999999999995</v>
      </c>
      <c r="F15" vm="140">
        <f ca="1"/>
        <v>162.93</v>
      </c>
      <c r="G15" vm="141">
        <f ca="1"/>
        <v>582.35</v>
      </c>
      <c r="I15" vm="142">
        <f ca="1"/>
        <v>248.63</v>
      </c>
      <c r="J15" vm="143">
        <f ca="1"/>
        <v>72.62</v>
      </c>
      <c r="K15" vm="95">
        <f ca="1"/>
        <v>95.83</v>
      </c>
    </row>
    <row r="16" spans="1:11" x14ac:dyDescent="0.4">
      <c r="A16" vm="144">
        <f ca="1"/>
        <v>45583</v>
      </c>
      <c r="B16" vm="145">
        <f ca="1"/>
        <v>235</v>
      </c>
      <c r="C16" vm="146">
        <f ca="1"/>
        <v>138</v>
      </c>
      <c r="D16" vm="147">
        <f ca="1"/>
        <v>418.16</v>
      </c>
      <c r="E16" vm="21">
        <f ca="1"/>
        <v>576.47</v>
      </c>
      <c r="F16" vm="148">
        <f ca="1"/>
        <v>163.41999999999999</v>
      </c>
      <c r="G16" vm="149">
        <f ca="1"/>
        <v>584.59</v>
      </c>
      <c r="I16" vm="150">
        <f ca="1"/>
        <v>251.27</v>
      </c>
      <c r="J16" vm="151">
        <f ca="1"/>
        <v>71.38</v>
      </c>
      <c r="K16" vm="152">
        <f ca="1"/>
        <v>95.94</v>
      </c>
    </row>
    <row r="17" spans="1:11" x14ac:dyDescent="0.4">
      <c r="A17" vm="153">
        <f ca="1"/>
        <v>45586</v>
      </c>
      <c r="B17" vm="154">
        <f ca="1"/>
        <v>236.48</v>
      </c>
      <c r="C17" vm="155">
        <f ca="1"/>
        <v>143.71</v>
      </c>
      <c r="D17" vm="156">
        <f ca="1"/>
        <v>418.78</v>
      </c>
      <c r="E17" vm="157">
        <f ca="1"/>
        <v>575.16</v>
      </c>
      <c r="F17" vm="158">
        <f ca="1"/>
        <v>164.07</v>
      </c>
      <c r="G17" vm="159">
        <f ca="1"/>
        <v>583.63</v>
      </c>
      <c r="I17" vm="160">
        <f ca="1"/>
        <v>251.22</v>
      </c>
      <c r="J17" vm="161">
        <f ca="1"/>
        <v>72.260000000000005</v>
      </c>
      <c r="K17" vm="162">
        <f ca="1"/>
        <v>95.2</v>
      </c>
    </row>
    <row r="18" spans="1:11" x14ac:dyDescent="0.4">
      <c r="A18" vm="163">
        <f ca="1"/>
        <v>45587</v>
      </c>
      <c r="B18" vm="164">
        <f ca="1"/>
        <v>235.86</v>
      </c>
      <c r="C18" vm="165">
        <f ca="1"/>
        <v>143.59</v>
      </c>
      <c r="D18" vm="166">
        <f ca="1"/>
        <v>427.51</v>
      </c>
      <c r="E18" vm="167">
        <f ca="1"/>
        <v>582.01</v>
      </c>
      <c r="F18" vm="168">
        <f ca="1"/>
        <v>165.14</v>
      </c>
      <c r="G18" vm="169">
        <f ca="1"/>
        <v>583.32000000000005</v>
      </c>
      <c r="I18" vm="170">
        <f ca="1"/>
        <v>253.93</v>
      </c>
      <c r="J18" vm="171">
        <f ca="1"/>
        <v>73.98</v>
      </c>
      <c r="K18" vm="172">
        <f ca="1"/>
        <v>95.11</v>
      </c>
    </row>
    <row r="19" spans="1:11" x14ac:dyDescent="0.4">
      <c r="A19" vm="173">
        <f ca="1"/>
        <v>45588</v>
      </c>
      <c r="B19" vm="174">
        <f ca="1"/>
        <v>230.76</v>
      </c>
      <c r="C19" vm="175">
        <f ca="1"/>
        <v>139.56</v>
      </c>
      <c r="D19" vm="176">
        <f ca="1"/>
        <v>424.6</v>
      </c>
      <c r="E19" vm="177">
        <f ca="1"/>
        <v>563.69000000000005</v>
      </c>
      <c r="F19" vm="178">
        <f ca="1"/>
        <v>162.78</v>
      </c>
      <c r="G19" vm="179">
        <f ca="1"/>
        <v>577.99</v>
      </c>
      <c r="I19" vm="180">
        <f ca="1"/>
        <v>250.87</v>
      </c>
      <c r="J19" vm="181">
        <f ca="1"/>
        <v>73.55</v>
      </c>
      <c r="K19" vm="182">
        <f ca="1"/>
        <v>94.89</v>
      </c>
    </row>
    <row r="20" spans="1:11" x14ac:dyDescent="0.4">
      <c r="A20" vm="183">
        <f ca="1"/>
        <v>45589</v>
      </c>
      <c r="B20" vm="184">
        <f ca="1"/>
        <v>230.57</v>
      </c>
      <c r="C20" vm="185">
        <f ca="1"/>
        <v>140.41</v>
      </c>
      <c r="D20" vm="186">
        <f ca="1"/>
        <v>424.73</v>
      </c>
      <c r="E20" vm="187">
        <f ca="1"/>
        <v>567.78</v>
      </c>
      <c r="F20" vm="188">
        <f ca="1"/>
        <v>162.72</v>
      </c>
      <c r="G20" vm="189">
        <f ca="1"/>
        <v>579.24</v>
      </c>
      <c r="I20" vm="190">
        <f ca="1"/>
        <v>252.8</v>
      </c>
      <c r="J20" vm="191">
        <f ca="1"/>
        <v>73.06</v>
      </c>
      <c r="K20" vm="192">
        <f ca="1"/>
        <v>95.1</v>
      </c>
    </row>
    <row r="21" spans="1:11" x14ac:dyDescent="0.4">
      <c r="A21" vm="193">
        <f ca="1"/>
        <v>45590</v>
      </c>
      <c r="B21" vm="194">
        <f ca="1"/>
        <v>231.41</v>
      </c>
      <c r="C21" vm="195">
        <f ca="1"/>
        <v>141.54</v>
      </c>
      <c r="D21" vm="196">
        <f ca="1"/>
        <v>428.15</v>
      </c>
      <c r="E21" vm="197">
        <f ca="1"/>
        <v>573.25</v>
      </c>
      <c r="F21" vm="198">
        <f ca="1"/>
        <v>165.27</v>
      </c>
      <c r="G21" vm="199">
        <f ca="1"/>
        <v>579.04</v>
      </c>
      <c r="I21" vm="200">
        <f ca="1"/>
        <v>253.32</v>
      </c>
      <c r="J21" vm="201">
        <f ca="1"/>
        <v>74.23</v>
      </c>
      <c r="K21" vm="182">
        <f ca="1"/>
        <v>94.89</v>
      </c>
    </row>
    <row r="22" spans="1:11" x14ac:dyDescent="0.4">
      <c r="A22" vm="202">
        <f ca="1"/>
        <v>45593</v>
      </c>
      <c r="B22" vm="203">
        <f ca="1"/>
        <v>233.4</v>
      </c>
      <c r="C22" vm="204">
        <f ca="1"/>
        <v>140.52000000000001</v>
      </c>
      <c r="D22" vm="205">
        <f ca="1"/>
        <v>426.59</v>
      </c>
      <c r="E22" vm="206">
        <f ca="1"/>
        <v>578.16</v>
      </c>
      <c r="F22" vm="207">
        <f ca="1"/>
        <v>166.72</v>
      </c>
      <c r="G22" vm="208">
        <f ca="1"/>
        <v>580.83000000000004</v>
      </c>
      <c r="I22" vm="209">
        <f ca="1"/>
        <v>253.33</v>
      </c>
      <c r="J22" vm="210">
        <f ca="1"/>
        <v>70.430000000000007</v>
      </c>
      <c r="K22" vm="211">
        <f ca="1"/>
        <v>94.67</v>
      </c>
    </row>
    <row r="23" spans="1:11" x14ac:dyDescent="0.4">
      <c r="A23" vm="212">
        <f ca="1"/>
        <v>45594</v>
      </c>
      <c r="B23" vm="213">
        <f ca="1"/>
        <v>233.67</v>
      </c>
      <c r="C23" vm="214">
        <f ca="1"/>
        <v>141.25</v>
      </c>
      <c r="D23" vm="215">
        <f ca="1"/>
        <v>431.95</v>
      </c>
      <c r="E23" vm="216">
        <f ca="1"/>
        <v>593.28</v>
      </c>
      <c r="F23" vm="217">
        <f ca="1"/>
        <v>169.68</v>
      </c>
      <c r="G23" vm="218">
        <f ca="1"/>
        <v>581.77</v>
      </c>
      <c r="I23" vm="219">
        <f ca="1"/>
        <v>256.08999999999997</v>
      </c>
      <c r="J23" vm="220">
        <f ca="1"/>
        <v>69.66</v>
      </c>
      <c r="K23" vm="221">
        <f ca="1"/>
        <v>94.71</v>
      </c>
    </row>
    <row r="24" spans="1:11" x14ac:dyDescent="0.4">
      <c r="A24" vm="222">
        <f ca="1"/>
        <v>45595</v>
      </c>
      <c r="B24" vm="223">
        <f ca="1"/>
        <v>230.1</v>
      </c>
      <c r="C24" vm="224">
        <f ca="1"/>
        <v>139.33500000000001</v>
      </c>
      <c r="D24" vm="225">
        <f ca="1"/>
        <v>432.53</v>
      </c>
      <c r="E24" vm="226">
        <f ca="1"/>
        <v>591.79999999999995</v>
      </c>
      <c r="F24" vm="227">
        <f ca="1"/>
        <v>174.46</v>
      </c>
      <c r="G24" vm="228">
        <f ca="1"/>
        <v>580.01</v>
      </c>
      <c r="I24" vm="229">
        <f ca="1"/>
        <v>257.5</v>
      </c>
      <c r="J24" vm="230">
        <f ca="1"/>
        <v>71.36</v>
      </c>
      <c r="K24" vm="231">
        <f ca="1"/>
        <v>94.57</v>
      </c>
    </row>
    <row r="25" spans="1:11" x14ac:dyDescent="0.4">
      <c r="A25" vm="232">
        <f ca="1"/>
        <v>45596</v>
      </c>
      <c r="B25" vm="233">
        <f ca="1"/>
        <v>225.91</v>
      </c>
      <c r="C25" vm="234">
        <f ca="1"/>
        <v>132.76</v>
      </c>
      <c r="D25" vm="235">
        <f ca="1"/>
        <v>406.35</v>
      </c>
      <c r="E25" vm="236">
        <f ca="1"/>
        <v>567.58000000000004</v>
      </c>
      <c r="F25" vm="237">
        <f ca="1"/>
        <v>171.11</v>
      </c>
      <c r="G25" vm="238">
        <f ca="1"/>
        <v>568.64</v>
      </c>
      <c r="I25" vm="239">
        <f ca="1"/>
        <v>253.51</v>
      </c>
      <c r="J25" vm="240">
        <f ca="1"/>
        <v>73.08</v>
      </c>
      <c r="K25" vm="241">
        <f ca="1"/>
        <v>94.52</v>
      </c>
    </row>
    <row r="26" spans="1:11" x14ac:dyDescent="0.4">
      <c r="A26" vm="242">
        <f ca="1"/>
        <v>45597</v>
      </c>
      <c r="B26" vm="243">
        <f ca="1"/>
        <v>222.91</v>
      </c>
      <c r="C26" vm="244">
        <f ca="1"/>
        <v>135.4</v>
      </c>
      <c r="D26" vm="245">
        <f ca="1"/>
        <v>410.37</v>
      </c>
      <c r="E26" vm="246">
        <f ca="1"/>
        <v>567.16</v>
      </c>
      <c r="F26" vm="247">
        <f ca="1"/>
        <v>171.29</v>
      </c>
      <c r="G26" vm="248">
        <f ca="1"/>
        <v>571.04</v>
      </c>
      <c r="I26" vm="249">
        <f ca="1"/>
        <v>252.47</v>
      </c>
      <c r="J26" vm="250">
        <f ca="1"/>
        <v>72.02</v>
      </c>
      <c r="K26" vm="251">
        <f ca="1"/>
        <v>93.67</v>
      </c>
    </row>
    <row r="27" spans="1:11" x14ac:dyDescent="0.4">
      <c r="A27" vm="252">
        <f ca="1"/>
        <v>45600</v>
      </c>
      <c r="B27" vm="253">
        <f ca="1"/>
        <v>222.01</v>
      </c>
      <c r="C27" vm="254">
        <f ca="1"/>
        <v>136.05000000000001</v>
      </c>
      <c r="D27" vm="255">
        <f ca="1"/>
        <v>408.46</v>
      </c>
      <c r="E27" vm="256">
        <f ca="1"/>
        <v>560.67999999999995</v>
      </c>
      <c r="F27" vm="257">
        <f ca="1"/>
        <v>169.24</v>
      </c>
      <c r="G27" vm="258">
        <f ca="1"/>
        <v>569.80999999999995</v>
      </c>
      <c r="I27" vm="259">
        <f ca="1"/>
        <v>252.83</v>
      </c>
      <c r="J27" vm="260">
        <f ca="1"/>
        <v>74.290000000000006</v>
      </c>
      <c r="K27" vm="261">
        <f ca="1"/>
        <v>94.17</v>
      </c>
    </row>
    <row r="28" spans="1:11" x14ac:dyDescent="0.4">
      <c r="A28" vm="262">
        <f ca="1"/>
        <v>45601</v>
      </c>
      <c r="B28" vm="263">
        <f ca="1"/>
        <v>223.45</v>
      </c>
      <c r="C28" vm="264">
        <f ca="1"/>
        <v>139.91</v>
      </c>
      <c r="D28" vm="265">
        <f ca="1"/>
        <v>411.46</v>
      </c>
      <c r="E28" vm="266">
        <f ca="1"/>
        <v>572.42999999999995</v>
      </c>
      <c r="F28" vm="267">
        <f ca="1"/>
        <v>169.74</v>
      </c>
      <c r="G28" vm="268">
        <f ca="1"/>
        <v>576.70000000000005</v>
      </c>
      <c r="I28" vm="269">
        <f ca="1"/>
        <v>253.4</v>
      </c>
      <c r="J28" vm="270">
        <f ca="1"/>
        <v>74.73</v>
      </c>
      <c r="K28" vm="271">
        <f ca="1"/>
        <v>94.22</v>
      </c>
    </row>
    <row r="29" spans="1:11" x14ac:dyDescent="0.4">
      <c r="A29" vm="272">
        <f ca="1"/>
        <v>45602</v>
      </c>
      <c r="B29" vm="273">
        <f ca="1"/>
        <v>222.72</v>
      </c>
      <c r="C29" vm="274">
        <f ca="1"/>
        <v>145.61000000000001</v>
      </c>
      <c r="D29" vm="275">
        <f ca="1"/>
        <v>420.18</v>
      </c>
      <c r="E29" vm="276">
        <f ca="1"/>
        <v>572.04999999999995</v>
      </c>
      <c r="F29" vm="277">
        <f ca="1"/>
        <v>176.51</v>
      </c>
      <c r="G29" vm="278">
        <f ca="1"/>
        <v>591.04</v>
      </c>
      <c r="I29" vm="279">
        <f ca="1"/>
        <v>245.7</v>
      </c>
      <c r="J29" vm="280">
        <f ca="1"/>
        <v>74.540000000000006</v>
      </c>
      <c r="K29" vm="281">
        <f ca="1"/>
        <v>93.25</v>
      </c>
    </row>
    <row r="30" spans="1:11" x14ac:dyDescent="0.4">
      <c r="A30" vm="282">
        <f ca="1"/>
        <v>45603</v>
      </c>
      <c r="B30" vm="283">
        <f ca="1"/>
        <v>227.48</v>
      </c>
      <c r="C30" vm="284">
        <f ca="1"/>
        <v>148.88</v>
      </c>
      <c r="D30" vm="285">
        <f ca="1"/>
        <v>425.43</v>
      </c>
      <c r="E30" vm="286">
        <f ca="1"/>
        <v>591.70000000000005</v>
      </c>
      <c r="F30" vm="287">
        <f ca="1"/>
        <v>180.75</v>
      </c>
      <c r="G30" vm="288">
        <f ca="1"/>
        <v>595.61</v>
      </c>
      <c r="I30" vm="289">
        <f ca="1"/>
        <v>249.65</v>
      </c>
      <c r="J30" vm="290">
        <f ca="1"/>
        <v>74.66</v>
      </c>
      <c r="K30" vm="291">
        <f ca="1"/>
        <v>94</v>
      </c>
    </row>
    <row r="31" spans="1:11" x14ac:dyDescent="0.4">
      <c r="A31" vm="292">
        <f ca="1"/>
        <v>45604</v>
      </c>
      <c r="B31" vm="293">
        <f ca="1"/>
        <v>226.96</v>
      </c>
      <c r="C31" vm="294">
        <f ca="1"/>
        <v>147.63</v>
      </c>
      <c r="D31" vm="295">
        <f ca="1"/>
        <v>422.54</v>
      </c>
      <c r="E31" vm="296">
        <f ca="1"/>
        <v>589.34</v>
      </c>
      <c r="F31" vm="297">
        <f ca="1"/>
        <v>178.35</v>
      </c>
      <c r="G31" vm="298">
        <f ca="1"/>
        <v>598.19000000000005</v>
      </c>
      <c r="I31" vm="299">
        <f ca="1"/>
        <v>247.96</v>
      </c>
      <c r="J31" vm="300">
        <f ca="1"/>
        <v>73.13</v>
      </c>
      <c r="K31" vm="301">
        <f ca="1"/>
        <v>94.2</v>
      </c>
    </row>
    <row r="32" spans="1:11" x14ac:dyDescent="0.4">
      <c r="A32" vm="302">
        <f ca="1"/>
        <v>45607</v>
      </c>
      <c r="B32" vm="303">
        <f ca="1"/>
        <v>224.23</v>
      </c>
      <c r="C32" vm="304">
        <f ca="1"/>
        <v>145.26</v>
      </c>
      <c r="D32" vm="305">
        <f ca="1"/>
        <v>418.01</v>
      </c>
      <c r="E32" vm="306">
        <f ca="1"/>
        <v>583.16999999999996</v>
      </c>
      <c r="F32" vm="307">
        <f ca="1"/>
        <v>180.35</v>
      </c>
      <c r="G32" vm="308">
        <f ca="1"/>
        <v>598.76</v>
      </c>
      <c r="I32" vm="309">
        <f ca="1"/>
        <v>242.14</v>
      </c>
      <c r="J32" vm="310">
        <f ca="1"/>
        <v>70.94</v>
      </c>
      <c r="K32" vm="311">
        <f ca="1"/>
        <v>93.94</v>
      </c>
    </row>
    <row r="33" spans="1:11" x14ac:dyDescent="0.4">
      <c r="A33" vm="312">
        <f ca="1"/>
        <v>45608</v>
      </c>
      <c r="B33" vm="303">
        <f ca="1"/>
        <v>224.23</v>
      </c>
      <c r="C33" vm="313">
        <f ca="1"/>
        <v>148.29</v>
      </c>
      <c r="D33" vm="314">
        <f ca="1"/>
        <v>423.03</v>
      </c>
      <c r="E33" vm="315">
        <f ca="1"/>
        <v>584.82000000000005</v>
      </c>
      <c r="F33" vm="316">
        <f ca="1"/>
        <v>181.62</v>
      </c>
      <c r="G33" vm="317">
        <f ca="1"/>
        <v>596.9</v>
      </c>
      <c r="I33" vm="318">
        <f ca="1"/>
        <v>240.05</v>
      </c>
      <c r="J33" vm="319">
        <f ca="1"/>
        <v>70.69</v>
      </c>
      <c r="K33" vm="320">
        <f ca="1"/>
        <v>93.35</v>
      </c>
    </row>
    <row r="34" spans="1:11" x14ac:dyDescent="0.4">
      <c r="A34" vm="321">
        <f ca="1"/>
        <v>45609</v>
      </c>
      <c r="B34" vm="322">
        <f ca="1"/>
        <v>225.12</v>
      </c>
      <c r="C34" vm="323">
        <f ca="1"/>
        <v>146.27000000000001</v>
      </c>
      <c r="D34" vm="324">
        <f ca="1"/>
        <v>425.2</v>
      </c>
      <c r="E34" vm="325">
        <f ca="1"/>
        <v>580</v>
      </c>
      <c r="F34" vm="326">
        <f ca="1"/>
        <v>178.88</v>
      </c>
      <c r="G34" vm="327">
        <f ca="1"/>
        <v>597.19000000000005</v>
      </c>
      <c r="I34" vm="328">
        <f ca="1"/>
        <v>237.63</v>
      </c>
      <c r="J34" vm="329">
        <f ca="1"/>
        <v>70.73</v>
      </c>
      <c r="K34" vm="330">
        <f ca="1"/>
        <v>93.29</v>
      </c>
    </row>
    <row r="35" spans="1:11" x14ac:dyDescent="0.4">
      <c r="A35" vm="331">
        <f ca="1"/>
        <v>45610</v>
      </c>
      <c r="B35" vm="332">
        <f ca="1"/>
        <v>228.22</v>
      </c>
      <c r="C35" vm="333">
        <f ca="1"/>
        <v>146.76</v>
      </c>
      <c r="D35" vm="334">
        <f ca="1"/>
        <v>426.89</v>
      </c>
      <c r="E35" vm="335">
        <f ca="1"/>
        <v>577.16</v>
      </c>
      <c r="F35" vm="336">
        <f ca="1"/>
        <v>175.58</v>
      </c>
      <c r="G35" vm="337">
        <f ca="1"/>
        <v>593.35</v>
      </c>
      <c r="I35" vm="338">
        <f ca="1"/>
        <v>237.01</v>
      </c>
      <c r="J35" vm="339">
        <f ca="1"/>
        <v>71.290000000000006</v>
      </c>
      <c r="K35" vm="340">
        <f ca="1"/>
        <v>93.28</v>
      </c>
    </row>
    <row r="36" spans="1:11" x14ac:dyDescent="0.4">
      <c r="A36" vm="341">
        <f ca="1"/>
        <v>45611</v>
      </c>
      <c r="B36" vm="342">
        <f ca="1"/>
        <v>225</v>
      </c>
      <c r="C36" vm="343">
        <f ca="1"/>
        <v>141.97999999999999</v>
      </c>
      <c r="D36" vm="344">
        <f ca="1"/>
        <v>415</v>
      </c>
      <c r="E36" vm="345">
        <f ca="1"/>
        <v>554.08000000000004</v>
      </c>
      <c r="F36" vm="346">
        <f ca="1"/>
        <v>172.49</v>
      </c>
      <c r="G36" vm="347">
        <f ca="1"/>
        <v>585.75</v>
      </c>
      <c r="I36" vm="348">
        <f ca="1"/>
        <v>236.59</v>
      </c>
      <c r="J36" vm="349">
        <f ca="1"/>
        <v>69.75</v>
      </c>
      <c r="K36" vm="350">
        <f ca="1"/>
        <v>93.32</v>
      </c>
    </row>
    <row r="37" spans="1:11" x14ac:dyDescent="0.4">
      <c r="A37" vm="351">
        <f ca="1"/>
        <v>45614</v>
      </c>
      <c r="B37" vm="352">
        <f ca="1"/>
        <v>228.02</v>
      </c>
      <c r="C37" vm="353">
        <f ca="1"/>
        <v>140.15</v>
      </c>
      <c r="D37" vm="354">
        <f ca="1"/>
        <v>415.76</v>
      </c>
      <c r="E37" vm="355">
        <f ca="1"/>
        <v>554.4</v>
      </c>
      <c r="F37" vm="356">
        <f ca="1"/>
        <v>175.3</v>
      </c>
      <c r="G37" vm="357">
        <f ca="1"/>
        <v>588.15</v>
      </c>
      <c r="I37" vm="358">
        <f ca="1"/>
        <v>241.09</v>
      </c>
      <c r="J37" vm="359">
        <f ca="1"/>
        <v>72.069999999999993</v>
      </c>
      <c r="K37" vm="360">
        <f ca="1"/>
        <v>93.53</v>
      </c>
    </row>
    <row r="38" spans="1:11" x14ac:dyDescent="0.4">
      <c r="A38" vm="361">
        <f ca="1"/>
        <v>45615</v>
      </c>
      <c r="B38" vm="362">
        <f ca="1"/>
        <v>228.28</v>
      </c>
      <c r="C38" vm="363">
        <f ca="1"/>
        <v>147.01</v>
      </c>
      <c r="D38" vm="364">
        <f ca="1"/>
        <v>417.79</v>
      </c>
      <c r="E38" vm="365">
        <f ca="1"/>
        <v>561.09</v>
      </c>
      <c r="F38" vm="366">
        <f ca="1"/>
        <v>178.12</v>
      </c>
      <c r="G38" vm="367">
        <f ca="1"/>
        <v>590.29999999999995</v>
      </c>
      <c r="I38" vm="368">
        <f ca="1"/>
        <v>243.25</v>
      </c>
      <c r="J38" vm="369">
        <f ca="1"/>
        <v>72.31</v>
      </c>
      <c r="K38" vm="370">
        <f ca="1"/>
        <v>93.73</v>
      </c>
    </row>
    <row r="39" spans="1:11" x14ac:dyDescent="0.4">
      <c r="A39" vm="371">
        <f ca="1"/>
        <v>45616</v>
      </c>
      <c r="B39" vm="372">
        <f ca="1"/>
        <v>229</v>
      </c>
      <c r="C39" vm="373">
        <f ca="1"/>
        <v>145.88999999999999</v>
      </c>
      <c r="D39" vm="374">
        <f ca="1"/>
        <v>415.49</v>
      </c>
      <c r="E39" vm="375">
        <f ca="1"/>
        <v>565.52</v>
      </c>
      <c r="F39" vm="376">
        <f ca="1"/>
        <v>175.98</v>
      </c>
      <c r="G39" vm="377">
        <f ca="1"/>
        <v>590.5</v>
      </c>
      <c r="I39" vm="378">
        <f ca="1"/>
        <v>244.62</v>
      </c>
      <c r="J39" vm="250">
        <f ca="1"/>
        <v>72.02</v>
      </c>
      <c r="K39" vm="379">
        <f ca="1"/>
        <v>93.59</v>
      </c>
    </row>
    <row r="40" spans="1:11" x14ac:dyDescent="0.4">
      <c r="A40" vm="380">
        <f ca="1"/>
        <v>45617</v>
      </c>
      <c r="B40" vm="381">
        <f ca="1"/>
        <v>228.52</v>
      </c>
      <c r="C40" vm="382">
        <f ca="1"/>
        <v>146.66999999999999</v>
      </c>
      <c r="D40" vm="383">
        <f ca="1"/>
        <v>412.87</v>
      </c>
      <c r="E40" vm="384">
        <f ca="1"/>
        <v>563.09</v>
      </c>
      <c r="F40" vm="385">
        <f ca="1"/>
        <v>167.63</v>
      </c>
      <c r="G40" vm="386">
        <f ca="1"/>
        <v>593.66999999999996</v>
      </c>
      <c r="I40" vm="387">
        <f ca="1"/>
        <v>246.66</v>
      </c>
      <c r="J40" vm="388">
        <f ca="1"/>
        <v>73.2</v>
      </c>
      <c r="K40" vm="389">
        <f ca="1"/>
        <v>93.54</v>
      </c>
    </row>
    <row r="41" spans="1:11" x14ac:dyDescent="0.4">
      <c r="A41" vm="390">
        <f ca="1"/>
        <v>45618</v>
      </c>
      <c r="B41" vm="391">
        <f ca="1"/>
        <v>229.87</v>
      </c>
      <c r="C41" vm="392">
        <f ca="1"/>
        <v>141.94999999999999</v>
      </c>
      <c r="D41" vm="393">
        <f ca="1"/>
        <v>417</v>
      </c>
      <c r="E41" vm="394">
        <f ca="1"/>
        <v>559.14</v>
      </c>
      <c r="F41" vm="395">
        <f ca="1"/>
        <v>164.76</v>
      </c>
      <c r="G41" vm="396">
        <f ca="1"/>
        <v>595.51</v>
      </c>
      <c r="I41" vm="397">
        <f ca="1"/>
        <v>249.84</v>
      </c>
      <c r="J41" vm="398">
        <f ca="1"/>
        <v>74.25</v>
      </c>
      <c r="K41" vm="399">
        <f ca="1"/>
        <v>93.6</v>
      </c>
    </row>
    <row r="42" spans="1:11" x14ac:dyDescent="0.4">
      <c r="A42" vm="400">
        <f ca="1"/>
        <v>45621</v>
      </c>
      <c r="B42" vm="401">
        <f ca="1"/>
        <v>232.87</v>
      </c>
      <c r="C42" vm="402">
        <f ca="1"/>
        <v>136.02000000000001</v>
      </c>
      <c r="D42" vm="403">
        <f ca="1"/>
        <v>418.79</v>
      </c>
      <c r="E42" vm="404">
        <f ca="1"/>
        <v>565.11</v>
      </c>
      <c r="F42" vm="405">
        <f ca="1"/>
        <v>167.65</v>
      </c>
      <c r="G42" vm="406">
        <f ca="1"/>
        <v>597.53</v>
      </c>
      <c r="I42" vm="407">
        <f ca="1"/>
        <v>242.48</v>
      </c>
      <c r="J42" vm="408">
        <f ca="1"/>
        <v>72.099999999999994</v>
      </c>
      <c r="K42" vm="409">
        <f ca="1"/>
        <v>94.61</v>
      </c>
    </row>
    <row r="43" spans="1:11" x14ac:dyDescent="0.4">
      <c r="A43" vm="410">
        <f ca="1"/>
        <v>45622</v>
      </c>
      <c r="B43" vm="411">
        <f ca="1"/>
        <v>235.06</v>
      </c>
      <c r="C43" vm="412">
        <f ca="1"/>
        <v>136.91999999999999</v>
      </c>
      <c r="D43" vm="413">
        <f ca="1"/>
        <v>427.99</v>
      </c>
      <c r="E43" vm="414">
        <f ca="1"/>
        <v>573.54</v>
      </c>
      <c r="F43" vm="415">
        <f ca="1"/>
        <v>169.12</v>
      </c>
      <c r="G43" vm="416">
        <f ca="1"/>
        <v>600.65</v>
      </c>
      <c r="I43" vm="417">
        <f ca="1"/>
        <v>242.95</v>
      </c>
      <c r="J43" vm="418">
        <f ca="1"/>
        <v>71.61</v>
      </c>
      <c r="K43" vm="419">
        <f ca="1"/>
        <v>94.41</v>
      </c>
    </row>
    <row r="44" spans="1:11" x14ac:dyDescent="0.4">
      <c r="A44" vm="420">
        <f ca="1"/>
        <v>45623</v>
      </c>
      <c r="B44" vm="421">
        <f ca="1"/>
        <v>234.93</v>
      </c>
      <c r="C44" vm="422">
        <f ca="1"/>
        <v>135.34</v>
      </c>
      <c r="D44" vm="423">
        <f ca="1"/>
        <v>422.99</v>
      </c>
      <c r="E44" vm="424">
        <f ca="1"/>
        <v>569.20000000000005</v>
      </c>
      <c r="F44" vm="425">
        <f ca="1"/>
        <v>169.23</v>
      </c>
      <c r="G44" vm="426">
        <f ca="1"/>
        <v>598.83000000000004</v>
      </c>
      <c r="I44" vm="427">
        <f ca="1"/>
        <v>243.49</v>
      </c>
      <c r="J44" vm="428">
        <f ca="1"/>
        <v>71.72</v>
      </c>
      <c r="K44" vm="429">
        <f ca="1"/>
        <v>94.79</v>
      </c>
    </row>
    <row r="45" spans="1:11" x14ac:dyDescent="0.4">
      <c r="A45" vm="430">
        <f ca="1"/>
        <v>45625</v>
      </c>
      <c r="B45" vm="431">
        <f ca="1"/>
        <v>237.33</v>
      </c>
      <c r="C45" vm="432">
        <f ca="1"/>
        <v>138.25</v>
      </c>
      <c r="D45" vm="433">
        <f ca="1"/>
        <v>423.46</v>
      </c>
      <c r="E45" vm="434">
        <f ca="1"/>
        <v>574.32000000000005</v>
      </c>
      <c r="F45" vm="435">
        <f ca="1"/>
        <v>168.95</v>
      </c>
      <c r="G45" vm="436">
        <f ca="1"/>
        <v>602.54999999999995</v>
      </c>
      <c r="I45" vm="437">
        <f ca="1"/>
        <v>245.59</v>
      </c>
      <c r="J45" vm="418">
        <f ca="1"/>
        <v>71.61</v>
      </c>
      <c r="K45" vm="438">
        <f ca="1"/>
        <v>95.19</v>
      </c>
    </row>
    <row r="46" spans="1:11" x14ac:dyDescent="0.4">
      <c r="A46" vm="439">
        <f ca="1"/>
        <v>45628</v>
      </c>
      <c r="B46" vm="440">
        <f ca="1"/>
        <v>239.59</v>
      </c>
      <c r="C46" vm="441">
        <f ca="1"/>
        <v>138.63</v>
      </c>
      <c r="D46" vm="442">
        <f ca="1"/>
        <v>430.98</v>
      </c>
      <c r="E46" vm="443">
        <f ca="1"/>
        <v>592.83000000000004</v>
      </c>
      <c r="F46" vm="444">
        <f ca="1"/>
        <v>171.49</v>
      </c>
      <c r="G46" vm="445">
        <f ca="1"/>
        <v>603.63</v>
      </c>
      <c r="I46" vm="446">
        <f ca="1"/>
        <v>243.44</v>
      </c>
      <c r="J46" vm="447">
        <f ca="1"/>
        <v>71.040000000000006</v>
      </c>
      <c r="K46" vm="182">
        <f ca="1"/>
        <v>94.89</v>
      </c>
    </row>
    <row r="47" spans="1:11" x14ac:dyDescent="0.4">
      <c r="A47" vm="448">
        <f ca="1"/>
        <v>45629</v>
      </c>
      <c r="B47" vm="449">
        <f ca="1"/>
        <v>242.65</v>
      </c>
      <c r="C47" vm="450">
        <f ca="1"/>
        <v>140.26</v>
      </c>
      <c r="D47" vm="451">
        <f ca="1"/>
        <v>431.2</v>
      </c>
      <c r="E47" vm="452">
        <f ca="1"/>
        <v>613.65</v>
      </c>
      <c r="F47" vm="453">
        <f ca="1"/>
        <v>171.34</v>
      </c>
      <c r="G47" vm="454">
        <f ca="1"/>
        <v>603.91</v>
      </c>
      <c r="I47" vm="455">
        <f ca="1"/>
        <v>243.93</v>
      </c>
      <c r="J47" vm="456">
        <f ca="1"/>
        <v>73.040000000000006</v>
      </c>
      <c r="K47" vm="457">
        <f ca="1"/>
        <v>94.62</v>
      </c>
    </row>
    <row r="48" spans="1:11" x14ac:dyDescent="0.4">
      <c r="A48" vm="458">
        <f ca="1"/>
        <v>45630</v>
      </c>
      <c r="B48" vm="459">
        <f ca="1"/>
        <v>243.01</v>
      </c>
      <c r="C48" vm="460">
        <f ca="1"/>
        <v>145.13999999999999</v>
      </c>
      <c r="D48" vm="461">
        <f ca="1"/>
        <v>437.42</v>
      </c>
      <c r="E48" vm="462">
        <f ca="1"/>
        <v>613.78</v>
      </c>
      <c r="F48" vm="463">
        <f ca="1"/>
        <v>174.37</v>
      </c>
      <c r="G48" vm="464">
        <f ca="1"/>
        <v>607.66</v>
      </c>
      <c r="I48" vm="465">
        <f ca="1"/>
        <v>244.67</v>
      </c>
      <c r="J48" vm="466">
        <f ca="1"/>
        <v>71.88</v>
      </c>
      <c r="K48" vm="467">
        <f ca="1"/>
        <v>94.98</v>
      </c>
    </row>
    <row r="49" spans="1:11" x14ac:dyDescent="0.4">
      <c r="A49" vm="468">
        <f ca="1"/>
        <v>45631</v>
      </c>
      <c r="B49" vm="469">
        <f ca="1"/>
        <v>243.04</v>
      </c>
      <c r="C49" vm="470">
        <f ca="1"/>
        <v>145.06</v>
      </c>
      <c r="D49" vm="471">
        <f ca="1"/>
        <v>442.62</v>
      </c>
      <c r="E49" vm="472">
        <f ca="1"/>
        <v>608.92999999999995</v>
      </c>
      <c r="F49" vm="473">
        <f ca="1"/>
        <v>172.64</v>
      </c>
      <c r="G49" vm="474">
        <f ca="1"/>
        <v>606.66</v>
      </c>
      <c r="I49" vm="475">
        <f ca="1"/>
        <v>242.86</v>
      </c>
      <c r="J49" vm="476">
        <f ca="1"/>
        <v>71.47</v>
      </c>
      <c r="K49" vm="477">
        <f ca="1"/>
        <v>94.97</v>
      </c>
    </row>
    <row r="50" spans="1:11" x14ac:dyDescent="0.4">
      <c r="A50" vm="478">
        <f ca="1"/>
        <v>45632</v>
      </c>
      <c r="B50" vm="479">
        <f ca="1"/>
        <v>242.84</v>
      </c>
      <c r="C50" vm="480">
        <f ca="1"/>
        <v>142.44</v>
      </c>
      <c r="D50" vm="481">
        <f ca="1"/>
        <v>443.57</v>
      </c>
      <c r="E50" vm="482">
        <f ca="1"/>
        <v>623.77</v>
      </c>
      <c r="F50" vm="483">
        <f ca="1"/>
        <v>174.71</v>
      </c>
      <c r="G50" vm="484">
        <f ca="1"/>
        <v>607.80999999999995</v>
      </c>
      <c r="I50" vm="417">
        <f ca="1"/>
        <v>242.95</v>
      </c>
      <c r="J50" vm="485">
        <f ca="1"/>
        <v>70.239999999999995</v>
      </c>
      <c r="K50" vm="486">
        <f ca="1"/>
        <v>95.27</v>
      </c>
    </row>
    <row r="51" spans="1:11" x14ac:dyDescent="0.4">
      <c r="A51" vm="487">
        <f ca="1"/>
        <v>45635</v>
      </c>
      <c r="B51" vm="488">
        <f ca="1"/>
        <v>246.75</v>
      </c>
      <c r="C51" vm="489">
        <f ca="1"/>
        <v>138.81</v>
      </c>
      <c r="D51" vm="490">
        <f ca="1"/>
        <v>446.02</v>
      </c>
      <c r="E51" vm="491">
        <f ca="1"/>
        <v>613.57000000000005</v>
      </c>
      <c r="F51" vm="492">
        <f ca="1"/>
        <v>175.37</v>
      </c>
      <c r="G51" vm="493">
        <f ca="1"/>
        <v>604.67999999999995</v>
      </c>
      <c r="I51" vm="494">
        <f ca="1"/>
        <v>245.36</v>
      </c>
      <c r="J51" vm="495">
        <f ca="1"/>
        <v>71.17</v>
      </c>
      <c r="K51" vm="496">
        <f ca="1"/>
        <v>94.94</v>
      </c>
    </row>
    <row r="52" spans="1:11" x14ac:dyDescent="0.4">
      <c r="A52" vm="497">
        <f ca="1"/>
        <v>45636</v>
      </c>
      <c r="B52" vm="498">
        <f ca="1"/>
        <v>247.77</v>
      </c>
      <c r="C52" vm="499">
        <f ca="1"/>
        <v>135.07</v>
      </c>
      <c r="D52" vm="500">
        <f ca="1"/>
        <v>443.33</v>
      </c>
      <c r="E52" vm="501">
        <f ca="1"/>
        <v>619.32000000000005</v>
      </c>
      <c r="F52" vm="502">
        <f ca="1"/>
        <v>185.17</v>
      </c>
      <c r="G52" vm="503">
        <f ca="1"/>
        <v>602.79999999999995</v>
      </c>
      <c r="I52" vm="504">
        <f ca="1"/>
        <v>248.59</v>
      </c>
      <c r="J52" vm="505">
        <f ca="1"/>
        <v>71.400000000000006</v>
      </c>
      <c r="K52" vm="506">
        <f ca="1"/>
        <v>94.77</v>
      </c>
    </row>
    <row r="53" spans="1:11" x14ac:dyDescent="0.4">
      <c r="A53" vm="507">
        <f ca="1"/>
        <v>45637</v>
      </c>
      <c r="B53" vm="508">
        <f ca="1"/>
        <v>246.49</v>
      </c>
      <c r="C53" vm="509">
        <f ca="1"/>
        <v>139.31</v>
      </c>
      <c r="D53" vm="510">
        <f ca="1"/>
        <v>448.99</v>
      </c>
      <c r="E53" vm="511">
        <f ca="1"/>
        <v>632.67999999999995</v>
      </c>
      <c r="F53" vm="512">
        <f ca="1"/>
        <v>195.4</v>
      </c>
      <c r="G53" vm="513">
        <f ca="1"/>
        <v>607.46</v>
      </c>
      <c r="I53" vm="514">
        <f ca="1"/>
        <v>250.96</v>
      </c>
      <c r="J53" vm="515">
        <f ca="1"/>
        <v>73.33</v>
      </c>
      <c r="K53" vm="516">
        <f ca="1"/>
        <v>94.49</v>
      </c>
    </row>
    <row r="54" spans="1:11" x14ac:dyDescent="0.4">
      <c r="A54" vm="517">
        <f ca="1"/>
        <v>45638</v>
      </c>
      <c r="B54" vm="299">
        <f ca="1"/>
        <v>247.96</v>
      </c>
      <c r="C54" vm="518">
        <f ca="1"/>
        <v>137.34</v>
      </c>
      <c r="D54" vm="519">
        <f ca="1"/>
        <v>449.56</v>
      </c>
      <c r="E54" vm="520">
        <f ca="1"/>
        <v>630.79</v>
      </c>
      <c r="F54" vm="521">
        <f ca="1"/>
        <v>191.96</v>
      </c>
      <c r="G54" vm="522">
        <f ca="1"/>
        <v>604.33000000000004</v>
      </c>
      <c r="I54" vm="523">
        <f ca="1"/>
        <v>247.28</v>
      </c>
      <c r="J54" vm="524">
        <f ca="1"/>
        <v>73.209999999999994</v>
      </c>
      <c r="K54" vm="525">
        <f ca="1"/>
        <v>94.13</v>
      </c>
    </row>
    <row r="55" spans="1:11" x14ac:dyDescent="0.4">
      <c r="A55" vm="526">
        <f ca="1"/>
        <v>45639</v>
      </c>
      <c r="B55" vm="527">
        <f ca="1"/>
        <v>248.13</v>
      </c>
      <c r="C55" vm="528">
        <f ca="1"/>
        <v>134.25</v>
      </c>
      <c r="D55" vm="529">
        <f ca="1"/>
        <v>447.27</v>
      </c>
      <c r="E55" vm="530">
        <f ca="1"/>
        <v>620.35</v>
      </c>
      <c r="F55" vm="531">
        <f ca="1"/>
        <v>189.82</v>
      </c>
      <c r="G55" vm="532">
        <f ca="1"/>
        <v>604.21</v>
      </c>
      <c r="I55" vm="533">
        <f ca="1"/>
        <v>244.29</v>
      </c>
      <c r="J55" vm="534">
        <f ca="1"/>
        <v>74.209999999999994</v>
      </c>
      <c r="K55" vm="535">
        <f ca="1"/>
        <v>93.69</v>
      </c>
    </row>
    <row r="56" spans="1:11" x14ac:dyDescent="0.4">
      <c r="A56" vm="536">
        <f ca="1"/>
        <v>45642</v>
      </c>
      <c r="B56" vm="537">
        <f ca="1"/>
        <v>251.04</v>
      </c>
      <c r="C56" vm="538">
        <f ca="1"/>
        <v>132</v>
      </c>
      <c r="D56" vm="539">
        <f ca="1"/>
        <v>451.59</v>
      </c>
      <c r="E56" vm="540">
        <f ca="1"/>
        <v>624.24</v>
      </c>
      <c r="F56" vm="541">
        <f ca="1"/>
        <v>196.66</v>
      </c>
      <c r="G56" vm="542">
        <f ca="1"/>
        <v>606.79</v>
      </c>
      <c r="I56" vm="543">
        <f ca="1"/>
        <v>244.88</v>
      </c>
      <c r="J56" vm="544">
        <f ca="1"/>
        <v>73.7</v>
      </c>
      <c r="K56" vm="545">
        <f ca="1"/>
        <v>93.72</v>
      </c>
    </row>
    <row r="57" spans="1:11" x14ac:dyDescent="0.4">
      <c r="A57" vm="546">
        <f ca="1"/>
        <v>45643</v>
      </c>
      <c r="B57" vm="547">
        <f ca="1"/>
        <v>253.48</v>
      </c>
      <c r="C57" vm="548">
        <f ca="1"/>
        <v>130.38999999999999</v>
      </c>
      <c r="D57" vm="549">
        <f ca="1"/>
        <v>454.46</v>
      </c>
      <c r="E57" vm="550">
        <f ca="1"/>
        <v>619.44000000000005</v>
      </c>
      <c r="F57" vm="551">
        <f ca="1"/>
        <v>195.42</v>
      </c>
      <c r="G57" vm="552">
        <f ca="1"/>
        <v>604.29</v>
      </c>
      <c r="I57" vm="553">
        <f ca="1"/>
        <v>243.94</v>
      </c>
      <c r="J57" vm="554">
        <f ca="1"/>
        <v>73.3</v>
      </c>
      <c r="K57" vm="545">
        <f ca="1"/>
        <v>93.72</v>
      </c>
    </row>
    <row r="58" spans="1:11" x14ac:dyDescent="0.4">
      <c r="A58" vm="555">
        <f ca="1"/>
        <v>45644</v>
      </c>
      <c r="B58" vm="556">
        <f ca="1"/>
        <v>248.05</v>
      </c>
      <c r="C58" vm="557">
        <f ca="1"/>
        <v>128.91</v>
      </c>
      <c r="D58" vm="558">
        <f ca="1"/>
        <v>437.39</v>
      </c>
      <c r="E58" vm="327">
        <f ca="1"/>
        <v>597.19000000000005</v>
      </c>
      <c r="F58" vm="559">
        <f ca="1"/>
        <v>188.4</v>
      </c>
      <c r="G58" vm="560">
        <f ca="1"/>
        <v>586.28</v>
      </c>
      <c r="I58" vm="561">
        <f ca="1"/>
        <v>239.26</v>
      </c>
      <c r="J58" vm="562">
        <f ca="1"/>
        <v>72.94</v>
      </c>
      <c r="K58" vm="563">
        <f ca="1"/>
        <v>92.69</v>
      </c>
    </row>
    <row r="59" spans="1:11" x14ac:dyDescent="0.4">
      <c r="A59" vm="564">
        <f ca="1"/>
        <v>45645</v>
      </c>
      <c r="B59" vm="565">
        <f ca="1"/>
        <v>249.79</v>
      </c>
      <c r="C59" vm="566">
        <f ca="1"/>
        <v>130.68</v>
      </c>
      <c r="D59" vm="567">
        <f ca="1"/>
        <v>437.03</v>
      </c>
      <c r="E59" vm="568">
        <f ca="1"/>
        <v>595.57000000000005</v>
      </c>
      <c r="F59" vm="569">
        <f ca="1"/>
        <v>188.51</v>
      </c>
      <c r="G59" vm="570">
        <f ca="1"/>
        <v>586.1</v>
      </c>
      <c r="I59" vm="571">
        <f ca="1"/>
        <v>239.6</v>
      </c>
      <c r="J59" vm="572">
        <f ca="1"/>
        <v>72.61</v>
      </c>
      <c r="K59" vm="573">
        <f ca="1"/>
        <v>92.27</v>
      </c>
    </row>
    <row r="60" spans="1:11" x14ac:dyDescent="0.4">
      <c r="A60" vm="574">
        <f ca="1"/>
        <v>45646</v>
      </c>
      <c r="B60" vm="575">
        <f ca="1"/>
        <v>254.49</v>
      </c>
      <c r="C60" vm="576">
        <f ca="1"/>
        <v>134.69999999999999</v>
      </c>
      <c r="D60" vm="577">
        <f ca="1"/>
        <v>436.6</v>
      </c>
      <c r="E60" vm="578">
        <f ca="1"/>
        <v>585.25</v>
      </c>
      <c r="F60" vm="579">
        <f ca="1"/>
        <v>191.41</v>
      </c>
      <c r="G60" vm="580">
        <f ca="1"/>
        <v>591.15</v>
      </c>
      <c r="I60" vm="581">
        <f ca="1"/>
        <v>242.1</v>
      </c>
      <c r="J60" vm="582">
        <f ca="1"/>
        <v>73.099999999999994</v>
      </c>
      <c r="K60" vm="583">
        <f ca="1"/>
        <v>92.61</v>
      </c>
    </row>
    <row r="61" spans="1:11" x14ac:dyDescent="0.4">
      <c r="A61" vm="584">
        <f ca="1"/>
        <v>45649</v>
      </c>
      <c r="B61" vm="585">
        <f ca="1"/>
        <v>255.27</v>
      </c>
      <c r="C61" vm="586">
        <f ca="1"/>
        <v>139.66999999999999</v>
      </c>
      <c r="D61" vm="587">
        <f ca="1"/>
        <v>435.25</v>
      </c>
      <c r="E61" vm="588">
        <f ca="1"/>
        <v>599.85</v>
      </c>
      <c r="F61" vm="589">
        <f ca="1"/>
        <v>194.63</v>
      </c>
      <c r="G61" vm="590">
        <f ca="1"/>
        <v>594.69000000000005</v>
      </c>
      <c r="I61" vm="591">
        <f ca="1"/>
        <v>240.96</v>
      </c>
      <c r="J61" vm="191">
        <f ca="1"/>
        <v>73.06</v>
      </c>
      <c r="K61" vm="592">
        <f ca="1"/>
        <v>92.2</v>
      </c>
    </row>
    <row r="62" spans="1:11" x14ac:dyDescent="0.4">
      <c r="A62" vm="593">
        <f ca="1"/>
        <v>45650</v>
      </c>
      <c r="B62" vm="594">
        <f ca="1"/>
        <v>258.2</v>
      </c>
      <c r="C62" vm="595">
        <f ca="1"/>
        <v>140.22</v>
      </c>
      <c r="D62" vm="596">
        <f ca="1"/>
        <v>439.33</v>
      </c>
      <c r="E62" vm="597">
        <f ca="1"/>
        <v>607.75</v>
      </c>
      <c r="F62" vm="598">
        <f ca="1"/>
        <v>196.11</v>
      </c>
      <c r="G62" vm="599">
        <f ca="1"/>
        <v>601.29999999999995</v>
      </c>
      <c r="I62" vm="600">
        <f ca="1"/>
        <v>241.44</v>
      </c>
      <c r="J62" vm="601">
        <f ca="1"/>
        <v>73.650000000000006</v>
      </c>
      <c r="K62" vm="602">
        <f ca="1"/>
        <v>92.25</v>
      </c>
    </row>
    <row r="63" spans="1:11" x14ac:dyDescent="0.4">
      <c r="A63" vm="603">
        <f ca="1"/>
        <v>45652</v>
      </c>
      <c r="B63" vm="604">
        <f ca="1"/>
        <v>259.02</v>
      </c>
      <c r="C63" vm="605">
        <f ca="1"/>
        <v>139.93</v>
      </c>
      <c r="D63" vm="606">
        <f ca="1"/>
        <v>438.11</v>
      </c>
      <c r="E63" vm="607">
        <f ca="1"/>
        <v>603.35</v>
      </c>
      <c r="F63" vm="608">
        <f ca="1"/>
        <v>195.6</v>
      </c>
      <c r="G63" vm="609">
        <f ca="1"/>
        <v>601.34</v>
      </c>
      <c r="I63" vm="610">
        <f ca="1"/>
        <v>243.07</v>
      </c>
      <c r="J63" vm="300">
        <f ca="1"/>
        <v>73.13</v>
      </c>
      <c r="K63" vm="611">
        <f ca="1"/>
        <v>92.32</v>
      </c>
    </row>
    <row r="64" spans="1:11" x14ac:dyDescent="0.4">
      <c r="A64" vm="612">
        <f ca="1"/>
        <v>45653</v>
      </c>
      <c r="B64" vm="613">
        <f ca="1"/>
        <v>255.59</v>
      </c>
      <c r="C64" vm="614">
        <f ca="1"/>
        <v>137.01</v>
      </c>
      <c r="D64" vm="615">
        <f ca="1"/>
        <v>430.53</v>
      </c>
      <c r="E64" vm="616">
        <f ca="1"/>
        <v>599.80999999999995</v>
      </c>
      <c r="F64" vm="617">
        <f ca="1"/>
        <v>192.76</v>
      </c>
      <c r="G64" vm="618">
        <f ca="1"/>
        <v>595.01</v>
      </c>
      <c r="I64" vm="619">
        <f ca="1"/>
        <v>241.4</v>
      </c>
      <c r="J64" vm="620">
        <f ca="1"/>
        <v>73.849999999999994</v>
      </c>
      <c r="K64" vm="621">
        <f ca="1"/>
        <v>92.08</v>
      </c>
    </row>
    <row r="65" spans="1:11" x14ac:dyDescent="0.4">
      <c r="A65" vm="622">
        <f ca="1"/>
        <v>45656</v>
      </c>
      <c r="B65" vm="623">
        <f ca="1"/>
        <v>252.2</v>
      </c>
      <c r="C65" vm="624">
        <f ca="1"/>
        <v>137.49</v>
      </c>
      <c r="D65" vm="625">
        <f ca="1"/>
        <v>424.83</v>
      </c>
      <c r="E65" vm="626">
        <f ca="1"/>
        <v>591.24</v>
      </c>
      <c r="F65" vm="627">
        <f ca="1"/>
        <v>191.24</v>
      </c>
      <c r="G65" vm="628">
        <f ca="1"/>
        <v>588.22</v>
      </c>
      <c r="I65" vm="629">
        <f ca="1"/>
        <v>240.63</v>
      </c>
      <c r="J65" vm="630">
        <f ca="1"/>
        <v>74.819999999999993</v>
      </c>
      <c r="K65" vm="631">
        <f ca="1"/>
        <v>92.62</v>
      </c>
    </row>
    <row r="66" spans="1:11" x14ac:dyDescent="0.4">
      <c r="A66" vm="632">
        <f ca="1"/>
        <v>45657</v>
      </c>
      <c r="B66" vm="633">
        <f ca="1"/>
        <v>250.42</v>
      </c>
      <c r="C66" vm="634">
        <f ca="1"/>
        <v>134.29</v>
      </c>
      <c r="D66" vm="635">
        <f ca="1"/>
        <v>421.5</v>
      </c>
      <c r="E66" vm="636">
        <f ca="1"/>
        <v>585.51</v>
      </c>
      <c r="F66" vm="637">
        <f ca="1"/>
        <v>189.3</v>
      </c>
      <c r="G66" vm="638">
        <f ca="1"/>
        <v>586.08000000000004</v>
      </c>
      <c r="I66" vm="639">
        <f ca="1"/>
        <v>242.13</v>
      </c>
      <c r="J66" vm="640">
        <f ca="1"/>
        <v>75.55</v>
      </c>
      <c r="K66" vm="641">
        <f ca="1"/>
        <v>92.45</v>
      </c>
    </row>
    <row r="67" spans="1:11" x14ac:dyDescent="0.4">
      <c r="A67" vm="642">
        <f ca="1"/>
        <v>45659</v>
      </c>
      <c r="B67" vm="643">
        <f ca="1"/>
        <v>243.85</v>
      </c>
      <c r="C67" vm="644">
        <f ca="1"/>
        <v>138.31</v>
      </c>
      <c r="D67" vm="645">
        <f ca="1"/>
        <v>418.58</v>
      </c>
      <c r="E67" vm="646">
        <f ca="1"/>
        <v>599.24</v>
      </c>
      <c r="F67" vm="647">
        <f ca="1"/>
        <v>189.43</v>
      </c>
      <c r="G67" vm="648">
        <f ca="1"/>
        <v>584.64</v>
      </c>
      <c r="I67" vm="649">
        <f ca="1"/>
        <v>245.42</v>
      </c>
      <c r="J67" vm="650">
        <f ca="1"/>
        <v>76.930000000000007</v>
      </c>
      <c r="K67" vm="651">
        <f ca="1"/>
        <v>92.5</v>
      </c>
    </row>
    <row r="68" spans="1:11" x14ac:dyDescent="0.4">
      <c r="A68" vm="652">
        <f ca="1"/>
        <v>45660</v>
      </c>
      <c r="B68" vm="653">
        <f ca="1"/>
        <v>243.36</v>
      </c>
      <c r="C68" vm="654">
        <f ca="1"/>
        <v>144.47</v>
      </c>
      <c r="D68" vm="655">
        <f ca="1"/>
        <v>423.35</v>
      </c>
      <c r="E68" vm="656">
        <f ca="1"/>
        <v>604.63</v>
      </c>
      <c r="F68" vm="657">
        <f ca="1"/>
        <v>191.79</v>
      </c>
      <c r="G68" vm="658">
        <f ca="1"/>
        <v>591.95000000000005</v>
      </c>
      <c r="I68" vm="427">
        <f ca="1"/>
        <v>243.49</v>
      </c>
      <c r="J68" vm="659">
        <f ca="1"/>
        <v>77.92</v>
      </c>
      <c r="K68" vm="660">
        <f ca="1"/>
        <v>92.35</v>
      </c>
    </row>
    <row r="69" spans="1:11" x14ac:dyDescent="0.4">
      <c r="A69" vm="661">
        <f ca="1"/>
        <v>45663</v>
      </c>
      <c r="B69" vm="53">
        <f ca="1"/>
        <v>245</v>
      </c>
      <c r="C69" vm="662">
        <f ca="1"/>
        <v>149.43</v>
      </c>
      <c r="D69" vm="663">
        <f ca="1"/>
        <v>427.85</v>
      </c>
      <c r="E69" vm="664">
        <f ca="1"/>
        <v>630.20000000000005</v>
      </c>
      <c r="F69" vm="665">
        <f ca="1"/>
        <v>196.87</v>
      </c>
      <c r="G69" vm="666">
        <f ca="1"/>
        <v>595.36</v>
      </c>
      <c r="I69" vm="667">
        <f ca="1"/>
        <v>243.19</v>
      </c>
      <c r="J69" vm="668">
        <f ca="1"/>
        <v>77.3</v>
      </c>
      <c r="K69" vm="669">
        <f ca="1"/>
        <v>92.26</v>
      </c>
    </row>
    <row r="70" spans="1:11" x14ac:dyDescent="0.4">
      <c r="A70" vm="670">
        <f ca="1"/>
        <v>45664</v>
      </c>
      <c r="B70" vm="671">
        <f ca="1"/>
        <v>242.21</v>
      </c>
      <c r="C70" vm="672">
        <f ca="1"/>
        <v>140.13999999999999</v>
      </c>
      <c r="D70" vm="673">
        <f ca="1"/>
        <v>422.37</v>
      </c>
      <c r="E70" vm="674">
        <f ca="1"/>
        <v>617.89</v>
      </c>
      <c r="F70" vm="675">
        <f ca="1"/>
        <v>195.49</v>
      </c>
      <c r="G70" vm="676">
        <f ca="1"/>
        <v>588.63</v>
      </c>
      <c r="I70" vm="677">
        <f ca="1"/>
        <v>244.56</v>
      </c>
      <c r="J70" vm="678">
        <f ca="1"/>
        <v>78.17</v>
      </c>
      <c r="K70" vm="679">
        <f ca="1"/>
        <v>91.84</v>
      </c>
    </row>
    <row r="71" spans="1:11" x14ac:dyDescent="0.4">
      <c r="A71" vm="680">
        <f ca="1"/>
        <v>45665</v>
      </c>
      <c r="B71" vm="681">
        <f ca="1"/>
        <v>242.7</v>
      </c>
      <c r="C71" vm="682">
        <f ca="1"/>
        <v>140.11000000000001</v>
      </c>
      <c r="D71" vm="683">
        <f ca="1"/>
        <v>424.56</v>
      </c>
      <c r="E71" vm="684">
        <f ca="1"/>
        <v>610.72</v>
      </c>
      <c r="F71" vm="685">
        <f ca="1"/>
        <v>193.95</v>
      </c>
      <c r="G71" vm="686">
        <f ca="1"/>
        <v>589.49</v>
      </c>
      <c r="I71" vm="687">
        <f ca="1"/>
        <v>245.86</v>
      </c>
      <c r="J71" vm="668">
        <f ca="1"/>
        <v>77.3</v>
      </c>
      <c r="K71" vm="688">
        <f ca="1"/>
        <v>92</v>
      </c>
    </row>
    <row r="72" spans="1:11" x14ac:dyDescent="0.4">
      <c r="A72" vm="689">
        <f ca="1"/>
        <v>45667</v>
      </c>
      <c r="B72" vm="690">
        <f ca="1"/>
        <v>236.85</v>
      </c>
      <c r="C72" vm="691">
        <f ca="1"/>
        <v>135.91</v>
      </c>
      <c r="D72" vm="692">
        <f ca="1"/>
        <v>418.95</v>
      </c>
      <c r="E72" vm="693">
        <f ca="1"/>
        <v>615.86</v>
      </c>
      <c r="F72" vm="694">
        <f ca="1"/>
        <v>192.04</v>
      </c>
      <c r="G72" vm="695">
        <f ca="1"/>
        <v>580.49</v>
      </c>
      <c r="I72" vm="696">
        <f ca="1"/>
        <v>248.21</v>
      </c>
      <c r="J72" vm="697">
        <f ca="1"/>
        <v>80.64</v>
      </c>
      <c r="K72" vm="698">
        <f ca="1"/>
        <v>91.33</v>
      </c>
    </row>
    <row r="73" spans="1:11" x14ac:dyDescent="0.4">
      <c r="A73" vm="699">
        <f ca="1"/>
        <v>45670</v>
      </c>
      <c r="B73" vm="700">
        <f ca="1"/>
        <v>234.4</v>
      </c>
      <c r="C73" vm="701">
        <f ca="1"/>
        <v>133.22999999999999</v>
      </c>
      <c r="D73" vm="702">
        <f ca="1"/>
        <v>417.19</v>
      </c>
      <c r="E73" vm="703">
        <f ca="1"/>
        <v>608.33000000000004</v>
      </c>
      <c r="F73" vm="704">
        <f ca="1"/>
        <v>191.01</v>
      </c>
      <c r="G73" vm="705">
        <f ca="1"/>
        <v>581.39</v>
      </c>
      <c r="I73" vm="706">
        <f ca="1"/>
        <v>245.74</v>
      </c>
      <c r="J73" vm="707">
        <f ca="1"/>
        <v>82.23</v>
      </c>
      <c r="K73" vm="708">
        <f ca="1"/>
        <v>91.17</v>
      </c>
    </row>
    <row r="74" spans="1:11" x14ac:dyDescent="0.4">
      <c r="A74" vm="709">
        <f ca="1"/>
        <v>45671</v>
      </c>
      <c r="B74" vm="710">
        <f ca="1"/>
        <v>233.28</v>
      </c>
      <c r="C74" vm="711">
        <f ca="1"/>
        <v>131.76</v>
      </c>
      <c r="D74" vm="712">
        <f ca="1"/>
        <v>415.67</v>
      </c>
      <c r="E74" vm="713">
        <f ca="1"/>
        <v>594.25</v>
      </c>
      <c r="F74" vm="714">
        <f ca="1"/>
        <v>189.66</v>
      </c>
      <c r="G74" vm="715">
        <f ca="1"/>
        <v>582.19000000000005</v>
      </c>
      <c r="I74" vm="716">
        <f ca="1"/>
        <v>247.03</v>
      </c>
      <c r="J74" vm="717">
        <f ca="1"/>
        <v>81.67</v>
      </c>
      <c r="K74" vm="718">
        <f ca="1"/>
        <v>91.2</v>
      </c>
    </row>
    <row r="75" spans="1:11" x14ac:dyDescent="0.4">
      <c r="A75" vm="719">
        <f ca="1"/>
        <v>45672</v>
      </c>
      <c r="B75" vm="720">
        <f ca="1"/>
        <v>237.87</v>
      </c>
      <c r="C75" vm="721">
        <f ca="1"/>
        <v>136.24</v>
      </c>
      <c r="D75" vm="722">
        <f ca="1"/>
        <v>426.31</v>
      </c>
      <c r="E75" vm="723">
        <f ca="1"/>
        <v>617.12</v>
      </c>
      <c r="F75" vm="724">
        <f ca="1"/>
        <v>195.55</v>
      </c>
      <c r="G75" vm="725">
        <f ca="1"/>
        <v>592.78</v>
      </c>
      <c r="I75" vm="726">
        <f ca="1"/>
        <v>248.88</v>
      </c>
      <c r="J75" vm="727">
        <f ca="1"/>
        <v>84.34</v>
      </c>
      <c r="K75" vm="728">
        <f ca="1"/>
        <v>92.16</v>
      </c>
    </row>
    <row r="76" spans="1:11" x14ac:dyDescent="0.4">
      <c r="A76" vm="729">
        <f ca="1"/>
        <v>45673</v>
      </c>
      <c r="B76" vm="730">
        <f ca="1"/>
        <v>228.26</v>
      </c>
      <c r="C76" vm="731">
        <f ca="1"/>
        <v>133.57</v>
      </c>
      <c r="D76" vm="732">
        <f ca="1"/>
        <v>424.58</v>
      </c>
      <c r="E76" vm="733">
        <f ca="1"/>
        <v>611.29999999999995</v>
      </c>
      <c r="F76" vm="734">
        <f ca="1"/>
        <v>192.91</v>
      </c>
      <c r="G76" vm="735">
        <f ca="1"/>
        <v>591.64</v>
      </c>
      <c r="I76" vm="736">
        <f ca="1"/>
        <v>250.6</v>
      </c>
      <c r="J76" vm="737">
        <f ca="1"/>
        <v>82.94</v>
      </c>
      <c r="K76" vm="738">
        <f ca="1"/>
        <v>92.38</v>
      </c>
    </row>
    <row r="77" spans="1:11" x14ac:dyDescent="0.4">
      <c r="A77" vm="739">
        <f ca="1"/>
        <v>45674</v>
      </c>
      <c r="B77" vm="740">
        <f ca="1"/>
        <v>229.98</v>
      </c>
      <c r="C77" vm="741">
        <f ca="1"/>
        <v>137.71</v>
      </c>
      <c r="D77" vm="742">
        <f ca="1"/>
        <v>429.03</v>
      </c>
      <c r="E77" vm="743">
        <f ca="1"/>
        <v>612.77</v>
      </c>
      <c r="F77" vm="744">
        <f ca="1"/>
        <v>196</v>
      </c>
      <c r="G77" vm="745">
        <f ca="1"/>
        <v>597.58000000000004</v>
      </c>
      <c r="I77" vm="746">
        <f ca="1"/>
        <v>249.27</v>
      </c>
      <c r="J77" vm="747">
        <f ca="1"/>
        <v>82.52</v>
      </c>
      <c r="K77" vm="641">
        <f ca="1"/>
        <v>92.45</v>
      </c>
    </row>
    <row r="78" spans="1:11" x14ac:dyDescent="0.4">
      <c r="A78" vm="748">
        <f ca="1"/>
        <v>45678</v>
      </c>
      <c r="B78" vm="749">
        <f ca="1"/>
        <v>222.64</v>
      </c>
      <c r="C78" vm="750">
        <f ca="1"/>
        <v>140.83000000000001</v>
      </c>
      <c r="D78" vm="751">
        <f ca="1"/>
        <v>428.5</v>
      </c>
      <c r="E78" vm="752">
        <f ca="1"/>
        <v>616.46</v>
      </c>
      <c r="F78" vm="753">
        <f ca="1"/>
        <v>198.05</v>
      </c>
      <c r="G78" vm="754">
        <f ca="1"/>
        <v>603.04999999999995</v>
      </c>
      <c r="I78" vm="755">
        <f ca="1"/>
        <v>253.13</v>
      </c>
      <c r="J78" vm="756">
        <f ca="1"/>
        <v>81.11</v>
      </c>
      <c r="K78" vm="757">
        <f ca="1"/>
        <v>92.76</v>
      </c>
    </row>
    <row r="79" spans="1:11" x14ac:dyDescent="0.4">
      <c r="A79" vm="758">
        <f ca="1"/>
        <v>45679</v>
      </c>
      <c r="B79" vm="759">
        <f ca="1"/>
        <v>223.83</v>
      </c>
      <c r="C79" vm="760">
        <f ca="1"/>
        <v>147.07</v>
      </c>
      <c r="D79" vm="761">
        <f ca="1"/>
        <v>446.2</v>
      </c>
      <c r="E79" vm="762">
        <f ca="1"/>
        <v>623.5</v>
      </c>
      <c r="F79" vm="763">
        <f ca="1"/>
        <v>198.37</v>
      </c>
      <c r="G79" vm="764">
        <f ca="1"/>
        <v>606.44000000000005</v>
      </c>
      <c r="I79" vm="765">
        <f ca="1"/>
        <v>254.43</v>
      </c>
      <c r="J79" vm="766">
        <f ca="1"/>
        <v>80.430000000000007</v>
      </c>
      <c r="K79" vm="767">
        <f ca="1"/>
        <v>92.52</v>
      </c>
    </row>
    <row r="80" spans="1:11" x14ac:dyDescent="0.4">
      <c r="A80" vm="768">
        <f ca="1"/>
        <v>45680</v>
      </c>
      <c r="B80" vm="769">
        <f ca="1"/>
        <v>223.66</v>
      </c>
      <c r="C80" vm="770">
        <f ca="1"/>
        <v>147.22</v>
      </c>
      <c r="D80" vm="771">
        <f ca="1"/>
        <v>446.71</v>
      </c>
      <c r="E80" vm="772">
        <f ca="1"/>
        <v>636.45000000000005</v>
      </c>
      <c r="F80" vm="773">
        <f ca="1"/>
        <v>197.98</v>
      </c>
      <c r="G80" vm="774">
        <f ca="1"/>
        <v>609.75</v>
      </c>
      <c r="I80" vm="775">
        <f ca="1"/>
        <v>254.07</v>
      </c>
      <c r="J80" vm="776">
        <f ca="1"/>
        <v>79.209999999999994</v>
      </c>
      <c r="K80" vm="777">
        <f ca="1"/>
        <v>92.28</v>
      </c>
    </row>
    <row r="81" spans="1:11" x14ac:dyDescent="0.4">
      <c r="A81" vm="778">
        <f ca="1"/>
        <v>45681</v>
      </c>
      <c r="B81" vm="779">
        <f ca="1"/>
        <v>222.78</v>
      </c>
      <c r="C81" vm="780">
        <f ca="1"/>
        <v>142.62</v>
      </c>
      <c r="D81" vm="781">
        <f ca="1"/>
        <v>444.06</v>
      </c>
      <c r="E81" vm="782">
        <f ca="1"/>
        <v>647.49</v>
      </c>
      <c r="F81" vm="783">
        <f ca="1"/>
        <v>200.21</v>
      </c>
      <c r="G81" vm="784">
        <f ca="1"/>
        <v>607.97</v>
      </c>
      <c r="I81" vm="785">
        <f ca="1"/>
        <v>255.65</v>
      </c>
      <c r="J81" vm="786">
        <f ca="1"/>
        <v>79.599999999999994</v>
      </c>
      <c r="K81" vm="787">
        <f ca="1"/>
        <v>92.47</v>
      </c>
    </row>
    <row r="82" spans="1:11" x14ac:dyDescent="0.4">
      <c r="A82" vm="788">
        <f ca="1"/>
        <v>45684</v>
      </c>
      <c r="B82" vm="789">
        <f ca="1"/>
        <v>229.86</v>
      </c>
      <c r="C82" vm="790">
        <f ca="1"/>
        <v>118.42</v>
      </c>
      <c r="D82" vm="791">
        <f ca="1"/>
        <v>434.56</v>
      </c>
      <c r="E82" vm="792">
        <f ca="1"/>
        <v>659.88</v>
      </c>
      <c r="F82" vm="793">
        <f ca="1"/>
        <v>191.81</v>
      </c>
      <c r="G82" vm="794">
        <f ca="1"/>
        <v>599.37</v>
      </c>
      <c r="I82" vm="795">
        <f ca="1"/>
        <v>252.99</v>
      </c>
      <c r="J82" vm="796">
        <f ca="1"/>
        <v>77.930000000000007</v>
      </c>
      <c r="K82" vm="797">
        <f ca="1"/>
        <v>93.07</v>
      </c>
    </row>
    <row r="83" spans="1:11" x14ac:dyDescent="0.4">
      <c r="A83" vm="798">
        <f ca="1"/>
        <v>45685</v>
      </c>
      <c r="B83" vm="799">
        <f ca="1"/>
        <v>238.26</v>
      </c>
      <c r="C83" vm="800">
        <f ca="1"/>
        <v>128.99</v>
      </c>
      <c r="D83" vm="801">
        <f ca="1"/>
        <v>447.2</v>
      </c>
      <c r="E83" vm="802">
        <f ca="1"/>
        <v>674.33</v>
      </c>
      <c r="F83" vm="803">
        <f ca="1"/>
        <v>195.3</v>
      </c>
      <c r="G83" vm="804">
        <f ca="1"/>
        <v>604.52</v>
      </c>
      <c r="I83" vm="805">
        <f ca="1"/>
        <v>255.18</v>
      </c>
      <c r="J83" vm="806">
        <f ca="1"/>
        <v>78.86</v>
      </c>
      <c r="K83" vm="807">
        <f ca="1"/>
        <v>93.08</v>
      </c>
    </row>
    <row r="84" spans="1:11" x14ac:dyDescent="0.4">
      <c r="A84" vm="808">
        <f ca="1"/>
        <v>45686</v>
      </c>
      <c r="B84" vm="809">
        <f ca="1"/>
        <v>239.36</v>
      </c>
      <c r="C84" vm="810">
        <f ca="1"/>
        <v>123.7</v>
      </c>
      <c r="D84" vm="811">
        <f ca="1"/>
        <v>442.33</v>
      </c>
      <c r="E84" vm="812">
        <f ca="1"/>
        <v>676.49</v>
      </c>
      <c r="F84" vm="813">
        <f ca="1"/>
        <v>195.41</v>
      </c>
      <c r="G84" vm="814">
        <f ca="1"/>
        <v>601.80999999999995</v>
      </c>
      <c r="I84" vm="815">
        <f ca="1"/>
        <v>254.2</v>
      </c>
      <c r="J84" vm="816">
        <f ca="1"/>
        <v>77.78</v>
      </c>
      <c r="K84" vm="817">
        <f ca="1"/>
        <v>92.97</v>
      </c>
    </row>
    <row r="85" spans="1:11" x14ac:dyDescent="0.4">
      <c r="A85" vm="818">
        <f ca="1"/>
        <v>45687</v>
      </c>
      <c r="B85" vm="819">
        <f ca="1"/>
        <v>237.59</v>
      </c>
      <c r="C85" vm="820">
        <f ca="1"/>
        <v>124.65</v>
      </c>
      <c r="D85" vm="821">
        <f ca="1"/>
        <v>414.99</v>
      </c>
      <c r="E85" vm="822">
        <f ca="1"/>
        <v>687</v>
      </c>
      <c r="F85" vm="823">
        <f ca="1"/>
        <v>200.87</v>
      </c>
      <c r="G85" vm="824">
        <f ca="1"/>
        <v>605.04</v>
      </c>
      <c r="I85" vm="825">
        <f ca="1"/>
        <v>258.05</v>
      </c>
      <c r="J85" vm="826">
        <f ca="1"/>
        <v>77.75</v>
      </c>
      <c r="K85" vm="827">
        <f ca="1"/>
        <v>93.17</v>
      </c>
    </row>
    <row r="86" spans="1:11" x14ac:dyDescent="0.4">
      <c r="A86" vm="828">
        <f ca="1"/>
        <v>45688</v>
      </c>
      <c r="B86" vm="829">
        <f ca="1"/>
        <v>236</v>
      </c>
      <c r="C86" vm="830">
        <f ca="1"/>
        <v>120.07</v>
      </c>
      <c r="D86" vm="831">
        <f ca="1"/>
        <v>415.06</v>
      </c>
      <c r="E86" vm="832">
        <f ca="1"/>
        <v>689.18</v>
      </c>
      <c r="F86" vm="833">
        <f ca="1"/>
        <v>204.02</v>
      </c>
      <c r="G86" vm="834">
        <f ca="1"/>
        <v>601.82000000000005</v>
      </c>
      <c r="I86" vm="835">
        <f ca="1"/>
        <v>258.56</v>
      </c>
      <c r="J86" vm="836">
        <f ca="1"/>
        <v>78.02</v>
      </c>
      <c r="K86" vm="837">
        <f ca="1"/>
        <v>93.02</v>
      </c>
    </row>
    <row r="87" spans="1:11" x14ac:dyDescent="0.4">
      <c r="A87" vm="838">
        <f ca="1"/>
        <v>45691</v>
      </c>
      <c r="B87" vm="839">
        <f ca="1"/>
        <v>228.01</v>
      </c>
      <c r="C87" vm="840">
        <f ca="1"/>
        <v>116.66</v>
      </c>
      <c r="D87" vm="841">
        <f ca="1"/>
        <v>410.92</v>
      </c>
      <c r="E87" vm="842">
        <f ca="1"/>
        <v>697.46</v>
      </c>
      <c r="F87" vm="843">
        <f ca="1"/>
        <v>201.23</v>
      </c>
      <c r="G87" vm="844">
        <f ca="1"/>
        <v>597.77</v>
      </c>
      <c r="I87" vm="845">
        <f ca="1"/>
        <v>259.94</v>
      </c>
      <c r="J87" vm="846">
        <f ca="1"/>
        <v>77.819999999999993</v>
      </c>
      <c r="K87" vm="847">
        <f ca="1"/>
        <v>92.79</v>
      </c>
    </row>
    <row r="88" spans="1:11" x14ac:dyDescent="0.4">
      <c r="A88" vm="848">
        <f ca="1"/>
        <v>45692</v>
      </c>
      <c r="B88" vm="849">
        <f ca="1"/>
        <v>232.8</v>
      </c>
      <c r="C88" vm="850">
        <f ca="1"/>
        <v>118.65</v>
      </c>
      <c r="D88" vm="851">
        <f ca="1"/>
        <v>412.37</v>
      </c>
      <c r="E88" vm="852">
        <f ca="1"/>
        <v>704.19</v>
      </c>
      <c r="F88" vm="853">
        <f ca="1"/>
        <v>206.38</v>
      </c>
      <c r="G88" vm="854">
        <f ca="1"/>
        <v>601.78</v>
      </c>
      <c r="I88" vm="855">
        <f ca="1"/>
        <v>262.5</v>
      </c>
      <c r="J88" vm="856">
        <f ca="1"/>
        <v>77.510000000000005</v>
      </c>
      <c r="K88" vm="837">
        <f ca="1"/>
        <v>93.02</v>
      </c>
    </row>
    <row r="89" spans="1:11" x14ac:dyDescent="0.4">
      <c r="A89" vm="857">
        <f ca="1"/>
        <v>45693</v>
      </c>
      <c r="B89" vm="858">
        <f ca="1"/>
        <v>232.47</v>
      </c>
      <c r="C89" vm="859">
        <f ca="1"/>
        <v>124.83</v>
      </c>
      <c r="D89" vm="860">
        <f ca="1"/>
        <v>413.29</v>
      </c>
      <c r="E89" vm="861">
        <f ca="1"/>
        <v>704.87</v>
      </c>
      <c r="F89" vm="862">
        <f ca="1"/>
        <v>191.33</v>
      </c>
      <c r="G89" vm="863">
        <f ca="1"/>
        <v>604.22</v>
      </c>
      <c r="I89" vm="864">
        <f ca="1"/>
        <v>264.13</v>
      </c>
      <c r="J89" vm="865">
        <f ca="1"/>
        <v>76.09</v>
      </c>
      <c r="K89" vm="866">
        <f ca="1"/>
        <v>93.56</v>
      </c>
    </row>
    <row r="90" spans="1:11" x14ac:dyDescent="0.4">
      <c r="A90" vm="867">
        <f ca="1"/>
        <v>45694</v>
      </c>
      <c r="B90" vm="868">
        <f ca="1"/>
        <v>233.22</v>
      </c>
      <c r="C90" vm="869">
        <f ca="1"/>
        <v>128.68</v>
      </c>
      <c r="D90" vm="870">
        <f ca="1"/>
        <v>415.82</v>
      </c>
      <c r="E90" vm="871">
        <f ca="1"/>
        <v>711.99</v>
      </c>
      <c r="F90" vm="872">
        <f ca="1"/>
        <v>191.6</v>
      </c>
      <c r="G90" vm="873">
        <f ca="1"/>
        <v>606.32000000000005</v>
      </c>
      <c r="I90" vm="874">
        <f ca="1"/>
        <v>263.43</v>
      </c>
      <c r="J90" vm="875">
        <f ca="1"/>
        <v>75.45</v>
      </c>
      <c r="K90" vm="876">
        <f ca="1"/>
        <v>93.45</v>
      </c>
    </row>
    <row r="91" spans="1:11" x14ac:dyDescent="0.4">
      <c r="A91" vm="877">
        <f ca="1"/>
        <v>45695</v>
      </c>
      <c r="B91" vm="878">
        <f ca="1"/>
        <v>227.63</v>
      </c>
      <c r="C91" vm="879">
        <f ca="1"/>
        <v>129.84</v>
      </c>
      <c r="D91" vm="880">
        <f ca="1"/>
        <v>409.75</v>
      </c>
      <c r="E91" vm="881">
        <f ca="1"/>
        <v>714.52</v>
      </c>
      <c r="F91" vm="882">
        <f ca="1"/>
        <v>185.34</v>
      </c>
      <c r="G91" vm="883">
        <f ca="1"/>
        <v>600.77</v>
      </c>
      <c r="I91" vm="884">
        <f ca="1"/>
        <v>263.89999999999998</v>
      </c>
      <c r="J91" vm="885">
        <f ca="1"/>
        <v>75.86</v>
      </c>
      <c r="K91" vm="886">
        <f ca="1"/>
        <v>93.14</v>
      </c>
    </row>
    <row r="92" spans="1:11" x14ac:dyDescent="0.4">
      <c r="A92" vm="887">
        <f ca="1"/>
        <v>45698</v>
      </c>
      <c r="B92" vm="888">
        <f ca="1"/>
        <v>227.65</v>
      </c>
      <c r="C92" vm="731">
        <f ca="1"/>
        <v>133.57</v>
      </c>
      <c r="D92" vm="889">
        <f ca="1"/>
        <v>412.22</v>
      </c>
      <c r="E92" vm="890">
        <f ca="1"/>
        <v>717.4</v>
      </c>
      <c r="F92" vm="891">
        <f ca="1"/>
        <v>186.47</v>
      </c>
      <c r="G92" vm="892">
        <f ca="1"/>
        <v>604.85</v>
      </c>
      <c r="I92" vm="893">
        <f ca="1"/>
        <v>268.37</v>
      </c>
      <c r="J92" vm="894">
        <f ca="1"/>
        <v>77.400000000000006</v>
      </c>
      <c r="K92" vm="895">
        <f ca="1"/>
        <v>93.12</v>
      </c>
    </row>
    <row r="93" spans="1:11" x14ac:dyDescent="0.4">
      <c r="A93" vm="896">
        <f ca="1"/>
        <v>45699</v>
      </c>
      <c r="B93" vm="897">
        <f ca="1"/>
        <v>232.62</v>
      </c>
      <c r="C93" vm="898">
        <f ca="1"/>
        <v>132.80000000000001</v>
      </c>
      <c r="D93" vm="899">
        <f ca="1"/>
        <v>411.44</v>
      </c>
      <c r="E93" vm="900">
        <f ca="1"/>
        <v>719.8</v>
      </c>
      <c r="F93" vm="901">
        <f ca="1"/>
        <v>185.32</v>
      </c>
      <c r="G93" vm="902">
        <f ca="1"/>
        <v>605.30999999999995</v>
      </c>
      <c r="I93" vm="903">
        <f ca="1"/>
        <v>267.39</v>
      </c>
      <c r="J93" vm="904">
        <f ca="1"/>
        <v>78.27</v>
      </c>
      <c r="K93" vm="905">
        <f ca="1"/>
        <v>92.88</v>
      </c>
    </row>
    <row r="94" spans="1:11" x14ac:dyDescent="0.4">
      <c r="A94" vm="906">
        <f ca="1"/>
        <v>45700</v>
      </c>
      <c r="B94" vm="907">
        <f ca="1"/>
        <v>236.87</v>
      </c>
      <c r="C94" vm="908">
        <f ca="1"/>
        <v>131.13999999999999</v>
      </c>
      <c r="D94" vm="909">
        <f ca="1"/>
        <v>409.04</v>
      </c>
      <c r="E94" vm="910">
        <f ca="1"/>
        <v>725.38</v>
      </c>
      <c r="F94" vm="911">
        <f ca="1"/>
        <v>183.61</v>
      </c>
      <c r="G94" vm="912">
        <f ca="1"/>
        <v>603.36</v>
      </c>
      <c r="I94" vm="913">
        <f ca="1"/>
        <v>267.67</v>
      </c>
      <c r="J94" vm="914">
        <f ca="1"/>
        <v>76.319999999999993</v>
      </c>
      <c r="K94" vm="915">
        <f ca="1"/>
        <v>92.24</v>
      </c>
    </row>
    <row r="95" spans="1:11" x14ac:dyDescent="0.4">
      <c r="A95" vm="916">
        <f ca="1"/>
        <v>45701</v>
      </c>
      <c r="B95" vm="917">
        <f ca="1"/>
        <v>241.53</v>
      </c>
      <c r="C95" vm="918">
        <f ca="1"/>
        <v>135.29</v>
      </c>
      <c r="D95" vm="919">
        <f ca="1"/>
        <v>410.54</v>
      </c>
      <c r="E95" vm="920">
        <f ca="1"/>
        <v>728.56</v>
      </c>
      <c r="F95" vm="921">
        <f ca="1"/>
        <v>186.14</v>
      </c>
      <c r="G95" vm="922">
        <f ca="1"/>
        <v>609.73</v>
      </c>
      <c r="I95" vm="923">
        <f ca="1"/>
        <v>270.31</v>
      </c>
      <c r="J95" vm="924">
        <f ca="1"/>
        <v>76.39</v>
      </c>
      <c r="K95" vm="925">
        <f ca="1"/>
        <v>92.93</v>
      </c>
    </row>
    <row r="96" spans="1:11" x14ac:dyDescent="0.4">
      <c r="A96" vm="926">
        <f ca="1"/>
        <v>45702</v>
      </c>
      <c r="B96" vm="927">
        <f ca="1"/>
        <v>244.6</v>
      </c>
      <c r="C96" vm="928">
        <f ca="1"/>
        <v>138.85</v>
      </c>
      <c r="D96" vm="929">
        <f ca="1"/>
        <v>408.43</v>
      </c>
      <c r="E96" vm="930">
        <f ca="1"/>
        <v>736.67</v>
      </c>
      <c r="F96" vm="931">
        <f ca="1"/>
        <v>185.23</v>
      </c>
      <c r="G96" vm="932">
        <f ca="1"/>
        <v>609.70000000000005</v>
      </c>
      <c r="I96" vm="933">
        <f ca="1"/>
        <v>266.29000000000002</v>
      </c>
      <c r="J96" vm="934">
        <f ca="1"/>
        <v>75.819999999999993</v>
      </c>
      <c r="K96" vm="350">
        <f ca="1"/>
        <v>93.32</v>
      </c>
    </row>
    <row r="97" spans="1:11" x14ac:dyDescent="0.4">
      <c r="A97" vm="935">
        <f ca="1"/>
        <v>45706</v>
      </c>
      <c r="B97" vm="936">
        <f ca="1"/>
        <v>244.47</v>
      </c>
      <c r="C97" vm="937">
        <f ca="1"/>
        <v>139.4</v>
      </c>
      <c r="D97" vm="938">
        <f ca="1"/>
        <v>409.64</v>
      </c>
      <c r="E97" vm="939">
        <f ca="1"/>
        <v>716.37</v>
      </c>
      <c r="F97" vm="940">
        <f ca="1"/>
        <v>183.77</v>
      </c>
      <c r="G97" vm="941">
        <f ca="1"/>
        <v>611.49</v>
      </c>
      <c r="I97" vm="942">
        <f ca="1"/>
        <v>270.7</v>
      </c>
      <c r="J97" vm="943">
        <f ca="1"/>
        <v>76.959999999999994</v>
      </c>
      <c r="K97" vm="944">
        <f ca="1"/>
        <v>92.82</v>
      </c>
    </row>
    <row r="98" spans="1:11" x14ac:dyDescent="0.4">
      <c r="A98" vm="945">
        <f ca="1"/>
        <v>45707</v>
      </c>
      <c r="B98" vm="946">
        <f ca="1"/>
        <v>244.87</v>
      </c>
      <c r="C98" vm="947">
        <f ca="1"/>
        <v>139.22999999999999</v>
      </c>
      <c r="D98" vm="948">
        <f ca="1"/>
        <v>414.77</v>
      </c>
      <c r="E98" vm="949">
        <f ca="1"/>
        <v>703.77</v>
      </c>
      <c r="F98" vm="950">
        <f ca="1"/>
        <v>185.27</v>
      </c>
      <c r="G98" vm="951">
        <f ca="1"/>
        <v>612.92999999999995</v>
      </c>
      <c r="I98" vm="952">
        <f ca="1"/>
        <v>270.85000000000002</v>
      </c>
      <c r="J98" vm="953">
        <f ca="1"/>
        <v>77.45</v>
      </c>
      <c r="K98" vm="817">
        <f ca="1"/>
        <v>92.97</v>
      </c>
    </row>
    <row r="99" spans="1:11" x14ac:dyDescent="0.4">
      <c r="A99" vm="954">
        <f ca="1"/>
        <v>45708</v>
      </c>
      <c r="B99" vm="955">
        <f ca="1"/>
        <v>245.83</v>
      </c>
      <c r="C99" vm="682">
        <f ca="1"/>
        <v>140.11000000000001</v>
      </c>
      <c r="D99" vm="956">
        <f ca="1"/>
        <v>416.13</v>
      </c>
      <c r="E99" vm="957">
        <f ca="1"/>
        <v>694.84</v>
      </c>
      <c r="F99" vm="958">
        <f ca="1"/>
        <v>184.56</v>
      </c>
      <c r="G99" vm="959">
        <f ca="1"/>
        <v>610.38</v>
      </c>
      <c r="I99" vm="960">
        <f ca="1"/>
        <v>270.99</v>
      </c>
      <c r="J99" vm="961">
        <f ca="1"/>
        <v>77.760000000000005</v>
      </c>
      <c r="K99" vm="962">
        <f ca="1"/>
        <v>93.16</v>
      </c>
    </row>
    <row r="100" spans="1:11" x14ac:dyDescent="0.4">
      <c r="A100" vm="963">
        <f ca="1"/>
        <v>45709</v>
      </c>
      <c r="B100" vm="964">
        <f ca="1"/>
        <v>245.55</v>
      </c>
      <c r="C100" vm="965">
        <f ca="1"/>
        <v>134.43</v>
      </c>
      <c r="D100" vm="966">
        <f ca="1"/>
        <v>408.21</v>
      </c>
      <c r="E100" vm="967">
        <f ca="1"/>
        <v>683.55</v>
      </c>
      <c r="F100" vm="968">
        <f ca="1"/>
        <v>179.66</v>
      </c>
      <c r="G100" vm="969">
        <f ca="1"/>
        <v>599.94000000000005</v>
      </c>
      <c r="I100" vm="970">
        <f ca="1"/>
        <v>270.74</v>
      </c>
      <c r="J100" vm="971">
        <f ca="1"/>
        <v>75.349999999999994</v>
      </c>
      <c r="K100" vm="972">
        <f ca="1"/>
        <v>93.71</v>
      </c>
    </row>
    <row r="101" spans="1:11" x14ac:dyDescent="0.4">
      <c r="A101" vm="973">
        <f ca="1"/>
        <v>45712</v>
      </c>
      <c r="B101" vm="974">
        <f ca="1"/>
        <v>247.1</v>
      </c>
      <c r="C101" vm="975">
        <f ca="1"/>
        <v>130.28</v>
      </c>
      <c r="D101" vm="976">
        <f ca="1"/>
        <v>404</v>
      </c>
      <c r="E101" vm="977">
        <f ca="1"/>
        <v>668.13</v>
      </c>
      <c r="F101" vm="978">
        <f ca="1"/>
        <v>179.25</v>
      </c>
      <c r="G101" vm="979">
        <f ca="1"/>
        <v>597.21</v>
      </c>
      <c r="I101" vm="980">
        <f ca="1"/>
        <v>272.20999999999998</v>
      </c>
      <c r="J101" vm="981">
        <f ca="1"/>
        <v>75.97</v>
      </c>
      <c r="K101" vm="982">
        <f ca="1"/>
        <v>93.91</v>
      </c>
    </row>
    <row r="102" spans="1:11" x14ac:dyDescent="0.4">
      <c r="A102" vm="983">
        <f ca="1"/>
        <v>45713</v>
      </c>
      <c r="B102" vm="984">
        <f ca="1"/>
        <v>247.04</v>
      </c>
      <c r="C102" vm="985">
        <f ca="1"/>
        <v>126.63</v>
      </c>
      <c r="D102" vm="986">
        <f ca="1"/>
        <v>397.9</v>
      </c>
      <c r="E102" vm="987">
        <f ca="1"/>
        <v>657.5</v>
      </c>
      <c r="F102" vm="988">
        <f ca="1"/>
        <v>175.42</v>
      </c>
      <c r="G102" vm="989">
        <f ca="1"/>
        <v>594.24</v>
      </c>
      <c r="I102" vm="990">
        <f ca="1"/>
        <v>268.62</v>
      </c>
      <c r="J102" vm="991">
        <f ca="1"/>
        <v>74.13</v>
      </c>
      <c r="K102" vm="992">
        <f ca="1"/>
        <v>94.65</v>
      </c>
    </row>
    <row r="103" spans="1:11" x14ac:dyDescent="0.4">
      <c r="A103" vm="993">
        <f ca="1"/>
        <v>45714</v>
      </c>
      <c r="B103" vm="994">
        <f ca="1"/>
        <v>240.36</v>
      </c>
      <c r="C103" vm="995">
        <f ca="1"/>
        <v>131.28</v>
      </c>
      <c r="D103" vm="996">
        <f ca="1"/>
        <v>399.73</v>
      </c>
      <c r="E103" vm="997">
        <f ca="1"/>
        <v>673.7</v>
      </c>
      <c r="F103" vm="998">
        <f ca="1"/>
        <v>172.73</v>
      </c>
      <c r="G103" vm="999">
        <f ca="1"/>
        <v>594.54</v>
      </c>
      <c r="I103" vm="1000">
        <f ca="1"/>
        <v>269.02999999999997</v>
      </c>
      <c r="J103" vm="620">
        <f ca="1"/>
        <v>73.849999999999994</v>
      </c>
      <c r="K103" vm="1001">
        <f ca="1"/>
        <v>94.91</v>
      </c>
    </row>
    <row r="104" spans="1:11" x14ac:dyDescent="0.4">
      <c r="A104" vm="1002">
        <f ca="1"/>
        <v>45715</v>
      </c>
      <c r="B104" vm="1003">
        <f ca="1"/>
        <v>237.3</v>
      </c>
      <c r="C104" vm="1004">
        <f ca="1"/>
        <v>120.15</v>
      </c>
      <c r="D104" vm="1005">
        <f ca="1"/>
        <v>392.53</v>
      </c>
      <c r="E104" vm="1006">
        <f ca="1"/>
        <v>658.24</v>
      </c>
      <c r="F104" vm="1007">
        <f ca="1"/>
        <v>168.5</v>
      </c>
      <c r="G104" vm="1008">
        <f ca="1"/>
        <v>585.04999999999995</v>
      </c>
      <c r="I104" vm="1009">
        <f ca="1"/>
        <v>264.93</v>
      </c>
      <c r="J104" vm="1010">
        <f ca="1"/>
        <v>75.28</v>
      </c>
      <c r="K104" vm="1011">
        <f ca="1"/>
        <v>94.8</v>
      </c>
    </row>
    <row r="105" spans="1:11" x14ac:dyDescent="0.4">
      <c r="A105" vm="1012">
        <f ca="1"/>
        <v>45716</v>
      </c>
      <c r="B105" vm="1013">
        <f ca="1"/>
        <v>241.84</v>
      </c>
      <c r="C105" vm="48">
        <f ca="1"/>
        <v>124.92</v>
      </c>
      <c r="D105" vm="1014">
        <f ca="1"/>
        <v>396.99</v>
      </c>
      <c r="E105" vm="1015">
        <f ca="1"/>
        <v>668.2</v>
      </c>
      <c r="F105" vm="1016">
        <f ca="1"/>
        <v>170.28</v>
      </c>
      <c r="G105" vm="1017">
        <f ca="1"/>
        <v>594.17999999999995</v>
      </c>
      <c r="I105" vm="1018">
        <f ca="1"/>
        <v>263.27</v>
      </c>
      <c r="J105" vm="1019">
        <f ca="1"/>
        <v>75.22</v>
      </c>
      <c r="K105" vm="1020">
        <f ca="1"/>
        <v>95.32</v>
      </c>
    </row>
    <row r="106" spans="1:11" x14ac:dyDescent="0.4">
      <c r="A106" vm="1021">
        <f ca="1"/>
        <v>45719</v>
      </c>
      <c r="B106" vm="1022">
        <f ca="1"/>
        <v>238.03</v>
      </c>
      <c r="C106" vm="1023">
        <f ca="1"/>
        <v>114.06</v>
      </c>
      <c r="D106" vm="1024">
        <f ca="1"/>
        <v>388.49</v>
      </c>
      <c r="E106" vm="1025">
        <f ca="1"/>
        <v>655.04999999999995</v>
      </c>
      <c r="F106" vm="1026">
        <f ca="1"/>
        <v>167.01</v>
      </c>
      <c r="G106" vm="1027">
        <f ca="1"/>
        <v>583.77</v>
      </c>
      <c r="I106" vm="1028">
        <f ca="1"/>
        <v>266.74</v>
      </c>
      <c r="J106" vm="1029">
        <f ca="1"/>
        <v>73.319999999999993</v>
      </c>
      <c r="K106" vm="1030">
        <f ca="1"/>
        <v>95.39</v>
      </c>
    </row>
    <row r="107" spans="1:11" x14ac:dyDescent="0.4">
      <c r="A107" vm="1031">
        <f ca="1"/>
        <v>45720</v>
      </c>
      <c r="B107" vm="1032">
        <f ca="1"/>
        <v>235.93</v>
      </c>
      <c r="C107" vm="1033">
        <f ca="1"/>
        <v>115.99</v>
      </c>
      <c r="D107" vm="1034">
        <f ca="1"/>
        <v>388.61</v>
      </c>
      <c r="E107" vm="1035">
        <f ca="1"/>
        <v>640</v>
      </c>
      <c r="F107" vm="1036">
        <f ca="1"/>
        <v>170.92</v>
      </c>
      <c r="G107" vm="1037">
        <f ca="1"/>
        <v>576.86</v>
      </c>
      <c r="I107" vm="1038">
        <f ca="1"/>
        <v>269.06</v>
      </c>
      <c r="J107" vm="1039">
        <f ca="1"/>
        <v>73.31</v>
      </c>
      <c r="K107" vm="1040">
        <f ca="1"/>
        <v>95.09</v>
      </c>
    </row>
    <row r="108" spans="1:11" x14ac:dyDescent="0.4">
      <c r="A108" vm="1041">
        <f ca="1"/>
        <v>45721</v>
      </c>
      <c r="B108" vm="1042">
        <f ca="1"/>
        <v>235.74</v>
      </c>
      <c r="C108" vm="1043">
        <f ca="1"/>
        <v>117.3</v>
      </c>
      <c r="D108" vm="1044">
        <f ca="1"/>
        <v>401.02</v>
      </c>
      <c r="E108" vm="1045">
        <f ca="1"/>
        <v>656.47</v>
      </c>
      <c r="F108" vm="1046">
        <f ca="1"/>
        <v>173.02</v>
      </c>
      <c r="G108" vm="1047">
        <f ca="1"/>
        <v>583.05999999999995</v>
      </c>
      <c r="I108" vm="1048">
        <f ca="1"/>
        <v>269.62</v>
      </c>
      <c r="J108" vm="1049">
        <f ca="1"/>
        <v>71.42</v>
      </c>
      <c r="K108" vm="1050">
        <f ca="1"/>
        <v>94.56</v>
      </c>
    </row>
    <row r="109" spans="1:11" x14ac:dyDescent="0.4">
      <c r="A109" vm="1051">
        <f ca="1"/>
        <v>45722</v>
      </c>
      <c r="B109" vm="1052">
        <f ca="1"/>
        <v>235.33</v>
      </c>
      <c r="C109" vm="1053">
        <f ca="1"/>
        <v>110.57</v>
      </c>
      <c r="D109" vm="1054">
        <f ca="1"/>
        <v>396.89</v>
      </c>
      <c r="E109" vm="1055">
        <f ca="1"/>
        <v>627.92999999999995</v>
      </c>
      <c r="F109" vm="1056">
        <f ca="1"/>
        <v>172.35</v>
      </c>
      <c r="G109" vm="1057">
        <f ca="1"/>
        <v>572.71</v>
      </c>
      <c r="I109" vm="1058">
        <f ca="1"/>
        <v>268.25</v>
      </c>
      <c r="J109" vm="1059">
        <f ca="1"/>
        <v>71.13</v>
      </c>
      <c r="K109" vm="1060">
        <f ca="1"/>
        <v>94.51</v>
      </c>
    </row>
    <row r="110" spans="1:11" x14ac:dyDescent="0.4">
      <c r="A110" vm="1061">
        <f ca="1"/>
        <v>45723</v>
      </c>
      <c r="B110" vm="1062">
        <f ca="1"/>
        <v>239.07</v>
      </c>
      <c r="C110" vm="1063">
        <f ca="1"/>
        <v>112.69</v>
      </c>
      <c r="D110" vm="1064">
        <f ca="1"/>
        <v>393.31</v>
      </c>
      <c r="E110" vm="1065">
        <f ca="1"/>
        <v>625.66</v>
      </c>
      <c r="F110" vm="1066">
        <f ca="1"/>
        <v>173.86</v>
      </c>
      <c r="G110" vm="1067">
        <f ca="1"/>
        <v>575.91999999999996</v>
      </c>
      <c r="I110" vm="1068">
        <f ca="1"/>
        <v>268.39</v>
      </c>
      <c r="J110" vm="1069">
        <f ca="1"/>
        <v>72.09</v>
      </c>
      <c r="K110" vm="1070">
        <f ca="1"/>
        <v>94.39</v>
      </c>
    </row>
    <row r="111" spans="1:11" x14ac:dyDescent="0.4">
      <c r="A111" vm="1071">
        <f ca="1"/>
        <v>45726</v>
      </c>
      <c r="B111" vm="283">
        <f ca="1"/>
        <v>227.48</v>
      </c>
      <c r="C111" vm="1072">
        <f ca="1"/>
        <v>106.98</v>
      </c>
      <c r="D111" vm="1073">
        <f ca="1"/>
        <v>380.16</v>
      </c>
      <c r="E111" vm="1074">
        <f ca="1"/>
        <v>597.99</v>
      </c>
      <c r="F111" vm="1075">
        <f ca="1"/>
        <v>165.87</v>
      </c>
      <c r="G111" vm="1076">
        <f ca="1"/>
        <v>560.58000000000004</v>
      </c>
      <c r="I111" vm="1077">
        <f ca="1"/>
        <v>266.04000000000002</v>
      </c>
      <c r="J111" vm="1078">
        <f ca="1"/>
        <v>70.89</v>
      </c>
      <c r="K111" vm="1079">
        <f ca="1"/>
        <v>95.05</v>
      </c>
    </row>
    <row r="112" spans="1:11" x14ac:dyDescent="0.4">
      <c r="A112" vm="1080">
        <f ca="1"/>
        <v>45727</v>
      </c>
      <c r="B112" vm="1081">
        <f ca="1"/>
        <v>220.84</v>
      </c>
      <c r="C112" vm="1082">
        <f ca="1"/>
        <v>108.76</v>
      </c>
      <c r="D112" vm="1083">
        <f ca="1"/>
        <v>380.45</v>
      </c>
      <c r="E112" vm="1084">
        <f ca="1"/>
        <v>605.71</v>
      </c>
      <c r="F112" vm="1085">
        <f ca="1"/>
        <v>164.04</v>
      </c>
      <c r="G112" vm="1086">
        <f ca="1"/>
        <v>555.91999999999996</v>
      </c>
      <c r="I112" vm="1087">
        <f ca="1"/>
        <v>269.16000000000003</v>
      </c>
      <c r="J112" vm="1088">
        <f ca="1"/>
        <v>71.45</v>
      </c>
      <c r="K112" vm="221">
        <f ca="1"/>
        <v>94.71</v>
      </c>
    </row>
    <row r="113" spans="1:11" x14ac:dyDescent="0.4">
      <c r="A113" vm="1089">
        <f ca="1"/>
        <v>45728</v>
      </c>
      <c r="B113" vm="1090">
        <f ca="1"/>
        <v>216.98</v>
      </c>
      <c r="C113" vm="1091">
        <f ca="1"/>
        <v>115.74</v>
      </c>
      <c r="D113" vm="1092">
        <f ca="1"/>
        <v>383.27</v>
      </c>
      <c r="E113" vm="1093">
        <f ca="1"/>
        <v>619.55999999999995</v>
      </c>
      <c r="F113" vm="1094">
        <f ca="1"/>
        <v>167.11</v>
      </c>
      <c r="G113" vm="1095">
        <f ca="1"/>
        <v>558.87</v>
      </c>
      <c r="I113" vm="1096">
        <f ca="1"/>
        <v>270.33</v>
      </c>
      <c r="J113" vm="1097">
        <f ca="1"/>
        <v>72.8</v>
      </c>
      <c r="K113" vm="1098">
        <f ca="1"/>
        <v>94.43</v>
      </c>
    </row>
    <row r="114" spans="1:11" x14ac:dyDescent="0.4">
      <c r="A114" vm="1099">
        <f ca="1"/>
        <v>45729</v>
      </c>
      <c r="B114" vm="1100">
        <f ca="1"/>
        <v>209.68</v>
      </c>
      <c r="C114" vm="1101">
        <f ca="1"/>
        <v>115.58</v>
      </c>
      <c r="D114" vm="1102">
        <f ca="1"/>
        <v>378.77</v>
      </c>
      <c r="E114" vm="1103">
        <f ca="1"/>
        <v>590.64</v>
      </c>
      <c r="F114" vm="1104">
        <f ca="1"/>
        <v>162.76</v>
      </c>
      <c r="G114" vm="1105">
        <f ca="1"/>
        <v>551.41999999999996</v>
      </c>
      <c r="I114" vm="1106">
        <f ca="1"/>
        <v>275.13</v>
      </c>
      <c r="J114" vm="1107">
        <f ca="1"/>
        <v>71.62</v>
      </c>
      <c r="K114" vm="1108">
        <f ca="1"/>
        <v>94.81</v>
      </c>
    </row>
    <row r="115" spans="1:11" x14ac:dyDescent="0.4">
      <c r="A115" vm="1109">
        <f ca="1"/>
        <v>45730</v>
      </c>
      <c r="B115" vm="1110">
        <f ca="1"/>
        <v>213.49</v>
      </c>
      <c r="C115" vm="1111">
        <f ca="1"/>
        <v>121.67</v>
      </c>
      <c r="D115" vm="1112">
        <f ca="1"/>
        <v>388.56</v>
      </c>
      <c r="E115" vm="1113">
        <f ca="1"/>
        <v>607.6</v>
      </c>
      <c r="F115" vm="1114">
        <f ca="1"/>
        <v>165.49</v>
      </c>
      <c r="G115" vm="1115">
        <f ca="1"/>
        <v>562.80999999999995</v>
      </c>
      <c r="I115" vm="1116">
        <f ca="1"/>
        <v>275.24</v>
      </c>
      <c r="J115" vm="1117">
        <f ca="1"/>
        <v>72.28</v>
      </c>
      <c r="K115" vm="1118">
        <f ca="1"/>
        <v>94.48</v>
      </c>
    </row>
    <row r="116" spans="1:11" x14ac:dyDescent="0.4">
      <c r="A116" vm="1119">
        <f ca="1"/>
        <v>45733</v>
      </c>
      <c r="B116" vm="1120">
        <f ca="1"/>
        <v>214</v>
      </c>
      <c r="C116" vm="1121">
        <f ca="1"/>
        <v>119.53</v>
      </c>
      <c r="D116" vm="1122">
        <f ca="1"/>
        <v>388.7</v>
      </c>
      <c r="E116" vm="1123">
        <f ca="1"/>
        <v>604.9</v>
      </c>
      <c r="F116" vm="1124">
        <f ca="1"/>
        <v>164.29</v>
      </c>
      <c r="G116" vm="1125">
        <f ca="1"/>
        <v>567.15</v>
      </c>
      <c r="I116" vm="1126">
        <f ca="1"/>
        <v>276.73</v>
      </c>
      <c r="J116" vm="1127">
        <f ca="1"/>
        <v>72.709999999999994</v>
      </c>
      <c r="K116" vm="1050">
        <f ca="1"/>
        <v>94.56</v>
      </c>
    </row>
    <row r="117" spans="1:11" x14ac:dyDescent="0.4">
      <c r="A117" vm="1128">
        <f ca="1"/>
        <v>45734</v>
      </c>
      <c r="B117" vm="1129">
        <f ca="1"/>
        <v>212.69</v>
      </c>
      <c r="C117" vm="1130">
        <f ca="1"/>
        <v>115.43</v>
      </c>
      <c r="D117" vm="1131">
        <f ca="1"/>
        <v>383.52</v>
      </c>
      <c r="E117" vm="1132">
        <f ca="1"/>
        <v>582.36</v>
      </c>
      <c r="F117" vm="1133">
        <f ca="1"/>
        <v>160.66999999999999</v>
      </c>
      <c r="G117" vm="1134">
        <f ca="1"/>
        <v>561.02</v>
      </c>
      <c r="I117" vm="1135">
        <f ca="1"/>
        <v>279.95999999999998</v>
      </c>
      <c r="J117" vm="1136">
        <f ca="1"/>
        <v>72.209999999999994</v>
      </c>
      <c r="K117" vm="211">
        <f ca="1"/>
        <v>94.67</v>
      </c>
    </row>
    <row r="118" spans="1:11" x14ac:dyDescent="0.4">
      <c r="A118" vm="1137">
        <f ca="1"/>
        <v>45735</v>
      </c>
      <c r="B118" vm="1138">
        <f ca="1"/>
        <v>215.24</v>
      </c>
      <c r="C118" vm="1139">
        <f ca="1"/>
        <v>117.52</v>
      </c>
      <c r="D118" vm="1140">
        <f ca="1"/>
        <v>387.82</v>
      </c>
      <c r="E118" vm="1141">
        <f ca="1"/>
        <v>584.05999999999995</v>
      </c>
      <c r="F118" vm="1142">
        <f ca="1"/>
        <v>163.89</v>
      </c>
      <c r="G118" vm="1143">
        <f ca="1"/>
        <v>567.13</v>
      </c>
      <c r="I118" vm="1144">
        <f ca="1"/>
        <v>281.11</v>
      </c>
      <c r="J118" vm="1145">
        <f ca="1"/>
        <v>72.42</v>
      </c>
      <c r="K118" vm="1146">
        <f ca="1"/>
        <v>94.96</v>
      </c>
    </row>
    <row r="119" spans="1:11" x14ac:dyDescent="0.4">
      <c r="A119" vm="1147">
        <f ca="1"/>
        <v>45736</v>
      </c>
      <c r="B119" vm="1148">
        <f ca="1"/>
        <v>214.1</v>
      </c>
      <c r="C119" vm="1149">
        <f ca="1"/>
        <v>118.53</v>
      </c>
      <c r="D119" vm="1150">
        <f ca="1"/>
        <v>386.84</v>
      </c>
      <c r="E119" vm="1151">
        <f ca="1"/>
        <v>586</v>
      </c>
      <c r="F119" vm="1152">
        <f ca="1"/>
        <v>162.80000000000001</v>
      </c>
      <c r="G119" vm="1153">
        <f ca="1"/>
        <v>565.49</v>
      </c>
      <c r="I119" vm="1154">
        <f ca="1"/>
        <v>280.75</v>
      </c>
      <c r="J119" vm="1155">
        <f ca="1"/>
        <v>73.73</v>
      </c>
      <c r="K119" vm="192">
        <f ca="1"/>
        <v>95.1</v>
      </c>
    </row>
    <row r="120" spans="1:11" x14ac:dyDescent="0.4">
      <c r="A120" vm="1156">
        <f ca="1"/>
        <v>45737</v>
      </c>
      <c r="B120" vm="1157">
        <f ca="1"/>
        <v>218.27</v>
      </c>
      <c r="C120" vm="1158">
        <f ca="1"/>
        <v>117.7</v>
      </c>
      <c r="D120" vm="1159">
        <f ca="1"/>
        <v>391.26</v>
      </c>
      <c r="E120" vm="1160">
        <f ca="1"/>
        <v>596.25</v>
      </c>
      <c r="F120" vm="1161">
        <f ca="1"/>
        <v>163.99</v>
      </c>
      <c r="G120" vm="1162">
        <f ca="1"/>
        <v>563.98</v>
      </c>
      <c r="I120" vm="1163">
        <f ca="1"/>
        <v>278.49</v>
      </c>
      <c r="J120" vm="1164">
        <f ca="1"/>
        <v>73.790000000000006</v>
      </c>
      <c r="K120" vm="1165">
        <f ca="1"/>
        <v>95.02</v>
      </c>
    </row>
    <row r="121" spans="1:11" x14ac:dyDescent="0.4">
      <c r="A121" vm="1166">
        <f ca="1"/>
        <v>45740</v>
      </c>
      <c r="B121" vm="1167">
        <f ca="1"/>
        <v>220.73</v>
      </c>
      <c r="C121" vm="1168">
        <f ca="1"/>
        <v>121.41</v>
      </c>
      <c r="D121" vm="1169">
        <f ca="1"/>
        <v>393.08</v>
      </c>
      <c r="E121" vm="1170">
        <f ca="1"/>
        <v>618.85</v>
      </c>
      <c r="F121" vm="1171">
        <f ca="1"/>
        <v>167.68</v>
      </c>
      <c r="G121" vm="1172">
        <f ca="1"/>
        <v>574.08000000000004</v>
      </c>
      <c r="I121" vm="1173">
        <f ca="1"/>
        <v>277.25</v>
      </c>
      <c r="J121" vm="1174">
        <f ca="1"/>
        <v>74.88</v>
      </c>
      <c r="K121" vm="1175">
        <f ca="1"/>
        <v>94.47</v>
      </c>
    </row>
    <row r="122" spans="1:11" x14ac:dyDescent="0.4">
      <c r="A122" vm="1176">
        <f ca="1"/>
        <v>45741</v>
      </c>
      <c r="B122" vm="1177">
        <f ca="1"/>
        <v>223.75</v>
      </c>
      <c r="C122" vm="1178">
        <f ca="1"/>
        <v>120.69</v>
      </c>
      <c r="D122" vm="1179">
        <f ca="1"/>
        <v>395.16</v>
      </c>
      <c r="E122" vm="1180">
        <f ca="1"/>
        <v>626.30999999999995</v>
      </c>
      <c r="F122" vm="1181">
        <f ca="1"/>
        <v>170.56</v>
      </c>
      <c r="G122" vm="1182">
        <f ca="1"/>
        <v>575.46</v>
      </c>
      <c r="I122" vm="1183">
        <f ca="1"/>
        <v>278.47000000000003</v>
      </c>
      <c r="J122" vm="630">
        <f ca="1"/>
        <v>74.819999999999993</v>
      </c>
      <c r="K122" vm="1184">
        <f ca="1"/>
        <v>94.63</v>
      </c>
    </row>
    <row r="123" spans="1:11" x14ac:dyDescent="0.4">
      <c r="A123" vm="1185">
        <f ca="1"/>
        <v>45742</v>
      </c>
      <c r="B123" vm="1186">
        <f ca="1"/>
        <v>221.53</v>
      </c>
      <c r="C123" vm="1187">
        <f ca="1"/>
        <v>113.76</v>
      </c>
      <c r="D123" vm="1188">
        <f ca="1"/>
        <v>389.97</v>
      </c>
      <c r="E123" vm="1189">
        <f ca="1"/>
        <v>610.98</v>
      </c>
      <c r="F123" vm="1190">
        <f ca="1"/>
        <v>165.06</v>
      </c>
      <c r="G123" vm="1191">
        <f ca="1"/>
        <v>568.59</v>
      </c>
      <c r="I123" vm="1192">
        <f ca="1"/>
        <v>278.24</v>
      </c>
      <c r="J123" vm="1193">
        <f ca="1"/>
        <v>75.42</v>
      </c>
      <c r="K123" vm="419">
        <f ca="1"/>
        <v>94.41</v>
      </c>
    </row>
    <row r="124" spans="1:11" x14ac:dyDescent="0.4">
      <c r="A124" vm="1194">
        <f ca="1"/>
        <v>45743</v>
      </c>
      <c r="B124" vm="1195">
        <f ca="1"/>
        <v>223.85</v>
      </c>
      <c r="C124" vm="1196">
        <f ca="1"/>
        <v>111.43</v>
      </c>
      <c r="D124" vm="1197">
        <f ca="1"/>
        <v>390.58</v>
      </c>
      <c r="E124" vm="1198">
        <f ca="1"/>
        <v>602.58000000000004</v>
      </c>
      <c r="F124" vm="1199">
        <f ca="1"/>
        <v>162.24</v>
      </c>
      <c r="G124" vm="1200">
        <f ca="1"/>
        <v>567.08000000000004</v>
      </c>
      <c r="I124" vm="1201">
        <f ca="1"/>
        <v>281.97000000000003</v>
      </c>
      <c r="J124" vm="1202">
        <f ca="1"/>
        <v>75.48</v>
      </c>
      <c r="K124" vm="1203">
        <f ca="1"/>
        <v>94.33</v>
      </c>
    </row>
    <row r="125" spans="1:11" x14ac:dyDescent="0.4">
      <c r="A125" vm="1204">
        <f ca="1"/>
        <v>45744</v>
      </c>
      <c r="B125" vm="1205">
        <f ca="1"/>
        <v>217.9</v>
      </c>
      <c r="C125" vm="1206">
        <f ca="1"/>
        <v>109.67</v>
      </c>
      <c r="D125" vm="1207">
        <f ca="1"/>
        <v>378.8</v>
      </c>
      <c r="E125" vm="1208">
        <f ca="1"/>
        <v>576.74</v>
      </c>
      <c r="F125" vm="1209">
        <f ca="1"/>
        <v>154.33000000000001</v>
      </c>
      <c r="G125" vm="1210">
        <f ca="1"/>
        <v>555.66</v>
      </c>
      <c r="I125" vm="1211">
        <f ca="1"/>
        <v>284.06</v>
      </c>
      <c r="J125" vm="1212">
        <f ca="1"/>
        <v>74.77</v>
      </c>
      <c r="K125" vm="1040">
        <f ca="1"/>
        <v>95.09</v>
      </c>
    </row>
    <row r="126" spans="1:11" x14ac:dyDescent="0.4">
      <c r="A126" vm="1213">
        <f ca="1"/>
        <v>45747</v>
      </c>
      <c r="B126" vm="1214">
        <f ca="1"/>
        <v>222.13</v>
      </c>
      <c r="C126" vm="1215">
        <f ca="1"/>
        <v>108.38</v>
      </c>
      <c r="D126" vm="1216">
        <f ca="1"/>
        <v>375.39</v>
      </c>
      <c r="E126" vm="1217">
        <f ca="1"/>
        <v>576.36</v>
      </c>
      <c r="F126" vm="1218">
        <f ca="1"/>
        <v>154.63999999999999</v>
      </c>
      <c r="G126" vm="1219">
        <f ca="1"/>
        <v>559.39</v>
      </c>
      <c r="I126" vm="1220">
        <f ca="1"/>
        <v>288.14</v>
      </c>
      <c r="J126" vm="1221">
        <f ca="1"/>
        <v>77.33</v>
      </c>
      <c r="K126" vm="1222">
        <f ca="1"/>
        <v>95.37</v>
      </c>
    </row>
    <row r="127" spans="1:11" x14ac:dyDescent="0.4">
      <c r="A127" vm="1223">
        <f ca="1"/>
        <v>45748</v>
      </c>
      <c r="B127" vm="1224">
        <f ca="1"/>
        <v>223.19</v>
      </c>
      <c r="C127" vm="1225">
        <f ca="1"/>
        <v>110.15</v>
      </c>
      <c r="D127" vm="1226">
        <f ca="1"/>
        <v>382.19</v>
      </c>
      <c r="E127" vm="1151">
        <f ca="1"/>
        <v>586</v>
      </c>
      <c r="F127" vm="1227">
        <f ca="1"/>
        <v>157.07</v>
      </c>
      <c r="G127" vm="1228">
        <f ca="1"/>
        <v>560.97</v>
      </c>
      <c r="I127" vm="1229">
        <f ca="1"/>
        <v>287.57</v>
      </c>
      <c r="J127" vm="1230">
        <f ca="1"/>
        <v>77.08</v>
      </c>
      <c r="K127" vm="1231">
        <f ca="1"/>
        <v>95.4</v>
      </c>
    </row>
    <row r="128" spans="1:11" x14ac:dyDescent="0.4">
      <c r="A128" vm="1232">
        <f ca="1"/>
        <v>45749</v>
      </c>
      <c r="B128" vm="1233">
        <f ca="1"/>
        <v>223.89</v>
      </c>
      <c r="C128" vm="1234">
        <f ca="1"/>
        <v>110.42</v>
      </c>
      <c r="D128" vm="1235">
        <f ca="1"/>
        <v>382.14</v>
      </c>
      <c r="E128" vm="1236">
        <f ca="1"/>
        <v>583.92999999999995</v>
      </c>
      <c r="F128" vm="1237">
        <f ca="1"/>
        <v>157.04</v>
      </c>
      <c r="G128" vm="1238">
        <f ca="1"/>
        <v>564.52</v>
      </c>
      <c r="I128" vm="1239">
        <f ca="1"/>
        <v>288.16000000000003</v>
      </c>
      <c r="J128" vm="1240">
        <f ca="1"/>
        <v>77.739999999999995</v>
      </c>
      <c r="K128" vm="1241">
        <f ca="1"/>
        <v>95.31</v>
      </c>
    </row>
    <row r="129" spans="1:11" x14ac:dyDescent="0.4">
      <c r="A129" vm="1242">
        <f ca="1"/>
        <v>45750</v>
      </c>
      <c r="B129" vm="1243">
        <f ca="1"/>
        <v>203.19</v>
      </c>
      <c r="C129" vm="1244">
        <f ca="1"/>
        <v>101.8</v>
      </c>
      <c r="D129" vm="1245">
        <f ca="1"/>
        <v>373.11</v>
      </c>
      <c r="E129" vm="1246">
        <f ca="1"/>
        <v>531.62</v>
      </c>
      <c r="F129" vm="1247">
        <f ca="1"/>
        <v>150.72</v>
      </c>
      <c r="G129" vm="1248">
        <f ca="1"/>
        <v>536.70000000000005</v>
      </c>
      <c r="I129" vm="1249">
        <f ca="1"/>
        <v>286.42</v>
      </c>
      <c r="J129" vm="1250">
        <f ca="1"/>
        <v>72.25</v>
      </c>
      <c r="K129" vm="1251">
        <f ca="1"/>
        <v>96.29</v>
      </c>
    </row>
    <row r="130" spans="1:11" x14ac:dyDescent="0.4">
      <c r="A130" vm="1252">
        <f ca="1"/>
        <v>45751</v>
      </c>
      <c r="B130" vm="1253">
        <f ca="1"/>
        <v>188.38</v>
      </c>
      <c r="C130" vm="1254">
        <f ca="1"/>
        <v>94.31</v>
      </c>
      <c r="D130" vm="1255">
        <f ca="1"/>
        <v>359.84</v>
      </c>
      <c r="E130" vm="1256">
        <f ca="1"/>
        <v>504.73</v>
      </c>
      <c r="F130" vm="1257">
        <f ca="1"/>
        <v>145.6</v>
      </c>
      <c r="G130" vm="1258">
        <f ca="1"/>
        <v>505.28</v>
      </c>
      <c r="I130" vm="1259">
        <f ca="1"/>
        <v>279.72000000000003</v>
      </c>
      <c r="J130" vm="1260">
        <f ca="1"/>
        <v>67.92</v>
      </c>
      <c r="K130" vm="1261">
        <f ca="1"/>
        <v>96.56</v>
      </c>
    </row>
    <row r="131" spans="1:11" x14ac:dyDescent="0.4">
      <c r="A131" vm="1262">
        <f ca="1"/>
        <v>45754</v>
      </c>
      <c r="B131" vm="1263">
        <f ca="1"/>
        <v>181.46</v>
      </c>
      <c r="C131" vm="1264">
        <f ca="1"/>
        <v>97.64</v>
      </c>
      <c r="D131" vm="1265">
        <f ca="1"/>
        <v>357.86</v>
      </c>
      <c r="E131" vm="1266">
        <f ca="1"/>
        <v>516.25</v>
      </c>
      <c r="F131" vm="1267">
        <f ca="1"/>
        <v>146.75</v>
      </c>
      <c r="G131" vm="1268">
        <f ca="1"/>
        <v>504.38</v>
      </c>
      <c r="I131" vm="1269">
        <f ca="1"/>
        <v>273.70999999999998</v>
      </c>
      <c r="J131" vm="1270">
        <f ca="1"/>
        <v>65.98</v>
      </c>
      <c r="K131" vm="1271">
        <f ca="1"/>
        <v>95.41</v>
      </c>
    </row>
    <row r="132" spans="1:11" x14ac:dyDescent="0.4">
      <c r="A132" vm="1272">
        <f ca="1"/>
        <v>45755</v>
      </c>
      <c r="B132" vm="1273">
        <f ca="1"/>
        <v>172.42</v>
      </c>
      <c r="C132" vm="1274">
        <f ca="1"/>
        <v>96.3</v>
      </c>
      <c r="D132" vm="1275">
        <f ca="1"/>
        <v>354.56</v>
      </c>
      <c r="E132" vm="1276">
        <f ca="1"/>
        <v>510.45</v>
      </c>
      <c r="F132" vm="1277">
        <f ca="1"/>
        <v>144.69999999999999</v>
      </c>
      <c r="G132" vm="1278">
        <f ca="1"/>
        <v>496.48</v>
      </c>
      <c r="I132" vm="1279">
        <f ca="1"/>
        <v>275.2</v>
      </c>
      <c r="J132" vm="1280">
        <f ca="1"/>
        <v>63.34</v>
      </c>
      <c r="K132" vm="1281">
        <f ca="1"/>
        <v>94.93</v>
      </c>
    </row>
    <row r="133" spans="1:11" x14ac:dyDescent="0.4">
      <c r="A133" vm="1282">
        <f ca="1"/>
        <v>45756</v>
      </c>
      <c r="B133" vm="1283">
        <f ca="1"/>
        <v>198.85</v>
      </c>
      <c r="C133" vm="1284">
        <f ca="1"/>
        <v>114.33</v>
      </c>
      <c r="D133" vm="1285">
        <f ca="1"/>
        <v>390.49</v>
      </c>
      <c r="E133" vm="1286">
        <f ca="1"/>
        <v>585.77</v>
      </c>
      <c r="F133" vm="1287">
        <f ca="1"/>
        <v>158.71</v>
      </c>
      <c r="G133" vm="1288">
        <f ca="1"/>
        <v>548.62</v>
      </c>
      <c r="I133" vm="1289">
        <f ca="1"/>
        <v>285.38</v>
      </c>
      <c r="J133" vm="1290">
        <f ca="1"/>
        <v>67.58</v>
      </c>
      <c r="K133" vm="1184">
        <f ca="1"/>
        <v>94.63</v>
      </c>
    </row>
    <row r="134" spans="1:11" x14ac:dyDescent="0.4">
      <c r="A134" vm="1291">
        <f ca="1"/>
        <v>45757</v>
      </c>
      <c r="B134" vm="1292">
        <f ca="1"/>
        <v>190.42</v>
      </c>
      <c r="C134" vm="1293">
        <f ca="1"/>
        <v>107.57</v>
      </c>
      <c r="D134" vm="1294">
        <f ca="1"/>
        <v>381.35</v>
      </c>
      <c r="E134" vm="1295">
        <f ca="1"/>
        <v>546.29</v>
      </c>
      <c r="F134" vm="1296">
        <f ca="1"/>
        <v>152.82</v>
      </c>
      <c r="G134" vm="1297">
        <f ca="1"/>
        <v>524.58000000000004</v>
      </c>
      <c r="I134" vm="1298">
        <f ca="1"/>
        <v>292.35000000000002</v>
      </c>
      <c r="J134" vm="1299">
        <f ca="1"/>
        <v>65.319999999999993</v>
      </c>
      <c r="K134" vm="1300">
        <f ca="1"/>
        <v>94.04</v>
      </c>
    </row>
    <row r="135" spans="1:11" x14ac:dyDescent="0.4">
      <c r="A135" vm="1301">
        <f ca="1"/>
        <v>45758</v>
      </c>
      <c r="B135" vm="1302">
        <f ca="1"/>
        <v>198.15</v>
      </c>
      <c r="C135" vm="1303">
        <f ca="1"/>
        <v>110.93</v>
      </c>
      <c r="D135" vm="1304">
        <f ca="1"/>
        <v>388.45</v>
      </c>
      <c r="E135" vm="1305">
        <f ca="1"/>
        <v>543.57000000000005</v>
      </c>
      <c r="F135" vm="1306">
        <f ca="1"/>
        <v>157.13999999999999</v>
      </c>
      <c r="G135" vm="1307">
        <f ca="1"/>
        <v>533.94000000000005</v>
      </c>
      <c r="I135" vm="1308">
        <f ca="1"/>
        <v>297.93</v>
      </c>
      <c r="J135" vm="1309">
        <f ca="1"/>
        <v>66.459999999999994</v>
      </c>
      <c r="K135" vm="1310">
        <f ca="1"/>
        <v>93.51</v>
      </c>
    </row>
    <row r="136" spans="1:11" x14ac:dyDescent="0.4">
      <c r="A136" vm="1311">
        <f ca="1"/>
        <v>45761</v>
      </c>
      <c r="B136" vm="1312">
        <f ca="1"/>
        <v>202.52</v>
      </c>
      <c r="C136" vm="1313">
        <f ca="1"/>
        <v>110.71</v>
      </c>
      <c r="D136" vm="1314">
        <f ca="1"/>
        <v>387.81</v>
      </c>
      <c r="E136" vm="1315">
        <f ca="1"/>
        <v>531.48</v>
      </c>
      <c r="F136" vm="1316">
        <f ca="1"/>
        <v>159.07</v>
      </c>
      <c r="G136" vm="1317">
        <f ca="1"/>
        <v>539.12</v>
      </c>
      <c r="I136" vm="1318">
        <f ca="1"/>
        <v>296.23</v>
      </c>
      <c r="J136" vm="1319">
        <f ca="1"/>
        <v>66.66</v>
      </c>
      <c r="K136" vm="1320">
        <f ca="1"/>
        <v>94.26</v>
      </c>
    </row>
    <row r="137" spans="1:11" x14ac:dyDescent="0.4">
      <c r="A137" vm="1321">
        <f ca="1"/>
        <v>45762</v>
      </c>
      <c r="B137" vm="1322">
        <f ca="1"/>
        <v>202.14</v>
      </c>
      <c r="C137" vm="1323">
        <f ca="1"/>
        <v>112.2</v>
      </c>
      <c r="D137" vm="1324">
        <f ca="1"/>
        <v>385.73</v>
      </c>
      <c r="E137" vm="1325">
        <f ca="1"/>
        <v>521.52</v>
      </c>
      <c r="F137" vm="1326">
        <f ca="1"/>
        <v>156.31</v>
      </c>
      <c r="G137" vm="1327">
        <f ca="1"/>
        <v>537.61</v>
      </c>
      <c r="I137" vm="1328">
        <f ca="1"/>
        <v>297.77999999999997</v>
      </c>
      <c r="J137" vm="1329">
        <f ca="1"/>
        <v>66.48</v>
      </c>
      <c r="K137" vm="1330">
        <f ca="1"/>
        <v>94.54</v>
      </c>
    </row>
    <row r="138" spans="1:11" x14ac:dyDescent="0.4">
      <c r="A138" vm="1331">
        <f ca="1"/>
        <v>45763</v>
      </c>
      <c r="B138" vm="1332">
        <f ca="1"/>
        <v>194.27</v>
      </c>
      <c r="C138" vm="1333">
        <f ca="1"/>
        <v>104.49</v>
      </c>
      <c r="D138" vm="1334">
        <f ca="1"/>
        <v>371.61</v>
      </c>
      <c r="E138" vm="1335">
        <f ca="1"/>
        <v>502.31</v>
      </c>
      <c r="F138" vm="1336">
        <f ca="1"/>
        <v>153.33000000000001</v>
      </c>
      <c r="G138" vm="1337">
        <f ca="1"/>
        <v>525.66</v>
      </c>
      <c r="I138" vm="1338">
        <f ca="1"/>
        <v>307.47000000000003</v>
      </c>
      <c r="J138" vm="1339">
        <f ca="1"/>
        <v>67.75</v>
      </c>
      <c r="K138" vm="1340">
        <f ca="1"/>
        <v>94.95</v>
      </c>
    </row>
    <row r="139" spans="1:11" x14ac:dyDescent="0.4">
      <c r="A139" vm="1341">
        <f ca="1"/>
        <v>45764</v>
      </c>
      <c r="B139" vm="1342">
        <f ca="1"/>
        <v>196.98</v>
      </c>
      <c r="C139" vm="1343">
        <f ca="1"/>
        <v>101.49</v>
      </c>
      <c r="D139" vm="1344">
        <f ca="1"/>
        <v>367.78</v>
      </c>
      <c r="E139" vm="1345">
        <f ca="1"/>
        <v>501.48</v>
      </c>
      <c r="F139" vm="1346">
        <f ca="1"/>
        <v>151.16</v>
      </c>
      <c r="G139" vm="1347">
        <f ca="1"/>
        <v>526.41</v>
      </c>
      <c r="I139" vm="1348">
        <f ca="1"/>
        <v>306.12</v>
      </c>
      <c r="J139" vm="1349">
        <f ca="1"/>
        <v>69.48</v>
      </c>
      <c r="K139" vm="1350">
        <f ca="1"/>
        <v>94.68</v>
      </c>
    </row>
    <row r="140" spans="1:11" x14ac:dyDescent="0.4">
      <c r="A140" vm="1351">
        <f ca="1"/>
        <v>45768</v>
      </c>
      <c r="B140" vm="1352">
        <f ca="1"/>
        <v>193.16</v>
      </c>
      <c r="C140" vm="1353">
        <f ca="1"/>
        <v>96.91</v>
      </c>
      <c r="D140" vm="1354">
        <f ca="1"/>
        <v>359.12</v>
      </c>
      <c r="E140" vm="1355">
        <f ca="1"/>
        <v>484.66</v>
      </c>
      <c r="F140" vm="1356">
        <f ca="1"/>
        <v>147.66999999999999</v>
      </c>
      <c r="G140" vm="1357">
        <f ca="1"/>
        <v>513.88</v>
      </c>
      <c r="I140" vm="1358">
        <f ca="1"/>
        <v>315.58999999999997</v>
      </c>
      <c r="J140" vm="1359">
        <f ca="1"/>
        <v>68.62</v>
      </c>
      <c r="K140" vm="261">
        <f ca="1"/>
        <v>94.17</v>
      </c>
    </row>
    <row r="141" spans="1:11" x14ac:dyDescent="0.4">
      <c r="A141" vm="1360">
        <f ca="1"/>
        <v>45769</v>
      </c>
      <c r="B141" vm="1361">
        <f ca="1"/>
        <v>199.74</v>
      </c>
      <c r="C141" vm="1362">
        <f ca="1"/>
        <v>98.89</v>
      </c>
      <c r="D141" vm="1363">
        <f ca="1"/>
        <v>366.82</v>
      </c>
      <c r="E141" vm="1364">
        <f ca="1"/>
        <v>500.28</v>
      </c>
      <c r="F141" vm="1365">
        <f ca="1"/>
        <v>151.47</v>
      </c>
      <c r="G141" vm="1366">
        <f ca="1"/>
        <v>527.25</v>
      </c>
      <c r="I141" vm="1367">
        <f ca="1"/>
        <v>311.11</v>
      </c>
      <c r="J141" vm="1368">
        <f ca="1"/>
        <v>69.37</v>
      </c>
      <c r="K141" vm="1369">
        <f ca="1"/>
        <v>94.24</v>
      </c>
    </row>
    <row r="142" spans="1:11" x14ac:dyDescent="0.4">
      <c r="A142" vm="1370">
        <f ca="1"/>
        <v>45770</v>
      </c>
      <c r="B142" vm="1371">
        <f ca="1"/>
        <v>204.6</v>
      </c>
      <c r="C142" vm="1372">
        <f ca="1"/>
        <v>102.71</v>
      </c>
      <c r="D142" vm="1373">
        <f ca="1"/>
        <v>374.39</v>
      </c>
      <c r="E142" vm="1374">
        <f ca="1"/>
        <v>520.27</v>
      </c>
      <c r="F142" vm="1375">
        <f ca="1"/>
        <v>155.35</v>
      </c>
      <c r="G142" vm="1376">
        <f ca="1"/>
        <v>535.41999999999996</v>
      </c>
      <c r="I142" vm="1377">
        <f ca="1"/>
        <v>303.64999999999998</v>
      </c>
      <c r="J142" vm="1378">
        <f ca="1"/>
        <v>68.05</v>
      </c>
      <c r="K142" vm="1379">
        <f ca="1"/>
        <v>94.34</v>
      </c>
    </row>
    <row r="143" spans="1:11" x14ac:dyDescent="0.4">
      <c r="A143" vm="1380">
        <f ca="1"/>
        <v>45771</v>
      </c>
      <c r="B143" vm="1381">
        <f ca="1"/>
        <v>208.37</v>
      </c>
      <c r="C143" vm="1382">
        <f ca="1"/>
        <v>106.43</v>
      </c>
      <c r="D143" vm="1383">
        <f ca="1"/>
        <v>387.3</v>
      </c>
      <c r="E143" vm="1384">
        <f ca="1"/>
        <v>533.15</v>
      </c>
      <c r="F143" vm="1385">
        <f ca="1"/>
        <v>159.28</v>
      </c>
      <c r="G143" vm="1386">
        <f ca="1"/>
        <v>546.69000000000005</v>
      </c>
      <c r="I143" vm="1387">
        <f ca="1"/>
        <v>308.07</v>
      </c>
      <c r="J143" vm="1388">
        <f ca="1"/>
        <v>68.459999999999994</v>
      </c>
      <c r="K143" vm="1389">
        <f ca="1"/>
        <v>94.85</v>
      </c>
    </row>
    <row r="144" spans="1:11" x14ac:dyDescent="0.4">
      <c r="A144" vm="1390">
        <f ca="1"/>
        <v>45772</v>
      </c>
      <c r="B144" vm="1391">
        <f ca="1"/>
        <v>209.28</v>
      </c>
      <c r="C144" vm="1392">
        <f ca="1"/>
        <v>111.01</v>
      </c>
      <c r="D144" vm="1393">
        <f ca="1"/>
        <v>391.85</v>
      </c>
      <c r="E144" vm="1394">
        <f ca="1"/>
        <v>547.27</v>
      </c>
      <c r="F144" vm="1395">
        <f ca="1"/>
        <v>161.96</v>
      </c>
      <c r="G144" vm="1396">
        <f ca="1"/>
        <v>550.64</v>
      </c>
      <c r="I144" vm="1397">
        <f ca="1"/>
        <v>304.73</v>
      </c>
      <c r="J144" vm="1398">
        <f ca="1"/>
        <v>69.03</v>
      </c>
      <c r="K144" vm="1399">
        <f ca="1"/>
        <v>95.21</v>
      </c>
    </row>
    <row r="145" spans="1:11" x14ac:dyDescent="0.4">
      <c r="A145" vm="1400">
        <f ca="1"/>
        <v>45775</v>
      </c>
      <c r="B145" vm="1401">
        <f ca="1"/>
        <v>210.14</v>
      </c>
      <c r="C145" vm="1402">
        <f ca="1"/>
        <v>108.73</v>
      </c>
      <c r="D145" vm="1403">
        <f ca="1"/>
        <v>391.16</v>
      </c>
      <c r="E145" vm="1404">
        <f ca="1"/>
        <v>549.74</v>
      </c>
      <c r="F145" vm="1405">
        <f ca="1"/>
        <v>160.61000000000001</v>
      </c>
      <c r="G145" vm="1406">
        <f ca="1"/>
        <v>550.85</v>
      </c>
      <c r="I145" vm="1407">
        <f ca="1"/>
        <v>309.07</v>
      </c>
      <c r="J145" vm="1408">
        <f ca="1"/>
        <v>67.760000000000005</v>
      </c>
      <c r="K145" vm="1409">
        <f ca="1"/>
        <v>95.59</v>
      </c>
    </row>
    <row r="146" spans="1:11" x14ac:dyDescent="0.4">
      <c r="A146" vm="1410">
        <f ca="1"/>
        <v>45776</v>
      </c>
      <c r="B146" vm="1411">
        <f ca="1"/>
        <v>211.21</v>
      </c>
      <c r="C146" vm="1412">
        <f ca="1"/>
        <v>109.02</v>
      </c>
      <c r="D146" vm="1413">
        <f ca="1"/>
        <v>394.04</v>
      </c>
      <c r="E146" vm="1414">
        <f ca="1"/>
        <v>554.44000000000005</v>
      </c>
      <c r="F146" vm="1415">
        <f ca="1"/>
        <v>160.16</v>
      </c>
      <c r="G146" vm="1416">
        <f ca="1"/>
        <v>554.32000000000005</v>
      </c>
      <c r="I146" vm="1417">
        <f ca="1"/>
        <v>306.06</v>
      </c>
      <c r="J146" vm="1418">
        <f ca="1"/>
        <v>65.849999999999994</v>
      </c>
      <c r="K146" vm="1419">
        <f ca="1"/>
        <v>95.92</v>
      </c>
    </row>
    <row r="147" spans="1:11" x14ac:dyDescent="0.4">
      <c r="A147" vm="1420">
        <f ca="1"/>
        <v>45777</v>
      </c>
      <c r="B147" vm="1421">
        <f ca="1"/>
        <v>212.5</v>
      </c>
      <c r="C147" vm="1422">
        <f ca="1"/>
        <v>108.92</v>
      </c>
      <c r="D147" vm="1423">
        <f ca="1"/>
        <v>395.26</v>
      </c>
      <c r="E147" vm="1424">
        <f ca="1"/>
        <v>549</v>
      </c>
      <c r="F147" vm="1425">
        <f ca="1"/>
        <v>158.80000000000001</v>
      </c>
      <c r="G147" vm="1426">
        <f ca="1"/>
        <v>554.54</v>
      </c>
      <c r="I147" vm="1427">
        <f ca="1"/>
        <v>303.77</v>
      </c>
      <c r="J147" vm="1428">
        <f ca="1"/>
        <v>63.56</v>
      </c>
      <c r="K147" vm="1429">
        <f ca="1"/>
        <v>96.07</v>
      </c>
    </row>
    <row r="148" spans="1:11" x14ac:dyDescent="0.4">
      <c r="A148" vm="1430">
        <f ca="1"/>
        <v>45778</v>
      </c>
      <c r="B148" vm="1431">
        <f ca="1"/>
        <v>213.32</v>
      </c>
      <c r="C148" vm="1432">
        <f ca="1"/>
        <v>111.61</v>
      </c>
      <c r="D148" vm="1433">
        <f ca="1"/>
        <v>425.4</v>
      </c>
      <c r="E148" vm="1434">
        <f ca="1"/>
        <v>572.21</v>
      </c>
      <c r="F148" vm="1435">
        <f ca="1"/>
        <v>161.30000000000001</v>
      </c>
      <c r="G148" vm="1436">
        <f ca="1"/>
        <v>558.47</v>
      </c>
      <c r="I148" vm="1437">
        <f ca="1"/>
        <v>297.45999999999998</v>
      </c>
      <c r="J148" vm="1438">
        <f ca="1"/>
        <v>64.52</v>
      </c>
      <c r="K148" vm="1439">
        <f ca="1"/>
        <v>95.34</v>
      </c>
    </row>
    <row r="149" spans="1:11" x14ac:dyDescent="0.4">
      <c r="A149" vm="1440">
        <f ca="1"/>
        <v>45779</v>
      </c>
      <c r="B149" vm="1441">
        <f ca="1"/>
        <v>205.35</v>
      </c>
      <c r="C149" vm="1442">
        <f ca="1"/>
        <v>114.5</v>
      </c>
      <c r="D149" vm="1443">
        <f ca="1"/>
        <v>435.28</v>
      </c>
      <c r="E149" vm="1444">
        <f ca="1"/>
        <v>597.02</v>
      </c>
      <c r="F149" vm="1445">
        <f ca="1"/>
        <v>164.03</v>
      </c>
      <c r="G149" vm="1446">
        <f ca="1"/>
        <v>566.76</v>
      </c>
      <c r="I149" vm="1447">
        <f ca="1"/>
        <v>297.98</v>
      </c>
      <c r="J149" vm="1448">
        <f ca="1"/>
        <v>64.010000000000005</v>
      </c>
      <c r="K149" vm="1449">
        <f ca="1"/>
        <v>94.7</v>
      </c>
    </row>
    <row r="150" spans="1:11" x14ac:dyDescent="0.4">
      <c r="A150" vm="1450">
        <f ca="1"/>
        <v>45782</v>
      </c>
      <c r="B150" vm="1451">
        <f ca="1"/>
        <v>198.89</v>
      </c>
      <c r="C150" vm="1452">
        <f ca="1"/>
        <v>113.82</v>
      </c>
      <c r="D150" vm="1453">
        <f ca="1"/>
        <v>436.17</v>
      </c>
      <c r="E150" vm="1454">
        <f ca="1"/>
        <v>599.27</v>
      </c>
      <c r="F150" vm="1455">
        <f ca="1"/>
        <v>164.21</v>
      </c>
      <c r="G150" vm="1456">
        <f ca="1"/>
        <v>563.51</v>
      </c>
      <c r="I150" vm="1457">
        <f ca="1"/>
        <v>306.88</v>
      </c>
      <c r="J150" vm="1458">
        <f ca="1"/>
        <v>62.37</v>
      </c>
      <c r="K150" vm="1459">
        <f ca="1"/>
        <v>94.53</v>
      </c>
    </row>
    <row r="151" spans="1:11" x14ac:dyDescent="0.4">
      <c r="A151" vm="1460">
        <f ca="1"/>
        <v>45783</v>
      </c>
      <c r="B151" vm="1461">
        <f ca="1"/>
        <v>198.51</v>
      </c>
      <c r="C151" vm="1462">
        <f ca="1"/>
        <v>113.54</v>
      </c>
      <c r="D151" vm="1463">
        <f ca="1"/>
        <v>433.31</v>
      </c>
      <c r="E151" vm="1464">
        <f ca="1"/>
        <v>587.30999999999995</v>
      </c>
      <c r="F151" vm="1465">
        <f ca="1"/>
        <v>163.22999999999999</v>
      </c>
      <c r="G151" vm="1466">
        <f ca="1"/>
        <v>558.79999999999995</v>
      </c>
      <c r="I151" vm="1467">
        <f ca="1"/>
        <v>315.48</v>
      </c>
      <c r="J151" vm="1468">
        <f ca="1"/>
        <v>64.599999999999994</v>
      </c>
      <c r="K151" vm="506">
        <f ca="1"/>
        <v>94.77</v>
      </c>
    </row>
    <row r="152" spans="1:11" x14ac:dyDescent="0.4">
      <c r="A152" vm="1469">
        <f ca="1"/>
        <v>45784</v>
      </c>
      <c r="B152" vm="1470">
        <f ca="1"/>
        <v>196.25</v>
      </c>
      <c r="C152" vm="1471">
        <f ca="1"/>
        <v>117.06</v>
      </c>
      <c r="D152" vm="1472">
        <f ca="1"/>
        <v>433.35</v>
      </c>
      <c r="E152" vm="1473">
        <f ca="1"/>
        <v>596.80999999999995</v>
      </c>
      <c r="F152" vm="1474">
        <f ca="1"/>
        <v>151.38</v>
      </c>
      <c r="G152" vm="1475">
        <f ca="1"/>
        <v>561.15</v>
      </c>
      <c r="I152" vm="1476">
        <f ca="1"/>
        <v>310.75</v>
      </c>
      <c r="J152" vm="1477">
        <f ca="1"/>
        <v>63.51</v>
      </c>
      <c r="K152" vm="1165">
        <f ca="1"/>
        <v>95.02</v>
      </c>
    </row>
    <row r="153" spans="1:11" x14ac:dyDescent="0.4">
      <c r="A153" vm="1478">
        <f ca="1"/>
        <v>45785</v>
      </c>
      <c r="B153" vm="1479">
        <f ca="1"/>
        <v>197.49</v>
      </c>
      <c r="C153" vm="1480">
        <f ca="1"/>
        <v>117.37</v>
      </c>
      <c r="D153" vm="1481">
        <f ca="1"/>
        <v>438.17</v>
      </c>
      <c r="E153" vm="1482">
        <f ca="1"/>
        <v>598.01</v>
      </c>
      <c r="F153" vm="1483">
        <f ca="1"/>
        <v>154.28</v>
      </c>
      <c r="G153" vm="1484">
        <f ca="1"/>
        <v>565.05999999999995</v>
      </c>
      <c r="I153" vm="1485">
        <f ca="1"/>
        <v>304.63</v>
      </c>
      <c r="J153" vm="1486">
        <f ca="1"/>
        <v>65.599999999999994</v>
      </c>
      <c r="K153" vm="1487">
        <f ca="1"/>
        <v>94.28</v>
      </c>
    </row>
    <row r="154" spans="1:11" x14ac:dyDescent="0.4">
      <c r="A154" vm="1488">
        <f ca="1"/>
        <v>45786</v>
      </c>
      <c r="B154" vm="1489">
        <f ca="1"/>
        <v>198.53</v>
      </c>
      <c r="C154" vm="1490">
        <f ca="1"/>
        <v>116.65</v>
      </c>
      <c r="D154" vm="1491">
        <f ca="1"/>
        <v>438.73</v>
      </c>
      <c r="E154" vm="1492">
        <f ca="1"/>
        <v>592.49</v>
      </c>
      <c r="F154" vm="1493">
        <f ca="1"/>
        <v>152.75</v>
      </c>
      <c r="G154" vm="1494">
        <f ca="1"/>
        <v>564.34</v>
      </c>
      <c r="I154" vm="1495">
        <f ca="1"/>
        <v>306.83999999999997</v>
      </c>
      <c r="J154" vm="1496">
        <f ca="1"/>
        <v>66.61</v>
      </c>
      <c r="K154" vm="1497">
        <f ca="1"/>
        <v>94.35</v>
      </c>
    </row>
    <row r="155" spans="1:11" x14ac:dyDescent="0.4">
      <c r="A155" vm="1498">
        <f ca="1"/>
        <v>45789</v>
      </c>
      <c r="B155" vm="1499">
        <f ca="1"/>
        <v>210.79</v>
      </c>
      <c r="C155" vm="1500">
        <f ca="1"/>
        <v>123</v>
      </c>
      <c r="D155" vm="1501">
        <f ca="1"/>
        <v>449.26</v>
      </c>
      <c r="E155" vm="1502">
        <f ca="1"/>
        <v>639.42999999999995</v>
      </c>
      <c r="F155" vm="1503">
        <f ca="1"/>
        <v>158.46</v>
      </c>
      <c r="G155" vm="1504">
        <f ca="1"/>
        <v>582.99</v>
      </c>
      <c r="I155" vm="1505">
        <f ca="1"/>
        <v>298.19</v>
      </c>
      <c r="J155" vm="1506">
        <f ca="1"/>
        <v>67.599999999999994</v>
      </c>
      <c r="K155" vm="1507">
        <f ca="1"/>
        <v>93.75</v>
      </c>
    </row>
    <row r="156" spans="1:11" x14ac:dyDescent="0.4">
      <c r="A156" vm="1508">
        <f ca="1"/>
        <v>45790</v>
      </c>
      <c r="B156" vm="1509">
        <f ca="1"/>
        <v>212.93</v>
      </c>
      <c r="C156" vm="1510">
        <f ca="1"/>
        <v>129.93</v>
      </c>
      <c r="D156" vm="1511">
        <f ca="1"/>
        <v>449.14</v>
      </c>
      <c r="E156" vm="1512">
        <f ca="1"/>
        <v>656.03</v>
      </c>
      <c r="F156" vm="1513">
        <f ca="1"/>
        <v>159.53</v>
      </c>
      <c r="G156" vm="1514">
        <f ca="1"/>
        <v>586.84</v>
      </c>
      <c r="I156" vm="1515">
        <f ca="1"/>
        <v>299.45999999999998</v>
      </c>
      <c r="J156" vm="1516">
        <f ca="1"/>
        <v>69.59</v>
      </c>
      <c r="K156" vm="1517">
        <f ca="1"/>
        <v>93.68</v>
      </c>
    </row>
    <row r="157" spans="1:11" x14ac:dyDescent="0.4">
      <c r="A157" vm="1518">
        <f ca="1"/>
        <v>45791</v>
      </c>
      <c r="B157" vm="1519">
        <f ca="1"/>
        <v>212.33</v>
      </c>
      <c r="C157" vm="422">
        <f ca="1"/>
        <v>135.34</v>
      </c>
      <c r="D157" vm="1520">
        <f ca="1"/>
        <v>452.94</v>
      </c>
      <c r="E157" vm="1521">
        <f ca="1"/>
        <v>659.36</v>
      </c>
      <c r="F157" vm="1522">
        <f ca="1"/>
        <v>165.37</v>
      </c>
      <c r="G157" vm="1523">
        <f ca="1"/>
        <v>587.59</v>
      </c>
      <c r="I157" vm="1524">
        <f ca="1"/>
        <v>293.16000000000003</v>
      </c>
      <c r="J157" vm="1525">
        <f ca="1"/>
        <v>68.73</v>
      </c>
      <c r="K157" vm="1526">
        <f ca="1"/>
        <v>93.33</v>
      </c>
    </row>
    <row r="158" spans="1:11" x14ac:dyDescent="0.4">
      <c r="A158" vm="1527">
        <f ca="1"/>
        <v>45792</v>
      </c>
      <c r="B158" vm="1528">
        <f ca="1"/>
        <v>211.45</v>
      </c>
      <c r="C158" vm="1529">
        <f ca="1"/>
        <v>134.83000000000001</v>
      </c>
      <c r="D158" vm="1530">
        <f ca="1"/>
        <v>453.13</v>
      </c>
      <c r="E158" vm="1531">
        <f ca="1"/>
        <v>643.88</v>
      </c>
      <c r="F158" vm="1532">
        <f ca="1"/>
        <v>163.96</v>
      </c>
      <c r="G158" vm="1533">
        <f ca="1"/>
        <v>590.46</v>
      </c>
      <c r="I158" vm="1534">
        <f ca="1"/>
        <v>297.83999999999997</v>
      </c>
      <c r="J158" vm="1535">
        <f ca="1"/>
        <v>67.59</v>
      </c>
      <c r="K158" vm="311">
        <f ca="1"/>
        <v>93.94</v>
      </c>
    </row>
    <row r="159" spans="1:11" x14ac:dyDescent="0.4">
      <c r="A159" vm="1536">
        <f ca="1"/>
        <v>45793</v>
      </c>
      <c r="B159" vm="1537">
        <f ca="1"/>
        <v>211.26</v>
      </c>
      <c r="C159" vm="244">
        <f ca="1"/>
        <v>135.4</v>
      </c>
      <c r="D159" vm="1538">
        <f ca="1"/>
        <v>454.27</v>
      </c>
      <c r="E159" vm="1539">
        <f ca="1"/>
        <v>640.34</v>
      </c>
      <c r="F159" vm="1540">
        <f ca="1"/>
        <v>166.19</v>
      </c>
      <c r="G159" vm="1541">
        <f ca="1"/>
        <v>594.20000000000005</v>
      </c>
      <c r="I159" vm="1542">
        <f ca="1"/>
        <v>294.24</v>
      </c>
      <c r="J159" vm="1543">
        <f ca="1"/>
        <v>68.099999999999994</v>
      </c>
      <c r="K159" vm="1544">
        <f ca="1"/>
        <v>93.97</v>
      </c>
    </row>
    <row r="160" spans="1:11" x14ac:dyDescent="0.4">
      <c r="A160" vm="1545">
        <f ca="1"/>
        <v>45796</v>
      </c>
      <c r="B160" vm="1546">
        <f ca="1"/>
        <v>208.78</v>
      </c>
      <c r="C160" vm="1547">
        <f ca="1"/>
        <v>135.57</v>
      </c>
      <c r="D160" vm="1548">
        <f ca="1"/>
        <v>458.87</v>
      </c>
      <c r="E160" vm="1549">
        <f ca="1"/>
        <v>640.42999999999995</v>
      </c>
      <c r="F160" vm="1550">
        <f ca="1"/>
        <v>166.54</v>
      </c>
      <c r="G160" vm="1551">
        <f ca="1"/>
        <v>594.85</v>
      </c>
      <c r="I160" vm="1552">
        <f ca="1"/>
        <v>298.02999999999997</v>
      </c>
      <c r="J160" vm="1553">
        <f ca="1"/>
        <v>68.510000000000005</v>
      </c>
      <c r="K160" vm="1554">
        <f ca="1"/>
        <v>93.92</v>
      </c>
    </row>
    <row r="161" spans="1:11" x14ac:dyDescent="0.4">
      <c r="A161" vm="1555">
        <f ca="1"/>
        <v>45797</v>
      </c>
      <c r="B161" vm="1556">
        <f ca="1"/>
        <v>206.86</v>
      </c>
      <c r="C161" vm="1557">
        <f ca="1"/>
        <v>134.38</v>
      </c>
      <c r="D161" vm="1558">
        <f ca="1"/>
        <v>458.17</v>
      </c>
      <c r="E161" vm="1559">
        <f ca="1"/>
        <v>637.1</v>
      </c>
      <c r="F161" vm="1560">
        <f ca="1"/>
        <v>163.98</v>
      </c>
      <c r="G161" vm="1561">
        <f ca="1"/>
        <v>592.85</v>
      </c>
      <c r="I161" vm="1562">
        <f ca="1"/>
        <v>303.58</v>
      </c>
      <c r="J161" vm="1563">
        <f ca="1"/>
        <v>68.66</v>
      </c>
      <c r="K161" vm="1564">
        <f ca="1"/>
        <v>93.8</v>
      </c>
    </row>
    <row r="162" spans="1:11" x14ac:dyDescent="0.4">
      <c r="A162" vm="1565">
        <f ca="1"/>
        <v>45798</v>
      </c>
      <c r="B162" vm="1566">
        <f ca="1"/>
        <v>202.09</v>
      </c>
      <c r="C162" vm="1567">
        <f ca="1"/>
        <v>131.80000000000001</v>
      </c>
      <c r="D162" vm="1568">
        <f ca="1"/>
        <v>452.57</v>
      </c>
      <c r="E162" vm="1569">
        <f ca="1"/>
        <v>635.5</v>
      </c>
      <c r="F162" vm="1570">
        <f ca="1"/>
        <v>168.56</v>
      </c>
      <c r="G162" vm="1571">
        <f ca="1"/>
        <v>582.86</v>
      </c>
      <c r="I162" vm="1572">
        <f ca="1"/>
        <v>305.82</v>
      </c>
      <c r="J162" vm="1535">
        <f ca="1"/>
        <v>67.59</v>
      </c>
      <c r="K162" vm="1573">
        <f ca="1"/>
        <v>93.15</v>
      </c>
    </row>
    <row r="163" spans="1:11" x14ac:dyDescent="0.4">
      <c r="A163" vm="1574">
        <f ca="1"/>
        <v>45799</v>
      </c>
      <c r="B163" vm="1575">
        <f ca="1"/>
        <v>201.36</v>
      </c>
      <c r="C163" vm="1576">
        <f ca="1"/>
        <v>132.83000000000001</v>
      </c>
      <c r="D163" vm="1577">
        <f ca="1"/>
        <v>454.86</v>
      </c>
      <c r="E163" vm="1578">
        <f ca="1"/>
        <v>636.57000000000005</v>
      </c>
      <c r="F163" vm="1579">
        <f ca="1"/>
        <v>170.87</v>
      </c>
      <c r="G163" vm="1580">
        <f ca="1"/>
        <v>583.09</v>
      </c>
      <c r="I163" vm="1581">
        <f ca="1"/>
        <v>303.11</v>
      </c>
      <c r="J163" vm="1582">
        <f ca="1"/>
        <v>67.14</v>
      </c>
      <c r="K163" vm="1583">
        <f ca="1"/>
        <v>93.5</v>
      </c>
    </row>
    <row r="164" spans="1:11" x14ac:dyDescent="0.4">
      <c r="A164" vm="1584">
        <f ca="1"/>
        <v>45800</v>
      </c>
      <c r="B164" vm="1585">
        <f ca="1"/>
        <v>195.27</v>
      </c>
      <c r="C164" vm="1586">
        <f ca="1"/>
        <v>131.29</v>
      </c>
      <c r="D164" vm="1587">
        <f ca="1"/>
        <v>450.18</v>
      </c>
      <c r="E164" vm="1588">
        <f ca="1"/>
        <v>627.05999999999995</v>
      </c>
      <c r="F164" vm="1589">
        <f ca="1"/>
        <v>168.47</v>
      </c>
      <c r="G164" vm="1590">
        <f ca="1"/>
        <v>579.11</v>
      </c>
      <c r="I164" vm="1591">
        <f ca="1"/>
        <v>309.75</v>
      </c>
      <c r="J164" vm="1592">
        <f ca="1"/>
        <v>67.989999999999995</v>
      </c>
      <c r="K164" vm="1593">
        <f ca="1"/>
        <v>93.77</v>
      </c>
    </row>
    <row r="165" spans="1:11" x14ac:dyDescent="0.4">
      <c r="A165" vm="1594">
        <f ca="1"/>
        <v>45804</v>
      </c>
      <c r="B165" vm="783">
        <f ca="1"/>
        <v>200.21</v>
      </c>
      <c r="C165" vm="1595">
        <f ca="1"/>
        <v>135.5</v>
      </c>
      <c r="D165" vm="1596">
        <f ca="1"/>
        <v>460.69</v>
      </c>
      <c r="E165" vm="1597">
        <f ca="1"/>
        <v>642.32000000000005</v>
      </c>
      <c r="F165" vm="1598">
        <f ca="1"/>
        <v>172.9</v>
      </c>
      <c r="G165" vm="580">
        <f ca="1"/>
        <v>591.15</v>
      </c>
      <c r="I165" vm="1599">
        <f ca="1"/>
        <v>304.5</v>
      </c>
      <c r="J165" vm="1600">
        <f ca="1"/>
        <v>67.28</v>
      </c>
      <c r="K165" vm="1601">
        <f ca="1"/>
        <v>94.16</v>
      </c>
    </row>
    <row r="166" spans="1:11" x14ac:dyDescent="0.4">
      <c r="A166" vm="1602">
        <f ca="1"/>
        <v>45805</v>
      </c>
      <c r="B166" vm="1603">
        <f ca="1"/>
        <v>200.42</v>
      </c>
      <c r="C166" vm="88">
        <f ca="1"/>
        <v>134.81</v>
      </c>
      <c r="D166" vm="1604">
        <f ca="1"/>
        <v>457.36</v>
      </c>
      <c r="E166" vm="1605">
        <f ca="1"/>
        <v>643.58000000000004</v>
      </c>
      <c r="F166" vm="1606">
        <f ca="1"/>
        <v>172.36</v>
      </c>
      <c r="G166" vm="1607">
        <f ca="1"/>
        <v>587.73</v>
      </c>
      <c r="I166" vm="1608">
        <f ca="1"/>
        <v>303.81</v>
      </c>
      <c r="J166" vm="1609">
        <f ca="1"/>
        <v>67.89</v>
      </c>
      <c r="K166" vm="1610">
        <f ca="1"/>
        <v>93.9</v>
      </c>
    </row>
    <row r="167" spans="1:11" x14ac:dyDescent="0.4">
      <c r="A167" vm="1611">
        <f ca="1"/>
        <v>45806</v>
      </c>
      <c r="B167" vm="1612">
        <f ca="1"/>
        <v>199.95</v>
      </c>
      <c r="C167" vm="1613">
        <f ca="1"/>
        <v>139.19</v>
      </c>
      <c r="D167" vm="1614">
        <f ca="1"/>
        <v>458.68</v>
      </c>
      <c r="E167" vm="1615">
        <f ca="1"/>
        <v>645.04999999999995</v>
      </c>
      <c r="F167" vm="1616">
        <f ca="1"/>
        <v>171.86</v>
      </c>
      <c r="G167" vm="1617">
        <f ca="1"/>
        <v>590.04999999999995</v>
      </c>
      <c r="I167" vm="1618">
        <f ca="1"/>
        <v>305.61</v>
      </c>
      <c r="J167" vm="1619">
        <f ca="1"/>
        <v>67.19</v>
      </c>
      <c r="K167" vm="1620">
        <f ca="1"/>
        <v>94.29</v>
      </c>
    </row>
    <row r="168" spans="1:11" x14ac:dyDescent="0.4">
      <c r="A168" vm="1621">
        <f ca="1"/>
        <v>45807</v>
      </c>
      <c r="B168" vm="1622">
        <f ca="1"/>
        <v>200.85</v>
      </c>
      <c r="C168" vm="1623">
        <f ca="1"/>
        <v>135.13</v>
      </c>
      <c r="D168" vm="1624">
        <f ca="1"/>
        <v>460.36</v>
      </c>
      <c r="E168" vm="782">
        <f ca="1"/>
        <v>647.49</v>
      </c>
      <c r="F168" vm="1625">
        <f ca="1"/>
        <v>171.74</v>
      </c>
      <c r="G168" vm="1626">
        <f ca="1"/>
        <v>589.39</v>
      </c>
      <c r="I168" vm="1627">
        <f ca="1"/>
        <v>303.60000000000002</v>
      </c>
      <c r="J168" vm="1628">
        <f ca="1"/>
        <v>67.150000000000006</v>
      </c>
      <c r="K168" vm="231">
        <f ca="1"/>
        <v>94.57</v>
      </c>
    </row>
    <row r="169" spans="1:11" x14ac:dyDescent="0.4">
      <c r="A169" vm="1629">
        <f ca="1"/>
        <v>45810</v>
      </c>
      <c r="B169" vm="1630">
        <f ca="1"/>
        <v>201.7</v>
      </c>
      <c r="C169" vm="1631">
        <f ca="1"/>
        <v>137.38</v>
      </c>
      <c r="D169" vm="1632">
        <f ca="1"/>
        <v>461.97</v>
      </c>
      <c r="E169" vm="1633">
        <f ca="1"/>
        <v>670.9</v>
      </c>
      <c r="F169" vm="1634">
        <f ca="1"/>
        <v>169.03</v>
      </c>
      <c r="G169" vm="1635">
        <f ca="1"/>
        <v>592.71</v>
      </c>
      <c r="I169" vm="1636">
        <f ca="1"/>
        <v>311.67</v>
      </c>
      <c r="J169" vm="1637">
        <f ca="1"/>
        <v>69.55</v>
      </c>
      <c r="K169" vm="311">
        <f ca="1"/>
        <v>93.94</v>
      </c>
    </row>
    <row r="170" spans="1:11" x14ac:dyDescent="0.4">
      <c r="A170" vm="1638">
        <f ca="1"/>
        <v>45811</v>
      </c>
      <c r="B170" vm="1639">
        <f ca="1"/>
        <v>203.27</v>
      </c>
      <c r="C170" vm="1640">
        <f ca="1"/>
        <v>141.22</v>
      </c>
      <c r="D170" vm="1641">
        <f ca="1"/>
        <v>462.97</v>
      </c>
      <c r="E170" vm="1642">
        <f ca="1"/>
        <v>666.85</v>
      </c>
      <c r="F170" vm="1643">
        <f ca="1"/>
        <v>166.18</v>
      </c>
      <c r="G170" vm="1644">
        <f ca="1"/>
        <v>596.09</v>
      </c>
      <c r="I170" vm="1645">
        <f ca="1"/>
        <v>308.91000000000003</v>
      </c>
      <c r="J170" vm="1646">
        <f ca="1"/>
        <v>69.89</v>
      </c>
      <c r="K170" vm="1647">
        <f ca="1"/>
        <v>93.85</v>
      </c>
    </row>
    <row r="171" spans="1:11" x14ac:dyDescent="0.4">
      <c r="A171" vm="1648">
        <f ca="1"/>
        <v>45812</v>
      </c>
      <c r="B171" vm="1649">
        <f ca="1"/>
        <v>202.82</v>
      </c>
      <c r="C171" vm="1650">
        <f ca="1"/>
        <v>141.91999999999999</v>
      </c>
      <c r="D171" vm="1651">
        <f ca="1"/>
        <v>463.87</v>
      </c>
      <c r="E171" vm="1652">
        <f ca="1"/>
        <v>687.95</v>
      </c>
      <c r="F171" vm="1653">
        <f ca="1"/>
        <v>168.05</v>
      </c>
      <c r="G171" vm="1654">
        <f ca="1"/>
        <v>595.92999999999995</v>
      </c>
      <c r="I171" vm="1655">
        <f ca="1"/>
        <v>310.89999999999998</v>
      </c>
      <c r="J171" vm="1656">
        <f ca="1"/>
        <v>69.34</v>
      </c>
      <c r="K171" vm="1330">
        <f ca="1"/>
        <v>94.54</v>
      </c>
    </row>
    <row r="172" spans="1:11" x14ac:dyDescent="0.4">
      <c r="A172" vm="1657">
        <f ca="1"/>
        <v>45813</v>
      </c>
      <c r="B172" vm="1658">
        <f ca="1"/>
        <v>200.63</v>
      </c>
      <c r="C172" vm="1659">
        <f ca="1"/>
        <v>139.99</v>
      </c>
      <c r="D172" vm="1660">
        <f ca="1"/>
        <v>467.68</v>
      </c>
      <c r="E172" vm="1661">
        <f ca="1"/>
        <v>684.62</v>
      </c>
      <c r="F172" vm="1662">
        <f ca="1"/>
        <v>168.21</v>
      </c>
      <c r="G172" vm="1663">
        <f ca="1"/>
        <v>593.04999999999995</v>
      </c>
      <c r="I172" vm="1664">
        <f ca="1"/>
        <v>309.33</v>
      </c>
      <c r="J172" vm="1665">
        <f ca="1"/>
        <v>69.930000000000007</v>
      </c>
      <c r="K172" vm="1320">
        <f ca="1"/>
        <v>94.26</v>
      </c>
    </row>
    <row r="173" spans="1:11" x14ac:dyDescent="0.4">
      <c r="A173" vm="1666">
        <f ca="1"/>
        <v>45814</v>
      </c>
      <c r="B173" vm="1667">
        <f ca="1"/>
        <v>203.92</v>
      </c>
      <c r="C173" vm="1668">
        <f ca="1"/>
        <v>141.72</v>
      </c>
      <c r="D173" vm="1669">
        <f ca="1"/>
        <v>470.38</v>
      </c>
      <c r="E173" vm="1670">
        <f ca="1"/>
        <v>697.71</v>
      </c>
      <c r="F173" vm="1671">
        <f ca="1"/>
        <v>173.68</v>
      </c>
      <c r="G173" vm="1672">
        <f ca="1"/>
        <v>599.14</v>
      </c>
      <c r="I173" vm="1673">
        <f ca="1"/>
        <v>305.18</v>
      </c>
      <c r="J173" vm="151">
        <f ca="1"/>
        <v>71.38</v>
      </c>
      <c r="K173" vm="1310">
        <f ca="1"/>
        <v>93.51</v>
      </c>
    </row>
    <row r="174" spans="1:11" x14ac:dyDescent="0.4">
      <c r="A174" vm="1674">
        <f ca="1"/>
        <v>45817</v>
      </c>
      <c r="B174" vm="1675">
        <f ca="1"/>
        <v>201.45</v>
      </c>
      <c r="C174" vm="1676">
        <f ca="1"/>
        <v>142.63</v>
      </c>
      <c r="D174" vm="1677">
        <f ca="1"/>
        <v>472.75</v>
      </c>
      <c r="E174" vm="1678">
        <f ca="1"/>
        <v>694.06</v>
      </c>
      <c r="F174" vm="1679">
        <f ca="1"/>
        <v>176.09</v>
      </c>
      <c r="G174" vm="1680">
        <f ca="1"/>
        <v>599.67999999999995</v>
      </c>
      <c r="I174" vm="1681">
        <f ca="1"/>
        <v>306.62</v>
      </c>
      <c r="J174" vm="1682">
        <f ca="1"/>
        <v>72.05</v>
      </c>
      <c r="K174" vm="1517">
        <f ca="1"/>
        <v>93.68</v>
      </c>
    </row>
    <row r="175" spans="1:11" x14ac:dyDescent="0.4">
      <c r="A175" vm="1683">
        <f ca="1"/>
        <v>45818</v>
      </c>
      <c r="B175" vm="1684">
        <f ca="1"/>
        <v>202.67</v>
      </c>
      <c r="C175" vm="1685">
        <f ca="1"/>
        <v>143.96</v>
      </c>
      <c r="D175" vm="1686">
        <f ca="1"/>
        <v>470.92</v>
      </c>
      <c r="E175" vm="1687">
        <f ca="1"/>
        <v>702.4</v>
      </c>
      <c r="F175" vm="1688">
        <f ca="1"/>
        <v>178.6</v>
      </c>
      <c r="G175" vm="1689">
        <f ca="1"/>
        <v>603.08000000000004</v>
      </c>
      <c r="I175" vm="1690">
        <f ca="1"/>
        <v>306.70999999999998</v>
      </c>
      <c r="J175" vm="1691">
        <f ca="1"/>
        <v>71.599999999999994</v>
      </c>
      <c r="K175" vm="1692">
        <f ca="1"/>
        <v>93.84</v>
      </c>
    </row>
    <row r="176" spans="1:11" x14ac:dyDescent="0.4">
      <c r="A176" vm="1693">
        <f ca="1"/>
        <v>45819</v>
      </c>
      <c r="B176" vm="1694">
        <f ca="1"/>
        <v>198.78</v>
      </c>
      <c r="C176" vm="1695">
        <f ca="1"/>
        <v>142.83000000000001</v>
      </c>
      <c r="D176" vm="1696">
        <f ca="1"/>
        <v>472.62</v>
      </c>
      <c r="E176" vm="1697">
        <f ca="1"/>
        <v>694.14</v>
      </c>
      <c r="F176" vm="1698">
        <f ca="1"/>
        <v>177.35</v>
      </c>
      <c r="G176" vm="1699">
        <f ca="1"/>
        <v>601.36</v>
      </c>
      <c r="I176" vm="1700">
        <f ca="1"/>
        <v>308.37</v>
      </c>
      <c r="J176" vm="630">
        <f ca="1"/>
        <v>74.819999999999993</v>
      </c>
      <c r="K176" vm="1701">
        <f ca="1"/>
        <v>94.23</v>
      </c>
    </row>
    <row r="177" spans="1:11" x14ac:dyDescent="0.4">
      <c r="A177" vm="1702">
        <f ca="1"/>
        <v>45820</v>
      </c>
      <c r="B177" vm="1703">
        <f ca="1"/>
        <v>199.2</v>
      </c>
      <c r="C177" vm="1704">
        <f ca="1"/>
        <v>145</v>
      </c>
      <c r="D177" vm="1705">
        <f ca="1"/>
        <v>478.87</v>
      </c>
      <c r="E177" vm="1706">
        <f ca="1"/>
        <v>693.36</v>
      </c>
      <c r="F177" vm="1707">
        <f ca="1"/>
        <v>175.7</v>
      </c>
      <c r="G177" vm="1708">
        <f ca="1"/>
        <v>603.75</v>
      </c>
      <c r="I177" vm="1709">
        <f ca="1"/>
        <v>312.2</v>
      </c>
      <c r="J177" vm="1710">
        <f ca="1"/>
        <v>75.05</v>
      </c>
      <c r="K177" vm="1711">
        <f ca="1"/>
        <v>94.64</v>
      </c>
    </row>
    <row r="178" spans="1:11" x14ac:dyDescent="0.4">
      <c r="A178" vm="1712">
        <f ca="1"/>
        <v>45821</v>
      </c>
      <c r="B178" vm="1713">
        <f ca="1"/>
        <v>196.45</v>
      </c>
      <c r="C178" vm="1714">
        <f ca="1"/>
        <v>141.97</v>
      </c>
      <c r="D178" vm="1715">
        <f ca="1"/>
        <v>474.96</v>
      </c>
      <c r="E178" vm="1716">
        <f ca="1"/>
        <v>682.87</v>
      </c>
      <c r="F178" vm="1717">
        <f ca="1"/>
        <v>174.67</v>
      </c>
      <c r="G178" vm="1718">
        <f ca="1"/>
        <v>597</v>
      </c>
      <c r="I178" vm="1719">
        <f ca="1"/>
        <v>316.29000000000002</v>
      </c>
      <c r="J178" vm="1720">
        <f ca="1"/>
        <v>80.22</v>
      </c>
      <c r="K178" vm="1620">
        <f ca="1"/>
        <v>94.29</v>
      </c>
    </row>
    <row r="179" spans="1:11" x14ac:dyDescent="0.4">
      <c r="A179" vm="1721">
        <f ca="1"/>
        <v>45824</v>
      </c>
      <c r="B179" vm="1722">
        <f ca="1"/>
        <v>198.42</v>
      </c>
      <c r="C179" vm="1723">
        <f ca="1"/>
        <v>144.69</v>
      </c>
      <c r="D179" vm="1724">
        <f ca="1"/>
        <v>479.14</v>
      </c>
      <c r="E179" vm="1725">
        <f ca="1"/>
        <v>702.12</v>
      </c>
      <c r="F179" vm="1726">
        <f ca="1"/>
        <v>176.77</v>
      </c>
      <c r="G179" vm="1727">
        <f ca="1"/>
        <v>602.67999999999995</v>
      </c>
      <c r="I179" vm="1728">
        <f ca="1"/>
        <v>311.77999999999997</v>
      </c>
      <c r="J179" vm="1729">
        <f ca="1"/>
        <v>78.59</v>
      </c>
      <c r="K179" vm="1730">
        <f ca="1"/>
        <v>94.02</v>
      </c>
    </row>
    <row r="180" spans="1:11" x14ac:dyDescent="0.4">
      <c r="A180" vm="1731">
        <f ca="1"/>
        <v>45825</v>
      </c>
      <c r="B180" vm="1732">
        <f ca="1"/>
        <v>195.64</v>
      </c>
      <c r="C180" vm="1733">
        <f ca="1"/>
        <v>144.12</v>
      </c>
      <c r="D180" vm="1734">
        <f ca="1"/>
        <v>478.04</v>
      </c>
      <c r="E180" vm="1735">
        <f ca="1"/>
        <v>697.23</v>
      </c>
      <c r="F180" vm="1736">
        <f ca="1"/>
        <v>175.95</v>
      </c>
      <c r="G180" vm="406">
        <f ca="1"/>
        <v>597.53</v>
      </c>
      <c r="I180" vm="1737">
        <f ca="1"/>
        <v>311.94</v>
      </c>
      <c r="J180" vm="1738">
        <f ca="1"/>
        <v>82.3</v>
      </c>
      <c r="K180" vm="1118">
        <f ca="1"/>
        <v>94.48</v>
      </c>
    </row>
    <row r="181" spans="1:11" x14ac:dyDescent="0.4">
      <c r="A181" vm="1739">
        <f ca="1"/>
        <v>45826</v>
      </c>
      <c r="B181" vm="1740">
        <f ca="1"/>
        <v>196.58</v>
      </c>
      <c r="C181" vm="1741">
        <f ca="1"/>
        <v>145.47999999999999</v>
      </c>
      <c r="D181" vm="1742">
        <f ca="1"/>
        <v>480.24</v>
      </c>
      <c r="E181" vm="1743">
        <f ca="1"/>
        <v>695.77</v>
      </c>
      <c r="F181" vm="1744">
        <f ca="1"/>
        <v>173.32</v>
      </c>
      <c r="G181" vm="1745">
        <f ca="1"/>
        <v>597.44000000000005</v>
      </c>
      <c r="I181" vm="1746">
        <f ca="1"/>
        <v>310.26</v>
      </c>
      <c r="J181" vm="1747">
        <f ca="1"/>
        <v>82.27</v>
      </c>
      <c r="K181" vm="1330">
        <f ca="1"/>
        <v>94.54</v>
      </c>
    </row>
    <row r="182" spans="1:11" x14ac:dyDescent="0.4">
      <c r="A182" vm="1748">
        <f ca="1"/>
        <v>45828</v>
      </c>
      <c r="B182" vm="1749">
        <f ca="1"/>
        <v>201</v>
      </c>
      <c r="C182" vm="1750">
        <f ca="1"/>
        <v>143.85</v>
      </c>
      <c r="D182" vm="1751">
        <f ca="1"/>
        <v>477.4</v>
      </c>
      <c r="E182" vm="1752">
        <f ca="1"/>
        <v>682.35</v>
      </c>
      <c r="F182" vm="1753">
        <f ca="1"/>
        <v>166.64</v>
      </c>
      <c r="G182" vm="1754">
        <f ca="1"/>
        <v>594.28</v>
      </c>
      <c r="I182" vm="1755">
        <f ca="1"/>
        <v>310.13</v>
      </c>
      <c r="J182" vm="1756">
        <f ca="1"/>
        <v>83.12</v>
      </c>
      <c r="K182" vm="1757">
        <f ca="1"/>
        <v>94.6</v>
      </c>
    </row>
    <row r="183" spans="1:11" x14ac:dyDescent="0.4">
      <c r="A183" vm="1758">
        <f ca="1"/>
        <v>45831</v>
      </c>
      <c r="B183" vm="1759">
        <f ca="1"/>
        <v>201.5</v>
      </c>
      <c r="C183" vm="1760">
        <f ca="1"/>
        <v>144.16999999999999</v>
      </c>
      <c r="D183" vm="1761">
        <f ca="1"/>
        <v>486</v>
      </c>
      <c r="E183" vm="1762">
        <f ca="1"/>
        <v>698.53</v>
      </c>
      <c r="F183" vm="1763">
        <f ca="1"/>
        <v>165.19</v>
      </c>
      <c r="G183" vm="1764">
        <f ca="1"/>
        <v>600.15</v>
      </c>
      <c r="I183" vm="1765">
        <f ca="1"/>
        <v>311.08</v>
      </c>
      <c r="J183" vm="1766">
        <f ca="1"/>
        <v>76.41</v>
      </c>
      <c r="K183" vm="1281">
        <f ca="1"/>
        <v>94.93</v>
      </c>
    </row>
    <row r="184" spans="1:11" x14ac:dyDescent="0.4">
      <c r="A184" vm="1767">
        <f ca="1"/>
        <v>45832</v>
      </c>
      <c r="B184" vm="1768">
        <f ca="1"/>
        <v>200.3</v>
      </c>
      <c r="C184" vm="1769">
        <f ca="1"/>
        <v>147.9</v>
      </c>
      <c r="D184" vm="1770">
        <f ca="1"/>
        <v>490.11</v>
      </c>
      <c r="E184" vm="1771">
        <f ca="1"/>
        <v>712.2</v>
      </c>
      <c r="F184" vm="1772">
        <f ca="1"/>
        <v>166.77</v>
      </c>
      <c r="G184" vm="1773">
        <f ca="1"/>
        <v>606.78</v>
      </c>
      <c r="I184" vm="1774">
        <f ca="1"/>
        <v>306.19</v>
      </c>
      <c r="J184" vm="1775">
        <f ca="1"/>
        <v>73</v>
      </c>
      <c r="K184" vm="1776">
        <f ca="1"/>
        <v>95.26</v>
      </c>
    </row>
    <row r="185" spans="1:11" x14ac:dyDescent="0.4">
      <c r="A185" vm="1777">
        <f ca="1"/>
        <v>45833</v>
      </c>
      <c r="B185" vm="1778">
        <f ca="1"/>
        <v>201.56</v>
      </c>
      <c r="C185" vm="1779">
        <f ca="1"/>
        <v>154.31</v>
      </c>
      <c r="D185" vm="1780">
        <f ca="1"/>
        <v>492.27</v>
      </c>
      <c r="E185" vm="1781">
        <f ca="1"/>
        <v>708.68</v>
      </c>
      <c r="F185" vm="1782">
        <f ca="1"/>
        <v>170.68</v>
      </c>
      <c r="G185" vm="1783">
        <f ca="1"/>
        <v>607.12</v>
      </c>
      <c r="I185" vm="1784">
        <f ca="1"/>
        <v>307.12</v>
      </c>
      <c r="J185" vm="1039">
        <f ca="1"/>
        <v>73.31</v>
      </c>
      <c r="K185" vm="1785">
        <f ca="1"/>
        <v>95.3</v>
      </c>
    </row>
    <row r="186" spans="1:11" x14ac:dyDescent="0.4">
      <c r="A186" vm="1786">
        <f ca="1"/>
        <v>45834</v>
      </c>
      <c r="B186" vm="1749">
        <f ca="1"/>
        <v>201</v>
      </c>
      <c r="C186" vm="1787">
        <f ca="1"/>
        <v>155.02000000000001</v>
      </c>
      <c r="D186" vm="1788">
        <f ca="1"/>
        <v>497.45</v>
      </c>
      <c r="E186" vm="1789">
        <f ca="1"/>
        <v>726.09</v>
      </c>
      <c r="F186" vm="1790">
        <f ca="1"/>
        <v>173.54</v>
      </c>
      <c r="G186" vm="1791">
        <f ca="1"/>
        <v>611.87</v>
      </c>
      <c r="I186" vm="1792">
        <f ca="1"/>
        <v>306.77999999999997</v>
      </c>
      <c r="J186" vm="1793">
        <f ca="1"/>
        <v>73.59</v>
      </c>
      <c r="K186" vm="1794">
        <f ca="1"/>
        <v>95.64</v>
      </c>
    </row>
    <row r="187" spans="1:11" x14ac:dyDescent="0.4">
      <c r="A187" vm="1795">
        <f ca="1"/>
        <v>45835</v>
      </c>
      <c r="B187" vm="1796">
        <f ca="1"/>
        <v>201.08</v>
      </c>
      <c r="C187" vm="1797">
        <f ca="1"/>
        <v>157.75</v>
      </c>
      <c r="D187" vm="1798">
        <f ca="1"/>
        <v>495.94</v>
      </c>
      <c r="E187" vm="1799">
        <f ca="1"/>
        <v>733.63</v>
      </c>
      <c r="F187" vm="1800">
        <f ca="1"/>
        <v>178.53</v>
      </c>
      <c r="G187" vm="1801">
        <f ca="1"/>
        <v>614.91</v>
      </c>
      <c r="I187" vm="1802">
        <f ca="1"/>
        <v>301.22000000000003</v>
      </c>
      <c r="J187" vm="1803">
        <f ca="1"/>
        <v>73.28</v>
      </c>
      <c r="K187" vm="1030">
        <f ca="1"/>
        <v>95.39</v>
      </c>
    </row>
    <row r="188" spans="1:11" x14ac:dyDescent="0.4">
      <c r="A188" vm="1804">
        <f ca="1"/>
        <v>45838</v>
      </c>
      <c r="B188" vm="1805">
        <f ca="1"/>
        <v>205.17</v>
      </c>
      <c r="C188" vm="1806">
        <f ca="1"/>
        <v>157.99</v>
      </c>
      <c r="D188" vm="1807">
        <f ca="1"/>
        <v>497.41</v>
      </c>
      <c r="E188" vm="1808">
        <f ca="1"/>
        <v>738.09</v>
      </c>
      <c r="F188" vm="1809">
        <f ca="1"/>
        <v>176.23</v>
      </c>
      <c r="G188" vm="1810">
        <f ca="1"/>
        <v>617.85</v>
      </c>
      <c r="I188" vm="1811">
        <f ca="1"/>
        <v>304.83</v>
      </c>
      <c r="J188" vm="1812">
        <f ca="1"/>
        <v>73.11</v>
      </c>
      <c r="K188" vm="1813">
        <f ca="1"/>
        <v>95.77</v>
      </c>
    </row>
    <row r="189" spans="1:11" x14ac:dyDescent="0.4">
      <c r="A189" vm="1814">
        <f ca="1"/>
        <v>45839</v>
      </c>
      <c r="B189" vm="1815">
        <f ca="1"/>
        <v>207.82</v>
      </c>
      <c r="C189" vm="1816">
        <f ca="1"/>
        <v>153.30000000000001</v>
      </c>
      <c r="D189" vm="1817">
        <f ca="1"/>
        <v>492.05</v>
      </c>
      <c r="E189" vm="1818">
        <f ca="1"/>
        <v>719.22</v>
      </c>
      <c r="F189" vm="1819">
        <f ca="1"/>
        <v>175.84</v>
      </c>
      <c r="G189" vm="1820">
        <f ca="1"/>
        <v>617.65</v>
      </c>
      <c r="I189" vm="1821">
        <f ca="1"/>
        <v>307.55</v>
      </c>
      <c r="J189" vm="1822">
        <f ca="1"/>
        <v>73.930000000000007</v>
      </c>
      <c r="K189" vm="1823">
        <f ca="1"/>
        <v>95.29</v>
      </c>
    </row>
    <row r="190" spans="1:11" x14ac:dyDescent="0.4">
      <c r="A190" vm="1824">
        <f ca="1"/>
        <v>45840</v>
      </c>
      <c r="B190" vm="1825">
        <f ca="1"/>
        <v>212.44</v>
      </c>
      <c r="C190" vm="1826">
        <f ca="1"/>
        <v>157.25</v>
      </c>
      <c r="D190" vm="1827">
        <f ca="1"/>
        <v>491.09</v>
      </c>
      <c r="E190" vm="1828">
        <f ca="1"/>
        <v>713.57</v>
      </c>
      <c r="F190" vm="1829">
        <f ca="1"/>
        <v>178.64</v>
      </c>
      <c r="G190" vm="1830">
        <f ca="1"/>
        <v>620.45000000000005</v>
      </c>
      <c r="I190" vm="1831">
        <f ca="1"/>
        <v>309.25</v>
      </c>
      <c r="J190" vm="1832">
        <f ca="1"/>
        <v>75.59</v>
      </c>
      <c r="K190" vm="1040">
        <f ca="1"/>
        <v>95.09</v>
      </c>
    </row>
    <row r="191" spans="1:11" x14ac:dyDescent="0.4">
      <c r="A191" vm="1833">
        <f ca="1"/>
        <v>45841</v>
      </c>
      <c r="B191" vm="1834">
        <f ca="1"/>
        <v>213.55</v>
      </c>
      <c r="C191" vm="1835">
        <f ca="1"/>
        <v>159.34</v>
      </c>
      <c r="D191" vm="1836">
        <f ca="1"/>
        <v>498.84</v>
      </c>
      <c r="E191" vm="1837">
        <f ca="1"/>
        <v>719.01</v>
      </c>
      <c r="F191" vm="1838">
        <f ca="1"/>
        <v>179.53</v>
      </c>
      <c r="G191" vm="1839">
        <f ca="1"/>
        <v>625.34</v>
      </c>
      <c r="I191" vm="1840">
        <f ca="1"/>
        <v>307.14</v>
      </c>
      <c r="J191" vm="1841">
        <f ca="1"/>
        <v>75.19</v>
      </c>
      <c r="K191" vm="1842">
        <f ca="1"/>
        <v>94.76</v>
      </c>
    </row>
    <row r="192" spans="1:11" x14ac:dyDescent="0.4">
      <c r="A192" vm="1843">
        <f ca="1"/>
        <v>45845</v>
      </c>
      <c r="B192" vm="1844">
        <f ca="1"/>
        <v>209.95</v>
      </c>
      <c r="C192" vm="1845">
        <f ca="1"/>
        <v>158.24</v>
      </c>
      <c r="D192" vm="1846">
        <f ca="1"/>
        <v>497.72</v>
      </c>
      <c r="E192" vm="1847">
        <f ca="1"/>
        <v>718.35</v>
      </c>
      <c r="F192" vm="1848">
        <f ca="1"/>
        <v>176.79</v>
      </c>
      <c r="G192" vm="1849">
        <f ca="1"/>
        <v>620.67999999999995</v>
      </c>
      <c r="I192" vm="1850">
        <f ca="1"/>
        <v>307.37</v>
      </c>
      <c r="J192" vm="1851">
        <f ca="1"/>
        <v>76.48</v>
      </c>
      <c r="K192" vm="1852">
        <f ca="1"/>
        <v>94.46</v>
      </c>
    </row>
    <row r="193" spans="1:11" x14ac:dyDescent="0.4">
      <c r="A193" vm="1853">
        <f ca="1"/>
        <v>45846</v>
      </c>
      <c r="B193" vm="1854">
        <f ca="1"/>
        <v>210.01</v>
      </c>
      <c r="C193" vm="1855">
        <f ca="1"/>
        <v>160</v>
      </c>
      <c r="D193" vm="1856">
        <f ca="1"/>
        <v>496.62</v>
      </c>
      <c r="E193" vm="1857">
        <f ca="1"/>
        <v>720.67</v>
      </c>
      <c r="F193" vm="1858">
        <f ca="1"/>
        <v>174.36</v>
      </c>
      <c r="G193" vm="1859">
        <f ca="1"/>
        <v>620.34</v>
      </c>
      <c r="I193" vm="1860">
        <f ca="1"/>
        <v>304.16000000000003</v>
      </c>
      <c r="J193" vm="943">
        <f ca="1"/>
        <v>76.959999999999994</v>
      </c>
      <c r="K193" vm="1861">
        <f ca="1"/>
        <v>94.32</v>
      </c>
    </row>
    <row r="194" spans="1:11" x14ac:dyDescent="0.4">
      <c r="A194" vm="1862">
        <f ca="1"/>
        <v>45847</v>
      </c>
      <c r="B194" vm="1863">
        <f ca="1"/>
        <v>211.14</v>
      </c>
      <c r="C194" vm="1864">
        <f ca="1"/>
        <v>162.88</v>
      </c>
      <c r="D194" vm="1865">
        <f ca="1"/>
        <v>503.51</v>
      </c>
      <c r="E194" vm="1866">
        <f ca="1"/>
        <v>732.78</v>
      </c>
      <c r="F194" vm="1867">
        <f ca="1"/>
        <v>176.62</v>
      </c>
      <c r="G194" vm="1868">
        <f ca="1"/>
        <v>624.05999999999995</v>
      </c>
      <c r="I194" vm="1869">
        <f ca="1"/>
        <v>305.52</v>
      </c>
      <c r="J194" vm="650">
        <f ca="1"/>
        <v>76.930000000000007</v>
      </c>
      <c r="K194" vm="1108">
        <f ca="1"/>
        <v>94.81</v>
      </c>
    </row>
    <row r="195" spans="1:11" x14ac:dyDescent="0.4">
      <c r="A195" vm="1870">
        <f ca="1"/>
        <v>45848</v>
      </c>
      <c r="B195" vm="1871">
        <f ca="1"/>
        <v>212.41</v>
      </c>
      <c r="C195" vm="1872">
        <f ca="1"/>
        <v>164.1</v>
      </c>
      <c r="D195" vm="1345">
        <f ca="1"/>
        <v>501.48</v>
      </c>
      <c r="E195" vm="1873">
        <f ca="1"/>
        <v>727.24</v>
      </c>
      <c r="F195" vm="1874">
        <f ca="1"/>
        <v>177.62</v>
      </c>
      <c r="G195" vm="1875">
        <f ca="1"/>
        <v>625.82000000000005</v>
      </c>
      <c r="I195" vm="1876">
        <f ca="1"/>
        <v>306.2</v>
      </c>
      <c r="J195" vm="1877">
        <f ca="1"/>
        <v>75.39</v>
      </c>
      <c r="K195" vm="1842">
        <f ca="1"/>
        <v>94.76</v>
      </c>
    </row>
    <row r="196" spans="1:11" x14ac:dyDescent="0.4">
      <c r="A196" vm="1878">
        <f ca="1"/>
        <v>45849</v>
      </c>
      <c r="B196" vm="1879">
        <f ca="1"/>
        <v>211.16</v>
      </c>
      <c r="C196" vm="1880">
        <f ca="1"/>
        <v>164.92</v>
      </c>
      <c r="D196" vm="1881">
        <f ca="1"/>
        <v>503.32</v>
      </c>
      <c r="E196" vm="1882">
        <f ca="1"/>
        <v>717.51</v>
      </c>
      <c r="F196" vm="1883">
        <f ca="1"/>
        <v>180.19</v>
      </c>
      <c r="G196" vm="1884">
        <f ca="1"/>
        <v>623.62</v>
      </c>
      <c r="I196" vm="1885">
        <f ca="1"/>
        <v>309.14</v>
      </c>
      <c r="J196" vm="1886">
        <f ca="1"/>
        <v>77.290000000000006</v>
      </c>
      <c r="K196" vm="1861">
        <f ca="1"/>
        <v>94.32</v>
      </c>
    </row>
    <row r="197" spans="1:11" x14ac:dyDescent="0.4">
      <c r="A197" vm="1887">
        <f ca="1"/>
        <v>45852</v>
      </c>
      <c r="B197" vm="1888">
        <f ca="1"/>
        <v>208.62</v>
      </c>
      <c r="C197" vm="158">
        <f ca="1"/>
        <v>164.07</v>
      </c>
      <c r="D197" vm="1889">
        <f ca="1"/>
        <v>503.02</v>
      </c>
      <c r="E197" vm="1890">
        <f ca="1"/>
        <v>720.92</v>
      </c>
      <c r="F197" vm="1891">
        <f ca="1"/>
        <v>181.56</v>
      </c>
      <c r="G197" vm="1892">
        <f ca="1"/>
        <v>624.80999999999995</v>
      </c>
      <c r="I197" vm="1893">
        <f ca="1"/>
        <v>308.01</v>
      </c>
      <c r="J197" vm="1894">
        <f ca="1"/>
        <v>75.62</v>
      </c>
      <c r="K197" vm="1487">
        <f ca="1"/>
        <v>94.28</v>
      </c>
    </row>
    <row r="198" spans="1:11" x14ac:dyDescent="0.4">
      <c r="A198" vm="1895">
        <f ca="1"/>
        <v>45853</v>
      </c>
      <c r="B198" vm="1896">
        <f ca="1"/>
        <v>209.11</v>
      </c>
      <c r="C198" vm="1897">
        <f ca="1"/>
        <v>170.7</v>
      </c>
      <c r="D198" vm="1898">
        <f ca="1"/>
        <v>505.82</v>
      </c>
      <c r="E198" vm="1899">
        <f ca="1"/>
        <v>710.39</v>
      </c>
      <c r="F198" vm="1900">
        <f ca="1"/>
        <v>182</v>
      </c>
      <c r="G198" vm="1901">
        <f ca="1"/>
        <v>622.14</v>
      </c>
      <c r="I198" vm="1902">
        <f ca="1"/>
        <v>306.73</v>
      </c>
      <c r="J198" vm="1903">
        <f ca="1"/>
        <v>75.260000000000005</v>
      </c>
      <c r="K198" vm="982">
        <f ca="1"/>
        <v>93.91</v>
      </c>
    </row>
    <row r="199" spans="1:11" x14ac:dyDescent="0.4">
      <c r="A199" vm="1904">
        <f ca="1"/>
        <v>45854</v>
      </c>
      <c r="B199" vm="1905">
        <f ca="1"/>
        <v>210.16</v>
      </c>
      <c r="C199" vm="1906">
        <f ca="1"/>
        <v>171.37</v>
      </c>
      <c r="D199" vm="1907">
        <f ca="1"/>
        <v>505.62</v>
      </c>
      <c r="E199" vm="1908">
        <f ca="1"/>
        <v>702.91</v>
      </c>
      <c r="F199" vm="1909">
        <f ca="1"/>
        <v>182.97</v>
      </c>
      <c r="G199" vm="1910">
        <f ca="1"/>
        <v>624.22</v>
      </c>
      <c r="I199" vm="1911">
        <f ca="1"/>
        <v>308.26</v>
      </c>
      <c r="J199" vm="1841">
        <f ca="1"/>
        <v>75.19</v>
      </c>
      <c r="K199" vm="261">
        <f ca="1"/>
        <v>94.17</v>
      </c>
    </row>
    <row r="200" spans="1:11" x14ac:dyDescent="0.4">
      <c r="A200" vm="1912">
        <f ca="1"/>
        <v>45855</v>
      </c>
      <c r="B200" vm="1913">
        <f ca="1"/>
        <v>210.02</v>
      </c>
      <c r="C200" vm="1914">
        <f ca="1"/>
        <v>173</v>
      </c>
      <c r="D200" vm="1915">
        <f ca="1"/>
        <v>511.7</v>
      </c>
      <c r="E200" vm="1916">
        <f ca="1"/>
        <v>701.41</v>
      </c>
      <c r="F200" vm="1917">
        <f ca="1"/>
        <v>183.58</v>
      </c>
      <c r="G200" vm="1918">
        <f ca="1"/>
        <v>628.04</v>
      </c>
      <c r="I200" vm="1919">
        <f ca="1"/>
        <v>307.58999999999997</v>
      </c>
      <c r="J200" vm="1920">
        <f ca="1"/>
        <v>76.16</v>
      </c>
      <c r="K200" vm="1921">
        <f ca="1"/>
        <v>94.14</v>
      </c>
    </row>
    <row r="201" spans="1:11" x14ac:dyDescent="0.4">
      <c r="A201" vm="1922">
        <f ca="1"/>
        <v>45856</v>
      </c>
      <c r="B201" vm="1923">
        <f ca="1"/>
        <v>211.18</v>
      </c>
      <c r="C201" vm="1924">
        <f ca="1"/>
        <v>172.41</v>
      </c>
      <c r="D201" vm="1925">
        <f ca="1"/>
        <v>510.05</v>
      </c>
      <c r="E201" vm="1926">
        <f ca="1"/>
        <v>704.28</v>
      </c>
      <c r="F201" vm="1927">
        <f ca="1"/>
        <v>185.06</v>
      </c>
      <c r="G201" vm="1928">
        <f ca="1"/>
        <v>627.58000000000004</v>
      </c>
      <c r="I201" vm="1929">
        <f ca="1"/>
        <v>308.39</v>
      </c>
      <c r="J201" vm="114">
        <f ca="1"/>
        <v>75.930000000000007</v>
      </c>
      <c r="K201" vm="1930">
        <f ca="1"/>
        <v>94.4</v>
      </c>
    </row>
    <row r="202" spans="1:11" x14ac:dyDescent="0.4">
      <c r="A202" vm="1931">
        <f ca="1"/>
        <v>45859</v>
      </c>
      <c r="B202" vm="1932">
        <f ca="1"/>
        <v>212.48</v>
      </c>
      <c r="C202" vm="1933">
        <f ca="1"/>
        <v>171.38</v>
      </c>
      <c r="D202" vm="1934">
        <f ca="1"/>
        <v>510.06</v>
      </c>
      <c r="E202" vm="1935">
        <f ca="1"/>
        <v>712.96500000000003</v>
      </c>
      <c r="F202" vm="1936">
        <f ca="1"/>
        <v>190.1</v>
      </c>
      <c r="G202" vm="1937">
        <f ca="1"/>
        <v>628.77</v>
      </c>
      <c r="I202" vm="1938">
        <f ca="1"/>
        <v>313.13</v>
      </c>
      <c r="J202" vm="1832">
        <f ca="1"/>
        <v>75.59</v>
      </c>
      <c r="K202" vm="1939">
        <f ca="1"/>
        <v>94.73</v>
      </c>
    </row>
    <row r="203" spans="1:11" x14ac:dyDescent="0.4">
      <c r="A203" vm="1940">
        <f ca="1"/>
        <v>45860</v>
      </c>
      <c r="B203" vm="1941">
        <f ca="1"/>
        <v>214.4</v>
      </c>
      <c r="C203" vm="1942">
        <f ca="1"/>
        <v>167.03</v>
      </c>
      <c r="D203" vm="1943">
        <f ca="1"/>
        <v>505.27</v>
      </c>
      <c r="E203" vm="1944">
        <f ca="1"/>
        <v>704.81</v>
      </c>
      <c r="F203" vm="1945">
        <f ca="1"/>
        <v>191.34</v>
      </c>
      <c r="G203" vm="1946">
        <f ca="1"/>
        <v>628.86</v>
      </c>
      <c r="I203" vm="1947">
        <f ca="1"/>
        <v>316.10000000000002</v>
      </c>
      <c r="J203" vm="971">
        <f ca="1"/>
        <v>75.349999999999994</v>
      </c>
      <c r="K203" vm="1948">
        <f ca="1"/>
        <v>95</v>
      </c>
    </row>
    <row r="204" spans="1:11" x14ac:dyDescent="0.4">
      <c r="A204" vm="1949">
        <f ca="1"/>
        <v>45861</v>
      </c>
      <c r="B204" vm="1950">
        <f ca="1"/>
        <v>214.15</v>
      </c>
      <c r="C204" vm="1951">
        <f ca="1"/>
        <v>170.78</v>
      </c>
      <c r="D204" vm="1952">
        <f ca="1"/>
        <v>505.87</v>
      </c>
      <c r="E204" vm="1953">
        <f ca="1"/>
        <v>713.58</v>
      </c>
      <c r="F204" vm="1954">
        <f ca="1"/>
        <v>190.23</v>
      </c>
      <c r="G204" vm="1955">
        <f ca="1"/>
        <v>634.21</v>
      </c>
      <c r="I204" vm="1956">
        <f ca="1"/>
        <v>312.18</v>
      </c>
      <c r="J204" vm="1010">
        <f ca="1"/>
        <v>75.28</v>
      </c>
      <c r="K204" vm="1957">
        <f ca="1"/>
        <v>94.66</v>
      </c>
    </row>
    <row r="205" spans="1:11" x14ac:dyDescent="0.4">
      <c r="A205" vm="1958">
        <f ca="1"/>
        <v>45862</v>
      </c>
      <c r="B205" vm="1959">
        <f ca="1"/>
        <v>213.76</v>
      </c>
      <c r="C205" vm="1960">
        <f ca="1"/>
        <v>173.74</v>
      </c>
      <c r="D205" vm="1961">
        <f ca="1"/>
        <v>510.88</v>
      </c>
      <c r="E205" vm="1962">
        <f ca="1"/>
        <v>714.8</v>
      </c>
      <c r="F205" vm="1963">
        <f ca="1"/>
        <v>192.17</v>
      </c>
      <c r="G205" vm="1964">
        <f ca="1"/>
        <v>634.41999999999996</v>
      </c>
      <c r="I205" vm="1965">
        <f ca="1"/>
        <v>310.27</v>
      </c>
      <c r="J205" vm="865">
        <f ca="1"/>
        <v>76.09</v>
      </c>
      <c r="K205" vm="241">
        <f ca="1"/>
        <v>94.52</v>
      </c>
    </row>
    <row r="206" spans="1:11" x14ac:dyDescent="0.4">
      <c r="A206" vm="1966">
        <f ca="1"/>
        <v>45863</v>
      </c>
      <c r="B206" vm="1967">
        <f ca="1"/>
        <v>213.88</v>
      </c>
      <c r="C206" vm="1968">
        <f ca="1"/>
        <v>173.5</v>
      </c>
      <c r="D206" vm="1969">
        <f ca="1"/>
        <v>513.71</v>
      </c>
      <c r="E206" vm="1970">
        <f ca="1"/>
        <v>712.68</v>
      </c>
      <c r="F206" vm="1971">
        <f ca="1"/>
        <v>193.18</v>
      </c>
      <c r="G206" vm="1559">
        <f ca="1"/>
        <v>637.1</v>
      </c>
      <c r="I206" vm="1972">
        <f ca="1"/>
        <v>307.39999999999998</v>
      </c>
      <c r="J206" vm="1973">
        <f ca="1"/>
        <v>74.849999999999994</v>
      </c>
      <c r="K206" vm="1974">
        <f ca="1"/>
        <v>94.74</v>
      </c>
    </row>
    <row r="207" spans="1:11" x14ac:dyDescent="0.4">
      <c r="A207" vm="1975">
        <f ca="1"/>
        <v>45866</v>
      </c>
      <c r="B207" vm="1976">
        <f ca="1"/>
        <v>214.05</v>
      </c>
      <c r="C207" vm="1977">
        <f ca="1"/>
        <v>176.75</v>
      </c>
      <c r="D207" vm="1978">
        <f ca="1"/>
        <v>512.5</v>
      </c>
      <c r="E207" vm="1979">
        <f ca="1"/>
        <v>717.63</v>
      </c>
      <c r="F207" vm="1980">
        <f ca="1"/>
        <v>192.58</v>
      </c>
      <c r="G207" vm="1981">
        <f ca="1"/>
        <v>636.94000000000005</v>
      </c>
      <c r="I207" vm="1982">
        <f ca="1"/>
        <v>305.41000000000003</v>
      </c>
      <c r="J207" vm="1983">
        <f ca="1"/>
        <v>77.17</v>
      </c>
      <c r="K207" vm="1459">
        <f ca="1"/>
        <v>94.53</v>
      </c>
    </row>
    <row r="208" spans="1:11" x14ac:dyDescent="0.4">
      <c r="A208" vm="1984">
        <f ca="1"/>
        <v>45867</v>
      </c>
      <c r="B208" vm="1985">
        <f ca="1"/>
        <v>211.27</v>
      </c>
      <c r="C208" vm="1986">
        <f ca="1"/>
        <v>175.51</v>
      </c>
      <c r="D208" vm="1987">
        <f ca="1"/>
        <v>512.57000000000005</v>
      </c>
      <c r="E208" vm="1988">
        <f ca="1"/>
        <v>700</v>
      </c>
      <c r="F208" vm="1989">
        <f ca="1"/>
        <v>195.75</v>
      </c>
      <c r="G208" vm="1990">
        <f ca="1"/>
        <v>635.26</v>
      </c>
      <c r="I208" vm="1991">
        <f ca="1"/>
        <v>306.25</v>
      </c>
      <c r="J208" vm="1992">
        <f ca="1"/>
        <v>79.8</v>
      </c>
      <c r="K208" vm="1993">
        <f ca="1"/>
        <v>95.15</v>
      </c>
    </row>
    <row r="209" spans="1:11" x14ac:dyDescent="0.4">
      <c r="A209" vm="1994">
        <f ca="1"/>
        <v>45868</v>
      </c>
      <c r="B209" vm="1995">
        <f ca="1"/>
        <v>209.05</v>
      </c>
      <c r="C209" vm="1996">
        <f ca="1"/>
        <v>179.27</v>
      </c>
      <c r="D209" vm="1997">
        <f ca="1"/>
        <v>513.24</v>
      </c>
      <c r="E209" vm="1998">
        <f ca="1"/>
        <v>695.21</v>
      </c>
      <c r="F209" vm="1999">
        <f ca="1"/>
        <v>196.53</v>
      </c>
      <c r="G209" vm="2000">
        <f ca="1"/>
        <v>634.46</v>
      </c>
      <c r="I209" vm="2001">
        <f ca="1"/>
        <v>300.95999999999998</v>
      </c>
      <c r="J209" vm="2002">
        <f ca="1"/>
        <v>81.040000000000006</v>
      </c>
      <c r="K209" vm="2003">
        <f ca="1"/>
        <v>94.82</v>
      </c>
    </row>
    <row r="210" spans="1:11" x14ac:dyDescent="0.4">
      <c r="A210" vm="2004">
        <f ca="1"/>
        <v>45869</v>
      </c>
      <c r="B210" vm="2005">
        <f ca="1"/>
        <v>207.57</v>
      </c>
      <c r="C210" vm="2006">
        <f ca="1"/>
        <v>177.87</v>
      </c>
      <c r="D210" vm="2007">
        <f ca="1"/>
        <v>533.5</v>
      </c>
      <c r="E210" vm="2008">
        <f ca="1"/>
        <v>773.44</v>
      </c>
      <c r="F210" vm="2009">
        <f ca="1"/>
        <v>191.9</v>
      </c>
      <c r="G210" vm="2010">
        <f ca="1"/>
        <v>632.08000000000004</v>
      </c>
      <c r="I210" vm="2011">
        <f ca="1"/>
        <v>302.95999999999998</v>
      </c>
      <c r="J210" vm="2012">
        <f ca="1"/>
        <v>79.59</v>
      </c>
      <c r="K210" vm="2013">
        <f ca="1"/>
        <v>94.9</v>
      </c>
    </row>
    <row r="211" spans="1:11" x14ac:dyDescent="0.4">
      <c r="A211" vm="2014">
        <f ca="1"/>
        <v>45870</v>
      </c>
      <c r="B211" vm="2015">
        <f ca="1"/>
        <v>202.38</v>
      </c>
      <c r="C211" vm="2016">
        <f ca="1"/>
        <v>173.72</v>
      </c>
      <c r="D211" vm="2017">
        <f ca="1"/>
        <v>524.11</v>
      </c>
      <c r="E211" vm="2018">
        <f ca="1"/>
        <v>750.01</v>
      </c>
      <c r="F211" vm="2019">
        <f ca="1"/>
        <v>189.13</v>
      </c>
      <c r="G211" vm="2020">
        <f ca="1"/>
        <v>621.72</v>
      </c>
      <c r="I211" vm="2021">
        <f ca="1"/>
        <v>309.11</v>
      </c>
      <c r="J211" vm="2022">
        <f ca="1"/>
        <v>77.459999999999994</v>
      </c>
      <c r="K211" vm="2023">
        <f ca="1"/>
        <v>95.68</v>
      </c>
    </row>
    <row r="212" spans="1:11" x14ac:dyDescent="0.4">
      <c r="A212" vm="2024">
        <f ca="1"/>
        <v>45873</v>
      </c>
      <c r="B212" vm="2025">
        <f ca="1"/>
        <v>203.35</v>
      </c>
      <c r="C212" vm="2026">
        <f ca="1"/>
        <v>180</v>
      </c>
      <c r="D212" vm="2027">
        <f ca="1"/>
        <v>535.64</v>
      </c>
      <c r="E212" vm="2028">
        <f ca="1"/>
        <v>776.37</v>
      </c>
      <c r="F212" vm="2029">
        <f ca="1"/>
        <v>195.04</v>
      </c>
      <c r="G212" vm="2030">
        <f ca="1"/>
        <v>631.16999999999996</v>
      </c>
      <c r="I212" vm="2031">
        <f ca="1"/>
        <v>310.91000000000003</v>
      </c>
      <c r="J212" vm="2032">
        <f ca="1"/>
        <v>76.11</v>
      </c>
      <c r="K212" vm="2033">
        <f ca="1"/>
        <v>95.81</v>
      </c>
    </row>
    <row r="213" spans="1:11" x14ac:dyDescent="0.4">
      <c r="A213" vm="2034">
        <f ca="1"/>
        <v>45874</v>
      </c>
      <c r="B213" vm="2035">
        <f ca="1"/>
        <v>202.92</v>
      </c>
      <c r="C213" vm="2036">
        <f ca="1"/>
        <v>178.26</v>
      </c>
      <c r="D213" vm="2037">
        <f ca="1"/>
        <v>527.75</v>
      </c>
      <c r="E213" vm="2038">
        <f ca="1"/>
        <v>763.46</v>
      </c>
      <c r="F213" vm="2039">
        <f ca="1"/>
        <v>194.67</v>
      </c>
      <c r="G213" vm="2040">
        <f ca="1"/>
        <v>627.97</v>
      </c>
      <c r="I213" vm="2041">
        <f ca="1"/>
        <v>311.16000000000003</v>
      </c>
      <c r="J213" vm="2042">
        <f ca="1"/>
        <v>75.02</v>
      </c>
      <c r="K213" vm="2043">
        <f ca="1"/>
        <v>95.74</v>
      </c>
    </row>
    <row r="214" spans="1:11" x14ac:dyDescent="0.4">
      <c r="A214" vm="2044">
        <f ca="1"/>
        <v>45875</v>
      </c>
      <c r="B214" vm="2045">
        <f ca="1"/>
        <v>213.25</v>
      </c>
      <c r="C214" vm="2046">
        <f ca="1"/>
        <v>179.42</v>
      </c>
      <c r="D214" vm="2047">
        <f ca="1"/>
        <v>524.94000000000005</v>
      </c>
      <c r="E214" vm="2048">
        <f ca="1"/>
        <v>771.99</v>
      </c>
      <c r="F214" vm="2049">
        <f ca="1"/>
        <v>196.09</v>
      </c>
      <c r="G214" vm="2050">
        <f ca="1"/>
        <v>632.78</v>
      </c>
      <c r="I214" vm="2051">
        <f ca="1"/>
        <v>310.5</v>
      </c>
      <c r="J214" vm="1164">
        <f ca="1"/>
        <v>73.790000000000006</v>
      </c>
      <c r="K214" vm="2052">
        <f ca="1"/>
        <v>95.67</v>
      </c>
    </row>
    <row r="215" spans="1:11" x14ac:dyDescent="0.4">
      <c r="A215" vm="2053">
        <f ca="1"/>
        <v>45876</v>
      </c>
      <c r="B215" vm="2054">
        <f ca="1"/>
        <v>220.03</v>
      </c>
      <c r="C215" vm="2055">
        <f ca="1"/>
        <v>180.77</v>
      </c>
      <c r="D215" vm="2056">
        <f ca="1"/>
        <v>520.84</v>
      </c>
      <c r="E215" vm="2057">
        <f ca="1"/>
        <v>761.83</v>
      </c>
      <c r="F215" vm="2058">
        <f ca="1"/>
        <v>196.52</v>
      </c>
      <c r="G215" vm="2059">
        <f ca="1"/>
        <v>632.25</v>
      </c>
      <c r="I215" vm="2060">
        <f ca="1"/>
        <v>313.12</v>
      </c>
      <c r="J215" vm="2061">
        <f ca="1"/>
        <v>73.42</v>
      </c>
      <c r="K215" vm="2062">
        <f ca="1"/>
        <v>95.6</v>
      </c>
    </row>
    <row r="216" spans="1:11" x14ac:dyDescent="0.4">
      <c r="A216" vm="2063">
        <f ca="1"/>
        <v>45877</v>
      </c>
      <c r="B216" vm="2064">
        <f ca="1"/>
        <v>229.35</v>
      </c>
      <c r="C216" vm="2065">
        <f ca="1"/>
        <v>182.7</v>
      </c>
      <c r="D216" vm="2066">
        <f ca="1"/>
        <v>522.04</v>
      </c>
      <c r="E216" vm="2067">
        <f ca="1"/>
        <v>769.3</v>
      </c>
      <c r="F216" vm="2068">
        <f ca="1"/>
        <v>201.42</v>
      </c>
      <c r="G216" vm="2069">
        <f ca="1"/>
        <v>637.17999999999995</v>
      </c>
      <c r="I216" vm="2070">
        <f ca="1"/>
        <v>313.05</v>
      </c>
      <c r="J216" vm="554">
        <f ca="1"/>
        <v>73.3</v>
      </c>
      <c r="K216" vm="2071">
        <f ca="1"/>
        <v>95.38</v>
      </c>
    </row>
    <row r="217" spans="1:11" x14ac:dyDescent="0.4">
      <c r="A217" vm="2072">
        <f ca="1"/>
        <v>45880</v>
      </c>
      <c r="B217" vm="2073">
        <f ca="1"/>
        <v>227.18</v>
      </c>
      <c r="C217" vm="2074">
        <f ca="1"/>
        <v>182.06</v>
      </c>
      <c r="D217" vm="2075">
        <f ca="1"/>
        <v>521.77</v>
      </c>
      <c r="E217" vm="2076">
        <f ca="1"/>
        <v>765.87</v>
      </c>
      <c r="F217" vm="1749">
        <f ca="1"/>
        <v>201</v>
      </c>
      <c r="G217" vm="2077">
        <f ca="1"/>
        <v>635.91999999999996</v>
      </c>
      <c r="I217" vm="2078">
        <f ca="1"/>
        <v>308.55</v>
      </c>
      <c r="J217" vm="2079">
        <f ca="1"/>
        <v>73.8</v>
      </c>
      <c r="K217" vm="1271">
        <f ca="1"/>
        <v>95.41</v>
      </c>
    </row>
    <row r="218" spans="1:11" x14ac:dyDescent="0.4">
      <c r="A218" vm="2080">
        <f ca="1"/>
        <v>45881</v>
      </c>
      <c r="B218" vm="2081">
        <f ca="1"/>
        <v>229.65</v>
      </c>
      <c r="C218" vm="2082">
        <f ca="1"/>
        <v>183.16</v>
      </c>
      <c r="D218" vm="2083">
        <f ca="1"/>
        <v>529.24</v>
      </c>
      <c r="E218" vm="2084">
        <f ca="1"/>
        <v>790</v>
      </c>
      <c r="F218" vm="2085">
        <f ca="1"/>
        <v>203.34</v>
      </c>
      <c r="G218" vm="2086">
        <f ca="1"/>
        <v>642.69000000000005</v>
      </c>
      <c r="I218" vm="2087">
        <f ca="1"/>
        <v>308.27</v>
      </c>
      <c r="J218" vm="2088">
        <f ca="1"/>
        <v>72.95</v>
      </c>
      <c r="K218" vm="1030">
        <f ca="1"/>
        <v>95.39</v>
      </c>
    </row>
    <row r="219" spans="1:11" x14ac:dyDescent="0.4">
      <c r="A219" vm="2089">
        <f ca="1"/>
        <v>45882</v>
      </c>
      <c r="B219" vm="2090">
        <f ca="1"/>
        <v>233.33</v>
      </c>
      <c r="C219" vm="2091">
        <f ca="1"/>
        <v>181.59</v>
      </c>
      <c r="D219" vm="2092">
        <f ca="1"/>
        <v>520.58000000000004</v>
      </c>
      <c r="E219" vm="2093">
        <f ca="1"/>
        <v>780.08</v>
      </c>
      <c r="F219" vm="2094">
        <f ca="1"/>
        <v>201.96</v>
      </c>
      <c r="G219" vm="2095">
        <f ca="1"/>
        <v>644.89</v>
      </c>
      <c r="I219" vm="2096">
        <f ca="1"/>
        <v>309.20999999999998</v>
      </c>
      <c r="J219" vm="2097">
        <f ca="1"/>
        <v>72.459999999999994</v>
      </c>
      <c r="K219" vm="2098">
        <f ca="1"/>
        <v>95.73</v>
      </c>
    </row>
    <row r="220" spans="1:11" x14ac:dyDescent="0.4">
      <c r="A220" vm="2099">
        <f ca="1"/>
        <v>45883</v>
      </c>
      <c r="B220" vm="2100">
        <f ca="1"/>
        <v>232.78</v>
      </c>
      <c r="C220" vm="2101">
        <f ca="1"/>
        <v>182.02</v>
      </c>
      <c r="D220" vm="2102">
        <f ca="1"/>
        <v>522.48</v>
      </c>
      <c r="E220" vm="2103">
        <f ca="1"/>
        <v>782.13</v>
      </c>
      <c r="F220" vm="2104">
        <f ca="1"/>
        <v>202.94</v>
      </c>
      <c r="G220" vm="2105">
        <f ca="1"/>
        <v>644.95000000000005</v>
      </c>
      <c r="I220" vm="2106">
        <f ca="1"/>
        <v>307.25</v>
      </c>
      <c r="J220" vm="2107">
        <f ca="1"/>
        <v>73.739999999999995</v>
      </c>
      <c r="K220" vm="2108">
        <f ca="1"/>
        <v>95.42</v>
      </c>
    </row>
    <row r="221" spans="1:11" x14ac:dyDescent="0.4">
      <c r="A221" vm="2109">
        <f ca="1"/>
        <v>45884</v>
      </c>
      <c r="B221" vm="2110">
        <f ca="1"/>
        <v>231.59</v>
      </c>
      <c r="C221" vm="2111">
        <f ca="1"/>
        <v>180.45</v>
      </c>
      <c r="D221" vm="2112">
        <f ca="1"/>
        <v>520.16999999999996</v>
      </c>
      <c r="E221" vm="2113">
        <f ca="1"/>
        <v>785.23</v>
      </c>
      <c r="F221" vm="2114">
        <f ca="1"/>
        <v>203.9</v>
      </c>
      <c r="G221" vm="2115">
        <f ca="1"/>
        <v>643.44000000000005</v>
      </c>
      <c r="I221" vm="2116">
        <f ca="1"/>
        <v>307.43</v>
      </c>
      <c r="J221" vm="1097">
        <f ca="1"/>
        <v>72.8</v>
      </c>
      <c r="K221" vm="2117">
        <f ca="1"/>
        <v>95.23</v>
      </c>
    </row>
    <row r="222" spans="1:11" x14ac:dyDescent="0.4">
      <c r="A222" vm="2118">
        <f ca="1"/>
        <v>45887</v>
      </c>
      <c r="B222" vm="2119">
        <f ca="1"/>
        <v>230.89</v>
      </c>
      <c r="C222" vm="2120">
        <f ca="1"/>
        <v>182.01</v>
      </c>
      <c r="D222" vm="2121">
        <f ca="1"/>
        <v>517.1</v>
      </c>
      <c r="E222" vm="2122">
        <f ca="1"/>
        <v>767.37</v>
      </c>
      <c r="F222" vm="2123">
        <f ca="1"/>
        <v>203.5</v>
      </c>
      <c r="G222" vm="2124">
        <f ca="1"/>
        <v>643.29999999999995</v>
      </c>
      <c r="I222" vm="2125">
        <f ca="1"/>
        <v>306.95</v>
      </c>
      <c r="J222" vm="2126">
        <f ca="1"/>
        <v>73.17</v>
      </c>
      <c r="K222" vm="2127">
        <f ca="1"/>
        <v>95.14</v>
      </c>
    </row>
    <row r="223" spans="1:11" x14ac:dyDescent="0.4">
      <c r="A223" vm="2128">
        <f ca="1"/>
        <v>45888</v>
      </c>
      <c r="B223" vm="2129">
        <f ca="1"/>
        <v>230.56</v>
      </c>
      <c r="C223" vm="2130">
        <f ca="1"/>
        <v>175.64</v>
      </c>
      <c r="D223" vm="2131">
        <f ca="1"/>
        <v>509.77</v>
      </c>
      <c r="E223" vm="2132">
        <f ca="1"/>
        <v>751.48</v>
      </c>
      <c r="F223" vm="2133">
        <f ca="1"/>
        <v>201.57</v>
      </c>
      <c r="G223" vm="2134">
        <f ca="1"/>
        <v>639.80999999999995</v>
      </c>
      <c r="I223" vm="2135">
        <f ca="1"/>
        <v>305.27</v>
      </c>
      <c r="J223" vm="2136">
        <f ca="1"/>
        <v>72.3</v>
      </c>
      <c r="K223" vm="2071">
        <f ca="1"/>
        <v>95.38</v>
      </c>
    </row>
    <row r="224" spans="1:11" x14ac:dyDescent="0.4">
      <c r="A224" vm="2137">
        <f ca="1"/>
        <v>45889</v>
      </c>
      <c r="B224" vm="2138">
        <f ca="1"/>
        <v>226.01</v>
      </c>
      <c r="C224" vm="2139">
        <f ca="1"/>
        <v>175.4</v>
      </c>
      <c r="D224" vm="2140">
        <f ca="1"/>
        <v>505.72</v>
      </c>
      <c r="E224" vm="2141">
        <f ca="1"/>
        <v>747.72</v>
      </c>
      <c r="F224" vm="2142">
        <f ca="1"/>
        <v>199.32</v>
      </c>
      <c r="G224" vm="2143">
        <f ca="1"/>
        <v>638.11</v>
      </c>
      <c r="I224" vm="2144">
        <f ca="1"/>
        <v>308.36</v>
      </c>
      <c r="J224" vm="2145">
        <f ca="1"/>
        <v>73.52</v>
      </c>
      <c r="K224" vm="2146">
        <f ca="1"/>
        <v>95.52</v>
      </c>
    </row>
    <row r="225" spans="1:11" x14ac:dyDescent="0.4">
      <c r="A225" vm="2147">
        <f ca="1"/>
        <v>45890</v>
      </c>
      <c r="B225" vm="2148">
        <f ca="1"/>
        <v>224.9</v>
      </c>
      <c r="C225" vm="2149">
        <f ca="1"/>
        <v>174.98</v>
      </c>
      <c r="D225" vm="2150">
        <f ca="1"/>
        <v>504.24</v>
      </c>
      <c r="E225" vm="2151">
        <f ca="1"/>
        <v>739.1</v>
      </c>
      <c r="F225" vm="2152">
        <f ca="1"/>
        <v>199.75</v>
      </c>
      <c r="G225" vm="2153">
        <f ca="1"/>
        <v>635.54999999999995</v>
      </c>
      <c r="I225" vm="2154">
        <f ca="1"/>
        <v>307.29000000000002</v>
      </c>
      <c r="J225" vm="991">
        <f ca="1"/>
        <v>74.13</v>
      </c>
      <c r="K225" vm="2155">
        <f ca="1"/>
        <v>95.24</v>
      </c>
    </row>
    <row r="226" spans="1:11" x14ac:dyDescent="0.4">
      <c r="A226" vm="2156">
        <f ca="1"/>
        <v>45891</v>
      </c>
      <c r="B226" vm="2157">
        <f ca="1"/>
        <v>227.76</v>
      </c>
      <c r="C226" vm="2158">
        <f ca="1"/>
        <v>177.99</v>
      </c>
      <c r="D226" vm="2159">
        <f ca="1"/>
        <v>507.23</v>
      </c>
      <c r="E226" vm="2160">
        <f ca="1"/>
        <v>754.79</v>
      </c>
      <c r="F226" vm="2161">
        <f ca="1"/>
        <v>206.09</v>
      </c>
      <c r="G226" vm="2162">
        <f ca="1"/>
        <v>645.30999999999995</v>
      </c>
      <c r="I226" vm="2163">
        <f ca="1"/>
        <v>310.58</v>
      </c>
      <c r="J226" vm="2164">
        <f ca="1"/>
        <v>74.64</v>
      </c>
      <c r="K226" vm="1813">
        <f ca="1"/>
        <v>95.77</v>
      </c>
    </row>
    <row r="227" spans="1:11" x14ac:dyDescent="0.4">
      <c r="A227" vm="2165">
        <f ca="1"/>
        <v>45894</v>
      </c>
      <c r="B227" vm="2166">
        <f ca="1"/>
        <v>227.16</v>
      </c>
      <c r="C227" vm="2167">
        <f ca="1"/>
        <v>179.81</v>
      </c>
      <c r="D227" vm="2168">
        <f ca="1"/>
        <v>504.26</v>
      </c>
      <c r="E227" vm="2169">
        <f ca="1"/>
        <v>753.3</v>
      </c>
      <c r="F227" vm="2170">
        <f ca="1"/>
        <v>208.49</v>
      </c>
      <c r="G227" vm="2171">
        <f ca="1"/>
        <v>642.47</v>
      </c>
      <c r="I227" vm="2172">
        <f ca="1"/>
        <v>309.83</v>
      </c>
      <c r="J227" vm="2173">
        <f ca="1"/>
        <v>75.75</v>
      </c>
      <c r="K227" vm="2174">
        <f ca="1"/>
        <v>95.58</v>
      </c>
    </row>
    <row r="228" spans="1:11" x14ac:dyDescent="0.4">
      <c r="A228" vm="2175">
        <f ca="1"/>
        <v>45895</v>
      </c>
      <c r="B228" vm="2176">
        <f ca="1"/>
        <v>229.31</v>
      </c>
      <c r="C228" vm="2177">
        <f ca="1"/>
        <v>181.77</v>
      </c>
      <c r="D228" vm="2178">
        <f ca="1"/>
        <v>502.04</v>
      </c>
      <c r="E228" vm="2179">
        <f ca="1"/>
        <v>754.1</v>
      </c>
      <c r="F228" vm="2180">
        <f ca="1"/>
        <v>207.14</v>
      </c>
      <c r="G228" vm="2181">
        <f ca="1"/>
        <v>645.16</v>
      </c>
      <c r="I228" vm="2182">
        <f ca="1"/>
        <v>312.08</v>
      </c>
      <c r="J228" vm="2183">
        <f ca="1"/>
        <v>74.05</v>
      </c>
      <c r="K228" vm="95">
        <f ca="1"/>
        <v>95.83</v>
      </c>
    </row>
    <row r="229" spans="1:11" x14ac:dyDescent="0.4">
      <c r="A229" vm="2184">
        <f ca="1"/>
        <v>45896</v>
      </c>
      <c r="B229" vm="2185">
        <f ca="1"/>
        <v>230.49</v>
      </c>
      <c r="C229" vm="2186">
        <f ca="1"/>
        <v>181.6</v>
      </c>
      <c r="D229" vm="2187">
        <f ca="1"/>
        <v>506.74</v>
      </c>
      <c r="E229" vm="2188">
        <f ca="1"/>
        <v>747.38</v>
      </c>
      <c r="F229" vm="2189">
        <f ca="1"/>
        <v>207.48</v>
      </c>
      <c r="G229" vm="2190">
        <f ca="1"/>
        <v>646.63</v>
      </c>
      <c r="I229" vm="2191">
        <f ca="1"/>
        <v>312.70999999999998</v>
      </c>
      <c r="J229" vm="2192">
        <f ca="1"/>
        <v>74.680000000000007</v>
      </c>
      <c r="K229" vm="2193">
        <f ca="1"/>
        <v>96.01</v>
      </c>
    </row>
    <row r="230" spans="1:11" x14ac:dyDescent="0.4">
      <c r="A230" vm="2194">
        <f ca="1"/>
        <v>45897</v>
      </c>
      <c r="B230" vm="2195">
        <f ca="1"/>
        <v>232.56</v>
      </c>
      <c r="C230" vm="2196">
        <f ca="1"/>
        <v>180.17</v>
      </c>
      <c r="D230" vm="2197">
        <f ca="1"/>
        <v>509.64</v>
      </c>
      <c r="E230" vm="2198">
        <f ca="1"/>
        <v>751.11</v>
      </c>
      <c r="F230" vm="2199">
        <f ca="1"/>
        <v>211.64</v>
      </c>
      <c r="G230" vm="2200">
        <f ca="1"/>
        <v>648.91999999999996</v>
      </c>
      <c r="I230" vm="2201">
        <f ca="1"/>
        <v>315.02999999999997</v>
      </c>
      <c r="J230" vm="2202">
        <f ca="1"/>
        <v>75.239999999999995</v>
      </c>
      <c r="K230" vm="2203">
        <f ca="1"/>
        <v>96.23</v>
      </c>
    </row>
    <row r="231" spans="1:11" x14ac:dyDescent="0.4">
      <c r="A231" vm="2204">
        <f ca="1"/>
        <v>45898</v>
      </c>
      <c r="B231" vm="2205">
        <f ca="1"/>
        <v>232.14</v>
      </c>
      <c r="C231" vm="2206">
        <f ca="1"/>
        <v>174.18</v>
      </c>
      <c r="D231" vm="2207">
        <f ca="1"/>
        <v>506.69</v>
      </c>
      <c r="E231" vm="2208">
        <f ca="1"/>
        <v>738.7</v>
      </c>
      <c r="F231" vm="2209">
        <f ca="1"/>
        <v>212.91</v>
      </c>
      <c r="G231" vm="1615">
        <f ca="1"/>
        <v>645.04999999999995</v>
      </c>
      <c r="I231" vm="2210">
        <f ca="1"/>
        <v>318.07</v>
      </c>
      <c r="J231" vm="2211">
        <f ca="1"/>
        <v>74.84</v>
      </c>
      <c r="K231" vm="2212">
        <f ca="1"/>
        <v>96.15</v>
      </c>
    </row>
    <row r="232" spans="1:11" x14ac:dyDescent="0.4">
      <c r="A232" vm="2213">
        <f ca="1"/>
        <v>45902</v>
      </c>
      <c r="B232" vm="2214">
        <f ca="1"/>
        <v>229.72</v>
      </c>
      <c r="C232" vm="1951">
        <f ca="1"/>
        <v>170.78</v>
      </c>
      <c r="D232" vm="2215">
        <f ca="1"/>
        <v>505.12</v>
      </c>
      <c r="E232" vm="2216">
        <f ca="1"/>
        <v>735.11</v>
      </c>
      <c r="F232" vm="2217">
        <f ca="1"/>
        <v>211.35</v>
      </c>
      <c r="G232" vm="2218">
        <f ca="1"/>
        <v>640.27</v>
      </c>
      <c r="I232" vm="2219">
        <f ca="1"/>
        <v>325.58999999999997</v>
      </c>
      <c r="J232" vm="2220">
        <f ca="1"/>
        <v>76.760000000000005</v>
      </c>
      <c r="K232" vm="2221">
        <f ca="1"/>
        <v>95.55</v>
      </c>
    </row>
    <row r="233" spans="1:11" x14ac:dyDescent="0.4">
      <c r="A233" vm="2222">
        <f ca="1"/>
        <v>45903</v>
      </c>
      <c r="B233" vm="2223">
        <f ca="1"/>
        <v>238.47</v>
      </c>
      <c r="C233" vm="2224">
        <f ca="1"/>
        <v>170.62</v>
      </c>
      <c r="D233" vm="2225">
        <f ca="1"/>
        <v>505.35</v>
      </c>
      <c r="E233" vm="2226">
        <f ca="1"/>
        <v>737.05</v>
      </c>
      <c r="F233" vm="2227">
        <f ca="1"/>
        <v>230.66</v>
      </c>
      <c r="G233" vm="2228">
        <f ca="1"/>
        <v>643.74</v>
      </c>
      <c r="I233" vm="2229">
        <f ca="1"/>
        <v>328.14</v>
      </c>
      <c r="J233" vm="2230">
        <f ca="1"/>
        <v>74.83</v>
      </c>
      <c r="K233" vm="2231">
        <f ca="1"/>
        <v>95.88</v>
      </c>
    </row>
    <row r="234" spans="1:11" x14ac:dyDescent="0.4">
      <c r="A234" vm="2232">
        <f ca="1"/>
        <v>45904</v>
      </c>
      <c r="B234" vm="2233">
        <f ca="1"/>
        <v>239.78</v>
      </c>
      <c r="C234" vm="2234">
        <f ca="1"/>
        <v>171.66</v>
      </c>
      <c r="D234" vm="2235">
        <f ca="1"/>
        <v>507.97</v>
      </c>
      <c r="E234" vm="2236">
        <f ca="1"/>
        <v>748.65</v>
      </c>
      <c r="F234" vm="2237">
        <f ca="1"/>
        <v>232.3</v>
      </c>
      <c r="G234" vm="2238">
        <f ca="1"/>
        <v>649.12</v>
      </c>
      <c r="I234" vm="2239">
        <f ca="1"/>
        <v>326.69</v>
      </c>
      <c r="J234" vm="2240">
        <f ca="1"/>
        <v>74.180000000000007</v>
      </c>
      <c r="K234" vm="2241">
        <f ca="1"/>
        <v>96.31</v>
      </c>
    </row>
    <row r="235" spans="1:11" x14ac:dyDescent="0.4">
      <c r="A235" vm="2242">
        <f ca="1"/>
        <v>45905</v>
      </c>
      <c r="B235" vm="2243">
        <f ca="1"/>
        <v>239.69</v>
      </c>
      <c r="C235" vm="2244">
        <f ca="1"/>
        <v>167.02</v>
      </c>
      <c r="D235" vm="2245">
        <f ca="1"/>
        <v>495</v>
      </c>
      <c r="E235" vm="2246">
        <f ca="1"/>
        <v>752.45</v>
      </c>
      <c r="F235" vm="145">
        <f ca="1"/>
        <v>235</v>
      </c>
      <c r="G235" vm="2247">
        <f ca="1"/>
        <v>647.24</v>
      </c>
      <c r="I235" vm="2248">
        <f ca="1"/>
        <v>331.05</v>
      </c>
      <c r="J235" vm="2249">
        <f ca="1"/>
        <v>72.63</v>
      </c>
      <c r="K235" vm="2250">
        <f ca="1"/>
        <v>96.78</v>
      </c>
    </row>
    <row r="236" spans="1:11" x14ac:dyDescent="0.4">
      <c r="A236" vm="2251">
        <f ca="1"/>
        <v>45908</v>
      </c>
      <c r="B236" vm="2252">
        <f ca="1"/>
        <v>237.88</v>
      </c>
      <c r="C236" vm="2253">
        <f ca="1"/>
        <v>168.31</v>
      </c>
      <c r="D236" vm="2254">
        <f ca="1"/>
        <v>498.2</v>
      </c>
      <c r="E236" vm="2255">
        <f ca="1"/>
        <v>752.3</v>
      </c>
      <c r="F236" vm="2256">
        <f ca="1"/>
        <v>234.04</v>
      </c>
      <c r="G236" vm="2257">
        <f ca="1"/>
        <v>648.83000000000004</v>
      </c>
      <c r="I236" vm="2258">
        <f ca="1"/>
        <v>334.82</v>
      </c>
      <c r="J236" vm="456">
        <f ca="1"/>
        <v>73.040000000000006</v>
      </c>
      <c r="K236" vm="2259">
        <f ca="1"/>
        <v>97.08</v>
      </c>
    </row>
    <row r="237" spans="1:11" x14ac:dyDescent="0.4">
      <c r="A237" vm="2260">
        <f ca="1"/>
        <v>45909</v>
      </c>
      <c r="B237" vm="2261">
        <f ca="1"/>
        <v>234.35</v>
      </c>
      <c r="C237" vm="2262">
        <f ca="1"/>
        <v>170.76</v>
      </c>
      <c r="D237" vm="2263">
        <f ca="1"/>
        <v>498.41</v>
      </c>
      <c r="E237" vm="2264">
        <f ca="1"/>
        <v>765.7</v>
      </c>
      <c r="F237" vm="2265">
        <f ca="1"/>
        <v>239.63</v>
      </c>
      <c r="G237" vm="2266">
        <f ca="1"/>
        <v>650.33000000000004</v>
      </c>
      <c r="I237" vm="2267">
        <f ca="1"/>
        <v>334.06</v>
      </c>
      <c r="J237" vm="2268">
        <f ca="1"/>
        <v>73.39</v>
      </c>
      <c r="K237" vm="2269">
        <f ca="1"/>
        <v>96.85</v>
      </c>
    </row>
    <row r="238" spans="1:11" x14ac:dyDescent="0.4">
      <c r="A238" vm="2270">
        <f ca="1"/>
        <v>45910</v>
      </c>
      <c r="B238" vm="2271">
        <f ca="1"/>
        <v>226.79</v>
      </c>
      <c r="C238" vm="2272">
        <f ca="1"/>
        <v>177.33</v>
      </c>
      <c r="D238" vm="2273">
        <f ca="1"/>
        <v>500.37</v>
      </c>
      <c r="E238" vm="2274">
        <f ca="1"/>
        <v>751.98</v>
      </c>
      <c r="F238" vm="2275">
        <f ca="1"/>
        <v>239.17</v>
      </c>
      <c r="G238" vm="2276">
        <f ca="1"/>
        <v>652.21</v>
      </c>
      <c r="I238" vm="2277">
        <f ca="1"/>
        <v>335.26</v>
      </c>
      <c r="J238" vm="2278">
        <f ca="1"/>
        <v>74.709999999999994</v>
      </c>
      <c r="K238" vm="2279">
        <f ca="1"/>
        <v>97.11</v>
      </c>
    </row>
    <row r="239" spans="1:11" x14ac:dyDescent="0.4">
      <c r="A239" vm="2280">
        <f ca="1"/>
        <v>45911</v>
      </c>
      <c r="B239" vm="2281">
        <f ca="1"/>
        <v>230.03</v>
      </c>
      <c r="C239" vm="2282">
        <f ca="1"/>
        <v>177.17</v>
      </c>
      <c r="D239" vm="2283">
        <f ca="1"/>
        <v>501.01</v>
      </c>
      <c r="E239" vm="2284">
        <f ca="1"/>
        <v>750.9</v>
      </c>
      <c r="F239" vm="2285">
        <f ca="1"/>
        <v>240.37</v>
      </c>
      <c r="G239" vm="2286">
        <f ca="1"/>
        <v>657.63</v>
      </c>
      <c r="I239" vm="2287">
        <f ca="1"/>
        <v>334.76</v>
      </c>
      <c r="J239" vm="1775">
        <f ca="1"/>
        <v>73</v>
      </c>
      <c r="K239" vm="2288">
        <f ca="1"/>
        <v>97.26</v>
      </c>
    </row>
    <row r="240" spans="1:11" x14ac:dyDescent="0.4">
      <c r="A240" vm="2289">
        <f ca="1"/>
        <v>45912</v>
      </c>
      <c r="B240" vm="2290">
        <f ca="1"/>
        <v>234.07</v>
      </c>
      <c r="C240" vm="2291">
        <f ca="1"/>
        <v>177.82</v>
      </c>
      <c r="D240" vm="2292">
        <f ca="1"/>
        <v>509.9</v>
      </c>
      <c r="E240" vm="2293">
        <f ca="1"/>
        <v>755.59</v>
      </c>
      <c r="F240" vm="2294">
        <f ca="1"/>
        <v>240.8</v>
      </c>
      <c r="G240" vm="2295">
        <f ca="1"/>
        <v>657.41</v>
      </c>
      <c r="I240" vm="2296">
        <f ca="1"/>
        <v>335.42</v>
      </c>
      <c r="J240" vm="1039">
        <f ca="1"/>
        <v>73.31</v>
      </c>
      <c r="K240" vm="2297">
        <f ca="1"/>
        <v>96.98</v>
      </c>
    </row>
    <row r="241" spans="1:11" x14ac:dyDescent="0.4">
      <c r="A241" vm="2298">
        <f ca="1"/>
        <v>45915</v>
      </c>
      <c r="B241" vm="2299">
        <f ca="1"/>
        <v>236.7</v>
      </c>
      <c r="C241" vm="2300">
        <f ca="1"/>
        <v>177.75</v>
      </c>
      <c r="D241" vm="2301">
        <f ca="1"/>
        <v>515.36</v>
      </c>
      <c r="E241" vm="2302">
        <f ca="1"/>
        <v>764.7</v>
      </c>
      <c r="F241" vm="2303">
        <f ca="1"/>
        <v>251.61</v>
      </c>
      <c r="G241" vm="2304">
        <f ca="1"/>
        <v>660.91</v>
      </c>
      <c r="I241" vm="2305">
        <f ca="1"/>
        <v>338.91</v>
      </c>
      <c r="J241" vm="201">
        <f ca="1"/>
        <v>74.23</v>
      </c>
      <c r="K241" vm="2306">
        <f ca="1"/>
        <v>97.14</v>
      </c>
    </row>
    <row r="242" spans="1:11" x14ac:dyDescent="0.4">
      <c r="A242" vm="2307">
        <f ca="1"/>
        <v>45916</v>
      </c>
      <c r="B242" vm="2308">
        <f ca="1"/>
        <v>238.15</v>
      </c>
      <c r="C242" vm="2309">
        <f ca="1"/>
        <v>174.88</v>
      </c>
      <c r="D242" vm="2310">
        <f ca="1"/>
        <v>509.04</v>
      </c>
      <c r="E242" vm="2311">
        <f ca="1"/>
        <v>779</v>
      </c>
      <c r="F242" vm="2312">
        <f ca="1"/>
        <v>251.16</v>
      </c>
      <c r="G242" vm="2313">
        <f ca="1"/>
        <v>660</v>
      </c>
      <c r="I242" vm="2314">
        <f ca="1"/>
        <v>339.59</v>
      </c>
      <c r="J242" vm="2315">
        <f ca="1"/>
        <v>75.67</v>
      </c>
      <c r="K242" vm="2316">
        <f ca="1"/>
        <v>97.2</v>
      </c>
    </row>
    <row r="243" spans="1:11" x14ac:dyDescent="0.4">
      <c r="A243" vm="2317">
        <f ca="1"/>
        <v>45917</v>
      </c>
      <c r="B243" vm="2318">
        <f ca="1"/>
        <v>238.99</v>
      </c>
      <c r="C243" vm="2319">
        <f ca="1"/>
        <v>170.29</v>
      </c>
      <c r="D243" vm="2320">
        <f ca="1"/>
        <v>510.02</v>
      </c>
      <c r="E243" vm="2321">
        <f ca="1"/>
        <v>775.71500000000003</v>
      </c>
      <c r="F243" vm="2322">
        <f ca="1"/>
        <v>249.53</v>
      </c>
      <c r="G243" vm="2323">
        <f ca="1"/>
        <v>659.18</v>
      </c>
      <c r="I243" vm="2324">
        <f ca="1"/>
        <v>336.97</v>
      </c>
      <c r="J243" vm="2325">
        <f ca="1"/>
        <v>74.97</v>
      </c>
      <c r="K243" vm="2326">
        <f ca="1"/>
        <v>96.99</v>
      </c>
    </row>
    <row r="244" spans="1:11" x14ac:dyDescent="0.4">
      <c r="A244" vm="2327">
        <f ca="1"/>
        <v>45918</v>
      </c>
      <c r="B244" vm="2252">
        <f ca="1"/>
        <v>237.88</v>
      </c>
      <c r="C244" vm="2328">
        <f ca="1"/>
        <v>176.24</v>
      </c>
      <c r="D244" vm="2329">
        <f ca="1"/>
        <v>508.45</v>
      </c>
      <c r="E244" vm="2330">
        <f ca="1"/>
        <v>780.25</v>
      </c>
      <c r="F244" vm="2331">
        <f ca="1"/>
        <v>252.03</v>
      </c>
      <c r="G244" vm="2332">
        <f ca="1"/>
        <v>662.26</v>
      </c>
      <c r="I244" vm="2333">
        <f ca="1"/>
        <v>335.62</v>
      </c>
      <c r="J244" vm="2334">
        <f ca="1"/>
        <v>74.69</v>
      </c>
      <c r="K244" vm="2335">
        <f ca="1"/>
        <v>96.67</v>
      </c>
    </row>
    <row r="245" spans="1:11" x14ac:dyDescent="0.4">
      <c r="A245" vm="2336">
        <f ca="1"/>
        <v>45919</v>
      </c>
      <c r="B245" vm="2337">
        <f ca="1"/>
        <v>245.5</v>
      </c>
      <c r="C245" vm="2338">
        <f ca="1"/>
        <v>176.67</v>
      </c>
      <c r="D245" vm="2339">
        <f ca="1"/>
        <v>517.92999999999995</v>
      </c>
      <c r="E245" vm="2340">
        <f ca="1"/>
        <v>778.38</v>
      </c>
      <c r="F245" vm="2341">
        <f ca="1"/>
        <v>254.72</v>
      </c>
      <c r="G245" vm="2342">
        <f ca="1"/>
        <v>663.7</v>
      </c>
      <c r="I245" vm="2343">
        <f ca="1"/>
        <v>339.18</v>
      </c>
      <c r="J245" vm="2145">
        <f ca="1"/>
        <v>73.52</v>
      </c>
      <c r="K245" vm="2344">
        <f ca="1"/>
        <v>96.63</v>
      </c>
    </row>
    <row r="246" spans="1:11" x14ac:dyDescent="0.4">
      <c r="A246" vm="2345">
        <f ca="1"/>
        <v>45922</v>
      </c>
      <c r="B246" vm="2346">
        <f ca="1"/>
        <v>256.08</v>
      </c>
      <c r="C246" vm="911">
        <f ca="1"/>
        <v>183.61</v>
      </c>
      <c r="D246" vm="2347">
        <f ca="1"/>
        <v>514.45000000000005</v>
      </c>
      <c r="E246" vm="2348">
        <f ca="1"/>
        <v>765.16</v>
      </c>
      <c r="F246" vm="2349">
        <f ca="1"/>
        <v>252.53</v>
      </c>
      <c r="G246" vm="2350">
        <f ca="1"/>
        <v>666.84</v>
      </c>
      <c r="I246" vm="2351">
        <f ca="1"/>
        <v>345.05</v>
      </c>
      <c r="J246" vm="2352">
        <f ca="1"/>
        <v>73.45</v>
      </c>
      <c r="K246" vm="55">
        <f ca="1"/>
        <v>96.47</v>
      </c>
    </row>
    <row r="247" spans="1:11" x14ac:dyDescent="0.4">
      <c r="A247" vm="2353">
        <f ca="1"/>
        <v>45923</v>
      </c>
      <c r="B247" vm="765">
        <f ca="1"/>
        <v>254.43</v>
      </c>
      <c r="C247" vm="2354">
        <f ca="1"/>
        <v>178.43</v>
      </c>
      <c r="D247" vm="2355">
        <f ca="1"/>
        <v>509.23</v>
      </c>
      <c r="E247" vm="2356">
        <f ca="1"/>
        <v>755.4</v>
      </c>
      <c r="F247" vm="2357">
        <f ca="1"/>
        <v>251.66</v>
      </c>
      <c r="G247" vm="2358">
        <f ca="1"/>
        <v>663.21</v>
      </c>
      <c r="I247" vm="2359">
        <f ca="1"/>
        <v>346.46</v>
      </c>
      <c r="J247" vm="1710">
        <f ca="1"/>
        <v>75.05</v>
      </c>
      <c r="K247" vm="2360">
        <f ca="1"/>
        <v>96.74</v>
      </c>
    </row>
    <row r="248" spans="1:11" x14ac:dyDescent="0.4">
      <c r="A248" vm="2361">
        <f ca="1"/>
        <v>45924</v>
      </c>
      <c r="B248" vm="2362">
        <f ca="1"/>
        <v>252.31</v>
      </c>
      <c r="C248" vm="2363">
        <f ca="1"/>
        <v>176.97</v>
      </c>
      <c r="D248" vm="2364">
        <f ca="1"/>
        <v>510.15</v>
      </c>
      <c r="E248" vm="2365">
        <f ca="1"/>
        <v>760.66</v>
      </c>
      <c r="F248" vm="2366">
        <f ca="1"/>
        <v>247.14</v>
      </c>
      <c r="G248" vm="2367">
        <f ca="1"/>
        <v>661.1</v>
      </c>
      <c r="I248" vm="2368">
        <f ca="1"/>
        <v>343.32</v>
      </c>
      <c r="J248" vm="924">
        <f ca="1"/>
        <v>76.39</v>
      </c>
      <c r="K248" vm="2369">
        <f ca="1"/>
        <v>96.48</v>
      </c>
    </row>
    <row r="249" spans="1:11" x14ac:dyDescent="0.4">
      <c r="A249" vm="2370">
        <f ca="1"/>
        <v>45925</v>
      </c>
      <c r="B249" vm="2371">
        <f ca="1"/>
        <v>256.87</v>
      </c>
      <c r="C249" vm="2372">
        <f ca="1"/>
        <v>177.69</v>
      </c>
      <c r="D249" vm="2373">
        <f ca="1"/>
        <v>507.03</v>
      </c>
      <c r="E249" vm="2374">
        <f ca="1"/>
        <v>748.91</v>
      </c>
      <c r="F249" vm="2375">
        <f ca="1"/>
        <v>245.79</v>
      </c>
      <c r="G249" vm="2376">
        <f ca="1"/>
        <v>658.05</v>
      </c>
      <c r="I249" vm="2377">
        <f ca="1"/>
        <v>344.75</v>
      </c>
      <c r="J249" vm="2378">
        <f ca="1"/>
        <v>76.989999999999995</v>
      </c>
      <c r="K249" vm="2379">
        <f ca="1"/>
        <v>96.27</v>
      </c>
    </row>
    <row r="250" spans="1:11" x14ac:dyDescent="0.4">
      <c r="A250" vm="2380">
        <f ca="1"/>
        <v>45926</v>
      </c>
      <c r="B250" vm="2381">
        <f ca="1"/>
        <v>255.46</v>
      </c>
      <c r="C250" vm="2382">
        <f ca="1"/>
        <v>178.19</v>
      </c>
      <c r="D250" vm="2383">
        <f ca="1"/>
        <v>511.46</v>
      </c>
      <c r="E250" vm="2384">
        <f ca="1"/>
        <v>743.75</v>
      </c>
      <c r="F250" vm="2385">
        <f ca="1"/>
        <v>246.54</v>
      </c>
      <c r="G250" vm="2386">
        <f ca="1"/>
        <v>661.82</v>
      </c>
      <c r="I250" vm="2387">
        <f ca="1"/>
        <v>346.74</v>
      </c>
      <c r="J250" vm="2388">
        <f ca="1"/>
        <v>77.02</v>
      </c>
      <c r="K250" vm="2389">
        <f ca="1"/>
        <v>96.22</v>
      </c>
    </row>
    <row r="251" spans="1:11" x14ac:dyDescent="0.4">
      <c r="A251" vm="2390">
        <f ca="1"/>
        <v>45929</v>
      </c>
      <c r="B251" vm="765">
        <f ca="1"/>
        <v>254.43</v>
      </c>
      <c r="C251" vm="2391">
        <f ca="1"/>
        <v>181.85</v>
      </c>
      <c r="D251" vm="2392">
        <f ca="1"/>
        <v>514.6</v>
      </c>
      <c r="E251" vm="2393">
        <f ca="1"/>
        <v>743.4</v>
      </c>
      <c r="F251" vm="2394">
        <f ca="1"/>
        <v>244.05</v>
      </c>
      <c r="G251" vm="2395">
        <f ca="1"/>
        <v>663.68</v>
      </c>
      <c r="I251" vm="2396">
        <f ca="1"/>
        <v>352.46</v>
      </c>
      <c r="J251" vm="2397">
        <f ca="1"/>
        <v>74.59</v>
      </c>
      <c r="K251" vm="2398">
        <f ca="1"/>
        <v>96.5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9"/>
  <sheetViews>
    <sheetView workbookViewId="0">
      <selection activeCell="D24" sqref="D24"/>
    </sheetView>
  </sheetViews>
  <sheetFormatPr defaultColWidth="10.83203125" defaultRowHeight="16" x14ac:dyDescent="0.4"/>
  <cols>
    <col min="1" max="2" width="10.83203125" style="1"/>
    <col min="3" max="3" width="21.5" style="1" customWidth="1"/>
    <col min="4" max="4" width="20.83203125" style="1" customWidth="1"/>
    <col min="5" max="16384" width="10.83203125" style="1"/>
  </cols>
  <sheetData>
    <row r="1" spans="1:4" x14ac:dyDescent="0.4">
      <c r="A1" s="3" t="s">
        <v>1</v>
      </c>
      <c r="B1" s="3" t="s">
        <v>6</v>
      </c>
      <c r="C1" s="3" t="s">
        <v>7</v>
      </c>
      <c r="D1" s="3" t="s">
        <v>8</v>
      </c>
    </row>
    <row r="2" spans="1:4" x14ac:dyDescent="0.4">
      <c r="A2" s="1" t="s">
        <v>4</v>
      </c>
      <c r="B2" s="1">
        <v>12.5</v>
      </c>
      <c r="C2" s="1" t="s">
        <v>10</v>
      </c>
      <c r="D2" s="2">
        <v>45929.626423611109</v>
      </c>
    </row>
    <row r="3" spans="1:4" x14ac:dyDescent="0.4">
      <c r="A3" s="1" t="s">
        <v>9</v>
      </c>
      <c r="B3" s="1">
        <v>15</v>
      </c>
      <c r="C3" s="1" t="s">
        <v>10</v>
      </c>
      <c r="D3" s="2">
        <v>45929.626423611109</v>
      </c>
    </row>
    <row r="4" spans="1:4" x14ac:dyDescent="0.4">
      <c r="A4" s="1" t="s">
        <v>11</v>
      </c>
      <c r="B4" s="1">
        <v>8.98</v>
      </c>
      <c r="C4" s="1" t="s">
        <v>10</v>
      </c>
      <c r="D4" s="2">
        <v>45929.629166666666</v>
      </c>
    </row>
    <row r="5" spans="1:4" x14ac:dyDescent="0.4">
      <c r="A5" s="1" t="s">
        <v>12</v>
      </c>
      <c r="B5" s="1">
        <v>12</v>
      </c>
      <c r="C5" s="1" t="s">
        <v>13</v>
      </c>
      <c r="D5" s="2">
        <v>45929.636111111111</v>
      </c>
    </row>
    <row r="6" spans="1:4" x14ac:dyDescent="0.4">
      <c r="A6" s="1" t="s">
        <v>5</v>
      </c>
      <c r="B6" s="1">
        <v>100</v>
      </c>
      <c r="C6" s="1" t="s">
        <v>13</v>
      </c>
      <c r="D6" s="2">
        <v>45929.890868055554</v>
      </c>
    </row>
    <row r="7" spans="1:4" x14ac:dyDescent="0.4">
      <c r="A7" s="1" t="s">
        <v>12</v>
      </c>
      <c r="B7" s="1">
        <v>71</v>
      </c>
      <c r="C7" s="1" t="s">
        <v>13</v>
      </c>
      <c r="D7" s="2">
        <v>45930.82236111111</v>
      </c>
    </row>
    <row r="8" spans="1:4" x14ac:dyDescent="0.4">
      <c r="A8" s="1" t="s">
        <v>4</v>
      </c>
      <c r="B8" s="1">
        <v>-15</v>
      </c>
      <c r="C8" s="1" t="s">
        <v>10</v>
      </c>
      <c r="D8" s="2">
        <v>45930.822766203702</v>
      </c>
    </row>
    <row r="9" spans="1:4" x14ac:dyDescent="0.4">
      <c r="A9" s="1" t="s">
        <v>5</v>
      </c>
      <c r="B9" s="1">
        <v>12</v>
      </c>
      <c r="C9" s="1" t="s">
        <v>13</v>
      </c>
      <c r="D9" s="2">
        <v>45930.973425925928</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8"/>
  <sheetViews>
    <sheetView zoomScale="150" workbookViewId="0">
      <selection activeCell="D12" sqref="D12"/>
    </sheetView>
  </sheetViews>
  <sheetFormatPr defaultColWidth="10.83203125" defaultRowHeight="16" x14ac:dyDescent="0.4"/>
  <cols>
    <col min="1" max="1" width="35.33203125" bestFit="1" customWidth="1"/>
    <col min="2" max="2" width="10" bestFit="1" customWidth="1"/>
    <col min="3" max="4" width="13" bestFit="1" customWidth="1"/>
    <col min="5" max="5" width="13.6640625" bestFit="1" customWidth="1"/>
    <col min="6" max="6" width="9.6640625" bestFit="1" customWidth="1"/>
    <col min="7" max="7" width="21.5" bestFit="1" customWidth="1"/>
    <col min="8" max="8" width="2.1640625" bestFit="1" customWidth="1"/>
  </cols>
  <sheetData>
    <row r="1" spans="1:8" s="4" customFormat="1" x14ac:dyDescent="0.4">
      <c r="A1" s="13" t="s">
        <v>14</v>
      </c>
      <c r="B1" s="13" t="s">
        <v>1</v>
      </c>
      <c r="C1" s="13" t="s">
        <v>15</v>
      </c>
      <c r="D1" s="13" t="s">
        <v>29</v>
      </c>
      <c r="E1" s="13" t="s">
        <v>16</v>
      </c>
      <c r="H1" s="6"/>
    </row>
    <row r="2" spans="1:8" x14ac:dyDescent="0.4">
      <c r="A2" s="14" t="s">
        <v>23</v>
      </c>
      <c r="B2" s="14" t="s">
        <v>4</v>
      </c>
      <c r="C2" s="15" t="s">
        <v>24</v>
      </c>
      <c r="D2" s="16">
        <v>250</v>
      </c>
      <c r="E2" s="17">
        <v>12.5</v>
      </c>
      <c r="G2" s="4"/>
      <c r="H2" s="5"/>
    </row>
    <row r="3" spans="1:8" x14ac:dyDescent="0.4">
      <c r="A3" s="14" t="s">
        <v>23</v>
      </c>
      <c r="B3" s="14" t="s">
        <v>4</v>
      </c>
      <c r="C3" s="15" t="s">
        <v>25</v>
      </c>
      <c r="D3" s="16">
        <v>-300</v>
      </c>
      <c r="E3" s="17">
        <v>-15</v>
      </c>
      <c r="G3" s="4"/>
      <c r="H3" s="5"/>
    </row>
    <row r="4" spans="1:8" s="4" customFormat="1" x14ac:dyDescent="0.4">
      <c r="A4" s="18" t="s">
        <v>27</v>
      </c>
      <c r="B4" s="18" t="s">
        <v>5</v>
      </c>
      <c r="C4" s="15" t="s">
        <v>17</v>
      </c>
      <c r="D4" s="19">
        <v>4000</v>
      </c>
      <c r="E4" s="20">
        <v>100</v>
      </c>
    </row>
    <row r="5" spans="1:8" s="4" customFormat="1" x14ac:dyDescent="0.4">
      <c r="A5" s="18" t="s">
        <v>27</v>
      </c>
      <c r="B5" s="18" t="s">
        <v>5</v>
      </c>
      <c r="C5" s="15" t="s">
        <v>30</v>
      </c>
      <c r="D5" s="19">
        <v>480</v>
      </c>
      <c r="E5" s="20">
        <v>12</v>
      </c>
    </row>
    <row r="6" spans="1:8" x14ac:dyDescent="0.4">
      <c r="A6" s="14" t="s">
        <v>28</v>
      </c>
      <c r="B6" s="14" t="s">
        <v>4</v>
      </c>
      <c r="C6" s="15" t="s">
        <v>24</v>
      </c>
      <c r="D6" s="16">
        <v>62.5</v>
      </c>
      <c r="E6" s="17">
        <v>12.5</v>
      </c>
    </row>
    <row r="7" spans="1:8" s="4" customFormat="1" x14ac:dyDescent="0.4">
      <c r="A7" s="18" t="s">
        <v>28</v>
      </c>
      <c r="B7" s="18" t="s">
        <v>4</v>
      </c>
      <c r="C7" s="15" t="s">
        <v>25</v>
      </c>
      <c r="D7" s="19">
        <v>-75</v>
      </c>
      <c r="E7" s="20">
        <v>-15</v>
      </c>
    </row>
    <row r="8" spans="1:8" s="4" customFormat="1" x14ac:dyDescent="0.4">
      <c r="A8" s="18" t="s">
        <v>18</v>
      </c>
      <c r="B8" s="18"/>
      <c r="C8" s="18"/>
      <c r="D8" s="19">
        <v>4417.5</v>
      </c>
      <c r="E8" s="20">
        <v>33.979999999999997</v>
      </c>
    </row>
  </sheetData>
  <conditionalFormatting sqref="D2:D7">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4"/>
  <sheetViews>
    <sheetView zoomScale="125" workbookViewId="0">
      <selection sqref="A1:D5"/>
    </sheetView>
  </sheetViews>
  <sheetFormatPr defaultColWidth="10.83203125" defaultRowHeight="16" x14ac:dyDescent="0.4"/>
  <cols>
    <col min="1" max="1" width="35.33203125" bestFit="1" customWidth="1"/>
    <col min="2" max="2" width="10" bestFit="1" customWidth="1"/>
    <col min="3" max="3" width="10.83203125" bestFit="1" customWidth="1"/>
    <col min="4" max="4" width="23.1640625" bestFit="1" customWidth="1"/>
  </cols>
  <sheetData>
    <row r="1" spans="1:4" x14ac:dyDescent="0.4">
      <c r="A1" s="4" t="s">
        <v>31</v>
      </c>
      <c r="B1" s="4" t="s">
        <v>1</v>
      </c>
      <c r="C1" s="4" t="s">
        <v>32</v>
      </c>
      <c r="D1" s="4" t="s">
        <v>33</v>
      </c>
    </row>
    <row r="2" spans="1:4" x14ac:dyDescent="0.4">
      <c r="A2" t="s">
        <v>23</v>
      </c>
      <c r="B2" t="s">
        <v>4</v>
      </c>
      <c r="C2" s="5" t="s">
        <v>26</v>
      </c>
      <c r="D2" s="5" t="s">
        <v>26</v>
      </c>
    </row>
    <row r="3" spans="1:4" x14ac:dyDescent="0.4">
      <c r="A3" t="s">
        <v>27</v>
      </c>
      <c r="B3" t="s">
        <v>5</v>
      </c>
      <c r="C3" s="5" t="s">
        <v>26</v>
      </c>
      <c r="D3" s="5" t="s">
        <v>26</v>
      </c>
    </row>
    <row r="4" spans="1:4" x14ac:dyDescent="0.4">
      <c r="A4" t="s">
        <v>28</v>
      </c>
      <c r="B4" t="s">
        <v>4</v>
      </c>
      <c r="C4" s="5" t="s">
        <v>26</v>
      </c>
      <c r="D4" s="5" t="s">
        <v>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defaultColWidth="10.83203125" defaultRowHeight="16" x14ac:dyDescent="0.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defaultColWidth="10.83203125" defaultRowHeight="16" x14ac:dyDescent="0.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2025-09-30T22:43:42Z</dcterms:modified>
</cp:coreProperties>
</file>