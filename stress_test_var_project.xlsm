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marwanferreira/Desktop/CY Tech Courses/Ing 2 Marwan/S1/VBA/vba-project/portfolio-risk-simulator-vba/"/>
    </mc:Choice>
  </mc:AlternateContent>
  <xr:revisionPtr revIDLastSave="0" documentId="13_ncr:1_{F7C6607D-1FBD-9444-88BF-F26B712BC2A4}" xr6:coauthVersionLast="47" xr6:coauthVersionMax="47" xr10:uidLastSave="{00000000-0000-0000-0000-000000000000}"/>
  <bookViews>
    <workbookView xWindow="0" yWindow="0" windowWidth="28800" windowHeight="18000" xr2:uid="{D0E5A25D-CD70-8B4A-B46A-6E670015E848}"/>
  </bookViews>
  <sheets>
    <sheet name="Portfolio" sheetId="6" r:id="rId1"/>
    <sheet name="Market_Data" sheetId="2" r:id="rId2"/>
    <sheet name="Scenarios" sheetId="3" r:id="rId3"/>
    <sheet name="VaR_ES_Output" sheetId="4" r:id="rId4"/>
    <sheet name="Risk_Results" sheetId="7" r:id="rId5"/>
    <sheet name="Charts" sheetId="5" r:id="rId6"/>
    <sheet name="DEV_LOG" sheetId="1"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a="1"/>
  <c r="D2" i="2" s="1"/>
  <c r="D3" i="2" a="1"/>
  <c r="D3" i="2" s="1"/>
  <c r="D4" i="2" a="1"/>
  <c r="D4" i="2" s="1"/>
  <c r="D5" i="2" a="1"/>
  <c r="D5" i="2" s="1"/>
  <c r="D6" i="2" a="1"/>
  <c r="D6" i="2" s="1"/>
  <c r="D7" i="2" a="1"/>
  <c r="D7" i="2" s="1"/>
  <c r="D8" i="2" a="1"/>
  <c r="D8" i="2" s="1"/>
  <c r="D9" i="2" a="1"/>
  <c r="D9" i="2" s="1"/>
  <c r="D10" i="2" a="1"/>
  <c r="D10" i="2" s="1"/>
  <c r="D11" i="2" a="1"/>
  <c r="D11" i="2" s="1"/>
  <c r="D12" i="2" a="1"/>
  <c r="D12" i="2" s="1"/>
  <c r="D13" i="2" a="1"/>
  <c r="D13" i="2" s="1"/>
  <c r="D14" i="2" a="1"/>
  <c r="D14" i="2" s="1"/>
  <c r="C9" i="2" a="1"/>
  <c r="C9" i="2" s="1"/>
  <c r="C10" i="2" a="1"/>
  <c r="C10" i="2" s="1"/>
  <c r="C11" i="2" a="1"/>
  <c r="C11" i="2" s="1"/>
  <c r="C12" i="2" a="1"/>
  <c r="C12" i="2" s="1"/>
  <c r="C13" i="2" a="1"/>
  <c r="C13" i="2" s="1"/>
  <c r="C14" i="2" a="1"/>
  <c r="C14" i="2" s="1"/>
  <c r="B9" i="2" a="1"/>
  <c r="B9" i="2" s="1"/>
  <c r="B10" i="2" a="1"/>
  <c r="B10" i="2" s="1"/>
  <c r="B11" i="2" a="1"/>
  <c r="B11" i="2" s="1"/>
  <c r="B12" i="2" a="1"/>
  <c r="B12" i="2" s="1"/>
  <c r="B13" i="2" a="1"/>
  <c r="B13" i="2" s="1"/>
  <c r="B14" i="2" a="1"/>
  <c r="B14"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5">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2"/>
        </ext>
      </extLst>
    </bk>
  </futureMetadata>
  <futureMetadata name="XLDAPR" count="1">
    <bk>
      <extLst>
        <ext uri="{bdbb8cdc-fa1e-496e-a857-3c3f30c029c3}">
          <xda:dynamicArrayProperties fDynamic="1" fCollapsed="0"/>
        </ext>
      </extLst>
    </bk>
  </futureMetadata>
  <cellMetadata count="1">
    <bk>
      <rc t="2" v="0"/>
    </bk>
  </cell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<sst xmlns="http://schemas.openxmlformats.org/spreadsheetml/2006/main" count="80" uniqueCount="33">
  <si>
    <t>Asset Name</t>
  </si>
  <si>
    <t>Asset Type</t>
  </si>
  <si>
    <t>Exposure (€)</t>
  </si>
  <si>
    <t>Beta</t>
  </si>
  <si>
    <t>Equity</t>
  </si>
  <si>
    <t>Bond</t>
  </si>
  <si>
    <t>Shock</t>
  </si>
  <si>
    <t>Shock Unit (%, bps…)</t>
  </si>
  <si>
    <t>Timestamp</t>
  </si>
  <si>
    <t>Oil</t>
  </si>
  <si>
    <t>%</t>
  </si>
  <si>
    <t>Commodities</t>
  </si>
  <si>
    <t>Rates</t>
  </si>
  <si>
    <t>bps</t>
  </si>
  <si>
    <t>Asset</t>
  </si>
  <si>
    <t>Shock Applied</t>
  </si>
  <si>
    <t>VaR (95%)</t>
  </si>
  <si>
    <t>Expected Shortfall (95%)</t>
  </si>
  <si>
    <t>PnL Impact (%)</t>
  </si>
  <si>
    <t>100</t>
  </si>
  <si>
    <t>Total Portfolio</t>
  </si>
  <si>
    <t>Ticker</t>
  </si>
  <si>
    <t>Price</t>
  </si>
  <si>
    <t>Market Cap</t>
  </si>
  <si>
    <t xml:space="preserve"> </t>
  </si>
  <si>
    <t>FX</t>
  </si>
  <si>
    <t>MICROSOFT CORPORATION (XNAS:MSFT)</t>
  </si>
  <si>
    <t>PnL Impact (Ä)</t>
  </si>
  <si>
    <t>12,5</t>
  </si>
  <si>
    <t>-15</t>
  </si>
  <si>
    <t>No data</t>
  </si>
  <si>
    <t>Bonds Powered Income USD</t>
  </si>
  <si>
    <t>ALPHABET INC. (XNAS:GOOGL)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</si>
</sst>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 [$Ä-407]"/>
  </numFmts>
  <fonts count="2" x14ac:knownFonts="1">
    <font>
      <sz val="12"/>
      <color theme="1"/>
      <name val="Aptos Narrow"/>
      <family val="2"/>
      <scheme val="minor"/>
    </font>
    <font>
      <b/>
      <sz val="12"/>
      <color theme="1"/>
      <name val="Aptos Narrow"/>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2">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applyAlignment="1">
      <alignment horizontal="center"/>
    </xf>
    <xf numFmtId="0" fontId="1" fillId="0" borderId="0" xfId="0" applyFont="1"/>
    <xf numFmtId="165" fontId="0" fillId="0" borderId="0" xfId="0" applyNumberFormat="1"/>
    <xf numFmtId="165" fontId="1" fillId="0" borderId="0" xfId="0" applyNumberFormat="1" applyFont="1"/>
    <xf numFmtId="164" fontId="1" fillId="0" borderId="0" xfId="0" applyNumberFormat="1" applyFont="1"/>
    <xf numFmtId="166" fontId="0" fillId="0" borderId="0" xfId="0" applyNumberFormat="1"/>
    <xf numFmtId="4" fontId="0" fillId="0" borderId="0" xfId="0" applyNumberFormat="1"/>
    <xf numFmtId="167" fontId="0" fillId="0" borderId="0" xfId="0" applyNumberFormat="1"/>
    <xf numFmtId="168" fontId="0" fillId="0" borderId="0" xfId="0" applyNumberFormat="1"/>
    <xf numFmtId="3" fontId="0" fillId="0" borderId="0" xfId="0" applyNumberFormat="1"/>
    <xf numFmtId="2" fontId="0" fillId="0" borderId="0" xfId="0" applyNumberFormat="1"/>
    <xf numFmtId="0" fontId="1" fillId="0" borderId="1" xfId="0" applyFont="1" applyFill="1" applyBorder="1" applyAlignment="1">
      <alignment horizontal="center"/>
    </xf>
    <xf numFmtId="0" fontId="0" fillId="0" borderId="1" xfId="0" applyFill="1" applyBorder="1"/>
    <xf numFmtId="49" fontId="0" fillId="0" borderId="1" xfId="0" applyNumberFormat="1" applyFill="1" applyBorder="1"/>
    <xf numFmtId="169" fontId="0" fillId="0" borderId="1" xfId="0" applyNumberFormat="1" applyFill="1" applyBorder="1"/>
    <xf numFmtId="164" fontId="0" fillId="0" borderId="1" xfId="0" applyNumberFormat="1" applyFill="1" applyBorder="1"/>
    <xf numFmtId="0" fontId="1" fillId="0" borderId="1" xfId="0" applyFont="1" applyFill="1" applyBorder="1"/>
    <xf numFmtId="169" fontId="1" fillId="0" borderId="1" xfId="0" applyNumberFormat="1" applyFont="1" applyFill="1" applyBorder="1"/>
    <xf numFmtId="164" fontId="1" fillId="0" borderId="1" xfId="0" applyNumberFormat="1" applyFont="1" applyFill="1" applyBorder="1"/>
  </cellXfs>
  <cellStyles count="1">
    <cellStyle name="Normal" xfId="0" builtinId="0"/>
  </cellStyles>
  <dxfs count="10">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tyles" Target="styles.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17/06/relationships/rdRichValueStructure" Target="richData/rdrichvaluestructure.xml"/></Relationships>
</file>

<file path=xl/drawings/drawing1.xml><?xml version="1.0" encoding="utf-8"?>
<xdr:wsDr xmlns:xdr="http://schemas.openxmlformats.org/drawingml/2006/spreadsheetDrawing" xmlns:a="http://schemas.openxmlformats.org/drawingml/2006/main">
  <xdr:twoCellAnchor>
    <xdr:from>
      <xdr:col>7</xdr:col>
      <xdr:colOff>251460</xdr:colOff>
      <xdr:row>6</xdr:row>
      <xdr:rowOff>99060</xdr:rowOff>
    </xdr:from>
    <xdr:to>
      <xdr:col>8</xdr:col>
      <xdr:colOff>754380</xdr:colOff>
      <xdr:row>9</xdr:row>
      <xdr:rowOff>68580</xdr:rowOff>
    </xdr:to>
    <xdr:sp macro="[0]!OpenScenarioForm" textlink="">
      <xdr:nvSpPr>
        <xdr:cNvPr id="2" name="Rectangle: Rounded Corners 1">
          <a:extLst>
            <a:ext uri="{FF2B5EF4-FFF2-40B4-BE49-F238E27FC236}">
              <a16:creationId xmlns:a16="http://schemas.microsoft.com/office/drawing/2014/main" id="{50B9CCDA-5EC6-4029-922F-3EB5572D856A}"/>
            </a:ext>
          </a:extLst>
        </xdr:cNvPr>
        <xdr:cNvSpPr/>
      </xdr:nvSpPr>
      <xdr:spPr>
        <a:xfrm>
          <a:off x="7635240" y="1242060"/>
          <a:ext cx="1409700" cy="5410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Shock</a:t>
          </a:r>
          <a:endParaRPr lang="fr-FR" sz="1400" b="1"/>
        </a:p>
      </xdr:txBody>
    </xdr:sp>
    <xdr:clientData/>
  </xdr:twoCellAnchor>
  <xdr:twoCellAnchor>
    <xdr:from>
      <xdr:col>7</xdr:col>
      <xdr:colOff>243840</xdr:colOff>
      <xdr:row>11</xdr:row>
      <xdr:rowOff>7620</xdr:rowOff>
    </xdr:from>
    <xdr:to>
      <xdr:col>8</xdr:col>
      <xdr:colOff>784860</xdr:colOff>
      <xdr:row>14</xdr:row>
      <xdr:rowOff>15240</xdr:rowOff>
    </xdr:to>
    <xdr:sp macro="[0]!RunStressTes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3">
  <rv s="0">
    <v>https://www.bing.com/financeapi/forcetrigger?t=a1mou2&amp;q=XNAS%3aAAPL&amp;form=skydnc</v>
    <v>Learn more on Bing</v>
  </rv>
  <rv s="1">
    <v>0</v>
    <v>APPLE INC. (XNAS:AAPL)</v>
    <v>2</v>
    <v>3</v>
    <v>Finance</v>
    <v>4</v>
    <v>en-GB</v>
    <v>a1mou2</v>
    <v>268435456</v>
    <v>1</v>
    <v>Powered by Refinitiv</v>
    <v>260.10000000000002</v>
    <v>169.21010000000001</v>
    <v>1.0931</v>
    <v>0.2</v>
    <v>7.8609999999999997E-4</v>
    <v>-0.57999999999999996</v>
    <v>-2.2780000000000001E-3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255.91900000000001</v>
    <v>Computers, Phones &amp; Household Electronics</v>
    <v>Stock</v>
    <v>45930.887364282033</v>
    <v>0</v>
    <v>253.11</v>
    <v>3778808505700</v>
    <v>APPLE INC.</v>
    <v>APPLE INC.</v>
    <v>254.85499999999999</v>
    <v>35.119900000000001</v>
    <v>254.43</v>
    <v>254.63</v>
    <v>254.05</v>
    <v>14840390000</v>
    <v>AAPL</v>
    <v>APPLE INC. (XNAS:AAPL)</v>
    <v>37649154</v>
    <v>56885723</v>
    <v>1977</v>
  </rv>
  <rv s="2">
    <v>1</v>
  </rv>
  <rv s="0">
    <v>https://www.bing.com/financeapi/forcetrigger?t=a1yv52&amp;q=XNAS%3aNVDA&amp;form=skydnc</v>
    <v>Learn more on Bing</v>
  </rv>
  <rv s="1">
    <v>0</v>
    <v>NVIDIA CORPORATION (XNAS:NVDA)</v>
    <v>2</v>
    <v>3</v>
    <v>Finance</v>
    <v>4</v>
    <v>en-GB</v>
    <v>a1yv52</v>
    <v>268435456</v>
    <v>1</v>
    <v>Powered by Refinitiv</v>
    <v>187.35</v>
    <v>86.62</v>
    <v>2.1213000000000002</v>
    <v>4.7249999999999996</v>
    <v>2.5982999999999999E-2</v>
    <v>-0.42</v>
    <v>-2.251E-3</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187.35</v>
    <v>Semiconductors &amp; Semiconductor Equipment</v>
    <v>Stock</v>
    <v>45930.887472846873</v>
    <v>3</v>
    <v>181.48</v>
    <v>4533772500000</v>
    <v>NVIDIA CORPORATION</v>
    <v>NVIDIA CORPORATION</v>
    <v>182.08</v>
    <v>53.1023</v>
    <v>181.85</v>
    <v>186.57499999999999</v>
    <v>186.16</v>
    <v>24300000000</v>
    <v>NVDA</v>
    <v>NVIDIA CORPORATION (XNAS:NVDA)</v>
    <v>236232798</v>
    <v>189831199</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1.024</v>
    <v>3.35</v>
    <v>6.5100000000000002E-3</v>
    <v>-2.5499999999999998</v>
    <v>-4.9230000000000003E-3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518.16</v>
    <v>9</v>
    <v>Software &amp; IT Services</v>
    <v>Stock</v>
    <v>45930.887423402346</v>
    <v>10</v>
    <v>509.66</v>
    <v>3850008847650</v>
    <v>MICROSOFT CORPORATION</v>
    <v>MICROSOFT CORPORATION</v>
    <v>513.24</v>
    <v>37.724299999999999</v>
    <v>514.6</v>
    <v>517.95000000000005</v>
    <v>515.4</v>
    <v>7433167000</v>
    <v>MSFT</v>
    <v>MICROSOFT CORPORATION (XNAS:MSFT)</v>
    <v>19690892</v>
    <v>20521067</v>
    <v>1993</v>
  </rv>
  <rv s="2">
    <v>11</v>
  </rv>
  <rv s="0">
    <v>https://www.bing.com/financeapi/forcetrigger?t=a1slm7&amp;q=XNAS%3aMETA&amp;form=skydnc</v>
    <v>Learn more on Bing</v>
  </rv>
  <rv s="1">
    <v>0</v>
    <v>Meta Platforms, Inc. (XNAS:META)</v>
    <v>2</v>
    <v>3</v>
    <v>Finance</v>
    <v>4</v>
    <v>en-GB</v>
    <v>a1slm7</v>
    <v>268435456</v>
    <v>1</v>
    <v>Powered by Refinitiv</v>
    <v>796.25</v>
    <v>479.8</v>
    <v>1.2076</v>
    <v>-9.02</v>
    <v>-1.2133E-2</v>
    <v>-0.53</v>
    <v>-7.2170000000000003E-4</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742.97</v>
    <v>Software &amp; IT Services</v>
    <v>Stock</v>
    <v>45930.887309178128</v>
    <v>13</v>
    <v>726.3</v>
    <v>1844866107580</v>
    <v>Meta Platforms, Inc.</v>
    <v>Meta Platforms, Inc.</v>
    <v>742.25</v>
    <v>26.689900000000002</v>
    <v>743.4</v>
    <v>734.38</v>
    <v>733.85</v>
    <v>2512141000</v>
    <v>META</v>
    <v>Meta Platforms, Inc. (XNAS:META)</v>
    <v>15787316</v>
    <v>10300696</v>
    <v>2004</v>
  </rv>
  <rv s="2">
    <v>14</v>
  </rv>
  <rv s="0">
    <v>https://www.bing.com/financeapi/forcetrigger?t=a1u3rw&amp;q=XNAS%3aGOOGL&amp;form=skydnc</v>
    <v>Learn more on Bing</v>
  </rv>
  <rv s="1">
    <v>0</v>
    <v>ALPHABET INC. (XNAS:GOOGL)</v>
    <v>2</v>
    <v>3</v>
    <v>Finance</v>
    <v>4</v>
    <v>en-GB</v>
    <v>a1u3rw</v>
    <v>268435456</v>
    <v>1</v>
    <v>Powered by Refinitiv</v>
    <v>256</v>
    <v>140.53</v>
    <v>0.998</v>
    <v>-0.95</v>
    <v>-3.8929999999999998E-3</v>
    <v>-0.32</v>
    <v>-1.3159999999999999E-3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243.29</v>
    <v>Software &amp; IT Services</v>
    <v>Stock</v>
    <v>45930.887384837501</v>
    <v>16</v>
    <v>239.245</v>
    <v>2953224000000</v>
    <v>ALPHABET INC.</v>
    <v>ALPHABET INC.</v>
    <v>242.81</v>
    <v>25.988</v>
    <v>244.05</v>
    <v>243.1</v>
    <v>242.78</v>
    <v>12094000000</v>
    <v>GOOGL</v>
    <v>ALPHABET INC. (XNAS:GOOGL)</v>
    <v>34682546</v>
    <v>37928993</v>
    <v>2015</v>
  </rv>
  <rv s="2">
    <v>17</v>
  </rv>
  <rv s="0">
    <v>https://www.bing.com/financeapi/forcetrigger?t=a23hqh&amp;q=ARCX%3aSPY&amp;form=skydnc</v>
    <v>Learn more on Bing</v>
  </rv>
  <rv s="6">
    <v>10</v>
    <v>SPDR S&amp;P 500 (ARCX:SPY)</v>
    <v>11</v>
    <v>12</v>
    <v>Finance</v>
    <v>13</v>
    <v>en-GB</v>
    <v>a23hqh</v>
    <v>268435456</v>
    <v>1</v>
    <v>Powered by Refinitiv</v>
    <v>667.34</v>
    <v>481.8</v>
    <v>0.99850000000000005</v>
    <v>2.5249999999999999</v>
    <v>3.8050000000000002E-3</v>
    <v>-1.2781</v>
    <v>-1.9189999999999999E-3</v>
    <v>USD</v>
    <v>NYSE Arca</v>
    <v>ARCX</v>
    <v>9.4499999999999998E-4</v>
    <v>666.65</v>
    <v>ETF</v>
    <v>45930.887385971873</v>
    <v>19</v>
    <v>661.61</v>
    <v>654797681275.29004</v>
    <v>SPDR S&amp;P 500</v>
    <v>662.93</v>
    <v>663.68</v>
    <v>666.20500000000004</v>
    <v>664.90189999999996</v>
    <v>SPY</v>
    <v>SPDR S&amp;P 500 (ARCX:SPY)</v>
    <v>94161481</v>
    <v>70240998</v>
  </rv>
  <rv s="2">
    <v>20</v>
  </rv>
  <rv s="0">
    <v>https://www.bing.com/financeapi/forcetrigger?t=a24b5r&amp;q=XNAS%3aTLT&amp;form=skydnc</v>
    <v>Learn more on Bing</v>
  </rv>
  <rv s="6">
    <v>10</v>
    <v>iShares:20+ Trs Bd ETF (XNAS:TLT)</v>
    <v>11</v>
    <v>12</v>
    <v>Finance</v>
    <v>13</v>
    <v>en-GB</v>
    <v>a24b5r</v>
    <v>268435456</v>
    <v>1</v>
    <v>Powered by Refinitiv</v>
    <v>99.33</v>
    <v>83.295000000000002</v>
    <v>1.0716000000000001</v>
    <v>-0.26</v>
    <v>-2.9010000000000004E-3</v>
    <v>-7.0000000000000007E-2</v>
    <v>-7.8330000000000001E-4</v>
    <v>USD</v>
    <v>Nasdaq Stock Market</v>
    <v>XNAS</v>
    <v>1.5E-3</v>
    <v>90.04</v>
    <v>ETF</v>
    <v>45930.88673232578</v>
    <v>22</v>
    <v>89.21</v>
    <v>47464401523.18</v>
    <v>iShares:20+ Trs Bd ETF</v>
    <v>89.66</v>
    <v>89.63</v>
    <v>89.37</v>
    <v>89.3</v>
    <v>TLT</v>
    <v>iShares:20+ Trs Bd ETF (XNAS:TLT)</v>
    <v>37403374</v>
    <v>38176395</v>
  </rv>
  <rv s="2">
    <v>23</v>
  </rv>
  <rv s="0">
    <v>https://www.bing.com/financeapi/forcetrigger?t=a1twnm&amp;q=ARCX%3aGLD&amp;form=skydnc</v>
    <v>Learn more on Bing</v>
  </rv>
  <rv s="6">
    <v>10</v>
    <v>SPDR Gold (ARCX:GLD)</v>
    <v>11</v>
    <v>12</v>
    <v>Finance</v>
    <v>13</v>
    <v>en-GB</v>
    <v>a1twnm</v>
    <v>268435456</v>
    <v>1</v>
    <v>Powered by Refinitiv</v>
    <v>355.57</v>
    <v>236.1326</v>
    <v>0.81589999999999996</v>
    <v>2.97</v>
    <v>8.4259999999999995E-3</v>
    <v>-0.08</v>
    <v>-2.251E-4</v>
    <v>USD</v>
    <v>NYSE Arca</v>
    <v>ARCX</v>
    <v>4.0000000000000001E-3</v>
    <v>355.57</v>
    <v>ETF</v>
    <v>45930.887178321093</v>
    <v>25</v>
    <v>350.86500000000001</v>
    <v>82394162386.910004</v>
    <v>SPDR Gold</v>
    <v>351.13</v>
    <v>352.46</v>
    <v>355.43</v>
    <v>355.39</v>
    <v>GLD</v>
    <v>SPDR Gold (ARCX:GLD)</v>
    <v>13261223</v>
    <v>13198245</v>
  </rv>
  <rv s="2">
    <v>26</v>
  </rv>
  <rv s="7">
    <v>14</v>
    <v>EUR/USD</v>
    <v>15</v>
    <v>16</v>
    <v>Finance</v>
    <v>17</v>
    <v>en-GB</v>
    <v>av932w</v>
    <v>268435456</v>
    <v>1</v>
    <v>Powered by Refinitiv</v>
    <v>1.1918</v>
    <v>1.0176000000000001</v>
    <v>1E-4</v>
    <v>8.5229999999999995E-5</v>
    <v>USD</v>
    <v>EUR</v>
    <v>1.1738</v>
    <v>Currency Pair</v>
    <v>45930.887349537035</v>
    <v>1.1734</v>
    <v>Euro/US Dollar FX Spot Rate</v>
    <v>1.1733</v>
    <v>1.1733</v>
    <v>1.1734</v>
    <v>EURUSD</v>
    <v>EUR/USD</v>
  </rv>
  <rv s="2">
    <v>28</v>
  </rv>
  <rv s="8">
    <v>12</v>
    <v>Beta</v>
    <v>0</v>
  </rv>
  <rv s="8">
    <v>12</v>
    <v>Market cap</v>
    <v>0</v>
  </rv>
  <rv s="0">
    <v>https://www.bing.com/financeapi/forcetrigger?t=a253hw&amp;q=ARCX%3aUSO&amp;form=skydnc</v>
    <v>Learn more on Bing</v>
  </rv>
  <rv s="6">
    <v>10</v>
    <v>United States Oil Fund (ARCX:USO)</v>
    <v>11</v>
    <v>12</v>
    <v>Finance</v>
    <v>13</v>
    <v>en-GB</v>
    <v>a253hw</v>
    <v>268435456</v>
    <v>1</v>
    <v>Powered by Refinitiv</v>
    <v>84.58</v>
    <v>60.67</v>
    <v>1.0226</v>
    <v>-0.82</v>
    <v>-1.0992999999999999E-2</v>
    <v>-5.0099999999999999E-2</v>
    <v>-6.7930000000000009E-4</v>
    <v>USD</v>
    <v>NYSE Arca</v>
    <v>ARCX</v>
    <v>8.199999999999999E-3</v>
    <v>74.349999999999994</v>
    <v>ETF</v>
    <v>45930.885795010938</v>
    <v>32</v>
    <v>73.400000000000006</v>
    <v>982808980.90999997</v>
    <v>United States Oil Fund</v>
    <v>73.87</v>
    <v>74.59</v>
    <v>73.77</v>
    <v>73.6999</v>
    <v>USO</v>
    <v>United States Oil Fund (ARCX:USO)</v>
    <v>7704325</v>
    <v>4583326</v>
  </rv>
  <rv s="2">
    <v>33</v>
  </rv>
  <rv s="0">
    <v>https://www.bing.com/financeapi/forcetrigger?t=a21mim&amp;q=XNAS%3aQQQ&amp;form=skydnc</v>
    <v>Learn more on Bing</v>
  </rv>
  <rv s="6">
    <v>10</v>
    <v>Invesco QQQ Trust 1 (XNAS:QQQ)</v>
    <v>11</v>
    <v>12</v>
    <v>Finance</v>
    <v>13</v>
    <v>en-GB</v>
    <v>a21mim</v>
    <v>268435456</v>
    <v>1</v>
    <v>Powered by Refinitiv</v>
    <v>602.87</v>
    <v>402.39</v>
    <v>1.0321</v>
    <v>1.64</v>
    <v>2.7389999999999997E-3</v>
    <v>-1.2350000000000001</v>
    <v>-2.0569999999999998E-3</v>
    <v>USD</v>
    <v>Nasdaq Stock Market</v>
    <v>XNAS</v>
    <v>2E-3</v>
    <v>600.71</v>
    <v>ETF</v>
    <v>45930.887447187502</v>
    <v>35</v>
    <v>596.1</v>
    <v>365550355557.59003</v>
    <v>Invesco QQQ Trust 1</v>
    <v>598.42999999999995</v>
    <v>598.73</v>
    <v>600.37</v>
    <v>599.13499999999999</v>
    <v>QQQ</v>
    <v>Invesco QQQ Trust 1 (XNAS:QQQ)</v>
    <v>46865750</v>
    <v>51769252</v>
  </rv>
  <rv s="2">
    <v>36</v>
  </rv>
  <rv s="0">
    <v>https://www.bing.com/financeapi/forcetrigger?t=a1vbbh&amp;q=XNAS%3aIEF&amp;form=skydnc</v>
    <v>Learn more on Bing</v>
  </rv>
  <rv s="6">
    <v>10</v>
    <v>iShares:7-10 Trs Bd (XNAS:IEF)</v>
    <v>11</v>
    <v>12</v>
    <v>Finance</v>
    <v>18</v>
    <v>en-GB</v>
    <v>a1vbbh</v>
    <v>268435456</v>
    <v>1</v>
    <v>Powered by Refinitiv</v>
    <v>98.47</v>
    <v>91.08</v>
    <v>1.1922999999999999</v>
    <v>-0.04</v>
    <v>-4.1449999999999999E-4</v>
    <v>0</v>
    <v>0</v>
    <v>USD</v>
    <v>Nasdaq Stock Market</v>
    <v>XNAS</v>
    <v>1.5E-3</v>
    <v>96.76</v>
    <v>ETF</v>
    <v>45930.876090289064</v>
    <v>38</v>
    <v>96.420100000000005</v>
    <v>35770398943.690002</v>
    <v>iShares:7-10 Trs Bd</v>
    <v>96.58</v>
    <v>96.5</v>
    <v>96.46</v>
    <v>96.46</v>
    <v>IEF</v>
    <v>iShares:7-10 Trs Bd (XNAS:IEF)</v>
    <v>9169309</v>
    <v>8356821</v>
  </rv>
  <rv s="2">
    <v>39</v>
  </rv>
  <rv s="9">
    <v>19</v>
    <v>Bonds Powered Income USD</v>
    <v>20</v>
    <v>21</v>
    <v>Finance</v>
    <v>22</v>
    <v>en-GB</v>
    <v>caxasm</v>
    <v>268435456</v>
    <v>1</v>
    <v>Powered by Refinitiv</v>
    <v>0.14000000000000001</v>
    <v>2.101E-3</v>
    <v>KY</v>
    <v>USD</v>
    <v>Mutual Fund</v>
    <v>45929</v>
    <v>45930.837299154686</v>
    <v>Bonds Powered Income USD</v>
    <v>9912700</v>
    <v>66.62</v>
    <v>66.760000000000005</v>
    <v>0</v>
    <v>9.3939999999999996E-3</v>
    <v>-1.7656999999999999E-2</v>
    <v>3.2414999999999999E-2</v>
    <v>3.6177000000000001E-2</v>
    <v>0.11439199999999999</v>
    <v>0</v>
    <v>0.15679500000000002</v>
    <v>Bonds Powered Income USD</v>
  </rv>
  <rv s="2">
    <v>41</v>
  </rv>
</rvData>
</file>

<file path=xl/richData/rdrichvaluestructure.xml><?xml version="1.0" encoding="utf-8"?>
<rvStructures xmlns="http://schemas.microsoft.com/office/spreadsheetml/2017/richdata" count="10">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rvStructures>
</file>

<file path=xl/richData/rdsupportingpropertybag.xml><?xml version="1.0" encoding="utf-8"?>
<supportingPropertyBags xmlns="http://schemas.microsoft.com/office/spreadsheetml/2017/richdata2">
  <spbArrays count="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spbArrays>
  <spbData count="23">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 Last Sale</v>
      <v>from previous close</v>
      <v>GMT</v>
      <v>Real-Time Nasdaq Last Sale</v>
      <v>from close</v>
      <v>from close</v>
    </spb>
    <spb s="12">
      <v>3</v>
      <v>Name</v>
    </spb>
    <spb s="13">
      <v>1</v>
      <v>1</v>
    </spb>
    <spb s="14">
      <v>1</v>
      <v>1</v>
      <v>3</v>
      <v>1</v>
      <v>1</v>
      <v>1</v>
      <v>5</v>
      <v>1</v>
      <v>1</v>
      <v>1</v>
      <v>7</v>
      <v>9</v>
    </spb>
    <spb s="15">
      <v>GMT</v>
    </spb>
    <spb s="11">
      <v>at close</v>
      <v>from previous close</v>
      <v>Source: Nasdaq</v>
      <v>from previous close</v>
      <v>GMT</v>
      <v>Delayed 15 minutes</v>
      <v>from close</v>
      <v>from close</v>
    </spb>
    <spb s="12">
      <v>4</v>
      <v>Name</v>
    </spb>
    <spb s="16">
      <v>1</v>
      <v>1</v>
      <v>1</v>
    </spb>
    <spb s="17">
      <v>3</v>
      <v>1</v>
      <v>1</v>
      <v>4</v>
      <v>5</v>
      <v>6</v>
      <v>5</v>
      <v>5</v>
      <v>5</v>
      <v>5</v>
      <v>5</v>
      <v>5</v>
      <v>5</v>
      <v>1</v>
      <v>11</v>
      <v>7</v>
      <v>9</v>
    </spb>
    <spb s="18">
      <v>from previous close</v>
      <v>from previous close</v>
      <v>GMT</v>
      <v>GMT</v>
    </spb>
  </spbData>
</supportingPropertyBags>
</file>

<file path=xl/richData/rdsupportingpropertybagstructure.xml><?xml version="1.0" encoding="utf-8"?>
<spbStructures xmlns="http://schemas.microsoft.com/office/spreadsheetml/2017/richdata2" count="1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8"/>
  <sheetViews>
    <sheetView tabSelected="1" zoomScale="142" workbookViewId="0">
      <selection activeCell="B14" sqref="B14"/>
    </sheetView>
  </sheetViews>
  <sheetFormatPr baseColWidth="10" defaultColWidth="10.83203125" defaultRowHeight="16" x14ac:dyDescent="0.2"/>
  <cols>
    <col min="1" max="1" width="29.5" customWidth="1"/>
    <col min="2" max="2" width="13.33203125" customWidth="1"/>
    <col min="3" max="3" width="14.6640625" customWidth="1"/>
    <col min="4" max="4" width="7.6640625" customWidth="1"/>
    <col min="6" max="6" width="14.5" customWidth="1"/>
  </cols>
  <sheetData>
    <row r="1" spans="1:4" s="4" customFormat="1" x14ac:dyDescent="0.2">
      <c r="A1" s="4" t="s">
        <v>0</v>
      </c>
      <c r="B1" s="4" t="s">
        <v>1</v>
      </c>
      <c r="C1" s="4" t="s">
        <v>2</v>
      </c>
      <c r="D1" s="4" t="s">
        <v>3</v>
      </c>
    </row>
    <row r="2" spans="1:4" x14ac:dyDescent="0.2">
      <c r="A2" t="s">
        <v>26</v>
      </c>
      <c r="B2" t="s">
        <v>4</v>
      </c>
      <c r="C2" s="12">
        <v>2000</v>
      </c>
      <c r="D2" s="13">
        <v>1.024</v>
      </c>
    </row>
    <row r="3" spans="1:4" x14ac:dyDescent="0.2">
      <c r="A3" t="s">
        <v>31</v>
      </c>
      <c r="B3" t="s">
        <v>5</v>
      </c>
      <c r="C3" s="12">
        <v>4000</v>
      </c>
      <c r="D3" s="13">
        <v>0</v>
      </c>
    </row>
    <row r="4" spans="1:4" x14ac:dyDescent="0.2">
      <c r="A4" t="s">
        <v>32</v>
      </c>
      <c r="B4" t="s">
        <v>4</v>
      </c>
      <c r="C4" s="12">
        <v>500</v>
      </c>
      <c r="D4" s="13">
        <v>0.998</v>
      </c>
    </row>
    <row r="5" spans="1:4" x14ac:dyDescent="0.2">
      <c r="C5" s="12"/>
      <c r="D5" s="13"/>
    </row>
    <row r="6" spans="1:4" x14ac:dyDescent="0.2">
      <c r="C6" s="12"/>
      <c r="D6" s="13"/>
    </row>
    <row r="7" spans="1:4" x14ac:dyDescent="0.2">
      <c r="C7" s="12"/>
      <c r="D7" s="13"/>
    </row>
    <row r="8" spans="1:4" x14ac:dyDescent="0.2">
      <c r="C8" s="12"/>
      <c r="D8" s="1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F15"/>
  <sheetViews>
    <sheetView workbookViewId="0">
      <selection activeCell="E22" sqref="E22"/>
    </sheetView>
  </sheetViews>
  <sheetFormatPr baseColWidth="10" defaultColWidth="10.83203125" defaultRowHeight="16" x14ac:dyDescent="0.2"/>
  <cols>
    <col min="1" max="1" width="37.83203125" customWidth="1"/>
    <col min="2" max="2" width="16.83203125" customWidth="1"/>
    <col min="4" max="4" width="22.1640625" customWidth="1"/>
    <col min="5" max="5" width="13.1640625" customWidth="1"/>
  </cols>
  <sheetData>
    <row r="1" spans="1:6" x14ac:dyDescent="0.2">
      <c r="A1" t="s">
        <v>21</v>
      </c>
      <c r="B1" t="s">
        <v>22</v>
      </c>
      <c r="C1" t="s">
        <v>3</v>
      </c>
      <c r="D1" t="s">
        <v>23</v>
      </c>
      <c r="E1" t="s">
        <v>1</v>
      </c>
    </row>
    <row r="2" spans="1:6" x14ac:dyDescent="0.2">
      <c r="A2" t="e" vm="1">
        <v>#VALUE!</v>
      </c>
      <c r="B2" s="8" cm="1">
        <f t="array" aca="1" ref="B2" ca="1">_FV(A2,"Price")</f>
        <v>254.63</v>
      </c>
      <c r="C2" s="9" cm="1">
        <f t="array" aca="1" ref="C2" ca="1">_FV(A2,"Beta")</f>
        <v>1.0931</v>
      </c>
      <c r="D2" s="10" cm="1">
        <f t="array" aca="1" ref="D2" ca="1">_FV(A2,"Market cap",TRUE)</f>
        <v>3778808505700</v>
      </c>
      <c r="E2" s="8" t="s">
        <v>4</v>
      </c>
      <c r="F2" s="8"/>
    </row>
    <row r="3" spans="1:6" x14ac:dyDescent="0.2">
      <c r="A3" t="e" vm="2">
        <v>#VALUE!</v>
      </c>
      <c r="B3" s="8" cm="1">
        <f t="array" aca="1" ref="B3" ca="1">_FV(A3,"Price")</f>
        <v>186.57499999999999</v>
      </c>
      <c r="C3" s="9" cm="1">
        <f t="array" aca="1" ref="C3" ca="1">_FV(A3,"Beta")</f>
        <v>2.1213000000000002</v>
      </c>
      <c r="D3" s="10" cm="1">
        <f t="array" aca="1" ref="D3" ca="1">_FV(A3,"Market cap",TRUE)</f>
        <v>4533772500000</v>
      </c>
      <c r="E3" s="8" t="s">
        <v>4</v>
      </c>
      <c r="F3" s="8"/>
    </row>
    <row r="4" spans="1:6" x14ac:dyDescent="0.2">
      <c r="A4" t="e" vm="3">
        <v>#VALUE!</v>
      </c>
      <c r="B4" s="8" cm="1">
        <f t="array" aca="1" ref="B4" ca="1">_FV(A4,"Price")</f>
        <v>517.95000000000005</v>
      </c>
      <c r="C4" s="9" cm="1">
        <f t="array" aca="1" ref="C4" ca="1">_FV(A4,"Beta")</f>
        <v>1.024</v>
      </c>
      <c r="D4" s="10" cm="1">
        <f t="array" aca="1" ref="D4" ca="1">_FV(A4,"Market cap",TRUE)</f>
        <v>3850008847650</v>
      </c>
      <c r="E4" s="8" t="s">
        <v>4</v>
      </c>
      <c r="F4" s="8"/>
    </row>
    <row r="5" spans="1:6" x14ac:dyDescent="0.2">
      <c r="A5" t="e" vm="4">
        <v>#VALUE!</v>
      </c>
      <c r="B5" s="8" cm="1">
        <f t="array" aca="1" ref="B5" ca="1">_FV(A5,"Price")</f>
        <v>734.38</v>
      </c>
      <c r="C5" s="9" cm="1">
        <f t="array" aca="1" ref="C5" ca="1">_FV(A5,"Beta")</f>
        <v>1.2076</v>
      </c>
      <c r="D5" s="10" cm="1">
        <f t="array" aca="1" ref="D5" ca="1">_FV(A5,"Market cap",TRUE)</f>
        <v>1844866107580</v>
      </c>
      <c r="E5" s="8" t="s">
        <v>4</v>
      </c>
      <c r="F5" s="8"/>
    </row>
    <row r="6" spans="1:6" x14ac:dyDescent="0.2">
      <c r="A6" t="e" vm="5">
        <v>#VALUE!</v>
      </c>
      <c r="B6" s="8" cm="1">
        <f t="array" aca="1" ref="B6" ca="1">_FV(A6,"Price")</f>
        <v>243.1</v>
      </c>
      <c r="C6" s="9" cm="1">
        <f t="array" aca="1" ref="C6" ca="1">_FV(A6,"Beta")</f>
        <v>0.998</v>
      </c>
      <c r="D6" s="10" cm="1">
        <f t="array" aca="1" ref="D6" ca="1">_FV(A6,"Market cap",TRUE)</f>
        <v>2953224000000</v>
      </c>
      <c r="E6" s="8" t="s">
        <v>4</v>
      </c>
      <c r="F6" s="8"/>
    </row>
    <row r="7" spans="1:6" x14ac:dyDescent="0.2">
      <c r="A7" t="e" vm="6">
        <v>#VALUE!</v>
      </c>
      <c r="B7" s="8" cm="1">
        <f t="array" aca="1" ref="B7" ca="1">_FV(A7,"Price")</f>
        <v>666.20500000000004</v>
      </c>
      <c r="C7" s="9" cm="1">
        <f t="array" aca="1" ref="C7" ca="1">_FV(A7,"Beta")</f>
        <v>0.99850000000000005</v>
      </c>
      <c r="D7" s="10" cm="1">
        <f t="array" aca="1" ref="D7" ca="1">_FV(A7,"Market cap",TRUE)</f>
        <v>654797681275.29004</v>
      </c>
      <c r="E7" s="8" t="s">
        <v>4</v>
      </c>
      <c r="F7" s="8"/>
    </row>
    <row r="8" spans="1:6" x14ac:dyDescent="0.2">
      <c r="A8" t="e" vm="7">
        <v>#VALUE!</v>
      </c>
      <c r="B8" s="8" cm="1">
        <f t="array" aca="1" ref="B8" ca="1">_FV(A8,"Price")</f>
        <v>89.37</v>
      </c>
      <c r="C8" s="9" cm="1">
        <f t="array" aca="1" ref="C8" ca="1">_FV(A8,"Beta")</f>
        <v>1.0716000000000001</v>
      </c>
      <c r="D8" s="10" cm="1">
        <f t="array" aca="1" ref="D8" ca="1">_FV(A8,"Market cap",TRUE)</f>
        <v>47464401523.18</v>
      </c>
      <c r="E8" s="8" t="s">
        <v>5</v>
      </c>
      <c r="F8" s="8"/>
    </row>
    <row r="9" spans="1:6" x14ac:dyDescent="0.2">
      <c r="A9" t="e" vm="8">
        <v>#VALUE!</v>
      </c>
      <c r="B9" s="8" cm="1">
        <f t="array" aca="1" ref="B9" ca="1">_FV(A9,"Price")</f>
        <v>355.43</v>
      </c>
      <c r="C9" s="9" cm="1">
        <f t="array" aca="1" ref="C9" ca="1">_FV(A9,"Beta")</f>
        <v>0.81589999999999996</v>
      </c>
      <c r="D9" s="8" cm="1">
        <f t="array" aca="1" ref="D9" ca="1">_FV(A9,"Market cap",TRUE)</f>
        <v>82394162386.910004</v>
      </c>
      <c r="E9" s="8" t="s">
        <v>11</v>
      </c>
    </row>
    <row r="10" spans="1:6" x14ac:dyDescent="0.2">
      <c r="A10" t="e" vm="9">
        <v>#VALUE!</v>
      </c>
      <c r="B10" s="8" cm="1">
        <f t="array" aca="1" ref="B10" ca="1">_FV(A10,"Price")</f>
        <v>1.1734</v>
      </c>
      <c r="C10" t="e" cm="1" vm="10">
        <f t="array" ref="C10">_FV(A10,"Beta")</f>
        <v>#VALUE!</v>
      </c>
      <c r="D10" s="8" t="e" cm="1" vm="11">
        <f t="array" ref="D10">_FV(A10,"Market cap",TRUE)</f>
        <v>#VALUE!</v>
      </c>
      <c r="E10" s="8" t="s">
        <v>25</v>
      </c>
      <c r="F10" t="s">
        <v>24</v>
      </c>
    </row>
    <row r="11" spans="1:6" x14ac:dyDescent="0.2">
      <c r="A11" t="e" vm="12">
        <v>#VALUE!</v>
      </c>
      <c r="B11" s="8" cm="1">
        <f t="array" aca="1" ref="B11" ca="1">_FV(A11,"Price")</f>
        <v>73.77</v>
      </c>
      <c r="C11" s="9" cm="1">
        <f t="array" aca="1" ref="C11" ca="1">_FV(A11,"Beta")</f>
        <v>1.0226</v>
      </c>
      <c r="D11" s="8" cm="1">
        <f t="array" aca="1" ref="D11" ca="1">_FV(A11,"Market cap",TRUE)</f>
        <v>982808980.90999997</v>
      </c>
      <c r="E11" s="8" t="s">
        <v>9</v>
      </c>
    </row>
    <row r="12" spans="1:6" x14ac:dyDescent="0.2">
      <c r="A12" t="e" vm="13">
        <v>#VALUE!</v>
      </c>
      <c r="B12" s="11" cm="1">
        <f t="array" aca="1" ref="B12" ca="1">_FV(A12,"Price")</f>
        <v>600.37</v>
      </c>
      <c r="C12" cm="1">
        <f t="array" aca="1" ref="C12" ca="1">_FV(A12,"Beta")</f>
        <v>1.0321</v>
      </c>
      <c r="D12" s="11" cm="1">
        <f t="array" aca="1" ref="D12" ca="1">_FV(A12,"Market cap",TRUE)</f>
        <v>365550355557.59003</v>
      </c>
      <c r="E12" s="8" t="s">
        <v>4</v>
      </c>
    </row>
    <row r="13" spans="1:6" x14ac:dyDescent="0.2">
      <c r="A13" t="e" vm="14">
        <v>#VALUE!</v>
      </c>
      <c r="B13" s="8" cm="1">
        <f t="array" aca="1" ref="B13" ca="1">_FV(A13,"Price")</f>
        <v>96.46</v>
      </c>
      <c r="C13" s="9" cm="1">
        <f t="array" aca="1" ref="C13" ca="1">_FV(A13,"Beta")</f>
        <v>1.1922999999999999</v>
      </c>
      <c r="D13" s="8" cm="1">
        <f t="array" aca="1" ref="D13" ca="1">_FV(A13,"Market cap",TRUE)</f>
        <v>35770398943.690002</v>
      </c>
      <c r="E13" t="s">
        <v>5</v>
      </c>
    </row>
    <row r="14" spans="1:6" x14ac:dyDescent="0.2">
      <c r="A14" t="e" vm="15">
        <v>#VALUE!</v>
      </c>
      <c r="B14" s="8" cm="1">
        <f t="array" aca="1" ref="B14" ca="1">_FV(A14,"Price")</f>
        <v>66.760000000000005</v>
      </c>
      <c r="C14" t="e" cm="1" vm="10">
        <f t="array" ref="C14">_FV(A14,"Beta")</f>
        <v>#VALUE!</v>
      </c>
      <c r="D14" s="8" t="e" cm="1" vm="11">
        <f t="array" ref="D14">_FV(A14,"Market cap",TRUE)</f>
        <v>#VALUE!</v>
      </c>
      <c r="E14" t="s">
        <v>5</v>
      </c>
    </row>
    <row r="15" spans="1:6" x14ac:dyDescent="0.2">
      <c r="B15" s="8"/>
      <c r="C15" s="9"/>
      <c r="D15" s="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8"/>
  <sheetViews>
    <sheetView workbookViewId="0">
      <selection activeCell="D24" sqref="D24"/>
    </sheetView>
  </sheetViews>
  <sheetFormatPr baseColWidth="10" defaultColWidth="10.83203125" defaultRowHeight="16" x14ac:dyDescent="0.2"/>
  <cols>
    <col min="1" max="2" width="10.83203125" style="1"/>
    <col min="3" max="3" width="21.5" style="1" customWidth="1"/>
    <col min="4" max="4" width="20.83203125" style="1" customWidth="1"/>
    <col min="5" max="16384" width="10.83203125" style="1"/>
  </cols>
  <sheetData>
    <row r="1" spans="1:4" x14ac:dyDescent="0.2">
      <c r="A1" s="3" t="s">
        <v>1</v>
      </c>
      <c r="B1" s="3" t="s">
        <v>6</v>
      </c>
      <c r="C1" s="3" t="s">
        <v>7</v>
      </c>
      <c r="D1" s="3" t="s">
        <v>8</v>
      </c>
    </row>
    <row r="2" spans="1:4" x14ac:dyDescent="0.2">
      <c r="A2" s="1" t="s">
        <v>4</v>
      </c>
      <c r="B2" s="1">
        <v>12.5</v>
      </c>
      <c r="C2" s="1" t="s">
        <v>10</v>
      </c>
      <c r="D2" s="2">
        <v>45929.626423611109</v>
      </c>
    </row>
    <row r="3" spans="1:4" x14ac:dyDescent="0.2">
      <c r="A3" s="1" t="s">
        <v>9</v>
      </c>
      <c r="B3" s="1">
        <v>15</v>
      </c>
      <c r="C3" s="1" t="s">
        <v>10</v>
      </c>
      <c r="D3" s="2">
        <v>45929.626423611109</v>
      </c>
    </row>
    <row r="4" spans="1:4" x14ac:dyDescent="0.2">
      <c r="A4" s="1" t="s">
        <v>11</v>
      </c>
      <c r="B4" s="1">
        <v>8.98</v>
      </c>
      <c r="C4" s="1" t="s">
        <v>10</v>
      </c>
      <c r="D4" s="2">
        <v>45929.629166666666</v>
      </c>
    </row>
    <row r="5" spans="1:4" x14ac:dyDescent="0.2">
      <c r="A5" s="1" t="s">
        <v>12</v>
      </c>
      <c r="B5" s="1">
        <v>12</v>
      </c>
      <c r="C5" s="1" t="s">
        <v>13</v>
      </c>
      <c r="D5" s="2">
        <v>45929.636111111111</v>
      </c>
    </row>
    <row r="6" spans="1:4" x14ac:dyDescent="0.2">
      <c r="A6" s="1" t="s">
        <v>5</v>
      </c>
      <c r="B6" s="1">
        <v>100</v>
      </c>
      <c r="C6" s="1" t="s">
        <v>13</v>
      </c>
      <c r="D6" s="2">
        <v>45929.890868055554</v>
      </c>
    </row>
    <row r="7" spans="1:4" x14ac:dyDescent="0.2">
      <c r="A7" s="1" t="s">
        <v>12</v>
      </c>
      <c r="B7" s="1">
        <v>71</v>
      </c>
      <c r="C7" s="1" t="s">
        <v>13</v>
      </c>
      <c r="D7" s="2">
        <v>45930.82236111111</v>
      </c>
    </row>
    <row r="8" spans="1:4" x14ac:dyDescent="0.2">
      <c r="A8" s="1" t="s">
        <v>4</v>
      </c>
      <c r="B8" s="1">
        <v>-15</v>
      </c>
      <c r="C8" s="1" t="s">
        <v>10</v>
      </c>
      <c r="D8" s="2">
        <v>45930.822766203702</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H7"/>
  <sheetViews>
    <sheetView zoomScale="150" workbookViewId="0">
      <selection activeCell="D12" sqref="D12"/>
    </sheetView>
  </sheetViews>
  <sheetFormatPr baseColWidth="10" defaultColWidth="10.83203125" defaultRowHeight="16" x14ac:dyDescent="0.2"/>
  <cols>
    <col min="1" max="1" width="35.33203125" bestFit="1" customWidth="1"/>
    <col min="2" max="2" width="10" bestFit="1" customWidth="1"/>
    <col min="3" max="3" width="13" bestFit="1" customWidth="1"/>
    <col min="4" max="4" width="13.1640625" bestFit="1" customWidth="1"/>
    <col min="5" max="5" width="13.6640625" bestFit="1" customWidth="1"/>
    <col min="6" max="6" width="9.6640625" bestFit="1" customWidth="1"/>
    <col min="7" max="7" width="21.5" bestFit="1" customWidth="1"/>
    <col min="8" max="8" width="2.1640625" bestFit="1" customWidth="1"/>
  </cols>
  <sheetData>
    <row r="1" spans="1:8" s="4" customFormat="1" x14ac:dyDescent="0.2">
      <c r="A1" s="14" t="s">
        <v>14</v>
      </c>
      <c r="B1" s="14" t="s">
        <v>1</v>
      </c>
      <c r="C1" s="14" t="s">
        <v>15</v>
      </c>
      <c r="D1" s="14" t="s">
        <v>27</v>
      </c>
      <c r="E1" s="14" t="s">
        <v>18</v>
      </c>
      <c r="H1" s="6"/>
    </row>
    <row r="2" spans="1:8" x14ac:dyDescent="0.2">
      <c r="A2" s="15" t="s">
        <v>26</v>
      </c>
      <c r="B2" s="15" t="s">
        <v>4</v>
      </c>
      <c r="C2" s="16" t="s">
        <v>28</v>
      </c>
      <c r="D2" s="17">
        <v>250</v>
      </c>
      <c r="E2" s="18">
        <v>12.5</v>
      </c>
      <c r="G2" s="4"/>
      <c r="H2" s="5"/>
    </row>
    <row r="3" spans="1:8" x14ac:dyDescent="0.2">
      <c r="A3" s="15" t="s">
        <v>26</v>
      </c>
      <c r="B3" s="15" t="s">
        <v>4</v>
      </c>
      <c r="C3" s="16" t="s">
        <v>29</v>
      </c>
      <c r="D3" s="17">
        <v>-300</v>
      </c>
      <c r="E3" s="18">
        <v>-15</v>
      </c>
      <c r="G3" s="4"/>
      <c r="H3" s="5"/>
    </row>
    <row r="4" spans="1:8" s="4" customFormat="1" x14ac:dyDescent="0.2">
      <c r="A4" s="19" t="s">
        <v>31</v>
      </c>
      <c r="B4" s="19" t="s">
        <v>5</v>
      </c>
      <c r="C4" s="16" t="s">
        <v>19</v>
      </c>
      <c r="D4" s="20">
        <v>0</v>
      </c>
      <c r="E4" s="21">
        <v>0</v>
      </c>
    </row>
    <row r="5" spans="1:8" s="4" customFormat="1" x14ac:dyDescent="0.2">
      <c r="A5" s="19" t="s">
        <v>32</v>
      </c>
      <c r="B5" s="19" t="s">
        <v>4</v>
      </c>
      <c r="C5" s="16" t="s">
        <v>28</v>
      </c>
      <c r="D5" s="20">
        <v>62.5</v>
      </c>
      <c r="E5" s="21">
        <v>12.5</v>
      </c>
    </row>
    <row r="6" spans="1:8" x14ac:dyDescent="0.2">
      <c r="A6" s="15" t="s">
        <v>32</v>
      </c>
      <c r="B6" s="15" t="s">
        <v>4</v>
      </c>
      <c r="C6" s="16" t="s">
        <v>29</v>
      </c>
      <c r="D6" s="17">
        <v>-75</v>
      </c>
      <c r="E6" s="18">
        <v>-15</v>
      </c>
    </row>
    <row r="7" spans="1:8" s="4" customFormat="1" x14ac:dyDescent="0.2">
      <c r="A7" s="4" t="s">
        <v>20</v>
      </c>
      <c r="D7" s="4">
        <v>-62.5</v>
      </c>
      <c r="E7" s="7">
        <v>-0.96</v>
      </c>
    </row>
  </sheetData>
  <conditionalFormatting sqref="D2:D6">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3"/>
  <sheetViews>
    <sheetView zoomScale="125" workbookViewId="0"/>
  </sheetViews>
  <sheetFormatPr baseColWidth="10" defaultColWidth="10.83203125" defaultRowHeight="16" x14ac:dyDescent="0.2"/>
  <cols>
    <col min="1" max="1" width="35.33203125" bestFit="1" customWidth="1"/>
    <col min="2" max="2" width="10" bestFit="1" customWidth="1"/>
    <col min="3" max="3" width="9.6640625" bestFit="1" customWidth="1"/>
    <col min="4" max="4" width="21.83203125" bestFit="1" customWidth="1"/>
  </cols>
  <sheetData>
    <row r="1" spans="1:4" x14ac:dyDescent="0.2">
      <c r="A1" s="4" t="s">
        <v>14</v>
      </c>
      <c r="B1" s="4" t="s">
        <v>1</v>
      </c>
      <c r="C1" s="4" t="s">
        <v>16</v>
      </c>
      <c r="D1" s="4" t="s">
        <v>17</v>
      </c>
    </row>
    <row r="2" spans="1:4" x14ac:dyDescent="0.2">
      <c r="A2" t="s">
        <v>26</v>
      </c>
      <c r="B2" t="s">
        <v>4</v>
      </c>
      <c r="C2" t="s">
        <v>30</v>
      </c>
      <c r="D2" t="s">
        <v>30</v>
      </c>
    </row>
    <row r="3" spans="1:4" x14ac:dyDescent="0.2">
      <c r="A3" t="s">
        <v>31</v>
      </c>
      <c r="B3" t="s">
        <v>5</v>
      </c>
      <c r="C3" t="s">
        <v>30</v>
      </c>
      <c r="D3" t="s">
        <v>30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baseColWidth="10" defaultColWidth="10.83203125" defaultRowHeight="16"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
  <sheetViews>
    <sheetView topLeftCell="A2" workbookViewId="0"/>
  </sheetViews>
  <sheetFormatPr baseColWidth="10" defaultColWidth="10.83203125"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Portfolio</vt:lpstr>
      <vt:lpstr>Market_Data</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2025-09-30T21:20:13Z</dcterms:modified>
</cp:coreProperties>
</file>