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383FAEE3-DC9C-4349-8295-3200DD711C37}" xr6:coauthVersionLast="47" xr6:coauthVersionMax="47" xr10:uidLastSave="{00000000-0000-0000-0000-000000000000}"/>
  <bookViews>
    <workbookView xWindow="0" yWindow="1060" windowWidth="26220" windowHeight="1488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N2" i="8" a="1"/>
  <c r="P2" i="8" a="1"/>
  <c r="T2" i="8" a="1"/>
  <c r="H2" i="8" a="1"/>
  <c r="J2" i="8" a="1"/>
  <c r="R2" i="8" a="1"/>
  <c r="F2" i="8" a="1"/>
  <c r="T2" i="8" l="1"/>
  <c r="R2" i="8"/>
  <c r="P2" i="8"/>
  <c r="N2" i="8"/>
  <c r="L2" i="8"/>
  <c r="J2" i="8"/>
  <c r="H2" i="8"/>
  <c r="F2" i="8"/>
  <c r="D2" i="8"/>
  <c r="A2" i="8"/>
  <c r="F12" i="2"/>
  <c r="F2" i="2"/>
  <c r="F6" i="2"/>
  <c r="F13" i="2"/>
  <c r="F4" i="2"/>
  <c r="F7" i="2"/>
  <c r="F8" i="2"/>
  <c r="F5" i="2"/>
  <c r="F9" i="2"/>
  <c r="F14" i="2"/>
  <c r="F3" i="2"/>
  <c r="F11" i="2"/>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4"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412">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futureMetadata>
  <futureMetadata name="XLDAPR" count="1">
    <bk>
      <extLst>
        <ext uri="{bdbb8cdc-fa1e-496e-a857-3c3f30c029c3}">
          <xda:dynamicArrayProperties fDynamic="1" fCollapsed="0"/>
        </ext>
      </extLst>
    </bk>
  </futureMetadata>
  <cellMetadata count="1">
    <bk>
      <rc t="2" v="0"/>
    </bk>
  </cellMetadata>
  <valueMetadata count="241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valueMetadata>
</metadata>
</file>

<file path=xl/sharedStrings.xml><?xml version="1.0" encoding="utf-8"?>
<sst xmlns="http://schemas.openxmlformats.org/spreadsheetml/2006/main" count="307" uniqueCount="74">
  <si>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</si>
  <si>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</si>
  <si>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</si>
  <si>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</si>
  <si>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</si>
  <si>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</si>
  <si>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</si>
  <si>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</si>
  <si>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</si>
  <si>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</si>
  <si>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</si>
  <si>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</si>
  <si>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</si>
  <si>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</si>
  <si>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</si>
  <si>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</si>
  <si>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</si>
  <si>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</si>
  <si>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</si>
  <si>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</si>
  <si>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</si>
  <si>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</si>
  <si>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</si>
  <si>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</si>
  <si>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</si>
  <si>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</si>
  <si>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</si>
  <si>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</si>
  <si>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</si>
  <si>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</si>
  <si>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</si>
  <si>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</si>
  <si>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</si>
  <si>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</si>
  <si>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</si>
  <si>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</si>
  <si>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</si>
  <si>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</si>
  <si>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</si>
  <si>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</si>
  <si>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PnL Impact (Ä)</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</si>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</sst>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 numFmtId="170" formatCode="_-[$$-409]* #,##0.00_ ;_-[$$-409]* \-#,##0.00\ ;_-[$$-409]* &quot;-&quot;??_ ;_-@_ "/>
    <numFmt numFmtId="171" formatCode="#,##0.00\ [$Ä-407]"/>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5">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0" fontId="2" fillId="0" borderId="0" xfId="0" applyFon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170" fontId="0" fillId="0" borderId="0" xfId="0" applyNumberFormat="1"/>
    <xf numFmtId="170" fontId="2" fillId="0" borderId="0" xfId="0" applyNumberFormat="1" applyFont="1"/>
    <xf numFmtId="9" fontId="0" fillId="0" borderId="0" xfId="0" applyNumberFormat="1"/>
    <xf numFmtId="171" fontId="0" fillId="0" borderId="0" xfId="0" applyNumberFormat="1"/>
    <xf numFmtId="171" fontId="1" fillId="0" borderId="0" xfId="0" applyNumberFormat="1" applyFont="1"/>
    <xf numFmtId="22" fontId="0" fillId="0" borderId="0" xfId="0" applyNumberFormat="1"/>
  </cellXfs>
  <cellStyles count="1">
    <cellStyle name="Normal" xfId="0" builtinId="0"/>
  </cellStyles>
  <dxfs count="10">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12">
  <a r="1" c="250">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v t="i">357</v>
    <v t="i">358</v>
    <v t="i">359</v>
    <v t="i">360</v>
    <v t="i">363</v>
    <v t="i">364</v>
  </a>
  <a r="1" c="250">
    <v>132.88999999999999</v>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50">
    <v>242.37</v>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50">
    <v>225.77</v>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50">
    <v>414.71</v>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50">
    <v>96.2</v>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50">
    <v>75.790000000000006</v>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50">
    <v>164.38</v>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592.89</v>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4">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52</v>
    <v t="i">55</v>
    <v t="i">56</v>
    <v t="i">57</v>
    <v t="i">58</v>
    <v t="i">59</v>
    <v t="i">62</v>
    <v t="i">63</v>
    <v t="i">64</v>
    <v t="i">65</v>
    <v t="i">66</v>
    <v t="i">69</v>
    <v t="i">70</v>
    <v t="i">71</v>
    <v t="i">72</v>
    <v t="i">73</v>
    <v t="i">76</v>
    <v t="i">77</v>
    <v t="i">79</v>
    <v t="i">80</v>
    <v t="i">83</v>
    <v t="i">84</v>
    <v t="i">86</v>
    <v t="i">87</v>
    <v t="i">90</v>
    <v t="i">91</v>
    <v t="i">92</v>
    <v t="i">94</v>
    <v t="i">97</v>
    <v t="i">98</v>
    <v t="i">99</v>
    <v t="i">100</v>
    <v t="i">101</v>
    <v t="i">105</v>
    <v t="i">106</v>
    <v t="i">107</v>
    <v t="i">108</v>
    <v t="i">111</v>
    <v t="i">112</v>
    <v t="i">113</v>
    <v t="i">114</v>
    <v t="i">115</v>
    <v t="i">118</v>
    <v t="i">119</v>
    <v t="i">120</v>
    <v t="i">121</v>
    <v t="i">122</v>
    <v t="i">125</v>
    <v t="i">126</v>
    <v t="i">127</v>
    <v t="i">128</v>
    <v t="i">129</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195</v>
    <v t="i">196</v>
    <v t="i">197</v>
    <v t="i">198</v>
    <v t="i">199</v>
    <v t="i">202</v>
    <v t="i">203</v>
    <v t="i">204</v>
    <v t="i">205</v>
    <v t="i">206</v>
    <v t="i">209</v>
    <v t="i">210</v>
    <v t="i">211</v>
    <v t="i">212</v>
    <v t="i">213</v>
    <v t="i">216</v>
    <v t="i">217</v>
    <v t="i">218</v>
    <v t="i">219</v>
    <v t="i">220</v>
    <v t="i">223</v>
    <v t="i">224</v>
    <v t="i">225</v>
    <v t="i">226</v>
    <v t="i">227</v>
    <v t="i">231</v>
    <v t="i">232</v>
    <v t="i">233</v>
    <v t="i">234</v>
    <v t="i">237</v>
    <v t="i">238</v>
    <v t="i">239</v>
    <v t="i">240</v>
    <v t="i">241</v>
    <v t="i">244</v>
    <v t="i">245</v>
    <v t="i">246</v>
    <v t="i">247</v>
    <v t="i">248</v>
    <v t="i">251</v>
    <v t="i">252</v>
    <v t="i">253</v>
    <v t="i">255</v>
    <v t="i">258</v>
    <v t="i">259</v>
    <v t="i">260</v>
    <v t="i">261</v>
    <v t="i">262</v>
    <v t="i">265</v>
    <v t="i">266</v>
    <v t="i">267</v>
    <v t="i">268</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329</v>
    <v t="i">330</v>
    <v t="i">331</v>
    <v t="i">332</v>
    <v t="i">335</v>
    <v t="i">336</v>
    <v t="i">337</v>
    <v t="i">338</v>
    <v t="i">339</v>
    <v t="i">342</v>
    <v t="i">343</v>
    <v t="i">344</v>
    <v t="i">345</v>
    <v t="i">346</v>
    <v t="i">349</v>
    <v t="i">350</v>
    <v t="i">351</v>
    <v t="i">352</v>
    <v t="i">353</v>
    <v t="i">356</v>
  </a>
  <a r="1" c="244">
    <v>573.16999999999996</v>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a>
</arrayData>
</file>

<file path=xl/richData/rdrichvalue.xml><?xml version="1.0" encoding="utf-8"?>
<rvData xmlns="http://schemas.microsoft.com/office/spreadsheetml/2017/richdata" count="245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-6.1199999999999997E-2</v>
    <v>-2.3720000000000002E-4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45938.912491897659</v>
    <v>0</v>
    <v>256.11</v>
    <v>3829711043400</v>
    <v>APPLE INC.</v>
    <v>APPLE INC.</v>
    <v>256.52</v>
    <v>35.374899999999997</v>
    <v>256.48</v>
    <v>258.06</v>
    <v>257.99880000000002</v>
    <v>14840390000</v>
    <v>AAPL</v>
    <v>APPLE INC. (XNAS:AAPL)</v>
    <v>36459710</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-0.14499999999999999</v>
    <v>-7.6670000000000004E-4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45938.912475856247</v>
    <v>3</v>
    <v>186.54</v>
    <v>4595373000000</v>
    <v>NVIDIA CORPORATION</v>
    <v>NVIDIA CORPORATION</v>
    <v>186.57</v>
    <v>52.665300000000002</v>
    <v>185.04</v>
    <v>189.11</v>
    <v>188.965</v>
    <v>24300000000</v>
    <v>NVDA</v>
    <v>NVIDIA CORPORATION (XNAS:NVDA)</v>
    <v>129734333</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-0.06</v>
    <v>-1.1429999999999999E-4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45938.912425520313</v>
    <v>10</v>
    <v>523.09</v>
    <v>3901297699950</v>
    <v>MICROSOFT CORPORATION</v>
    <v>MICROSOFT CORPORATION</v>
    <v>523.28</v>
    <v>38.411900000000003</v>
    <v>523.98</v>
    <v>524.85</v>
    <v>524.79</v>
    <v>7433167000</v>
    <v>MSFT</v>
    <v>MICROSOFT CORPORATION (XNAS:MSFT)</v>
    <v>13342251</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-0.35</v>
    <v>-4.8759999999999998E-4</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45938.912500173436</v>
    <v>13</v>
    <v>707.81</v>
    <v>1803315295440</v>
    <v>Meta Platforms, Inc.</v>
    <v>Meta Platforms, Inc.</v>
    <v>713.45</v>
    <v>25.601400000000002</v>
    <v>713.08</v>
    <v>717.84</v>
    <v>717.49</v>
    <v>2512141000</v>
    <v>META</v>
    <v>Meta Platforms, Inc. (XNAS:META)</v>
    <v>10755046</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0.01</v>
    <v>4.0879999999999995E-5</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45938.912454224221</v>
    <v>16</v>
    <v>243.82</v>
    <v>2979661000000</v>
    <v>ALPHABET INC.</v>
    <v>ALPHABET INC.</v>
    <v>244.96</v>
    <v>26.170100000000001</v>
    <v>245.76</v>
    <v>244.62</v>
    <v>244.63</v>
    <v>12094000000</v>
    <v>GOOGL</v>
    <v>ALPHABET INC. (XNAS:GOOGL)</v>
    <v>21270898</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-3.5000000000000003E-2</v>
    <v>-5.1999999999999997E-5</v>
    <v>USD</v>
    <v>NYSE Arca</v>
    <v>ARCX</v>
    <v>9.4499999999999998E-4</v>
    <v>673.2056</v>
    <v>ETF</v>
    <v>45938.912389166406</v>
    <v>19</v>
    <v>669.42</v>
    <v>672726673351.18994</v>
    <v>SPDR S&amp;P 500</v>
    <v>670.25</v>
    <v>669.12</v>
    <v>673.06</v>
    <v>673.07500000000005</v>
    <v>SPY</v>
    <v>SPDR S&amp;P 500 (ARCX:SPY)</v>
    <v>60601487</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0.16</v>
    <v>1.7929999999999999E-3</v>
    <v>USD</v>
    <v>Nasdaq Stock Market</v>
    <v>XNAS</v>
    <v>1.5E-3</v>
    <v>89.614999999999995</v>
    <v>ETF</v>
    <v>45938.908584351564</v>
    <v>22</v>
    <v>89.13</v>
    <v>48818461640.32</v>
    <v>iShares:20+ Trs Bd ETF</v>
    <v>89.6</v>
    <v>89.18</v>
    <v>89.25</v>
    <v>89.41</v>
    <v>TLT</v>
    <v>iShares:20+ Trs Bd ETF (XNAS:TLT)</v>
    <v>22462850</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-0.16969999999999999</v>
    <v>-4.5580000000000002E-4</v>
    <v>USD</v>
    <v>NYSE Arca</v>
    <v>ARCX</v>
    <v>4.0000000000000001E-3</v>
    <v>373.57</v>
    <v>ETF</v>
    <v>45938.911866423441</v>
    <v>25</v>
    <v>370.5</v>
    <v>82394162386.910004</v>
    <v>SPDR Gold</v>
    <v>371.65</v>
    <v>366.26</v>
    <v>372.34</v>
    <v>372.13029999999998</v>
    <v>GLD</v>
    <v>SPDR Gold (ARCX:GLD)</v>
    <v>27732027</v>
    <v>14435185</v>
  </rv>
  <rv s="2">
    <v>26</v>
  </rv>
  <rv s="7">
    <v>14</v>
    <v>EUR/USD</v>
    <v>15</v>
    <v>16</v>
    <v>Finance</v>
    <v>17</v>
    <v>en-GB</v>
    <v>av932w</v>
    <v>268435456</v>
    <v>1</v>
    <v>Powered by Refinitiv</v>
    <v>1.1918</v>
    <v>1.0176000000000001</v>
    <v>1E-4</v>
    <v>8.6009999999999998E-5</v>
    <v>USD</v>
    <v>EUR</v>
    <v>1.1628000000000001</v>
    <v>Currency Pair</v>
    <v>45938.912407407406</v>
    <v>1.1625000000000001</v>
    <v>Euro/US Dollar FX Spot Rate</v>
    <v>1.1623000000000001</v>
    <v>1.1626000000000001</v>
    <v>1.1627000000000001</v>
    <v>EURUSD</v>
    <v>EUR/USD</v>
  </rv>
  <rv s="2">
    <v>28</v>
  </rv>
  <rv s="8">
    <v>12</v>
    <v>Beta</v>
    <v>0</v>
  </rv>
  <rv s="8">
    <v>12</v>
    <v>Market cap</v>
    <v>0</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6.5000000000000002E-2</v>
    <v>8.8400000000000002E-4</v>
    <v>USD</v>
    <v>NYSE Arca</v>
    <v>ARCX</v>
    <v>8.199999999999999E-3</v>
    <v>74.13</v>
    <v>ETF</v>
    <v>45938.904510057815</v>
    <v>32</v>
    <v>73.250699999999995</v>
    <v>899405944.95000005</v>
    <v>United States Oil Fund</v>
    <v>73.52</v>
    <v>73.2</v>
    <v>73.55</v>
    <v>73.594999999999999</v>
    <v>USO</v>
    <v>United States Oil Fund (ARCX:USO)</v>
    <v>4309588</v>
    <v>5192423</v>
  </rv>
  <rv s="2">
    <v>33</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0.315</v>
    <v>5.1520000000000005E-4</v>
    <v>USD</v>
    <v>Nasdaq Stock Market</v>
    <v>XNAS</v>
    <v>2E-3</v>
    <v>611.75</v>
    <v>ETF</v>
    <v>45938.912504039065</v>
    <v>35</v>
    <v>605.26</v>
    <v>385755187983.09998</v>
    <v>Invesco QQQ Trust 1</v>
    <v>605.41</v>
    <v>604.51</v>
    <v>611.44000000000005</v>
    <v>611.755</v>
    <v>QQQ</v>
    <v>Invesco QQQ Trust 1 (XNAS:QQQ)</v>
    <v>50455325</v>
    <v>52172555</v>
  </rv>
  <rv s="2">
    <v>36</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v>
    <v>0</v>
    <v>USD</v>
    <v>Nasdaq Stock Market</v>
    <v>XNAS</v>
    <v>1.5E-3</v>
    <v>96.56</v>
    <v>ETF</v>
    <v>45938.911745392972</v>
    <v>38</v>
    <v>96.32</v>
    <v>38510844547.139999</v>
    <v>iShares:7-10 Trs Bd</v>
    <v>96.54</v>
    <v>96.36</v>
    <v>96.38</v>
    <v>96.38</v>
    <v>IEF</v>
    <v>iShares:7-10 Trs Bd (XNAS:IEF)</v>
    <v>5131272</v>
    <v>8380893</v>
  </rv>
  <rv s="2">
    <v>39</v>
  </rv>
  <rv s="9">
    <v>18</v>
    <v>Bonds Powered Income USD</v>
    <v>19</v>
    <v>20</v>
    <v>Finance</v>
    <v>21</v>
    <v>en-GB</v>
    <v>caxasm</v>
    <v>268435456</v>
    <v>1</v>
    <v>Powered by Refinitiv</v>
    <v>-0.44</v>
    <v>-6.4380000000000001E-3</v>
    <v>KY</v>
    <v>USD</v>
    <v>Mutual Fund</v>
    <v>45936</v>
    <v>45938.591897128128</v>
    <v>Bonds Powered Income USD</v>
    <v>10533500</v>
    <v>68.34</v>
    <v>67.900000000000006</v>
    <v>0</v>
    <v>1.8755000000000001E-2</v>
    <v>1.7076000000000001E-2</v>
    <v>6.724999999999999E-2</v>
    <v>5.3399999999999996E-2</v>
    <v>0.11396800000000001</v>
    <v>0</v>
    <v>0.17902100000000001</v>
    <v>Bonds Powered Income USD</v>
  </rv>
  <rv s="2">
    <v>41</v>
  </rv>
  <rv s="10">
    <fb>45573</fb>
    <v>22</v>
  </rv>
  <rv s="10">
    <fb>225.77</fb>
    <v>23</v>
  </rv>
  <rv s="10">
    <fb>132.88999999999999</fb>
    <v>23</v>
  </rv>
  <rv s="10">
    <fb>414.71</fb>
    <v>23</v>
  </rv>
  <rv s="10">
    <fb>592.89</fb>
    <v>23</v>
  </rv>
  <rv s="10">
    <fb>164.38</fb>
    <v>23</v>
  </rv>
  <rv s="10">
    <fb>573.16999999999996</fb>
    <v>23</v>
  </rv>
  <rv s="10">
    <fb>242.37</fb>
    <v>23</v>
  </rv>
  <rv s="10">
    <fb>75.790000000000006</fb>
    <v>23</v>
  </rv>
  <rv s="10">
    <fb>96.2</fb>
    <v>23</v>
  </rv>
  <rv s="10">
    <fb>45574</fb>
    <v>22</v>
  </rv>
  <rv s="10">
    <fb>229.54</fb>
    <v>23</v>
  </rv>
  <rv s="10">
    <fb>132.65</fb>
    <v>23</v>
  </rv>
  <rv s="10">
    <fb>417.46</fb>
    <v>23</v>
  </rv>
  <rv s="10">
    <fb>590.51</fb>
    <v>23</v>
  </rv>
  <rv s="10">
    <fb>161.86000000000001</fb>
    <v>23</v>
  </rv>
  <rv s="10">
    <fb>577.14</fb>
    <v>23</v>
  </rv>
  <rv s="10">
    <fb>241.05</fb>
    <v>23</v>
  </rv>
  <rv s="10">
    <fb>75.25</fb>
    <v>23</v>
  </rv>
  <rv s="10">
    <fb>95.84</fb>
    <v>23</v>
  </rv>
  <rv s="10">
    <fb>45575</fb>
    <v>22</v>
  </rv>
  <rv s="10">
    <fb>229.04</fb>
    <v>23</v>
  </rv>
  <rv s="10">
    <fb>134.81</fb>
    <v>23</v>
  </rv>
  <rv s="10">
    <fb>415.84</fb>
    <v>23</v>
  </rv>
  <rv s="10">
    <fb>583.83000000000004</fb>
    <v>23</v>
  </rv>
  <rv s="10">
    <fb>162.08000000000001</fb>
    <v>23</v>
  </rv>
  <rv s="10">
    <fb>576.13</fb>
    <v>23</v>
  </rv>
  <rv s="10">
    <fb>242.82</fb>
    <v>23</v>
  </rv>
  <rv s="10">
    <fb>77.77</fb>
    <v>23</v>
  </rv>
  <rv s="10">
    <fb>95.83</fb>
    <v>23</v>
  </rv>
  <rv s="10">
    <fb>45576</fb>
    <v>22</v>
  </rv>
  <rv s="10">
    <fb>227.55</fb>
    <v>23</v>
  </rv>
  <rv s="10">
    <fb>134.80000000000001</fb>
    <v>23</v>
  </rv>
  <rv s="10">
    <fb>416.32</fb>
    <v>23</v>
  </rv>
  <rv s="10">
    <fb>589.95000000000005</fb>
    <v>23</v>
  </rv>
  <rv s="10">
    <fb>163.24</fb>
    <v>23</v>
  </rv>
  <rv s="10">
    <fb>579.58000000000004</fb>
    <v>23</v>
  </rv>
  <rv s="10">
    <fb>245.47</fb>
    <v>23</v>
  </rv>
  <rv s="10">
    <fb>77.489999999999995</fb>
    <v>23</v>
  </rv>
  <rv s="10">
    <fb>95.86</fb>
    <v>23</v>
  </rv>
  <rv s="10">
    <fb>45579</fb>
    <v>22</v>
  </rv>
  <rv s="10">
    <fb>231.3</fb>
    <v>23</v>
  </rv>
  <rv s="10">
    <fb>138.07</fb>
    <v>23</v>
  </rv>
  <rv s="10">
    <fb>419.14</fb>
    <v>23</v>
  </rv>
  <rv s="10">
    <fb>590.41999999999996</fb>
    <v>23</v>
  </rv>
  <rv s="10">
    <fb>164.96</fb>
    <v>23</v>
  </rv>
  <rv s="10">
    <fb>584.32000000000005</fb>
    <v>23</v>
  </rv>
  <rv s="10">
    <fb>245.07</fb>
    <v>23</v>
  </rv>
  <rv s="10">
    <fb>75.930000000000007</fb>
    <v>23</v>
  </rv>
  <rv s="10">
    <fb>95.69</fb>
    <v>23</v>
  </rv>
  <rv s="10">
    <fb>45580</fb>
    <v>22</v>
  </rv>
  <rv s="10">
    <fb>233.85</fb>
    <v>23</v>
  </rv>
  <rv s="10">
    <fb>131.6</fb>
    <v>23</v>
  </rv>
  <rv s="10">
    <fb>418.74</fb>
    <v>23</v>
  </rv>
  <rv s="10">
    <fb>586.27</fb>
    <v>23</v>
  </rv>
  <rv s="10">
    <fb>165.46</fb>
    <v>23</v>
  </rv>
  <rv s="10">
    <fb>579.78</fb>
    <v>23</v>
  </rv>
  <rv s="10">
    <fb>245.92</fb>
    <v>23</v>
  </rv>
  <rv s="10">
    <fb>72.760000000000005</fb>
    <v>23</v>
  </rv>
  <rv s="10">
    <fb>96.18</fb>
    <v>23</v>
  </rv>
  <rv s="10">
    <fb>45581</fb>
    <v>22</v>
  </rv>
  <rv s="10">
    <fb>231.78</fb>
    <v>23</v>
  </rv>
  <rv s="10">
    <fb>135.72</fb>
    <v>23</v>
  </rv>
  <rv s="10">
    <fb>416.12</fb>
    <v>23</v>
  </rv>
  <rv s="10">
    <fb>576.79</fb>
    <v>23</v>
  </rv>
  <rv s="10">
    <fb>165.16</fb>
    <v>23</v>
  </rv>
  <rv s="10">
    <fb>582.29999999999995</fb>
    <v>23</v>
  </rv>
  <rv s="10">
    <fb>247.15</fb>
    <v>23</v>
  </rv>
  <rv s="10">
    <fb>72.400000000000006</fb>
    <v>23</v>
  </rv>
  <rv s="10">
    <fb>96.33</fb>
    <v>23</v>
  </rv>
  <rv s="10">
    <fb>45582</fb>
    <v>22</v>
  </rv>
  <rv s="10">
    <fb>232.15</fb>
    <v>23</v>
  </rv>
  <rv s="10">
    <fb>136.93</fb>
    <v>23</v>
  </rv>
  <rv s="10">
    <fb>416.72</fb>
    <v>23</v>
  </rv>
  <rv s="10">
    <fb>576.92999999999995</fb>
    <v>23</v>
  </rv>
  <rv s="10">
    <fb>162.93</fb>
    <v>23</v>
  </rv>
  <rv s="10">
    <fb>582.35</fb>
    <v>23</v>
  </rv>
  <rv s="10">
    <fb>248.63</fb>
    <v>23</v>
  </rv>
  <rv s="10">
    <fb>72.62</fb>
    <v>23</v>
  </rv>
  <rv s="10">
    <fb>45583</fb>
    <v>22</v>
  </rv>
  <rv s="10">
    <fb>235</fb>
    <v>23</v>
  </rv>
  <rv s="10">
    <fb>138</fb>
    <v>23</v>
  </rv>
  <rv s="10">
    <fb>418.16</fb>
    <v>23</v>
  </rv>
  <rv s="10">
    <fb>576.47</fb>
    <v>23</v>
  </rv>
  <rv s="10">
    <fb>163.41999999999999</fb>
    <v>23</v>
  </rv>
  <rv s="10">
    <fb>584.59</fb>
    <v>23</v>
  </rv>
  <rv s="10">
    <fb>251.27</fb>
    <v>23</v>
  </rv>
  <rv s="10">
    <fb>71.38</fb>
    <v>23</v>
  </rv>
  <rv s="10">
    <fb>95.94</fb>
    <v>23</v>
  </rv>
  <rv s="10">
    <fb>45586</fb>
    <v>22</v>
  </rv>
  <rv s="10">
    <fb>236.48</fb>
    <v>23</v>
  </rv>
  <rv s="10">
    <fb>143.71</fb>
    <v>23</v>
  </rv>
  <rv s="10">
    <fb>418.78</fb>
    <v>23</v>
  </rv>
  <rv s="10">
    <fb>575.16</fb>
    <v>23</v>
  </rv>
  <rv s="10">
    <fb>164.07</fb>
    <v>23</v>
  </rv>
  <rv s="10">
    <fb>583.63</fb>
    <v>23</v>
  </rv>
  <rv s="10">
    <fb>251.22</fb>
    <v>23</v>
  </rv>
  <rv s="10">
    <fb>72.260000000000005</fb>
    <v>23</v>
  </rv>
  <rv s="10">
    <fb>95.2</fb>
    <v>23</v>
  </rv>
  <rv s="10">
    <fb>45587</fb>
    <v>22</v>
  </rv>
  <rv s="10">
    <fb>235.86</fb>
    <v>23</v>
  </rv>
  <rv s="10">
    <fb>143.59</fb>
    <v>23</v>
  </rv>
  <rv s="10">
    <fb>427.51</fb>
    <v>23</v>
  </rv>
  <rv s="10">
    <fb>582.01</fb>
    <v>23</v>
  </rv>
  <rv s="10">
    <fb>165.14</fb>
    <v>23</v>
  </rv>
  <rv s="10">
    <fb>583.32000000000005</fb>
    <v>23</v>
  </rv>
  <rv s="10">
    <fb>253.93</fb>
    <v>23</v>
  </rv>
  <rv s="10">
    <fb>73.98</fb>
    <v>23</v>
  </rv>
  <rv s="10">
    <fb>95.11</fb>
    <v>23</v>
  </rv>
  <rv s="10">
    <fb>45588</fb>
    <v>22</v>
  </rv>
  <rv s="10">
    <fb>230.76</fb>
    <v>23</v>
  </rv>
  <rv s="10">
    <fb>139.56</fb>
    <v>23</v>
  </rv>
  <rv s="10">
    <fb>424.6</fb>
    <v>23</v>
  </rv>
  <rv s="10">
    <fb>563.69000000000005</fb>
    <v>23</v>
  </rv>
  <rv s="10">
    <fb>162.78</fb>
    <v>23</v>
  </rv>
  <rv s="10">
    <fb>577.99</fb>
    <v>23</v>
  </rv>
  <rv s="10">
    <fb>250.87</fb>
    <v>23</v>
  </rv>
  <rv s="10">
    <fb>73.55</fb>
    <v>23</v>
  </rv>
  <rv s="10">
    <fb>94.89</fb>
    <v>23</v>
  </rv>
  <rv s="10">
    <fb>45589</fb>
    <v>22</v>
  </rv>
  <rv s="10">
    <fb>230.57</fb>
    <v>23</v>
  </rv>
  <rv s="10">
    <fb>140.41</fb>
    <v>23</v>
  </rv>
  <rv s="10">
    <fb>424.73</fb>
    <v>23</v>
  </rv>
  <rv s="10">
    <fb>567.78</fb>
    <v>23</v>
  </rv>
  <rv s="10">
    <fb>162.72</fb>
    <v>23</v>
  </rv>
  <rv s="10">
    <fb>579.24</fb>
    <v>23</v>
  </rv>
  <rv s="10">
    <fb>252.8</fb>
    <v>23</v>
  </rv>
  <rv s="10">
    <fb>73.06</fb>
    <v>23</v>
  </rv>
  <rv s="10">
    <fb>95.1</fb>
    <v>23</v>
  </rv>
  <rv s="10">
    <fb>45590</fb>
    <v>22</v>
  </rv>
  <rv s="10">
    <fb>231.41</fb>
    <v>23</v>
  </rv>
  <rv s="10">
    <fb>141.54</fb>
    <v>23</v>
  </rv>
  <rv s="10">
    <fb>428.15</fb>
    <v>23</v>
  </rv>
  <rv s="10">
    <fb>573.25</fb>
    <v>23</v>
  </rv>
  <rv s="10">
    <fb>165.27</fb>
    <v>23</v>
  </rv>
  <rv s="10">
    <fb>579.04</fb>
    <v>23</v>
  </rv>
  <rv s="10">
    <fb>253.32</fb>
    <v>23</v>
  </rv>
  <rv s="10">
    <fb>74.23</fb>
    <v>23</v>
  </rv>
  <rv s="10">
    <fb>45593</fb>
    <v>22</v>
  </rv>
  <rv s="10">
    <fb>233.4</fb>
    <v>23</v>
  </rv>
  <rv s="10">
    <fb>140.52000000000001</fb>
    <v>23</v>
  </rv>
  <rv s="10">
    <fb>426.59</fb>
    <v>23</v>
  </rv>
  <rv s="10">
    <fb>578.16</fb>
    <v>23</v>
  </rv>
  <rv s="10">
    <fb>166.72</fb>
    <v>23</v>
  </rv>
  <rv s="10">
    <fb>580.83000000000004</fb>
    <v>23</v>
  </rv>
  <rv s="10">
    <fb>253.33</fb>
    <v>23</v>
  </rv>
  <rv s="10">
    <fb>70.430000000000007</fb>
    <v>23</v>
  </rv>
  <rv s="10">
    <fb>94.67</fb>
    <v>23</v>
  </rv>
  <rv s="10">
    <fb>45594</fb>
    <v>22</v>
  </rv>
  <rv s="10">
    <fb>233.67</fb>
    <v>23</v>
  </rv>
  <rv s="10">
    <fb>141.25</fb>
    <v>23</v>
  </rv>
  <rv s="10">
    <fb>431.95</fb>
    <v>23</v>
  </rv>
  <rv s="10">
    <fb>593.28</fb>
    <v>23</v>
  </rv>
  <rv s="10">
    <fb>169.68</fb>
    <v>23</v>
  </rv>
  <rv s="10">
    <fb>581.77</fb>
    <v>23</v>
  </rv>
  <rv s="10">
    <fb>256.08999999999997</fb>
    <v>23</v>
  </rv>
  <rv s="10">
    <fb>69.66</fb>
    <v>23</v>
  </rv>
  <rv s="10">
    <fb>94.71</fb>
    <v>23</v>
  </rv>
  <rv s="10">
    <fb>45595</fb>
    <v>22</v>
  </rv>
  <rv s="10">
    <fb>230.1</fb>
    <v>23</v>
  </rv>
  <rv s="10">
    <fb>139.33500000000001</fb>
    <v>23</v>
  </rv>
  <rv s="10">
    <fb>432.53</fb>
    <v>23</v>
  </rv>
  <rv s="10">
    <fb>591.79999999999995</fb>
    <v>23</v>
  </rv>
  <rv s="10">
    <fb>174.46</fb>
    <v>23</v>
  </rv>
  <rv s="10">
    <fb>580.01</fb>
    <v>23</v>
  </rv>
  <rv s="10">
    <fb>257.5</fb>
    <v>23</v>
  </rv>
  <rv s="10">
    <fb>71.36</fb>
    <v>23</v>
  </rv>
  <rv s="10">
    <fb>94.57</fb>
    <v>23</v>
  </rv>
  <rv s="10">
    <fb>45596</fb>
    <v>22</v>
  </rv>
  <rv s="10">
    <fb>225.91</fb>
    <v>23</v>
  </rv>
  <rv s="10">
    <fb>132.76</fb>
    <v>23</v>
  </rv>
  <rv s="10">
    <fb>406.35</fb>
    <v>23</v>
  </rv>
  <rv s="10">
    <fb>567.58000000000004</fb>
    <v>23</v>
  </rv>
  <rv s="10">
    <fb>171.11</fb>
    <v>23</v>
  </rv>
  <rv s="10">
    <fb>568.64</fb>
    <v>23</v>
  </rv>
  <rv s="10">
    <fb>253.51</fb>
    <v>23</v>
  </rv>
  <rv s="10">
    <fb>73.08</fb>
    <v>23</v>
  </rv>
  <rv s="10">
    <fb>94.52</fb>
    <v>23</v>
  </rv>
  <rv s="10">
    <fb>45597</fb>
    <v>22</v>
  </rv>
  <rv s="10">
    <fb>222.91</fb>
    <v>23</v>
  </rv>
  <rv s="10">
    <fb>135.4</fb>
    <v>23</v>
  </rv>
  <rv s="10">
    <fb>410.37</fb>
    <v>23</v>
  </rv>
  <rv s="10">
    <fb>567.16</fb>
    <v>23</v>
  </rv>
  <rv s="10">
    <fb>171.29</fb>
    <v>23</v>
  </rv>
  <rv s="10">
    <fb>571.04</fb>
    <v>23</v>
  </rv>
  <rv s="10">
    <fb>252.47</fb>
    <v>23</v>
  </rv>
  <rv s="10">
    <fb>72.02</fb>
    <v>23</v>
  </rv>
  <rv s="10">
    <fb>93.67</fb>
    <v>23</v>
  </rv>
  <rv s="10">
    <fb>45600</fb>
    <v>22</v>
  </rv>
  <rv s="10">
    <fb>222.01</fb>
    <v>23</v>
  </rv>
  <rv s="10">
    <fb>136.05000000000001</fb>
    <v>23</v>
  </rv>
  <rv s="10">
    <fb>408.46</fb>
    <v>23</v>
  </rv>
  <rv s="10">
    <fb>560.67999999999995</fb>
    <v>23</v>
  </rv>
  <rv s="10">
    <fb>169.24</fb>
    <v>23</v>
  </rv>
  <rv s="10">
    <fb>569.80999999999995</fb>
    <v>23</v>
  </rv>
  <rv s="10">
    <fb>252.83</fb>
    <v>23</v>
  </rv>
  <rv s="10">
    <fb>74.290000000000006</fb>
    <v>23</v>
  </rv>
  <rv s="10">
    <fb>94.17</fb>
    <v>23</v>
  </rv>
  <rv s="10">
    <fb>45601</fb>
    <v>22</v>
  </rv>
  <rv s="10">
    <fb>223.45</fb>
    <v>23</v>
  </rv>
  <rv s="10">
    <fb>139.91</fb>
    <v>23</v>
  </rv>
  <rv s="10">
    <fb>411.46</fb>
    <v>23</v>
  </rv>
  <rv s="10">
    <fb>572.42999999999995</fb>
    <v>23</v>
  </rv>
  <rv s="10">
    <fb>169.74</fb>
    <v>23</v>
  </rv>
  <rv s="10">
    <fb>576.70000000000005</fb>
    <v>23</v>
  </rv>
  <rv s="10">
    <fb>253.4</fb>
    <v>23</v>
  </rv>
  <rv s="10">
    <fb>74.73</fb>
    <v>23</v>
  </rv>
  <rv s="10">
    <fb>94.22</fb>
    <v>23</v>
  </rv>
  <rv s="10">
    <fb>45602</fb>
    <v>22</v>
  </rv>
  <rv s="10">
    <fb>222.72</fb>
    <v>23</v>
  </rv>
  <rv s="10">
    <fb>145.61000000000001</fb>
    <v>23</v>
  </rv>
  <rv s="10">
    <fb>420.18</fb>
    <v>23</v>
  </rv>
  <rv s="10">
    <fb>572.04999999999995</fb>
    <v>23</v>
  </rv>
  <rv s="10">
    <fb>176.51</fb>
    <v>23</v>
  </rv>
  <rv s="10">
    <fb>591.04</fb>
    <v>23</v>
  </rv>
  <rv s="10">
    <fb>245.7</fb>
    <v>23</v>
  </rv>
  <rv s="10">
    <fb>74.540000000000006</fb>
    <v>23</v>
  </rv>
  <rv s="10">
    <fb>93.25</fb>
    <v>23</v>
  </rv>
  <rv s="10">
    <fb>45603</fb>
    <v>22</v>
  </rv>
  <rv s="10">
    <fb>227.48</fb>
    <v>23</v>
  </rv>
  <rv s="10">
    <fb>148.88</fb>
    <v>23</v>
  </rv>
  <rv s="10">
    <fb>425.43</fb>
    <v>23</v>
  </rv>
  <rv s="10">
    <fb>591.70000000000005</fb>
    <v>23</v>
  </rv>
  <rv s="10">
    <fb>180.75</fb>
    <v>23</v>
  </rv>
  <rv s="10">
    <fb>595.61</fb>
    <v>23</v>
  </rv>
  <rv s="10">
    <fb>249.65</fb>
    <v>23</v>
  </rv>
  <rv s="10">
    <fb>74.66</fb>
    <v>23</v>
  </rv>
  <rv s="10">
    <fb>94</fb>
    <v>23</v>
  </rv>
  <rv s="10">
    <fb>45604</fb>
    <v>22</v>
  </rv>
  <rv s="10">
    <fb>226.96</fb>
    <v>23</v>
  </rv>
  <rv s="10">
    <fb>147.63</fb>
    <v>23</v>
  </rv>
  <rv s="10">
    <fb>422.54</fb>
    <v>23</v>
  </rv>
  <rv s="10">
    <fb>589.34</fb>
    <v>23</v>
  </rv>
  <rv s="10">
    <fb>178.35</fb>
    <v>23</v>
  </rv>
  <rv s="10">
    <fb>598.19000000000005</fb>
    <v>23</v>
  </rv>
  <rv s="10">
    <fb>247.96</fb>
    <v>23</v>
  </rv>
  <rv s="10">
    <fb>73.13</fb>
    <v>23</v>
  </rv>
  <rv s="10">
    <fb>94.2</fb>
    <v>23</v>
  </rv>
  <rv s="10">
    <fb>45607</fb>
    <v>22</v>
  </rv>
  <rv s="10">
    <fb>224.23</fb>
    <v>23</v>
  </rv>
  <rv s="10">
    <fb>145.26</fb>
    <v>23</v>
  </rv>
  <rv s="10">
    <fb>418.01</fb>
    <v>23</v>
  </rv>
  <rv s="10">
    <fb>583.16999999999996</fb>
    <v>23</v>
  </rv>
  <rv s="10">
    <fb>180.35</fb>
    <v>23</v>
  </rv>
  <rv s="10">
    <fb>598.76</fb>
    <v>23</v>
  </rv>
  <rv s="10">
    <fb>242.14</fb>
    <v>23</v>
  </rv>
  <rv s="10">
    <fb>70.94</fb>
    <v>23</v>
  </rv>
  <rv s="10">
    <fb>93.94</fb>
    <v>23</v>
  </rv>
  <rv s="10">
    <fb>45608</fb>
    <v>22</v>
  </rv>
  <rv s="10">
    <fb>148.29</fb>
    <v>23</v>
  </rv>
  <rv s="10">
    <fb>423.03</fb>
    <v>23</v>
  </rv>
  <rv s="10">
    <fb>584.82000000000005</fb>
    <v>23</v>
  </rv>
  <rv s="10">
    <fb>181.62</fb>
    <v>23</v>
  </rv>
  <rv s="10">
    <fb>596.9</fb>
    <v>23</v>
  </rv>
  <rv s="10">
    <fb>240.05</fb>
    <v>23</v>
  </rv>
  <rv s="10">
    <fb>70.69</fb>
    <v>23</v>
  </rv>
  <rv s="10">
    <fb>93.35</fb>
    <v>23</v>
  </rv>
  <rv s="10">
    <fb>45609</fb>
    <v>22</v>
  </rv>
  <rv s="10">
    <fb>225.12</fb>
    <v>23</v>
  </rv>
  <rv s="10">
    <fb>146.27000000000001</fb>
    <v>23</v>
  </rv>
  <rv s="10">
    <fb>425.2</fb>
    <v>23</v>
  </rv>
  <rv s="10">
    <fb>580</fb>
    <v>23</v>
  </rv>
  <rv s="10">
    <fb>178.88</fb>
    <v>23</v>
  </rv>
  <rv s="10">
    <fb>597.19000000000005</fb>
    <v>23</v>
  </rv>
  <rv s="10">
    <fb>237.63</fb>
    <v>23</v>
  </rv>
  <rv s="10">
    <fb>70.73</fb>
    <v>23</v>
  </rv>
  <rv s="10">
    <fb>93.29</fb>
    <v>23</v>
  </rv>
  <rv s="10">
    <fb>45610</fb>
    <v>22</v>
  </rv>
  <rv s="10">
    <fb>228.22</fb>
    <v>23</v>
  </rv>
  <rv s="10">
    <fb>146.76</fb>
    <v>23</v>
  </rv>
  <rv s="10">
    <fb>426.89</fb>
    <v>23</v>
  </rv>
  <rv s="10">
    <fb>577.16</fb>
    <v>23</v>
  </rv>
  <rv s="10">
    <fb>175.58</fb>
    <v>23</v>
  </rv>
  <rv s="10">
    <fb>593.35</fb>
    <v>23</v>
  </rv>
  <rv s="10">
    <fb>237.01</fb>
    <v>23</v>
  </rv>
  <rv s="10">
    <fb>71.290000000000006</fb>
    <v>23</v>
  </rv>
  <rv s="10">
    <fb>93.28</fb>
    <v>23</v>
  </rv>
  <rv s="10">
    <fb>45611</fb>
    <v>22</v>
  </rv>
  <rv s="10">
    <fb>225</fb>
    <v>23</v>
  </rv>
  <rv s="10">
    <fb>141.97999999999999</fb>
    <v>23</v>
  </rv>
  <rv s="10">
    <fb>415</fb>
    <v>23</v>
  </rv>
  <rv s="10">
    <fb>554.08000000000004</fb>
    <v>23</v>
  </rv>
  <rv s="10">
    <fb>172.49</fb>
    <v>23</v>
  </rv>
  <rv s="10">
    <fb>585.75</fb>
    <v>23</v>
  </rv>
  <rv s="10">
    <fb>236.59</fb>
    <v>23</v>
  </rv>
  <rv s="10">
    <fb>69.75</fb>
    <v>23</v>
  </rv>
  <rv s="10">
    <fb>93.32</fb>
    <v>23</v>
  </rv>
  <rv s="10">
    <fb>45614</fb>
    <v>22</v>
  </rv>
  <rv s="10">
    <fb>228.02</fb>
    <v>23</v>
  </rv>
  <rv s="10">
    <fb>140.15</fb>
    <v>23</v>
  </rv>
  <rv s="10">
    <fb>415.76</fb>
    <v>23</v>
  </rv>
  <rv s="10">
    <fb>554.4</fb>
    <v>23</v>
  </rv>
  <rv s="10">
    <fb>175.3</fb>
    <v>23</v>
  </rv>
  <rv s="10">
    <fb>588.15</fb>
    <v>23</v>
  </rv>
  <rv s="10">
    <fb>241.09</fb>
    <v>23</v>
  </rv>
  <rv s="10">
    <fb>72.069999999999993</fb>
    <v>23</v>
  </rv>
  <rv s="10">
    <fb>93.53</fb>
    <v>23</v>
  </rv>
  <rv s="10">
    <fb>45615</fb>
    <v>22</v>
  </rv>
  <rv s="10">
    <fb>228.28</fb>
    <v>23</v>
  </rv>
  <rv s="10">
    <fb>147.01</fb>
    <v>23</v>
  </rv>
  <rv s="10">
    <fb>417.79</fb>
    <v>23</v>
  </rv>
  <rv s="10">
    <fb>561.09</fb>
    <v>23</v>
  </rv>
  <rv s="10">
    <fb>178.12</fb>
    <v>23</v>
  </rv>
  <rv s="10">
    <fb>590.29999999999995</fb>
    <v>23</v>
  </rv>
  <rv s="10">
    <fb>243.25</fb>
    <v>23</v>
  </rv>
  <rv s="10">
    <fb>72.31</fb>
    <v>23</v>
  </rv>
  <rv s="10">
    <fb>93.73</fb>
    <v>23</v>
  </rv>
  <rv s="10">
    <fb>45616</fb>
    <v>22</v>
  </rv>
  <rv s="10">
    <fb>229</fb>
    <v>23</v>
  </rv>
  <rv s="10">
    <fb>145.88999999999999</fb>
    <v>23</v>
  </rv>
  <rv s="10">
    <fb>415.49</fb>
    <v>23</v>
  </rv>
  <rv s="10">
    <fb>565.52</fb>
    <v>23</v>
  </rv>
  <rv s="10">
    <fb>175.98</fb>
    <v>23</v>
  </rv>
  <rv s="10">
    <fb>590.5</fb>
    <v>23</v>
  </rv>
  <rv s="10">
    <fb>244.62</fb>
    <v>23</v>
  </rv>
  <rv s="10">
    <fb>93.59</fb>
    <v>23</v>
  </rv>
  <rv s="10">
    <fb>45617</fb>
    <v>22</v>
  </rv>
  <rv s="10">
    <fb>228.52</fb>
    <v>23</v>
  </rv>
  <rv s="10">
    <fb>146.66999999999999</fb>
    <v>23</v>
  </rv>
  <rv s="10">
    <fb>412.87</fb>
    <v>23</v>
  </rv>
  <rv s="10">
    <fb>563.09</fb>
    <v>23</v>
  </rv>
  <rv s="10">
    <fb>167.63</fb>
    <v>23</v>
  </rv>
  <rv s="10">
    <fb>593.66999999999996</fb>
    <v>23</v>
  </rv>
  <rv s="10">
    <fb>246.66</fb>
    <v>23</v>
  </rv>
  <rv s="10">
    <fb>73.2</fb>
    <v>23</v>
  </rv>
  <rv s="10">
    <fb>93.54</fb>
    <v>23</v>
  </rv>
  <rv s="10">
    <fb>45618</fb>
    <v>22</v>
  </rv>
  <rv s="10">
    <fb>229.87</fb>
    <v>23</v>
  </rv>
  <rv s="10">
    <fb>141.94999999999999</fb>
    <v>23</v>
  </rv>
  <rv s="10">
    <fb>417</fb>
    <v>23</v>
  </rv>
  <rv s="10">
    <fb>559.14</fb>
    <v>23</v>
  </rv>
  <rv s="10">
    <fb>164.76</fb>
    <v>23</v>
  </rv>
  <rv s="10">
    <fb>595.51</fb>
    <v>23</v>
  </rv>
  <rv s="10">
    <fb>249.84</fb>
    <v>23</v>
  </rv>
  <rv s="10">
    <fb>74.25</fb>
    <v>23</v>
  </rv>
  <rv s="10">
    <fb>93.6</fb>
    <v>23</v>
  </rv>
  <rv s="10">
    <fb>45621</fb>
    <v>22</v>
  </rv>
  <rv s="10">
    <fb>232.87</fb>
    <v>23</v>
  </rv>
  <rv s="10">
    <fb>136.02000000000001</fb>
    <v>23</v>
  </rv>
  <rv s="10">
    <fb>418.79</fb>
    <v>23</v>
  </rv>
  <rv s="10">
    <fb>565.11</fb>
    <v>23</v>
  </rv>
  <rv s="10">
    <fb>167.65</fb>
    <v>23</v>
  </rv>
  <rv s="10">
    <fb>597.53</fb>
    <v>23</v>
  </rv>
  <rv s="10">
    <fb>242.48</fb>
    <v>23</v>
  </rv>
  <rv s="10">
    <fb>72.099999999999994</fb>
    <v>23</v>
  </rv>
  <rv s="10">
    <fb>94.61</fb>
    <v>23</v>
  </rv>
  <rv s="10">
    <fb>45622</fb>
    <v>22</v>
  </rv>
  <rv s="10">
    <fb>235.06</fb>
    <v>23</v>
  </rv>
  <rv s="10">
    <fb>136.91999999999999</fb>
    <v>23</v>
  </rv>
  <rv s="10">
    <fb>427.99</fb>
    <v>23</v>
  </rv>
  <rv s="10">
    <fb>573.54</fb>
    <v>23</v>
  </rv>
  <rv s="10">
    <fb>169.12</fb>
    <v>23</v>
  </rv>
  <rv s="10">
    <fb>600.65</fb>
    <v>23</v>
  </rv>
  <rv s="10">
    <fb>242.95</fb>
    <v>23</v>
  </rv>
  <rv s="10">
    <fb>71.61</fb>
    <v>23</v>
  </rv>
  <rv s="10">
    <fb>94.41</fb>
    <v>23</v>
  </rv>
  <rv s="10">
    <fb>45623</fb>
    <v>22</v>
  </rv>
  <rv s="10">
    <fb>234.93</fb>
    <v>23</v>
  </rv>
  <rv s="10">
    <fb>135.34</fb>
    <v>23</v>
  </rv>
  <rv s="10">
    <fb>422.99</fb>
    <v>23</v>
  </rv>
  <rv s="10">
    <fb>569.20000000000005</fb>
    <v>23</v>
  </rv>
  <rv s="10">
    <fb>169.23</fb>
    <v>23</v>
  </rv>
  <rv s="10">
    <fb>598.83000000000004</fb>
    <v>23</v>
  </rv>
  <rv s="10">
    <fb>243.49</fb>
    <v>23</v>
  </rv>
  <rv s="10">
    <fb>71.72</fb>
    <v>23</v>
  </rv>
  <rv s="10">
    <fb>94.79</fb>
    <v>23</v>
  </rv>
  <rv s="10">
    <fb>45625</fb>
    <v>22</v>
  </rv>
  <rv s="10">
    <fb>237.33</fb>
    <v>23</v>
  </rv>
  <rv s="10">
    <fb>138.25</fb>
    <v>23</v>
  </rv>
  <rv s="10">
    <fb>423.46</fb>
    <v>23</v>
  </rv>
  <rv s="10">
    <fb>574.32000000000005</fb>
    <v>23</v>
  </rv>
  <rv s="10">
    <fb>168.95</fb>
    <v>23</v>
  </rv>
  <rv s="10">
    <fb>602.54999999999995</fb>
    <v>23</v>
  </rv>
  <rv s="10">
    <fb>245.59</fb>
    <v>23</v>
  </rv>
  <rv s="10">
    <fb>95.19</fb>
    <v>23</v>
  </rv>
  <rv s="10">
    <fb>45628</fb>
    <v>22</v>
  </rv>
  <rv s="10">
    <fb>239.59</fb>
    <v>23</v>
  </rv>
  <rv s="10">
    <fb>138.63</fb>
    <v>23</v>
  </rv>
  <rv s="10">
    <fb>430.98</fb>
    <v>23</v>
  </rv>
  <rv s="10">
    <fb>592.83000000000004</fb>
    <v>23</v>
  </rv>
  <rv s="10">
    <fb>171.49</fb>
    <v>23</v>
  </rv>
  <rv s="10">
    <fb>603.63</fb>
    <v>23</v>
  </rv>
  <rv s="10">
    <fb>243.44</fb>
    <v>23</v>
  </rv>
  <rv s="10">
    <fb>71.040000000000006</fb>
    <v>23</v>
  </rv>
  <rv s="10">
    <fb>45629</fb>
    <v>22</v>
  </rv>
  <rv s="10">
    <fb>242.65</fb>
    <v>23</v>
  </rv>
  <rv s="10">
    <fb>140.26</fb>
    <v>23</v>
  </rv>
  <rv s="10">
    <fb>431.2</fb>
    <v>23</v>
  </rv>
  <rv s="10">
    <fb>613.65</fb>
    <v>23</v>
  </rv>
  <rv s="10">
    <fb>171.34</fb>
    <v>23</v>
  </rv>
  <rv s="10">
    <fb>603.91</fb>
    <v>23</v>
  </rv>
  <rv s="10">
    <fb>243.93</fb>
    <v>23</v>
  </rv>
  <rv s="10">
    <fb>73.040000000000006</fb>
    <v>23</v>
  </rv>
  <rv s="10">
    <fb>94.62</fb>
    <v>23</v>
  </rv>
  <rv s="10">
    <fb>45630</fb>
    <v>22</v>
  </rv>
  <rv s="10">
    <fb>243.01</fb>
    <v>23</v>
  </rv>
  <rv s="10">
    <fb>145.13999999999999</fb>
    <v>23</v>
  </rv>
  <rv s="10">
    <fb>437.42</fb>
    <v>23</v>
  </rv>
  <rv s="10">
    <fb>613.78</fb>
    <v>23</v>
  </rv>
  <rv s="10">
    <fb>174.37</fb>
    <v>23</v>
  </rv>
  <rv s="10">
    <fb>607.66</fb>
    <v>23</v>
  </rv>
  <rv s="10">
    <fb>244.67</fb>
    <v>23</v>
  </rv>
  <rv s="10">
    <fb>71.88</fb>
    <v>23</v>
  </rv>
  <rv s="10">
    <fb>94.98</fb>
    <v>23</v>
  </rv>
  <rv s="10">
    <fb>45631</fb>
    <v>22</v>
  </rv>
  <rv s="10">
    <fb>243.04</fb>
    <v>23</v>
  </rv>
  <rv s="10">
    <fb>145.06</fb>
    <v>23</v>
  </rv>
  <rv s="10">
    <fb>442.62</fb>
    <v>23</v>
  </rv>
  <rv s="10">
    <fb>608.92999999999995</fb>
    <v>23</v>
  </rv>
  <rv s="10">
    <fb>172.64</fb>
    <v>23</v>
  </rv>
  <rv s="10">
    <fb>606.66</fb>
    <v>23</v>
  </rv>
  <rv s="10">
    <fb>242.86</fb>
    <v>23</v>
  </rv>
  <rv s="10">
    <fb>71.47</fb>
    <v>23</v>
  </rv>
  <rv s="10">
    <fb>94.97</fb>
    <v>23</v>
  </rv>
  <rv s="10">
    <fb>45632</fb>
    <v>22</v>
  </rv>
  <rv s="10">
    <fb>242.84</fb>
    <v>23</v>
  </rv>
  <rv s="10">
    <fb>142.44</fb>
    <v>23</v>
  </rv>
  <rv s="10">
    <fb>443.57</fb>
    <v>23</v>
  </rv>
  <rv s="10">
    <fb>623.77</fb>
    <v>23</v>
  </rv>
  <rv s="10">
    <fb>174.71</fb>
    <v>23</v>
  </rv>
  <rv s="10">
    <fb>607.80999999999995</fb>
    <v>23</v>
  </rv>
  <rv s="10">
    <fb>70.239999999999995</fb>
    <v>23</v>
  </rv>
  <rv s="10">
    <fb>95.27</fb>
    <v>23</v>
  </rv>
  <rv s="10">
    <fb>45635</fb>
    <v>22</v>
  </rv>
  <rv s="10">
    <fb>246.75</fb>
    <v>23</v>
  </rv>
  <rv s="10">
    <fb>138.81</fb>
    <v>23</v>
  </rv>
  <rv s="10">
    <fb>446.02</fb>
    <v>23</v>
  </rv>
  <rv s="10">
    <fb>613.57000000000005</fb>
    <v>23</v>
  </rv>
  <rv s="10">
    <fb>175.37</fb>
    <v>23</v>
  </rv>
  <rv s="10">
    <fb>604.67999999999995</fb>
    <v>23</v>
  </rv>
  <rv s="10">
    <fb>245.36</fb>
    <v>23</v>
  </rv>
  <rv s="10">
    <fb>71.17</fb>
    <v>23</v>
  </rv>
  <rv s="10">
    <fb>94.94</fb>
    <v>23</v>
  </rv>
  <rv s="10">
    <fb>45636</fb>
    <v>22</v>
  </rv>
  <rv s="10">
    <fb>247.77</fb>
    <v>23</v>
  </rv>
  <rv s="10">
    <fb>135.07</fb>
    <v>23</v>
  </rv>
  <rv s="10">
    <fb>443.33</fb>
    <v>23</v>
  </rv>
  <rv s="10">
    <fb>619.32000000000005</fb>
    <v>23</v>
  </rv>
  <rv s="10">
    <fb>185.17</fb>
    <v>23</v>
  </rv>
  <rv s="10">
    <fb>602.79999999999995</fb>
    <v>23</v>
  </rv>
  <rv s="10">
    <fb>248.59</fb>
    <v>23</v>
  </rv>
  <rv s="10">
    <fb>71.400000000000006</fb>
    <v>23</v>
  </rv>
  <rv s="10">
    <fb>94.77</fb>
    <v>23</v>
  </rv>
  <rv s="10">
    <fb>45637</fb>
    <v>22</v>
  </rv>
  <rv s="10">
    <fb>246.49</fb>
    <v>23</v>
  </rv>
  <rv s="10">
    <fb>139.31</fb>
    <v>23</v>
  </rv>
  <rv s="10">
    <fb>448.99</fb>
    <v>23</v>
  </rv>
  <rv s="10">
    <fb>632.67999999999995</fb>
    <v>23</v>
  </rv>
  <rv s="10">
    <fb>195.4</fb>
    <v>23</v>
  </rv>
  <rv s="10">
    <fb>607.46</fb>
    <v>23</v>
  </rv>
  <rv s="10">
    <fb>250.96</fb>
    <v>23</v>
  </rv>
  <rv s="10">
    <fb>73.33</fb>
    <v>23</v>
  </rv>
  <rv s="10">
    <fb>94.49</fb>
    <v>23</v>
  </rv>
  <rv s="10">
    <fb>45638</fb>
    <v>22</v>
  </rv>
  <rv s="10">
    <fb>137.34</fb>
    <v>23</v>
  </rv>
  <rv s="10">
    <fb>449.56</fb>
    <v>23</v>
  </rv>
  <rv s="10">
    <fb>630.79</fb>
    <v>23</v>
  </rv>
  <rv s="10">
    <fb>191.96</fb>
    <v>23</v>
  </rv>
  <rv s="10">
    <fb>604.33000000000004</fb>
    <v>23</v>
  </rv>
  <rv s="10">
    <fb>247.28</fb>
    <v>23</v>
  </rv>
  <rv s="10">
    <fb>73.209999999999994</fb>
    <v>23</v>
  </rv>
  <rv s="10">
    <fb>94.13</fb>
    <v>23</v>
  </rv>
  <rv s="10">
    <fb>45639</fb>
    <v>22</v>
  </rv>
  <rv s="10">
    <fb>248.13</fb>
    <v>23</v>
  </rv>
  <rv s="10">
    <fb>134.25</fb>
    <v>23</v>
  </rv>
  <rv s="10">
    <fb>447.27</fb>
    <v>23</v>
  </rv>
  <rv s="10">
    <fb>620.35</fb>
    <v>23</v>
  </rv>
  <rv s="10">
    <fb>189.82</fb>
    <v>23</v>
  </rv>
  <rv s="10">
    <fb>604.21</fb>
    <v>23</v>
  </rv>
  <rv s="10">
    <fb>244.29</fb>
    <v>23</v>
  </rv>
  <rv s="10">
    <fb>74.209999999999994</fb>
    <v>23</v>
  </rv>
  <rv s="10">
    <fb>93.69</fb>
    <v>23</v>
  </rv>
  <rv s="10">
    <fb>45642</fb>
    <v>22</v>
  </rv>
  <rv s="10">
    <fb>251.04</fb>
    <v>23</v>
  </rv>
  <rv s="10">
    <fb>132</fb>
    <v>23</v>
  </rv>
  <rv s="10">
    <fb>451.59</fb>
    <v>23</v>
  </rv>
  <rv s="10">
    <fb>624.24</fb>
    <v>23</v>
  </rv>
  <rv s="10">
    <fb>196.66</fb>
    <v>23</v>
  </rv>
  <rv s="10">
    <fb>606.79</fb>
    <v>23</v>
  </rv>
  <rv s="10">
    <fb>244.88</fb>
    <v>23</v>
  </rv>
  <rv s="10">
    <fb>73.7</fb>
    <v>23</v>
  </rv>
  <rv s="10">
    <fb>93.72</fb>
    <v>23</v>
  </rv>
  <rv s="10">
    <fb>45643</fb>
    <v>22</v>
  </rv>
  <rv s="10">
    <fb>253.48</fb>
    <v>23</v>
  </rv>
  <rv s="10">
    <fb>130.38999999999999</fb>
    <v>23</v>
  </rv>
  <rv s="10">
    <fb>454.46</fb>
    <v>23</v>
  </rv>
  <rv s="10">
    <fb>619.44000000000005</fb>
    <v>23</v>
  </rv>
  <rv s="10">
    <fb>195.42</fb>
    <v>23</v>
  </rv>
  <rv s="10">
    <fb>604.29</fb>
    <v>23</v>
  </rv>
  <rv s="10">
    <fb>243.94</fb>
    <v>23</v>
  </rv>
  <rv s="10">
    <fb>73.3</fb>
    <v>23</v>
  </rv>
  <rv s="10">
    <fb>45644</fb>
    <v>22</v>
  </rv>
  <rv s="10">
    <fb>248.05</fb>
    <v>23</v>
  </rv>
  <rv s="10">
    <fb>128.91</fb>
    <v>23</v>
  </rv>
  <rv s="10">
    <fb>437.39</fb>
    <v>23</v>
  </rv>
  <rv s="10">
    <fb>188.4</fb>
    <v>23</v>
  </rv>
  <rv s="10">
    <fb>586.28</fb>
    <v>23</v>
  </rv>
  <rv s="10">
    <fb>239.26</fb>
    <v>23</v>
  </rv>
  <rv s="10">
    <fb>72.94</fb>
    <v>23</v>
  </rv>
  <rv s="10">
    <fb>92.69</fb>
    <v>23</v>
  </rv>
  <rv s="10">
    <fb>45645</fb>
    <v>22</v>
  </rv>
  <rv s="10">
    <fb>249.79</fb>
    <v>23</v>
  </rv>
  <rv s="10">
    <fb>130.68</fb>
    <v>23</v>
  </rv>
  <rv s="10">
    <fb>437.03</fb>
    <v>23</v>
  </rv>
  <rv s="10">
    <fb>595.57000000000005</fb>
    <v>23</v>
  </rv>
  <rv s="10">
    <fb>188.51</fb>
    <v>23</v>
  </rv>
  <rv s="10">
    <fb>586.1</fb>
    <v>23</v>
  </rv>
  <rv s="10">
    <fb>239.6</fb>
    <v>23</v>
  </rv>
  <rv s="10">
    <fb>72.61</fb>
    <v>23</v>
  </rv>
  <rv s="10">
    <fb>92.27</fb>
    <v>23</v>
  </rv>
  <rv s="10">
    <fb>45646</fb>
    <v>22</v>
  </rv>
  <rv s="10">
    <fb>254.49</fb>
    <v>23</v>
  </rv>
  <rv s="10">
    <fb>134.69999999999999</fb>
    <v>23</v>
  </rv>
  <rv s="10">
    <fb>436.6</fb>
    <v>23</v>
  </rv>
  <rv s="10">
    <fb>585.25</fb>
    <v>23</v>
  </rv>
  <rv s="10">
    <fb>191.41</fb>
    <v>23</v>
  </rv>
  <rv s="10">
    <fb>591.15</fb>
    <v>23</v>
  </rv>
  <rv s="10">
    <fb>242.1</fb>
    <v>23</v>
  </rv>
  <rv s="10">
    <fb>73.099999999999994</fb>
    <v>23</v>
  </rv>
  <rv s="10">
    <fb>92.61</fb>
    <v>23</v>
  </rv>
  <rv s="10">
    <fb>45649</fb>
    <v>22</v>
  </rv>
  <rv s="10">
    <fb>255.27</fb>
    <v>23</v>
  </rv>
  <rv s="10">
    <fb>139.66999999999999</fb>
    <v>23</v>
  </rv>
  <rv s="10">
    <fb>435.25</fb>
    <v>23</v>
  </rv>
  <rv s="10">
    <fb>599.85</fb>
    <v>23</v>
  </rv>
  <rv s="10">
    <fb>194.63</fb>
    <v>23</v>
  </rv>
  <rv s="10">
    <fb>594.69000000000005</fb>
    <v>23</v>
  </rv>
  <rv s="10">
    <fb>240.96</fb>
    <v>23</v>
  </rv>
  <rv s="10">
    <fb>92.2</fb>
    <v>23</v>
  </rv>
  <rv s="10">
    <fb>45650</fb>
    <v>22</v>
  </rv>
  <rv s="10">
    <fb>258.2</fb>
    <v>23</v>
  </rv>
  <rv s="10">
    <fb>140.22</fb>
    <v>23</v>
  </rv>
  <rv s="10">
    <fb>439.33</fb>
    <v>23</v>
  </rv>
  <rv s="10">
    <fb>607.75</fb>
    <v>23</v>
  </rv>
  <rv s="10">
    <fb>196.11</fb>
    <v>23</v>
  </rv>
  <rv s="10">
    <fb>601.29999999999995</fb>
    <v>23</v>
  </rv>
  <rv s="10">
    <fb>241.44</fb>
    <v>23</v>
  </rv>
  <rv s="10">
    <fb>73.650000000000006</fb>
    <v>23</v>
  </rv>
  <rv s="10">
    <fb>92.25</fb>
    <v>23</v>
  </rv>
  <rv s="10">
    <fb>45652</fb>
    <v>22</v>
  </rv>
  <rv s="10">
    <fb>259.02</fb>
    <v>23</v>
  </rv>
  <rv s="10">
    <fb>139.93</fb>
    <v>23</v>
  </rv>
  <rv s="10">
    <fb>438.11</fb>
    <v>23</v>
  </rv>
  <rv s="10">
    <fb>603.35</fb>
    <v>23</v>
  </rv>
  <rv s="10">
    <fb>195.6</fb>
    <v>23</v>
  </rv>
  <rv s="10">
    <fb>601.34</fb>
    <v>23</v>
  </rv>
  <rv s="10">
    <fb>243.07</fb>
    <v>23</v>
  </rv>
  <rv s="10">
    <fb>92.32</fb>
    <v>23</v>
  </rv>
  <rv s="10">
    <fb>45653</fb>
    <v>22</v>
  </rv>
  <rv s="10">
    <fb>255.59</fb>
    <v>23</v>
  </rv>
  <rv s="10">
    <fb>137.01</fb>
    <v>23</v>
  </rv>
  <rv s="10">
    <fb>430.53</fb>
    <v>23</v>
  </rv>
  <rv s="10">
    <fb>599.80999999999995</fb>
    <v>23</v>
  </rv>
  <rv s="10">
    <fb>192.76</fb>
    <v>23</v>
  </rv>
  <rv s="10">
    <fb>595.01</fb>
    <v>23</v>
  </rv>
  <rv s="10">
    <fb>241.4</fb>
    <v>23</v>
  </rv>
  <rv s="10">
    <fb>73.849999999999994</fb>
    <v>23</v>
  </rv>
  <rv s="10">
    <fb>92.08</fb>
    <v>23</v>
  </rv>
  <rv s="10">
    <fb>45656</fb>
    <v>22</v>
  </rv>
  <rv s="10">
    <fb>252.2</fb>
    <v>23</v>
  </rv>
  <rv s="10">
    <fb>137.49</fb>
    <v>23</v>
  </rv>
  <rv s="10">
    <fb>424.83</fb>
    <v>23</v>
  </rv>
  <rv s="10">
    <fb>591.24</fb>
    <v>23</v>
  </rv>
  <rv s="10">
    <fb>191.24</fb>
    <v>23</v>
  </rv>
  <rv s="10">
    <fb>588.22</fb>
    <v>23</v>
  </rv>
  <rv s="10">
    <fb>240.63</fb>
    <v>23</v>
  </rv>
  <rv s="10">
    <fb>74.819999999999993</fb>
    <v>23</v>
  </rv>
  <rv s="10">
    <fb>92.62</fb>
    <v>23</v>
  </rv>
  <rv s="10">
    <fb>45657</fb>
    <v>22</v>
  </rv>
  <rv s="10">
    <fb>250.42</fb>
    <v>23</v>
  </rv>
  <rv s="10">
    <fb>134.29</fb>
    <v>23</v>
  </rv>
  <rv s="10">
    <fb>421.5</fb>
    <v>23</v>
  </rv>
  <rv s="10">
    <fb>585.51</fb>
    <v>23</v>
  </rv>
  <rv s="10">
    <fb>189.3</fb>
    <v>23</v>
  </rv>
  <rv s="10">
    <fb>586.08000000000004</fb>
    <v>23</v>
  </rv>
  <rv s="10">
    <fb>242.13</fb>
    <v>23</v>
  </rv>
  <rv s="10">
    <fb>75.55</fb>
    <v>23</v>
  </rv>
  <rv s="10">
    <fb>92.45</fb>
    <v>23</v>
  </rv>
  <rv s="10">
    <fb>45659</fb>
    <v>22</v>
  </rv>
  <rv s="10">
    <fb>243.85</fb>
    <v>23</v>
  </rv>
  <rv s="10">
    <fb>138.31</fb>
    <v>23</v>
  </rv>
  <rv s="10">
    <fb>418.58</fb>
    <v>23</v>
  </rv>
  <rv s="10">
    <fb>599.24</fb>
    <v>23</v>
  </rv>
  <rv s="10">
    <fb>189.43</fb>
    <v>23</v>
  </rv>
  <rv s="10">
    <fb>584.64</fb>
    <v>23</v>
  </rv>
  <rv s="10">
    <fb>245.42</fb>
    <v>23</v>
  </rv>
  <rv s="10">
    <fb>76.930000000000007</fb>
    <v>23</v>
  </rv>
  <rv s="10">
    <fb>92.5</fb>
    <v>23</v>
  </rv>
  <rv s="10">
    <fb>45660</fb>
    <v>22</v>
  </rv>
  <rv s="10">
    <fb>243.36</fb>
    <v>23</v>
  </rv>
  <rv s="10">
    <fb>144.47</fb>
    <v>23</v>
  </rv>
  <rv s="10">
    <fb>423.35</fb>
    <v>23</v>
  </rv>
  <rv s="10">
    <fb>604.63</fb>
    <v>23</v>
  </rv>
  <rv s="10">
    <fb>191.79</fb>
    <v>23</v>
  </rv>
  <rv s="10">
    <fb>591.95000000000005</fb>
    <v>23</v>
  </rv>
  <rv s="10">
    <fb>77.92</fb>
    <v>23</v>
  </rv>
  <rv s="10">
    <fb>92.35</fb>
    <v>23</v>
  </rv>
  <rv s="10">
    <fb>45663</fb>
    <v>22</v>
  </rv>
  <rv s="10">
    <fb>245</fb>
    <v>23</v>
  </rv>
  <rv s="10">
    <fb>149.43</fb>
    <v>23</v>
  </rv>
  <rv s="10">
    <fb>427.85</fb>
    <v>23</v>
  </rv>
  <rv s="10">
    <fb>630.20000000000005</fb>
    <v>23</v>
  </rv>
  <rv s="10">
    <fb>196.87</fb>
    <v>23</v>
  </rv>
  <rv s="10">
    <fb>595.36</fb>
    <v>23</v>
  </rv>
  <rv s="10">
    <fb>243.19</fb>
    <v>23</v>
  </rv>
  <rv s="10">
    <fb>77.3</fb>
    <v>23</v>
  </rv>
  <rv s="10">
    <fb>92.26</fb>
    <v>23</v>
  </rv>
  <rv s="10">
    <fb>45664</fb>
    <v>22</v>
  </rv>
  <rv s="10">
    <fb>242.21</fb>
    <v>23</v>
  </rv>
  <rv s="10">
    <fb>140.13999999999999</fb>
    <v>23</v>
  </rv>
  <rv s="10">
    <fb>422.37</fb>
    <v>23</v>
  </rv>
  <rv s="10">
    <fb>617.89</fb>
    <v>23</v>
  </rv>
  <rv s="10">
    <fb>195.49</fb>
    <v>23</v>
  </rv>
  <rv s="10">
    <fb>588.63</fb>
    <v>23</v>
  </rv>
  <rv s="10">
    <fb>244.56</fb>
    <v>23</v>
  </rv>
  <rv s="10">
    <fb>78.17</fb>
    <v>23</v>
  </rv>
  <rv s="10">
    <fb>91.84</fb>
    <v>23</v>
  </rv>
  <rv s="10">
    <fb>45665</fb>
    <v>22</v>
  </rv>
  <rv s="10">
    <fb>242.7</fb>
    <v>23</v>
  </rv>
  <rv s="10">
    <fb>140.11000000000001</fb>
    <v>23</v>
  </rv>
  <rv s="10">
    <fb>424.56</fb>
    <v>23</v>
  </rv>
  <rv s="10">
    <fb>610.72</fb>
    <v>23</v>
  </rv>
  <rv s="10">
    <fb>193.95</fb>
    <v>23</v>
  </rv>
  <rv s="10">
    <fb>589.49</fb>
    <v>23</v>
  </rv>
  <rv s="10">
    <fb>245.86</fb>
    <v>23</v>
  </rv>
  <rv s="10">
    <fb>92</fb>
    <v>23</v>
  </rv>
  <rv s="10">
    <fb>45667</fb>
    <v>22</v>
  </rv>
  <rv s="10">
    <fb>236.85</fb>
    <v>23</v>
  </rv>
  <rv s="10">
    <fb>135.91</fb>
    <v>23</v>
  </rv>
  <rv s="10">
    <fb>418.95</fb>
    <v>23</v>
  </rv>
  <rv s="10">
    <fb>615.86</fb>
    <v>23</v>
  </rv>
  <rv s="10">
    <fb>192.04</fb>
    <v>23</v>
  </rv>
  <rv s="10">
    <fb>580.49</fb>
    <v>23</v>
  </rv>
  <rv s="10">
    <fb>248.21</fb>
    <v>23</v>
  </rv>
  <rv s="10">
    <fb>80.64</fb>
    <v>23</v>
  </rv>
  <rv s="10">
    <fb>91.33</fb>
    <v>23</v>
  </rv>
  <rv s="10">
    <fb>45670</fb>
    <v>22</v>
  </rv>
  <rv s="10">
    <fb>234.4</fb>
    <v>23</v>
  </rv>
  <rv s="10">
    <fb>133.22999999999999</fb>
    <v>23</v>
  </rv>
  <rv s="10">
    <fb>417.19</fb>
    <v>23</v>
  </rv>
  <rv s="10">
    <fb>608.33000000000004</fb>
    <v>23</v>
  </rv>
  <rv s="10">
    <fb>191.01</fb>
    <v>23</v>
  </rv>
  <rv s="10">
    <fb>581.39</fb>
    <v>23</v>
  </rv>
  <rv s="10">
    <fb>245.74</fb>
    <v>23</v>
  </rv>
  <rv s="10">
    <fb>82.23</fb>
    <v>23</v>
  </rv>
  <rv s="10">
    <fb>91.17</fb>
    <v>23</v>
  </rv>
  <rv s="10">
    <fb>45671</fb>
    <v>22</v>
  </rv>
  <rv s="10">
    <fb>233.28</fb>
    <v>23</v>
  </rv>
  <rv s="10">
    <fb>131.76</fb>
    <v>23</v>
  </rv>
  <rv s="10">
    <fb>415.67</fb>
    <v>23</v>
  </rv>
  <rv s="10">
    <fb>594.25</fb>
    <v>23</v>
  </rv>
  <rv s="10">
    <fb>189.66</fb>
    <v>23</v>
  </rv>
  <rv s="10">
    <fb>582.19000000000005</fb>
    <v>23</v>
  </rv>
  <rv s="10">
    <fb>247.03</fb>
    <v>23</v>
  </rv>
  <rv s="10">
    <fb>81.67</fb>
    <v>23</v>
  </rv>
  <rv s="10">
    <fb>91.2</fb>
    <v>23</v>
  </rv>
  <rv s="10">
    <fb>45672</fb>
    <v>22</v>
  </rv>
  <rv s="10">
    <fb>237.87</fb>
    <v>23</v>
  </rv>
  <rv s="10">
    <fb>136.24</fb>
    <v>23</v>
  </rv>
  <rv s="10">
    <fb>426.31</fb>
    <v>23</v>
  </rv>
  <rv s="10">
    <fb>617.12</fb>
    <v>23</v>
  </rv>
  <rv s="10">
    <fb>195.55</fb>
    <v>23</v>
  </rv>
  <rv s="10">
    <fb>592.78</fb>
    <v>23</v>
  </rv>
  <rv s="10">
    <fb>248.88</fb>
    <v>23</v>
  </rv>
  <rv s="10">
    <fb>84.34</fb>
    <v>23</v>
  </rv>
  <rv s="10">
    <fb>92.16</fb>
    <v>23</v>
  </rv>
  <rv s="10">
    <fb>45673</fb>
    <v>22</v>
  </rv>
  <rv s="10">
    <fb>228.26</fb>
    <v>23</v>
  </rv>
  <rv s="10">
    <fb>133.57</fb>
    <v>23</v>
  </rv>
  <rv s="10">
    <fb>424.58</fb>
    <v>23</v>
  </rv>
  <rv s="10">
    <fb>611.29999999999995</fb>
    <v>23</v>
  </rv>
  <rv s="10">
    <fb>192.91</fb>
    <v>23</v>
  </rv>
  <rv s="10">
    <fb>591.64</fb>
    <v>23</v>
  </rv>
  <rv s="10">
    <fb>250.6</fb>
    <v>23</v>
  </rv>
  <rv s="10">
    <fb>82.94</fb>
    <v>23</v>
  </rv>
  <rv s="10">
    <fb>92.38</fb>
    <v>23</v>
  </rv>
  <rv s="10">
    <fb>45674</fb>
    <v>22</v>
  </rv>
  <rv s="10">
    <fb>229.98</fb>
    <v>23</v>
  </rv>
  <rv s="10">
    <fb>137.71</fb>
    <v>23</v>
  </rv>
  <rv s="10">
    <fb>429.03</fb>
    <v>23</v>
  </rv>
  <rv s="10">
    <fb>612.77</fb>
    <v>23</v>
  </rv>
  <rv s="10">
    <fb>196</fb>
    <v>23</v>
  </rv>
  <rv s="10">
    <fb>597.58000000000004</fb>
    <v>23</v>
  </rv>
  <rv s="10">
    <fb>249.27</fb>
    <v>23</v>
  </rv>
  <rv s="10">
    <fb>82.52</fb>
    <v>23</v>
  </rv>
  <rv s="10">
    <fb>45678</fb>
    <v>22</v>
  </rv>
  <rv s="10">
    <fb>222.64</fb>
    <v>23</v>
  </rv>
  <rv s="10">
    <fb>140.83000000000001</fb>
    <v>23</v>
  </rv>
  <rv s="10">
    <fb>428.5</fb>
    <v>23</v>
  </rv>
  <rv s="10">
    <fb>616.46</fb>
    <v>23</v>
  </rv>
  <rv s="10">
    <fb>198.05</fb>
    <v>23</v>
  </rv>
  <rv s="10">
    <fb>603.04999999999995</fb>
    <v>23</v>
  </rv>
  <rv s="10">
    <fb>253.13</fb>
    <v>23</v>
  </rv>
  <rv s="10">
    <fb>81.11</fb>
    <v>23</v>
  </rv>
  <rv s="10">
    <fb>92.76</fb>
    <v>23</v>
  </rv>
  <rv s="10">
    <fb>45679</fb>
    <v>22</v>
  </rv>
  <rv s="10">
    <fb>223.83</fb>
    <v>23</v>
  </rv>
  <rv s="10">
    <fb>147.07</fb>
    <v>23</v>
  </rv>
  <rv s="10">
    <fb>446.2</fb>
    <v>23</v>
  </rv>
  <rv s="10">
    <fb>623.5</fb>
    <v>23</v>
  </rv>
  <rv s="10">
    <fb>198.37</fb>
    <v>23</v>
  </rv>
  <rv s="10">
    <fb>606.44000000000005</fb>
    <v>23</v>
  </rv>
  <rv s="10">
    <fb>254.43</fb>
    <v>23</v>
  </rv>
  <rv s="10">
    <fb>80.430000000000007</fb>
    <v>23</v>
  </rv>
  <rv s="10">
    <fb>92.52</fb>
    <v>23</v>
  </rv>
  <rv s="10">
    <fb>45680</fb>
    <v>22</v>
  </rv>
  <rv s="10">
    <fb>223.66</fb>
    <v>23</v>
  </rv>
  <rv s="10">
    <fb>147.22</fb>
    <v>23</v>
  </rv>
  <rv s="10">
    <fb>446.71</fb>
    <v>23</v>
  </rv>
  <rv s="10">
    <fb>636.45000000000005</fb>
    <v>23</v>
  </rv>
  <rv s="10">
    <fb>197.98</fb>
    <v>23</v>
  </rv>
  <rv s="10">
    <fb>609.75</fb>
    <v>23</v>
  </rv>
  <rv s="10">
    <fb>254.07</fb>
    <v>23</v>
  </rv>
  <rv s="10">
    <fb>79.209999999999994</fb>
    <v>23</v>
  </rv>
  <rv s="10">
    <fb>92.28</fb>
    <v>23</v>
  </rv>
  <rv s="10">
    <fb>45681</fb>
    <v>22</v>
  </rv>
  <rv s="10">
    <fb>222.78</fb>
    <v>23</v>
  </rv>
  <rv s="10">
    <fb>142.62</fb>
    <v>23</v>
  </rv>
  <rv s="10">
    <fb>444.06</fb>
    <v>23</v>
  </rv>
  <rv s="10">
    <fb>647.49</fb>
    <v>23</v>
  </rv>
  <rv s="10">
    <fb>200.21</fb>
    <v>23</v>
  </rv>
  <rv s="10">
    <fb>607.97</fb>
    <v>23</v>
  </rv>
  <rv s="10">
    <fb>255.65</fb>
    <v>23</v>
  </rv>
  <rv s="10">
    <fb>79.599999999999994</fb>
    <v>23</v>
  </rv>
  <rv s="10">
    <fb>92.47</fb>
    <v>23</v>
  </rv>
  <rv s="10">
    <fb>45684</fb>
    <v>22</v>
  </rv>
  <rv s="10">
    <fb>229.86</fb>
    <v>23</v>
  </rv>
  <rv s="10">
    <fb>118.42</fb>
    <v>23</v>
  </rv>
  <rv s="10">
    <fb>434.56</fb>
    <v>23</v>
  </rv>
  <rv s="10">
    <fb>659.88</fb>
    <v>23</v>
  </rv>
  <rv s="10">
    <fb>191.81</fb>
    <v>23</v>
  </rv>
  <rv s="10">
    <fb>599.37</fb>
    <v>23</v>
  </rv>
  <rv s="10">
    <fb>252.99</fb>
    <v>23</v>
  </rv>
  <rv s="10">
    <fb>77.930000000000007</fb>
    <v>23</v>
  </rv>
  <rv s="10">
    <fb>93.07</fb>
    <v>23</v>
  </rv>
  <rv s="10">
    <fb>45685</fb>
    <v>22</v>
  </rv>
  <rv s="10">
    <fb>238.26</fb>
    <v>23</v>
  </rv>
  <rv s="10">
    <fb>128.99</fb>
    <v>23</v>
  </rv>
  <rv s="10">
    <fb>447.2</fb>
    <v>23</v>
  </rv>
  <rv s="10">
    <fb>674.33</fb>
    <v>23</v>
  </rv>
  <rv s="10">
    <fb>195.3</fb>
    <v>23</v>
  </rv>
  <rv s="10">
    <fb>604.52</fb>
    <v>23</v>
  </rv>
  <rv s="10">
    <fb>255.18</fb>
    <v>23</v>
  </rv>
  <rv s="10">
    <fb>78.86</fb>
    <v>23</v>
  </rv>
  <rv s="10">
    <fb>93.08</fb>
    <v>23</v>
  </rv>
  <rv s="10">
    <fb>45686</fb>
    <v>22</v>
  </rv>
  <rv s="10">
    <fb>239.36</fb>
    <v>23</v>
  </rv>
  <rv s="10">
    <fb>123.7</fb>
    <v>23</v>
  </rv>
  <rv s="10">
    <fb>442.33</fb>
    <v>23</v>
  </rv>
  <rv s="10">
    <fb>676.49</fb>
    <v>23</v>
  </rv>
  <rv s="10">
    <fb>195.41</fb>
    <v>23</v>
  </rv>
  <rv s="10">
    <fb>601.80999999999995</fb>
    <v>23</v>
  </rv>
  <rv s="10">
    <fb>254.2</fb>
    <v>23</v>
  </rv>
  <rv s="10">
    <fb>77.78</fb>
    <v>23</v>
  </rv>
  <rv s="10">
    <fb>92.97</fb>
    <v>23</v>
  </rv>
  <rv s="10">
    <fb>45687</fb>
    <v>22</v>
  </rv>
  <rv s="10">
    <fb>237.59</fb>
    <v>23</v>
  </rv>
  <rv s="10">
    <fb>124.65</fb>
    <v>23</v>
  </rv>
  <rv s="10">
    <fb>414.99</fb>
    <v>23</v>
  </rv>
  <rv s="10">
    <fb>687</fb>
    <v>23</v>
  </rv>
  <rv s="10">
    <fb>200.87</fb>
    <v>23</v>
  </rv>
  <rv s="10">
    <fb>605.04</fb>
    <v>23</v>
  </rv>
  <rv s="10">
    <fb>258.05</fb>
    <v>23</v>
  </rv>
  <rv s="10">
    <fb>77.75</fb>
    <v>23</v>
  </rv>
  <rv s="10">
    <fb>93.17</fb>
    <v>23</v>
  </rv>
  <rv s="10">
    <fb>45688</fb>
    <v>22</v>
  </rv>
  <rv s="10">
    <fb>236</fb>
    <v>23</v>
  </rv>
  <rv s="10">
    <fb>120.07</fb>
    <v>23</v>
  </rv>
  <rv s="10">
    <fb>415.06</fb>
    <v>23</v>
  </rv>
  <rv s="10">
    <fb>689.18</fb>
    <v>23</v>
  </rv>
  <rv s="10">
    <fb>204.02</fb>
    <v>23</v>
  </rv>
  <rv s="10">
    <fb>601.82000000000005</fb>
    <v>23</v>
  </rv>
  <rv s="10">
    <fb>258.56</fb>
    <v>23</v>
  </rv>
  <rv s="10">
    <fb>78.02</fb>
    <v>23</v>
  </rv>
  <rv s="10">
    <fb>93.02</fb>
    <v>23</v>
  </rv>
  <rv s="10">
    <fb>45691</fb>
    <v>22</v>
  </rv>
  <rv s="10">
    <fb>228.01</fb>
    <v>23</v>
  </rv>
  <rv s="10">
    <fb>116.66</fb>
    <v>23</v>
  </rv>
  <rv s="10">
    <fb>410.92</fb>
    <v>23</v>
  </rv>
  <rv s="10">
    <fb>697.46</fb>
    <v>23</v>
  </rv>
  <rv s="10">
    <fb>201.23</fb>
    <v>23</v>
  </rv>
  <rv s="10">
    <fb>597.77</fb>
    <v>23</v>
  </rv>
  <rv s="10">
    <fb>259.94</fb>
    <v>23</v>
  </rv>
  <rv s="10">
    <fb>77.819999999999993</fb>
    <v>23</v>
  </rv>
  <rv s="10">
    <fb>92.79</fb>
    <v>23</v>
  </rv>
  <rv s="10">
    <fb>45692</fb>
    <v>22</v>
  </rv>
  <rv s="10">
    <fb>232.8</fb>
    <v>23</v>
  </rv>
  <rv s="10">
    <fb>118.65</fb>
    <v>23</v>
  </rv>
  <rv s="10">
    <fb>412.37</fb>
    <v>23</v>
  </rv>
  <rv s="10">
    <fb>704.19</fb>
    <v>23</v>
  </rv>
  <rv s="10">
    <fb>206.38</fb>
    <v>23</v>
  </rv>
  <rv s="10">
    <fb>601.78</fb>
    <v>23</v>
  </rv>
  <rv s="10">
    <fb>262.5</fb>
    <v>23</v>
  </rv>
  <rv s="10">
    <fb>77.510000000000005</fb>
    <v>23</v>
  </rv>
  <rv s="10">
    <fb>45693</fb>
    <v>22</v>
  </rv>
  <rv s="10">
    <fb>232.47</fb>
    <v>23</v>
  </rv>
  <rv s="10">
    <fb>124.83</fb>
    <v>23</v>
  </rv>
  <rv s="10">
    <fb>413.29</fb>
    <v>23</v>
  </rv>
  <rv s="10">
    <fb>704.87</fb>
    <v>23</v>
  </rv>
  <rv s="10">
    <fb>191.33</fb>
    <v>23</v>
  </rv>
  <rv s="10">
    <fb>604.22</fb>
    <v>23</v>
  </rv>
  <rv s="10">
    <fb>264.13</fb>
    <v>23</v>
  </rv>
  <rv s="10">
    <fb>76.09</fb>
    <v>23</v>
  </rv>
  <rv s="10">
    <fb>93.56</fb>
    <v>23</v>
  </rv>
  <rv s="10">
    <fb>45694</fb>
    <v>22</v>
  </rv>
  <rv s="10">
    <fb>233.22</fb>
    <v>23</v>
  </rv>
  <rv s="10">
    <fb>128.68</fb>
    <v>23</v>
  </rv>
  <rv s="10">
    <fb>415.82</fb>
    <v>23</v>
  </rv>
  <rv s="10">
    <fb>711.99</fb>
    <v>23</v>
  </rv>
  <rv s="10">
    <fb>191.6</fb>
    <v>23</v>
  </rv>
  <rv s="10">
    <fb>606.32000000000005</fb>
    <v>23</v>
  </rv>
  <rv s="10">
    <fb>263.43</fb>
    <v>23</v>
  </rv>
  <rv s="10">
    <fb>75.45</fb>
    <v>23</v>
  </rv>
  <rv s="10">
    <fb>93.45</fb>
    <v>23</v>
  </rv>
  <rv s="10">
    <fb>45695</fb>
    <v>22</v>
  </rv>
  <rv s="10">
    <fb>227.63</fb>
    <v>23</v>
  </rv>
  <rv s="10">
    <fb>129.84</fb>
    <v>23</v>
  </rv>
  <rv s="10">
    <fb>409.75</fb>
    <v>23</v>
  </rv>
  <rv s="10">
    <fb>714.52</fb>
    <v>23</v>
  </rv>
  <rv s="10">
    <fb>185.34</fb>
    <v>23</v>
  </rv>
  <rv s="10">
    <fb>600.77</fb>
    <v>23</v>
  </rv>
  <rv s="10">
    <fb>263.89999999999998</fb>
    <v>23</v>
  </rv>
  <rv s="10">
    <fb>75.86</fb>
    <v>23</v>
  </rv>
  <rv s="10">
    <fb>93.14</fb>
    <v>23</v>
  </rv>
  <rv s="10">
    <fb>45698</fb>
    <v>22</v>
  </rv>
  <rv s="10">
    <fb>227.65</fb>
    <v>23</v>
  </rv>
  <rv s="10">
    <fb>412.22</fb>
    <v>23</v>
  </rv>
  <rv s="10">
    <fb>717.4</fb>
    <v>23</v>
  </rv>
  <rv s="10">
    <fb>186.47</fb>
    <v>23</v>
  </rv>
  <rv s="10">
    <fb>604.85</fb>
    <v>23</v>
  </rv>
  <rv s="10">
    <fb>268.37</fb>
    <v>23</v>
  </rv>
  <rv s="10">
    <fb>77.400000000000006</fb>
    <v>23</v>
  </rv>
  <rv s="10">
    <fb>93.12</fb>
    <v>23</v>
  </rv>
  <rv s="10">
    <fb>45699</fb>
    <v>22</v>
  </rv>
  <rv s="10">
    <fb>232.62</fb>
    <v>23</v>
  </rv>
  <rv s="10">
    <fb>132.80000000000001</fb>
    <v>23</v>
  </rv>
  <rv s="10">
    <fb>411.44</fb>
    <v>23</v>
  </rv>
  <rv s="10">
    <fb>719.8</fb>
    <v>23</v>
  </rv>
  <rv s="10">
    <fb>185.32</fb>
    <v>23</v>
  </rv>
  <rv s="10">
    <fb>605.30999999999995</fb>
    <v>23</v>
  </rv>
  <rv s="10">
    <fb>267.39</fb>
    <v>23</v>
  </rv>
  <rv s="10">
    <fb>78.27</fb>
    <v>23</v>
  </rv>
  <rv s="10">
    <fb>92.88</fb>
    <v>23</v>
  </rv>
  <rv s="10">
    <fb>45700</fb>
    <v>22</v>
  </rv>
  <rv s="10">
    <fb>236.87</fb>
    <v>23</v>
  </rv>
  <rv s="10">
    <fb>131.13999999999999</fb>
    <v>23</v>
  </rv>
  <rv s="10">
    <fb>409.04</fb>
    <v>23</v>
  </rv>
  <rv s="10">
    <fb>725.38</fb>
    <v>23</v>
  </rv>
  <rv s="10">
    <fb>183.61</fb>
    <v>23</v>
  </rv>
  <rv s="10">
    <fb>603.36</fb>
    <v>23</v>
  </rv>
  <rv s="10">
    <fb>267.67</fb>
    <v>23</v>
  </rv>
  <rv s="10">
    <fb>76.319999999999993</fb>
    <v>23</v>
  </rv>
  <rv s="10">
    <fb>92.24</fb>
    <v>23</v>
  </rv>
  <rv s="10">
    <fb>45701</fb>
    <v>22</v>
  </rv>
  <rv s="10">
    <fb>241.53</fb>
    <v>23</v>
  </rv>
  <rv s="10">
    <fb>135.29</fb>
    <v>23</v>
  </rv>
  <rv s="10">
    <fb>410.54</fb>
    <v>23</v>
  </rv>
  <rv s="10">
    <fb>728.56</fb>
    <v>23</v>
  </rv>
  <rv s="10">
    <fb>186.14</fb>
    <v>23</v>
  </rv>
  <rv s="10">
    <fb>609.73</fb>
    <v>23</v>
  </rv>
  <rv s="10">
    <fb>270.31</fb>
    <v>23</v>
  </rv>
  <rv s="10">
    <fb>76.39</fb>
    <v>23</v>
  </rv>
  <rv s="10">
    <fb>92.93</fb>
    <v>23</v>
  </rv>
  <rv s="10">
    <fb>45702</fb>
    <v>22</v>
  </rv>
  <rv s="10">
    <fb>244.6</fb>
    <v>23</v>
  </rv>
  <rv s="10">
    <fb>138.85</fb>
    <v>23</v>
  </rv>
  <rv s="10">
    <fb>408.43</fb>
    <v>23</v>
  </rv>
  <rv s="10">
    <fb>736.67</fb>
    <v>23</v>
  </rv>
  <rv s="10">
    <fb>185.23</fb>
    <v>23</v>
  </rv>
  <rv s="10">
    <fb>609.70000000000005</fb>
    <v>23</v>
  </rv>
  <rv s="10">
    <fb>266.29000000000002</fb>
    <v>23</v>
  </rv>
  <rv s="10">
    <fb>75.819999999999993</fb>
    <v>23</v>
  </rv>
  <rv s="10">
    <fb>45706</fb>
    <v>22</v>
  </rv>
  <rv s="10">
    <fb>244.47</fb>
    <v>23</v>
  </rv>
  <rv s="10">
    <fb>139.4</fb>
    <v>23</v>
  </rv>
  <rv s="10">
    <fb>409.64</fb>
    <v>23</v>
  </rv>
  <rv s="10">
    <fb>716.37</fb>
    <v>23</v>
  </rv>
  <rv s="10">
    <fb>183.77</fb>
    <v>23</v>
  </rv>
  <rv s="10">
    <fb>611.49</fb>
    <v>23</v>
  </rv>
  <rv s="10">
    <fb>270.7</fb>
    <v>23</v>
  </rv>
  <rv s="10">
    <fb>76.959999999999994</fb>
    <v>23</v>
  </rv>
  <rv s="10">
    <fb>92.82</fb>
    <v>23</v>
  </rv>
  <rv s="10">
    <fb>45707</fb>
    <v>22</v>
  </rv>
  <rv s="10">
    <fb>244.87</fb>
    <v>23</v>
  </rv>
  <rv s="10">
    <fb>139.22999999999999</fb>
    <v>23</v>
  </rv>
  <rv s="10">
    <fb>414.77</fb>
    <v>23</v>
  </rv>
  <rv s="10">
    <fb>703.77</fb>
    <v>23</v>
  </rv>
  <rv s="10">
    <fb>185.27</fb>
    <v>23</v>
  </rv>
  <rv s="10">
    <fb>612.92999999999995</fb>
    <v>23</v>
  </rv>
  <rv s="10">
    <fb>270.85000000000002</fb>
    <v>23</v>
  </rv>
  <rv s="10">
    <fb>77.45</fb>
    <v>23</v>
  </rv>
  <rv s="10">
    <fb>45708</fb>
    <v>22</v>
  </rv>
  <rv s="10">
    <fb>245.83</fb>
    <v>23</v>
  </rv>
  <rv s="10">
    <fb>416.13</fb>
    <v>23</v>
  </rv>
  <rv s="10">
    <fb>694.84</fb>
    <v>23</v>
  </rv>
  <rv s="10">
    <fb>184.56</fb>
    <v>23</v>
  </rv>
  <rv s="10">
    <fb>610.38</fb>
    <v>23</v>
  </rv>
  <rv s="10">
    <fb>270.99</fb>
    <v>23</v>
  </rv>
  <rv s="10">
    <fb>77.760000000000005</fb>
    <v>23</v>
  </rv>
  <rv s="10">
    <fb>93.16</fb>
    <v>23</v>
  </rv>
  <rv s="10">
    <fb>45709</fb>
    <v>22</v>
  </rv>
  <rv s="10">
    <fb>245.55</fb>
    <v>23</v>
  </rv>
  <rv s="10">
    <fb>134.43</fb>
    <v>23</v>
  </rv>
  <rv s="10">
    <fb>408.21</fb>
    <v>23</v>
  </rv>
  <rv s="10">
    <fb>683.55</fb>
    <v>23</v>
  </rv>
  <rv s="10">
    <fb>179.66</fb>
    <v>23</v>
  </rv>
  <rv s="10">
    <fb>599.94000000000005</fb>
    <v>23</v>
  </rv>
  <rv s="10">
    <fb>270.74</fb>
    <v>23</v>
  </rv>
  <rv s="10">
    <fb>75.349999999999994</fb>
    <v>23</v>
  </rv>
  <rv s="10">
    <fb>93.71</fb>
    <v>23</v>
  </rv>
  <rv s="10">
    <fb>45712</fb>
    <v>22</v>
  </rv>
  <rv s="10">
    <fb>247.1</fb>
    <v>23</v>
  </rv>
  <rv s="10">
    <fb>130.28</fb>
    <v>23</v>
  </rv>
  <rv s="10">
    <fb>404</fb>
    <v>23</v>
  </rv>
  <rv s="10">
    <fb>668.13</fb>
    <v>23</v>
  </rv>
  <rv s="10">
    <fb>179.25</fb>
    <v>23</v>
  </rv>
  <rv s="10">
    <fb>597.21</fb>
    <v>23</v>
  </rv>
  <rv s="10">
    <fb>272.20999999999998</fb>
    <v>23</v>
  </rv>
  <rv s="10">
    <fb>75.97</fb>
    <v>23</v>
  </rv>
  <rv s="10">
    <fb>93.91</fb>
    <v>23</v>
  </rv>
  <rv s="10">
    <fb>45713</fb>
    <v>22</v>
  </rv>
  <rv s="10">
    <fb>247.04</fb>
    <v>23</v>
  </rv>
  <rv s="10">
    <fb>126.63</fb>
    <v>23</v>
  </rv>
  <rv s="10">
    <fb>397.9</fb>
    <v>23</v>
  </rv>
  <rv s="10">
    <fb>657.5</fb>
    <v>23</v>
  </rv>
  <rv s="10">
    <fb>175.42</fb>
    <v>23</v>
  </rv>
  <rv s="10">
    <fb>594.24</fb>
    <v>23</v>
  </rv>
  <rv s="10">
    <fb>268.62</fb>
    <v>23</v>
  </rv>
  <rv s="10">
    <fb>74.13</fb>
    <v>23</v>
  </rv>
  <rv s="10">
    <fb>94.65</fb>
    <v>23</v>
  </rv>
  <rv s="10">
    <fb>45714</fb>
    <v>22</v>
  </rv>
  <rv s="10">
    <fb>240.36</fb>
    <v>23</v>
  </rv>
  <rv s="10">
    <fb>131.28</fb>
    <v>23</v>
  </rv>
  <rv s="10">
    <fb>399.73</fb>
    <v>23</v>
  </rv>
  <rv s="10">
    <fb>673.7</fb>
    <v>23</v>
  </rv>
  <rv s="10">
    <fb>172.73</fb>
    <v>23</v>
  </rv>
  <rv s="10">
    <fb>594.54</fb>
    <v>23</v>
  </rv>
  <rv s="10">
    <fb>269.02999999999997</fb>
    <v>23</v>
  </rv>
  <rv s="10">
    <fb>94.91</fb>
    <v>23</v>
  </rv>
  <rv s="10">
    <fb>45715</fb>
    <v>22</v>
  </rv>
  <rv s="10">
    <fb>237.3</fb>
    <v>23</v>
  </rv>
  <rv s="10">
    <fb>120.15</fb>
    <v>23</v>
  </rv>
  <rv s="10">
    <fb>392.53</fb>
    <v>23</v>
  </rv>
  <rv s="10">
    <fb>658.24</fb>
    <v>23</v>
  </rv>
  <rv s="10">
    <fb>168.5</fb>
    <v>23</v>
  </rv>
  <rv s="10">
    <fb>585.04999999999995</fb>
    <v>23</v>
  </rv>
  <rv s="10">
    <fb>264.93</fb>
    <v>23</v>
  </rv>
  <rv s="10">
    <fb>75.28</fb>
    <v>23</v>
  </rv>
  <rv s="10">
    <fb>94.8</fb>
    <v>23</v>
  </rv>
  <rv s="10">
    <fb>45716</fb>
    <v>22</v>
  </rv>
  <rv s="10">
    <fb>241.84</fb>
    <v>23</v>
  </rv>
  <rv s="10">
    <fb>124.92</fb>
    <v>23</v>
  </rv>
  <rv s="10">
    <fb>396.99</fb>
    <v>23</v>
  </rv>
  <rv s="10">
    <fb>668.2</fb>
    <v>23</v>
  </rv>
  <rv s="10">
    <fb>170.28</fb>
    <v>23</v>
  </rv>
  <rv s="10">
    <fb>594.17999999999995</fb>
    <v>23</v>
  </rv>
  <rv s="10">
    <fb>263.27</fb>
    <v>23</v>
  </rv>
  <rv s="10">
    <fb>75.22</fb>
    <v>23</v>
  </rv>
  <rv s="10">
    <fb>95.32</fb>
    <v>23</v>
  </rv>
  <rv s="10">
    <fb>45719</fb>
    <v>22</v>
  </rv>
  <rv s="10">
    <fb>238.03</fb>
    <v>23</v>
  </rv>
  <rv s="10">
    <fb>114.06</fb>
    <v>23</v>
  </rv>
  <rv s="10">
    <fb>388.49</fb>
    <v>23</v>
  </rv>
  <rv s="10">
    <fb>655.04999999999995</fb>
    <v>23</v>
  </rv>
  <rv s="10">
    <fb>167.01</fb>
    <v>23</v>
  </rv>
  <rv s="10">
    <fb>583.77</fb>
    <v>23</v>
  </rv>
  <rv s="10">
    <fb>266.74</fb>
    <v>23</v>
  </rv>
  <rv s="10">
    <fb>73.319999999999993</fb>
    <v>23</v>
  </rv>
  <rv s="10">
    <fb>95.39</fb>
    <v>23</v>
  </rv>
  <rv s="10">
    <fb>45720</fb>
    <v>22</v>
  </rv>
  <rv s="10">
    <fb>235.93</fb>
    <v>23</v>
  </rv>
  <rv s="10">
    <fb>115.99</fb>
    <v>23</v>
  </rv>
  <rv s="10">
    <fb>388.61</fb>
    <v>23</v>
  </rv>
  <rv s="10">
    <fb>640</fb>
    <v>23</v>
  </rv>
  <rv s="10">
    <fb>170.92</fb>
    <v>23</v>
  </rv>
  <rv s="10">
    <fb>576.86</fb>
    <v>23</v>
  </rv>
  <rv s="10">
    <fb>269.06</fb>
    <v>23</v>
  </rv>
  <rv s="10">
    <fb>73.31</fb>
    <v>23</v>
  </rv>
  <rv s="10">
    <fb>95.09</fb>
    <v>23</v>
  </rv>
  <rv s="10">
    <fb>45721</fb>
    <v>22</v>
  </rv>
  <rv s="10">
    <fb>235.74</fb>
    <v>23</v>
  </rv>
  <rv s="10">
    <fb>117.3</fb>
    <v>23</v>
  </rv>
  <rv s="10">
    <fb>401.02</fb>
    <v>23</v>
  </rv>
  <rv s="10">
    <fb>656.47</fb>
    <v>23</v>
  </rv>
  <rv s="10">
    <fb>173.02</fb>
    <v>23</v>
  </rv>
  <rv s="10">
    <fb>583.05999999999995</fb>
    <v>23</v>
  </rv>
  <rv s="10">
    <fb>269.62</fb>
    <v>23</v>
  </rv>
  <rv s="10">
    <fb>71.42</fb>
    <v>23</v>
  </rv>
  <rv s="10">
    <fb>94.56</fb>
    <v>23</v>
  </rv>
  <rv s="10">
    <fb>45722</fb>
    <v>22</v>
  </rv>
  <rv s="10">
    <fb>235.33</fb>
    <v>23</v>
  </rv>
  <rv s="10">
    <fb>110.57</fb>
    <v>23</v>
  </rv>
  <rv s="10">
    <fb>396.89</fb>
    <v>23</v>
  </rv>
  <rv s="10">
    <fb>627.92999999999995</fb>
    <v>23</v>
  </rv>
  <rv s="10">
    <fb>172.35</fb>
    <v>23</v>
  </rv>
  <rv s="10">
    <fb>572.71</fb>
    <v>23</v>
  </rv>
  <rv s="10">
    <fb>268.25</fb>
    <v>23</v>
  </rv>
  <rv s="10">
    <fb>71.13</fb>
    <v>23</v>
  </rv>
  <rv s="10">
    <fb>94.51</fb>
    <v>23</v>
  </rv>
  <rv s="10">
    <fb>45723</fb>
    <v>22</v>
  </rv>
  <rv s="10">
    <fb>239.07</fb>
    <v>23</v>
  </rv>
  <rv s="10">
    <fb>112.69</fb>
    <v>23</v>
  </rv>
  <rv s="10">
    <fb>393.31</fb>
    <v>23</v>
  </rv>
  <rv s="10">
    <fb>625.66</fb>
    <v>23</v>
  </rv>
  <rv s="10">
    <fb>173.86</fb>
    <v>23</v>
  </rv>
  <rv s="10">
    <fb>575.91999999999996</fb>
    <v>23</v>
  </rv>
  <rv s="10">
    <fb>268.39</fb>
    <v>23</v>
  </rv>
  <rv s="10">
    <fb>72.09</fb>
    <v>23</v>
  </rv>
  <rv s="10">
    <fb>94.39</fb>
    <v>23</v>
  </rv>
  <rv s="10">
    <fb>45726</fb>
    <v>22</v>
  </rv>
  <rv s="10">
    <fb>106.98</fb>
    <v>23</v>
  </rv>
  <rv s="10">
    <fb>380.16</fb>
    <v>23</v>
  </rv>
  <rv s="10">
    <fb>597.99</fb>
    <v>23</v>
  </rv>
  <rv s="10">
    <fb>165.87</fb>
    <v>23</v>
  </rv>
  <rv s="10">
    <fb>560.58000000000004</fb>
    <v>23</v>
  </rv>
  <rv s="10">
    <fb>266.04000000000002</fb>
    <v>23</v>
  </rv>
  <rv s="10">
    <fb>70.89</fb>
    <v>23</v>
  </rv>
  <rv s="10">
    <fb>95.05</fb>
    <v>23</v>
  </rv>
  <rv s="10">
    <fb>45727</fb>
    <v>22</v>
  </rv>
  <rv s="10">
    <fb>220.84</fb>
    <v>23</v>
  </rv>
  <rv s="10">
    <fb>108.76</fb>
    <v>23</v>
  </rv>
  <rv s="10">
    <fb>380.45</fb>
    <v>23</v>
  </rv>
  <rv s="10">
    <fb>605.71</fb>
    <v>23</v>
  </rv>
  <rv s="10">
    <fb>164.04</fb>
    <v>23</v>
  </rv>
  <rv s="10">
    <fb>555.91999999999996</fb>
    <v>23</v>
  </rv>
  <rv s="10">
    <fb>269.16000000000003</fb>
    <v>23</v>
  </rv>
  <rv s="10">
    <fb>71.45</fb>
    <v>23</v>
  </rv>
  <rv s="10">
    <fb>45728</fb>
    <v>22</v>
  </rv>
  <rv s="10">
    <fb>216.98</fb>
    <v>23</v>
  </rv>
  <rv s="10">
    <fb>115.74</fb>
    <v>23</v>
  </rv>
  <rv s="10">
    <fb>383.27</fb>
    <v>23</v>
  </rv>
  <rv s="10">
    <fb>619.55999999999995</fb>
    <v>23</v>
  </rv>
  <rv s="10">
    <fb>167.11</fb>
    <v>23</v>
  </rv>
  <rv s="10">
    <fb>558.87</fb>
    <v>23</v>
  </rv>
  <rv s="10">
    <fb>270.33</fb>
    <v>23</v>
  </rv>
  <rv s="10">
    <fb>72.8</fb>
    <v>23</v>
  </rv>
  <rv s="10">
    <fb>94.43</fb>
    <v>23</v>
  </rv>
  <rv s="10">
    <fb>45729</fb>
    <v>22</v>
  </rv>
  <rv s="10">
    <fb>209.68</fb>
    <v>23</v>
  </rv>
  <rv s="10">
    <fb>115.58</fb>
    <v>23</v>
  </rv>
  <rv s="10">
    <fb>378.77</fb>
    <v>23</v>
  </rv>
  <rv s="10">
    <fb>590.64</fb>
    <v>23</v>
  </rv>
  <rv s="10">
    <fb>162.76</fb>
    <v>23</v>
  </rv>
  <rv s="10">
    <fb>551.41999999999996</fb>
    <v>23</v>
  </rv>
  <rv s="10">
    <fb>275.13</fb>
    <v>23</v>
  </rv>
  <rv s="10">
    <fb>71.62</fb>
    <v>23</v>
  </rv>
  <rv s="10">
    <fb>94.81</fb>
    <v>23</v>
  </rv>
  <rv s="10">
    <fb>45730</fb>
    <v>22</v>
  </rv>
  <rv s="10">
    <fb>213.49</fb>
    <v>23</v>
  </rv>
  <rv s="10">
    <fb>121.67</fb>
    <v>23</v>
  </rv>
  <rv s="10">
    <fb>388.56</fb>
    <v>23</v>
  </rv>
  <rv s="10">
    <fb>607.6</fb>
    <v>23</v>
  </rv>
  <rv s="10">
    <fb>165.49</fb>
    <v>23</v>
  </rv>
  <rv s="10">
    <fb>562.80999999999995</fb>
    <v>23</v>
  </rv>
  <rv s="10">
    <fb>275.24</fb>
    <v>23</v>
  </rv>
  <rv s="10">
    <fb>72.28</fb>
    <v>23</v>
  </rv>
  <rv s="10">
    <fb>94.48</fb>
    <v>23</v>
  </rv>
  <rv s="10">
    <fb>45733</fb>
    <v>22</v>
  </rv>
  <rv s="10">
    <fb>214</fb>
    <v>23</v>
  </rv>
  <rv s="10">
    <fb>119.53</fb>
    <v>23</v>
  </rv>
  <rv s="10">
    <fb>388.7</fb>
    <v>23</v>
  </rv>
  <rv s="10">
    <fb>604.9</fb>
    <v>23</v>
  </rv>
  <rv s="10">
    <fb>164.29</fb>
    <v>23</v>
  </rv>
  <rv s="10">
    <fb>567.15</fb>
    <v>23</v>
  </rv>
  <rv s="10">
    <fb>276.73</fb>
    <v>23</v>
  </rv>
  <rv s="10">
    <fb>72.709999999999994</fb>
    <v>23</v>
  </rv>
  <rv s="10">
    <fb>45734</fb>
    <v>22</v>
  </rv>
  <rv s="10">
    <fb>212.69</fb>
    <v>23</v>
  </rv>
  <rv s="10">
    <fb>115.43</fb>
    <v>23</v>
  </rv>
  <rv s="10">
    <fb>383.52</fb>
    <v>23</v>
  </rv>
  <rv s="10">
    <fb>582.36</fb>
    <v>23</v>
  </rv>
  <rv s="10">
    <fb>160.66999999999999</fb>
    <v>23</v>
  </rv>
  <rv s="10">
    <fb>561.02</fb>
    <v>23</v>
  </rv>
  <rv s="10">
    <fb>279.95999999999998</fb>
    <v>23</v>
  </rv>
  <rv s="10">
    <fb>72.209999999999994</fb>
    <v>23</v>
  </rv>
  <rv s="10">
    <fb>45735</fb>
    <v>22</v>
  </rv>
  <rv s="10">
    <fb>215.24</fb>
    <v>23</v>
  </rv>
  <rv s="10">
    <fb>117.52</fb>
    <v>23</v>
  </rv>
  <rv s="10">
    <fb>387.82</fb>
    <v>23</v>
  </rv>
  <rv s="10">
    <fb>584.05999999999995</fb>
    <v>23</v>
  </rv>
  <rv s="10">
    <fb>163.89</fb>
    <v>23</v>
  </rv>
  <rv s="10">
    <fb>567.13</fb>
    <v>23</v>
  </rv>
  <rv s="10">
    <fb>281.11</fb>
    <v>23</v>
  </rv>
  <rv s="10">
    <fb>72.42</fb>
    <v>23</v>
  </rv>
  <rv s="10">
    <fb>94.96</fb>
    <v>23</v>
  </rv>
  <rv s="10">
    <fb>45736</fb>
    <v>22</v>
  </rv>
  <rv s="10">
    <fb>214.1</fb>
    <v>23</v>
  </rv>
  <rv s="10">
    <fb>118.53</fb>
    <v>23</v>
  </rv>
  <rv s="10">
    <fb>386.84</fb>
    <v>23</v>
  </rv>
  <rv s="10">
    <fb>586</fb>
    <v>23</v>
  </rv>
  <rv s="10">
    <fb>162.80000000000001</fb>
    <v>23</v>
  </rv>
  <rv s="10">
    <fb>565.49</fb>
    <v>23</v>
  </rv>
  <rv s="10">
    <fb>280.75</fb>
    <v>23</v>
  </rv>
  <rv s="10">
    <fb>73.73</fb>
    <v>23</v>
  </rv>
  <rv s="10">
    <fb>45737</fb>
    <v>22</v>
  </rv>
  <rv s="10">
    <fb>218.27</fb>
    <v>23</v>
  </rv>
  <rv s="10">
    <fb>117.7</fb>
    <v>23</v>
  </rv>
  <rv s="10">
    <fb>391.26</fb>
    <v>23</v>
  </rv>
  <rv s="10">
    <fb>596.25</fb>
    <v>23</v>
  </rv>
  <rv s="10">
    <fb>163.99</fb>
    <v>23</v>
  </rv>
  <rv s="10">
    <fb>563.98</fb>
    <v>23</v>
  </rv>
  <rv s="10">
    <fb>278.49</fb>
    <v>23</v>
  </rv>
  <rv s="10">
    <fb>73.790000000000006</fb>
    <v>23</v>
  </rv>
  <rv s="10">
    <fb>95.02</fb>
    <v>23</v>
  </rv>
  <rv s="10">
    <fb>45740</fb>
    <v>22</v>
  </rv>
  <rv s="10">
    <fb>220.73</fb>
    <v>23</v>
  </rv>
  <rv s="10">
    <fb>121.41</fb>
    <v>23</v>
  </rv>
  <rv s="10">
    <fb>393.08</fb>
    <v>23</v>
  </rv>
  <rv s="10">
    <fb>618.85</fb>
    <v>23</v>
  </rv>
  <rv s="10">
    <fb>167.68</fb>
    <v>23</v>
  </rv>
  <rv s="10">
    <fb>574.08000000000004</fb>
    <v>23</v>
  </rv>
  <rv s="10">
    <fb>277.25</fb>
    <v>23</v>
  </rv>
  <rv s="10">
    <fb>74.88</fb>
    <v>23</v>
  </rv>
  <rv s="10">
    <fb>94.47</fb>
    <v>23</v>
  </rv>
  <rv s="10">
    <fb>45741</fb>
    <v>22</v>
  </rv>
  <rv s="10">
    <fb>223.75</fb>
    <v>23</v>
  </rv>
  <rv s="10">
    <fb>120.69</fb>
    <v>23</v>
  </rv>
  <rv s="10">
    <fb>395.16</fb>
    <v>23</v>
  </rv>
  <rv s="10">
    <fb>626.30999999999995</fb>
    <v>23</v>
  </rv>
  <rv s="10">
    <fb>170.56</fb>
    <v>23</v>
  </rv>
  <rv s="10">
    <fb>575.46</fb>
    <v>23</v>
  </rv>
  <rv s="10">
    <fb>278.47000000000003</fb>
    <v>23</v>
  </rv>
  <rv s="10">
    <fb>94.63</fb>
    <v>23</v>
  </rv>
  <rv s="10">
    <fb>45742</fb>
    <v>22</v>
  </rv>
  <rv s="10">
    <fb>221.53</fb>
    <v>23</v>
  </rv>
  <rv s="10">
    <fb>113.76</fb>
    <v>23</v>
  </rv>
  <rv s="10">
    <fb>389.97</fb>
    <v>23</v>
  </rv>
  <rv s="10">
    <fb>610.98</fb>
    <v>23</v>
  </rv>
  <rv s="10">
    <fb>165.06</fb>
    <v>23</v>
  </rv>
  <rv s="10">
    <fb>568.59</fb>
    <v>23</v>
  </rv>
  <rv s="10">
    <fb>278.24</fb>
    <v>23</v>
  </rv>
  <rv s="10">
    <fb>75.42</fb>
    <v>23</v>
  </rv>
  <rv s="10">
    <fb>45743</fb>
    <v>22</v>
  </rv>
  <rv s="10">
    <fb>223.85</fb>
    <v>23</v>
  </rv>
  <rv s="10">
    <fb>111.43</fb>
    <v>23</v>
  </rv>
  <rv s="10">
    <fb>390.58</fb>
    <v>23</v>
  </rv>
  <rv s="10">
    <fb>602.58000000000004</fb>
    <v>23</v>
  </rv>
  <rv s="10">
    <fb>162.24</fb>
    <v>23</v>
  </rv>
  <rv s="10">
    <fb>567.08000000000004</fb>
    <v>23</v>
  </rv>
  <rv s="10">
    <fb>281.97000000000003</fb>
    <v>23</v>
  </rv>
  <rv s="10">
    <fb>75.48</fb>
    <v>23</v>
  </rv>
  <rv s="10">
    <fb>94.33</fb>
    <v>23</v>
  </rv>
  <rv s="10">
    <fb>45744</fb>
    <v>22</v>
  </rv>
  <rv s="10">
    <fb>217.9</fb>
    <v>23</v>
  </rv>
  <rv s="10">
    <fb>109.67</fb>
    <v>23</v>
  </rv>
  <rv s="10">
    <fb>378.8</fb>
    <v>23</v>
  </rv>
  <rv s="10">
    <fb>576.74</fb>
    <v>23</v>
  </rv>
  <rv s="10">
    <fb>154.33000000000001</fb>
    <v>23</v>
  </rv>
  <rv s="10">
    <fb>555.66</fb>
    <v>23</v>
  </rv>
  <rv s="10">
    <fb>284.06</fb>
    <v>23</v>
  </rv>
  <rv s="10">
    <fb>74.77</fb>
    <v>23</v>
  </rv>
  <rv s="10">
    <fb>45747</fb>
    <v>22</v>
  </rv>
  <rv s="10">
    <fb>222.13</fb>
    <v>23</v>
  </rv>
  <rv s="10">
    <fb>108.38</fb>
    <v>23</v>
  </rv>
  <rv s="10">
    <fb>375.39</fb>
    <v>23</v>
  </rv>
  <rv s="10">
    <fb>576.36</fb>
    <v>23</v>
  </rv>
  <rv s="10">
    <fb>154.63999999999999</fb>
    <v>23</v>
  </rv>
  <rv s="10">
    <fb>559.39</fb>
    <v>23</v>
  </rv>
  <rv s="10">
    <fb>288.14</fb>
    <v>23</v>
  </rv>
  <rv s="10">
    <fb>77.33</fb>
    <v>23</v>
  </rv>
  <rv s="10">
    <fb>95.37</fb>
    <v>23</v>
  </rv>
  <rv s="10">
    <fb>45748</fb>
    <v>22</v>
  </rv>
  <rv s="10">
    <fb>223.19</fb>
    <v>23</v>
  </rv>
  <rv s="10">
    <fb>110.15</fb>
    <v>23</v>
  </rv>
  <rv s="10">
    <fb>382.19</fb>
    <v>23</v>
  </rv>
  <rv s="10">
    <fb>157.07</fb>
    <v>23</v>
  </rv>
  <rv s="10">
    <fb>560.97</fb>
    <v>23</v>
  </rv>
  <rv s="10">
    <fb>287.57</fb>
    <v>23</v>
  </rv>
  <rv s="10">
    <fb>77.08</fb>
    <v>23</v>
  </rv>
  <rv s="10">
    <fb>95.4</fb>
    <v>23</v>
  </rv>
  <rv s="10">
    <fb>45749</fb>
    <v>22</v>
  </rv>
  <rv s="10">
    <fb>223.89</fb>
    <v>23</v>
  </rv>
  <rv s="10">
    <fb>110.42</fb>
    <v>23</v>
  </rv>
  <rv s="10">
    <fb>382.14</fb>
    <v>23</v>
  </rv>
  <rv s="10">
    <fb>583.92999999999995</fb>
    <v>23</v>
  </rv>
  <rv s="10">
    <fb>157.04</fb>
    <v>23</v>
  </rv>
  <rv s="10">
    <fb>564.52</fb>
    <v>23</v>
  </rv>
  <rv s="10">
    <fb>288.16000000000003</fb>
    <v>23</v>
  </rv>
  <rv s="10">
    <fb>77.739999999999995</fb>
    <v>23</v>
  </rv>
  <rv s="10">
    <fb>95.31</fb>
    <v>23</v>
  </rv>
  <rv s="10">
    <fb>45750</fb>
    <v>22</v>
  </rv>
  <rv s="10">
    <fb>203.19</fb>
    <v>23</v>
  </rv>
  <rv s="10">
    <fb>101.8</fb>
    <v>23</v>
  </rv>
  <rv s="10">
    <fb>373.11</fb>
    <v>23</v>
  </rv>
  <rv s="10">
    <fb>531.62</fb>
    <v>23</v>
  </rv>
  <rv s="10">
    <fb>150.72</fb>
    <v>23</v>
  </rv>
  <rv s="10">
    <fb>536.70000000000005</fb>
    <v>23</v>
  </rv>
  <rv s="10">
    <fb>286.42</fb>
    <v>23</v>
  </rv>
  <rv s="10">
    <fb>72.25</fb>
    <v>23</v>
  </rv>
  <rv s="10">
    <fb>96.29</fb>
    <v>23</v>
  </rv>
  <rv s="10">
    <fb>45751</fb>
    <v>22</v>
  </rv>
  <rv s="10">
    <fb>188.38</fb>
    <v>23</v>
  </rv>
  <rv s="10">
    <fb>94.31</fb>
    <v>23</v>
  </rv>
  <rv s="10">
    <fb>359.84</fb>
    <v>23</v>
  </rv>
  <rv s="10">
    <fb>504.73</fb>
    <v>23</v>
  </rv>
  <rv s="10">
    <fb>145.6</fb>
    <v>23</v>
  </rv>
  <rv s="10">
    <fb>505.28</fb>
    <v>23</v>
  </rv>
  <rv s="10">
    <fb>279.72000000000003</fb>
    <v>23</v>
  </rv>
  <rv s="10">
    <fb>67.92</fb>
    <v>23</v>
  </rv>
  <rv s="10">
    <fb>96.56</fb>
    <v>23</v>
  </rv>
  <rv s="10">
    <fb>45754</fb>
    <v>22</v>
  </rv>
  <rv s="10">
    <fb>181.46</fb>
    <v>23</v>
  </rv>
  <rv s="10">
    <fb>97.64</fb>
    <v>23</v>
  </rv>
  <rv s="10">
    <fb>357.86</fb>
    <v>23</v>
  </rv>
  <rv s="10">
    <fb>516.25</fb>
    <v>23</v>
  </rv>
  <rv s="10">
    <fb>146.75</fb>
    <v>23</v>
  </rv>
  <rv s="10">
    <fb>504.38</fb>
    <v>23</v>
  </rv>
  <rv s="10">
    <fb>273.70999999999998</fb>
    <v>23</v>
  </rv>
  <rv s="10">
    <fb>65.98</fb>
    <v>23</v>
  </rv>
  <rv s="10">
    <fb>95.41</fb>
    <v>23</v>
  </rv>
  <rv s="10">
    <fb>45755</fb>
    <v>22</v>
  </rv>
  <rv s="10">
    <fb>172.42</fb>
    <v>23</v>
  </rv>
  <rv s="10">
    <fb>96.3</fb>
    <v>23</v>
  </rv>
  <rv s="10">
    <fb>354.56</fb>
    <v>23</v>
  </rv>
  <rv s="10">
    <fb>510.45</fb>
    <v>23</v>
  </rv>
  <rv s="10">
    <fb>144.69999999999999</fb>
    <v>23</v>
  </rv>
  <rv s="10">
    <fb>496.48</fb>
    <v>23</v>
  </rv>
  <rv s="10">
    <fb>275.2</fb>
    <v>23</v>
  </rv>
  <rv s="10">
    <fb>63.34</fb>
    <v>23</v>
  </rv>
  <rv s="10">
    <fb>94.93</fb>
    <v>23</v>
  </rv>
  <rv s="10">
    <fb>45756</fb>
    <v>22</v>
  </rv>
  <rv s="10">
    <fb>198.85</fb>
    <v>23</v>
  </rv>
  <rv s="10">
    <fb>114.33</fb>
    <v>23</v>
  </rv>
  <rv s="10">
    <fb>390.49</fb>
    <v>23</v>
  </rv>
  <rv s="10">
    <fb>585.77</fb>
    <v>23</v>
  </rv>
  <rv s="10">
    <fb>158.71</fb>
    <v>23</v>
  </rv>
  <rv s="10">
    <fb>548.62</fb>
    <v>23</v>
  </rv>
  <rv s="10">
    <fb>285.38</fb>
    <v>23</v>
  </rv>
  <rv s="10">
    <fb>67.58</fb>
    <v>23</v>
  </rv>
  <rv s="10">
    <fb>45757</fb>
    <v>22</v>
  </rv>
  <rv s="10">
    <fb>190.42</fb>
    <v>23</v>
  </rv>
  <rv s="10">
    <fb>107.57</fb>
    <v>23</v>
  </rv>
  <rv s="10">
    <fb>381.35</fb>
    <v>23</v>
  </rv>
  <rv s="10">
    <fb>546.29</fb>
    <v>23</v>
  </rv>
  <rv s="10">
    <fb>152.82</fb>
    <v>23</v>
  </rv>
  <rv s="10">
    <fb>524.58000000000004</fb>
    <v>23</v>
  </rv>
  <rv s="10">
    <fb>292.35000000000002</fb>
    <v>23</v>
  </rv>
  <rv s="10">
    <fb>65.319999999999993</fb>
    <v>23</v>
  </rv>
  <rv s="10">
    <fb>94.04</fb>
    <v>23</v>
  </rv>
  <rv s="10">
    <fb>45758</fb>
    <v>22</v>
  </rv>
  <rv s="10">
    <fb>198.15</fb>
    <v>23</v>
  </rv>
  <rv s="10">
    <fb>110.93</fb>
    <v>23</v>
  </rv>
  <rv s="10">
    <fb>388.45</fb>
    <v>23</v>
  </rv>
  <rv s="10">
    <fb>543.57000000000005</fb>
    <v>23</v>
  </rv>
  <rv s="10">
    <fb>157.13999999999999</fb>
    <v>23</v>
  </rv>
  <rv s="10">
    <fb>533.94000000000005</fb>
    <v>23</v>
  </rv>
  <rv s="10">
    <fb>297.93</fb>
    <v>23</v>
  </rv>
  <rv s="10">
    <fb>66.459999999999994</fb>
    <v>23</v>
  </rv>
  <rv s="10">
    <fb>93.51</fb>
    <v>23</v>
  </rv>
  <rv s="10">
    <fb>45761</fb>
    <v>22</v>
  </rv>
  <rv s="10">
    <fb>202.52</fb>
    <v>23</v>
  </rv>
  <rv s="10">
    <fb>110.71</fb>
    <v>23</v>
  </rv>
  <rv s="10">
    <fb>387.81</fb>
    <v>23</v>
  </rv>
  <rv s="10">
    <fb>531.48</fb>
    <v>23</v>
  </rv>
  <rv s="10">
    <fb>159.07</fb>
    <v>23</v>
  </rv>
  <rv s="10">
    <fb>539.12</fb>
    <v>23</v>
  </rv>
  <rv s="10">
    <fb>296.23</fb>
    <v>23</v>
  </rv>
  <rv s="10">
    <fb>66.66</fb>
    <v>23</v>
  </rv>
  <rv s="10">
    <fb>94.26</fb>
    <v>23</v>
  </rv>
  <rv s="10">
    <fb>45762</fb>
    <v>22</v>
  </rv>
  <rv s="10">
    <fb>202.14</fb>
    <v>23</v>
  </rv>
  <rv s="10">
    <fb>112.2</fb>
    <v>23</v>
  </rv>
  <rv s="10">
    <fb>385.73</fb>
    <v>23</v>
  </rv>
  <rv s="10">
    <fb>521.52</fb>
    <v>23</v>
  </rv>
  <rv s="10">
    <fb>156.31</fb>
    <v>23</v>
  </rv>
  <rv s="10">
    <fb>537.61</fb>
    <v>23</v>
  </rv>
  <rv s="10">
    <fb>297.77999999999997</fb>
    <v>23</v>
  </rv>
  <rv s="10">
    <fb>66.48</fb>
    <v>23</v>
  </rv>
  <rv s="10">
    <fb>94.54</fb>
    <v>23</v>
  </rv>
  <rv s="10">
    <fb>45763</fb>
    <v>22</v>
  </rv>
  <rv s="10">
    <fb>194.27</fb>
    <v>23</v>
  </rv>
  <rv s="10">
    <fb>104.49</fb>
    <v>23</v>
  </rv>
  <rv s="10">
    <fb>371.61</fb>
    <v>23</v>
  </rv>
  <rv s="10">
    <fb>502.31</fb>
    <v>23</v>
  </rv>
  <rv s="10">
    <fb>153.33000000000001</fb>
    <v>23</v>
  </rv>
  <rv s="10">
    <fb>525.66</fb>
    <v>23</v>
  </rv>
  <rv s="10">
    <fb>307.47000000000003</fb>
    <v>23</v>
  </rv>
  <rv s="10">
    <fb>67.75</fb>
    <v>23</v>
  </rv>
  <rv s="10">
    <fb>94.95</fb>
    <v>23</v>
  </rv>
  <rv s="10">
    <fb>45764</fb>
    <v>22</v>
  </rv>
  <rv s="10">
    <fb>196.98</fb>
    <v>23</v>
  </rv>
  <rv s="10">
    <fb>101.49</fb>
    <v>23</v>
  </rv>
  <rv s="10">
    <fb>367.78</fb>
    <v>23</v>
  </rv>
  <rv s="10">
    <fb>501.48</fb>
    <v>23</v>
  </rv>
  <rv s="10">
    <fb>151.16</fb>
    <v>23</v>
  </rv>
  <rv s="10">
    <fb>526.41</fb>
    <v>23</v>
  </rv>
  <rv s="10">
    <fb>306.12</fb>
    <v>23</v>
  </rv>
  <rv s="10">
    <fb>69.48</fb>
    <v>23</v>
  </rv>
  <rv s="10">
    <fb>94.68</fb>
    <v>23</v>
  </rv>
  <rv s="10">
    <fb>45768</fb>
    <v>22</v>
  </rv>
  <rv s="10">
    <fb>193.16</fb>
    <v>23</v>
  </rv>
  <rv s="10">
    <fb>96.91</fb>
    <v>23</v>
  </rv>
  <rv s="10">
    <fb>359.12</fb>
    <v>23</v>
  </rv>
  <rv s="10">
    <fb>484.66</fb>
    <v>23</v>
  </rv>
  <rv s="10">
    <fb>147.66999999999999</fb>
    <v>23</v>
  </rv>
  <rv s="10">
    <fb>513.88</fb>
    <v>23</v>
  </rv>
  <rv s="10">
    <fb>315.58999999999997</fb>
    <v>23</v>
  </rv>
  <rv s="10">
    <fb>68.62</fb>
    <v>23</v>
  </rv>
  <rv s="10">
    <fb>45769</fb>
    <v>22</v>
  </rv>
  <rv s="10">
    <fb>199.74</fb>
    <v>23</v>
  </rv>
  <rv s="10">
    <fb>98.89</fb>
    <v>23</v>
  </rv>
  <rv s="10">
    <fb>366.82</fb>
    <v>23</v>
  </rv>
  <rv s="10">
    <fb>500.28</fb>
    <v>23</v>
  </rv>
  <rv s="10">
    <fb>151.47</fb>
    <v>23</v>
  </rv>
  <rv s="10">
    <fb>527.25</fb>
    <v>23</v>
  </rv>
  <rv s="10">
    <fb>311.11</fb>
    <v>23</v>
  </rv>
  <rv s="10">
    <fb>69.37</fb>
    <v>23</v>
  </rv>
  <rv s="10">
    <fb>94.24</fb>
    <v>23</v>
  </rv>
  <rv s="10">
    <fb>45770</fb>
    <v>22</v>
  </rv>
  <rv s="10">
    <fb>204.6</fb>
    <v>23</v>
  </rv>
  <rv s="10">
    <fb>102.71</fb>
    <v>23</v>
  </rv>
  <rv s="10">
    <fb>374.39</fb>
    <v>23</v>
  </rv>
  <rv s="10">
    <fb>520.27</fb>
    <v>23</v>
  </rv>
  <rv s="10">
    <fb>155.35</fb>
    <v>23</v>
  </rv>
  <rv s="10">
    <fb>535.41999999999996</fb>
    <v>23</v>
  </rv>
  <rv s="10">
    <fb>303.64999999999998</fb>
    <v>23</v>
  </rv>
  <rv s="10">
    <fb>68.05</fb>
    <v>23</v>
  </rv>
  <rv s="10">
    <fb>94.34</fb>
    <v>23</v>
  </rv>
  <rv s="10">
    <fb>45771</fb>
    <v>22</v>
  </rv>
  <rv s="10">
    <fb>208.37</fb>
    <v>23</v>
  </rv>
  <rv s="10">
    <fb>106.43</fb>
    <v>23</v>
  </rv>
  <rv s="10">
    <fb>387.3</fb>
    <v>23</v>
  </rv>
  <rv s="10">
    <fb>533.15</fb>
    <v>23</v>
  </rv>
  <rv s="10">
    <fb>159.28</fb>
    <v>23</v>
  </rv>
  <rv s="10">
    <fb>546.69000000000005</fb>
    <v>23</v>
  </rv>
  <rv s="10">
    <fb>308.07</fb>
    <v>23</v>
  </rv>
  <rv s="10">
    <fb>68.459999999999994</fb>
    <v>23</v>
  </rv>
  <rv s="10">
    <fb>94.85</fb>
    <v>23</v>
  </rv>
  <rv s="10">
    <fb>45772</fb>
    <v>22</v>
  </rv>
  <rv s="10">
    <fb>209.28</fb>
    <v>23</v>
  </rv>
  <rv s="10">
    <fb>111.01</fb>
    <v>23</v>
  </rv>
  <rv s="10">
    <fb>391.85</fb>
    <v>23</v>
  </rv>
  <rv s="10">
    <fb>547.27</fb>
    <v>23</v>
  </rv>
  <rv s="10">
    <fb>161.96</fb>
    <v>23</v>
  </rv>
  <rv s="10">
    <fb>550.64</fb>
    <v>23</v>
  </rv>
  <rv s="10">
    <fb>304.73</fb>
    <v>23</v>
  </rv>
  <rv s="10">
    <fb>69.03</fb>
    <v>23</v>
  </rv>
  <rv s="10">
    <fb>95.21</fb>
    <v>23</v>
  </rv>
  <rv s="10">
    <fb>45775</fb>
    <v>22</v>
  </rv>
  <rv s="10">
    <fb>210.14</fb>
    <v>23</v>
  </rv>
  <rv s="10">
    <fb>108.73</fb>
    <v>23</v>
  </rv>
  <rv s="10">
    <fb>391.16</fb>
    <v>23</v>
  </rv>
  <rv s="10">
    <fb>549.74</fb>
    <v>23</v>
  </rv>
  <rv s="10">
    <fb>160.61000000000001</fb>
    <v>23</v>
  </rv>
  <rv s="10">
    <fb>550.85</fb>
    <v>23</v>
  </rv>
  <rv s="10">
    <fb>309.07</fb>
    <v>23</v>
  </rv>
  <rv s="10">
    <fb>67.760000000000005</fb>
    <v>23</v>
  </rv>
  <rv s="10">
    <fb>95.59</fb>
    <v>23</v>
  </rv>
  <rv s="10">
    <fb>45776</fb>
    <v>22</v>
  </rv>
  <rv s="10">
    <fb>211.21</fb>
    <v>23</v>
  </rv>
  <rv s="10">
    <fb>109.02</fb>
    <v>23</v>
  </rv>
  <rv s="10">
    <fb>394.04</fb>
    <v>23</v>
  </rv>
  <rv s="10">
    <fb>554.44000000000005</fb>
    <v>23</v>
  </rv>
  <rv s="10">
    <fb>160.16</fb>
    <v>23</v>
  </rv>
  <rv s="10">
    <fb>554.32000000000005</fb>
    <v>23</v>
  </rv>
  <rv s="10">
    <fb>306.06</fb>
    <v>23</v>
  </rv>
  <rv s="10">
    <fb>65.849999999999994</fb>
    <v>23</v>
  </rv>
  <rv s="10">
    <fb>95.92</fb>
    <v>23</v>
  </rv>
  <rv s="10">
    <fb>45777</fb>
    <v>22</v>
  </rv>
  <rv s="10">
    <fb>212.5</fb>
    <v>23</v>
  </rv>
  <rv s="10">
    <fb>108.92</fb>
    <v>23</v>
  </rv>
  <rv s="10">
    <fb>395.26</fb>
    <v>23</v>
  </rv>
  <rv s="10">
    <fb>549</fb>
    <v>23</v>
  </rv>
  <rv s="10">
    <fb>158.80000000000001</fb>
    <v>23</v>
  </rv>
  <rv s="10">
    <fb>554.54</fb>
    <v>23</v>
  </rv>
  <rv s="10">
    <fb>303.77</fb>
    <v>23</v>
  </rv>
  <rv s="10">
    <fb>63.56</fb>
    <v>23</v>
  </rv>
  <rv s="10">
    <fb>96.07</fb>
    <v>23</v>
  </rv>
  <rv s="10">
    <fb>45778</fb>
    <v>22</v>
  </rv>
  <rv s="10">
    <fb>213.32</fb>
    <v>23</v>
  </rv>
  <rv s="10">
    <fb>111.61</fb>
    <v>23</v>
  </rv>
  <rv s="10">
    <fb>425.4</fb>
    <v>23</v>
  </rv>
  <rv s="10">
    <fb>572.21</fb>
    <v>23</v>
  </rv>
  <rv s="10">
    <fb>161.30000000000001</fb>
    <v>23</v>
  </rv>
  <rv s="10">
    <fb>558.47</fb>
    <v>23</v>
  </rv>
  <rv s="10">
    <fb>297.45999999999998</fb>
    <v>23</v>
  </rv>
  <rv s="10">
    <fb>64.52</fb>
    <v>23</v>
  </rv>
  <rv s="10">
    <fb>95.34</fb>
    <v>23</v>
  </rv>
  <rv s="10">
    <fb>45779</fb>
    <v>22</v>
  </rv>
  <rv s="10">
    <fb>205.35</fb>
    <v>23</v>
  </rv>
  <rv s="10">
    <fb>114.5</fb>
    <v>23</v>
  </rv>
  <rv s="10">
    <fb>435.28</fb>
    <v>23</v>
  </rv>
  <rv s="10">
    <fb>597.02</fb>
    <v>23</v>
  </rv>
  <rv s="10">
    <fb>164.03</fb>
    <v>23</v>
  </rv>
  <rv s="10">
    <fb>566.76</fb>
    <v>23</v>
  </rv>
  <rv s="10">
    <fb>297.98</fb>
    <v>23</v>
  </rv>
  <rv s="10">
    <fb>64.010000000000005</fb>
    <v>23</v>
  </rv>
  <rv s="10">
    <fb>94.7</fb>
    <v>23</v>
  </rv>
  <rv s="10">
    <fb>45782</fb>
    <v>22</v>
  </rv>
  <rv s="10">
    <fb>198.89</fb>
    <v>23</v>
  </rv>
  <rv s="10">
    <fb>113.82</fb>
    <v>23</v>
  </rv>
  <rv s="10">
    <fb>436.17</fb>
    <v>23</v>
  </rv>
  <rv s="10">
    <fb>599.27</fb>
    <v>23</v>
  </rv>
  <rv s="10">
    <fb>164.21</fb>
    <v>23</v>
  </rv>
  <rv s="10">
    <fb>563.51</fb>
    <v>23</v>
  </rv>
  <rv s="10">
    <fb>306.88</fb>
    <v>23</v>
  </rv>
  <rv s="10">
    <fb>62.37</fb>
    <v>23</v>
  </rv>
  <rv s="10">
    <fb>94.53</fb>
    <v>23</v>
  </rv>
  <rv s="10">
    <fb>45783</fb>
    <v>22</v>
  </rv>
  <rv s="10">
    <fb>198.51</fb>
    <v>23</v>
  </rv>
  <rv s="10">
    <fb>113.54</fb>
    <v>23</v>
  </rv>
  <rv s="10">
    <fb>433.31</fb>
    <v>23</v>
  </rv>
  <rv s="10">
    <fb>587.30999999999995</fb>
    <v>23</v>
  </rv>
  <rv s="10">
    <fb>163.22999999999999</fb>
    <v>23</v>
  </rv>
  <rv s="10">
    <fb>558.79999999999995</fb>
    <v>23</v>
  </rv>
  <rv s="10">
    <fb>315.48</fb>
    <v>23</v>
  </rv>
  <rv s="10">
    <fb>64.599999999999994</fb>
    <v>23</v>
  </rv>
  <rv s="10">
    <fb>45784</fb>
    <v>22</v>
  </rv>
  <rv s="10">
    <fb>196.25</fb>
    <v>23</v>
  </rv>
  <rv s="10">
    <fb>117.06</fb>
    <v>23</v>
  </rv>
  <rv s="10">
    <fb>433.35</fb>
    <v>23</v>
  </rv>
  <rv s="10">
    <fb>596.80999999999995</fb>
    <v>23</v>
  </rv>
  <rv s="10">
    <fb>151.38</fb>
    <v>23</v>
  </rv>
  <rv s="10">
    <fb>561.15</fb>
    <v>23</v>
  </rv>
  <rv s="10">
    <fb>310.75</fb>
    <v>23</v>
  </rv>
  <rv s="10">
    <fb>63.51</fb>
    <v>23</v>
  </rv>
  <rv s="10">
    <fb>45785</fb>
    <v>22</v>
  </rv>
  <rv s="10">
    <fb>197.49</fb>
    <v>23</v>
  </rv>
  <rv s="10">
    <fb>117.37</fb>
    <v>23</v>
  </rv>
  <rv s="10">
    <fb>438.17</fb>
    <v>23</v>
  </rv>
  <rv s="10">
    <fb>598.01</fb>
    <v>23</v>
  </rv>
  <rv s="10">
    <fb>154.28</fb>
    <v>23</v>
  </rv>
  <rv s="10">
    <fb>565.05999999999995</fb>
    <v>23</v>
  </rv>
  <rv s="10">
    <fb>304.63</fb>
    <v>23</v>
  </rv>
  <rv s="10">
    <fb>65.599999999999994</fb>
    <v>23</v>
  </rv>
  <rv s="10">
    <fb>94.28</fb>
    <v>23</v>
  </rv>
  <rv s="10">
    <fb>45786</fb>
    <v>22</v>
  </rv>
  <rv s="10">
    <fb>198.53</fb>
    <v>23</v>
  </rv>
  <rv s="10">
    <fb>116.65</fb>
    <v>23</v>
  </rv>
  <rv s="10">
    <fb>438.73</fb>
    <v>23</v>
  </rv>
  <rv s="10">
    <fb>592.49</fb>
    <v>23</v>
  </rv>
  <rv s="10">
    <fb>152.75</fb>
    <v>23</v>
  </rv>
  <rv s="10">
    <fb>564.34</fb>
    <v>23</v>
  </rv>
  <rv s="10">
    <fb>306.83999999999997</fb>
    <v>23</v>
  </rv>
  <rv s="10">
    <fb>66.61</fb>
    <v>23</v>
  </rv>
  <rv s="10">
    <fb>94.35</fb>
    <v>23</v>
  </rv>
  <rv s="10">
    <fb>45789</fb>
    <v>22</v>
  </rv>
  <rv s="10">
    <fb>210.79</fb>
    <v>23</v>
  </rv>
  <rv s="10">
    <fb>123</fb>
    <v>23</v>
  </rv>
  <rv s="10">
    <fb>449.26</fb>
    <v>23</v>
  </rv>
  <rv s="10">
    <fb>639.42999999999995</fb>
    <v>23</v>
  </rv>
  <rv s="10">
    <fb>158.46</fb>
    <v>23</v>
  </rv>
  <rv s="10">
    <fb>582.99</fb>
    <v>23</v>
  </rv>
  <rv s="10">
    <fb>298.19</fb>
    <v>23</v>
  </rv>
  <rv s="10">
    <fb>67.599999999999994</fb>
    <v>23</v>
  </rv>
  <rv s="10">
    <fb>93.75</fb>
    <v>23</v>
  </rv>
  <rv s="10">
    <fb>45790</fb>
    <v>22</v>
  </rv>
  <rv s="10">
    <fb>212.93</fb>
    <v>23</v>
  </rv>
  <rv s="10">
    <fb>129.93</fb>
    <v>23</v>
  </rv>
  <rv s="10">
    <fb>449.14</fb>
    <v>23</v>
  </rv>
  <rv s="10">
    <fb>656.03</fb>
    <v>23</v>
  </rv>
  <rv s="10">
    <fb>159.53</fb>
    <v>23</v>
  </rv>
  <rv s="10">
    <fb>586.84</fb>
    <v>23</v>
  </rv>
  <rv s="10">
    <fb>299.45999999999998</fb>
    <v>23</v>
  </rv>
  <rv s="10">
    <fb>69.59</fb>
    <v>23</v>
  </rv>
  <rv s="10">
    <fb>93.68</fb>
    <v>23</v>
  </rv>
  <rv s="10">
    <fb>45791</fb>
    <v>22</v>
  </rv>
  <rv s="10">
    <fb>212.33</fb>
    <v>23</v>
  </rv>
  <rv s="10">
    <fb>452.94</fb>
    <v>23</v>
  </rv>
  <rv s="10">
    <fb>659.36</fb>
    <v>23</v>
  </rv>
  <rv s="10">
    <fb>165.37</fb>
    <v>23</v>
  </rv>
  <rv s="10">
    <fb>587.59</fb>
    <v>23</v>
  </rv>
  <rv s="10">
    <fb>293.16000000000003</fb>
    <v>23</v>
  </rv>
  <rv s="10">
    <fb>68.73</fb>
    <v>23</v>
  </rv>
  <rv s="10">
    <fb>93.33</fb>
    <v>23</v>
  </rv>
  <rv s="10">
    <fb>45792</fb>
    <v>22</v>
  </rv>
  <rv s="10">
    <fb>211.45</fb>
    <v>23</v>
  </rv>
  <rv s="10">
    <fb>134.83000000000001</fb>
    <v>23</v>
  </rv>
  <rv s="10">
    <fb>453.13</fb>
    <v>23</v>
  </rv>
  <rv s="10">
    <fb>643.88</fb>
    <v>23</v>
  </rv>
  <rv s="10">
    <fb>163.96</fb>
    <v>23</v>
  </rv>
  <rv s="10">
    <fb>590.46</fb>
    <v>23</v>
  </rv>
  <rv s="10">
    <fb>297.83999999999997</fb>
    <v>23</v>
  </rv>
  <rv s="10">
    <fb>67.59</fb>
    <v>23</v>
  </rv>
  <rv s="10">
    <fb>45793</fb>
    <v>22</v>
  </rv>
  <rv s="10">
    <fb>211.26</fb>
    <v>23</v>
  </rv>
  <rv s="10">
    <fb>454.27</fb>
    <v>23</v>
  </rv>
  <rv s="10">
    <fb>640.34</fb>
    <v>23</v>
  </rv>
  <rv s="10">
    <fb>166.19</fb>
    <v>23</v>
  </rv>
  <rv s="10">
    <fb>594.20000000000005</fb>
    <v>23</v>
  </rv>
  <rv s="10">
    <fb>294.24</fb>
    <v>23</v>
  </rv>
  <rv s="10">
    <fb>68.099999999999994</fb>
    <v>23</v>
  </rv>
  <rv s="10">
    <fb>93.97</fb>
    <v>23</v>
  </rv>
  <rv s="10">
    <fb>45796</fb>
    <v>22</v>
  </rv>
  <rv s="10">
    <fb>208.78</fb>
    <v>23</v>
  </rv>
  <rv s="10">
    <fb>135.57</fb>
    <v>23</v>
  </rv>
  <rv s="10">
    <fb>458.87</fb>
    <v>23</v>
  </rv>
  <rv s="10">
    <fb>640.42999999999995</fb>
    <v>23</v>
  </rv>
  <rv s="10">
    <fb>166.54</fb>
    <v>23</v>
  </rv>
  <rv s="10">
    <fb>594.85</fb>
    <v>23</v>
  </rv>
  <rv s="10">
    <fb>298.02999999999997</fb>
    <v>23</v>
  </rv>
  <rv s="10">
    <fb>68.510000000000005</fb>
    <v>23</v>
  </rv>
  <rv s="10">
    <fb>93.92</fb>
    <v>23</v>
  </rv>
  <rv s="10">
    <fb>45797</fb>
    <v>22</v>
  </rv>
  <rv s="10">
    <fb>206.86</fb>
    <v>23</v>
  </rv>
  <rv s="10">
    <fb>134.38</fb>
    <v>23</v>
  </rv>
  <rv s="10">
    <fb>458.17</fb>
    <v>23</v>
  </rv>
  <rv s="10">
    <fb>637.1</fb>
    <v>23</v>
  </rv>
  <rv s="10">
    <fb>163.98</fb>
    <v>23</v>
  </rv>
  <rv s="10">
    <fb>592.85</fb>
    <v>23</v>
  </rv>
  <rv s="10">
    <fb>303.58</fb>
    <v>23</v>
  </rv>
  <rv s="10">
    <fb>68.66</fb>
    <v>23</v>
  </rv>
  <rv s="10">
    <fb>93.8</fb>
    <v>23</v>
  </rv>
  <rv s="10">
    <fb>45798</fb>
    <v>22</v>
  </rv>
  <rv s="10">
    <fb>202.09</fb>
    <v>23</v>
  </rv>
  <rv s="10">
    <fb>131.80000000000001</fb>
    <v>23</v>
  </rv>
  <rv s="10">
    <fb>452.57</fb>
    <v>23</v>
  </rv>
  <rv s="10">
    <fb>635.5</fb>
    <v>23</v>
  </rv>
  <rv s="10">
    <fb>168.56</fb>
    <v>23</v>
  </rv>
  <rv s="10">
    <fb>582.86</fb>
    <v>23</v>
  </rv>
  <rv s="10">
    <fb>305.82</fb>
    <v>23</v>
  </rv>
  <rv s="10">
    <fb>93.15</fb>
    <v>23</v>
  </rv>
  <rv s="10">
    <fb>45799</fb>
    <v>22</v>
  </rv>
  <rv s="10">
    <fb>201.36</fb>
    <v>23</v>
  </rv>
  <rv s="10">
    <fb>132.83000000000001</fb>
    <v>23</v>
  </rv>
  <rv s="10">
    <fb>454.86</fb>
    <v>23</v>
  </rv>
  <rv s="10">
    <fb>636.57000000000005</fb>
    <v>23</v>
  </rv>
  <rv s="10">
    <fb>170.87</fb>
    <v>23</v>
  </rv>
  <rv s="10">
    <fb>583.09</fb>
    <v>23</v>
  </rv>
  <rv s="10">
    <fb>303.11</fb>
    <v>23</v>
  </rv>
  <rv s="10">
    <fb>67.14</fb>
    <v>23</v>
  </rv>
  <rv s="10">
    <fb>93.5</fb>
    <v>23</v>
  </rv>
  <rv s="10">
    <fb>45800</fb>
    <v>22</v>
  </rv>
  <rv s="10">
    <fb>195.27</fb>
    <v>23</v>
  </rv>
  <rv s="10">
    <fb>131.29</fb>
    <v>23</v>
  </rv>
  <rv s="10">
    <fb>450.18</fb>
    <v>23</v>
  </rv>
  <rv s="10">
    <fb>627.05999999999995</fb>
    <v>23</v>
  </rv>
  <rv s="10">
    <fb>168.47</fb>
    <v>23</v>
  </rv>
  <rv s="10">
    <fb>579.11</fb>
    <v>23</v>
  </rv>
  <rv s="10">
    <fb>309.75</fb>
    <v>23</v>
  </rv>
  <rv s="10">
    <fb>67.989999999999995</fb>
    <v>23</v>
  </rv>
  <rv s="10">
    <fb>93.77</fb>
    <v>23</v>
  </rv>
  <rv s="10">
    <fb>45804</fb>
    <v>22</v>
  </rv>
  <rv s="10">
    <fb>135.5</fb>
    <v>23</v>
  </rv>
  <rv s="10">
    <fb>460.69</fb>
    <v>23</v>
  </rv>
  <rv s="10">
    <fb>642.32000000000005</fb>
    <v>23</v>
  </rv>
  <rv s="10">
    <fb>172.9</fb>
    <v>23</v>
  </rv>
  <rv s="10">
    <fb>304.5</fb>
    <v>23</v>
  </rv>
  <rv s="10">
    <fb>67.28</fb>
    <v>23</v>
  </rv>
  <rv s="10">
    <fb>94.16</fb>
    <v>23</v>
  </rv>
  <rv s="10">
    <fb>45805</fb>
    <v>22</v>
  </rv>
  <rv s="10">
    <fb>200.42</fb>
    <v>23</v>
  </rv>
  <rv s="10">
    <fb>457.36</fb>
    <v>23</v>
  </rv>
  <rv s="10">
    <fb>643.58000000000004</fb>
    <v>23</v>
  </rv>
  <rv s="10">
    <fb>172.36</fb>
    <v>23</v>
  </rv>
  <rv s="10">
    <fb>587.73</fb>
    <v>23</v>
  </rv>
  <rv s="10">
    <fb>303.81</fb>
    <v>23</v>
  </rv>
  <rv s="10">
    <fb>67.89</fb>
    <v>23</v>
  </rv>
  <rv s="10">
    <fb>93.9</fb>
    <v>23</v>
  </rv>
  <rv s="10">
    <fb>45806</fb>
    <v>22</v>
  </rv>
  <rv s="10">
    <fb>199.95</fb>
    <v>23</v>
  </rv>
  <rv s="10">
    <fb>139.19</fb>
    <v>23</v>
  </rv>
  <rv s="10">
    <fb>458.68</fb>
    <v>23</v>
  </rv>
  <rv s="10">
    <fb>645.04999999999995</fb>
    <v>23</v>
  </rv>
  <rv s="10">
    <fb>171.86</fb>
    <v>23</v>
  </rv>
  <rv s="10">
    <fb>590.04999999999995</fb>
    <v>23</v>
  </rv>
  <rv s="10">
    <fb>305.61</fb>
    <v>23</v>
  </rv>
  <rv s="10">
    <fb>67.19</fb>
    <v>23</v>
  </rv>
  <rv s="10">
    <fb>94.29</fb>
    <v>23</v>
  </rv>
  <rv s="10">
    <fb>45807</fb>
    <v>22</v>
  </rv>
  <rv s="10">
    <fb>200.85</fb>
    <v>23</v>
  </rv>
  <rv s="10">
    <fb>135.13</fb>
    <v>23</v>
  </rv>
  <rv s="10">
    <fb>460.36</fb>
    <v>23</v>
  </rv>
  <rv s="10">
    <fb>171.74</fb>
    <v>23</v>
  </rv>
  <rv s="10">
    <fb>589.39</fb>
    <v>23</v>
  </rv>
  <rv s="10">
    <fb>303.60000000000002</fb>
    <v>23</v>
  </rv>
  <rv s="10">
    <fb>67.150000000000006</fb>
    <v>23</v>
  </rv>
  <rv s="10">
    <fb>45810</fb>
    <v>22</v>
  </rv>
  <rv s="10">
    <fb>201.7</fb>
    <v>23</v>
  </rv>
  <rv s="10">
    <fb>137.38</fb>
    <v>23</v>
  </rv>
  <rv s="10">
    <fb>461.97</fb>
    <v>23</v>
  </rv>
  <rv s="10">
    <fb>670.9</fb>
    <v>23</v>
  </rv>
  <rv s="10">
    <fb>169.03</fb>
    <v>23</v>
  </rv>
  <rv s="10">
    <fb>592.71</fb>
    <v>23</v>
  </rv>
  <rv s="10">
    <fb>311.67</fb>
    <v>23</v>
  </rv>
  <rv s="10">
    <fb>69.55</fb>
    <v>23</v>
  </rv>
  <rv s="10">
    <fb>45811</fb>
    <v>22</v>
  </rv>
  <rv s="10">
    <fb>203.27</fb>
    <v>23</v>
  </rv>
  <rv s="10">
    <fb>141.22</fb>
    <v>23</v>
  </rv>
  <rv s="10">
    <fb>462.97</fb>
    <v>23</v>
  </rv>
  <rv s="10">
    <fb>666.85</fb>
    <v>23</v>
  </rv>
  <rv s="10">
    <fb>166.18</fb>
    <v>23</v>
  </rv>
  <rv s="10">
    <fb>596.09</fb>
    <v>23</v>
  </rv>
  <rv s="10">
    <fb>308.91000000000003</fb>
    <v>23</v>
  </rv>
  <rv s="10">
    <fb>69.89</fb>
    <v>23</v>
  </rv>
  <rv s="10">
    <fb>93.85</fb>
    <v>23</v>
  </rv>
  <rv s="10">
    <fb>45812</fb>
    <v>22</v>
  </rv>
  <rv s="10">
    <fb>202.82</fb>
    <v>23</v>
  </rv>
  <rv s="10">
    <fb>141.91999999999999</fb>
    <v>23</v>
  </rv>
  <rv s="10">
    <fb>463.87</fb>
    <v>23</v>
  </rv>
  <rv s="10">
    <fb>687.95</fb>
    <v>23</v>
  </rv>
  <rv s="10">
    <fb>168.05</fb>
    <v>23</v>
  </rv>
  <rv s="10">
    <fb>595.92999999999995</fb>
    <v>23</v>
  </rv>
  <rv s="10">
    <fb>310.89999999999998</fb>
    <v>23</v>
  </rv>
  <rv s="10">
    <fb>69.34</fb>
    <v>23</v>
  </rv>
  <rv s="10">
    <fb>45813</fb>
    <v>22</v>
  </rv>
  <rv s="10">
    <fb>200.63</fb>
    <v>23</v>
  </rv>
  <rv s="10">
    <fb>139.99</fb>
    <v>23</v>
  </rv>
  <rv s="10">
    <fb>467.68</fb>
    <v>23</v>
  </rv>
  <rv s="10">
    <fb>684.62</fb>
    <v>23</v>
  </rv>
  <rv s="10">
    <fb>168.21</fb>
    <v>23</v>
  </rv>
  <rv s="10">
    <fb>593.04999999999995</fb>
    <v>23</v>
  </rv>
  <rv s="10">
    <fb>309.33</fb>
    <v>23</v>
  </rv>
  <rv s="10">
    <fb>69.930000000000007</fb>
    <v>23</v>
  </rv>
  <rv s="10">
    <fb>45814</fb>
    <v>22</v>
  </rv>
  <rv s="10">
    <fb>203.92</fb>
    <v>23</v>
  </rv>
  <rv s="10">
    <fb>141.72</fb>
    <v>23</v>
  </rv>
  <rv s="10">
    <fb>470.38</fb>
    <v>23</v>
  </rv>
  <rv s="10">
    <fb>697.71</fb>
    <v>23</v>
  </rv>
  <rv s="10">
    <fb>173.68</fb>
    <v>23</v>
  </rv>
  <rv s="10">
    <fb>599.14</fb>
    <v>23</v>
  </rv>
  <rv s="10">
    <fb>305.18</fb>
    <v>23</v>
  </rv>
  <rv s="10">
    <fb>45817</fb>
    <v>22</v>
  </rv>
  <rv s="10">
    <fb>201.45</fb>
    <v>23</v>
  </rv>
  <rv s="10">
    <fb>142.63</fb>
    <v>23</v>
  </rv>
  <rv s="10">
    <fb>472.75</fb>
    <v>23</v>
  </rv>
  <rv s="10">
    <fb>694.06</fb>
    <v>23</v>
  </rv>
  <rv s="10">
    <fb>176.09</fb>
    <v>23</v>
  </rv>
  <rv s="10">
    <fb>599.67999999999995</fb>
    <v>23</v>
  </rv>
  <rv s="10">
    <fb>306.62</fb>
    <v>23</v>
  </rv>
  <rv s="10">
    <fb>72.05</fb>
    <v>23</v>
  </rv>
  <rv s="10">
    <fb>45818</fb>
    <v>22</v>
  </rv>
  <rv s="10">
    <fb>202.67</fb>
    <v>23</v>
  </rv>
  <rv s="10">
    <fb>143.96</fb>
    <v>23</v>
  </rv>
  <rv s="10">
    <fb>470.92</fb>
    <v>23</v>
  </rv>
  <rv s="10">
    <fb>702.4</fb>
    <v>23</v>
  </rv>
  <rv s="10">
    <fb>178.6</fb>
    <v>23</v>
  </rv>
  <rv s="10">
    <fb>603.08000000000004</fb>
    <v>23</v>
  </rv>
  <rv s="10">
    <fb>306.70999999999998</fb>
    <v>23</v>
  </rv>
  <rv s="10">
    <fb>71.599999999999994</fb>
    <v>23</v>
  </rv>
  <rv s="10">
    <fb>93.84</fb>
    <v>23</v>
  </rv>
  <rv s="10">
    <fb>45819</fb>
    <v>22</v>
  </rv>
  <rv s="10">
    <fb>198.78</fb>
    <v>23</v>
  </rv>
  <rv s="10">
    <fb>142.83000000000001</fb>
    <v>23</v>
  </rv>
  <rv s="10">
    <fb>472.62</fb>
    <v>23</v>
  </rv>
  <rv s="10">
    <fb>694.14</fb>
    <v>23</v>
  </rv>
  <rv s="10">
    <fb>177.35</fb>
    <v>23</v>
  </rv>
  <rv s="10">
    <fb>601.36</fb>
    <v>23</v>
  </rv>
  <rv s="10">
    <fb>308.37</fb>
    <v>23</v>
  </rv>
  <rv s="10">
    <fb>94.23</fb>
    <v>23</v>
  </rv>
  <rv s="10">
    <fb>45820</fb>
    <v>22</v>
  </rv>
  <rv s="10">
    <fb>199.2</fb>
    <v>23</v>
  </rv>
  <rv s="10">
    <fb>145</fb>
    <v>23</v>
  </rv>
  <rv s="10">
    <fb>478.87</fb>
    <v>23</v>
  </rv>
  <rv s="10">
    <fb>693.36</fb>
    <v>23</v>
  </rv>
  <rv s="10">
    <fb>175.7</fb>
    <v>23</v>
  </rv>
  <rv s="10">
    <fb>603.75</fb>
    <v>23</v>
  </rv>
  <rv s="10">
    <fb>312.2</fb>
    <v>23</v>
  </rv>
  <rv s="10">
    <fb>75.05</fb>
    <v>23</v>
  </rv>
  <rv s="10">
    <fb>94.64</fb>
    <v>23</v>
  </rv>
  <rv s="10">
    <fb>45821</fb>
    <v>22</v>
  </rv>
  <rv s="10">
    <fb>196.45</fb>
    <v>23</v>
  </rv>
  <rv s="10">
    <fb>141.97</fb>
    <v>23</v>
  </rv>
  <rv s="10">
    <fb>474.96</fb>
    <v>23</v>
  </rv>
  <rv s="10">
    <fb>682.87</fb>
    <v>23</v>
  </rv>
  <rv s="10">
    <fb>174.67</fb>
    <v>23</v>
  </rv>
  <rv s="10">
    <fb>597</fb>
    <v>23</v>
  </rv>
  <rv s="10">
    <fb>316.29000000000002</fb>
    <v>23</v>
  </rv>
  <rv s="10">
    <fb>80.22</fb>
    <v>23</v>
  </rv>
  <rv s="10">
    <fb>45824</fb>
    <v>22</v>
  </rv>
  <rv s="10">
    <fb>198.42</fb>
    <v>23</v>
  </rv>
  <rv s="10">
    <fb>144.69</fb>
    <v>23</v>
  </rv>
  <rv s="10">
    <fb>479.14</fb>
    <v>23</v>
  </rv>
  <rv s="10">
    <fb>702.12</fb>
    <v>23</v>
  </rv>
  <rv s="10">
    <fb>176.77</fb>
    <v>23</v>
  </rv>
  <rv s="10">
    <fb>602.67999999999995</fb>
    <v>23</v>
  </rv>
  <rv s="10">
    <fb>311.77999999999997</fb>
    <v>23</v>
  </rv>
  <rv s="10">
    <fb>78.59</fb>
    <v>23</v>
  </rv>
  <rv s="10">
    <fb>94.02</fb>
    <v>23</v>
  </rv>
  <rv s="10">
    <fb>45825</fb>
    <v>22</v>
  </rv>
  <rv s="10">
    <fb>195.64</fb>
    <v>23</v>
  </rv>
  <rv s="10">
    <fb>144.12</fb>
    <v>23</v>
  </rv>
  <rv s="10">
    <fb>478.04</fb>
    <v>23</v>
  </rv>
  <rv s="10">
    <fb>697.23</fb>
    <v>23</v>
  </rv>
  <rv s="10">
    <fb>175.95</fb>
    <v>23</v>
  </rv>
  <rv s="10">
    <fb>311.94</fb>
    <v>23</v>
  </rv>
  <rv s="10">
    <fb>82.3</fb>
    <v>23</v>
  </rv>
  <rv s="10">
    <fb>45826</fb>
    <v>22</v>
  </rv>
  <rv s="10">
    <fb>196.58</fb>
    <v>23</v>
  </rv>
  <rv s="10">
    <fb>145.47999999999999</fb>
    <v>23</v>
  </rv>
  <rv s="10">
    <fb>480.24</fb>
    <v>23</v>
  </rv>
  <rv s="10">
    <fb>695.77</fb>
    <v>23</v>
  </rv>
  <rv s="10">
    <fb>173.32</fb>
    <v>23</v>
  </rv>
  <rv s="10">
    <fb>597.44000000000005</fb>
    <v>23</v>
  </rv>
  <rv s="10">
    <fb>310.26</fb>
    <v>23</v>
  </rv>
  <rv s="10">
    <fb>82.27</fb>
    <v>23</v>
  </rv>
  <rv s="10">
    <fb>45828</fb>
    <v>22</v>
  </rv>
  <rv s="10">
    <fb>201</fb>
    <v>23</v>
  </rv>
  <rv s="10">
    <fb>143.85</fb>
    <v>23</v>
  </rv>
  <rv s="10">
    <fb>477.4</fb>
    <v>23</v>
  </rv>
  <rv s="10">
    <fb>682.35</fb>
    <v>23</v>
  </rv>
  <rv s="10">
    <fb>166.64</fb>
    <v>23</v>
  </rv>
  <rv s="10">
    <fb>594.28</fb>
    <v>23</v>
  </rv>
  <rv s="10">
    <fb>310.13</fb>
    <v>23</v>
  </rv>
  <rv s="10">
    <fb>83.12</fb>
    <v>23</v>
  </rv>
  <rv s="10">
    <fb>94.6</fb>
    <v>23</v>
  </rv>
  <rv s="10">
    <fb>45831</fb>
    <v>22</v>
  </rv>
  <rv s="10">
    <fb>201.5</fb>
    <v>23</v>
  </rv>
  <rv s="10">
    <fb>144.16999999999999</fb>
    <v>23</v>
  </rv>
  <rv s="10">
    <fb>486</fb>
    <v>23</v>
  </rv>
  <rv s="10">
    <fb>698.53</fb>
    <v>23</v>
  </rv>
  <rv s="10">
    <fb>165.19</fb>
    <v>23</v>
  </rv>
  <rv s="10">
    <fb>600.15</fb>
    <v>23</v>
  </rv>
  <rv s="10">
    <fb>311.08</fb>
    <v>23</v>
  </rv>
  <rv s="10">
    <fb>76.41</fb>
    <v>23</v>
  </rv>
  <rv s="10">
    <fb>45832</fb>
    <v>22</v>
  </rv>
  <rv s="10">
    <fb>200.3</fb>
    <v>23</v>
  </rv>
  <rv s="10">
    <fb>147.9</fb>
    <v>23</v>
  </rv>
  <rv s="10">
    <fb>490.11</fb>
    <v>23</v>
  </rv>
  <rv s="10">
    <fb>712.2</fb>
    <v>23</v>
  </rv>
  <rv s="10">
    <fb>166.77</fb>
    <v>23</v>
  </rv>
  <rv s="10">
    <fb>606.78</fb>
    <v>23</v>
  </rv>
  <rv s="10">
    <fb>306.19</fb>
    <v>23</v>
  </rv>
  <rv s="10">
    <fb>73</fb>
    <v>23</v>
  </rv>
  <rv s="10">
    <fb>95.26</fb>
    <v>23</v>
  </rv>
  <rv s="10">
    <fb>45833</fb>
    <v>22</v>
  </rv>
  <rv s="10">
    <fb>201.56</fb>
    <v>23</v>
  </rv>
  <rv s="10">
    <fb>154.31</fb>
    <v>23</v>
  </rv>
  <rv s="10">
    <fb>492.27</fb>
    <v>23</v>
  </rv>
  <rv s="10">
    <fb>708.68</fb>
    <v>23</v>
  </rv>
  <rv s="10">
    <fb>170.68</fb>
    <v>23</v>
  </rv>
  <rv s="10">
    <fb>607.12</fb>
    <v>23</v>
  </rv>
  <rv s="10">
    <fb>307.12</fb>
    <v>23</v>
  </rv>
  <rv s="10">
    <fb>95.3</fb>
    <v>23</v>
  </rv>
  <rv s="10">
    <fb>45834</fb>
    <v>22</v>
  </rv>
  <rv s="10">
    <fb>155.02000000000001</fb>
    <v>23</v>
  </rv>
  <rv s="10">
    <fb>497.45</fb>
    <v>23</v>
  </rv>
  <rv s="10">
    <fb>726.09</fb>
    <v>23</v>
  </rv>
  <rv s="10">
    <fb>173.54</fb>
    <v>23</v>
  </rv>
  <rv s="10">
    <fb>611.87</fb>
    <v>23</v>
  </rv>
  <rv s="10">
    <fb>306.77999999999997</fb>
    <v>23</v>
  </rv>
  <rv s="10">
    <fb>73.59</fb>
    <v>23</v>
  </rv>
  <rv s="10">
    <fb>95.64</fb>
    <v>23</v>
  </rv>
  <rv s="10">
    <fb>45835</fb>
    <v>22</v>
  </rv>
  <rv s="10">
    <fb>201.08</fb>
    <v>23</v>
  </rv>
  <rv s="10">
    <fb>157.75</fb>
    <v>23</v>
  </rv>
  <rv s="10">
    <fb>495.94</fb>
    <v>23</v>
  </rv>
  <rv s="10">
    <fb>733.63</fb>
    <v>23</v>
  </rv>
  <rv s="10">
    <fb>178.53</fb>
    <v>23</v>
  </rv>
  <rv s="10">
    <fb>614.91</fb>
    <v>23</v>
  </rv>
  <rv s="10">
    <fb>301.22000000000003</fb>
    <v>23</v>
  </rv>
  <rv s="10">
    <fb>73.28</fb>
    <v>23</v>
  </rv>
  <rv s="10">
    <fb>45838</fb>
    <v>22</v>
  </rv>
  <rv s="10">
    <fb>205.17</fb>
    <v>23</v>
  </rv>
  <rv s="10">
    <fb>157.99</fb>
    <v>23</v>
  </rv>
  <rv s="10">
    <fb>497.41</fb>
    <v>23</v>
  </rv>
  <rv s="10">
    <fb>738.09</fb>
    <v>23</v>
  </rv>
  <rv s="10">
    <fb>176.23</fb>
    <v>23</v>
  </rv>
  <rv s="10">
    <fb>617.85</fb>
    <v>23</v>
  </rv>
  <rv s="10">
    <fb>304.83</fb>
    <v>23</v>
  </rv>
  <rv s="10">
    <fb>73.11</fb>
    <v>23</v>
  </rv>
  <rv s="10">
    <fb>95.77</fb>
    <v>23</v>
  </rv>
  <rv s="10">
    <fb>45839</fb>
    <v>22</v>
  </rv>
  <rv s="10">
    <fb>207.82</fb>
    <v>23</v>
  </rv>
  <rv s="10">
    <fb>153.30000000000001</fb>
    <v>23</v>
  </rv>
  <rv s="10">
    <fb>492.05</fb>
    <v>23</v>
  </rv>
  <rv s="10">
    <fb>719.22</fb>
    <v>23</v>
  </rv>
  <rv s="10">
    <fb>175.84</fb>
    <v>23</v>
  </rv>
  <rv s="10">
    <fb>617.65</fb>
    <v>23</v>
  </rv>
  <rv s="10">
    <fb>307.55</fb>
    <v>23</v>
  </rv>
  <rv s="10">
    <fb>73.930000000000007</fb>
    <v>23</v>
  </rv>
  <rv s="10">
    <fb>95.29</fb>
    <v>23</v>
  </rv>
  <rv s="10">
    <fb>45840</fb>
    <v>22</v>
  </rv>
  <rv s="10">
    <fb>212.44</fb>
    <v>23</v>
  </rv>
  <rv s="10">
    <fb>157.25</fb>
    <v>23</v>
  </rv>
  <rv s="10">
    <fb>491.09</fb>
    <v>23</v>
  </rv>
  <rv s="10">
    <fb>713.57</fb>
    <v>23</v>
  </rv>
  <rv s="10">
    <fb>178.64</fb>
    <v>23</v>
  </rv>
  <rv s="10">
    <fb>620.45000000000005</fb>
    <v>23</v>
  </rv>
  <rv s="10">
    <fb>309.25</fb>
    <v>23</v>
  </rv>
  <rv s="10">
    <fb>75.59</fb>
    <v>23</v>
  </rv>
  <rv s="10">
    <fb>45841</fb>
    <v>22</v>
  </rv>
  <rv s="10">
    <fb>213.55</fb>
    <v>23</v>
  </rv>
  <rv s="10">
    <fb>159.34</fb>
    <v>23</v>
  </rv>
  <rv s="10">
    <fb>498.84</fb>
    <v>23</v>
  </rv>
  <rv s="10">
    <fb>719.01</fb>
    <v>23</v>
  </rv>
  <rv s="10">
    <fb>179.53</fb>
    <v>23</v>
  </rv>
  <rv s="10">
    <fb>625.34</fb>
    <v>23</v>
  </rv>
  <rv s="10">
    <fb>307.14</fb>
    <v>23</v>
  </rv>
  <rv s="10">
    <fb>75.19</fb>
    <v>23</v>
  </rv>
  <rv s="10">
    <fb>94.76</fb>
    <v>23</v>
  </rv>
  <rv s="10">
    <fb>45845</fb>
    <v>22</v>
  </rv>
  <rv s="10">
    <fb>209.95</fb>
    <v>23</v>
  </rv>
  <rv s="10">
    <fb>158.24</fb>
    <v>23</v>
  </rv>
  <rv s="10">
    <fb>497.72</fb>
    <v>23</v>
  </rv>
  <rv s="10">
    <fb>718.35</fb>
    <v>23</v>
  </rv>
  <rv s="10">
    <fb>176.79</fb>
    <v>23</v>
  </rv>
  <rv s="10">
    <fb>620.67999999999995</fb>
    <v>23</v>
  </rv>
  <rv s="10">
    <fb>307.37</fb>
    <v>23</v>
  </rv>
  <rv s="10">
    <fb>76.48</fb>
    <v>23</v>
  </rv>
  <rv s="10">
    <fb>94.46</fb>
    <v>23</v>
  </rv>
  <rv s="10">
    <fb>45846</fb>
    <v>22</v>
  </rv>
  <rv s="10">
    <fb>210.01</fb>
    <v>23</v>
  </rv>
  <rv s="10">
    <fb>160</fb>
    <v>23</v>
  </rv>
  <rv s="10">
    <fb>496.62</fb>
    <v>23</v>
  </rv>
  <rv s="10">
    <fb>720.67</fb>
    <v>23</v>
  </rv>
  <rv s="10">
    <fb>174.36</fb>
    <v>23</v>
  </rv>
  <rv s="10">
    <fb>620.34</fb>
    <v>23</v>
  </rv>
  <rv s="10">
    <fb>304.16000000000003</fb>
    <v>23</v>
  </rv>
  <rv s="10">
    <fb>94.32</fb>
    <v>23</v>
  </rv>
  <rv s="10">
    <fb>45847</fb>
    <v>22</v>
  </rv>
  <rv s="10">
    <fb>211.14</fb>
    <v>23</v>
  </rv>
  <rv s="10">
    <fb>162.88</fb>
    <v>23</v>
  </rv>
  <rv s="10">
    <fb>503.51</fb>
    <v>23</v>
  </rv>
  <rv s="10">
    <fb>732.78</fb>
    <v>23</v>
  </rv>
  <rv s="10">
    <fb>176.62</fb>
    <v>23</v>
  </rv>
  <rv s="10">
    <fb>624.05999999999995</fb>
    <v>23</v>
  </rv>
  <rv s="10">
    <fb>305.52</fb>
    <v>23</v>
  </rv>
  <rv s="10">
    <fb>45848</fb>
    <v>22</v>
  </rv>
  <rv s="10">
    <fb>212.41</fb>
    <v>23</v>
  </rv>
  <rv s="10">
    <fb>164.1</fb>
    <v>23</v>
  </rv>
  <rv s="10">
    <fb>727.24</fb>
    <v>23</v>
  </rv>
  <rv s="10">
    <fb>177.62</fb>
    <v>23</v>
  </rv>
  <rv s="10">
    <fb>625.82000000000005</fb>
    <v>23</v>
  </rv>
  <rv s="10">
    <fb>306.2</fb>
    <v>23</v>
  </rv>
  <rv s="10">
    <fb>75.39</fb>
    <v>23</v>
  </rv>
  <rv s="10">
    <fb>45849</fb>
    <v>22</v>
  </rv>
  <rv s="10">
    <fb>211.16</fb>
    <v>23</v>
  </rv>
  <rv s="10">
    <fb>164.92</fb>
    <v>23</v>
  </rv>
  <rv s="10">
    <fb>503.32</fb>
    <v>23</v>
  </rv>
  <rv s="10">
    <fb>717.51</fb>
    <v>23</v>
  </rv>
  <rv s="10">
    <fb>180.19</fb>
    <v>23</v>
  </rv>
  <rv s="10">
    <fb>623.62</fb>
    <v>23</v>
  </rv>
  <rv s="10">
    <fb>309.14</fb>
    <v>23</v>
  </rv>
  <rv s="10">
    <fb>77.290000000000006</fb>
    <v>23</v>
  </rv>
  <rv s="10">
    <fb>45852</fb>
    <v>22</v>
  </rv>
  <rv s="10">
    <fb>208.62</fb>
    <v>23</v>
  </rv>
  <rv s="10">
    <fb>503.02</fb>
    <v>23</v>
  </rv>
  <rv s="10">
    <fb>720.92</fb>
    <v>23</v>
  </rv>
  <rv s="10">
    <fb>181.56</fb>
    <v>23</v>
  </rv>
  <rv s="10">
    <fb>624.80999999999995</fb>
    <v>23</v>
  </rv>
  <rv s="10">
    <fb>308.01</fb>
    <v>23</v>
  </rv>
  <rv s="10">
    <fb>75.62</fb>
    <v>23</v>
  </rv>
  <rv s="10">
    <fb>45853</fb>
    <v>22</v>
  </rv>
  <rv s="10">
    <fb>209.11</fb>
    <v>23</v>
  </rv>
  <rv s="10">
    <fb>170.7</fb>
    <v>23</v>
  </rv>
  <rv s="10">
    <fb>505.82</fb>
    <v>23</v>
  </rv>
  <rv s="10">
    <fb>710.39</fb>
    <v>23</v>
  </rv>
  <rv s="10">
    <fb>182</fb>
    <v>23</v>
  </rv>
  <rv s="10">
    <fb>622.14</fb>
    <v>23</v>
  </rv>
  <rv s="10">
    <fb>306.73</fb>
    <v>23</v>
  </rv>
  <rv s="10">
    <fb>75.260000000000005</fb>
    <v>23</v>
  </rv>
  <rv s="10">
    <fb>45854</fb>
    <v>22</v>
  </rv>
  <rv s="10">
    <fb>210.16</fb>
    <v>23</v>
  </rv>
  <rv s="10">
    <fb>171.37</fb>
    <v>23</v>
  </rv>
  <rv s="10">
    <fb>505.62</fb>
    <v>23</v>
  </rv>
  <rv s="10">
    <fb>702.91</fb>
    <v>23</v>
  </rv>
  <rv s="10">
    <fb>182.97</fb>
    <v>23</v>
  </rv>
  <rv s="10">
    <fb>624.22</fb>
    <v>23</v>
  </rv>
  <rv s="10">
    <fb>308.26</fb>
    <v>23</v>
  </rv>
  <rv s="10">
    <fb>45855</fb>
    <v>22</v>
  </rv>
  <rv s="10">
    <fb>210.02</fb>
    <v>23</v>
  </rv>
  <rv s="10">
    <fb>173</fb>
    <v>23</v>
  </rv>
  <rv s="10">
    <fb>511.7</fb>
    <v>23</v>
  </rv>
  <rv s="10">
    <fb>701.41</fb>
    <v>23</v>
  </rv>
  <rv s="10">
    <fb>183.58</fb>
    <v>23</v>
  </rv>
  <rv s="10">
    <fb>628.04</fb>
    <v>23</v>
  </rv>
  <rv s="10">
    <fb>307.58999999999997</fb>
    <v>23</v>
  </rv>
  <rv s="10">
    <fb>76.16</fb>
    <v>23</v>
  </rv>
  <rv s="10">
    <fb>94.14</fb>
    <v>23</v>
  </rv>
  <rv s="10">
    <fb>45856</fb>
    <v>22</v>
  </rv>
  <rv s="10">
    <fb>211.18</fb>
    <v>23</v>
  </rv>
  <rv s="10">
    <fb>172.41</fb>
    <v>23</v>
  </rv>
  <rv s="10">
    <fb>510.05</fb>
    <v>23</v>
  </rv>
  <rv s="10">
    <fb>704.28</fb>
    <v>23</v>
  </rv>
  <rv s="10">
    <fb>185.06</fb>
    <v>23</v>
  </rv>
  <rv s="10">
    <fb>627.58000000000004</fb>
    <v>23</v>
  </rv>
  <rv s="10">
    <fb>308.39</fb>
    <v>23</v>
  </rv>
  <rv s="10">
    <fb>94.4</fb>
    <v>23</v>
  </rv>
  <rv s="10">
    <fb>45859</fb>
    <v>22</v>
  </rv>
  <rv s="10">
    <fb>212.48</fb>
    <v>23</v>
  </rv>
  <rv s="10">
    <fb>171.38</fb>
    <v>23</v>
  </rv>
  <rv s="10">
    <fb>510.06</fb>
    <v>23</v>
  </rv>
  <rv s="10">
    <fb>712.96500000000003</fb>
    <v>23</v>
  </rv>
  <rv s="10">
    <fb>190.1</fb>
    <v>23</v>
  </rv>
  <rv s="10">
    <fb>628.77</fb>
    <v>23</v>
  </rv>
  <rv s="10">
    <fb>313.13</fb>
    <v>23</v>
  </rv>
  <rv s="10">
    <fb>94.73</fb>
    <v>23</v>
  </rv>
  <rv s="10">
    <fb>45860</fb>
    <v>22</v>
  </rv>
  <rv s="10">
    <fb>214.4</fb>
    <v>23</v>
  </rv>
  <rv s="10">
    <fb>167.03</fb>
    <v>23</v>
  </rv>
  <rv s="10">
    <fb>505.27</fb>
    <v>23</v>
  </rv>
  <rv s="10">
    <fb>704.81</fb>
    <v>23</v>
  </rv>
  <rv s="10">
    <fb>191.34</fb>
    <v>23</v>
  </rv>
  <rv s="10">
    <fb>628.86</fb>
    <v>23</v>
  </rv>
  <rv s="10">
    <fb>316.10000000000002</fb>
    <v>23</v>
  </rv>
  <rv s="10">
    <fb>95</fb>
    <v>23</v>
  </rv>
  <rv s="10">
    <fb>45861</fb>
    <v>22</v>
  </rv>
  <rv s="10">
    <fb>214.15</fb>
    <v>23</v>
  </rv>
  <rv s="10">
    <fb>170.78</fb>
    <v>23</v>
  </rv>
  <rv s="10">
    <fb>505.87</fb>
    <v>23</v>
  </rv>
  <rv s="10">
    <fb>713.58</fb>
    <v>23</v>
  </rv>
  <rv s="10">
    <fb>190.23</fb>
    <v>23</v>
  </rv>
  <rv s="10">
    <fb>634.21</fb>
    <v>23</v>
  </rv>
  <rv s="10">
    <fb>312.18</fb>
    <v>23</v>
  </rv>
  <rv s="10">
    <fb>94.66</fb>
    <v>23</v>
  </rv>
  <rv s="10">
    <fb>45862</fb>
    <v>22</v>
  </rv>
  <rv s="10">
    <fb>213.76</fb>
    <v>23</v>
  </rv>
  <rv s="10">
    <fb>173.74</fb>
    <v>23</v>
  </rv>
  <rv s="10">
    <fb>510.88</fb>
    <v>23</v>
  </rv>
  <rv s="10">
    <fb>714.8</fb>
    <v>23</v>
  </rv>
  <rv s="10">
    <fb>192.17</fb>
    <v>23</v>
  </rv>
  <rv s="10">
    <fb>634.41999999999996</fb>
    <v>23</v>
  </rv>
  <rv s="10">
    <fb>310.27</fb>
    <v>23</v>
  </rv>
  <rv s="10">
    <fb>45863</fb>
    <v>22</v>
  </rv>
  <rv s="10">
    <fb>213.88</fb>
    <v>23</v>
  </rv>
  <rv s="10">
    <fb>173.5</fb>
    <v>23</v>
  </rv>
  <rv s="10">
    <fb>513.71</fb>
    <v>23</v>
  </rv>
  <rv s="10">
    <fb>712.68</fb>
    <v>23</v>
  </rv>
  <rv s="10">
    <fb>193.18</fb>
    <v>23</v>
  </rv>
  <rv s="10">
    <fb>307.39999999999998</fb>
    <v>23</v>
  </rv>
  <rv s="10">
    <fb>74.849999999999994</fb>
    <v>23</v>
  </rv>
  <rv s="10">
    <fb>94.74</fb>
    <v>23</v>
  </rv>
  <rv s="10">
    <fb>45866</fb>
    <v>22</v>
  </rv>
  <rv s="10">
    <fb>214.05</fb>
    <v>23</v>
  </rv>
  <rv s="10">
    <fb>176.75</fb>
    <v>23</v>
  </rv>
  <rv s="10">
    <fb>512.5</fb>
    <v>23</v>
  </rv>
  <rv s="10">
    <fb>717.63</fb>
    <v>23</v>
  </rv>
  <rv s="10">
    <fb>192.58</fb>
    <v>23</v>
  </rv>
  <rv s="10">
    <fb>636.94000000000005</fb>
    <v>23</v>
  </rv>
  <rv s="10">
    <fb>305.41000000000003</fb>
    <v>23</v>
  </rv>
  <rv s="10">
    <fb>77.17</fb>
    <v>23</v>
  </rv>
  <rv s="10">
    <fb>45867</fb>
    <v>22</v>
  </rv>
  <rv s="10">
    <fb>211.27</fb>
    <v>23</v>
  </rv>
  <rv s="10">
    <fb>175.51</fb>
    <v>23</v>
  </rv>
  <rv s="10">
    <fb>512.57000000000005</fb>
    <v>23</v>
  </rv>
  <rv s="10">
    <fb>700</fb>
    <v>23</v>
  </rv>
  <rv s="10">
    <fb>195.75</fb>
    <v>23</v>
  </rv>
  <rv s="10">
    <fb>635.26</fb>
    <v>23</v>
  </rv>
  <rv s="10">
    <fb>306.25</fb>
    <v>23</v>
  </rv>
  <rv s="10">
    <fb>79.8</fb>
    <v>23</v>
  </rv>
  <rv s="10">
    <fb>95.15</fb>
    <v>23</v>
  </rv>
  <rv s="10">
    <fb>45868</fb>
    <v>22</v>
  </rv>
  <rv s="10">
    <fb>209.05</fb>
    <v>23</v>
  </rv>
  <rv s="10">
    <fb>179.27</fb>
    <v>23</v>
  </rv>
  <rv s="10">
    <fb>513.24</fb>
    <v>23</v>
  </rv>
  <rv s="10">
    <fb>695.21</fb>
    <v>23</v>
  </rv>
  <rv s="10">
    <fb>196.53</fb>
    <v>23</v>
  </rv>
  <rv s="10">
    <fb>634.46</fb>
    <v>23</v>
  </rv>
  <rv s="10">
    <fb>300.95999999999998</fb>
    <v>23</v>
  </rv>
  <rv s="10">
    <fb>81.040000000000006</fb>
    <v>23</v>
  </rv>
  <rv s="10">
    <fb>94.82</fb>
    <v>23</v>
  </rv>
  <rv s="10">
    <fb>45869</fb>
    <v>22</v>
  </rv>
  <rv s="10">
    <fb>207.57</fb>
    <v>23</v>
  </rv>
  <rv s="10">
    <fb>177.87</fb>
    <v>23</v>
  </rv>
  <rv s="10">
    <fb>533.5</fb>
    <v>23</v>
  </rv>
  <rv s="10">
    <fb>773.44</fb>
    <v>23</v>
  </rv>
  <rv s="10">
    <fb>191.9</fb>
    <v>23</v>
  </rv>
  <rv s="10">
    <fb>632.08000000000004</fb>
    <v>23</v>
  </rv>
  <rv s="10">
    <fb>302.95999999999998</fb>
    <v>23</v>
  </rv>
  <rv s="10">
    <fb>79.59</fb>
    <v>23</v>
  </rv>
  <rv s="10">
    <fb>94.9</fb>
    <v>23</v>
  </rv>
  <rv s="10">
    <fb>45870</fb>
    <v>22</v>
  </rv>
  <rv s="10">
    <fb>202.38</fb>
    <v>23</v>
  </rv>
  <rv s="10">
    <fb>173.72</fb>
    <v>23</v>
  </rv>
  <rv s="10">
    <fb>524.11</fb>
    <v>23</v>
  </rv>
  <rv s="10">
    <fb>750.01</fb>
    <v>23</v>
  </rv>
  <rv s="10">
    <fb>189.13</fb>
    <v>23</v>
  </rv>
  <rv s="10">
    <fb>621.72</fb>
    <v>23</v>
  </rv>
  <rv s="10">
    <fb>309.11</fb>
    <v>23</v>
  </rv>
  <rv s="10">
    <fb>77.459999999999994</fb>
    <v>23</v>
  </rv>
  <rv s="10">
    <fb>95.68</fb>
    <v>23</v>
  </rv>
  <rv s="10">
    <fb>45873</fb>
    <v>22</v>
  </rv>
  <rv s="10">
    <fb>203.35</fb>
    <v>23</v>
  </rv>
  <rv s="10">
    <fb>180</fb>
    <v>23</v>
  </rv>
  <rv s="10">
    <fb>535.64</fb>
    <v>23</v>
  </rv>
  <rv s="10">
    <fb>776.37</fb>
    <v>23</v>
  </rv>
  <rv s="10">
    <fb>195.04</fb>
    <v>23</v>
  </rv>
  <rv s="10">
    <fb>631.16999999999996</fb>
    <v>23</v>
  </rv>
  <rv s="10">
    <fb>310.91000000000003</fb>
    <v>23</v>
  </rv>
  <rv s="10">
    <fb>76.11</fb>
    <v>23</v>
  </rv>
  <rv s="10">
    <fb>95.81</fb>
    <v>23</v>
  </rv>
  <rv s="10">
    <fb>45874</fb>
    <v>22</v>
  </rv>
  <rv s="10">
    <fb>202.92</fb>
    <v>23</v>
  </rv>
  <rv s="10">
    <fb>178.26</fb>
    <v>23</v>
  </rv>
  <rv s="10">
    <fb>527.75</fb>
    <v>23</v>
  </rv>
  <rv s="10">
    <fb>763.46</fb>
    <v>23</v>
  </rv>
  <rv s="10">
    <fb>194.67</fb>
    <v>23</v>
  </rv>
  <rv s="10">
    <fb>627.97</fb>
    <v>23</v>
  </rv>
  <rv s="10">
    <fb>311.16000000000003</fb>
    <v>23</v>
  </rv>
  <rv s="10">
    <fb>75.02</fb>
    <v>23</v>
  </rv>
  <rv s="10">
    <fb>95.74</fb>
    <v>23</v>
  </rv>
  <rv s="10">
    <fb>45875</fb>
    <v>22</v>
  </rv>
  <rv s="10">
    <fb>213.25</fb>
    <v>23</v>
  </rv>
  <rv s="10">
    <fb>179.42</fb>
    <v>23</v>
  </rv>
  <rv s="10">
    <fb>524.94000000000005</fb>
    <v>23</v>
  </rv>
  <rv s="10">
    <fb>771.99</fb>
    <v>23</v>
  </rv>
  <rv s="10">
    <fb>196.09</fb>
    <v>23</v>
  </rv>
  <rv s="10">
    <fb>632.78</fb>
    <v>23</v>
  </rv>
  <rv s="10">
    <fb>310.5</fb>
    <v>23</v>
  </rv>
  <rv s="10">
    <fb>95.67</fb>
    <v>23</v>
  </rv>
  <rv s="10">
    <fb>45876</fb>
    <v>22</v>
  </rv>
  <rv s="10">
    <fb>220.03</fb>
    <v>23</v>
  </rv>
  <rv s="10">
    <fb>180.77</fb>
    <v>23</v>
  </rv>
  <rv s="10">
    <fb>520.84</fb>
    <v>23</v>
  </rv>
  <rv s="10">
    <fb>761.83</fb>
    <v>23</v>
  </rv>
  <rv s="10">
    <fb>196.52</fb>
    <v>23</v>
  </rv>
  <rv s="10">
    <fb>632.25</fb>
    <v>23</v>
  </rv>
  <rv s="10">
    <fb>313.12</fb>
    <v>23</v>
  </rv>
  <rv s="10">
    <fb>73.42</fb>
    <v>23</v>
  </rv>
  <rv s="10">
    <fb>95.6</fb>
    <v>23</v>
  </rv>
  <rv s="10">
    <fb>45877</fb>
    <v>22</v>
  </rv>
  <rv s="10">
    <fb>229.35</fb>
    <v>23</v>
  </rv>
  <rv s="10">
    <fb>182.7</fb>
    <v>23</v>
  </rv>
  <rv s="10">
    <fb>522.04</fb>
    <v>23</v>
  </rv>
  <rv s="10">
    <fb>769.3</fb>
    <v>23</v>
  </rv>
  <rv s="10">
    <fb>201.42</fb>
    <v>23</v>
  </rv>
  <rv s="10">
    <fb>637.17999999999995</fb>
    <v>23</v>
  </rv>
  <rv s="10">
    <fb>313.05</fb>
    <v>23</v>
  </rv>
  <rv s="10">
    <fb>95.38</fb>
    <v>23</v>
  </rv>
  <rv s="10">
    <fb>45880</fb>
    <v>22</v>
  </rv>
  <rv s="10">
    <fb>227.18</fb>
    <v>23</v>
  </rv>
  <rv s="10">
    <fb>182.06</fb>
    <v>23</v>
  </rv>
  <rv s="10">
    <fb>521.77</fb>
    <v>23</v>
  </rv>
  <rv s="10">
    <fb>765.87</fb>
    <v>23</v>
  </rv>
  <rv s="10">
    <fb>635.91999999999996</fb>
    <v>23</v>
  </rv>
  <rv s="10">
    <fb>308.55</fb>
    <v>23</v>
  </rv>
  <rv s="10">
    <fb>73.8</fb>
    <v>23</v>
  </rv>
  <rv s="10">
    <fb>45881</fb>
    <v>22</v>
  </rv>
  <rv s="10">
    <fb>229.65</fb>
    <v>23</v>
  </rv>
  <rv s="10">
    <fb>183.16</fb>
    <v>23</v>
  </rv>
  <rv s="10">
    <fb>529.24</fb>
    <v>23</v>
  </rv>
  <rv s="10">
    <fb>790</fb>
    <v>23</v>
  </rv>
  <rv s="10">
    <fb>203.34</fb>
    <v>23</v>
  </rv>
  <rv s="10">
    <fb>642.69000000000005</fb>
    <v>23</v>
  </rv>
  <rv s="10">
    <fb>308.27</fb>
    <v>23</v>
  </rv>
  <rv s="10">
    <fb>72.95</fb>
    <v>23</v>
  </rv>
  <rv s="10">
    <fb>45882</fb>
    <v>22</v>
  </rv>
  <rv s="10">
    <fb>233.33</fb>
    <v>23</v>
  </rv>
  <rv s="10">
    <fb>181.59</fb>
    <v>23</v>
  </rv>
  <rv s="10">
    <fb>520.58000000000004</fb>
    <v>23</v>
  </rv>
  <rv s="10">
    <fb>780.08</fb>
    <v>23</v>
  </rv>
  <rv s="10">
    <fb>201.96</fb>
    <v>23</v>
  </rv>
  <rv s="10">
    <fb>644.89</fb>
    <v>23</v>
  </rv>
  <rv s="10">
    <fb>309.20999999999998</fb>
    <v>23</v>
  </rv>
  <rv s="10">
    <fb>72.459999999999994</fb>
    <v>23</v>
  </rv>
  <rv s="10">
    <fb>95.73</fb>
    <v>23</v>
  </rv>
  <rv s="10">
    <fb>45883</fb>
    <v>22</v>
  </rv>
  <rv s="10">
    <fb>232.78</fb>
    <v>23</v>
  </rv>
  <rv s="10">
    <fb>182.02</fb>
    <v>23</v>
  </rv>
  <rv s="10">
    <fb>522.48</fb>
    <v>23</v>
  </rv>
  <rv s="10">
    <fb>782.13</fb>
    <v>23</v>
  </rv>
  <rv s="10">
    <fb>202.94</fb>
    <v>23</v>
  </rv>
  <rv s="10">
    <fb>644.95000000000005</fb>
    <v>23</v>
  </rv>
  <rv s="10">
    <fb>307.25</fb>
    <v>23</v>
  </rv>
  <rv s="10">
    <fb>73.739999999999995</fb>
    <v>23</v>
  </rv>
  <rv s="10">
    <fb>95.42</fb>
    <v>23</v>
  </rv>
  <rv s="10">
    <fb>45884</fb>
    <v>22</v>
  </rv>
  <rv s="10">
    <fb>231.59</fb>
    <v>23</v>
  </rv>
  <rv s="10">
    <fb>180.45</fb>
    <v>23</v>
  </rv>
  <rv s="10">
    <fb>520.16999999999996</fb>
    <v>23</v>
  </rv>
  <rv s="10">
    <fb>785.23</fb>
    <v>23</v>
  </rv>
  <rv s="10">
    <fb>203.9</fb>
    <v>23</v>
  </rv>
  <rv s="10">
    <fb>643.44000000000005</fb>
    <v>23</v>
  </rv>
  <rv s="10">
    <fb>307.43</fb>
    <v>23</v>
  </rv>
  <rv s="10">
    <fb>95.23</fb>
    <v>23</v>
  </rv>
  <rv s="10">
    <fb>45887</fb>
    <v>22</v>
  </rv>
  <rv s="10">
    <fb>230.89</fb>
    <v>23</v>
  </rv>
  <rv s="10">
    <fb>182.01</fb>
    <v>23</v>
  </rv>
  <rv s="10">
    <fb>517.1</fb>
    <v>23</v>
  </rv>
  <rv s="10">
    <fb>767.37</fb>
    <v>23</v>
  </rv>
  <rv s="10">
    <fb>203.5</fb>
    <v>23</v>
  </rv>
  <rv s="10">
    <fb>643.29999999999995</fb>
    <v>23</v>
  </rv>
  <rv s="10">
    <fb>306.95</fb>
    <v>23</v>
  </rv>
  <rv s="10">
    <fb>73.17</fb>
    <v>23</v>
  </rv>
  <rv s="10">
    <fb>95.14</fb>
    <v>23</v>
  </rv>
  <rv s="10">
    <fb>45888</fb>
    <v>22</v>
  </rv>
  <rv s="10">
    <fb>230.56</fb>
    <v>23</v>
  </rv>
  <rv s="10">
    <fb>175.64</fb>
    <v>23</v>
  </rv>
  <rv s="10">
    <fb>509.77</fb>
    <v>23</v>
  </rv>
  <rv s="10">
    <fb>751.48</fb>
    <v>23</v>
  </rv>
  <rv s="10">
    <fb>201.57</fb>
    <v>23</v>
  </rv>
  <rv s="10">
    <fb>639.80999999999995</fb>
    <v>23</v>
  </rv>
  <rv s="10">
    <fb>305.27</fb>
    <v>23</v>
  </rv>
  <rv s="10">
    <fb>72.3</fb>
    <v>23</v>
  </rv>
  <rv s="10">
    <fb>45889</fb>
    <v>22</v>
  </rv>
  <rv s="10">
    <fb>226.01</fb>
    <v>23</v>
  </rv>
  <rv s="10">
    <fb>175.4</fb>
    <v>23</v>
  </rv>
  <rv s="10">
    <fb>505.72</fb>
    <v>23</v>
  </rv>
  <rv s="10">
    <fb>747.72</fb>
    <v>23</v>
  </rv>
  <rv s="10">
    <fb>199.32</fb>
    <v>23</v>
  </rv>
  <rv s="10">
    <fb>638.11</fb>
    <v>23</v>
  </rv>
  <rv s="10">
    <fb>308.36</fb>
    <v>23</v>
  </rv>
  <rv s="10">
    <fb>73.52</fb>
    <v>23</v>
  </rv>
  <rv s="10">
    <fb>95.52</fb>
    <v>23</v>
  </rv>
  <rv s="10">
    <fb>45890</fb>
    <v>22</v>
  </rv>
  <rv s="10">
    <fb>224.9</fb>
    <v>23</v>
  </rv>
  <rv s="10">
    <fb>174.98</fb>
    <v>23</v>
  </rv>
  <rv s="10">
    <fb>504.24</fb>
    <v>23</v>
  </rv>
  <rv s="10">
    <fb>739.1</fb>
    <v>23</v>
  </rv>
  <rv s="10">
    <fb>199.75</fb>
    <v>23</v>
  </rv>
  <rv s="10">
    <fb>635.54999999999995</fb>
    <v>23</v>
  </rv>
  <rv s="10">
    <fb>307.29000000000002</fb>
    <v>23</v>
  </rv>
  <rv s="10">
    <fb>95.24</fb>
    <v>23</v>
  </rv>
  <rv s="10">
    <fb>45891</fb>
    <v>22</v>
  </rv>
  <rv s="10">
    <fb>227.76</fb>
    <v>23</v>
  </rv>
  <rv s="10">
    <fb>177.99</fb>
    <v>23</v>
  </rv>
  <rv s="10">
    <fb>507.23</fb>
    <v>23</v>
  </rv>
  <rv s="10">
    <fb>754.79</fb>
    <v>23</v>
  </rv>
  <rv s="10">
    <fb>206.09</fb>
    <v>23</v>
  </rv>
  <rv s="10">
    <fb>645.30999999999995</fb>
    <v>23</v>
  </rv>
  <rv s="10">
    <fb>310.58</fb>
    <v>23</v>
  </rv>
  <rv s="10">
    <fb>74.64</fb>
    <v>23</v>
  </rv>
  <rv s="10">
    <fb>45894</fb>
    <v>22</v>
  </rv>
  <rv s="10">
    <fb>227.16</fb>
    <v>23</v>
  </rv>
  <rv s="10">
    <fb>179.81</fb>
    <v>23</v>
  </rv>
  <rv s="10">
    <fb>504.26</fb>
    <v>23</v>
  </rv>
  <rv s="10">
    <fb>753.3</fb>
    <v>23</v>
  </rv>
  <rv s="10">
    <fb>208.49</fb>
    <v>23</v>
  </rv>
  <rv s="10">
    <fb>642.47</fb>
    <v>23</v>
  </rv>
  <rv s="10">
    <fb>309.83</fb>
    <v>23</v>
  </rv>
  <rv s="10">
    <fb>75.75</fb>
    <v>23</v>
  </rv>
  <rv s="10">
    <fb>95.58</fb>
    <v>23</v>
  </rv>
  <rv s="10">
    <fb>45895</fb>
    <v>22</v>
  </rv>
  <rv s="10">
    <fb>229.31</fb>
    <v>23</v>
  </rv>
  <rv s="10">
    <fb>181.77</fb>
    <v>23</v>
  </rv>
  <rv s="10">
    <fb>502.04</fb>
    <v>23</v>
  </rv>
  <rv s="10">
    <fb>754.1</fb>
    <v>23</v>
  </rv>
  <rv s="10">
    <fb>207.14</fb>
    <v>23</v>
  </rv>
  <rv s="10">
    <fb>645.16</fb>
    <v>23</v>
  </rv>
  <rv s="10">
    <fb>312.08</fb>
    <v>23</v>
  </rv>
  <rv s="10">
    <fb>74.05</fb>
    <v>23</v>
  </rv>
  <rv s="10">
    <fb>45896</fb>
    <v>22</v>
  </rv>
  <rv s="10">
    <fb>230.49</fb>
    <v>23</v>
  </rv>
  <rv s="10">
    <fb>181.6</fb>
    <v>23</v>
  </rv>
  <rv s="10">
    <fb>506.74</fb>
    <v>23</v>
  </rv>
  <rv s="10">
    <fb>747.38</fb>
    <v>23</v>
  </rv>
  <rv s="10">
    <fb>207.48</fb>
    <v>23</v>
  </rv>
  <rv s="10">
    <fb>646.63</fb>
    <v>23</v>
  </rv>
  <rv s="10">
    <fb>312.70999999999998</fb>
    <v>23</v>
  </rv>
  <rv s="10">
    <fb>74.680000000000007</fb>
    <v>23</v>
  </rv>
  <rv s="10">
    <fb>96.01</fb>
    <v>23</v>
  </rv>
  <rv s="10">
    <fb>45897</fb>
    <v>22</v>
  </rv>
  <rv s="10">
    <fb>232.56</fb>
    <v>23</v>
  </rv>
  <rv s="10">
    <fb>180.17</fb>
    <v>23</v>
  </rv>
  <rv s="10">
    <fb>509.64</fb>
    <v>23</v>
  </rv>
  <rv s="10">
    <fb>751.11</fb>
    <v>23</v>
  </rv>
  <rv s="10">
    <fb>211.64</fb>
    <v>23</v>
  </rv>
  <rv s="10">
    <fb>648.91999999999996</fb>
    <v>23</v>
  </rv>
  <rv s="10">
    <fb>315.02999999999997</fb>
    <v>23</v>
  </rv>
  <rv s="10">
    <fb>75.239999999999995</fb>
    <v>23</v>
  </rv>
  <rv s="10">
    <fb>96.23</fb>
    <v>23</v>
  </rv>
  <rv s="10">
    <fb>45898</fb>
    <v>22</v>
  </rv>
  <rv s="10">
    <fb>232.14</fb>
    <v>23</v>
  </rv>
  <rv s="10">
    <fb>174.18</fb>
    <v>23</v>
  </rv>
  <rv s="10">
    <fb>506.69</fb>
    <v>23</v>
  </rv>
  <rv s="10">
    <fb>738.7</fb>
    <v>23</v>
  </rv>
  <rv s="10">
    <fb>212.91</fb>
    <v>23</v>
  </rv>
  <rv s="10">
    <fb>318.07</fb>
    <v>23</v>
  </rv>
  <rv s="10">
    <fb>74.84</fb>
    <v>23</v>
  </rv>
  <rv s="10">
    <fb>96.15</fb>
    <v>23</v>
  </rv>
  <rv s="10">
    <fb>45902</fb>
    <v>22</v>
  </rv>
  <rv s="10">
    <fb>229.72</fb>
    <v>23</v>
  </rv>
  <rv s="10">
    <fb>505.12</fb>
    <v>23</v>
  </rv>
  <rv s="10">
    <fb>735.11</fb>
    <v>23</v>
  </rv>
  <rv s="10">
    <fb>211.35</fb>
    <v>23</v>
  </rv>
  <rv s="10">
    <fb>640.27</fb>
    <v>23</v>
  </rv>
  <rv s="10">
    <fb>325.58999999999997</fb>
    <v>23</v>
  </rv>
  <rv s="10">
    <fb>76.760000000000005</fb>
    <v>23</v>
  </rv>
  <rv s="10">
    <fb>95.55</fb>
    <v>23</v>
  </rv>
  <rv s="10">
    <fb>45903</fb>
    <v>22</v>
  </rv>
  <rv s="10">
    <fb>238.47</fb>
    <v>23</v>
  </rv>
  <rv s="10">
    <fb>170.62</fb>
    <v>23</v>
  </rv>
  <rv s="10">
    <fb>505.35</fb>
    <v>23</v>
  </rv>
  <rv s="10">
    <fb>737.05</fb>
    <v>23</v>
  </rv>
  <rv s="10">
    <fb>230.66</fb>
    <v>23</v>
  </rv>
  <rv s="10">
    <fb>643.74</fb>
    <v>23</v>
  </rv>
  <rv s="10">
    <fb>328.14</fb>
    <v>23</v>
  </rv>
  <rv s="10">
    <fb>74.83</fb>
    <v>23</v>
  </rv>
  <rv s="10">
    <fb>95.88</fb>
    <v>23</v>
  </rv>
  <rv s="10">
    <fb>45904</fb>
    <v>22</v>
  </rv>
  <rv s="10">
    <fb>239.78</fb>
    <v>23</v>
  </rv>
  <rv s="10">
    <fb>171.66</fb>
    <v>23</v>
  </rv>
  <rv s="10">
    <fb>507.97</fb>
    <v>23</v>
  </rv>
  <rv s="10">
    <fb>748.65</fb>
    <v>23</v>
  </rv>
  <rv s="10">
    <fb>232.3</fb>
    <v>23</v>
  </rv>
  <rv s="10">
    <fb>649.12</fb>
    <v>23</v>
  </rv>
  <rv s="10">
    <fb>326.69</fb>
    <v>23</v>
  </rv>
  <rv s="10">
    <fb>74.180000000000007</fb>
    <v>23</v>
  </rv>
  <rv s="10">
    <fb>96.31</fb>
    <v>23</v>
  </rv>
  <rv s="10">
    <fb>45905</fb>
    <v>22</v>
  </rv>
  <rv s="10">
    <fb>239.69</fb>
    <v>23</v>
  </rv>
  <rv s="10">
    <fb>167.02</fb>
    <v>23</v>
  </rv>
  <rv s="10">
    <fb>495</fb>
    <v>23</v>
  </rv>
  <rv s="10">
    <fb>752.45</fb>
    <v>23</v>
  </rv>
  <rv s="10">
    <fb>647.24</fb>
    <v>23</v>
  </rv>
  <rv s="10">
    <fb>331.05</fb>
    <v>23</v>
  </rv>
  <rv s="10">
    <fb>72.63</fb>
    <v>23</v>
  </rv>
  <rv s="10">
    <fb>96.78</fb>
    <v>23</v>
  </rv>
  <rv s="10">
    <fb>45908</fb>
    <v>22</v>
  </rv>
  <rv s="10">
    <fb>237.88</fb>
    <v>23</v>
  </rv>
  <rv s="10">
    <fb>168.31</fb>
    <v>23</v>
  </rv>
  <rv s="10">
    <fb>498.2</fb>
    <v>23</v>
  </rv>
  <rv s="10">
    <fb>752.3</fb>
    <v>23</v>
  </rv>
  <rv s="10">
    <fb>234.04</fb>
    <v>23</v>
  </rv>
  <rv s="10">
    <fb>648.83000000000004</fb>
    <v>23</v>
  </rv>
  <rv s="10">
    <fb>334.82</fb>
    <v>23</v>
  </rv>
  <rv s="10">
    <fb>97.08</fb>
    <v>23</v>
  </rv>
  <rv s="10">
    <fb>45909</fb>
    <v>22</v>
  </rv>
  <rv s="10">
    <fb>234.35</fb>
    <v>23</v>
  </rv>
  <rv s="10">
    <fb>170.76</fb>
    <v>23</v>
  </rv>
  <rv s="10">
    <fb>498.41</fb>
    <v>23</v>
  </rv>
  <rv s="10">
    <fb>765.7</fb>
    <v>23</v>
  </rv>
  <rv s="10">
    <fb>239.63</fb>
    <v>23</v>
  </rv>
  <rv s="10">
    <fb>650.33000000000004</fb>
    <v>23</v>
  </rv>
  <rv s="10">
    <fb>334.06</fb>
    <v>23</v>
  </rv>
  <rv s="10">
    <fb>73.39</fb>
    <v>23</v>
  </rv>
  <rv s="10">
    <fb>96.85</fb>
    <v>23</v>
  </rv>
  <rv s="10">
    <fb>45910</fb>
    <v>22</v>
  </rv>
  <rv s="10">
    <fb>226.79</fb>
    <v>23</v>
  </rv>
  <rv s="10">
    <fb>177.33</fb>
    <v>23</v>
  </rv>
  <rv s="10">
    <fb>500.37</fb>
    <v>23</v>
  </rv>
  <rv s="10">
    <fb>751.98</fb>
    <v>23</v>
  </rv>
  <rv s="10">
    <fb>239.17</fb>
    <v>23</v>
  </rv>
  <rv s="10">
    <fb>652.21</fb>
    <v>23</v>
  </rv>
  <rv s="10">
    <fb>335.26</fb>
    <v>23</v>
  </rv>
  <rv s="10">
    <fb>74.709999999999994</fb>
    <v>23</v>
  </rv>
  <rv s="10">
    <fb>97.11</fb>
    <v>23</v>
  </rv>
  <rv s="10">
    <fb>45911</fb>
    <v>22</v>
  </rv>
  <rv s="10">
    <fb>230.03</fb>
    <v>23</v>
  </rv>
  <rv s="10">
    <fb>177.17</fb>
    <v>23</v>
  </rv>
  <rv s="10">
    <fb>501.01</fb>
    <v>23</v>
  </rv>
  <rv s="10">
    <fb>750.9</fb>
    <v>23</v>
  </rv>
  <rv s="10">
    <fb>240.37</fb>
    <v>23</v>
  </rv>
  <rv s="10">
    <fb>657.63</fb>
    <v>23</v>
  </rv>
  <rv s="10">
    <fb>334.76</fb>
    <v>23</v>
  </rv>
  <rv s="10">
    <fb>97.26</fb>
    <v>23</v>
  </rv>
  <rv s="10">
    <fb>45912</fb>
    <v>22</v>
  </rv>
  <rv s="10">
    <fb>234.07</fb>
    <v>23</v>
  </rv>
  <rv s="10">
    <fb>177.82</fb>
    <v>23</v>
  </rv>
  <rv s="10">
    <fb>509.9</fb>
    <v>23</v>
  </rv>
  <rv s="10">
    <fb>755.59</fb>
    <v>23</v>
  </rv>
  <rv s="10">
    <fb>240.8</fb>
    <v>23</v>
  </rv>
  <rv s="10">
    <fb>657.41</fb>
    <v>23</v>
  </rv>
  <rv s="10">
    <fb>335.42</fb>
    <v>23</v>
  </rv>
  <rv s="10">
    <fb>96.98</fb>
    <v>23</v>
  </rv>
  <rv s="10">
    <fb>45915</fb>
    <v>22</v>
  </rv>
  <rv s="10">
    <fb>236.7</fb>
    <v>23</v>
  </rv>
  <rv s="10">
    <fb>177.75</fb>
    <v>23</v>
  </rv>
  <rv s="10">
    <fb>515.36</fb>
    <v>23</v>
  </rv>
  <rv s="10">
    <fb>764.7</fb>
    <v>23</v>
  </rv>
  <rv s="10">
    <fb>251.61</fb>
    <v>23</v>
  </rv>
  <rv s="10">
    <fb>660.91</fb>
    <v>23</v>
  </rv>
  <rv s="10">
    <fb>338.91</fb>
    <v>23</v>
  </rv>
  <rv s="10">
    <fb>97.14</fb>
    <v>23</v>
  </rv>
  <rv s="10">
    <fb>45916</fb>
    <v>22</v>
  </rv>
  <rv s="10">
    <fb>238.15</fb>
    <v>23</v>
  </rv>
  <rv s="10">
    <fb>174.88</fb>
    <v>23</v>
  </rv>
  <rv s="10">
    <fb>509.04</fb>
    <v>23</v>
  </rv>
  <rv s="10">
    <fb>779</fb>
    <v>23</v>
  </rv>
  <rv s="10">
    <fb>251.16</fb>
    <v>23</v>
  </rv>
  <rv s="10">
    <fb>660</fb>
    <v>23</v>
  </rv>
  <rv s="10">
    <fb>339.59</fb>
    <v>23</v>
  </rv>
  <rv s="10">
    <fb>75.67</fb>
    <v>23</v>
  </rv>
  <rv s="10">
    <fb>97.2</fb>
    <v>23</v>
  </rv>
  <rv s="10">
    <fb>45917</fb>
    <v>22</v>
  </rv>
  <rv s="10">
    <fb>238.99</fb>
    <v>23</v>
  </rv>
  <rv s="10">
    <fb>170.29</fb>
    <v>23</v>
  </rv>
  <rv s="10">
    <fb>510.02</fb>
    <v>23</v>
  </rv>
  <rv s="10">
    <fb>775.71500000000003</fb>
    <v>23</v>
  </rv>
  <rv s="10">
    <fb>249.53</fb>
    <v>23</v>
  </rv>
  <rv s="10">
    <fb>659.18</fb>
    <v>23</v>
  </rv>
  <rv s="10">
    <fb>336.97</fb>
    <v>23</v>
  </rv>
  <rv s="10">
    <fb>74.97</fb>
    <v>23</v>
  </rv>
  <rv s="10">
    <fb>96.99</fb>
    <v>23</v>
  </rv>
  <rv s="10">
    <fb>45918</fb>
    <v>22</v>
  </rv>
  <rv s="10">
    <fb>176.24</fb>
    <v>23</v>
  </rv>
  <rv s="10">
    <fb>508.45</fb>
    <v>23</v>
  </rv>
  <rv s="10">
    <fb>780.25</fb>
    <v>23</v>
  </rv>
  <rv s="10">
    <fb>252.03</fb>
    <v>23</v>
  </rv>
  <rv s="10">
    <fb>662.26</fb>
    <v>23</v>
  </rv>
  <rv s="10">
    <fb>335.62</fb>
    <v>23</v>
  </rv>
  <rv s="10">
    <fb>74.69</fb>
    <v>23</v>
  </rv>
  <rv s="10">
    <fb>96.67</fb>
    <v>23</v>
  </rv>
  <rv s="10">
    <fb>45919</fb>
    <v>22</v>
  </rv>
  <rv s="10">
    <fb>245.5</fb>
    <v>23</v>
  </rv>
  <rv s="10">
    <fb>176.67</fb>
    <v>23</v>
  </rv>
  <rv s="10">
    <fb>517.92999999999995</fb>
    <v>23</v>
  </rv>
  <rv s="10">
    <fb>778.38</fb>
    <v>23</v>
  </rv>
  <rv s="10">
    <fb>254.72</fb>
    <v>23</v>
  </rv>
  <rv s="10">
    <fb>663.7</fb>
    <v>23</v>
  </rv>
  <rv s="10">
    <fb>339.18</fb>
    <v>23</v>
  </rv>
  <rv s="10">
    <fb>96.63</fb>
    <v>23</v>
  </rv>
  <rv s="10">
    <fb>45922</fb>
    <v>22</v>
  </rv>
  <rv s="10">
    <fb>256.08</fb>
    <v>23</v>
  </rv>
  <rv s="10">
    <fb>514.45000000000005</fb>
    <v>23</v>
  </rv>
  <rv s="10">
    <fb>765.16</fb>
    <v>23</v>
  </rv>
  <rv s="10">
    <fb>252.53</fb>
    <v>23</v>
  </rv>
  <rv s="10">
    <fb>666.84</fb>
    <v>23</v>
  </rv>
  <rv s="10">
    <fb>345.05</fb>
    <v>23</v>
  </rv>
  <rv s="10">
    <fb>73.45</fb>
    <v>23</v>
  </rv>
  <rv s="10">
    <fb>96.47</fb>
    <v>23</v>
  </rv>
  <rv s="10">
    <fb>45923</fb>
    <v>22</v>
  </rv>
  <rv s="10">
    <fb>178.43</fb>
    <v>23</v>
  </rv>
  <rv s="10">
    <fb>509.23</fb>
    <v>23</v>
  </rv>
  <rv s="10">
    <fb>755.4</fb>
    <v>23</v>
  </rv>
  <rv s="10">
    <fb>251.66</fb>
    <v>23</v>
  </rv>
  <rv s="10">
    <fb>663.21</fb>
    <v>23</v>
  </rv>
  <rv s="10">
    <fb>346.46</fb>
    <v>23</v>
  </rv>
  <rv s="10">
    <fb>96.74</fb>
    <v>23</v>
  </rv>
  <rv s="10">
    <fb>45924</fb>
    <v>22</v>
  </rv>
  <rv s="10">
    <fb>252.31</fb>
    <v>23</v>
  </rv>
  <rv s="10">
    <fb>176.97</fb>
    <v>23</v>
  </rv>
  <rv s="10">
    <fb>510.15</fb>
    <v>23</v>
  </rv>
  <rv s="10">
    <fb>760.66</fb>
    <v>23</v>
  </rv>
  <rv s="10">
    <fb>247.14</fb>
    <v>23</v>
  </rv>
  <rv s="10">
    <fb>661.1</fb>
    <v>23</v>
  </rv>
  <rv s="10">
    <fb>343.32</fb>
    <v>23</v>
  </rv>
  <rv s="10">
    <fb>96.48</fb>
    <v>23</v>
  </rv>
  <rv s="10">
    <fb>45925</fb>
    <v>22</v>
  </rv>
  <rv s="10">
    <fb>256.87</fb>
    <v>23</v>
  </rv>
  <rv s="10">
    <fb>177.69</fb>
    <v>23</v>
  </rv>
  <rv s="10">
    <fb>507.03</fb>
    <v>23</v>
  </rv>
  <rv s="10">
    <fb>748.91</fb>
    <v>23</v>
  </rv>
  <rv s="10">
    <fb>245.79</fb>
    <v>23</v>
  </rv>
  <rv s="10">
    <fb>658.05</fb>
    <v>23</v>
  </rv>
  <rv s="10">
    <fb>344.75</fb>
    <v>23</v>
  </rv>
  <rv s="10">
    <fb>76.989999999999995</fb>
    <v>23</v>
  </rv>
  <rv s="10">
    <fb>96.27</fb>
    <v>23</v>
  </rv>
  <rv s="10">
    <fb>45926</fb>
    <v>22</v>
  </rv>
  <rv s="10">
    <fb>255.46</fb>
    <v>23</v>
  </rv>
  <rv s="10">
    <fb>178.19</fb>
    <v>23</v>
  </rv>
  <rv s="10">
    <fb>511.46</fb>
    <v>23</v>
  </rv>
  <rv s="10">
    <fb>743.75</fb>
    <v>23</v>
  </rv>
  <rv s="10">
    <fb>246.54</fb>
    <v>23</v>
  </rv>
  <rv s="10">
    <fb>661.82</fb>
    <v>23</v>
  </rv>
  <rv s="10">
    <fb>346.74</fb>
    <v>23</v>
  </rv>
  <rv s="10">
    <fb>77.02</fb>
    <v>23</v>
  </rv>
  <rv s="10">
    <fb>96.22</fb>
    <v>23</v>
  </rv>
  <rv s="10">
    <fb>45929</fb>
    <v>22</v>
  </rv>
  <rv s="10">
    <fb>181.85</fb>
    <v>23</v>
  </rv>
  <rv s="10">
    <fb>514.6</fb>
    <v>23</v>
  </rv>
  <rv s="10">
    <fb>743.4</fb>
    <v>23</v>
  </rv>
  <rv s="10">
    <fb>244.05</fb>
    <v>23</v>
  </rv>
  <rv s="10">
    <fb>663.68</fb>
    <v>23</v>
  </rv>
  <rv s="10">
    <fb>352.46</fb>
    <v>23</v>
  </rv>
  <rv s="10">
    <fb>74.59</fb>
    <v>23</v>
  </rv>
  <rv s="10">
    <fb>96.5</fb>
    <v>23</v>
  </rv>
  <rv s="10">
    <fb>45930</fb>
    <v>22</v>
  </rv>
  <rv s="10">
    <fb>254.63</fb>
    <v>23</v>
  </rv>
  <rv s="10">
    <fb>186.58</fb>
    <v>23</v>
  </rv>
  <rv s="10">
    <fb>517.95000000000005</fb>
    <v>23</v>
  </rv>
  <rv s="10">
    <fb>734.38</fb>
    <v>23</v>
  </rv>
  <rv s="10">
    <fb>243.1</fb>
    <v>23</v>
  </rv>
  <rv s="10">
    <fb>666.18</fb>
    <v>23</v>
  </rv>
  <rv s="10">
    <fb>355.47</fb>
    <v>23</v>
  </rv>
  <rv s="10">
    <fb>73.75</fb>
    <v>23</v>
  </rv>
  <rv s="10">
    <fb>96.46</fb>
    <v>23</v>
  </rv>
  <rv s="10">
    <fb>45931</fb>
    <v>22</v>
  </rv>
  <rv s="10">
    <fb>255.45</fb>
    <v>23</v>
  </rv>
  <rv s="10">
    <fb>187.24</fb>
    <v>23</v>
  </rv>
  <rv s="10">
    <fb>519.71</fb>
    <v>23</v>
  </rv>
  <rv s="10">
    <fb>717.34</fb>
    <v>23</v>
  </rv>
  <rv s="10">
    <fb>244.9</fb>
    <v>23</v>
  </rv>
  <rv s="10">
    <fb>668.45</fb>
    <v>23</v>
  </rv>
  <rv s="10">
    <fb>356.03</fb>
    <v>23</v>
  </rv>
  <rv s="10">
    <fb>73.14</fb>
    <v>23</v>
  </rv>
  <rv s="10">
    <fb>96.49</fb>
    <v>23</v>
  </rv>
  <rv s="10">
    <fb>45932</fb>
    <v>22</v>
  </rv>
  <rv s="10">
    <fb>257.13</fb>
    <v>23</v>
  </rv>
  <rv s="10">
    <fb>188.89</fb>
    <v>23</v>
  </rv>
  <rv s="10">
    <fb>515.74</fb>
    <v>23</v>
  </rv>
  <rv s="10">
    <fb>727.05</fb>
    <v>23</v>
  </rv>
  <rv s="10">
    <fb>245.69</fb>
    <v>23</v>
  </rv>
  <rv s="10">
    <fb>669.22</fb>
    <v>23</v>
  </rv>
  <rv s="10">
    <fb>354.79</fb>
    <v>23</v>
  </rv>
  <rv s="10">
    <fb>71.540000000000006</fb>
    <v>23</v>
  </rv>
  <rv s="10">
    <fb>96.59</fb>
    <v>23</v>
  </rv>
  <rv s="10">
    <fb>45933</fb>
    <v>22</v>
  </rv>
  <rv s="10">
    <fb>258.02</fb>
    <v>23</v>
  </rv>
  <rv s="10">
    <fb>187.62</fb>
    <v>23</v>
  </rv>
  <rv s="10">
    <fb>517.35</fb>
    <v>23</v>
  </rv>
  <rv s="10">
    <fb>710.56</fb>
    <v>23</v>
  </rv>
  <rv s="10">
    <fb>245.35</fb>
    <v>23</v>
  </rv>
  <rv s="10">
    <fb>669.21</fb>
    <v>23</v>
  </rv>
  <rv s="10">
    <fb>357.64</fb>
    <v>23</v>
  </rv>
  <rv s="10">
    <fb>71.709999999999994</fb>
    <v>23</v>
  </rv>
  <rv s="10">
    <fb>96.4</fb>
    <v>23</v>
  </rv>
  <rv s="10">
    <fb>45936</fb>
    <v>22</v>
  </rv>
  <rv s="10">
    <fb>256.69</fb>
    <v>23</v>
  </rv>
  <rv s="10">
    <fb>185.54</fb>
    <v>23</v>
  </rv>
  <rv s="10">
    <fb>528.57000000000005</fb>
    <v>23</v>
  </rv>
  <rv s="10">
    <fb>715.66</fb>
    <v>23</v>
  </rv>
  <rv s="10">
    <fb>250.43</fb>
    <v>23</v>
  </rv>
  <rv s="10">
    <fb>671.61</fb>
    <v>23</v>
  </rv>
  <rv s="10">
    <fb>364.38</fb>
    <v>23</v>
  </rv>
  <rv s="10">
    <fb>72.87</fb>
    <v>23</v>
  </rv>
  <rv s="10">
    <fb>96.12</fb>
    <v>23</v>
  </rv>
  <rv s="10">
    <fb>45937</fb>
    <v>22</v>
  </rv>
  <rv s="10">
    <fb>256.48</fb>
    <v>23</v>
  </rv>
  <rv s="10">
    <fb>185.04</fb>
    <v>23</v>
  </rv>
  <rv s="10">
    <fb>523.98</fb>
    <v>23</v>
  </rv>
  <rv s="10">
    <fb>713.08</fb>
    <v>23</v>
  </rv>
  <rv s="10">
    <fb>245.76</fb>
    <v>23</v>
  </rv>
  <rv s="10">
    <fb>669.12</fb>
    <v>23</v>
  </rv>
  <rv s="10">
    <fb>366.26</fb>
    <v>23</v>
  </rv>
  <rv s="10">
    <fb>96.36</fb>
    <v>23</v>
  </rv>
  <rv s="11">
    <v>24</v>
    <v>NVDA</v>
    <v>Daily</v>
    <v>45573</v>
    <v>45938</v>
    <v>0</v>
    <v>1</v>
    <v>638953920000000000,638955560449874751,0</v>
    <v>0</v>
    <v>a1yv52</v>
    <v>XNAS:NVDA</v>
    <v>1</v>
  </rv>
  <rv s="11">
    <v>24</v>
    <v>GLD</v>
    <v>Daily</v>
    <v>45573</v>
    <v>45938</v>
    <v>0</v>
    <v>1</v>
    <v>638953920000000000,638955560451335016,0</v>
    <v>0</v>
    <v>a1twnm</v>
    <v>ARCX:GLD</v>
    <v>2</v>
  </rv>
  <rv s="11">
    <v>24</v>
    <v>SPY</v>
    <v>Daily</v>
    <v>45573</v>
    <v>45938</v>
    <v>0</v>
    <v>1</v>
    <v>638953920000000000,638955560451824377,0</v>
    <v>0</v>
    <v>a23hqh</v>
    <v>ARCX:SPY</v>
    <v>3</v>
  </rv>
  <rv s="11">
    <v>24</v>
    <v>AAPL</v>
    <v>Daily</v>
    <v>45573</v>
    <v>45938</v>
    <v>0</v>
    <v>1</v>
    <v>638953920000000000,638955560452778989,0</v>
    <v>0</v>
    <v>a1mou2</v>
    <v>XNAS:AAPL</v>
    <v>4</v>
  </rv>
  <rv s="11">
    <v>24</v>
    <v>MSFT</v>
    <v>Daily</v>
    <v>45573</v>
    <v>45938</v>
    <v>0</v>
    <v>1</v>
    <v>638953920000000000,638955560452300078,0</v>
    <v>0</v>
    <v>a1xzim</v>
    <v>XNAS:MSFT</v>
    <v>5</v>
  </rv>
  <rv s="11">
    <v>24</v>
    <v>IEF</v>
    <v>Daily</v>
    <v>45573</v>
    <v>45938</v>
    <v>0</v>
    <v>1</v>
    <v>638953920000000000,638955560453260024,0</v>
    <v>0</v>
    <v>a1vbbh</v>
    <v>XNAS:IEF</v>
    <v>6</v>
  </rv>
  <rv s="11">
    <v>24</v>
    <v>USO</v>
    <v>Daily</v>
    <v>45573</v>
    <v>45938</v>
    <v>0</v>
    <v>1</v>
    <v>638953920000000000,638955560453749205,0</v>
    <v>0</v>
    <v>a253hw</v>
    <v>ARCX:USO</v>
    <v>7</v>
  </rv>
  <rv s="11">
    <v>24</v>
    <v>GOOGL</v>
    <v>Daily</v>
    <v>45573</v>
    <v>45938</v>
    <v>0</v>
    <v>1</v>
    <v>638953920000000000,638955560450354863,0</v>
    <v>0</v>
    <v>a1u3rw</v>
    <v>XNAS:GOOGL</v>
    <v>8</v>
  </rv>
  <rv s="11">
    <v>24</v>
    <v>meta</v>
    <v>Daily</v>
    <v>45573</v>
    <v>45938</v>
    <v>0</v>
    <v>1</v>
    <v>638953920000000000,638955560450858555,0</v>
    <v>0</v>
    <v>a1slm7</v>
    <v>XNAS:META</v>
    <v>9</v>
  </rv>
  <rv s="11">
    <v>24</v>
    <v>a23hqh</v>
    <v>Daily</v>
    <v>45573</v>
    <v>45938</v>
    <v>0</v>
    <v>1</v>
    <v/>
    <v>10</v>
    <v/>
    <v/>
    <v>11</v>
  </rv>
</rvData>
</file>

<file path=xl/richData/rdrichvaluestructure.xml><?xml version="1.0" encoding="utf-8"?>
<rvStructures xmlns="http://schemas.microsoft.com/office/spreadsheetml/2017/richdata" count="12">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formattednumber">
    <k n="_Format" t="sp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2">
      <v>4</v>
      <v>Name</v>
    </spb>
    <spb s="16">
      <v>1</v>
      <v>1</v>
      <v>1</v>
    </spb>
    <spb s="17">
      <v>3</v>
      <v>1</v>
      <v>1</v>
      <v>4</v>
      <v>5</v>
      <v>6</v>
      <v>5</v>
      <v>5</v>
      <v>5</v>
      <v>5</v>
      <v>5</v>
      <v>5</v>
      <v>5</v>
      <v>1</v>
      <v>11</v>
      <v>7</v>
      <v>9</v>
    </spb>
    <spb s="18">
      <v>from previous close</v>
      <v>from previous close</v>
      <v>GMT</v>
      <v>GMT</v>
    </spb>
    <spb s="19">
      <v>11</v>
    </spb>
    <spb s="19">
      <v>1</v>
    </spb>
    <spb s="20">
      <v>11</v>
      <v>1</v>
    </spb>
  </spbData>
</supportingPropertyBags>
</file>

<file path=xl/richData/rdsupportingpropertybagstructure.xml><?xml version="1.0" encoding="utf-8"?>
<spbStructures xmlns="http://schemas.microsoft.com/office/spreadsheetml/2017/richdata2" count="21">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9"/>
  <sheetViews>
    <sheetView tabSelected="1" zoomScale="97" workbookViewId="0">
      <selection activeCell="F17" sqref="F17"/>
    </sheetView>
  </sheetViews>
  <sheetFormatPr baseColWidth="10" defaultColWidth="10.83203125" defaultRowHeight="16" x14ac:dyDescent="0.2"/>
  <cols>
    <col min="1" max="1" width="35.33203125" customWidth="1"/>
    <col min="2" max="2" width="13.33203125" customWidth="1"/>
    <col min="3" max="3" width="14.6640625" customWidth="1"/>
    <col min="4" max="4" width="7.6640625" customWidth="1"/>
    <col min="6" max="6" width="14.5" customWidth="1"/>
  </cols>
  <sheetData>
    <row r="1" spans="1:4" s="3" customFormat="1" x14ac:dyDescent="0.2">
      <c r="A1" s="3" t="s">
        <v>0</v>
      </c>
      <c r="B1" s="3" t="s">
        <v>1</v>
      </c>
      <c r="C1" s="20" t="s">
        <v>35</v>
      </c>
      <c r="D1" s="3" t="s">
        <v>2</v>
      </c>
    </row>
    <row r="2" spans="1:4" x14ac:dyDescent="0.2">
      <c r="A2" t="s">
        <v>15</v>
      </c>
      <c r="B2" t="s">
        <v>3</v>
      </c>
      <c r="C2" s="19">
        <v>2000</v>
      </c>
      <c r="D2" s="9">
        <v>1.024</v>
      </c>
    </row>
    <row r="3" spans="1:4" x14ac:dyDescent="0.2">
      <c r="A3" t="s">
        <v>21</v>
      </c>
      <c r="B3" t="s">
        <v>3</v>
      </c>
      <c r="C3" s="19">
        <v>1000</v>
      </c>
      <c r="D3" s="9">
        <v>1.0931</v>
      </c>
    </row>
    <row r="4" spans="1:4" x14ac:dyDescent="0.2">
      <c r="A4" t="s">
        <v>22</v>
      </c>
      <c r="B4" t="s">
        <v>3</v>
      </c>
      <c r="C4" s="19">
        <v>23000</v>
      </c>
      <c r="D4" s="9">
        <v>2.1213000000000002</v>
      </c>
    </row>
    <row r="5" spans="1:4" x14ac:dyDescent="0.2">
      <c r="A5" t="s">
        <v>23</v>
      </c>
      <c r="B5" t="s">
        <v>3</v>
      </c>
      <c r="C5" s="19">
        <v>1500</v>
      </c>
      <c r="D5" s="9">
        <v>1.2076</v>
      </c>
    </row>
    <row r="6" spans="1:4" x14ac:dyDescent="0.2">
      <c r="A6" t="s">
        <v>30</v>
      </c>
      <c r="B6" t="s">
        <v>6</v>
      </c>
      <c r="C6" s="19">
        <v>3000</v>
      </c>
      <c r="D6" s="9">
        <v>0.81589999999999996</v>
      </c>
    </row>
    <row r="7" spans="1:4" x14ac:dyDescent="0.2">
      <c r="A7" t="s">
        <v>31</v>
      </c>
      <c r="B7" t="s">
        <v>4</v>
      </c>
      <c r="C7" s="19">
        <v>12000</v>
      </c>
      <c r="D7" s="9">
        <v>1.0716000000000001</v>
      </c>
    </row>
    <row r="8" spans="1:4" x14ac:dyDescent="0.2">
      <c r="A8" t="s">
        <v>32</v>
      </c>
      <c r="B8" t="s">
        <v>14</v>
      </c>
      <c r="C8" s="19">
        <v>2000</v>
      </c>
      <c r="D8" s="9">
        <v>0</v>
      </c>
    </row>
    <row r="9" spans="1:4" x14ac:dyDescent="0.2">
      <c r="A9" t="s">
        <v>33</v>
      </c>
      <c r="B9" t="s">
        <v>5</v>
      </c>
      <c r="C9" s="19">
        <v>9000</v>
      </c>
      <c r="D9" s="9">
        <v>1.0226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zoomScale="114" workbookViewId="0">
      <selection activeCell="B2" sqref="B2"/>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3.922958220491911E-3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t="shared" ref="F3:F14" ca="1" si="0">(B3/G3)/G3</f>
        <v>5.523104432941575E-3</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ca="1" si="0"/>
        <v>1.9116385524568938E-3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1.4117283724857442E-3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4.050135612487793E-3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1.5033003511210738E-3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1.1222078149320001E-2</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2.7756244999324903E-3</v>
      </c>
      <c r="G9" s="5" cm="1">
        <f t="array" aca="1" ref="G9" ca="1">_FV(A9,"Previous close",TRUE)</f>
        <v>366.26</v>
      </c>
    </row>
    <row r="10" spans="1:7" x14ac:dyDescent="0.2">
      <c r="A10" t="e" vm="9">
        <v>#VALUE!</v>
      </c>
      <c r="B10" s="5" cm="1">
        <f t="array" aca="1" ref="B10" ca="1">_FV(A10,"Price")</f>
        <v>1.1627000000000001</v>
      </c>
      <c r="C10" t="e" cm="1" vm="10">
        <f t="array" ref="C10">_FV(A10,"Beta")</f>
        <v>#VALUE!</v>
      </c>
      <c r="D10" s="5" t="e" cm="1" vm="11">
        <f t="array" ref="D10">_FV(A10,"Market cap",TRUE)</f>
        <v>#VALUE!</v>
      </c>
      <c r="E10" s="5" t="s">
        <v>14</v>
      </c>
      <c r="F10" s="10">
        <v>0</v>
      </c>
      <c r="G10" s="5" cm="1">
        <f t="array" aca="1" ref="G10" ca="1">_FV(A10,"Previous close",TRUE)</f>
        <v>1.1626000000000001</v>
      </c>
    </row>
    <row r="11" spans="1:7" x14ac:dyDescent="0.2">
      <c r="A11" t="e" vm="12">
        <v>#VALUE!</v>
      </c>
      <c r="B11" s="5" cm="1">
        <f t="array" aca="1" ref="B11" ca="1">_FV(A11,"Price")</f>
        <v>73.55</v>
      </c>
      <c r="C11" s="6" cm="1">
        <f t="array" aca="1" ref="C11" ca="1">_FV(A11,"Beta")</f>
        <v>1.0219</v>
      </c>
      <c r="D11" s="5" cm="1">
        <f t="array" aca="1" ref="D11" ca="1">_FV(A11,"Market cap",TRUE)</f>
        <v>899405944.95000005</v>
      </c>
      <c r="E11" s="5" t="s">
        <v>5</v>
      </c>
      <c r="F11" s="10">
        <f t="shared" ca="1" si="0"/>
        <v>1.3726522141598732E-2</v>
      </c>
      <c r="G11" s="5" cm="1">
        <f t="array" aca="1" ref="G11" ca="1">_FV(A11,"Previous close",TRUE)</f>
        <v>73.2</v>
      </c>
    </row>
    <row r="12" spans="1:7" x14ac:dyDescent="0.2">
      <c r="A12" t="e" vm="13">
        <v>#VALUE!</v>
      </c>
      <c r="B12" s="8" cm="1">
        <f t="array" aca="1" ref="B12" ca="1">_FV(A12,"Price")</f>
        <v>611.44000000000005</v>
      </c>
      <c r="C12" cm="1">
        <f t="array" aca="1" ref="C12" ca="1">_FV(A12,"Beta")</f>
        <v>1.0232000000000001</v>
      </c>
      <c r="D12" s="8" cm="1">
        <f t="array" aca="1" ref="D12" ca="1">_FV(A12,"Market cap",TRUE)</f>
        <v>385755187983.09998</v>
      </c>
      <c r="E12" s="5" t="s">
        <v>3</v>
      </c>
      <c r="F12" s="10">
        <f t="shared" ca="1" si="0"/>
        <v>1.673196192303835E-3</v>
      </c>
      <c r="G12" s="5" cm="1">
        <f t="array" aca="1" ref="G12" ca="1">_FV(A12,"Previous close",TRUE)</f>
        <v>604.51</v>
      </c>
    </row>
    <row r="13" spans="1:7" x14ac:dyDescent="0.2">
      <c r="A13" t="e" vm="14">
        <v>#VALUE!</v>
      </c>
      <c r="B13" s="5" cm="1">
        <f t="array" aca="1" ref="B13" ca="1">_FV(A13,"Price")</f>
        <v>96.38</v>
      </c>
      <c r="C13" s="6" cm="1">
        <f t="array" aca="1" ref="C13" ca="1">_FV(A13,"Beta")</f>
        <v>1.2008000000000001</v>
      </c>
      <c r="D13" s="5" cm="1">
        <f t="array" aca="1" ref="D13" ca="1">_FV(A13,"Market cap",TRUE)</f>
        <v>38510844547.139999</v>
      </c>
      <c r="E13" t="s">
        <v>4</v>
      </c>
      <c r="F13" s="10">
        <f t="shared" ca="1" si="0"/>
        <v>1.037990405772183E-2</v>
      </c>
      <c r="G13" s="5" cm="1">
        <f t="array" aca="1" ref="G13" ca="1">_FV(A13,"Previous close",TRUE)</f>
        <v>96.36</v>
      </c>
    </row>
    <row r="14" spans="1:7" x14ac:dyDescent="0.2">
      <c r="A14" t="e" vm="15">
        <v>#VALUE!</v>
      </c>
      <c r="B14" s="5" cm="1">
        <f t="array" aca="1" ref="B14" ca="1">_FV(A14,"Price")</f>
        <v>67.900000000000006</v>
      </c>
      <c r="C14" t="e" cm="1" vm="10">
        <f t="array" ref="C14">_FV(A14,"Beta")</f>
        <v>#VALUE!</v>
      </c>
      <c r="D14" s="5" t="e" cm="1" vm="11">
        <f t="array" ref="D14">_FV(A14,"Market cap",TRUE)</f>
        <v>#VALUE!</v>
      </c>
      <c r="E14" t="s">
        <v>4</v>
      </c>
      <c r="F14" s="10">
        <f t="shared" ca="1" si="0"/>
        <v>1.453850751750038E-2</v>
      </c>
      <c r="G14" s="5" cm="1">
        <f t="array" aca="1" ref="G14" ca="1">_FV(A14,"Previous close",TRUE)</f>
        <v>68.34</v>
      </c>
    </row>
    <row r="15" spans="1:7" x14ac:dyDescent="0.2">
      <c r="B15" s="5"/>
      <c r="C15" s="6"/>
      <c r="D15"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U252"/>
  <sheetViews>
    <sheetView topLeftCell="C1" zoomScale="70" zoomScaleNormal="70" workbookViewId="0">
      <selection activeCell="S20" sqref="S20"/>
    </sheetView>
  </sheetViews>
  <sheetFormatPr baseColWidth="10" defaultColWidth="10.6640625" defaultRowHeight="16" x14ac:dyDescent="0.2"/>
  <cols>
    <col min="1" max="1" width="14.6640625" customWidth="1"/>
    <col min="2" max="2" width="13.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5.6640625" customWidth="1"/>
    <col min="11" max="11" width="8.6640625" customWidth="1"/>
    <col min="12" max="12" width="14.83203125" customWidth="1"/>
    <col min="13" max="13" width="8.83203125" customWidth="1"/>
    <col min="14" max="14" width="13" customWidth="1"/>
    <col min="15" max="15" width="9.1640625" customWidth="1"/>
    <col min="16" max="16" width="12.5" customWidth="1"/>
    <col min="17" max="17" width="8.83203125" customWidth="1"/>
    <col min="18" max="18" width="14.33203125" customWidth="1"/>
    <col min="19" max="19" width="8.6640625" customWidth="1"/>
    <col min="20" max="20" width="13.83203125" customWidth="1"/>
    <col min="21" max="21" width="10.33203125" customWidth="1"/>
  </cols>
  <sheetData>
    <row r="1" spans="1:21" s="11" customFormat="1" ht="68" x14ac:dyDescent="0.2">
      <c r="A1" s="11" t="s">
        <v>19</v>
      </c>
      <c r="B1" s="11" t="e" vm="1">
        <v>#VALUE!</v>
      </c>
      <c r="D1" s="11" t="e" vm="2">
        <v>#VALUE!</v>
      </c>
      <c r="F1" s="11" t="e" vm="3">
        <v>#VALUE!</v>
      </c>
      <c r="H1" s="11" t="e" vm="4">
        <v>#VALUE!</v>
      </c>
      <c r="J1" s="11" t="e" vm="5">
        <v>#VALUE!</v>
      </c>
      <c r="L1" s="11" t="e" vm="6">
        <v>#VALUE!</v>
      </c>
      <c r="N1" s="11" t="e" vm="7">
        <v>#VALUE!</v>
      </c>
      <c r="P1" s="11" t="e" vm="8">
        <v>#VALUE!</v>
      </c>
      <c r="R1" s="11" t="e" vm="12">
        <v>#VALUE!</v>
      </c>
      <c r="T1" s="11" t="e" vm="14">
        <v>#VALUE!</v>
      </c>
    </row>
    <row r="2" spans="1:21" s="13" customFormat="1" x14ac:dyDescent="0.2">
      <c r="A2" s="12" t="str" cm="1">
        <f t="array" aca="1" ref="A2:B252" ca="1">_xlfn.STOCKHISTORY("AAPL", TODAY()-365, TODAY(), 0, 1)</f>
        <v>Date</v>
      </c>
      <c r="B2" s="13" t="str">
        <f ca="1"/>
        <v>Close</v>
      </c>
      <c r="C2" s="13" t="s">
        <v>20</v>
      </c>
      <c r="D2" s="13" t="str" cm="1">
        <f t="array" aca="1" ref="D2:D252" ca="1">INDEX(_xlfn.STOCKHISTORY("NVDA", TODAY()-365, TODAY(), 0, 1), , 2)</f>
        <v>Close</v>
      </c>
      <c r="E2" s="13" t="s">
        <v>20</v>
      </c>
      <c r="F2" s="13" t="str" cm="1">
        <f t="array" aca="1" ref="F2:F252" ca="1">INDEX(_xlfn.STOCKHISTORY("MSFT", TODAY()-365, TODAY(), 0, 1), , 2)</f>
        <v>Close</v>
      </c>
      <c r="G2" s="13" t="s">
        <v>20</v>
      </c>
      <c r="H2" s="13" t="str" cm="1">
        <f t="array" aca="1" ref="H2:H252" ca="1">INDEX(_xlfn.STOCKHISTORY("meta", TODAY()-365, TODAY(), 0, 1), , 2)</f>
        <v>Close</v>
      </c>
      <c r="I2" s="13" t="s">
        <v>20</v>
      </c>
      <c r="J2" s="13" t="str" cm="1">
        <f t="array" aca="1" ref="J2:J252" ca="1">INDEX(_xlfn.STOCKHISTORY("GOOGL", TODAY()-365, TODAY(), 0, 1), , 2)</f>
        <v>Close</v>
      </c>
      <c r="K2" s="13" t="s">
        <v>20</v>
      </c>
      <c r="L2" s="13" t="str" cm="1">
        <f t="array" aca="1" ref="L2:L252" ca="1">INDEX(_xlfn.STOCKHISTORY("SPY", TODAY()-365, TODAY(), 0, 1), , 2)</f>
        <v>Close</v>
      </c>
      <c r="M2" s="13" t="s">
        <v>20</v>
      </c>
      <c r="N2" s="13" t="str" cm="1">
        <f t="array" aca="1" ref="N2:N246" ca="1">INDEX(_xlfn.STOCKHISTORY(Market_Data!A7, TODAY()-365, TODAY(), 0, 1), , 2)</f>
        <v>Close</v>
      </c>
      <c r="O2" s="13" t="s">
        <v>20</v>
      </c>
      <c r="P2" s="13" t="str" cm="1">
        <f t="array" aca="1" ref="P2:P252" ca="1">INDEX(_xlfn.STOCKHISTORY("GLD", TODAY()-365, TODAY(), 0, 1), , 2)</f>
        <v>Close</v>
      </c>
      <c r="Q2" s="13" t="s">
        <v>20</v>
      </c>
      <c r="R2" s="13" t="str" cm="1">
        <f t="array" aca="1" ref="R2:R252" ca="1">INDEX(_xlfn.STOCKHISTORY("USO", TODAY()-365, TODAY(), 0, 1), , 2)</f>
        <v>Close</v>
      </c>
      <c r="S2" s="13" t="s">
        <v>20</v>
      </c>
      <c r="T2" s="13" t="str" cm="1">
        <f t="array" aca="1" ref="T2:T252" ca="1">INDEX(_xlfn.STOCKHISTORY("IEF", TODAY()-365, TODAY(), 0, 1), , 2)</f>
        <v>Close</v>
      </c>
      <c r="U2" s="13" t="s">
        <v>20</v>
      </c>
    </row>
    <row r="3" spans="1:21" x14ac:dyDescent="0.2">
      <c r="A3" vm="16">
        <f ca="1"/>
        <v>45573</v>
      </c>
      <c r="B3" vm="17">
        <f ca="1"/>
        <v>225.77</v>
      </c>
      <c r="D3" vm="18">
        <f ca="1"/>
        <v>132.88999999999999</v>
      </c>
      <c r="F3" vm="19">
        <f ca="1"/>
        <v>414.71</v>
      </c>
      <c r="H3" vm="20">
        <f ca="1"/>
        <v>592.89</v>
      </c>
      <c r="J3" vm="21">
        <f ca="1"/>
        <v>164.38</v>
      </c>
      <c r="L3" vm="22">
        <f ca="1"/>
        <v>573.16999999999996</v>
      </c>
      <c r="N3" vm="22">
        <f ca="1"/>
        <v>573.16999999999996</v>
      </c>
      <c r="P3" vm="23">
        <f ca="1"/>
        <v>242.37</v>
      </c>
      <c r="R3" vm="24">
        <f ca="1"/>
        <v>75.790000000000006</v>
      </c>
      <c r="T3" vm="25">
        <f ca="1"/>
        <v>96.2</v>
      </c>
    </row>
    <row r="4" spans="1:21" x14ac:dyDescent="0.2">
      <c r="A4" vm="26">
        <f ca="1"/>
        <v>45574</v>
      </c>
      <c r="B4" vm="27">
        <f ca="1"/>
        <v>229.54</v>
      </c>
      <c r="C4">
        <f ca="1">(B4-B3)/B3</f>
        <v>1.6698409886167258E-2</v>
      </c>
      <c r="D4" vm="28">
        <f ca="1"/>
        <v>132.65</v>
      </c>
      <c r="E4">
        <f ca="1">(D4-D3)/D3</f>
        <v>-1.8060049665135126E-3</v>
      </c>
      <c r="F4" vm="29">
        <f ca="1"/>
        <v>417.46</v>
      </c>
      <c r="G4">
        <f ca="1">(F4-F3)/F3</f>
        <v>6.6311398326541439E-3</v>
      </c>
      <c r="H4" vm="30">
        <f ca="1"/>
        <v>590.51</v>
      </c>
      <c r="I4">
        <f ca="1">(H4-H3)/H3</f>
        <v>-4.0142353556308855E-3</v>
      </c>
      <c r="J4" vm="31">
        <f ca="1"/>
        <v>161.86000000000001</v>
      </c>
      <c r="K4">
        <f ca="1">(J4-J3)/J3</f>
        <v>-1.5330332157196629E-2</v>
      </c>
      <c r="L4" vm="32">
        <f ca="1"/>
        <v>577.14</v>
      </c>
      <c r="M4">
        <f ca="1">(L4-L3)/L3</f>
        <v>6.9263918209257766E-3</v>
      </c>
      <c r="N4" vm="32">
        <f ca="1"/>
        <v>577.14</v>
      </c>
      <c r="O4">
        <f ca="1">(N4-N3)/N3</f>
        <v>6.9263918209257766E-3</v>
      </c>
      <c r="P4" vm="33">
        <f ca="1"/>
        <v>241.05</v>
      </c>
      <c r="Q4">
        <f ca="1">(P4-P3)/P3</f>
        <v>-5.4462185914097997E-3</v>
      </c>
      <c r="R4" vm="34">
        <f ca="1"/>
        <v>75.25</v>
      </c>
      <c r="S4">
        <f ca="1">(R4-R3)/R3</f>
        <v>-7.1249505211770179E-3</v>
      </c>
      <c r="T4" vm="35">
        <f ca="1"/>
        <v>95.84</v>
      </c>
      <c r="U4">
        <f ca="1">(T4-T3)/T3</f>
        <v>-3.7422037422037363E-3</v>
      </c>
    </row>
    <row r="5" spans="1:21" x14ac:dyDescent="0.2">
      <c r="A5" vm="36">
        <f ca="1"/>
        <v>45575</v>
      </c>
      <c r="B5" vm="37">
        <f ca="1"/>
        <v>229.04</v>
      </c>
      <c r="C5">
        <f t="shared" ref="C5:C68" ca="1" si="0">(B5-B4)/B4</f>
        <v>-2.178269582643548E-3</v>
      </c>
      <c r="D5" vm="38">
        <f ca="1"/>
        <v>134.81</v>
      </c>
      <c r="E5">
        <f t="shared" ref="E5:E68" ca="1" si="1">(D5-D4)/D4</f>
        <v>1.6283452695062168E-2</v>
      </c>
      <c r="F5" vm="39">
        <f ca="1"/>
        <v>415.84</v>
      </c>
      <c r="G5">
        <f t="shared" ref="G5:G68" ca="1" si="2">(F5-F4)/F4</f>
        <v>-3.8806113160542439E-3</v>
      </c>
      <c r="H5" vm="40">
        <f ca="1"/>
        <v>583.83000000000004</v>
      </c>
      <c r="I5">
        <f t="shared" ref="I5:I68" ca="1" si="3">(H5-H4)/H4</f>
        <v>-1.131225550795067E-2</v>
      </c>
      <c r="J5" vm="41">
        <f ca="1"/>
        <v>162.08000000000001</v>
      </c>
      <c r="K5">
        <f t="shared" ref="K5:K68" ca="1" si="4">(J5-J4)/J4</f>
        <v>1.3591993080439816E-3</v>
      </c>
      <c r="L5" vm="42">
        <f ca="1"/>
        <v>576.13</v>
      </c>
      <c r="M5">
        <f t="shared" ref="M5:M68" ca="1" si="5">(L5-L4)/L4</f>
        <v>-1.750008663409209E-3</v>
      </c>
      <c r="N5" vm="42">
        <f ca="1"/>
        <v>576.13</v>
      </c>
      <c r="O5">
        <f t="shared" ref="O5:O68" ca="1" si="6">(N5-N4)/N4</f>
        <v>-1.750008663409209E-3</v>
      </c>
      <c r="P5" vm="43">
        <f ca="1"/>
        <v>242.82</v>
      </c>
      <c r="Q5">
        <f t="shared" ref="Q5:Q68" ca="1" si="7">(P5-P4)/P4</f>
        <v>7.3428749222152322E-3</v>
      </c>
      <c r="R5" vm="44">
        <f ca="1"/>
        <v>77.77</v>
      </c>
      <c r="S5">
        <f t="shared" ref="S5:S68" ca="1" si="8">(R5-R4)/R4</f>
        <v>3.3488372093023203E-2</v>
      </c>
      <c r="T5" vm="45">
        <f ca="1"/>
        <v>95.83</v>
      </c>
      <c r="U5">
        <f t="shared" ref="U5:U68" ca="1" si="9">(T5-T4)/T4</f>
        <v>-1.0434056761274119E-4</v>
      </c>
    </row>
    <row r="6" spans="1:21" x14ac:dyDescent="0.2">
      <c r="A6" vm="46">
        <f ca="1"/>
        <v>45576</v>
      </c>
      <c r="B6" vm="47">
        <f ca="1"/>
        <v>227.55</v>
      </c>
      <c r="C6">
        <f t="shared" ca="1" si="0"/>
        <v>-6.5054139015018365E-3</v>
      </c>
      <c r="D6" vm="48">
        <f ca="1"/>
        <v>134.80000000000001</v>
      </c>
      <c r="E6">
        <f t="shared" ca="1" si="1"/>
        <v>-7.4178473406949811E-5</v>
      </c>
      <c r="F6" vm="49">
        <f ca="1"/>
        <v>416.32</v>
      </c>
      <c r="G6">
        <f t="shared" ca="1" si="2"/>
        <v>1.1542901115814213E-3</v>
      </c>
      <c r="H6" vm="50">
        <f ca="1"/>
        <v>589.95000000000005</v>
      </c>
      <c r="I6">
        <f t="shared" ca="1" si="3"/>
        <v>1.0482503468475419E-2</v>
      </c>
      <c r="J6" vm="51">
        <f ca="1"/>
        <v>163.24</v>
      </c>
      <c r="K6">
        <f t="shared" ca="1" si="4"/>
        <v>7.1569595261598996E-3</v>
      </c>
      <c r="L6" vm="52">
        <f ca="1"/>
        <v>579.58000000000004</v>
      </c>
      <c r="M6">
        <f t="shared" ca="1" si="5"/>
        <v>5.9882318226789884E-3</v>
      </c>
      <c r="N6" vm="52">
        <f ca="1"/>
        <v>579.58000000000004</v>
      </c>
      <c r="O6">
        <f t="shared" ca="1" si="6"/>
        <v>5.9882318226789884E-3</v>
      </c>
      <c r="P6" vm="53">
        <f ca="1"/>
        <v>245.47</v>
      </c>
      <c r="Q6">
        <f t="shared" ca="1" si="7"/>
        <v>1.0913433819290034E-2</v>
      </c>
      <c r="R6" vm="54">
        <f ca="1"/>
        <v>77.489999999999995</v>
      </c>
      <c r="S6">
        <f t="shared" ca="1" si="8"/>
        <v>-3.600360036003615E-3</v>
      </c>
      <c r="T6" vm="55">
        <f ca="1"/>
        <v>95.86</v>
      </c>
      <c r="U6">
        <f t="shared" ca="1" si="9"/>
        <v>3.1305436710843301E-4</v>
      </c>
    </row>
    <row r="7" spans="1:21" x14ac:dyDescent="0.2">
      <c r="A7" vm="56">
        <f ca="1"/>
        <v>45579</v>
      </c>
      <c r="B7" vm="57">
        <f ca="1"/>
        <v>231.3</v>
      </c>
      <c r="C7">
        <f t="shared" ca="1" si="0"/>
        <v>1.6479894528675015E-2</v>
      </c>
      <c r="D7" vm="58">
        <f ca="1"/>
        <v>138.07</v>
      </c>
      <c r="E7">
        <f t="shared" ca="1" si="1"/>
        <v>2.4258160237388585E-2</v>
      </c>
      <c r="F7" vm="59">
        <f ca="1"/>
        <v>419.14</v>
      </c>
      <c r="G7">
        <f t="shared" ca="1" si="2"/>
        <v>6.7736356648731583E-3</v>
      </c>
      <c r="H7" vm="60">
        <f ca="1"/>
        <v>590.41999999999996</v>
      </c>
      <c r="I7">
        <f t="shared" ca="1" si="3"/>
        <v>7.9667768454939154E-4</v>
      </c>
      <c r="J7" vm="61">
        <f ca="1"/>
        <v>164.96</v>
      </c>
      <c r="K7">
        <f t="shared" ca="1" si="4"/>
        <v>1.0536633178142605E-2</v>
      </c>
      <c r="L7" vm="62">
        <f ca="1"/>
        <v>584.32000000000005</v>
      </c>
      <c r="M7">
        <f t="shared" ca="1" si="5"/>
        <v>8.1783360364401959E-3</v>
      </c>
      <c r="N7" vm="62">
        <f ca="1"/>
        <v>584.32000000000005</v>
      </c>
      <c r="O7">
        <f t="shared" ca="1" si="6"/>
        <v>8.1783360364401959E-3</v>
      </c>
      <c r="P7" vm="63">
        <f ca="1"/>
        <v>245.07</v>
      </c>
      <c r="Q7">
        <f t="shared" ca="1" si="7"/>
        <v>-1.6295270297796297E-3</v>
      </c>
      <c r="R7" vm="64">
        <f ca="1"/>
        <v>75.930000000000007</v>
      </c>
      <c r="S7">
        <f t="shared" ca="1" si="8"/>
        <v>-2.0131629887727296E-2</v>
      </c>
      <c r="T7" vm="65">
        <f ca="1"/>
        <v>95.69</v>
      </c>
      <c r="U7">
        <f t="shared" ca="1" si="9"/>
        <v>-1.7734195702065691E-3</v>
      </c>
    </row>
    <row r="8" spans="1:21" x14ac:dyDescent="0.2">
      <c r="A8" vm="66">
        <f ca="1"/>
        <v>45580</v>
      </c>
      <c r="B8" vm="67">
        <f ca="1"/>
        <v>233.85</v>
      </c>
      <c r="C8">
        <f t="shared" ca="1" si="0"/>
        <v>1.1024643320363091E-2</v>
      </c>
      <c r="D8" vm="68">
        <f ca="1"/>
        <v>131.6</v>
      </c>
      <c r="E8">
        <f t="shared" ca="1" si="1"/>
        <v>-4.686028825957847E-2</v>
      </c>
      <c r="F8" vm="69">
        <f ca="1"/>
        <v>418.74</v>
      </c>
      <c r="G8">
        <f t="shared" ca="1" si="2"/>
        <v>-9.5433506704198422E-4</v>
      </c>
      <c r="H8" vm="70">
        <f ca="1"/>
        <v>586.27</v>
      </c>
      <c r="I8">
        <f t="shared" ca="1" si="3"/>
        <v>-7.028894685139354E-3</v>
      </c>
      <c r="J8" vm="71">
        <f ca="1"/>
        <v>165.46</v>
      </c>
      <c r="K8">
        <f t="shared" ca="1" si="4"/>
        <v>3.0310378273520852E-3</v>
      </c>
      <c r="L8" vm="72">
        <f ca="1"/>
        <v>579.78</v>
      </c>
      <c r="M8">
        <f t="shared" ca="1" si="5"/>
        <v>-7.769715224534633E-3</v>
      </c>
      <c r="N8" vm="72">
        <f ca="1"/>
        <v>579.78</v>
      </c>
      <c r="O8">
        <f t="shared" ca="1" si="6"/>
        <v>-7.769715224534633E-3</v>
      </c>
      <c r="P8" vm="73">
        <f ca="1"/>
        <v>245.92</v>
      </c>
      <c r="Q8">
        <f t="shared" ca="1" si="7"/>
        <v>3.4683967845921342E-3</v>
      </c>
      <c r="R8" vm="74">
        <f ca="1"/>
        <v>72.760000000000005</v>
      </c>
      <c r="S8">
        <f t="shared" ca="1" si="8"/>
        <v>-4.174897932306073E-2</v>
      </c>
      <c r="T8" vm="75">
        <f ca="1"/>
        <v>96.18</v>
      </c>
      <c r="U8">
        <f t="shared" ca="1" si="9"/>
        <v>5.1207022677396711E-3</v>
      </c>
    </row>
    <row r="9" spans="1:21" x14ac:dyDescent="0.2">
      <c r="A9" vm="76">
        <f ca="1"/>
        <v>45581</v>
      </c>
      <c r="B9" vm="77">
        <f ca="1"/>
        <v>231.78</v>
      </c>
      <c r="C9">
        <f t="shared" ca="1" si="0"/>
        <v>-8.8518280949326199E-3</v>
      </c>
      <c r="D9" vm="78">
        <f ca="1"/>
        <v>135.72</v>
      </c>
      <c r="E9">
        <f t="shared" ca="1" si="1"/>
        <v>3.1306990881459003E-2</v>
      </c>
      <c r="F9" vm="79">
        <f ca="1"/>
        <v>416.12</v>
      </c>
      <c r="G9">
        <f t="shared" ca="1" si="2"/>
        <v>-6.2568658356020549E-3</v>
      </c>
      <c r="H9" vm="80">
        <f ca="1"/>
        <v>576.79</v>
      </c>
      <c r="I9">
        <f t="shared" ca="1" si="3"/>
        <v>-1.6170024050352259E-2</v>
      </c>
      <c r="J9" vm="81">
        <f ca="1"/>
        <v>165.16</v>
      </c>
      <c r="K9">
        <f t="shared" ca="1" si="4"/>
        <v>-1.8131270397679883E-3</v>
      </c>
      <c r="L9" vm="82">
        <f ca="1"/>
        <v>582.29999999999995</v>
      </c>
      <c r="M9">
        <f t="shared" ca="1" si="5"/>
        <v>4.3464762496118903E-3</v>
      </c>
      <c r="N9" vm="82">
        <f ca="1"/>
        <v>582.29999999999995</v>
      </c>
      <c r="O9">
        <f t="shared" ca="1" si="6"/>
        <v>4.3464762496118903E-3</v>
      </c>
      <c r="P9" vm="83">
        <f ca="1"/>
        <v>247.15</v>
      </c>
      <c r="Q9">
        <f t="shared" ca="1" si="7"/>
        <v>5.0016265452180316E-3</v>
      </c>
      <c r="R9" vm="84">
        <f ca="1"/>
        <v>72.400000000000006</v>
      </c>
      <c r="S9">
        <f t="shared" ca="1" si="8"/>
        <v>-4.9477735019241263E-3</v>
      </c>
      <c r="T9" vm="85">
        <f ca="1"/>
        <v>96.33</v>
      </c>
      <c r="U9">
        <f t="shared" ca="1" si="9"/>
        <v>1.5595757953835668E-3</v>
      </c>
    </row>
    <row r="10" spans="1:21" x14ac:dyDescent="0.2">
      <c r="A10" vm="86">
        <f ca="1"/>
        <v>45582</v>
      </c>
      <c r="B10" vm="87">
        <f ca="1"/>
        <v>232.15</v>
      </c>
      <c r="C10">
        <f t="shared" ca="1" si="0"/>
        <v>1.5963413581845049E-3</v>
      </c>
      <c r="D10" vm="88">
        <f ca="1"/>
        <v>136.93</v>
      </c>
      <c r="E10">
        <f t="shared" ca="1" si="1"/>
        <v>8.9154140878279393E-3</v>
      </c>
      <c r="F10" vm="89">
        <f ca="1"/>
        <v>416.72</v>
      </c>
      <c r="G10">
        <f t="shared" ca="1" si="2"/>
        <v>1.4418917619917879E-3</v>
      </c>
      <c r="H10" vm="90">
        <f ca="1"/>
        <v>576.92999999999995</v>
      </c>
      <c r="I10">
        <f t="shared" ca="1" si="3"/>
        <v>2.427226546923254E-4</v>
      </c>
      <c r="J10" vm="91">
        <f ca="1"/>
        <v>162.93</v>
      </c>
      <c r="K10">
        <f t="shared" ca="1" si="4"/>
        <v>-1.3502058609832827E-2</v>
      </c>
      <c r="L10" vm="92">
        <f ca="1"/>
        <v>582.35</v>
      </c>
      <c r="M10">
        <f t="shared" ca="1" si="5"/>
        <v>8.5866391894329753E-5</v>
      </c>
      <c r="N10" vm="92">
        <f ca="1"/>
        <v>582.35</v>
      </c>
      <c r="O10">
        <f t="shared" ca="1" si="6"/>
        <v>8.5866391894329753E-5</v>
      </c>
      <c r="P10" vm="93">
        <f ca="1"/>
        <v>248.63</v>
      </c>
      <c r="Q10">
        <f t="shared" ca="1" si="7"/>
        <v>5.9882662350798695E-3</v>
      </c>
      <c r="R10" vm="94">
        <f ca="1"/>
        <v>72.62</v>
      </c>
      <c r="S10">
        <f t="shared" ca="1" si="8"/>
        <v>3.0386740331491552E-3</v>
      </c>
      <c r="T10" vm="45">
        <f ca="1"/>
        <v>95.83</v>
      </c>
      <c r="U10">
        <f t="shared" ca="1" si="9"/>
        <v>-5.1904910204505347E-3</v>
      </c>
    </row>
    <row r="11" spans="1:21" x14ac:dyDescent="0.2">
      <c r="A11" vm="95">
        <f ca="1"/>
        <v>45583</v>
      </c>
      <c r="B11" vm="96">
        <f ca="1"/>
        <v>235</v>
      </c>
      <c r="C11">
        <f t="shared" ca="1" si="0"/>
        <v>1.2276545337066527E-2</v>
      </c>
      <c r="D11" vm="97">
        <f ca="1"/>
        <v>138</v>
      </c>
      <c r="E11">
        <f t="shared" ca="1" si="1"/>
        <v>7.8142116409843938E-3</v>
      </c>
      <c r="F11" vm="98">
        <f ca="1"/>
        <v>418.16</v>
      </c>
      <c r="G11">
        <f t="shared" ca="1" si="2"/>
        <v>3.4555576886158516E-3</v>
      </c>
      <c r="H11" vm="99">
        <f ca="1"/>
        <v>576.47</v>
      </c>
      <c r="I11">
        <f t="shared" ca="1" si="3"/>
        <v>-7.9732376544801406E-4</v>
      </c>
      <c r="J11" vm="100">
        <f ca="1"/>
        <v>163.41999999999999</v>
      </c>
      <c r="K11">
        <f t="shared" ca="1" si="4"/>
        <v>3.007426502178731E-3</v>
      </c>
      <c r="L11" vm="101">
        <f ca="1"/>
        <v>584.59</v>
      </c>
      <c r="M11">
        <f t="shared" ca="1" si="5"/>
        <v>3.8464840731519002E-3</v>
      </c>
      <c r="N11" vm="101">
        <f ca="1"/>
        <v>584.59</v>
      </c>
      <c r="O11">
        <f t="shared" ca="1" si="6"/>
        <v>3.8464840731519002E-3</v>
      </c>
      <c r="P11" vm="102">
        <f ca="1"/>
        <v>251.27</v>
      </c>
      <c r="Q11">
        <f t="shared" ca="1" si="7"/>
        <v>1.0618187668423018E-2</v>
      </c>
      <c r="R11" vm="103">
        <f ca="1"/>
        <v>71.38</v>
      </c>
      <c r="S11">
        <f t="shared" ca="1" si="8"/>
        <v>-1.7075185899201446E-2</v>
      </c>
      <c r="T11" vm="104">
        <f ca="1"/>
        <v>95.94</v>
      </c>
      <c r="U11">
        <f t="shared" ca="1" si="9"/>
        <v>1.1478660127308717E-3</v>
      </c>
    </row>
    <row r="12" spans="1:21" x14ac:dyDescent="0.2">
      <c r="A12" vm="105">
        <f ca="1"/>
        <v>45586</v>
      </c>
      <c r="B12" vm="106">
        <f ca="1"/>
        <v>236.48</v>
      </c>
      <c r="C12">
        <f t="shared" ca="1" si="0"/>
        <v>6.2978723404254885E-3</v>
      </c>
      <c r="D12" vm="107">
        <f ca="1"/>
        <v>143.71</v>
      </c>
      <c r="E12">
        <f t="shared" ca="1" si="1"/>
        <v>4.1376811594202957E-2</v>
      </c>
      <c r="F12" vm="108">
        <f ca="1"/>
        <v>418.78</v>
      </c>
      <c r="G12">
        <f t="shared" ca="1" si="2"/>
        <v>1.4826860531852585E-3</v>
      </c>
      <c r="H12" vm="109">
        <f ca="1"/>
        <v>575.16</v>
      </c>
      <c r="I12">
        <f t="shared" ca="1" si="3"/>
        <v>-2.2724512984197945E-3</v>
      </c>
      <c r="J12" vm="110">
        <f ca="1"/>
        <v>164.07</v>
      </c>
      <c r="K12">
        <f t="shared" ca="1" si="4"/>
        <v>3.9774813364337643E-3</v>
      </c>
      <c r="L12" vm="111">
        <f ca="1"/>
        <v>583.63</v>
      </c>
      <c r="M12">
        <f t="shared" ca="1" si="5"/>
        <v>-1.6421765681931548E-3</v>
      </c>
      <c r="N12" vm="111">
        <f ca="1"/>
        <v>583.63</v>
      </c>
      <c r="O12">
        <f t="shared" ca="1" si="6"/>
        <v>-1.6421765681931548E-3</v>
      </c>
      <c r="P12" vm="112">
        <f ca="1"/>
        <v>251.22</v>
      </c>
      <c r="Q12">
        <f t="shared" ca="1" si="7"/>
        <v>-1.9898913519326368E-4</v>
      </c>
      <c r="R12" vm="113">
        <f ca="1"/>
        <v>72.260000000000005</v>
      </c>
      <c r="S12">
        <f t="shared" ca="1" si="8"/>
        <v>1.2328383300644574E-2</v>
      </c>
      <c r="T12" vm="114">
        <f ca="1"/>
        <v>95.2</v>
      </c>
      <c r="U12">
        <f t="shared" ca="1" si="9"/>
        <v>-7.7131540546174163E-3</v>
      </c>
    </row>
    <row r="13" spans="1:21" x14ac:dyDescent="0.2">
      <c r="A13" vm="115">
        <f ca="1"/>
        <v>45587</v>
      </c>
      <c r="B13" vm="116">
        <f ca="1"/>
        <v>235.86</v>
      </c>
      <c r="C13">
        <f t="shared" ca="1" si="0"/>
        <v>-2.6217861975641752E-3</v>
      </c>
      <c r="D13" vm="117">
        <f ca="1"/>
        <v>143.59</v>
      </c>
      <c r="E13">
        <f t="shared" ca="1" si="1"/>
        <v>-8.3501496068474391E-4</v>
      </c>
      <c r="F13" vm="118">
        <f ca="1"/>
        <v>427.51</v>
      </c>
      <c r="G13">
        <f t="shared" ca="1" si="2"/>
        <v>2.0846267730073115E-2</v>
      </c>
      <c r="H13" vm="119">
        <f ca="1"/>
        <v>582.01</v>
      </c>
      <c r="I13">
        <f t="shared" ca="1" si="3"/>
        <v>1.1909729466583252E-2</v>
      </c>
      <c r="J13" vm="120">
        <f ca="1"/>
        <v>165.14</v>
      </c>
      <c r="K13">
        <f t="shared" ca="1" si="4"/>
        <v>6.5216066313158608E-3</v>
      </c>
      <c r="L13" vm="121">
        <f ca="1"/>
        <v>583.32000000000005</v>
      </c>
      <c r="M13">
        <f t="shared" ca="1" si="5"/>
        <v>-5.311584394221432E-4</v>
      </c>
      <c r="N13" vm="121">
        <f ca="1"/>
        <v>583.32000000000005</v>
      </c>
      <c r="O13">
        <f t="shared" ca="1" si="6"/>
        <v>-5.311584394221432E-4</v>
      </c>
      <c r="P13" vm="122">
        <f ca="1"/>
        <v>253.93</v>
      </c>
      <c r="Q13">
        <f t="shared" ca="1" si="7"/>
        <v>1.078735769445111E-2</v>
      </c>
      <c r="R13" vm="123">
        <f ca="1"/>
        <v>73.98</v>
      </c>
      <c r="S13">
        <f t="shared" ca="1" si="8"/>
        <v>2.3802933849986142E-2</v>
      </c>
      <c r="T13" vm="124">
        <f ca="1"/>
        <v>95.11</v>
      </c>
      <c r="U13">
        <f t="shared" ca="1" si="9"/>
        <v>-9.4537815126053998E-4</v>
      </c>
    </row>
    <row r="14" spans="1:21" x14ac:dyDescent="0.2">
      <c r="A14" vm="125">
        <f ca="1"/>
        <v>45588</v>
      </c>
      <c r="B14" vm="126">
        <f ca="1"/>
        <v>230.76</v>
      </c>
      <c r="C14">
        <f t="shared" ca="1" si="0"/>
        <v>-2.1622996692953544E-2</v>
      </c>
      <c r="D14" vm="127">
        <f ca="1"/>
        <v>139.56</v>
      </c>
      <c r="E14">
        <f t="shared" ca="1" si="1"/>
        <v>-2.8066021310676238E-2</v>
      </c>
      <c r="F14" vm="128">
        <f ca="1"/>
        <v>424.6</v>
      </c>
      <c r="G14">
        <f t="shared" ca="1" si="2"/>
        <v>-6.8068583191035724E-3</v>
      </c>
      <c r="H14" vm="129">
        <f ca="1"/>
        <v>563.69000000000005</v>
      </c>
      <c r="I14">
        <f t="shared" ca="1" si="3"/>
        <v>-3.147712238621319E-2</v>
      </c>
      <c r="J14" vm="130">
        <f ca="1"/>
        <v>162.78</v>
      </c>
      <c r="K14">
        <f t="shared" ca="1" si="4"/>
        <v>-1.4290904686932211E-2</v>
      </c>
      <c r="L14" vm="131">
        <f ca="1"/>
        <v>577.99</v>
      </c>
      <c r="M14">
        <f t="shared" ca="1" si="5"/>
        <v>-9.1373517108963177E-3</v>
      </c>
      <c r="N14" vm="131">
        <f ca="1"/>
        <v>577.99</v>
      </c>
      <c r="O14">
        <f t="shared" ca="1" si="6"/>
        <v>-9.1373517108963177E-3</v>
      </c>
      <c r="P14" vm="132">
        <f ca="1"/>
        <v>250.87</v>
      </c>
      <c r="Q14">
        <f t="shared" ca="1" si="7"/>
        <v>-1.2050565116370662E-2</v>
      </c>
      <c r="R14" vm="133">
        <f ca="1"/>
        <v>73.55</v>
      </c>
      <c r="S14">
        <f t="shared" ca="1" si="8"/>
        <v>-5.8123817247905758E-3</v>
      </c>
      <c r="T14" vm="134">
        <f ca="1"/>
        <v>94.89</v>
      </c>
      <c r="U14">
        <f t="shared" ca="1" si="9"/>
        <v>-2.313111134475858E-3</v>
      </c>
    </row>
    <row r="15" spans="1:21" x14ac:dyDescent="0.2">
      <c r="A15" vm="135">
        <f ca="1"/>
        <v>45589</v>
      </c>
      <c r="B15" vm="136">
        <f ca="1"/>
        <v>230.57</v>
      </c>
      <c r="C15">
        <f t="shared" ca="1" si="0"/>
        <v>-8.2336626798404291E-4</v>
      </c>
      <c r="D15" vm="137">
        <f ca="1"/>
        <v>140.41</v>
      </c>
      <c r="E15">
        <f t="shared" ca="1" si="1"/>
        <v>6.0905703640011053E-3</v>
      </c>
      <c r="F15" vm="138">
        <f ca="1"/>
        <v>424.73</v>
      </c>
      <c r="G15">
        <f t="shared" ca="1" si="2"/>
        <v>3.061705134243887E-4</v>
      </c>
      <c r="H15" vm="139">
        <f ca="1"/>
        <v>567.78</v>
      </c>
      <c r="I15">
        <f t="shared" ca="1" si="3"/>
        <v>7.2557611453102199E-3</v>
      </c>
      <c r="J15" vm="140">
        <f ca="1"/>
        <v>162.72</v>
      </c>
      <c r="K15">
        <f t="shared" ca="1" si="4"/>
        <v>-3.6859565057133724E-4</v>
      </c>
      <c r="L15" vm="141">
        <f ca="1"/>
        <v>579.24</v>
      </c>
      <c r="M15">
        <f t="shared" ca="1" si="5"/>
        <v>2.1626671741725636E-3</v>
      </c>
      <c r="N15" vm="141">
        <f ca="1"/>
        <v>579.24</v>
      </c>
      <c r="O15">
        <f t="shared" ca="1" si="6"/>
        <v>2.1626671741725636E-3</v>
      </c>
      <c r="P15" vm="142">
        <f ca="1"/>
        <v>252.8</v>
      </c>
      <c r="Q15">
        <f t="shared" ca="1" si="7"/>
        <v>7.6932275680631672E-3</v>
      </c>
      <c r="R15" vm="143">
        <f ca="1"/>
        <v>73.06</v>
      </c>
      <c r="S15">
        <f t="shared" ca="1" si="8"/>
        <v>-6.6621346023112834E-3</v>
      </c>
      <c r="T15" vm="144">
        <f ca="1"/>
        <v>95.1</v>
      </c>
      <c r="U15">
        <f t="shared" ca="1" si="9"/>
        <v>2.2130888397090711E-3</v>
      </c>
    </row>
    <row r="16" spans="1:21" x14ac:dyDescent="0.2">
      <c r="A16" vm="145">
        <f ca="1"/>
        <v>45590</v>
      </c>
      <c r="B16" vm="146">
        <f ca="1"/>
        <v>231.41</v>
      </c>
      <c r="C16">
        <f t="shared" ca="1" si="0"/>
        <v>3.6431452487314196E-3</v>
      </c>
      <c r="D16" vm="147">
        <f ca="1"/>
        <v>141.54</v>
      </c>
      <c r="E16">
        <f t="shared" ca="1" si="1"/>
        <v>8.0478598390427702E-3</v>
      </c>
      <c r="F16" vm="148">
        <f ca="1"/>
        <v>428.15</v>
      </c>
      <c r="G16">
        <f t="shared" ca="1" si="2"/>
        <v>8.0521743225106749E-3</v>
      </c>
      <c r="H16" vm="149">
        <f ca="1"/>
        <v>573.25</v>
      </c>
      <c r="I16">
        <f t="shared" ca="1" si="3"/>
        <v>9.6340131741167838E-3</v>
      </c>
      <c r="J16" vm="150">
        <f ca="1"/>
        <v>165.27</v>
      </c>
      <c r="K16">
        <f t="shared" ca="1" si="4"/>
        <v>1.5671091445427797E-2</v>
      </c>
      <c r="L16" vm="151">
        <f ca="1"/>
        <v>579.04</v>
      </c>
      <c r="M16">
        <f t="shared" ca="1" si="5"/>
        <v>-3.4528002209799992E-4</v>
      </c>
      <c r="N16" vm="151">
        <f ca="1"/>
        <v>579.04</v>
      </c>
      <c r="O16">
        <f t="shared" ca="1" si="6"/>
        <v>-3.4528002209799992E-4</v>
      </c>
      <c r="P16" vm="152">
        <f ca="1"/>
        <v>253.32</v>
      </c>
      <c r="Q16">
        <f t="shared" ca="1" si="7"/>
        <v>2.0569620253163838E-3</v>
      </c>
      <c r="R16" vm="153">
        <f ca="1"/>
        <v>74.23</v>
      </c>
      <c r="S16">
        <f t="shared" ca="1" si="8"/>
        <v>1.6014234875444861E-2</v>
      </c>
      <c r="T16" vm="134">
        <f ca="1"/>
        <v>94.89</v>
      </c>
      <c r="U16">
        <f t="shared" ca="1" si="9"/>
        <v>-2.2082018927444139E-3</v>
      </c>
    </row>
    <row r="17" spans="1:21" x14ac:dyDescent="0.2">
      <c r="A17" vm="154">
        <f ca="1"/>
        <v>45593</v>
      </c>
      <c r="B17" vm="155">
        <f ca="1"/>
        <v>233.4</v>
      </c>
      <c r="C17">
        <f t="shared" ca="1" si="0"/>
        <v>8.599455511862102E-3</v>
      </c>
      <c r="D17" vm="156">
        <f ca="1"/>
        <v>140.52000000000001</v>
      </c>
      <c r="E17">
        <f t="shared" ca="1" si="1"/>
        <v>-7.2064434082236952E-3</v>
      </c>
      <c r="F17" vm="157">
        <f ca="1"/>
        <v>426.59</v>
      </c>
      <c r="G17">
        <f t="shared" ca="1" si="2"/>
        <v>-3.6435828564755396E-3</v>
      </c>
      <c r="H17" vm="158">
        <f ca="1"/>
        <v>578.16</v>
      </c>
      <c r="I17">
        <f t="shared" ca="1" si="3"/>
        <v>8.565198430004306E-3</v>
      </c>
      <c r="J17" vm="159">
        <f ca="1"/>
        <v>166.72</v>
      </c>
      <c r="K17">
        <f t="shared" ca="1" si="4"/>
        <v>8.7735221153263654E-3</v>
      </c>
      <c r="L17" vm="160">
        <f ca="1"/>
        <v>580.83000000000004</v>
      </c>
      <c r="M17">
        <f t="shared" ca="1" si="5"/>
        <v>3.091323570047108E-3</v>
      </c>
      <c r="N17" vm="160">
        <f ca="1"/>
        <v>580.83000000000004</v>
      </c>
      <c r="O17">
        <f t="shared" ca="1" si="6"/>
        <v>3.091323570047108E-3</v>
      </c>
      <c r="P17" vm="161">
        <f ca="1"/>
        <v>253.33</v>
      </c>
      <c r="Q17">
        <f t="shared" ca="1" si="7"/>
        <v>3.9475761882280623E-5</v>
      </c>
      <c r="R17" vm="162">
        <f ca="1"/>
        <v>70.430000000000007</v>
      </c>
      <c r="S17">
        <f t="shared" ca="1" si="8"/>
        <v>-5.1192240334096688E-2</v>
      </c>
      <c r="T17" vm="163">
        <f ca="1"/>
        <v>94.67</v>
      </c>
      <c r="U17">
        <f t="shared" ca="1" si="9"/>
        <v>-2.318474022552417E-3</v>
      </c>
    </row>
    <row r="18" spans="1:21" x14ac:dyDescent="0.2">
      <c r="A18" vm="164">
        <f ca="1"/>
        <v>45594</v>
      </c>
      <c r="B18" vm="165">
        <f ca="1"/>
        <v>233.67</v>
      </c>
      <c r="C18">
        <f t="shared" ca="1" si="0"/>
        <v>1.1568123393315415E-3</v>
      </c>
      <c r="D18" vm="166">
        <f ca="1"/>
        <v>141.25</v>
      </c>
      <c r="E18">
        <f t="shared" ca="1" si="1"/>
        <v>5.1949900370053355E-3</v>
      </c>
      <c r="F18" vm="167">
        <f ca="1"/>
        <v>431.95</v>
      </c>
      <c r="G18">
        <f t="shared" ca="1" si="2"/>
        <v>1.2564757729904626E-2</v>
      </c>
      <c r="H18" vm="168">
        <f ca="1"/>
        <v>593.28</v>
      </c>
      <c r="I18">
        <f t="shared" ca="1" si="3"/>
        <v>2.6151930261519313E-2</v>
      </c>
      <c r="J18" vm="169">
        <f ca="1"/>
        <v>169.68</v>
      </c>
      <c r="K18">
        <f t="shared" ca="1" si="4"/>
        <v>1.7754318618042275E-2</v>
      </c>
      <c r="L18" vm="170">
        <f ca="1"/>
        <v>581.77</v>
      </c>
      <c r="M18">
        <f t="shared" ca="1" si="5"/>
        <v>1.6183737065921884E-3</v>
      </c>
      <c r="N18" vm="170">
        <f ca="1"/>
        <v>581.77</v>
      </c>
      <c r="O18">
        <f t="shared" ca="1" si="6"/>
        <v>1.6183737065921884E-3</v>
      </c>
      <c r="P18" vm="171">
        <f ca="1"/>
        <v>256.08999999999997</v>
      </c>
      <c r="Q18">
        <f t="shared" ca="1" si="7"/>
        <v>1.0894880195791901E-2</v>
      </c>
      <c r="R18" vm="172">
        <f ca="1"/>
        <v>69.66</v>
      </c>
      <c r="S18">
        <f t="shared" ca="1" si="8"/>
        <v>-1.0932841118841546E-2</v>
      </c>
      <c r="T18" vm="173">
        <f ca="1"/>
        <v>94.71</v>
      </c>
      <c r="U18">
        <f t="shared" ca="1" si="9"/>
        <v>4.2252033379097962E-4</v>
      </c>
    </row>
    <row r="19" spans="1:21" x14ac:dyDescent="0.2">
      <c r="A19" vm="174">
        <f ca="1"/>
        <v>45595</v>
      </c>
      <c r="B19" vm="175">
        <f ca="1"/>
        <v>230.1</v>
      </c>
      <c r="C19">
        <f t="shared" ca="1" si="0"/>
        <v>-1.5277956091924481E-2</v>
      </c>
      <c r="D19" vm="176">
        <f ca="1"/>
        <v>139.33500000000001</v>
      </c>
      <c r="E19">
        <f t="shared" ca="1" si="1"/>
        <v>-1.3557522123893748E-2</v>
      </c>
      <c r="F19" vm="177">
        <f ca="1"/>
        <v>432.53</v>
      </c>
      <c r="G19">
        <f t="shared" ca="1" si="2"/>
        <v>1.342748003241079E-3</v>
      </c>
      <c r="H19" vm="178">
        <f ca="1"/>
        <v>591.79999999999995</v>
      </c>
      <c r="I19">
        <f t="shared" ca="1" si="3"/>
        <v>-2.4946062567422099E-3</v>
      </c>
      <c r="J19" vm="179">
        <f ca="1"/>
        <v>174.46</v>
      </c>
      <c r="K19">
        <f t="shared" ca="1" si="4"/>
        <v>2.8170674210278177E-2</v>
      </c>
      <c r="L19" vm="180">
        <f ca="1"/>
        <v>580.01</v>
      </c>
      <c r="M19">
        <f t="shared" ca="1" si="5"/>
        <v>-3.0252505285593809E-3</v>
      </c>
      <c r="N19" vm="180">
        <f ca="1"/>
        <v>580.01</v>
      </c>
      <c r="O19">
        <f t="shared" ca="1" si="6"/>
        <v>-3.0252505285593809E-3</v>
      </c>
      <c r="P19" vm="181">
        <f ca="1"/>
        <v>257.5</v>
      </c>
      <c r="Q19">
        <f t="shared" ca="1" si="7"/>
        <v>5.5058768401734749E-3</v>
      </c>
      <c r="R19" vm="182">
        <f ca="1"/>
        <v>71.36</v>
      </c>
      <c r="S19">
        <f t="shared" ca="1" si="8"/>
        <v>2.4404249210450802E-2</v>
      </c>
      <c r="T19" vm="183">
        <f ca="1"/>
        <v>94.57</v>
      </c>
      <c r="U19">
        <f t="shared" ca="1" si="9"/>
        <v>-1.4781966001478257E-3</v>
      </c>
    </row>
    <row r="20" spans="1:21" x14ac:dyDescent="0.2">
      <c r="A20" vm="184">
        <f ca="1"/>
        <v>45596</v>
      </c>
      <c r="B20" vm="185">
        <f ca="1"/>
        <v>225.91</v>
      </c>
      <c r="C20">
        <f t="shared" ca="1" si="0"/>
        <v>-1.8209474141677524E-2</v>
      </c>
      <c r="D20" vm="186">
        <f ca="1"/>
        <v>132.76</v>
      </c>
      <c r="E20">
        <f t="shared" ca="1" si="1"/>
        <v>-4.718843076039772E-2</v>
      </c>
      <c r="F20" vm="187">
        <f ca="1"/>
        <v>406.35</v>
      </c>
      <c r="G20">
        <f t="shared" ca="1" si="2"/>
        <v>-6.0527593461725086E-2</v>
      </c>
      <c r="H20" vm="188">
        <f ca="1"/>
        <v>567.58000000000004</v>
      </c>
      <c r="I20">
        <f t="shared" ca="1" si="3"/>
        <v>-4.0925988509631486E-2</v>
      </c>
      <c r="J20" vm="189">
        <f ca="1"/>
        <v>171.11</v>
      </c>
      <c r="K20">
        <f t="shared" ca="1" si="4"/>
        <v>-1.920210936604376E-2</v>
      </c>
      <c r="L20" vm="190">
        <f ca="1"/>
        <v>568.64</v>
      </c>
      <c r="M20">
        <f t="shared" ca="1" si="5"/>
        <v>-1.9603110291201886E-2</v>
      </c>
      <c r="N20" vm="190">
        <f ca="1"/>
        <v>568.64</v>
      </c>
      <c r="O20">
        <f t="shared" ca="1" si="6"/>
        <v>-1.9603110291201886E-2</v>
      </c>
      <c r="P20" vm="191">
        <f ca="1"/>
        <v>253.51</v>
      </c>
      <c r="Q20">
        <f t="shared" ca="1" si="7"/>
        <v>-1.5495145631067997E-2</v>
      </c>
      <c r="R20" vm="192">
        <f ca="1"/>
        <v>73.08</v>
      </c>
      <c r="S20">
        <f t="shared" ca="1" si="8"/>
        <v>2.4103139013452898E-2</v>
      </c>
      <c r="T20" vm="193">
        <f ca="1"/>
        <v>94.52</v>
      </c>
      <c r="U20">
        <f t="shared" ca="1" si="9"/>
        <v>-5.2870889288354826E-4</v>
      </c>
    </row>
    <row r="21" spans="1:21" x14ac:dyDescent="0.2">
      <c r="A21" vm="194">
        <f ca="1"/>
        <v>45597</v>
      </c>
      <c r="B21" vm="195">
        <f ca="1"/>
        <v>222.91</v>
      </c>
      <c r="C21">
        <f t="shared" ca="1" si="0"/>
        <v>-1.3279624629277146E-2</v>
      </c>
      <c r="D21" vm="196">
        <f ca="1"/>
        <v>135.4</v>
      </c>
      <c r="E21">
        <f t="shared" ca="1" si="1"/>
        <v>1.9885507683037172E-2</v>
      </c>
      <c r="F21" vm="197">
        <f ca="1"/>
        <v>410.37</v>
      </c>
      <c r="G21">
        <f t="shared" ca="1" si="2"/>
        <v>9.8929494278331039E-3</v>
      </c>
      <c r="H21" vm="198">
        <f ca="1"/>
        <v>567.16</v>
      </c>
      <c r="I21">
        <f t="shared" ca="1" si="3"/>
        <v>-7.3998379083137656E-4</v>
      </c>
      <c r="J21" vm="199">
        <f ca="1"/>
        <v>171.29</v>
      </c>
      <c r="K21">
        <f t="shared" ca="1" si="4"/>
        <v>1.0519548828237882E-3</v>
      </c>
      <c r="L21" vm="200">
        <f ca="1"/>
        <v>571.04</v>
      </c>
      <c r="M21">
        <f t="shared" ca="1" si="5"/>
        <v>4.220596510973511E-3</v>
      </c>
      <c r="N21" vm="200">
        <f ca="1"/>
        <v>571.04</v>
      </c>
      <c r="O21">
        <f t="shared" ca="1" si="6"/>
        <v>4.220596510973511E-3</v>
      </c>
      <c r="P21" vm="201">
        <f ca="1"/>
        <v>252.47</v>
      </c>
      <c r="Q21">
        <f t="shared" ca="1" si="7"/>
        <v>-4.1024022720996889E-3</v>
      </c>
      <c r="R21" vm="202">
        <f ca="1"/>
        <v>72.02</v>
      </c>
      <c r="S21">
        <f t="shared" ca="1" si="8"/>
        <v>-1.450465243568695E-2</v>
      </c>
      <c r="T21" vm="203">
        <f ca="1"/>
        <v>93.67</v>
      </c>
      <c r="U21">
        <f t="shared" ca="1" si="9"/>
        <v>-8.9928057553956241E-3</v>
      </c>
    </row>
    <row r="22" spans="1:21" x14ac:dyDescent="0.2">
      <c r="A22" vm="204">
        <f ca="1"/>
        <v>45600</v>
      </c>
      <c r="B22" vm="205">
        <f ca="1"/>
        <v>222.01</v>
      </c>
      <c r="C22">
        <f t="shared" ca="1" si="0"/>
        <v>-4.0375039253510644E-3</v>
      </c>
      <c r="D22" vm="206">
        <f ca="1"/>
        <v>136.05000000000001</v>
      </c>
      <c r="E22">
        <f t="shared" ca="1" si="1"/>
        <v>4.8005908419498202E-3</v>
      </c>
      <c r="F22" vm="207">
        <f ca="1"/>
        <v>408.46</v>
      </c>
      <c r="G22">
        <f t="shared" ca="1" si="2"/>
        <v>-4.6543363306285179E-3</v>
      </c>
      <c r="H22" vm="208">
        <f ca="1"/>
        <v>560.67999999999995</v>
      </c>
      <c r="I22">
        <f t="shared" ca="1" si="3"/>
        <v>-1.1425347344664678E-2</v>
      </c>
      <c r="J22" vm="209">
        <f ca="1"/>
        <v>169.24</v>
      </c>
      <c r="K22">
        <f t="shared" ca="1" si="4"/>
        <v>-1.1968007472707006E-2</v>
      </c>
      <c r="L22" vm="210">
        <f ca="1"/>
        <v>569.80999999999995</v>
      </c>
      <c r="M22">
        <f t="shared" ca="1" si="5"/>
        <v>-2.1539646959933072E-3</v>
      </c>
      <c r="N22" vm="210">
        <f ca="1"/>
        <v>569.80999999999995</v>
      </c>
      <c r="O22">
        <f t="shared" ca="1" si="6"/>
        <v>-2.1539646959933072E-3</v>
      </c>
      <c r="P22" vm="211">
        <f ca="1"/>
        <v>252.83</v>
      </c>
      <c r="Q22">
        <f t="shared" ca="1" si="7"/>
        <v>1.4259119895433661E-3</v>
      </c>
      <c r="R22" vm="212">
        <f ca="1"/>
        <v>74.290000000000006</v>
      </c>
      <c r="S22">
        <f t="shared" ca="1" si="8"/>
        <v>3.151902249375188E-2</v>
      </c>
      <c r="T22" vm="213">
        <f ca="1"/>
        <v>94.17</v>
      </c>
      <c r="U22">
        <f t="shared" ca="1" si="9"/>
        <v>5.3378883313761078E-3</v>
      </c>
    </row>
    <row r="23" spans="1:21" x14ac:dyDescent="0.2">
      <c r="A23" vm="214">
        <f ca="1"/>
        <v>45601</v>
      </c>
      <c r="B23" vm="215">
        <f ca="1"/>
        <v>223.45</v>
      </c>
      <c r="C23">
        <f t="shared" ca="1" si="0"/>
        <v>6.4861943155713605E-3</v>
      </c>
      <c r="D23" vm="216">
        <f ca="1"/>
        <v>139.91</v>
      </c>
      <c r="E23">
        <f t="shared" ca="1" si="1"/>
        <v>2.8371922087467732E-2</v>
      </c>
      <c r="F23" vm="217">
        <f ca="1"/>
        <v>411.46</v>
      </c>
      <c r="G23">
        <f t="shared" ca="1" si="2"/>
        <v>7.3446604318660336E-3</v>
      </c>
      <c r="H23" vm="218">
        <f ca="1"/>
        <v>572.42999999999995</v>
      </c>
      <c r="I23">
        <f t="shared" ca="1" si="3"/>
        <v>2.0956695441249912E-2</v>
      </c>
      <c r="J23" vm="219">
        <f ca="1"/>
        <v>169.74</v>
      </c>
      <c r="K23">
        <f t="shared" ca="1" si="4"/>
        <v>2.9543843063105646E-3</v>
      </c>
      <c r="L23" vm="220">
        <f ca="1"/>
        <v>576.70000000000005</v>
      </c>
      <c r="M23">
        <f t="shared" ca="1" si="5"/>
        <v>1.2091749881539637E-2</v>
      </c>
      <c r="N23" vm="220">
        <f ca="1"/>
        <v>576.70000000000005</v>
      </c>
      <c r="O23">
        <f t="shared" ca="1" si="6"/>
        <v>1.2091749881539637E-2</v>
      </c>
      <c r="P23" vm="221">
        <f ca="1"/>
        <v>253.4</v>
      </c>
      <c r="Q23">
        <f t="shared" ca="1" si="7"/>
        <v>2.2544792943875059E-3</v>
      </c>
      <c r="R23" vm="222">
        <f ca="1"/>
        <v>74.73</v>
      </c>
      <c r="S23">
        <f t="shared" ca="1" si="8"/>
        <v>5.9227352268138066E-3</v>
      </c>
      <c r="T23" vm="223">
        <f ca="1"/>
        <v>94.22</v>
      </c>
      <c r="U23">
        <f t="shared" ca="1" si="9"/>
        <v>5.3095465647230711E-4</v>
      </c>
    </row>
    <row r="24" spans="1:21" x14ac:dyDescent="0.2">
      <c r="A24" vm="224">
        <f ca="1"/>
        <v>45602</v>
      </c>
      <c r="B24" vm="225">
        <f ca="1"/>
        <v>222.72</v>
      </c>
      <c r="C24">
        <f t="shared" ca="1" si="0"/>
        <v>-3.2669501006936221E-3</v>
      </c>
      <c r="D24" vm="226">
        <f ca="1"/>
        <v>145.61000000000001</v>
      </c>
      <c r="E24">
        <f t="shared" ca="1" si="1"/>
        <v>4.0740476020298885E-2</v>
      </c>
      <c r="F24" vm="227">
        <f ca="1"/>
        <v>420.18</v>
      </c>
      <c r="G24">
        <f t="shared" ca="1" si="2"/>
        <v>2.119282554804848E-2</v>
      </c>
      <c r="H24" vm="228">
        <f ca="1"/>
        <v>572.04999999999995</v>
      </c>
      <c r="I24">
        <f t="shared" ca="1" si="3"/>
        <v>-6.6383662631237968E-4</v>
      </c>
      <c r="J24" vm="229">
        <f ca="1"/>
        <v>176.51</v>
      </c>
      <c r="K24">
        <f t="shared" ca="1" si="4"/>
        <v>3.9884529280075298E-2</v>
      </c>
      <c r="L24" vm="230">
        <f ca="1"/>
        <v>591.04</v>
      </c>
      <c r="M24">
        <f t="shared" ca="1" si="5"/>
        <v>2.4865614704352206E-2</v>
      </c>
      <c r="N24" vm="230">
        <f ca="1"/>
        <v>591.04</v>
      </c>
      <c r="O24">
        <f t="shared" ca="1" si="6"/>
        <v>2.4865614704352206E-2</v>
      </c>
      <c r="P24" vm="231">
        <f ca="1"/>
        <v>245.7</v>
      </c>
      <c r="Q24">
        <f t="shared" ca="1" si="7"/>
        <v>-3.0386740331491781E-2</v>
      </c>
      <c r="R24" vm="232">
        <f ca="1"/>
        <v>74.540000000000006</v>
      </c>
      <c r="S24">
        <f t="shared" ca="1" si="8"/>
        <v>-2.5424862839555427E-3</v>
      </c>
      <c r="T24" vm="233">
        <f ca="1"/>
        <v>93.25</v>
      </c>
      <c r="U24">
        <f t="shared" ca="1" si="9"/>
        <v>-1.0295054128635097E-2</v>
      </c>
    </row>
    <row r="25" spans="1:21" x14ac:dyDescent="0.2">
      <c r="A25" vm="234">
        <f ca="1"/>
        <v>45603</v>
      </c>
      <c r="B25" vm="235">
        <f ca="1"/>
        <v>227.48</v>
      </c>
      <c r="C25">
        <f t="shared" ca="1" si="0"/>
        <v>2.1372126436781567E-2</v>
      </c>
      <c r="D25" vm="236">
        <f ca="1"/>
        <v>148.88</v>
      </c>
      <c r="E25">
        <f t="shared" ca="1" si="1"/>
        <v>2.2457248815328491E-2</v>
      </c>
      <c r="F25" vm="237">
        <f ca="1"/>
        <v>425.43</v>
      </c>
      <c r="G25">
        <f t="shared" ca="1" si="2"/>
        <v>1.2494645152077681E-2</v>
      </c>
      <c r="H25" vm="238">
        <f ca="1"/>
        <v>591.70000000000005</v>
      </c>
      <c r="I25">
        <f t="shared" ca="1" si="3"/>
        <v>3.435014421816291E-2</v>
      </c>
      <c r="J25" vm="239">
        <f ca="1"/>
        <v>180.75</v>
      </c>
      <c r="K25">
        <f t="shared" ca="1" si="4"/>
        <v>2.4021301909240324E-2</v>
      </c>
      <c r="L25" vm="240">
        <f ca="1"/>
        <v>595.61</v>
      </c>
      <c r="M25">
        <f t="shared" ca="1" si="5"/>
        <v>7.7321331889551471E-3</v>
      </c>
      <c r="N25" vm="240">
        <f ca="1"/>
        <v>595.61</v>
      </c>
      <c r="O25">
        <f t="shared" ca="1" si="6"/>
        <v>7.7321331889551471E-3</v>
      </c>
      <c r="P25" vm="241">
        <f ca="1"/>
        <v>249.65</v>
      </c>
      <c r="Q25">
        <f t="shared" ca="1" si="7"/>
        <v>1.6076516076516147E-2</v>
      </c>
      <c r="R25" vm="242">
        <f ca="1"/>
        <v>74.66</v>
      </c>
      <c r="S25">
        <f t="shared" ca="1" si="8"/>
        <v>1.6098738932115687E-3</v>
      </c>
      <c r="T25" vm="243">
        <f ca="1"/>
        <v>94</v>
      </c>
      <c r="U25">
        <f t="shared" ca="1" si="9"/>
        <v>8.0428954423592495E-3</v>
      </c>
    </row>
    <row r="26" spans="1:21" x14ac:dyDescent="0.2">
      <c r="A26" vm="244">
        <f ca="1"/>
        <v>45604</v>
      </c>
      <c r="B26" vm="245">
        <f ca="1"/>
        <v>226.96</v>
      </c>
      <c r="C26">
        <f t="shared" ca="1" si="0"/>
        <v>-2.2859152452962099E-3</v>
      </c>
      <c r="D26" vm="246">
        <f ca="1"/>
        <v>147.63</v>
      </c>
      <c r="E26">
        <f t="shared" ca="1" si="1"/>
        <v>-8.3960236432025787E-3</v>
      </c>
      <c r="F26" vm="247">
        <f ca="1"/>
        <v>422.54</v>
      </c>
      <c r="G26">
        <f t="shared" ca="1" si="2"/>
        <v>-6.7931269539054278E-3</v>
      </c>
      <c r="H26" vm="248">
        <f ca="1"/>
        <v>589.34</v>
      </c>
      <c r="I26">
        <f t="shared" ca="1" si="3"/>
        <v>-3.9885076897076448E-3</v>
      </c>
      <c r="J26" vm="249">
        <f ca="1"/>
        <v>178.35</v>
      </c>
      <c r="K26">
        <f t="shared" ca="1" si="4"/>
        <v>-1.3278008298755218E-2</v>
      </c>
      <c r="L26" vm="250">
        <f ca="1"/>
        <v>598.19000000000005</v>
      </c>
      <c r="M26">
        <f t="shared" ca="1" si="5"/>
        <v>4.3316935578651145E-3</v>
      </c>
      <c r="N26" vm="250">
        <f ca="1"/>
        <v>598.19000000000005</v>
      </c>
      <c r="O26">
        <f t="shared" ca="1" si="6"/>
        <v>4.3316935578651145E-3</v>
      </c>
      <c r="P26" vm="251">
        <f ca="1"/>
        <v>247.96</v>
      </c>
      <c r="Q26">
        <f t="shared" ca="1" si="7"/>
        <v>-6.7694772681754362E-3</v>
      </c>
      <c r="R26" vm="252">
        <f ca="1"/>
        <v>73.13</v>
      </c>
      <c r="S26">
        <f t="shared" ca="1" si="8"/>
        <v>-2.0492901151888579E-2</v>
      </c>
      <c r="T26" vm="253">
        <f ca="1"/>
        <v>94.2</v>
      </c>
      <c r="U26">
        <f t="shared" ca="1" si="9"/>
        <v>2.1276595744681155E-3</v>
      </c>
    </row>
    <row r="27" spans="1:21" x14ac:dyDescent="0.2">
      <c r="A27" vm="254">
        <f ca="1"/>
        <v>45607</v>
      </c>
      <c r="B27" vm="255">
        <f ca="1"/>
        <v>224.23</v>
      </c>
      <c r="C27">
        <f t="shared" ca="1" si="0"/>
        <v>-1.2028551286570401E-2</v>
      </c>
      <c r="D27" vm="256">
        <f ca="1"/>
        <v>145.26</v>
      </c>
      <c r="E27">
        <f t="shared" ca="1" si="1"/>
        <v>-1.6053647632595033E-2</v>
      </c>
      <c r="F27" vm="257">
        <f ca="1"/>
        <v>418.01</v>
      </c>
      <c r="G27">
        <f t="shared" ca="1" si="2"/>
        <v>-1.072087849671044E-2</v>
      </c>
      <c r="H27" vm="258">
        <f ca="1"/>
        <v>583.16999999999996</v>
      </c>
      <c r="I27">
        <f t="shared" ca="1" si="3"/>
        <v>-1.0469338582142858E-2</v>
      </c>
      <c r="J27" vm="259">
        <f ca="1"/>
        <v>180.35</v>
      </c>
      <c r="K27">
        <f t="shared" ca="1" si="4"/>
        <v>1.1213905242500702E-2</v>
      </c>
      <c r="L27" vm="260">
        <f ca="1"/>
        <v>598.76</v>
      </c>
      <c r="M27">
        <f t="shared" ca="1" si="5"/>
        <v>9.5287450475590747E-4</v>
      </c>
      <c r="N27" vm="260">
        <f ca="1"/>
        <v>598.76</v>
      </c>
      <c r="O27">
        <f t="shared" ca="1" si="6"/>
        <v>9.5287450475590747E-4</v>
      </c>
      <c r="P27" vm="261">
        <f ca="1"/>
        <v>242.14</v>
      </c>
      <c r="Q27">
        <f t="shared" ca="1" si="7"/>
        <v>-2.3471527665752626E-2</v>
      </c>
      <c r="R27" vm="262">
        <f ca="1"/>
        <v>70.94</v>
      </c>
      <c r="S27">
        <f t="shared" ca="1" si="8"/>
        <v>-2.9946670313140952E-2</v>
      </c>
      <c r="T27" vm="263">
        <f ca="1"/>
        <v>93.94</v>
      </c>
      <c r="U27">
        <f t="shared" ca="1" si="9"/>
        <v>-2.7600849256900753E-3</v>
      </c>
    </row>
    <row r="28" spans="1:21" x14ac:dyDescent="0.2">
      <c r="A28" vm="264">
        <f ca="1"/>
        <v>45608</v>
      </c>
      <c r="B28" vm="255">
        <f ca="1"/>
        <v>224.23</v>
      </c>
      <c r="C28">
        <f t="shared" ca="1" si="0"/>
        <v>0</v>
      </c>
      <c r="D28" vm="265">
        <f ca="1"/>
        <v>148.29</v>
      </c>
      <c r="E28">
        <f t="shared" ca="1" si="1"/>
        <v>2.0859149111937224E-2</v>
      </c>
      <c r="F28" vm="266">
        <f ca="1"/>
        <v>423.03</v>
      </c>
      <c r="G28">
        <f t="shared" ca="1" si="2"/>
        <v>1.2009282074591473E-2</v>
      </c>
      <c r="H28" vm="267">
        <f ca="1"/>
        <v>584.82000000000005</v>
      </c>
      <c r="I28">
        <f t="shared" ca="1" si="3"/>
        <v>2.8293636503936947E-3</v>
      </c>
      <c r="J28" vm="268">
        <f ca="1"/>
        <v>181.62</v>
      </c>
      <c r="K28">
        <f t="shared" ca="1" si="4"/>
        <v>7.0418630440810103E-3</v>
      </c>
      <c r="L28" vm="269">
        <f ca="1"/>
        <v>596.9</v>
      </c>
      <c r="M28">
        <f t="shared" ca="1" si="5"/>
        <v>-3.1064199345313876E-3</v>
      </c>
      <c r="N28" vm="269">
        <f ca="1"/>
        <v>596.9</v>
      </c>
      <c r="O28">
        <f t="shared" ca="1" si="6"/>
        <v>-3.1064199345313876E-3</v>
      </c>
      <c r="P28" vm="270">
        <f ca="1"/>
        <v>240.05</v>
      </c>
      <c r="Q28">
        <f t="shared" ca="1" si="7"/>
        <v>-8.6313702816551378E-3</v>
      </c>
      <c r="R28" vm="271">
        <f ca="1"/>
        <v>70.69</v>
      </c>
      <c r="S28">
        <f t="shared" ca="1" si="8"/>
        <v>-3.5241048773611504E-3</v>
      </c>
      <c r="T28" vm="272">
        <f ca="1"/>
        <v>93.35</v>
      </c>
      <c r="U28">
        <f t="shared" ca="1" si="9"/>
        <v>-6.2806046412604158E-3</v>
      </c>
    </row>
    <row r="29" spans="1:21" x14ac:dyDescent="0.2">
      <c r="A29" vm="273">
        <f ca="1"/>
        <v>45609</v>
      </c>
      <c r="B29" vm="274">
        <f ca="1"/>
        <v>225.12</v>
      </c>
      <c r="C29">
        <f t="shared" ca="1" si="0"/>
        <v>3.9691388306650087E-3</v>
      </c>
      <c r="D29" vm="275">
        <f ca="1"/>
        <v>146.27000000000001</v>
      </c>
      <c r="E29">
        <f t="shared" ca="1" si="1"/>
        <v>-1.3621956976195171E-2</v>
      </c>
      <c r="F29" vm="276">
        <f ca="1"/>
        <v>425.2</v>
      </c>
      <c r="G29">
        <f t="shared" ca="1" si="2"/>
        <v>5.1296598349999199E-3</v>
      </c>
      <c r="H29" vm="277">
        <f ca="1"/>
        <v>580</v>
      </c>
      <c r="I29">
        <f t="shared" ca="1" si="3"/>
        <v>-8.2418521938375042E-3</v>
      </c>
      <c r="J29" vm="278">
        <f ca="1"/>
        <v>178.88</v>
      </c>
      <c r="K29">
        <f t="shared" ca="1" si="4"/>
        <v>-1.5086444224204432E-2</v>
      </c>
      <c r="L29" vm="279">
        <f ca="1"/>
        <v>597.19000000000005</v>
      </c>
      <c r="M29">
        <f t="shared" ca="1" si="5"/>
        <v>4.8584352487866865E-4</v>
      </c>
      <c r="N29" vm="279">
        <f ca="1"/>
        <v>597.19000000000005</v>
      </c>
      <c r="O29">
        <f t="shared" ca="1" si="6"/>
        <v>4.8584352487866865E-4</v>
      </c>
      <c r="P29" vm="280">
        <f ca="1"/>
        <v>237.63</v>
      </c>
      <c r="Q29">
        <f t="shared" ca="1" si="7"/>
        <v>-1.0081233076442474E-2</v>
      </c>
      <c r="R29" vm="281">
        <f ca="1"/>
        <v>70.73</v>
      </c>
      <c r="S29">
        <f t="shared" ca="1" si="8"/>
        <v>5.6585089828838954E-4</v>
      </c>
      <c r="T29" vm="282">
        <f ca="1"/>
        <v>93.29</v>
      </c>
      <c r="U29">
        <f t="shared" ca="1" si="9"/>
        <v>-6.4274236743425887E-4</v>
      </c>
    </row>
    <row r="30" spans="1:21" x14ac:dyDescent="0.2">
      <c r="A30" vm="283">
        <f ca="1"/>
        <v>45610</v>
      </c>
      <c r="B30" vm="284">
        <f ca="1"/>
        <v>228.22</v>
      </c>
      <c r="C30">
        <f t="shared" ca="1" si="0"/>
        <v>1.3770433546552925E-2</v>
      </c>
      <c r="D30" vm="285">
        <f ca="1"/>
        <v>146.76</v>
      </c>
      <c r="E30">
        <f t="shared" ca="1" si="1"/>
        <v>3.349969234976281E-3</v>
      </c>
      <c r="F30" vm="286">
        <f ca="1"/>
        <v>426.89</v>
      </c>
      <c r="G30">
        <f t="shared" ca="1" si="2"/>
        <v>3.9746001881467491E-3</v>
      </c>
      <c r="H30" vm="287">
        <f ca="1"/>
        <v>577.16</v>
      </c>
      <c r="I30">
        <f t="shared" ca="1" si="3"/>
        <v>-4.8965517241379855E-3</v>
      </c>
      <c r="J30" vm="288">
        <f ca="1"/>
        <v>175.58</v>
      </c>
      <c r="K30">
        <f t="shared" ca="1" si="4"/>
        <v>-1.844812164579597E-2</v>
      </c>
      <c r="L30" vm="289">
        <f ca="1"/>
        <v>593.35</v>
      </c>
      <c r="M30">
        <f t="shared" ca="1" si="5"/>
        <v>-6.4301143689613552E-3</v>
      </c>
      <c r="N30" vm="289">
        <f ca="1"/>
        <v>593.35</v>
      </c>
      <c r="O30">
        <f t="shared" ca="1" si="6"/>
        <v>-6.4301143689613552E-3</v>
      </c>
      <c r="P30" vm="290">
        <f ca="1"/>
        <v>237.01</v>
      </c>
      <c r="Q30">
        <f t="shared" ca="1" si="7"/>
        <v>-2.6090981778395177E-3</v>
      </c>
      <c r="R30" vm="291">
        <f ca="1"/>
        <v>71.290000000000006</v>
      </c>
      <c r="S30">
        <f t="shared" ca="1" si="8"/>
        <v>7.9174324897497844E-3</v>
      </c>
      <c r="T30" vm="292">
        <f ca="1"/>
        <v>93.28</v>
      </c>
      <c r="U30">
        <f t="shared" ca="1" si="9"/>
        <v>-1.0719262514744469E-4</v>
      </c>
    </row>
    <row r="31" spans="1:21" x14ac:dyDescent="0.2">
      <c r="A31" vm="293">
        <f ca="1"/>
        <v>45611</v>
      </c>
      <c r="B31" vm="294">
        <f ca="1"/>
        <v>225</v>
      </c>
      <c r="C31">
        <f t="shared" ca="1" si="0"/>
        <v>-1.4109192884059237E-2</v>
      </c>
      <c r="D31" vm="295">
        <f ca="1"/>
        <v>141.97999999999999</v>
      </c>
      <c r="E31">
        <f t="shared" ca="1" si="1"/>
        <v>-3.2570182611065694E-2</v>
      </c>
      <c r="F31" vm="296">
        <f ca="1"/>
        <v>415</v>
      </c>
      <c r="G31">
        <f t="shared" ca="1" si="2"/>
        <v>-2.7852608400290441E-2</v>
      </c>
      <c r="H31" vm="297">
        <f ca="1"/>
        <v>554.08000000000004</v>
      </c>
      <c r="I31">
        <f t="shared" ca="1" si="3"/>
        <v>-3.9988911220458674E-2</v>
      </c>
      <c r="J31" vm="298">
        <f ca="1"/>
        <v>172.49</v>
      </c>
      <c r="K31">
        <f t="shared" ca="1" si="4"/>
        <v>-1.7598815354824032E-2</v>
      </c>
      <c r="L31" vm="299">
        <f ca="1"/>
        <v>585.75</v>
      </c>
      <c r="M31">
        <f t="shared" ca="1" si="5"/>
        <v>-1.2808628971096355E-2</v>
      </c>
      <c r="N31" vm="299">
        <f ca="1"/>
        <v>585.75</v>
      </c>
      <c r="O31">
        <f t="shared" ca="1" si="6"/>
        <v>-1.2808628971096355E-2</v>
      </c>
      <c r="P31" vm="300">
        <f ca="1"/>
        <v>236.59</v>
      </c>
      <c r="Q31">
        <f t="shared" ca="1" si="7"/>
        <v>-1.7720771275473082E-3</v>
      </c>
      <c r="R31" vm="301">
        <f ca="1"/>
        <v>69.75</v>
      </c>
      <c r="S31">
        <f t="shared" ca="1" si="8"/>
        <v>-2.160190770093991E-2</v>
      </c>
      <c r="T31" vm="302">
        <f ca="1"/>
        <v>93.32</v>
      </c>
      <c r="U31">
        <f t="shared" ca="1" si="9"/>
        <v>4.2881646655223028E-4</v>
      </c>
    </row>
    <row r="32" spans="1:21" x14ac:dyDescent="0.2">
      <c r="A32" vm="303">
        <f ca="1"/>
        <v>45614</v>
      </c>
      <c r="B32" vm="304">
        <f ca="1"/>
        <v>228.02</v>
      </c>
      <c r="C32">
        <f t="shared" ca="1" si="0"/>
        <v>1.3422222222222268E-2</v>
      </c>
      <c r="D32" vm="305">
        <f ca="1"/>
        <v>140.15</v>
      </c>
      <c r="E32">
        <f t="shared" ca="1" si="1"/>
        <v>-1.2889139315396423E-2</v>
      </c>
      <c r="F32" vm="306">
        <f ca="1"/>
        <v>415.76</v>
      </c>
      <c r="G32">
        <f t="shared" ca="1" si="2"/>
        <v>1.8313253012047974E-3</v>
      </c>
      <c r="H32" vm="307">
        <f ca="1"/>
        <v>554.4</v>
      </c>
      <c r="I32">
        <f t="shared" ca="1" si="3"/>
        <v>5.7753393011827946E-4</v>
      </c>
      <c r="J32" vm="308">
        <f ca="1"/>
        <v>175.3</v>
      </c>
      <c r="K32">
        <f t="shared" ca="1" si="4"/>
        <v>1.6290799466635759E-2</v>
      </c>
      <c r="L32" vm="309">
        <f ca="1"/>
        <v>588.15</v>
      </c>
      <c r="M32">
        <f t="shared" ca="1" si="5"/>
        <v>4.0973111395646222E-3</v>
      </c>
      <c r="N32" vm="309">
        <f ca="1"/>
        <v>588.15</v>
      </c>
      <c r="O32">
        <f t="shared" ca="1" si="6"/>
        <v>4.0973111395646222E-3</v>
      </c>
      <c r="P32" vm="310">
        <f ca="1"/>
        <v>241.09</v>
      </c>
      <c r="Q32">
        <f t="shared" ca="1" si="7"/>
        <v>1.9020245995181536E-2</v>
      </c>
      <c r="R32" vm="311">
        <f ca="1"/>
        <v>72.069999999999993</v>
      </c>
      <c r="S32">
        <f t="shared" ca="1" si="8"/>
        <v>3.3261648745519616E-2</v>
      </c>
      <c r="T32" vm="312">
        <f ca="1"/>
        <v>93.53</v>
      </c>
      <c r="U32">
        <f t="shared" ca="1" si="9"/>
        <v>2.2503214744964421E-3</v>
      </c>
    </row>
    <row r="33" spans="1:21" x14ac:dyDescent="0.2">
      <c r="A33" vm="313">
        <f ca="1"/>
        <v>45615</v>
      </c>
      <c r="B33" vm="314">
        <f ca="1"/>
        <v>228.28</v>
      </c>
      <c r="C33">
        <f t="shared" ca="1" si="0"/>
        <v>1.1402508551881015E-3</v>
      </c>
      <c r="D33" vm="315">
        <f ca="1"/>
        <v>147.01</v>
      </c>
      <c r="E33">
        <f t="shared" ca="1" si="1"/>
        <v>4.8947556189796536E-2</v>
      </c>
      <c r="F33" vm="316">
        <f ca="1"/>
        <v>417.79</v>
      </c>
      <c r="G33">
        <f t="shared" ca="1" si="2"/>
        <v>4.8826245911103268E-3</v>
      </c>
      <c r="H33" vm="317">
        <f ca="1"/>
        <v>561.09</v>
      </c>
      <c r="I33">
        <f t="shared" ca="1" si="3"/>
        <v>1.2067099567099665E-2</v>
      </c>
      <c r="J33" vm="318">
        <f ca="1"/>
        <v>178.12</v>
      </c>
      <c r="K33">
        <f t="shared" ca="1" si="4"/>
        <v>1.6086708499714733E-2</v>
      </c>
      <c r="L33" vm="319">
        <f ca="1"/>
        <v>590.29999999999995</v>
      </c>
      <c r="M33">
        <f t="shared" ca="1" si="5"/>
        <v>3.6555300518574807E-3</v>
      </c>
      <c r="N33" vm="319">
        <f ca="1"/>
        <v>590.29999999999995</v>
      </c>
      <c r="O33">
        <f t="shared" ca="1" si="6"/>
        <v>3.6555300518574807E-3</v>
      </c>
      <c r="P33" vm="320">
        <f ca="1"/>
        <v>243.25</v>
      </c>
      <c r="Q33">
        <f t="shared" ca="1" si="7"/>
        <v>8.9593098013189959E-3</v>
      </c>
      <c r="R33" vm="321">
        <f ca="1"/>
        <v>72.31</v>
      </c>
      <c r="S33">
        <f t="shared" ca="1" si="8"/>
        <v>3.3300957402526586E-3</v>
      </c>
      <c r="T33" vm="322">
        <f ca="1"/>
        <v>93.73</v>
      </c>
      <c r="U33">
        <f t="shared" ca="1" si="9"/>
        <v>2.138351331123734E-3</v>
      </c>
    </row>
    <row r="34" spans="1:21" x14ac:dyDescent="0.2">
      <c r="A34" vm="323">
        <f ca="1"/>
        <v>45616</v>
      </c>
      <c r="B34" vm="324">
        <f ca="1"/>
        <v>229</v>
      </c>
      <c r="C34">
        <f t="shared" ca="1" si="0"/>
        <v>3.1540213772559963E-3</v>
      </c>
      <c r="D34" vm="325">
        <f ca="1"/>
        <v>145.88999999999999</v>
      </c>
      <c r="E34">
        <f t="shared" ca="1" si="1"/>
        <v>-7.618529351744811E-3</v>
      </c>
      <c r="F34" vm="326">
        <f ca="1"/>
        <v>415.49</v>
      </c>
      <c r="G34">
        <f t="shared" ca="1" si="2"/>
        <v>-5.5051580937791984E-3</v>
      </c>
      <c r="H34" vm="327">
        <f ca="1"/>
        <v>565.52</v>
      </c>
      <c r="I34">
        <f t="shared" ca="1" si="3"/>
        <v>7.8953465575931671E-3</v>
      </c>
      <c r="J34" vm="328">
        <f ca="1"/>
        <v>175.98</v>
      </c>
      <c r="K34">
        <f t="shared" ca="1" si="4"/>
        <v>-1.201437233325856E-2</v>
      </c>
      <c r="L34" vm="329">
        <f ca="1"/>
        <v>590.5</v>
      </c>
      <c r="M34">
        <f t="shared" ca="1" si="5"/>
        <v>3.3881077418269608E-4</v>
      </c>
      <c r="N34" vm="329">
        <f ca="1"/>
        <v>590.5</v>
      </c>
      <c r="O34">
        <f t="shared" ca="1" si="6"/>
        <v>3.3881077418269608E-4</v>
      </c>
      <c r="P34" vm="330">
        <f ca="1"/>
        <v>244.62</v>
      </c>
      <c r="Q34">
        <f t="shared" ca="1" si="7"/>
        <v>5.6320657759506869E-3</v>
      </c>
      <c r="R34" vm="202">
        <f ca="1"/>
        <v>72.02</v>
      </c>
      <c r="S34">
        <f t="shared" ca="1" si="8"/>
        <v>-4.010510302862761E-3</v>
      </c>
      <c r="T34" vm="331">
        <f ca="1"/>
        <v>93.59</v>
      </c>
      <c r="U34">
        <f t="shared" ca="1" si="9"/>
        <v>-1.4936519790888783E-3</v>
      </c>
    </row>
    <row r="35" spans="1:21" x14ac:dyDescent="0.2">
      <c r="A35" vm="332">
        <f ca="1"/>
        <v>45617</v>
      </c>
      <c r="B35" vm="333">
        <f ca="1"/>
        <v>228.52</v>
      </c>
      <c r="C35">
        <f t="shared" ca="1" si="0"/>
        <v>-2.0960698689955885E-3</v>
      </c>
      <c r="D35" vm="334">
        <f ca="1"/>
        <v>146.66999999999999</v>
      </c>
      <c r="E35">
        <f t="shared" ca="1" si="1"/>
        <v>5.346493933785737E-3</v>
      </c>
      <c r="F35" vm="335">
        <f ca="1"/>
        <v>412.87</v>
      </c>
      <c r="G35">
        <f t="shared" ca="1" si="2"/>
        <v>-6.3058076006642866E-3</v>
      </c>
      <c r="H35" vm="336">
        <f ca="1"/>
        <v>563.09</v>
      </c>
      <c r="I35">
        <f t="shared" ca="1" si="3"/>
        <v>-4.2969302588766979E-3</v>
      </c>
      <c r="J35" vm="337">
        <f ca="1"/>
        <v>167.63</v>
      </c>
      <c r="K35">
        <f t="shared" ca="1" si="4"/>
        <v>-4.7448573701556966E-2</v>
      </c>
      <c r="L35" vm="338">
        <f ca="1"/>
        <v>593.66999999999996</v>
      </c>
      <c r="M35">
        <f t="shared" ca="1" si="5"/>
        <v>5.3683319220998458E-3</v>
      </c>
      <c r="N35" vm="338">
        <f ca="1"/>
        <v>593.66999999999996</v>
      </c>
      <c r="O35">
        <f t="shared" ca="1" si="6"/>
        <v>5.3683319220998458E-3</v>
      </c>
      <c r="P35" vm="339">
        <f ca="1"/>
        <v>246.66</v>
      </c>
      <c r="Q35">
        <f t="shared" ca="1" si="7"/>
        <v>8.3394652931076448E-3</v>
      </c>
      <c r="R35" vm="340">
        <f ca="1"/>
        <v>73.2</v>
      </c>
      <c r="S35">
        <f t="shared" ca="1" si="8"/>
        <v>1.638433768397677E-2</v>
      </c>
      <c r="T35" vm="341">
        <f ca="1"/>
        <v>93.54</v>
      </c>
      <c r="U35">
        <f t="shared" ca="1" si="9"/>
        <v>-5.3424511165719795E-4</v>
      </c>
    </row>
    <row r="36" spans="1:21" x14ac:dyDescent="0.2">
      <c r="A36" vm="342">
        <f ca="1"/>
        <v>45618</v>
      </c>
      <c r="B36" vm="343">
        <f ca="1"/>
        <v>229.87</v>
      </c>
      <c r="C36">
        <f t="shared" ca="1" si="0"/>
        <v>5.907579205321172E-3</v>
      </c>
      <c r="D36" vm="344">
        <f ca="1"/>
        <v>141.94999999999999</v>
      </c>
      <c r="E36">
        <f t="shared" ca="1" si="1"/>
        <v>-3.2181086793481958E-2</v>
      </c>
      <c r="F36" vm="345">
        <f ca="1"/>
        <v>417</v>
      </c>
      <c r="G36">
        <f t="shared" ca="1" si="2"/>
        <v>1.0003148690871207E-2</v>
      </c>
      <c r="H36" vm="346">
        <f ca="1"/>
        <v>559.14</v>
      </c>
      <c r="I36">
        <f t="shared" ca="1" si="3"/>
        <v>-7.0148644088867595E-3</v>
      </c>
      <c r="J36" vm="347">
        <f ca="1"/>
        <v>164.76</v>
      </c>
      <c r="K36">
        <f t="shared" ca="1" si="4"/>
        <v>-1.7121040386565679E-2</v>
      </c>
      <c r="L36" vm="348">
        <f ca="1"/>
        <v>595.51</v>
      </c>
      <c r="M36">
        <f t="shared" ca="1" si="5"/>
        <v>3.0993649670693012E-3</v>
      </c>
      <c r="N36" vm="348">
        <f ca="1"/>
        <v>595.51</v>
      </c>
      <c r="O36">
        <f t="shared" ca="1" si="6"/>
        <v>3.0993649670693012E-3</v>
      </c>
      <c r="P36" vm="349">
        <f ca="1"/>
        <v>249.84</v>
      </c>
      <c r="Q36">
        <f t="shared" ca="1" si="7"/>
        <v>1.2892240330819781E-2</v>
      </c>
      <c r="R36" vm="350">
        <f ca="1"/>
        <v>74.25</v>
      </c>
      <c r="S36">
        <f t="shared" ca="1" si="8"/>
        <v>1.4344262295081928E-2</v>
      </c>
      <c r="T36" vm="351">
        <f ca="1"/>
        <v>93.6</v>
      </c>
      <c r="U36">
        <f t="shared" ca="1" si="9"/>
        <v>6.4143681847325272E-4</v>
      </c>
    </row>
    <row r="37" spans="1:21" x14ac:dyDescent="0.2">
      <c r="A37" vm="352">
        <f ca="1"/>
        <v>45621</v>
      </c>
      <c r="B37" vm="353">
        <f ca="1"/>
        <v>232.87</v>
      </c>
      <c r="C37">
        <f t="shared" ca="1" si="0"/>
        <v>1.3050854830991429E-2</v>
      </c>
      <c r="D37" vm="354">
        <f ca="1"/>
        <v>136.02000000000001</v>
      </c>
      <c r="E37">
        <f t="shared" ca="1" si="1"/>
        <v>-4.1775272983444724E-2</v>
      </c>
      <c r="F37" vm="355">
        <f ca="1"/>
        <v>418.79</v>
      </c>
      <c r="G37">
        <f t="shared" ca="1" si="2"/>
        <v>4.292565947242255E-3</v>
      </c>
      <c r="H37" vm="356">
        <f ca="1"/>
        <v>565.11</v>
      </c>
      <c r="I37">
        <f t="shared" ca="1" si="3"/>
        <v>1.0677111278034173E-2</v>
      </c>
      <c r="J37" vm="357">
        <f ca="1"/>
        <v>167.65</v>
      </c>
      <c r="K37">
        <f t="shared" ca="1" si="4"/>
        <v>1.7540665210002519E-2</v>
      </c>
      <c r="L37" vm="358">
        <f ca="1"/>
        <v>597.53</v>
      </c>
      <c r="M37">
        <f t="shared" ca="1" si="5"/>
        <v>3.3920505113263955E-3</v>
      </c>
      <c r="N37" vm="358">
        <f ca="1"/>
        <v>597.53</v>
      </c>
      <c r="O37">
        <f t="shared" ca="1" si="6"/>
        <v>3.3920505113263955E-3</v>
      </c>
      <c r="P37" vm="359">
        <f ca="1"/>
        <v>242.48</v>
      </c>
      <c r="Q37">
        <f t="shared" ca="1" si="7"/>
        <v>-2.9458853666346516E-2</v>
      </c>
      <c r="R37" vm="360">
        <f ca="1"/>
        <v>72.099999999999994</v>
      </c>
      <c r="S37">
        <f t="shared" ca="1" si="8"/>
        <v>-2.8956228956229034E-2</v>
      </c>
      <c r="T37" vm="361">
        <f ca="1"/>
        <v>94.61</v>
      </c>
      <c r="U37">
        <f t="shared" ca="1" si="9"/>
        <v>1.0790598290598346E-2</v>
      </c>
    </row>
    <row r="38" spans="1:21" x14ac:dyDescent="0.2">
      <c r="A38" vm="362">
        <f ca="1"/>
        <v>45622</v>
      </c>
      <c r="B38" vm="363">
        <f ca="1"/>
        <v>235.06</v>
      </c>
      <c r="C38">
        <f t="shared" ca="1" si="0"/>
        <v>9.4043887147335324E-3</v>
      </c>
      <c r="D38" vm="364">
        <f ca="1"/>
        <v>136.91999999999999</v>
      </c>
      <c r="E38">
        <f t="shared" ca="1" si="1"/>
        <v>6.6166740185265192E-3</v>
      </c>
      <c r="F38" vm="365">
        <f ca="1"/>
        <v>427.99</v>
      </c>
      <c r="G38">
        <f t="shared" ca="1" si="2"/>
        <v>2.1968050813056635E-2</v>
      </c>
      <c r="H38" vm="366">
        <f ca="1"/>
        <v>573.54</v>
      </c>
      <c r="I38">
        <f t="shared" ca="1" si="3"/>
        <v>1.4917449700058307E-2</v>
      </c>
      <c r="J38" vm="367">
        <f ca="1"/>
        <v>169.12</v>
      </c>
      <c r="K38">
        <f t="shared" ca="1" si="4"/>
        <v>8.7682672233820383E-3</v>
      </c>
      <c r="L38" vm="368">
        <f ca="1"/>
        <v>600.65</v>
      </c>
      <c r="M38">
        <f t="shared" ca="1" si="5"/>
        <v>5.2214951550549841E-3</v>
      </c>
      <c r="N38" vm="368">
        <f ca="1"/>
        <v>600.65</v>
      </c>
      <c r="O38">
        <f t="shared" ca="1" si="6"/>
        <v>5.2214951550549841E-3</v>
      </c>
      <c r="P38" vm="369">
        <f ca="1"/>
        <v>242.95</v>
      </c>
      <c r="Q38">
        <f t="shared" ca="1" si="7"/>
        <v>1.9383041900362871E-3</v>
      </c>
      <c r="R38" vm="370">
        <f ca="1"/>
        <v>71.61</v>
      </c>
      <c r="S38">
        <f t="shared" ca="1" si="8"/>
        <v>-6.7961165048542986E-3</v>
      </c>
      <c r="T38" vm="371">
        <f ca="1"/>
        <v>94.41</v>
      </c>
      <c r="U38">
        <f t="shared" ca="1" si="9"/>
        <v>-2.1139414438220362E-3</v>
      </c>
    </row>
    <row r="39" spans="1:21" x14ac:dyDescent="0.2">
      <c r="A39" vm="372">
        <f ca="1"/>
        <v>45623</v>
      </c>
      <c r="B39" vm="373">
        <f ca="1"/>
        <v>234.93</v>
      </c>
      <c r="C39">
        <f t="shared" ca="1" si="0"/>
        <v>-5.530502850335891E-4</v>
      </c>
      <c r="D39" vm="374">
        <f ca="1"/>
        <v>135.34</v>
      </c>
      <c r="E39">
        <f t="shared" ca="1" si="1"/>
        <v>-1.1539585159216947E-2</v>
      </c>
      <c r="F39" vm="375">
        <f ca="1"/>
        <v>422.99</v>
      </c>
      <c r="G39">
        <f t="shared" ca="1" si="2"/>
        <v>-1.1682515946634267E-2</v>
      </c>
      <c r="H39" vm="376">
        <f ca="1"/>
        <v>569.20000000000005</v>
      </c>
      <c r="I39">
        <f t="shared" ca="1" si="3"/>
        <v>-7.5670397879832587E-3</v>
      </c>
      <c r="J39" vm="377">
        <f ca="1"/>
        <v>169.23</v>
      </c>
      <c r="K39">
        <f t="shared" ca="1" si="4"/>
        <v>6.5042573320710272E-4</v>
      </c>
      <c r="L39" vm="378">
        <f ca="1"/>
        <v>598.83000000000004</v>
      </c>
      <c r="M39">
        <f t="shared" ca="1" si="5"/>
        <v>-3.0300507783233769E-3</v>
      </c>
      <c r="N39" vm="378">
        <f ca="1"/>
        <v>598.83000000000004</v>
      </c>
      <c r="O39">
        <f t="shared" ca="1" si="6"/>
        <v>-3.0300507783233769E-3</v>
      </c>
      <c r="P39" vm="379">
        <f ca="1"/>
        <v>243.49</v>
      </c>
      <c r="Q39">
        <f t="shared" ca="1" si="7"/>
        <v>2.2226795636963183E-3</v>
      </c>
      <c r="R39" vm="380">
        <f ca="1"/>
        <v>71.72</v>
      </c>
      <c r="S39">
        <f t="shared" ca="1" si="8"/>
        <v>1.5360983102918507E-3</v>
      </c>
      <c r="T39" vm="381">
        <f ca="1"/>
        <v>94.79</v>
      </c>
      <c r="U39">
        <f t="shared" ca="1" si="9"/>
        <v>4.0249973519755292E-3</v>
      </c>
    </row>
    <row r="40" spans="1:21" x14ac:dyDescent="0.2">
      <c r="A40" vm="382">
        <f ca="1"/>
        <v>45625</v>
      </c>
      <c r="B40" vm="383">
        <f ca="1"/>
        <v>237.33</v>
      </c>
      <c r="C40">
        <f t="shared" ca="1" si="0"/>
        <v>1.0215808964372391E-2</v>
      </c>
      <c r="D40" vm="384">
        <f ca="1"/>
        <v>138.25</v>
      </c>
      <c r="E40">
        <f t="shared" ca="1" si="1"/>
        <v>2.150140387173043E-2</v>
      </c>
      <c r="F40" vm="385">
        <f ca="1"/>
        <v>423.46</v>
      </c>
      <c r="G40">
        <f t="shared" ca="1" si="2"/>
        <v>1.1111373791341886E-3</v>
      </c>
      <c r="H40" vm="386">
        <f ca="1"/>
        <v>574.32000000000005</v>
      </c>
      <c r="I40">
        <f t="shared" ca="1" si="3"/>
        <v>8.9950808151792062E-3</v>
      </c>
      <c r="J40" vm="387">
        <f ca="1"/>
        <v>168.95</v>
      </c>
      <c r="K40">
        <f t="shared" ca="1" si="4"/>
        <v>-1.6545529752408034E-3</v>
      </c>
      <c r="L40" vm="388">
        <f ca="1"/>
        <v>602.54999999999995</v>
      </c>
      <c r="M40">
        <f t="shared" ca="1" si="5"/>
        <v>6.2121136215619009E-3</v>
      </c>
      <c r="N40" vm="388">
        <f ca="1"/>
        <v>602.54999999999995</v>
      </c>
      <c r="O40">
        <f t="shared" ca="1" si="6"/>
        <v>6.2121136215619009E-3</v>
      </c>
      <c r="P40" vm="389">
        <f ca="1"/>
        <v>245.59</v>
      </c>
      <c r="Q40">
        <f t="shared" ca="1" si="7"/>
        <v>8.6245841718345494E-3</v>
      </c>
      <c r="R40" vm="370">
        <f ca="1"/>
        <v>71.61</v>
      </c>
      <c r="S40">
        <f t="shared" ca="1" si="8"/>
        <v>-1.5337423312883356E-3</v>
      </c>
      <c r="T40" vm="390">
        <f ca="1"/>
        <v>95.19</v>
      </c>
      <c r="U40">
        <f t="shared" ca="1" si="9"/>
        <v>4.2198544150225913E-3</v>
      </c>
    </row>
    <row r="41" spans="1:21" x14ac:dyDescent="0.2">
      <c r="A41" vm="391">
        <f ca="1"/>
        <v>45628</v>
      </c>
      <c r="B41" vm="392">
        <f ca="1"/>
        <v>239.59</v>
      </c>
      <c r="C41">
        <f t="shared" ca="1" si="0"/>
        <v>9.5226056545737615E-3</v>
      </c>
      <c r="D41" vm="393">
        <f ca="1"/>
        <v>138.63</v>
      </c>
      <c r="E41">
        <f t="shared" ca="1" si="1"/>
        <v>2.7486437613019562E-3</v>
      </c>
      <c r="F41" vm="394">
        <f ca="1"/>
        <v>430.98</v>
      </c>
      <c r="G41">
        <f t="shared" ca="1" si="2"/>
        <v>1.7758465970811974E-2</v>
      </c>
      <c r="H41" vm="395">
        <f ca="1"/>
        <v>592.83000000000004</v>
      </c>
      <c r="I41">
        <f t="shared" ca="1" si="3"/>
        <v>3.2229419139155856E-2</v>
      </c>
      <c r="J41" vm="396">
        <f ca="1"/>
        <v>171.49</v>
      </c>
      <c r="K41">
        <f t="shared" ca="1" si="4"/>
        <v>1.5034033737792368E-2</v>
      </c>
      <c r="L41" vm="397">
        <f ca="1"/>
        <v>603.63</v>
      </c>
      <c r="M41">
        <f t="shared" ca="1" si="5"/>
        <v>1.7923823749067147E-3</v>
      </c>
      <c r="N41" vm="397">
        <f ca="1"/>
        <v>603.63</v>
      </c>
      <c r="O41">
        <f t="shared" ca="1" si="6"/>
        <v>1.7923823749067147E-3</v>
      </c>
      <c r="P41" vm="398">
        <f ca="1"/>
        <v>243.44</v>
      </c>
      <c r="Q41">
        <f t="shared" ca="1" si="7"/>
        <v>-8.7544281118938291E-3</v>
      </c>
      <c r="R41" vm="399">
        <f ca="1"/>
        <v>71.040000000000006</v>
      </c>
      <c r="S41">
        <f t="shared" ca="1" si="8"/>
        <v>-7.9597821533304459E-3</v>
      </c>
      <c r="T41" vm="134">
        <f ca="1"/>
        <v>94.89</v>
      </c>
      <c r="U41">
        <f t="shared" ca="1" si="9"/>
        <v>-3.1515915537346064E-3</v>
      </c>
    </row>
    <row r="42" spans="1:21" x14ac:dyDescent="0.2">
      <c r="A42" vm="400">
        <f ca="1"/>
        <v>45629</v>
      </c>
      <c r="B42" vm="401">
        <f ca="1"/>
        <v>242.65</v>
      </c>
      <c r="C42">
        <f t="shared" ca="1" si="0"/>
        <v>1.2771818523310665E-2</v>
      </c>
      <c r="D42" vm="402">
        <f ca="1"/>
        <v>140.26</v>
      </c>
      <c r="E42">
        <f t="shared" ca="1" si="1"/>
        <v>1.1757916756834708E-2</v>
      </c>
      <c r="F42" vm="403">
        <f ca="1"/>
        <v>431.2</v>
      </c>
      <c r="G42">
        <f t="shared" ca="1" si="2"/>
        <v>5.1046452271560265E-4</v>
      </c>
      <c r="H42" vm="404">
        <f ca="1"/>
        <v>613.65</v>
      </c>
      <c r="I42">
        <f t="shared" ca="1" si="3"/>
        <v>3.5119680178128526E-2</v>
      </c>
      <c r="J42" vm="405">
        <f ca="1"/>
        <v>171.34</v>
      </c>
      <c r="K42">
        <f t="shared" ca="1" si="4"/>
        <v>-8.7468657064555182E-4</v>
      </c>
      <c r="L42" vm="406">
        <f ca="1"/>
        <v>603.91</v>
      </c>
      <c r="M42">
        <f t="shared" ca="1" si="5"/>
        <v>4.6386031178035009E-4</v>
      </c>
      <c r="N42" vm="406">
        <f ca="1"/>
        <v>603.91</v>
      </c>
      <c r="O42">
        <f t="shared" ca="1" si="6"/>
        <v>4.6386031178035009E-4</v>
      </c>
      <c r="P42" vm="407">
        <f ca="1"/>
        <v>243.93</v>
      </c>
      <c r="Q42">
        <f t="shared" ca="1" si="7"/>
        <v>2.0128162997042768E-3</v>
      </c>
      <c r="R42" vm="408">
        <f ca="1"/>
        <v>73.040000000000006</v>
      </c>
      <c r="S42">
        <f t="shared" ca="1" si="8"/>
        <v>2.815315315315315E-2</v>
      </c>
      <c r="T42" vm="409">
        <f ca="1"/>
        <v>94.62</v>
      </c>
      <c r="U42">
        <f t="shared" ca="1" si="9"/>
        <v>-2.8453999367688484E-3</v>
      </c>
    </row>
    <row r="43" spans="1:21" x14ac:dyDescent="0.2">
      <c r="A43" vm="410">
        <f ca="1"/>
        <v>45630</v>
      </c>
      <c r="B43" vm="411">
        <f ca="1"/>
        <v>243.01</v>
      </c>
      <c r="C43">
        <f t="shared" ca="1" si="0"/>
        <v>1.4836183803832071E-3</v>
      </c>
      <c r="D43" vm="412">
        <f ca="1"/>
        <v>145.13999999999999</v>
      </c>
      <c r="E43">
        <f t="shared" ca="1" si="1"/>
        <v>3.4792528161984852E-2</v>
      </c>
      <c r="F43" vm="413">
        <f ca="1"/>
        <v>437.42</v>
      </c>
      <c r="G43">
        <f t="shared" ca="1" si="2"/>
        <v>1.4424860853432345E-2</v>
      </c>
      <c r="H43" vm="414">
        <f ca="1"/>
        <v>613.78</v>
      </c>
      <c r="I43">
        <f t="shared" ca="1" si="3"/>
        <v>2.1184714413753029E-4</v>
      </c>
      <c r="J43" vm="415">
        <f ca="1"/>
        <v>174.37</v>
      </c>
      <c r="K43">
        <f t="shared" ca="1" si="4"/>
        <v>1.7684136804015413E-2</v>
      </c>
      <c r="L43" vm="416">
        <f ca="1"/>
        <v>607.66</v>
      </c>
      <c r="M43">
        <f t="shared" ca="1" si="5"/>
        <v>6.2095345332913851E-3</v>
      </c>
      <c r="N43" vm="416">
        <f ca="1"/>
        <v>607.66</v>
      </c>
      <c r="O43">
        <f t="shared" ca="1" si="6"/>
        <v>6.2095345332913851E-3</v>
      </c>
      <c r="P43" vm="417">
        <f ca="1"/>
        <v>244.67</v>
      </c>
      <c r="Q43">
        <f t="shared" ca="1" si="7"/>
        <v>3.0336571967366894E-3</v>
      </c>
      <c r="R43" vm="418">
        <f ca="1"/>
        <v>71.88</v>
      </c>
      <c r="S43">
        <f t="shared" ca="1" si="8"/>
        <v>-1.5881708652793137E-2</v>
      </c>
      <c r="T43" vm="419">
        <f ca="1"/>
        <v>94.98</v>
      </c>
      <c r="U43">
        <f t="shared" ca="1" si="9"/>
        <v>3.8046924540266268E-3</v>
      </c>
    </row>
    <row r="44" spans="1:21" x14ac:dyDescent="0.2">
      <c r="A44" vm="420">
        <f ca="1"/>
        <v>45631</v>
      </c>
      <c r="B44" vm="421">
        <f ca="1"/>
        <v>243.04</v>
      </c>
      <c r="C44">
        <f t="shared" ca="1" si="0"/>
        <v>1.2345170980618549E-4</v>
      </c>
      <c r="D44" vm="422">
        <f ca="1"/>
        <v>145.06</v>
      </c>
      <c r="E44">
        <f t="shared" ca="1" si="1"/>
        <v>-5.5119195259738251E-4</v>
      </c>
      <c r="F44" vm="423">
        <f ca="1"/>
        <v>442.62</v>
      </c>
      <c r="G44">
        <f t="shared" ca="1" si="2"/>
        <v>1.1887888070961521E-2</v>
      </c>
      <c r="H44" vm="424">
        <f ca="1"/>
        <v>608.92999999999995</v>
      </c>
      <c r="I44">
        <f t="shared" ca="1" si="3"/>
        <v>-7.9018540845254368E-3</v>
      </c>
      <c r="J44" vm="425">
        <f ca="1"/>
        <v>172.64</v>
      </c>
      <c r="K44">
        <f t="shared" ca="1" si="4"/>
        <v>-9.9214314388944101E-3</v>
      </c>
      <c r="L44" vm="426">
        <f ca="1"/>
        <v>606.66</v>
      </c>
      <c r="M44">
        <f t="shared" ca="1" si="5"/>
        <v>-1.6456571108843761E-3</v>
      </c>
      <c r="N44" vm="426">
        <f ca="1"/>
        <v>606.66</v>
      </c>
      <c r="O44">
        <f t="shared" ca="1" si="6"/>
        <v>-1.6456571108843761E-3</v>
      </c>
      <c r="P44" vm="427">
        <f ca="1"/>
        <v>242.86</v>
      </c>
      <c r="Q44">
        <f t="shared" ca="1" si="7"/>
        <v>-7.3977193771200961E-3</v>
      </c>
      <c r="R44" vm="428">
        <f ca="1"/>
        <v>71.47</v>
      </c>
      <c r="S44">
        <f t="shared" ca="1" si="8"/>
        <v>-5.7039510294935531E-3</v>
      </c>
      <c r="T44" vm="429">
        <f ca="1"/>
        <v>94.97</v>
      </c>
      <c r="U44">
        <f t="shared" ca="1" si="9"/>
        <v>-1.0528532322599616E-4</v>
      </c>
    </row>
    <row r="45" spans="1:21" x14ac:dyDescent="0.2">
      <c r="A45" vm="430">
        <f ca="1"/>
        <v>45632</v>
      </c>
      <c r="B45" vm="431">
        <f ca="1"/>
        <v>242.84</v>
      </c>
      <c r="C45">
        <f t="shared" ca="1" si="0"/>
        <v>-8.2290980908487758E-4</v>
      </c>
      <c r="D45" vm="432">
        <f ca="1"/>
        <v>142.44</v>
      </c>
      <c r="E45">
        <f t="shared" ca="1" si="1"/>
        <v>-1.8061491796498033E-2</v>
      </c>
      <c r="F45" vm="433">
        <f ca="1"/>
        <v>443.57</v>
      </c>
      <c r="G45">
        <f t="shared" ca="1" si="2"/>
        <v>2.1463106050336376E-3</v>
      </c>
      <c r="H45" vm="434">
        <f ca="1"/>
        <v>623.77</v>
      </c>
      <c r="I45">
        <f t="shared" ca="1" si="3"/>
        <v>2.4370617312334805E-2</v>
      </c>
      <c r="J45" vm="435">
        <f ca="1"/>
        <v>174.71</v>
      </c>
      <c r="K45">
        <f t="shared" ca="1" si="4"/>
        <v>1.1990268767377327E-2</v>
      </c>
      <c r="L45" vm="436">
        <f ca="1"/>
        <v>607.80999999999995</v>
      </c>
      <c r="M45">
        <f t="shared" ca="1" si="5"/>
        <v>1.8956252266508049E-3</v>
      </c>
      <c r="N45" vm="436">
        <f ca="1"/>
        <v>607.80999999999995</v>
      </c>
      <c r="O45">
        <f t="shared" ca="1" si="6"/>
        <v>1.8956252266508049E-3</v>
      </c>
      <c r="P45" vm="369">
        <f ca="1"/>
        <v>242.95</v>
      </c>
      <c r="Q45">
        <f t="shared" ca="1" si="7"/>
        <v>3.7058387548371483E-4</v>
      </c>
      <c r="R45" vm="437">
        <f ca="1"/>
        <v>70.239999999999995</v>
      </c>
      <c r="S45">
        <f t="shared" ca="1" si="8"/>
        <v>-1.7210018189450175E-2</v>
      </c>
      <c r="T45" vm="438">
        <f ca="1"/>
        <v>95.27</v>
      </c>
      <c r="U45">
        <f t="shared" ca="1" si="9"/>
        <v>3.1588922817731616E-3</v>
      </c>
    </row>
    <row r="46" spans="1:21" x14ac:dyDescent="0.2">
      <c r="A46" vm="439">
        <f ca="1"/>
        <v>45635</v>
      </c>
      <c r="B46" vm="440">
        <f ca="1"/>
        <v>246.75</v>
      </c>
      <c r="C46">
        <f t="shared" ca="1" si="0"/>
        <v>1.6101136550815336E-2</v>
      </c>
      <c r="D46" vm="441">
        <f ca="1"/>
        <v>138.81</v>
      </c>
      <c r="E46">
        <f t="shared" ca="1" si="1"/>
        <v>-2.5484414490311677E-2</v>
      </c>
      <c r="F46" vm="442">
        <f ca="1"/>
        <v>446.02</v>
      </c>
      <c r="G46">
        <f t="shared" ca="1" si="2"/>
        <v>5.5233672250151918E-3</v>
      </c>
      <c r="H46" vm="443">
        <f ca="1"/>
        <v>613.57000000000005</v>
      </c>
      <c r="I46">
        <f t="shared" ca="1" si="3"/>
        <v>-1.6352181092389714E-2</v>
      </c>
      <c r="J46" vm="444">
        <f ca="1"/>
        <v>175.37</v>
      </c>
      <c r="K46">
        <f t="shared" ca="1" si="4"/>
        <v>3.7776887413427771E-3</v>
      </c>
      <c r="L46" vm="445">
        <f ca="1"/>
        <v>604.67999999999995</v>
      </c>
      <c r="M46">
        <f t="shared" ca="1" si="5"/>
        <v>-5.1496355769072499E-3</v>
      </c>
      <c r="N46" vm="445">
        <f ca="1"/>
        <v>604.67999999999995</v>
      </c>
      <c r="O46">
        <f t="shared" ca="1" si="6"/>
        <v>-5.1496355769072499E-3</v>
      </c>
      <c r="P46" vm="446">
        <f ca="1"/>
        <v>245.36</v>
      </c>
      <c r="Q46">
        <f t="shared" ca="1" si="7"/>
        <v>9.9197365713110733E-3</v>
      </c>
      <c r="R46" vm="447">
        <f ca="1"/>
        <v>71.17</v>
      </c>
      <c r="S46">
        <f t="shared" ca="1" si="8"/>
        <v>1.324031890660602E-2</v>
      </c>
      <c r="T46" vm="448">
        <f ca="1"/>
        <v>94.94</v>
      </c>
      <c r="U46">
        <f t="shared" ca="1" si="9"/>
        <v>-3.4638396137293831E-3</v>
      </c>
    </row>
    <row r="47" spans="1:21" x14ac:dyDescent="0.2">
      <c r="A47" vm="449">
        <f ca="1"/>
        <v>45636</v>
      </c>
      <c r="B47" vm="450">
        <f ca="1"/>
        <v>247.77</v>
      </c>
      <c r="C47">
        <f t="shared" ca="1" si="0"/>
        <v>4.1337386018237493E-3</v>
      </c>
      <c r="D47" vm="451">
        <f ca="1"/>
        <v>135.07</v>
      </c>
      <c r="E47">
        <f t="shared" ca="1" si="1"/>
        <v>-2.694330379655651E-2</v>
      </c>
      <c r="F47" vm="452">
        <f ca="1"/>
        <v>443.33</v>
      </c>
      <c r="G47">
        <f t="shared" ca="1" si="2"/>
        <v>-6.0311196807318005E-3</v>
      </c>
      <c r="H47" vm="453">
        <f ca="1"/>
        <v>619.32000000000005</v>
      </c>
      <c r="I47">
        <f t="shared" ca="1" si="3"/>
        <v>9.3713838681812982E-3</v>
      </c>
      <c r="J47" vm="454">
        <f ca="1"/>
        <v>185.17</v>
      </c>
      <c r="K47">
        <f t="shared" ca="1" si="4"/>
        <v>5.588184980327298E-2</v>
      </c>
      <c r="L47" vm="455">
        <f ca="1"/>
        <v>602.79999999999995</v>
      </c>
      <c r="M47">
        <f t="shared" ca="1" si="5"/>
        <v>-3.1090824899120124E-3</v>
      </c>
      <c r="N47" vm="455">
        <f ca="1"/>
        <v>602.79999999999995</v>
      </c>
      <c r="O47">
        <f t="shared" ca="1" si="6"/>
        <v>-3.1090824899120124E-3</v>
      </c>
      <c r="P47" vm="456">
        <f ca="1"/>
        <v>248.59</v>
      </c>
      <c r="Q47">
        <f t="shared" ca="1" si="7"/>
        <v>1.316432996413429E-2</v>
      </c>
      <c r="R47" vm="457">
        <f ca="1"/>
        <v>71.400000000000006</v>
      </c>
      <c r="S47">
        <f t="shared" ca="1" si="8"/>
        <v>3.2316987494731483E-3</v>
      </c>
      <c r="T47" vm="458">
        <f ca="1"/>
        <v>94.77</v>
      </c>
      <c r="U47">
        <f t="shared" ca="1" si="9"/>
        <v>-1.790604592374149E-3</v>
      </c>
    </row>
    <row r="48" spans="1:21" x14ac:dyDescent="0.2">
      <c r="A48" vm="459">
        <f ca="1"/>
        <v>45637</v>
      </c>
      <c r="B48" vm="460">
        <f ca="1"/>
        <v>246.49</v>
      </c>
      <c r="C48">
        <f t="shared" ca="1" si="0"/>
        <v>-5.166081446502809E-3</v>
      </c>
      <c r="D48" vm="461">
        <f ca="1"/>
        <v>139.31</v>
      </c>
      <c r="E48">
        <f t="shared" ca="1" si="1"/>
        <v>3.1391130524913075E-2</v>
      </c>
      <c r="F48" vm="462">
        <f ca="1"/>
        <v>448.99</v>
      </c>
      <c r="G48">
        <f t="shared" ca="1" si="2"/>
        <v>1.2767013285814236E-2</v>
      </c>
      <c r="H48" vm="463">
        <f ca="1"/>
        <v>632.67999999999995</v>
      </c>
      <c r="I48">
        <f t="shared" ca="1" si="3"/>
        <v>2.1572046760963474E-2</v>
      </c>
      <c r="J48" vm="464">
        <f ca="1"/>
        <v>195.4</v>
      </c>
      <c r="K48">
        <f t="shared" ca="1" si="4"/>
        <v>5.524653021547777E-2</v>
      </c>
      <c r="L48" vm="465">
        <f ca="1"/>
        <v>607.46</v>
      </c>
      <c r="M48">
        <f t="shared" ca="1" si="5"/>
        <v>7.7305905773060422E-3</v>
      </c>
      <c r="N48" vm="465">
        <f ca="1"/>
        <v>607.46</v>
      </c>
      <c r="O48">
        <f t="shared" ca="1" si="6"/>
        <v>7.7305905773060422E-3</v>
      </c>
      <c r="P48" vm="466">
        <f ca="1"/>
        <v>250.96</v>
      </c>
      <c r="Q48">
        <f t="shared" ca="1" si="7"/>
        <v>9.5337704654250149E-3</v>
      </c>
      <c r="R48" vm="467">
        <f ca="1"/>
        <v>73.33</v>
      </c>
      <c r="S48">
        <f t="shared" ca="1" si="8"/>
        <v>2.7030812324929866E-2</v>
      </c>
      <c r="T48" vm="468">
        <f ca="1"/>
        <v>94.49</v>
      </c>
      <c r="U48">
        <f t="shared" ca="1" si="9"/>
        <v>-2.9545214730400038E-3</v>
      </c>
    </row>
    <row r="49" spans="1:21" x14ac:dyDescent="0.2">
      <c r="A49" vm="469">
        <f ca="1"/>
        <v>45638</v>
      </c>
      <c r="B49" vm="251">
        <f ca="1"/>
        <v>247.96</v>
      </c>
      <c r="C49">
        <f t="shared" ca="1" si="0"/>
        <v>5.9637307801533486E-3</v>
      </c>
      <c r="D49" vm="470">
        <f ca="1"/>
        <v>137.34</v>
      </c>
      <c r="E49">
        <f t="shared" ca="1" si="1"/>
        <v>-1.4141124111693337E-2</v>
      </c>
      <c r="F49" vm="471">
        <f ca="1"/>
        <v>449.56</v>
      </c>
      <c r="G49">
        <f t="shared" ca="1" si="2"/>
        <v>1.2695160248557722E-3</v>
      </c>
      <c r="H49" vm="472">
        <f ca="1"/>
        <v>630.79</v>
      </c>
      <c r="I49">
        <f t="shared" ca="1" si="3"/>
        <v>-2.9872921540114853E-3</v>
      </c>
      <c r="J49" vm="473">
        <f ca="1"/>
        <v>191.96</v>
      </c>
      <c r="K49">
        <f t="shared" ca="1" si="4"/>
        <v>-1.7604912998976447E-2</v>
      </c>
      <c r="L49" vm="474">
        <f ca="1"/>
        <v>604.33000000000004</v>
      </c>
      <c r="M49">
        <f t="shared" ca="1" si="5"/>
        <v>-5.1526026405030708E-3</v>
      </c>
      <c r="N49" vm="474">
        <f ca="1"/>
        <v>604.33000000000004</v>
      </c>
      <c r="O49">
        <f t="shared" ca="1" si="6"/>
        <v>-5.1526026405030708E-3</v>
      </c>
      <c r="P49" vm="475">
        <f ca="1"/>
        <v>247.28</v>
      </c>
      <c r="Q49">
        <f t="shared" ca="1" si="7"/>
        <v>-1.4663691424928302E-2</v>
      </c>
      <c r="R49" vm="476">
        <f ca="1"/>
        <v>73.209999999999994</v>
      </c>
      <c r="S49">
        <f t="shared" ca="1" si="8"/>
        <v>-1.636438019910058E-3</v>
      </c>
      <c r="T49" vm="477">
        <f ca="1"/>
        <v>94.13</v>
      </c>
      <c r="U49">
        <f t="shared" ca="1" si="9"/>
        <v>-3.809926976399613E-3</v>
      </c>
    </row>
    <row r="50" spans="1:21" x14ac:dyDescent="0.2">
      <c r="A50" vm="478">
        <f ca="1"/>
        <v>45639</v>
      </c>
      <c r="B50" vm="479">
        <f ca="1"/>
        <v>248.13</v>
      </c>
      <c r="C50">
        <f t="shared" ca="1" si="0"/>
        <v>6.8559445071780724E-4</v>
      </c>
      <c r="D50" vm="480">
        <f ca="1"/>
        <v>134.25</v>
      </c>
      <c r="E50">
        <f t="shared" ca="1" si="1"/>
        <v>-2.2498907820008761E-2</v>
      </c>
      <c r="F50" vm="481">
        <f ca="1"/>
        <v>447.27</v>
      </c>
      <c r="G50">
        <f t="shared" ca="1" si="2"/>
        <v>-5.0938695613489196E-3</v>
      </c>
      <c r="H50" vm="482">
        <f ca="1"/>
        <v>620.35</v>
      </c>
      <c r="I50">
        <f t="shared" ca="1" si="3"/>
        <v>-1.6550674550959814E-2</v>
      </c>
      <c r="J50" vm="483">
        <f ca="1"/>
        <v>189.82</v>
      </c>
      <c r="K50">
        <f t="shared" ca="1" si="4"/>
        <v>-1.1148155865805453E-2</v>
      </c>
      <c r="L50" vm="484">
        <f ca="1"/>
        <v>604.21</v>
      </c>
      <c r="M50">
        <f t="shared" ca="1" si="5"/>
        <v>-1.985670080916131E-4</v>
      </c>
      <c r="N50" vm="484">
        <f ca="1"/>
        <v>604.21</v>
      </c>
      <c r="O50">
        <f t="shared" ca="1" si="6"/>
        <v>-1.985670080916131E-4</v>
      </c>
      <c r="P50" vm="485">
        <f ca="1"/>
        <v>244.29</v>
      </c>
      <c r="Q50">
        <f t="shared" ca="1" si="7"/>
        <v>-1.2091556130702076E-2</v>
      </c>
      <c r="R50" vm="486">
        <f ca="1"/>
        <v>74.209999999999994</v>
      </c>
      <c r="S50">
        <f t="shared" ca="1" si="8"/>
        <v>1.3659336156262808E-2</v>
      </c>
      <c r="T50" vm="487">
        <f ca="1"/>
        <v>93.69</v>
      </c>
      <c r="U50">
        <f t="shared" ca="1" si="9"/>
        <v>-4.6743864867735867E-3</v>
      </c>
    </row>
    <row r="51" spans="1:21" x14ac:dyDescent="0.2">
      <c r="A51" vm="488">
        <f ca="1"/>
        <v>45642</v>
      </c>
      <c r="B51" vm="489">
        <f ca="1"/>
        <v>251.04</v>
      </c>
      <c r="C51">
        <f t="shared" ca="1" si="0"/>
        <v>1.1727723370813672E-2</v>
      </c>
      <c r="D51" vm="490">
        <f ca="1"/>
        <v>132</v>
      </c>
      <c r="E51">
        <f t="shared" ca="1" si="1"/>
        <v>-1.6759776536312849E-2</v>
      </c>
      <c r="F51" vm="491">
        <f ca="1"/>
        <v>451.59</v>
      </c>
      <c r="G51">
        <f t="shared" ca="1" si="2"/>
        <v>9.6585954792407121E-3</v>
      </c>
      <c r="H51" vm="492">
        <f ca="1"/>
        <v>624.24</v>
      </c>
      <c r="I51">
        <f t="shared" ca="1" si="3"/>
        <v>6.270653663254592E-3</v>
      </c>
      <c r="J51" vm="493">
        <f ca="1"/>
        <v>196.66</v>
      </c>
      <c r="K51">
        <f t="shared" ca="1" si="4"/>
        <v>3.603413760404596E-2</v>
      </c>
      <c r="L51" vm="494">
        <f ca="1"/>
        <v>606.79</v>
      </c>
      <c r="M51">
        <f t="shared" ca="1" si="5"/>
        <v>4.2700385627512409E-3</v>
      </c>
      <c r="N51" vm="494">
        <f ca="1"/>
        <v>606.79</v>
      </c>
      <c r="O51">
        <f t="shared" ca="1" si="6"/>
        <v>4.2700385627512409E-3</v>
      </c>
      <c r="P51" vm="495">
        <f ca="1"/>
        <v>244.88</v>
      </c>
      <c r="Q51">
        <f t="shared" ca="1" si="7"/>
        <v>2.4151623070940418E-3</v>
      </c>
      <c r="R51" vm="496">
        <f ca="1"/>
        <v>73.7</v>
      </c>
      <c r="S51">
        <f t="shared" ca="1" si="8"/>
        <v>-6.8723891658804869E-3</v>
      </c>
      <c r="T51" vm="497">
        <f ca="1"/>
        <v>93.72</v>
      </c>
      <c r="U51">
        <f t="shared" ca="1" si="9"/>
        <v>3.2020493115595192E-4</v>
      </c>
    </row>
    <row r="52" spans="1:21" x14ac:dyDescent="0.2">
      <c r="A52" vm="498">
        <f ca="1"/>
        <v>45643</v>
      </c>
      <c r="B52" vm="499">
        <f ca="1"/>
        <v>253.48</v>
      </c>
      <c r="C52">
        <f t="shared" ca="1" si="0"/>
        <v>9.7195666029317954E-3</v>
      </c>
      <c r="D52" vm="500">
        <f ca="1"/>
        <v>130.38999999999999</v>
      </c>
      <c r="E52">
        <f t="shared" ca="1" si="1"/>
        <v>-1.21969696969698E-2</v>
      </c>
      <c r="F52" vm="501">
        <f ca="1"/>
        <v>454.46</v>
      </c>
      <c r="G52">
        <f t="shared" ca="1" si="2"/>
        <v>6.3553223056312244E-3</v>
      </c>
      <c r="H52" vm="502">
        <f ca="1"/>
        <v>619.44000000000005</v>
      </c>
      <c r="I52">
        <f t="shared" ca="1" si="3"/>
        <v>-7.6893502499038105E-3</v>
      </c>
      <c r="J52" vm="503">
        <f ca="1"/>
        <v>195.42</v>
      </c>
      <c r="K52">
        <f t="shared" ca="1" si="4"/>
        <v>-6.3052984846944425E-3</v>
      </c>
      <c r="L52" vm="504">
        <f ca="1"/>
        <v>604.29</v>
      </c>
      <c r="M52">
        <f t="shared" ca="1" si="5"/>
        <v>-4.1200415300186232E-3</v>
      </c>
      <c r="N52" vm="504">
        <f ca="1"/>
        <v>604.29</v>
      </c>
      <c r="O52">
        <f t="shared" ca="1" si="6"/>
        <v>-4.1200415300186232E-3</v>
      </c>
      <c r="P52" vm="505">
        <f ca="1"/>
        <v>243.94</v>
      </c>
      <c r="Q52">
        <f t="shared" ca="1" si="7"/>
        <v>-3.8386148317543192E-3</v>
      </c>
      <c r="R52" vm="506">
        <f ca="1"/>
        <v>73.3</v>
      </c>
      <c r="S52">
        <f t="shared" ca="1" si="8"/>
        <v>-5.4274084124831161E-3</v>
      </c>
      <c r="T52" vm="497">
        <f ca="1"/>
        <v>93.72</v>
      </c>
      <c r="U52">
        <f t="shared" ca="1" si="9"/>
        <v>0</v>
      </c>
    </row>
    <row r="53" spans="1:21" x14ac:dyDescent="0.2">
      <c r="A53" vm="507">
        <f ca="1"/>
        <v>45644</v>
      </c>
      <c r="B53" vm="508">
        <f ca="1"/>
        <v>248.05</v>
      </c>
      <c r="C53">
        <f t="shared" ca="1" si="0"/>
        <v>-2.1421808426700249E-2</v>
      </c>
      <c r="D53" vm="509">
        <f ca="1"/>
        <v>128.91</v>
      </c>
      <c r="E53">
        <f t="shared" ca="1" si="1"/>
        <v>-1.1350563693534703E-2</v>
      </c>
      <c r="F53" vm="510">
        <f ca="1"/>
        <v>437.39</v>
      </c>
      <c r="G53">
        <f t="shared" ca="1" si="2"/>
        <v>-3.7561061479558143E-2</v>
      </c>
      <c r="H53" vm="279">
        <f ca="1"/>
        <v>597.19000000000005</v>
      </c>
      <c r="I53">
        <f t="shared" ca="1" si="3"/>
        <v>-3.5919540229885055E-2</v>
      </c>
      <c r="J53" vm="511">
        <f ca="1"/>
        <v>188.4</v>
      </c>
      <c r="K53">
        <f t="shared" ca="1" si="4"/>
        <v>-3.5922628185446642E-2</v>
      </c>
      <c r="L53" vm="512">
        <f ca="1"/>
        <v>586.28</v>
      </c>
      <c r="M53">
        <f t="shared" ca="1" si="5"/>
        <v>-2.9803571133065237E-2</v>
      </c>
      <c r="N53" vm="512">
        <f ca="1"/>
        <v>586.28</v>
      </c>
      <c r="O53">
        <f t="shared" ca="1" si="6"/>
        <v>-2.9803571133065237E-2</v>
      </c>
      <c r="P53" vm="513">
        <f ca="1"/>
        <v>239.26</v>
      </c>
      <c r="Q53">
        <f t="shared" ca="1" si="7"/>
        <v>-1.9185045502992569E-2</v>
      </c>
      <c r="R53" vm="514">
        <f ca="1"/>
        <v>72.94</v>
      </c>
      <c r="S53">
        <f t="shared" ca="1" si="8"/>
        <v>-4.9113233287858046E-3</v>
      </c>
      <c r="T53" vm="515">
        <f ca="1"/>
        <v>92.69</v>
      </c>
      <c r="U53">
        <f t="shared" ca="1" si="9"/>
        <v>-1.0990183525394805E-2</v>
      </c>
    </row>
    <row r="54" spans="1:21" x14ac:dyDescent="0.2">
      <c r="A54" vm="516">
        <f ca="1"/>
        <v>45645</v>
      </c>
      <c r="B54" vm="517">
        <f ca="1"/>
        <v>249.79</v>
      </c>
      <c r="C54">
        <f t="shared" ca="1" si="0"/>
        <v>7.0147147752468476E-3</v>
      </c>
      <c r="D54" vm="518">
        <f ca="1"/>
        <v>130.68</v>
      </c>
      <c r="E54">
        <f t="shared" ca="1" si="1"/>
        <v>1.373050965790094E-2</v>
      </c>
      <c r="F54" vm="519">
        <f ca="1"/>
        <v>437.03</v>
      </c>
      <c r="G54">
        <f t="shared" ca="1" si="2"/>
        <v>-8.2306408468418033E-4</v>
      </c>
      <c r="H54" vm="520">
        <f ca="1"/>
        <v>595.57000000000005</v>
      </c>
      <c r="I54">
        <f t="shared" ca="1" si="3"/>
        <v>-2.7127044994055566E-3</v>
      </c>
      <c r="J54" vm="521">
        <f ca="1"/>
        <v>188.51</v>
      </c>
      <c r="K54">
        <f t="shared" ca="1" si="4"/>
        <v>5.8386411889588751E-4</v>
      </c>
      <c r="L54" vm="522">
        <f ca="1"/>
        <v>586.1</v>
      </c>
      <c r="M54">
        <f t="shared" ca="1" si="5"/>
        <v>-3.0702053626245135E-4</v>
      </c>
      <c r="N54" vm="522">
        <f ca="1"/>
        <v>586.1</v>
      </c>
      <c r="O54">
        <f t="shared" ca="1" si="6"/>
        <v>-3.0702053626245135E-4</v>
      </c>
      <c r="P54" vm="523">
        <f ca="1"/>
        <v>239.6</v>
      </c>
      <c r="Q54">
        <f t="shared" ca="1" si="7"/>
        <v>1.4210482320488316E-3</v>
      </c>
      <c r="R54" vm="524">
        <f ca="1"/>
        <v>72.61</v>
      </c>
      <c r="S54">
        <f t="shared" ca="1" si="8"/>
        <v>-4.524266520427726E-3</v>
      </c>
      <c r="T54" vm="525">
        <f ca="1"/>
        <v>92.27</v>
      </c>
      <c r="U54">
        <f t="shared" ca="1" si="9"/>
        <v>-4.5312331427338629E-3</v>
      </c>
    </row>
    <row r="55" spans="1:21" x14ac:dyDescent="0.2">
      <c r="A55" vm="526">
        <f ca="1"/>
        <v>45646</v>
      </c>
      <c r="B55" vm="527">
        <f ca="1"/>
        <v>254.49</v>
      </c>
      <c r="C55">
        <f t="shared" ca="1" si="0"/>
        <v>1.8815805276432271E-2</v>
      </c>
      <c r="D55" vm="528">
        <f ca="1"/>
        <v>134.69999999999999</v>
      </c>
      <c r="E55">
        <f t="shared" ca="1" si="1"/>
        <v>3.076216712580335E-2</v>
      </c>
      <c r="F55" vm="529">
        <f ca="1"/>
        <v>436.6</v>
      </c>
      <c r="G55">
        <f t="shared" ca="1" si="2"/>
        <v>-9.8391414777006161E-4</v>
      </c>
      <c r="H55" vm="530">
        <f ca="1"/>
        <v>585.25</v>
      </c>
      <c r="I55">
        <f t="shared" ca="1" si="3"/>
        <v>-1.7327937941803734E-2</v>
      </c>
      <c r="J55" vm="531">
        <f ca="1"/>
        <v>191.41</v>
      </c>
      <c r="K55">
        <f t="shared" ca="1" si="4"/>
        <v>1.5383799267943376E-2</v>
      </c>
      <c r="L55" vm="532">
        <f ca="1"/>
        <v>591.15</v>
      </c>
      <c r="M55">
        <f t="shared" ca="1" si="5"/>
        <v>8.6162770858214544E-3</v>
      </c>
      <c r="N55" vm="532">
        <f ca="1"/>
        <v>591.15</v>
      </c>
      <c r="O55">
        <f t="shared" ca="1" si="6"/>
        <v>8.6162770858214544E-3</v>
      </c>
      <c r="P55" vm="533">
        <f ca="1"/>
        <v>242.1</v>
      </c>
      <c r="Q55">
        <f t="shared" ca="1" si="7"/>
        <v>1.0434056761268781E-2</v>
      </c>
      <c r="R55" vm="534">
        <f ca="1"/>
        <v>73.099999999999994</v>
      </c>
      <c r="S55">
        <f t="shared" ca="1" si="8"/>
        <v>6.7483817655969551E-3</v>
      </c>
      <c r="T55" vm="535">
        <f ca="1"/>
        <v>92.61</v>
      </c>
      <c r="U55">
        <f t="shared" ca="1" si="9"/>
        <v>3.6848379755067022E-3</v>
      </c>
    </row>
    <row r="56" spans="1:21" x14ac:dyDescent="0.2">
      <c r="A56" vm="536">
        <f ca="1"/>
        <v>45649</v>
      </c>
      <c r="B56" vm="537">
        <f ca="1"/>
        <v>255.27</v>
      </c>
      <c r="C56">
        <f t="shared" ca="1" si="0"/>
        <v>3.0649534362843377E-3</v>
      </c>
      <c r="D56" vm="538">
        <f ca="1"/>
        <v>139.66999999999999</v>
      </c>
      <c r="E56">
        <f t="shared" ca="1" si="1"/>
        <v>3.6896807720861166E-2</v>
      </c>
      <c r="F56" vm="539">
        <f ca="1"/>
        <v>435.25</v>
      </c>
      <c r="G56">
        <f t="shared" ca="1" si="2"/>
        <v>-3.0920751259734831E-3</v>
      </c>
      <c r="H56" vm="540">
        <f ca="1"/>
        <v>599.85</v>
      </c>
      <c r="I56">
        <f t="shared" ca="1" si="3"/>
        <v>2.4946604015378081E-2</v>
      </c>
      <c r="J56" vm="541">
        <f ca="1"/>
        <v>194.63</v>
      </c>
      <c r="K56">
        <f t="shared" ca="1" si="4"/>
        <v>1.6822527558643743E-2</v>
      </c>
      <c r="L56" vm="542">
        <f ca="1"/>
        <v>594.69000000000005</v>
      </c>
      <c r="M56">
        <f t="shared" ca="1" si="5"/>
        <v>5.9883278355748583E-3</v>
      </c>
      <c r="N56" vm="542">
        <f ca="1"/>
        <v>594.69000000000005</v>
      </c>
      <c r="O56">
        <f t="shared" ca="1" si="6"/>
        <v>5.9883278355748583E-3</v>
      </c>
      <c r="P56" vm="543">
        <f ca="1"/>
        <v>240.96</v>
      </c>
      <c r="Q56">
        <f t="shared" ca="1" si="7"/>
        <v>-4.7087980173481474E-3</v>
      </c>
      <c r="R56" vm="143">
        <f ca="1"/>
        <v>73.06</v>
      </c>
      <c r="S56">
        <f t="shared" ca="1" si="8"/>
        <v>-5.4719562243491166E-4</v>
      </c>
      <c r="T56" vm="544">
        <f ca="1"/>
        <v>92.2</v>
      </c>
      <c r="U56">
        <f t="shared" ca="1" si="9"/>
        <v>-4.4271676924737781E-3</v>
      </c>
    </row>
    <row r="57" spans="1:21" x14ac:dyDescent="0.2">
      <c r="A57" vm="545">
        <f ca="1"/>
        <v>45650</v>
      </c>
      <c r="B57" vm="546">
        <f ca="1"/>
        <v>258.2</v>
      </c>
      <c r="C57">
        <f t="shared" ca="1" si="0"/>
        <v>1.147804285658314E-2</v>
      </c>
      <c r="D57" vm="547">
        <f ca="1"/>
        <v>140.22</v>
      </c>
      <c r="E57">
        <f t="shared" ca="1" si="1"/>
        <v>3.9378535118494411E-3</v>
      </c>
      <c r="F57" vm="548">
        <f ca="1"/>
        <v>439.33</v>
      </c>
      <c r="G57">
        <f t="shared" ca="1" si="2"/>
        <v>9.3739230327397685E-3</v>
      </c>
      <c r="H57" vm="549">
        <f ca="1"/>
        <v>607.75</v>
      </c>
      <c r="I57">
        <f t="shared" ca="1" si="3"/>
        <v>1.3169959156455743E-2</v>
      </c>
      <c r="J57" vm="550">
        <f ca="1"/>
        <v>196.11</v>
      </c>
      <c r="K57">
        <f t="shared" ca="1" si="4"/>
        <v>7.6041720187022465E-3</v>
      </c>
      <c r="L57" vm="551">
        <f ca="1"/>
        <v>601.29999999999995</v>
      </c>
      <c r="M57">
        <f t="shared" ca="1" si="5"/>
        <v>1.1115034723973665E-2</v>
      </c>
      <c r="N57" vm="551">
        <f ca="1"/>
        <v>601.29999999999995</v>
      </c>
      <c r="O57">
        <f t="shared" ca="1" si="6"/>
        <v>1.1115034723973665E-2</v>
      </c>
      <c r="P57" vm="552">
        <f ca="1"/>
        <v>241.44</v>
      </c>
      <c r="Q57">
        <f t="shared" ca="1" si="7"/>
        <v>1.9920318725099176E-3</v>
      </c>
      <c r="R57" vm="553">
        <f ca="1"/>
        <v>73.650000000000006</v>
      </c>
      <c r="S57">
        <f t="shared" ca="1" si="8"/>
        <v>8.0755543388995807E-3</v>
      </c>
      <c r="T57" vm="554">
        <f ca="1"/>
        <v>92.25</v>
      </c>
      <c r="U57">
        <f t="shared" ca="1" si="9"/>
        <v>5.4229934924075003E-4</v>
      </c>
    </row>
    <row r="58" spans="1:21" x14ac:dyDescent="0.2">
      <c r="A58" vm="555">
        <f ca="1"/>
        <v>45652</v>
      </c>
      <c r="B58" vm="556">
        <f ca="1"/>
        <v>259.02</v>
      </c>
      <c r="C58">
        <f t="shared" ca="1" si="0"/>
        <v>3.1758326878388583E-3</v>
      </c>
      <c r="D58" vm="557">
        <f ca="1"/>
        <v>139.93</v>
      </c>
      <c r="E58">
        <f t="shared" ca="1" si="1"/>
        <v>-2.0681785765225506E-3</v>
      </c>
      <c r="F58" vm="558">
        <f ca="1"/>
        <v>438.11</v>
      </c>
      <c r="G58">
        <f t="shared" ca="1" si="2"/>
        <v>-2.7769558190880897E-3</v>
      </c>
      <c r="H58" vm="559">
        <f ca="1"/>
        <v>603.35</v>
      </c>
      <c r="I58">
        <f t="shared" ca="1" si="3"/>
        <v>-7.2398190045248499E-3</v>
      </c>
      <c r="J58" vm="560">
        <f ca="1"/>
        <v>195.6</v>
      </c>
      <c r="K58">
        <f t="shared" ca="1" si="4"/>
        <v>-2.6005813064097663E-3</v>
      </c>
      <c r="L58" vm="561">
        <f ca="1"/>
        <v>601.34</v>
      </c>
      <c r="M58">
        <f t="shared" ca="1" si="5"/>
        <v>6.6522534508693353E-5</v>
      </c>
      <c r="N58" vm="561">
        <f ca="1"/>
        <v>601.34</v>
      </c>
      <c r="O58">
        <f t="shared" ca="1" si="6"/>
        <v>6.6522534508693353E-5</v>
      </c>
      <c r="P58" vm="562">
        <f ca="1"/>
        <v>243.07</v>
      </c>
      <c r="Q58">
        <f t="shared" ca="1" si="7"/>
        <v>6.7511597084161509E-3</v>
      </c>
      <c r="R58" vm="252">
        <f ca="1"/>
        <v>73.13</v>
      </c>
      <c r="S58">
        <f t="shared" ca="1" si="8"/>
        <v>-7.0604209097082172E-3</v>
      </c>
      <c r="T58" vm="563">
        <f ca="1"/>
        <v>92.32</v>
      </c>
      <c r="U58">
        <f t="shared" ca="1" si="9"/>
        <v>7.5880758807580682E-4</v>
      </c>
    </row>
    <row r="59" spans="1:21" x14ac:dyDescent="0.2">
      <c r="A59" vm="564">
        <f ca="1"/>
        <v>45653</v>
      </c>
      <c r="B59" vm="565">
        <f ca="1"/>
        <v>255.59</v>
      </c>
      <c r="C59">
        <f t="shared" ca="1" si="0"/>
        <v>-1.3242220677939846E-2</v>
      </c>
      <c r="D59" vm="566">
        <f ca="1"/>
        <v>137.01</v>
      </c>
      <c r="E59">
        <f t="shared" ca="1" si="1"/>
        <v>-2.0867576645465704E-2</v>
      </c>
      <c r="F59" vm="567">
        <f ca="1"/>
        <v>430.53</v>
      </c>
      <c r="G59">
        <f t="shared" ca="1" si="2"/>
        <v>-1.730159092465372E-2</v>
      </c>
      <c r="H59" vm="568">
        <f ca="1"/>
        <v>599.80999999999995</v>
      </c>
      <c r="I59">
        <f t="shared" ca="1" si="3"/>
        <v>-5.8672412364300609E-3</v>
      </c>
      <c r="J59" vm="569">
        <f ca="1"/>
        <v>192.76</v>
      </c>
      <c r="K59">
        <f t="shared" ca="1" si="4"/>
        <v>-1.4519427402863003E-2</v>
      </c>
      <c r="L59" vm="570">
        <f ca="1"/>
        <v>595.01</v>
      </c>
      <c r="M59">
        <f t="shared" ca="1" si="5"/>
        <v>-1.0526490837130476E-2</v>
      </c>
      <c r="N59" vm="570">
        <f ca="1"/>
        <v>595.01</v>
      </c>
      <c r="O59">
        <f t="shared" ca="1" si="6"/>
        <v>-1.0526490837130476E-2</v>
      </c>
      <c r="P59" vm="571">
        <f ca="1"/>
        <v>241.4</v>
      </c>
      <c r="Q59">
        <f t="shared" ca="1" si="7"/>
        <v>-6.8704488418973447E-3</v>
      </c>
      <c r="R59" vm="572">
        <f ca="1"/>
        <v>73.849999999999994</v>
      </c>
      <c r="S59">
        <f t="shared" ca="1" si="8"/>
        <v>9.8454806508956501E-3</v>
      </c>
      <c r="T59" vm="573">
        <f ca="1"/>
        <v>92.08</v>
      </c>
      <c r="U59">
        <f t="shared" ca="1" si="9"/>
        <v>-2.5996533795493381E-3</v>
      </c>
    </row>
    <row r="60" spans="1:21" x14ac:dyDescent="0.2">
      <c r="A60" vm="574">
        <f ca="1"/>
        <v>45656</v>
      </c>
      <c r="B60" vm="575">
        <f ca="1"/>
        <v>252.2</v>
      </c>
      <c r="C60">
        <f t="shared" ca="1" si="0"/>
        <v>-1.3263429711647618E-2</v>
      </c>
      <c r="D60" vm="576">
        <f ca="1"/>
        <v>137.49</v>
      </c>
      <c r="E60">
        <f t="shared" ca="1" si="1"/>
        <v>3.5033939128532093E-3</v>
      </c>
      <c r="F60" vm="577">
        <f ca="1"/>
        <v>424.83</v>
      </c>
      <c r="G60">
        <f t="shared" ca="1" si="2"/>
        <v>-1.3239495505539657E-2</v>
      </c>
      <c r="H60" vm="578">
        <f ca="1"/>
        <v>591.24</v>
      </c>
      <c r="I60">
        <f t="shared" ca="1" si="3"/>
        <v>-1.4287857821643416E-2</v>
      </c>
      <c r="J60" vm="579">
        <f ca="1"/>
        <v>191.24</v>
      </c>
      <c r="K60">
        <f t="shared" ca="1" si="4"/>
        <v>-7.8854534135711866E-3</v>
      </c>
      <c r="L60" vm="580">
        <f ca="1"/>
        <v>588.22</v>
      </c>
      <c r="M60">
        <f t="shared" ca="1" si="5"/>
        <v>-1.1411572914740868E-2</v>
      </c>
      <c r="N60" vm="580">
        <f ca="1"/>
        <v>588.22</v>
      </c>
      <c r="O60">
        <f t="shared" ca="1" si="6"/>
        <v>-1.1411572914740868E-2</v>
      </c>
      <c r="P60" vm="581">
        <f ca="1"/>
        <v>240.63</v>
      </c>
      <c r="Q60">
        <f t="shared" ca="1" si="7"/>
        <v>-3.1897265948633399E-3</v>
      </c>
      <c r="R60" vm="582">
        <f ca="1"/>
        <v>74.819999999999993</v>
      </c>
      <c r="S60">
        <f t="shared" ca="1" si="8"/>
        <v>1.3134732566012173E-2</v>
      </c>
      <c r="T60" vm="583">
        <f ca="1"/>
        <v>92.62</v>
      </c>
      <c r="U60">
        <f t="shared" ca="1" si="9"/>
        <v>5.8644656820157062E-3</v>
      </c>
    </row>
    <row r="61" spans="1:21" x14ac:dyDescent="0.2">
      <c r="A61" vm="584">
        <f ca="1"/>
        <v>45657</v>
      </c>
      <c r="B61" vm="585">
        <f ca="1"/>
        <v>250.42</v>
      </c>
      <c r="C61">
        <f t="shared" ca="1" si="0"/>
        <v>-7.0578905630452066E-3</v>
      </c>
      <c r="D61" vm="586">
        <f ca="1"/>
        <v>134.29</v>
      </c>
      <c r="E61">
        <f t="shared" ca="1" si="1"/>
        <v>-2.3274419957815238E-2</v>
      </c>
      <c r="F61" vm="587">
        <f ca="1"/>
        <v>421.5</v>
      </c>
      <c r="G61">
        <f t="shared" ca="1" si="2"/>
        <v>-7.838429489442798E-3</v>
      </c>
      <c r="H61" vm="588">
        <f ca="1"/>
        <v>585.51</v>
      </c>
      <c r="I61">
        <f t="shared" ca="1" si="3"/>
        <v>-9.691495839253125E-3</v>
      </c>
      <c r="J61" vm="589">
        <f ca="1"/>
        <v>189.3</v>
      </c>
      <c r="K61">
        <f t="shared" ca="1" si="4"/>
        <v>-1.0144321271700469E-2</v>
      </c>
      <c r="L61" vm="590">
        <f ca="1"/>
        <v>586.08000000000004</v>
      </c>
      <c r="M61">
        <f t="shared" ca="1" si="5"/>
        <v>-3.6380945904593287E-3</v>
      </c>
      <c r="N61" vm="590">
        <f ca="1"/>
        <v>586.08000000000004</v>
      </c>
      <c r="O61">
        <f t="shared" ca="1" si="6"/>
        <v>-3.6380945904593287E-3</v>
      </c>
      <c r="P61" vm="591">
        <f ca="1"/>
        <v>242.13</v>
      </c>
      <c r="Q61">
        <f t="shared" ca="1" si="7"/>
        <v>6.233636703652911E-3</v>
      </c>
      <c r="R61" vm="592">
        <f ca="1"/>
        <v>75.55</v>
      </c>
      <c r="S61">
        <f t="shared" ca="1" si="8"/>
        <v>9.7567495322106925E-3</v>
      </c>
      <c r="T61" vm="593">
        <f ca="1"/>
        <v>92.45</v>
      </c>
      <c r="U61">
        <f t="shared" ca="1" si="9"/>
        <v>-1.835456704815393E-3</v>
      </c>
    </row>
    <row r="62" spans="1:21" x14ac:dyDescent="0.2">
      <c r="A62" vm="594">
        <f ca="1"/>
        <v>45659</v>
      </c>
      <c r="B62" vm="595">
        <f ca="1"/>
        <v>243.85</v>
      </c>
      <c r="C62">
        <f t="shared" ca="1" si="0"/>
        <v>-2.6235923648270879E-2</v>
      </c>
      <c r="D62" vm="596">
        <f ca="1"/>
        <v>138.31</v>
      </c>
      <c r="E62">
        <f t="shared" ca="1" si="1"/>
        <v>2.9935214833569219E-2</v>
      </c>
      <c r="F62" vm="597">
        <f ca="1"/>
        <v>418.58</v>
      </c>
      <c r="G62">
        <f t="shared" ca="1" si="2"/>
        <v>-6.9276393831554355E-3</v>
      </c>
      <c r="H62" vm="598">
        <f ca="1"/>
        <v>599.24</v>
      </c>
      <c r="I62">
        <f t="shared" ca="1" si="3"/>
        <v>2.344964219227685E-2</v>
      </c>
      <c r="J62" vm="599">
        <f ca="1"/>
        <v>189.43</v>
      </c>
      <c r="K62">
        <f t="shared" ca="1" si="4"/>
        <v>6.8674062334915715E-4</v>
      </c>
      <c r="L62" vm="600">
        <f ca="1"/>
        <v>584.64</v>
      </c>
      <c r="M62">
        <f t="shared" ca="1" si="5"/>
        <v>-2.4570024570025497E-3</v>
      </c>
      <c r="N62" vm="600">
        <f ca="1"/>
        <v>584.64</v>
      </c>
      <c r="O62">
        <f t="shared" ca="1" si="6"/>
        <v>-2.4570024570025497E-3</v>
      </c>
      <c r="P62" vm="601">
        <f ca="1"/>
        <v>245.42</v>
      </c>
      <c r="Q62">
        <f t="shared" ca="1" si="7"/>
        <v>1.3587742122000545E-2</v>
      </c>
      <c r="R62" vm="602">
        <f ca="1"/>
        <v>76.930000000000007</v>
      </c>
      <c r="S62">
        <f t="shared" ca="1" si="8"/>
        <v>1.8266048974189406E-2</v>
      </c>
      <c r="T62" vm="603">
        <f ca="1"/>
        <v>92.5</v>
      </c>
      <c r="U62">
        <f t="shared" ca="1" si="9"/>
        <v>5.4083288263923372E-4</v>
      </c>
    </row>
    <row r="63" spans="1:21" x14ac:dyDescent="0.2">
      <c r="A63" vm="604">
        <f ca="1"/>
        <v>45660</v>
      </c>
      <c r="B63" vm="605">
        <f ca="1"/>
        <v>243.36</v>
      </c>
      <c r="C63">
        <f t="shared" ca="1" si="0"/>
        <v>-2.0094320278859165E-3</v>
      </c>
      <c r="D63" vm="606">
        <f ca="1"/>
        <v>144.47</v>
      </c>
      <c r="E63">
        <f t="shared" ca="1" si="1"/>
        <v>4.4537632853734341E-2</v>
      </c>
      <c r="F63" vm="607">
        <f ca="1"/>
        <v>423.35</v>
      </c>
      <c r="G63">
        <f t="shared" ca="1" si="2"/>
        <v>1.1395671078408044E-2</v>
      </c>
      <c r="H63" vm="608">
        <f ca="1"/>
        <v>604.63</v>
      </c>
      <c r="I63">
        <f t="shared" ca="1" si="3"/>
        <v>8.9947266537614076E-3</v>
      </c>
      <c r="J63" vm="609">
        <f ca="1"/>
        <v>191.79</v>
      </c>
      <c r="K63">
        <f t="shared" ca="1" si="4"/>
        <v>1.2458427915324843E-2</v>
      </c>
      <c r="L63" vm="610">
        <f ca="1"/>
        <v>591.95000000000005</v>
      </c>
      <c r="M63">
        <f t="shared" ca="1" si="5"/>
        <v>1.2503420908593424E-2</v>
      </c>
      <c r="N63" vm="610">
        <f ca="1"/>
        <v>591.95000000000005</v>
      </c>
      <c r="O63">
        <f t="shared" ca="1" si="6"/>
        <v>1.2503420908593424E-2</v>
      </c>
      <c r="P63" vm="379">
        <f ca="1"/>
        <v>243.49</v>
      </c>
      <c r="Q63">
        <f t="shared" ca="1" si="7"/>
        <v>-7.8640697579658476E-3</v>
      </c>
      <c r="R63" vm="611">
        <f ca="1"/>
        <v>77.92</v>
      </c>
      <c r="S63">
        <f t="shared" ca="1" si="8"/>
        <v>1.286884180423755E-2</v>
      </c>
      <c r="T63" vm="612">
        <f ca="1"/>
        <v>92.35</v>
      </c>
      <c r="U63">
        <f t="shared" ca="1" si="9"/>
        <v>-1.6216216216216831E-3</v>
      </c>
    </row>
    <row r="64" spans="1:21" x14ac:dyDescent="0.2">
      <c r="A64" vm="613">
        <f ca="1"/>
        <v>45663</v>
      </c>
      <c r="B64" vm="614">
        <f ca="1"/>
        <v>245</v>
      </c>
      <c r="C64">
        <f t="shared" ca="1" si="0"/>
        <v>6.7389875082182211E-3</v>
      </c>
      <c r="D64" vm="615">
        <f ca="1"/>
        <v>149.43</v>
      </c>
      <c r="E64">
        <f t="shared" ca="1" si="1"/>
        <v>3.4332387346854072E-2</v>
      </c>
      <c r="F64" vm="616">
        <f ca="1"/>
        <v>427.85</v>
      </c>
      <c r="G64">
        <f t="shared" ca="1" si="2"/>
        <v>1.0629502775481279E-2</v>
      </c>
      <c r="H64" vm="617">
        <f ca="1"/>
        <v>630.20000000000005</v>
      </c>
      <c r="I64">
        <f t="shared" ca="1" si="3"/>
        <v>4.2290326315267274E-2</v>
      </c>
      <c r="J64" vm="618">
        <f ca="1"/>
        <v>196.87</v>
      </c>
      <c r="K64">
        <f t="shared" ca="1" si="4"/>
        <v>2.6487303821888589E-2</v>
      </c>
      <c r="L64" vm="619">
        <f ca="1"/>
        <v>595.36</v>
      </c>
      <c r="M64">
        <f t="shared" ca="1" si="5"/>
        <v>5.7606216741278278E-3</v>
      </c>
      <c r="N64" vm="619">
        <f ca="1"/>
        <v>595.36</v>
      </c>
      <c r="O64">
        <f t="shared" ca="1" si="6"/>
        <v>5.7606216741278278E-3</v>
      </c>
      <c r="P64" vm="620">
        <f ca="1"/>
        <v>243.19</v>
      </c>
      <c r="Q64">
        <f t="shared" ca="1" si="7"/>
        <v>-1.2320834531192712E-3</v>
      </c>
      <c r="R64" vm="621">
        <f ca="1"/>
        <v>77.3</v>
      </c>
      <c r="S64">
        <f t="shared" ca="1" si="8"/>
        <v>-7.9568788501027284E-3</v>
      </c>
      <c r="T64" vm="622">
        <f ca="1"/>
        <v>92.26</v>
      </c>
      <c r="U64">
        <f t="shared" ca="1" si="9"/>
        <v>-9.7455332972375965E-4</v>
      </c>
    </row>
    <row r="65" spans="1:21" x14ac:dyDescent="0.2">
      <c r="A65" vm="623">
        <f ca="1"/>
        <v>45664</v>
      </c>
      <c r="B65" vm="624">
        <f ca="1"/>
        <v>242.21</v>
      </c>
      <c r="C65">
        <f t="shared" ca="1" si="0"/>
        <v>-1.1387755102040783E-2</v>
      </c>
      <c r="D65" vm="625">
        <f ca="1"/>
        <v>140.13999999999999</v>
      </c>
      <c r="E65">
        <f t="shared" ca="1" si="1"/>
        <v>-6.2169577728702539E-2</v>
      </c>
      <c r="F65" vm="626">
        <f ca="1"/>
        <v>422.37</v>
      </c>
      <c r="G65">
        <f t="shared" ca="1" si="2"/>
        <v>-1.2808227182423788E-2</v>
      </c>
      <c r="H65" vm="627">
        <f ca="1"/>
        <v>617.89</v>
      </c>
      <c r="I65">
        <f t="shared" ca="1" si="3"/>
        <v>-1.9533481434465341E-2</v>
      </c>
      <c r="J65" vm="628">
        <f ca="1"/>
        <v>195.49</v>
      </c>
      <c r="K65">
        <f t="shared" ca="1" si="4"/>
        <v>-7.0097018336973405E-3</v>
      </c>
      <c r="L65" vm="629">
        <f ca="1"/>
        <v>588.63</v>
      </c>
      <c r="M65">
        <f t="shared" ca="1" si="5"/>
        <v>-1.1304084923407716E-2</v>
      </c>
      <c r="N65" vm="629">
        <f ca="1"/>
        <v>588.63</v>
      </c>
      <c r="O65">
        <f t="shared" ca="1" si="6"/>
        <v>-1.1304084923407716E-2</v>
      </c>
      <c r="P65" vm="630">
        <f ca="1"/>
        <v>244.56</v>
      </c>
      <c r="Q65">
        <f t="shared" ca="1" si="7"/>
        <v>5.6334553229984976E-3</v>
      </c>
      <c r="R65" vm="631">
        <f ca="1"/>
        <v>78.17</v>
      </c>
      <c r="S65">
        <f t="shared" ca="1" si="8"/>
        <v>1.1254851228978067E-2</v>
      </c>
      <c r="T65" vm="632">
        <f ca="1"/>
        <v>91.84</v>
      </c>
      <c r="U65">
        <f t="shared" ca="1" si="9"/>
        <v>-4.5523520485584402E-3</v>
      </c>
    </row>
    <row r="66" spans="1:21" x14ac:dyDescent="0.2">
      <c r="A66" vm="633">
        <f ca="1"/>
        <v>45665</v>
      </c>
      <c r="B66" vm="634">
        <f ca="1"/>
        <v>242.7</v>
      </c>
      <c r="C66">
        <f t="shared" ca="1" si="0"/>
        <v>2.0230378597084374E-3</v>
      </c>
      <c r="D66" vm="635">
        <f ca="1"/>
        <v>140.11000000000001</v>
      </c>
      <c r="E66">
        <f t="shared" ca="1" si="1"/>
        <v>-2.1407164264287653E-4</v>
      </c>
      <c r="F66" vm="636">
        <f ca="1"/>
        <v>424.56</v>
      </c>
      <c r="G66">
        <f t="shared" ca="1" si="2"/>
        <v>5.1850273456921598E-3</v>
      </c>
      <c r="H66" vm="637">
        <f ca="1"/>
        <v>610.72</v>
      </c>
      <c r="I66">
        <f t="shared" ca="1" si="3"/>
        <v>-1.1604007185744969E-2</v>
      </c>
      <c r="J66" vm="638">
        <f ca="1"/>
        <v>193.95</v>
      </c>
      <c r="K66">
        <f t="shared" ca="1" si="4"/>
        <v>-7.8776408000410265E-3</v>
      </c>
      <c r="L66" vm="639">
        <f ca="1"/>
        <v>589.49</v>
      </c>
      <c r="M66">
        <f t="shared" ca="1" si="5"/>
        <v>1.4610196558109741E-3</v>
      </c>
      <c r="N66" vm="639">
        <f ca="1"/>
        <v>589.49</v>
      </c>
      <c r="O66">
        <f t="shared" ca="1" si="6"/>
        <v>1.4610196558109741E-3</v>
      </c>
      <c r="P66" vm="640">
        <f ca="1"/>
        <v>245.86</v>
      </c>
      <c r="Q66">
        <f t="shared" ca="1" si="7"/>
        <v>5.3156689564933402E-3</v>
      </c>
      <c r="R66" vm="621">
        <f ca="1"/>
        <v>77.3</v>
      </c>
      <c r="S66">
        <f t="shared" ca="1" si="8"/>
        <v>-1.1129589356530696E-2</v>
      </c>
      <c r="T66" vm="641">
        <f ca="1"/>
        <v>92</v>
      </c>
      <c r="U66">
        <f t="shared" ca="1" si="9"/>
        <v>1.7421602787456073E-3</v>
      </c>
    </row>
    <row r="67" spans="1:21" x14ac:dyDescent="0.2">
      <c r="A67" vm="642">
        <f ca="1"/>
        <v>45667</v>
      </c>
      <c r="B67" vm="643">
        <f ca="1"/>
        <v>236.85</v>
      </c>
      <c r="C67">
        <f t="shared" ca="1" si="0"/>
        <v>-2.4103831891223712E-2</v>
      </c>
      <c r="D67" vm="644">
        <f ca="1"/>
        <v>135.91</v>
      </c>
      <c r="E67">
        <f t="shared" ca="1" si="1"/>
        <v>-2.997644707729653E-2</v>
      </c>
      <c r="F67" vm="645">
        <f ca="1"/>
        <v>418.95</v>
      </c>
      <c r="G67">
        <f t="shared" ca="1" si="2"/>
        <v>-1.3213680045223322E-2</v>
      </c>
      <c r="H67" vm="646">
        <f ca="1"/>
        <v>615.86</v>
      </c>
      <c r="I67">
        <f t="shared" ca="1" si="3"/>
        <v>8.4162955200418957E-3</v>
      </c>
      <c r="J67" vm="647">
        <f ca="1"/>
        <v>192.04</v>
      </c>
      <c r="K67">
        <f t="shared" ca="1" si="4"/>
        <v>-9.8478989430265361E-3</v>
      </c>
      <c r="L67" vm="648">
        <f ca="1"/>
        <v>580.49</v>
      </c>
      <c r="M67">
        <f t="shared" ca="1" si="5"/>
        <v>-1.5267434562079085E-2</v>
      </c>
      <c r="N67" vm="648">
        <f ca="1"/>
        <v>580.49</v>
      </c>
      <c r="O67">
        <f t="shared" ca="1" si="6"/>
        <v>-1.5267434562079085E-2</v>
      </c>
      <c r="P67" vm="649">
        <f ca="1"/>
        <v>248.21</v>
      </c>
      <c r="Q67">
        <f t="shared" ca="1" si="7"/>
        <v>9.5582852029610105E-3</v>
      </c>
      <c r="R67" vm="650">
        <f ca="1"/>
        <v>80.64</v>
      </c>
      <c r="S67">
        <f t="shared" ca="1" si="8"/>
        <v>4.3208279430789177E-2</v>
      </c>
      <c r="T67" vm="651">
        <f ca="1"/>
        <v>91.33</v>
      </c>
      <c r="U67">
        <f t="shared" ca="1" si="9"/>
        <v>-7.2826086956521924E-3</v>
      </c>
    </row>
    <row r="68" spans="1:21" x14ac:dyDescent="0.2">
      <c r="A68" vm="652">
        <f ca="1"/>
        <v>45670</v>
      </c>
      <c r="B68" vm="653">
        <f ca="1"/>
        <v>234.4</v>
      </c>
      <c r="C68">
        <f t="shared" ca="1" si="0"/>
        <v>-1.0344099641123025E-2</v>
      </c>
      <c r="D68" vm="654">
        <f ca="1"/>
        <v>133.22999999999999</v>
      </c>
      <c r="E68">
        <f t="shared" ca="1" si="1"/>
        <v>-1.9718931645942218E-2</v>
      </c>
      <c r="F68" vm="655">
        <f ca="1"/>
        <v>417.19</v>
      </c>
      <c r="G68">
        <f t="shared" ca="1" si="2"/>
        <v>-4.2009786370688414E-3</v>
      </c>
      <c r="H68" vm="656">
        <f ca="1"/>
        <v>608.33000000000004</v>
      </c>
      <c r="I68">
        <f t="shared" ca="1" si="3"/>
        <v>-1.2226804793297134E-2</v>
      </c>
      <c r="J68" vm="657">
        <f ca="1"/>
        <v>191.01</v>
      </c>
      <c r="K68">
        <f t="shared" ca="1" si="4"/>
        <v>-5.3634659445948819E-3</v>
      </c>
      <c r="L68" vm="658">
        <f ca="1"/>
        <v>581.39</v>
      </c>
      <c r="M68">
        <f t="shared" ca="1" si="5"/>
        <v>1.5504143051559497E-3</v>
      </c>
      <c r="N68" vm="658">
        <f ca="1"/>
        <v>581.39</v>
      </c>
      <c r="O68">
        <f t="shared" ca="1" si="6"/>
        <v>1.5504143051559497E-3</v>
      </c>
      <c r="P68" vm="659">
        <f ca="1"/>
        <v>245.74</v>
      </c>
      <c r="Q68">
        <f t="shared" ca="1" si="7"/>
        <v>-9.9512509568510481E-3</v>
      </c>
      <c r="R68" vm="660">
        <f ca="1"/>
        <v>82.23</v>
      </c>
      <c r="S68">
        <f t="shared" ca="1" si="8"/>
        <v>1.9717261904761946E-2</v>
      </c>
      <c r="T68" vm="661">
        <f ca="1"/>
        <v>91.17</v>
      </c>
      <c r="U68">
        <f t="shared" ca="1" si="9"/>
        <v>-1.7518887550640161E-3</v>
      </c>
    </row>
    <row r="69" spans="1:21" x14ac:dyDescent="0.2">
      <c r="A69" vm="662">
        <f ca="1"/>
        <v>45671</v>
      </c>
      <c r="B69" vm="663">
        <f ca="1"/>
        <v>233.28</v>
      </c>
      <c r="C69">
        <f t="shared" ref="C69:C132" ca="1" si="10">(B69-B68)/B68</f>
        <v>-4.7781569965870503E-3</v>
      </c>
      <c r="D69" vm="664">
        <f ca="1"/>
        <v>131.76</v>
      </c>
      <c r="E69">
        <f t="shared" ref="E69:E132" ca="1" si="11">(D69-D68)/D68</f>
        <v>-1.1033551002026564E-2</v>
      </c>
      <c r="F69" vm="665">
        <f ca="1"/>
        <v>415.67</v>
      </c>
      <c r="G69">
        <f t="shared" ref="G69:G132" ca="1" si="12">(F69-F68)/F68</f>
        <v>-3.6434238596322584E-3</v>
      </c>
      <c r="H69" vm="666">
        <f ca="1"/>
        <v>594.25</v>
      </c>
      <c r="I69">
        <f t="shared" ref="I69:I132" ca="1" si="13">(H69-H68)/H68</f>
        <v>-2.3145332303190769E-2</v>
      </c>
      <c r="J69" vm="667">
        <f ca="1"/>
        <v>189.66</v>
      </c>
      <c r="K69">
        <f t="shared" ref="K69:K132" ca="1" si="14">(J69-J68)/J68</f>
        <v>-7.0676927909533241E-3</v>
      </c>
      <c r="L69" vm="668">
        <f ca="1"/>
        <v>582.19000000000005</v>
      </c>
      <c r="M69">
        <f t="shared" ref="M69:M132" ca="1" si="15">(L69-L68)/L68</f>
        <v>1.3760126593165831E-3</v>
      </c>
      <c r="N69" vm="668">
        <f ca="1"/>
        <v>582.19000000000005</v>
      </c>
      <c r="O69">
        <f t="shared" ref="O69:O132" ca="1" si="16">(N69-N68)/N68</f>
        <v>1.3760126593165831E-3</v>
      </c>
      <c r="P69" vm="669">
        <f ca="1"/>
        <v>247.03</v>
      </c>
      <c r="Q69">
        <f t="shared" ref="Q69:Q132" ca="1" si="17">(P69-P68)/P68</f>
        <v>5.2494506388865957E-3</v>
      </c>
      <c r="R69" vm="670">
        <f ca="1"/>
        <v>81.67</v>
      </c>
      <c r="S69">
        <f t="shared" ref="S69:S132" ca="1" si="18">(R69-R68)/R68</f>
        <v>-6.8101666058616346E-3</v>
      </c>
      <c r="T69" vm="671">
        <f ca="1"/>
        <v>91.2</v>
      </c>
      <c r="U69">
        <f t="shared" ref="U69:U132" ca="1" si="19">(T69-T68)/T68</f>
        <v>3.2905561039816975E-4</v>
      </c>
    </row>
    <row r="70" spans="1:21" x14ac:dyDescent="0.2">
      <c r="A70" vm="672">
        <f ca="1"/>
        <v>45672</v>
      </c>
      <c r="B70" vm="673">
        <f ca="1"/>
        <v>237.87</v>
      </c>
      <c r="C70">
        <f t="shared" ca="1" si="10"/>
        <v>1.967592592592594E-2</v>
      </c>
      <c r="D70" vm="674">
        <f ca="1"/>
        <v>136.24</v>
      </c>
      <c r="E70">
        <f t="shared" ca="1" si="11"/>
        <v>3.4001214329083325E-2</v>
      </c>
      <c r="F70" vm="675">
        <f ca="1"/>
        <v>426.31</v>
      </c>
      <c r="G70">
        <f t="shared" ca="1" si="12"/>
        <v>2.559722857074118E-2</v>
      </c>
      <c r="H70" vm="676">
        <f ca="1"/>
        <v>617.12</v>
      </c>
      <c r="I70">
        <f t="shared" ca="1" si="13"/>
        <v>3.8485485906604971E-2</v>
      </c>
      <c r="J70" vm="677">
        <f ca="1"/>
        <v>195.55</v>
      </c>
      <c r="K70">
        <f t="shared" ca="1" si="14"/>
        <v>3.1055573130865839E-2</v>
      </c>
      <c r="L70" vm="678">
        <f ca="1"/>
        <v>592.78</v>
      </c>
      <c r="M70">
        <f t="shared" ca="1" si="15"/>
        <v>1.8189937992751364E-2</v>
      </c>
      <c r="N70" vm="678">
        <f ca="1"/>
        <v>592.78</v>
      </c>
      <c r="O70">
        <f t="shared" ca="1" si="16"/>
        <v>1.8189937992751364E-2</v>
      </c>
      <c r="P70" vm="679">
        <f ca="1"/>
        <v>248.88</v>
      </c>
      <c r="Q70">
        <f t="shared" ca="1" si="17"/>
        <v>7.4889689511395147E-3</v>
      </c>
      <c r="R70" vm="680">
        <f ca="1"/>
        <v>84.34</v>
      </c>
      <c r="S70">
        <f t="shared" ca="1" si="18"/>
        <v>3.2692543161503634E-2</v>
      </c>
      <c r="T70" vm="681">
        <f ca="1"/>
        <v>92.16</v>
      </c>
      <c r="U70">
        <f t="shared" ca="1" si="19"/>
        <v>1.0526315789473615E-2</v>
      </c>
    </row>
    <row r="71" spans="1:21" x14ac:dyDescent="0.2">
      <c r="A71" vm="682">
        <f ca="1"/>
        <v>45673</v>
      </c>
      <c r="B71" vm="683">
        <f ca="1"/>
        <v>228.26</v>
      </c>
      <c r="C71">
        <f t="shared" ca="1" si="10"/>
        <v>-4.0400218606802089E-2</v>
      </c>
      <c r="D71" vm="684">
        <f ca="1"/>
        <v>133.57</v>
      </c>
      <c r="E71">
        <f t="shared" ca="1" si="11"/>
        <v>-1.9597768643570285E-2</v>
      </c>
      <c r="F71" vm="685">
        <f ca="1"/>
        <v>424.58</v>
      </c>
      <c r="G71">
        <f t="shared" ca="1" si="12"/>
        <v>-4.058079801083761E-3</v>
      </c>
      <c r="H71" vm="686">
        <f ca="1"/>
        <v>611.29999999999995</v>
      </c>
      <c r="I71">
        <f t="shared" ca="1" si="13"/>
        <v>-9.4309048483277973E-3</v>
      </c>
      <c r="J71" vm="687">
        <f ca="1"/>
        <v>192.91</v>
      </c>
      <c r="K71">
        <f t="shared" ca="1" si="14"/>
        <v>-1.3500383533623189E-2</v>
      </c>
      <c r="L71" vm="688">
        <f ca="1"/>
        <v>591.64</v>
      </c>
      <c r="M71">
        <f t="shared" ca="1" si="15"/>
        <v>-1.9231418064037018E-3</v>
      </c>
      <c r="N71" vm="688">
        <f ca="1"/>
        <v>591.64</v>
      </c>
      <c r="O71">
        <f t="shared" ca="1" si="16"/>
        <v>-1.9231418064037018E-3</v>
      </c>
      <c r="P71" vm="689">
        <f ca="1"/>
        <v>250.6</v>
      </c>
      <c r="Q71">
        <f t="shared" ca="1" si="17"/>
        <v>6.9109611057537722E-3</v>
      </c>
      <c r="R71" vm="690">
        <f ca="1"/>
        <v>82.94</v>
      </c>
      <c r="S71">
        <f t="shared" ca="1" si="18"/>
        <v>-1.6599478302110574E-2</v>
      </c>
      <c r="T71" vm="691">
        <f ca="1"/>
        <v>92.38</v>
      </c>
      <c r="U71">
        <f t="shared" ca="1" si="19"/>
        <v>2.3871527777777654E-3</v>
      </c>
    </row>
    <row r="72" spans="1:21" x14ac:dyDescent="0.2">
      <c r="A72" vm="692">
        <f ca="1"/>
        <v>45674</v>
      </c>
      <c r="B72" vm="693">
        <f ca="1"/>
        <v>229.98</v>
      </c>
      <c r="C72">
        <f t="shared" ca="1" si="10"/>
        <v>7.5352668010163805E-3</v>
      </c>
      <c r="D72" vm="694">
        <f ca="1"/>
        <v>137.71</v>
      </c>
      <c r="E72">
        <f t="shared" ca="1" si="11"/>
        <v>3.0994983903571274E-2</v>
      </c>
      <c r="F72" vm="695">
        <f ca="1"/>
        <v>429.03</v>
      </c>
      <c r="G72">
        <f t="shared" ca="1" si="12"/>
        <v>1.0480945875924417E-2</v>
      </c>
      <c r="H72" vm="696">
        <f ca="1"/>
        <v>612.77</v>
      </c>
      <c r="I72">
        <f t="shared" ca="1" si="13"/>
        <v>2.4047112710617168E-3</v>
      </c>
      <c r="J72" vm="697">
        <f ca="1"/>
        <v>196</v>
      </c>
      <c r="K72">
        <f t="shared" ca="1" si="14"/>
        <v>1.6017832149707135E-2</v>
      </c>
      <c r="L72" vm="698">
        <f ca="1"/>
        <v>597.58000000000004</v>
      </c>
      <c r="M72">
        <f t="shared" ca="1" si="15"/>
        <v>1.0039889121763327E-2</v>
      </c>
      <c r="N72" vm="698">
        <f ca="1"/>
        <v>597.58000000000004</v>
      </c>
      <c r="O72">
        <f t="shared" ca="1" si="16"/>
        <v>1.0039889121763327E-2</v>
      </c>
      <c r="P72" vm="699">
        <f ca="1"/>
        <v>249.27</v>
      </c>
      <c r="Q72">
        <f t="shared" ca="1" si="17"/>
        <v>-5.3072625698323385E-3</v>
      </c>
      <c r="R72" vm="700">
        <f ca="1"/>
        <v>82.52</v>
      </c>
      <c r="S72">
        <f t="shared" ca="1" si="18"/>
        <v>-5.0639016156257743E-3</v>
      </c>
      <c r="T72" vm="593">
        <f ca="1"/>
        <v>92.45</v>
      </c>
      <c r="U72">
        <f t="shared" ca="1" si="19"/>
        <v>7.5773977051317811E-4</v>
      </c>
    </row>
    <row r="73" spans="1:21" x14ac:dyDescent="0.2">
      <c r="A73" vm="701">
        <f ca="1"/>
        <v>45678</v>
      </c>
      <c r="B73" vm="702">
        <f ca="1"/>
        <v>222.64</v>
      </c>
      <c r="C73">
        <f t="shared" ca="1" si="10"/>
        <v>-3.1915818766849305E-2</v>
      </c>
      <c r="D73" vm="703">
        <f ca="1"/>
        <v>140.83000000000001</v>
      </c>
      <c r="E73">
        <f t="shared" ca="1" si="11"/>
        <v>2.2656306731537321E-2</v>
      </c>
      <c r="F73" vm="704">
        <f ca="1"/>
        <v>428.5</v>
      </c>
      <c r="G73">
        <f t="shared" ca="1" si="12"/>
        <v>-1.235344847679586E-3</v>
      </c>
      <c r="H73" vm="705">
        <f ca="1"/>
        <v>616.46</v>
      </c>
      <c r="I73">
        <f t="shared" ca="1" si="13"/>
        <v>6.0218352726146103E-3</v>
      </c>
      <c r="J73" vm="706">
        <f ca="1"/>
        <v>198.05</v>
      </c>
      <c r="K73">
        <f t="shared" ca="1" si="14"/>
        <v>1.0459183673469446E-2</v>
      </c>
      <c r="L73" vm="707">
        <f ca="1"/>
        <v>603.04999999999995</v>
      </c>
      <c r="M73">
        <f t="shared" ca="1" si="15"/>
        <v>9.1535861307271219E-3</v>
      </c>
      <c r="N73" vm="707">
        <f ca="1"/>
        <v>603.04999999999995</v>
      </c>
      <c r="O73">
        <f t="shared" ca="1" si="16"/>
        <v>9.1535861307271219E-3</v>
      </c>
      <c r="P73" vm="708">
        <f ca="1"/>
        <v>253.13</v>
      </c>
      <c r="Q73">
        <f t="shared" ca="1" si="17"/>
        <v>1.5485216833152746E-2</v>
      </c>
      <c r="R73" vm="709">
        <f ca="1"/>
        <v>81.11</v>
      </c>
      <c r="S73">
        <f t="shared" ca="1" si="18"/>
        <v>-1.7086766844401316E-2</v>
      </c>
      <c r="T73" vm="710">
        <f ca="1"/>
        <v>92.76</v>
      </c>
      <c r="U73">
        <f t="shared" ca="1" si="19"/>
        <v>3.3531638723634642E-3</v>
      </c>
    </row>
    <row r="74" spans="1:21" x14ac:dyDescent="0.2">
      <c r="A74" vm="711">
        <f ca="1"/>
        <v>45679</v>
      </c>
      <c r="B74" vm="712">
        <f ca="1"/>
        <v>223.83</v>
      </c>
      <c r="C74">
        <f t="shared" ca="1" si="10"/>
        <v>5.3449514911966681E-3</v>
      </c>
      <c r="D74" vm="713">
        <f ca="1"/>
        <v>147.07</v>
      </c>
      <c r="E74">
        <f t="shared" ca="1" si="11"/>
        <v>4.4308741035290637E-2</v>
      </c>
      <c r="F74" vm="714">
        <f ca="1"/>
        <v>446.2</v>
      </c>
      <c r="G74">
        <f t="shared" ca="1" si="12"/>
        <v>4.1306884480746764E-2</v>
      </c>
      <c r="H74" vm="715">
        <f ca="1"/>
        <v>623.5</v>
      </c>
      <c r="I74">
        <f t="shared" ca="1" si="13"/>
        <v>1.1420043474029074E-2</v>
      </c>
      <c r="J74" vm="716">
        <f ca="1"/>
        <v>198.37</v>
      </c>
      <c r="K74">
        <f t="shared" ca="1" si="14"/>
        <v>1.6157535975763351E-3</v>
      </c>
      <c r="L74" vm="717">
        <f ca="1"/>
        <v>606.44000000000005</v>
      </c>
      <c r="M74">
        <f t="shared" ca="1" si="15"/>
        <v>5.621424425835503E-3</v>
      </c>
      <c r="N74" vm="717">
        <f ca="1"/>
        <v>606.44000000000005</v>
      </c>
      <c r="O74">
        <f t="shared" ca="1" si="16"/>
        <v>5.621424425835503E-3</v>
      </c>
      <c r="P74" vm="718">
        <f ca="1"/>
        <v>254.43</v>
      </c>
      <c r="Q74">
        <f t="shared" ca="1" si="17"/>
        <v>5.13570102318971E-3</v>
      </c>
      <c r="R74" vm="719">
        <f ca="1"/>
        <v>80.430000000000007</v>
      </c>
      <c r="S74">
        <f t="shared" ca="1" si="18"/>
        <v>-8.383676488718933E-3</v>
      </c>
      <c r="T74" vm="720">
        <f ca="1"/>
        <v>92.52</v>
      </c>
      <c r="U74">
        <f t="shared" ca="1" si="19"/>
        <v>-2.5873221216042375E-3</v>
      </c>
    </row>
    <row r="75" spans="1:21" x14ac:dyDescent="0.2">
      <c r="A75" vm="721">
        <f ca="1"/>
        <v>45680</v>
      </c>
      <c r="B75" vm="722">
        <f ca="1"/>
        <v>223.66</v>
      </c>
      <c r="C75">
        <f t="shared" ca="1" si="10"/>
        <v>-7.5950498145921418E-4</v>
      </c>
      <c r="D75" vm="723">
        <f ca="1"/>
        <v>147.22</v>
      </c>
      <c r="E75">
        <f t="shared" ca="1" si="11"/>
        <v>1.0199224858911109E-3</v>
      </c>
      <c r="F75" vm="724">
        <f ca="1"/>
        <v>446.71</v>
      </c>
      <c r="G75">
        <f t="shared" ca="1" si="12"/>
        <v>1.1429852084266941E-3</v>
      </c>
      <c r="H75" vm="725">
        <f ca="1"/>
        <v>636.45000000000005</v>
      </c>
      <c r="I75">
        <f t="shared" ca="1" si="13"/>
        <v>2.0769847634322446E-2</v>
      </c>
      <c r="J75" vm="726">
        <f ca="1"/>
        <v>197.98</v>
      </c>
      <c r="K75">
        <f t="shared" ca="1" si="14"/>
        <v>-1.9660230881686485E-3</v>
      </c>
      <c r="L75" vm="727">
        <f ca="1"/>
        <v>609.75</v>
      </c>
      <c r="M75">
        <f t="shared" ca="1" si="15"/>
        <v>5.4580832398917374E-3</v>
      </c>
      <c r="N75" vm="727">
        <f ca="1"/>
        <v>609.75</v>
      </c>
      <c r="O75">
        <f t="shared" ca="1" si="16"/>
        <v>5.4580832398917374E-3</v>
      </c>
      <c r="P75" vm="728">
        <f ca="1"/>
        <v>254.07</v>
      </c>
      <c r="Q75">
        <f t="shared" ca="1" si="17"/>
        <v>-1.414927484966449E-3</v>
      </c>
      <c r="R75" vm="729">
        <f ca="1"/>
        <v>79.209999999999994</v>
      </c>
      <c r="S75">
        <f t="shared" ca="1" si="18"/>
        <v>-1.5168469476563633E-2</v>
      </c>
      <c r="T75" vm="730">
        <f ca="1"/>
        <v>92.28</v>
      </c>
      <c r="U75">
        <f t="shared" ca="1" si="19"/>
        <v>-2.5940337224383365E-3</v>
      </c>
    </row>
    <row r="76" spans="1:21" x14ac:dyDescent="0.2">
      <c r="A76" vm="731">
        <f ca="1"/>
        <v>45681</v>
      </c>
      <c r="B76" vm="732">
        <f ca="1"/>
        <v>222.78</v>
      </c>
      <c r="C76">
        <f t="shared" ca="1" si="10"/>
        <v>-3.934543503532127E-3</v>
      </c>
      <c r="D76" vm="733">
        <f ca="1"/>
        <v>142.62</v>
      </c>
      <c r="E76">
        <f t="shared" ca="1" si="11"/>
        <v>-3.1245754652900384E-2</v>
      </c>
      <c r="F76" vm="734">
        <f ca="1"/>
        <v>444.06</v>
      </c>
      <c r="G76">
        <f t="shared" ca="1" si="12"/>
        <v>-5.9322603031048719E-3</v>
      </c>
      <c r="H76" vm="735">
        <f ca="1"/>
        <v>647.49</v>
      </c>
      <c r="I76">
        <f t="shared" ca="1" si="13"/>
        <v>1.7346217299080782E-2</v>
      </c>
      <c r="J76" vm="736">
        <f ca="1"/>
        <v>200.21</v>
      </c>
      <c r="K76">
        <f t="shared" ca="1" si="14"/>
        <v>1.1263764016567422E-2</v>
      </c>
      <c r="L76" vm="737">
        <f ca="1"/>
        <v>607.97</v>
      </c>
      <c r="M76">
        <f t="shared" ca="1" si="15"/>
        <v>-2.9192291922918783E-3</v>
      </c>
      <c r="N76" vm="737">
        <f ca="1"/>
        <v>607.97</v>
      </c>
      <c r="O76">
        <f t="shared" ca="1" si="16"/>
        <v>-2.9192291922918783E-3</v>
      </c>
      <c r="P76" vm="738">
        <f ca="1"/>
        <v>255.65</v>
      </c>
      <c r="Q76">
        <f t="shared" ca="1" si="17"/>
        <v>6.2187586098319857E-3</v>
      </c>
      <c r="R76" vm="739">
        <f ca="1"/>
        <v>79.599999999999994</v>
      </c>
      <c r="S76">
        <f t="shared" ca="1" si="18"/>
        <v>4.9236207549551896E-3</v>
      </c>
      <c r="T76" vm="740">
        <f ca="1"/>
        <v>92.47</v>
      </c>
      <c r="U76">
        <f t="shared" ca="1" si="19"/>
        <v>2.0589510186389002E-3</v>
      </c>
    </row>
    <row r="77" spans="1:21" x14ac:dyDescent="0.2">
      <c r="A77" vm="741">
        <f ca="1"/>
        <v>45684</v>
      </c>
      <c r="B77" vm="742">
        <f ca="1"/>
        <v>229.86</v>
      </c>
      <c r="C77">
        <f t="shared" ca="1" si="10"/>
        <v>3.1780231618637279E-2</v>
      </c>
      <c r="D77" vm="743">
        <f ca="1"/>
        <v>118.42</v>
      </c>
      <c r="E77">
        <f t="shared" ca="1" si="11"/>
        <v>-0.1696816715748142</v>
      </c>
      <c r="F77" vm="744">
        <f ca="1"/>
        <v>434.56</v>
      </c>
      <c r="G77">
        <f t="shared" ca="1" si="12"/>
        <v>-2.1393505382155564E-2</v>
      </c>
      <c r="H77" vm="745">
        <f ca="1"/>
        <v>659.88</v>
      </c>
      <c r="I77">
        <f t="shared" ca="1" si="13"/>
        <v>1.9135430663021803E-2</v>
      </c>
      <c r="J77" vm="746">
        <f ca="1"/>
        <v>191.81</v>
      </c>
      <c r="K77">
        <f t="shared" ca="1" si="14"/>
        <v>-4.1955946256430773E-2</v>
      </c>
      <c r="L77" vm="747">
        <f ca="1"/>
        <v>599.37</v>
      </c>
      <c r="M77">
        <f t="shared" ca="1" si="15"/>
        <v>-1.4145434807638571E-2</v>
      </c>
      <c r="N77" vm="747">
        <f ca="1"/>
        <v>599.37</v>
      </c>
      <c r="O77">
        <f t="shared" ca="1" si="16"/>
        <v>-1.4145434807638571E-2</v>
      </c>
      <c r="P77" vm="748">
        <f ca="1"/>
        <v>252.99</v>
      </c>
      <c r="Q77">
        <f t="shared" ca="1" si="17"/>
        <v>-1.0404850381380781E-2</v>
      </c>
      <c r="R77" vm="749">
        <f ca="1"/>
        <v>77.930000000000007</v>
      </c>
      <c r="S77">
        <f t="shared" ca="1" si="18"/>
        <v>-2.097989949748728E-2</v>
      </c>
      <c r="T77" vm="750">
        <f ca="1"/>
        <v>93.07</v>
      </c>
      <c r="U77">
        <f t="shared" ca="1" si="19"/>
        <v>6.48859089434405E-3</v>
      </c>
    </row>
    <row r="78" spans="1:21" x14ac:dyDescent="0.2">
      <c r="A78" vm="751">
        <f ca="1"/>
        <v>45685</v>
      </c>
      <c r="B78" vm="752">
        <f ca="1"/>
        <v>238.26</v>
      </c>
      <c r="C78">
        <f t="shared" ca="1" si="10"/>
        <v>3.6543983294178961E-2</v>
      </c>
      <c r="D78" vm="753">
        <f ca="1"/>
        <v>128.99</v>
      </c>
      <c r="E78">
        <f t="shared" ca="1" si="11"/>
        <v>8.9258571187299504E-2</v>
      </c>
      <c r="F78" vm="754">
        <f ca="1"/>
        <v>447.2</v>
      </c>
      <c r="G78">
        <f t="shared" ca="1" si="12"/>
        <v>2.9086892488954314E-2</v>
      </c>
      <c r="H78" vm="755">
        <f ca="1"/>
        <v>674.33</v>
      </c>
      <c r="I78">
        <f t="shared" ca="1" si="13"/>
        <v>2.1897920834091117E-2</v>
      </c>
      <c r="J78" vm="756">
        <f ca="1"/>
        <v>195.3</v>
      </c>
      <c r="K78">
        <f t="shared" ca="1" si="14"/>
        <v>1.8195088890047489E-2</v>
      </c>
      <c r="L78" vm="757">
        <f ca="1"/>
        <v>604.52</v>
      </c>
      <c r="M78">
        <f t="shared" ca="1" si="15"/>
        <v>8.5923553064050206E-3</v>
      </c>
      <c r="N78" vm="757">
        <f ca="1"/>
        <v>604.52</v>
      </c>
      <c r="O78">
        <f t="shared" ca="1" si="16"/>
        <v>8.5923553064050206E-3</v>
      </c>
      <c r="P78" vm="758">
        <f ca="1"/>
        <v>255.18</v>
      </c>
      <c r="Q78">
        <f t="shared" ca="1" si="17"/>
        <v>8.6564686351239088E-3</v>
      </c>
      <c r="R78" vm="759">
        <f ca="1"/>
        <v>78.86</v>
      </c>
      <c r="S78">
        <f t="shared" ca="1" si="18"/>
        <v>1.1933786731682184E-2</v>
      </c>
      <c r="T78" vm="760">
        <f ca="1"/>
        <v>93.08</v>
      </c>
      <c r="U78">
        <f t="shared" ca="1" si="19"/>
        <v>1.0744600838084363E-4</v>
      </c>
    </row>
    <row r="79" spans="1:21" x14ac:dyDescent="0.2">
      <c r="A79" vm="761">
        <f ca="1"/>
        <v>45686</v>
      </c>
      <c r="B79" vm="762">
        <f ca="1"/>
        <v>239.36</v>
      </c>
      <c r="C79">
        <f t="shared" ca="1" si="10"/>
        <v>4.6168051708218869E-3</v>
      </c>
      <c r="D79" vm="763">
        <f ca="1"/>
        <v>123.7</v>
      </c>
      <c r="E79">
        <f t="shared" ca="1" si="11"/>
        <v>-4.1010931079928724E-2</v>
      </c>
      <c r="F79" vm="764">
        <f ca="1"/>
        <v>442.33</v>
      </c>
      <c r="G79">
        <f t="shared" ca="1" si="12"/>
        <v>-1.0889982110912353E-2</v>
      </c>
      <c r="H79" vm="765">
        <f ca="1"/>
        <v>676.49</v>
      </c>
      <c r="I79">
        <f t="shared" ca="1" si="13"/>
        <v>3.2031794521969483E-3</v>
      </c>
      <c r="J79" vm="766">
        <f ca="1"/>
        <v>195.41</v>
      </c>
      <c r="K79">
        <f t="shared" ca="1" si="14"/>
        <v>5.6323604710693917E-4</v>
      </c>
      <c r="L79" vm="767">
        <f ca="1"/>
        <v>601.80999999999995</v>
      </c>
      <c r="M79">
        <f t="shared" ca="1" si="15"/>
        <v>-4.4828955204129495E-3</v>
      </c>
      <c r="N79" vm="767">
        <f ca="1"/>
        <v>601.80999999999995</v>
      </c>
      <c r="O79">
        <f t="shared" ca="1" si="16"/>
        <v>-4.4828955204129495E-3</v>
      </c>
      <c r="P79" vm="768">
        <f ca="1"/>
        <v>254.2</v>
      </c>
      <c r="Q79">
        <f t="shared" ca="1" si="17"/>
        <v>-3.8404263657027126E-3</v>
      </c>
      <c r="R79" vm="769">
        <f ca="1"/>
        <v>77.78</v>
      </c>
      <c r="S79">
        <f t="shared" ca="1" si="18"/>
        <v>-1.3695155972609667E-2</v>
      </c>
      <c r="T79" vm="770">
        <f ca="1"/>
        <v>92.97</v>
      </c>
      <c r="U79">
        <f t="shared" ca="1" si="19"/>
        <v>-1.1817791147400024E-3</v>
      </c>
    </row>
    <row r="80" spans="1:21" x14ac:dyDescent="0.2">
      <c r="A80" vm="771">
        <f ca="1"/>
        <v>45687</v>
      </c>
      <c r="B80" vm="772">
        <f ca="1"/>
        <v>237.59</v>
      </c>
      <c r="C80">
        <f t="shared" ca="1" si="10"/>
        <v>-7.394719251336941E-3</v>
      </c>
      <c r="D80" vm="773">
        <f ca="1"/>
        <v>124.65</v>
      </c>
      <c r="E80">
        <f t="shared" ca="1" si="11"/>
        <v>7.6798706548100474E-3</v>
      </c>
      <c r="F80" vm="774">
        <f ca="1"/>
        <v>414.99</v>
      </c>
      <c r="G80">
        <f t="shared" ca="1" si="12"/>
        <v>-6.1809056586711222E-2</v>
      </c>
      <c r="H80" vm="775">
        <f ca="1"/>
        <v>687</v>
      </c>
      <c r="I80">
        <f t="shared" ca="1" si="13"/>
        <v>1.5536075921299635E-2</v>
      </c>
      <c r="J80" vm="776">
        <f ca="1"/>
        <v>200.87</v>
      </c>
      <c r="K80">
        <f t="shared" ca="1" si="14"/>
        <v>2.7941251727137854E-2</v>
      </c>
      <c r="L80" vm="777">
        <f ca="1"/>
        <v>605.04</v>
      </c>
      <c r="M80">
        <f t="shared" ca="1" si="15"/>
        <v>5.3671424535983421E-3</v>
      </c>
      <c r="N80" vm="777">
        <f ca="1"/>
        <v>605.04</v>
      </c>
      <c r="O80">
        <f t="shared" ca="1" si="16"/>
        <v>5.3671424535983421E-3</v>
      </c>
      <c r="P80" vm="778">
        <f ca="1"/>
        <v>258.05</v>
      </c>
      <c r="Q80">
        <f t="shared" ca="1" si="17"/>
        <v>1.5145554681353356E-2</v>
      </c>
      <c r="R80" vm="779">
        <f ca="1"/>
        <v>77.75</v>
      </c>
      <c r="S80">
        <f t="shared" ca="1" si="18"/>
        <v>-3.8570326562099687E-4</v>
      </c>
      <c r="T80" vm="780">
        <f ca="1"/>
        <v>93.17</v>
      </c>
      <c r="U80">
        <f t="shared" ca="1" si="19"/>
        <v>2.1512315800796262E-3</v>
      </c>
    </row>
    <row r="81" spans="1:21" x14ac:dyDescent="0.2">
      <c r="A81" vm="781">
        <f ca="1"/>
        <v>45688</v>
      </c>
      <c r="B81" vm="782">
        <f ca="1"/>
        <v>236</v>
      </c>
      <c r="C81">
        <f t="shared" ca="1" si="10"/>
        <v>-6.6922008502041472E-3</v>
      </c>
      <c r="D81" vm="783">
        <f ca="1"/>
        <v>120.07</v>
      </c>
      <c r="E81">
        <f t="shared" ca="1" si="11"/>
        <v>-3.6742880064179799E-2</v>
      </c>
      <c r="F81" vm="784">
        <f ca="1"/>
        <v>415.06</v>
      </c>
      <c r="G81">
        <f t="shared" ca="1" si="12"/>
        <v>1.6867876334367859E-4</v>
      </c>
      <c r="H81" vm="785">
        <f ca="1"/>
        <v>689.18</v>
      </c>
      <c r="I81">
        <f t="shared" ca="1" si="13"/>
        <v>3.1732168850072051E-3</v>
      </c>
      <c r="J81" vm="786">
        <f ca="1"/>
        <v>204.02</v>
      </c>
      <c r="K81">
        <f t="shared" ca="1" si="14"/>
        <v>1.5681784238562282E-2</v>
      </c>
      <c r="L81" vm="787">
        <f ca="1"/>
        <v>601.82000000000005</v>
      </c>
      <c r="M81">
        <f t="shared" ca="1" si="15"/>
        <v>-5.3219621843182494E-3</v>
      </c>
      <c r="N81" vm="787">
        <f ca="1"/>
        <v>601.82000000000005</v>
      </c>
      <c r="O81">
        <f t="shared" ca="1" si="16"/>
        <v>-5.3219621843182494E-3</v>
      </c>
      <c r="P81" vm="788">
        <f ca="1"/>
        <v>258.56</v>
      </c>
      <c r="Q81">
        <f t="shared" ca="1" si="17"/>
        <v>1.9763611703157947E-3</v>
      </c>
      <c r="R81" vm="789">
        <f ca="1"/>
        <v>78.02</v>
      </c>
      <c r="S81">
        <f t="shared" ca="1" si="18"/>
        <v>3.4726688102893377E-3</v>
      </c>
      <c r="T81" vm="790">
        <f ca="1"/>
        <v>93.02</v>
      </c>
      <c r="U81">
        <f t="shared" ca="1" si="19"/>
        <v>-1.609960287646299E-3</v>
      </c>
    </row>
    <row r="82" spans="1:21" x14ac:dyDescent="0.2">
      <c r="A82" vm="791">
        <f ca="1"/>
        <v>45691</v>
      </c>
      <c r="B82" vm="792">
        <f ca="1"/>
        <v>228.01</v>
      </c>
      <c r="C82">
        <f t="shared" ca="1" si="10"/>
        <v>-3.3855932203389866E-2</v>
      </c>
      <c r="D82" vm="793">
        <f ca="1"/>
        <v>116.66</v>
      </c>
      <c r="E82">
        <f t="shared" ca="1" si="11"/>
        <v>-2.8400099941700646E-2</v>
      </c>
      <c r="F82" vm="794">
        <f ca="1"/>
        <v>410.92</v>
      </c>
      <c r="G82">
        <f t="shared" ca="1" si="12"/>
        <v>-9.9744615236351045E-3</v>
      </c>
      <c r="H82" vm="795">
        <f ca="1"/>
        <v>697.46</v>
      </c>
      <c r="I82">
        <f t="shared" ca="1" si="13"/>
        <v>1.2014277837430115E-2</v>
      </c>
      <c r="J82" vm="796">
        <f ca="1"/>
        <v>201.23</v>
      </c>
      <c r="K82">
        <f t="shared" ca="1" si="14"/>
        <v>-1.3675129889226647E-2</v>
      </c>
      <c r="L82" vm="797">
        <f ca="1"/>
        <v>597.77</v>
      </c>
      <c r="M82">
        <f t="shared" ca="1" si="15"/>
        <v>-6.7295869196770924E-3</v>
      </c>
      <c r="N82" vm="797">
        <f ca="1"/>
        <v>597.77</v>
      </c>
      <c r="O82">
        <f t="shared" ca="1" si="16"/>
        <v>-6.7295869196770924E-3</v>
      </c>
      <c r="P82" vm="798">
        <f ca="1"/>
        <v>259.94</v>
      </c>
      <c r="Q82">
        <f t="shared" ca="1" si="17"/>
        <v>5.3372524752475069E-3</v>
      </c>
      <c r="R82" vm="799">
        <f ca="1"/>
        <v>77.819999999999993</v>
      </c>
      <c r="S82">
        <f t="shared" ca="1" si="18"/>
        <v>-2.5634452704435128E-3</v>
      </c>
      <c r="T82" vm="800">
        <f ca="1"/>
        <v>92.79</v>
      </c>
      <c r="U82">
        <f t="shared" ca="1" si="19"/>
        <v>-2.4725865405288085E-3</v>
      </c>
    </row>
    <row r="83" spans="1:21" x14ac:dyDescent="0.2">
      <c r="A83" vm="801">
        <f ca="1"/>
        <v>45692</v>
      </c>
      <c r="B83" vm="802">
        <f ca="1"/>
        <v>232.8</v>
      </c>
      <c r="C83">
        <f t="shared" ca="1" si="10"/>
        <v>2.1007850532871457E-2</v>
      </c>
      <c r="D83" vm="803">
        <f ca="1"/>
        <v>118.65</v>
      </c>
      <c r="E83">
        <f t="shared" ca="1" si="11"/>
        <v>1.7058117606720463E-2</v>
      </c>
      <c r="F83" vm="804">
        <f ca="1"/>
        <v>412.37</v>
      </c>
      <c r="G83">
        <f t="shared" ca="1" si="12"/>
        <v>3.528667380511994E-3</v>
      </c>
      <c r="H83" vm="805">
        <f ca="1"/>
        <v>704.19</v>
      </c>
      <c r="I83">
        <f t="shared" ca="1" si="13"/>
        <v>9.6492988845238697E-3</v>
      </c>
      <c r="J83" vm="806">
        <f ca="1"/>
        <v>206.38</v>
      </c>
      <c r="K83">
        <f t="shared" ca="1" si="14"/>
        <v>2.5592605476320657E-2</v>
      </c>
      <c r="L83" vm="807">
        <f ca="1"/>
        <v>601.78</v>
      </c>
      <c r="M83">
        <f t="shared" ca="1" si="15"/>
        <v>6.7082657209294391E-3</v>
      </c>
      <c r="N83" vm="807">
        <f ca="1"/>
        <v>601.78</v>
      </c>
      <c r="O83">
        <f t="shared" ca="1" si="16"/>
        <v>6.7082657209294391E-3</v>
      </c>
      <c r="P83" vm="808">
        <f ca="1"/>
        <v>262.5</v>
      </c>
      <c r="Q83">
        <f t="shared" ca="1" si="17"/>
        <v>9.8484265599753876E-3</v>
      </c>
      <c r="R83" vm="809">
        <f ca="1"/>
        <v>77.510000000000005</v>
      </c>
      <c r="S83">
        <f t="shared" ca="1" si="18"/>
        <v>-3.9835517861730669E-3</v>
      </c>
      <c r="T83" vm="790">
        <f ca="1"/>
        <v>93.02</v>
      </c>
      <c r="U83">
        <f t="shared" ca="1" si="19"/>
        <v>2.4787153788122618E-3</v>
      </c>
    </row>
    <row r="84" spans="1:21" x14ac:dyDescent="0.2">
      <c r="A84" vm="810">
        <f ca="1"/>
        <v>45693</v>
      </c>
      <c r="B84" vm="811">
        <f ca="1"/>
        <v>232.47</v>
      </c>
      <c r="C84">
        <f t="shared" ca="1" si="10"/>
        <v>-1.41752577319593E-3</v>
      </c>
      <c r="D84" vm="812">
        <f ca="1"/>
        <v>124.83</v>
      </c>
      <c r="E84">
        <f t="shared" ca="1" si="11"/>
        <v>5.208596713021485E-2</v>
      </c>
      <c r="F84" vm="813">
        <f ca="1"/>
        <v>413.29</v>
      </c>
      <c r="G84">
        <f t="shared" ca="1" si="12"/>
        <v>2.2310061352669107E-3</v>
      </c>
      <c r="H84" vm="814">
        <f ca="1"/>
        <v>704.87</v>
      </c>
      <c r="I84">
        <f t="shared" ca="1" si="13"/>
        <v>9.6564847555340172E-4</v>
      </c>
      <c r="J84" vm="815">
        <f ca="1"/>
        <v>191.33</v>
      </c>
      <c r="K84">
        <f t="shared" ca="1" si="14"/>
        <v>-7.2923732919856488E-2</v>
      </c>
      <c r="L84" vm="816">
        <f ca="1"/>
        <v>604.22</v>
      </c>
      <c r="M84">
        <f t="shared" ca="1" si="15"/>
        <v>4.0546379075410525E-3</v>
      </c>
      <c r="N84" vm="816">
        <f ca="1"/>
        <v>604.22</v>
      </c>
      <c r="O84">
        <f t="shared" ca="1" si="16"/>
        <v>4.0546379075410525E-3</v>
      </c>
      <c r="P84" vm="817">
        <f ca="1"/>
        <v>264.13</v>
      </c>
      <c r="Q84">
        <f t="shared" ca="1" si="17"/>
        <v>6.2095238095237924E-3</v>
      </c>
      <c r="R84" vm="818">
        <f ca="1"/>
        <v>76.09</v>
      </c>
      <c r="S84">
        <f t="shared" ca="1" si="18"/>
        <v>-1.8320216746226314E-2</v>
      </c>
      <c r="T84" vm="819">
        <f ca="1"/>
        <v>93.56</v>
      </c>
      <c r="U84">
        <f t="shared" ca="1" si="19"/>
        <v>5.8052031821114415E-3</v>
      </c>
    </row>
    <row r="85" spans="1:21" x14ac:dyDescent="0.2">
      <c r="A85" vm="820">
        <f ca="1"/>
        <v>45694</v>
      </c>
      <c r="B85" vm="821">
        <f ca="1"/>
        <v>233.22</v>
      </c>
      <c r="C85">
        <f t="shared" ca="1" si="10"/>
        <v>3.2262227384178602E-3</v>
      </c>
      <c r="D85" vm="822">
        <f ca="1"/>
        <v>128.68</v>
      </c>
      <c r="E85">
        <f t="shared" ca="1" si="11"/>
        <v>3.0841945045261623E-2</v>
      </c>
      <c r="F85" vm="823">
        <f ca="1"/>
        <v>415.82</v>
      </c>
      <c r="G85">
        <f t="shared" ca="1" si="12"/>
        <v>6.1216095235790188E-3</v>
      </c>
      <c r="H85" vm="824">
        <f ca="1"/>
        <v>711.99</v>
      </c>
      <c r="I85">
        <f t="shared" ca="1" si="13"/>
        <v>1.0101153404173826E-2</v>
      </c>
      <c r="J85" vm="825">
        <f ca="1"/>
        <v>191.6</v>
      </c>
      <c r="K85">
        <f t="shared" ca="1" si="14"/>
        <v>1.4111744107039241E-3</v>
      </c>
      <c r="L85" vm="826">
        <f ca="1"/>
        <v>606.32000000000005</v>
      </c>
      <c r="M85">
        <f t="shared" ca="1" si="15"/>
        <v>3.4755552613286926E-3</v>
      </c>
      <c r="N85" vm="826">
        <f ca="1"/>
        <v>606.32000000000005</v>
      </c>
      <c r="O85">
        <f t="shared" ca="1" si="16"/>
        <v>3.4755552613286926E-3</v>
      </c>
      <c r="P85" vm="827">
        <f ca="1"/>
        <v>263.43</v>
      </c>
      <c r="Q85">
        <f t="shared" ca="1" si="17"/>
        <v>-2.6502101238026301E-3</v>
      </c>
      <c r="R85" vm="828">
        <f ca="1"/>
        <v>75.45</v>
      </c>
      <c r="S85">
        <f t="shared" ca="1" si="18"/>
        <v>-8.4110921277434688E-3</v>
      </c>
      <c r="T85" vm="829">
        <f ca="1"/>
        <v>93.45</v>
      </c>
      <c r="U85">
        <f t="shared" ca="1" si="19"/>
        <v>-1.1757161179991389E-3</v>
      </c>
    </row>
    <row r="86" spans="1:21" x14ac:dyDescent="0.2">
      <c r="A86" vm="830">
        <f ca="1"/>
        <v>45695</v>
      </c>
      <c r="B86" vm="831">
        <f ca="1"/>
        <v>227.63</v>
      </c>
      <c r="C86">
        <f t="shared" ca="1" si="10"/>
        <v>-2.396878483835007E-2</v>
      </c>
      <c r="D86" vm="832">
        <f ca="1"/>
        <v>129.84</v>
      </c>
      <c r="E86">
        <f t="shared" ca="1" si="11"/>
        <v>9.0146098849859854E-3</v>
      </c>
      <c r="F86" vm="833">
        <f ca="1"/>
        <v>409.75</v>
      </c>
      <c r="G86">
        <f t="shared" ca="1" si="12"/>
        <v>-1.4597662450098584E-2</v>
      </c>
      <c r="H86" vm="834">
        <f ca="1"/>
        <v>714.52</v>
      </c>
      <c r="I86">
        <f t="shared" ca="1" si="13"/>
        <v>3.5534206941108342E-3</v>
      </c>
      <c r="J86" vm="835">
        <f ca="1"/>
        <v>185.34</v>
      </c>
      <c r="K86">
        <f t="shared" ca="1" si="14"/>
        <v>-3.2672233820459244E-2</v>
      </c>
      <c r="L86" vm="836">
        <f ca="1"/>
        <v>600.77</v>
      </c>
      <c r="M86">
        <f t="shared" ca="1" si="15"/>
        <v>-9.1535822667899256E-3</v>
      </c>
      <c r="N86" vm="836">
        <f ca="1"/>
        <v>600.77</v>
      </c>
      <c r="O86">
        <f t="shared" ca="1" si="16"/>
        <v>-9.1535822667899256E-3</v>
      </c>
      <c r="P86" vm="837">
        <f ca="1"/>
        <v>263.89999999999998</v>
      </c>
      <c r="Q86">
        <f t="shared" ca="1" si="17"/>
        <v>1.7841551835401071E-3</v>
      </c>
      <c r="R86" vm="838">
        <f ca="1"/>
        <v>75.86</v>
      </c>
      <c r="S86">
        <f t="shared" ca="1" si="18"/>
        <v>5.4340622929091656E-3</v>
      </c>
      <c r="T86" vm="839">
        <f ca="1"/>
        <v>93.14</v>
      </c>
      <c r="U86">
        <f t="shared" ca="1" si="19"/>
        <v>-3.3172819689673864E-3</v>
      </c>
    </row>
    <row r="87" spans="1:21" x14ac:dyDescent="0.2">
      <c r="A87" vm="840">
        <f ca="1"/>
        <v>45698</v>
      </c>
      <c r="B87" vm="841">
        <f ca="1"/>
        <v>227.65</v>
      </c>
      <c r="C87">
        <f t="shared" ca="1" si="10"/>
        <v>8.7861881122919789E-5</v>
      </c>
      <c r="D87" vm="684">
        <f ca="1"/>
        <v>133.57</v>
      </c>
      <c r="E87">
        <f t="shared" ca="1" si="11"/>
        <v>2.8727664818237752E-2</v>
      </c>
      <c r="F87" vm="842">
        <f ca="1"/>
        <v>412.22</v>
      </c>
      <c r="G87">
        <f t="shared" ca="1" si="12"/>
        <v>6.0280658938377729E-3</v>
      </c>
      <c r="H87" vm="843">
        <f ca="1"/>
        <v>717.4</v>
      </c>
      <c r="I87">
        <f t="shared" ca="1" si="13"/>
        <v>4.0306779376364493E-3</v>
      </c>
      <c r="J87" vm="844">
        <f ca="1"/>
        <v>186.47</v>
      </c>
      <c r="K87">
        <f t="shared" ca="1" si="14"/>
        <v>6.096902989101087E-3</v>
      </c>
      <c r="L87" vm="845">
        <f ca="1"/>
        <v>604.85</v>
      </c>
      <c r="M87">
        <f t="shared" ca="1" si="15"/>
        <v>6.7912845182017097E-3</v>
      </c>
      <c r="N87" vm="845">
        <f ca="1"/>
        <v>604.85</v>
      </c>
      <c r="O87">
        <f t="shared" ca="1" si="16"/>
        <v>6.7912845182017097E-3</v>
      </c>
      <c r="P87" vm="846">
        <f ca="1"/>
        <v>268.37</v>
      </c>
      <c r="Q87">
        <f t="shared" ca="1" si="17"/>
        <v>1.6938234179613595E-2</v>
      </c>
      <c r="R87" vm="847">
        <f ca="1"/>
        <v>77.400000000000006</v>
      </c>
      <c r="S87">
        <f t="shared" ca="1" si="18"/>
        <v>2.0300553651463306E-2</v>
      </c>
      <c r="T87" vm="848">
        <f ca="1"/>
        <v>93.12</v>
      </c>
      <c r="U87">
        <f t="shared" ca="1" si="19"/>
        <v>-2.1473051320588385E-4</v>
      </c>
    </row>
    <row r="88" spans="1:21" x14ac:dyDescent="0.2">
      <c r="A88" vm="849">
        <f ca="1"/>
        <v>45699</v>
      </c>
      <c r="B88" vm="850">
        <f ca="1"/>
        <v>232.62</v>
      </c>
      <c r="C88">
        <f t="shared" ca="1" si="10"/>
        <v>2.1831759279595866E-2</v>
      </c>
      <c r="D88" vm="851">
        <f ca="1"/>
        <v>132.80000000000001</v>
      </c>
      <c r="E88">
        <f t="shared" ca="1" si="11"/>
        <v>-5.7647675376205874E-3</v>
      </c>
      <c r="F88" vm="852">
        <f ca="1"/>
        <v>411.44</v>
      </c>
      <c r="G88">
        <f t="shared" ca="1" si="12"/>
        <v>-1.8921934889137584E-3</v>
      </c>
      <c r="H88" vm="853">
        <f ca="1"/>
        <v>719.8</v>
      </c>
      <c r="I88">
        <f t="shared" ca="1" si="13"/>
        <v>3.3454139949818476E-3</v>
      </c>
      <c r="J88" vm="854">
        <f ca="1"/>
        <v>185.32</v>
      </c>
      <c r="K88">
        <f t="shared" ca="1" si="14"/>
        <v>-6.1672118839491913E-3</v>
      </c>
      <c r="L88" vm="855">
        <f ca="1"/>
        <v>605.30999999999995</v>
      </c>
      <c r="M88">
        <f t="shared" ca="1" si="15"/>
        <v>7.6051913697598196E-4</v>
      </c>
      <c r="N88" vm="855">
        <f ca="1"/>
        <v>605.30999999999995</v>
      </c>
      <c r="O88">
        <f t="shared" ca="1" si="16"/>
        <v>7.6051913697598196E-4</v>
      </c>
      <c r="P88" vm="856">
        <f ca="1"/>
        <v>267.39</v>
      </c>
      <c r="Q88">
        <f t="shared" ca="1" si="17"/>
        <v>-3.6516749264076396E-3</v>
      </c>
      <c r="R88" vm="857">
        <f ca="1"/>
        <v>78.27</v>
      </c>
      <c r="S88">
        <f t="shared" ca="1" si="18"/>
        <v>1.1240310077519255E-2</v>
      </c>
      <c r="T88" vm="858">
        <f ca="1"/>
        <v>92.88</v>
      </c>
      <c r="U88">
        <f t="shared" ca="1" si="19"/>
        <v>-2.5773195876289635E-3</v>
      </c>
    </row>
    <row r="89" spans="1:21" x14ac:dyDescent="0.2">
      <c r="A89" vm="859">
        <f ca="1"/>
        <v>45700</v>
      </c>
      <c r="B89" vm="860">
        <f ca="1"/>
        <v>236.87</v>
      </c>
      <c r="C89">
        <f t="shared" ca="1" si="10"/>
        <v>1.8270140142722036E-2</v>
      </c>
      <c r="D89" vm="861">
        <f ca="1"/>
        <v>131.13999999999999</v>
      </c>
      <c r="E89">
        <f t="shared" ca="1" si="11"/>
        <v>-1.2500000000000188E-2</v>
      </c>
      <c r="F89" vm="862">
        <f ca="1"/>
        <v>409.04</v>
      </c>
      <c r="G89">
        <f t="shared" ca="1" si="12"/>
        <v>-5.8331713007971448E-3</v>
      </c>
      <c r="H89" vm="863">
        <f ca="1"/>
        <v>725.38</v>
      </c>
      <c r="I89">
        <f t="shared" ca="1" si="13"/>
        <v>7.7521533759378177E-3</v>
      </c>
      <c r="J89" vm="864">
        <f ca="1"/>
        <v>183.61</v>
      </c>
      <c r="K89">
        <f t="shared" ca="1" si="14"/>
        <v>-9.227282538311999E-3</v>
      </c>
      <c r="L89" vm="865">
        <f ca="1"/>
        <v>603.36</v>
      </c>
      <c r="M89">
        <f t="shared" ca="1" si="15"/>
        <v>-3.2214898151359337E-3</v>
      </c>
      <c r="N89" vm="865">
        <f ca="1"/>
        <v>603.36</v>
      </c>
      <c r="O89">
        <f t="shared" ca="1" si="16"/>
        <v>-3.2214898151359337E-3</v>
      </c>
      <c r="P89" vm="866">
        <f ca="1"/>
        <v>267.67</v>
      </c>
      <c r="Q89">
        <f t="shared" ca="1" si="17"/>
        <v>1.0471595796403366E-3</v>
      </c>
      <c r="R89" vm="867">
        <f ca="1"/>
        <v>76.319999999999993</v>
      </c>
      <c r="S89">
        <f t="shared" ca="1" si="18"/>
        <v>-2.4913760061326215E-2</v>
      </c>
      <c r="T89" vm="868">
        <f ca="1"/>
        <v>92.24</v>
      </c>
      <c r="U89">
        <f t="shared" ca="1" si="19"/>
        <v>-6.8906115417743385E-3</v>
      </c>
    </row>
    <row r="90" spans="1:21" x14ac:dyDescent="0.2">
      <c r="A90" vm="869">
        <f ca="1"/>
        <v>45701</v>
      </c>
      <c r="B90" vm="870">
        <f ca="1"/>
        <v>241.53</v>
      </c>
      <c r="C90">
        <f t="shared" ca="1" si="10"/>
        <v>1.9673238485245055E-2</v>
      </c>
      <c r="D90" vm="871">
        <f ca="1"/>
        <v>135.29</v>
      </c>
      <c r="E90">
        <f t="shared" ca="1" si="11"/>
        <v>3.1645569620253208E-2</v>
      </c>
      <c r="F90" vm="872">
        <f ca="1"/>
        <v>410.54</v>
      </c>
      <c r="G90">
        <f t="shared" ca="1" si="12"/>
        <v>3.667123019753569E-3</v>
      </c>
      <c r="H90" vm="873">
        <f ca="1"/>
        <v>728.56</v>
      </c>
      <c r="I90">
        <f t="shared" ca="1" si="13"/>
        <v>4.3839091234938237E-3</v>
      </c>
      <c r="J90" vm="874">
        <f ca="1"/>
        <v>186.14</v>
      </c>
      <c r="K90">
        <f t="shared" ca="1" si="14"/>
        <v>1.3779205925603031E-2</v>
      </c>
      <c r="L90" vm="875">
        <f ca="1"/>
        <v>609.73</v>
      </c>
      <c r="M90">
        <f t="shared" ca="1" si="15"/>
        <v>1.0557544417926288E-2</v>
      </c>
      <c r="N90" vm="875">
        <f ca="1"/>
        <v>609.73</v>
      </c>
      <c r="O90">
        <f t="shared" ca="1" si="16"/>
        <v>1.0557544417926288E-2</v>
      </c>
      <c r="P90" vm="876">
        <f ca="1"/>
        <v>270.31</v>
      </c>
      <c r="Q90">
        <f t="shared" ca="1" si="17"/>
        <v>9.8628908730899467E-3</v>
      </c>
      <c r="R90" vm="877">
        <f ca="1"/>
        <v>76.39</v>
      </c>
      <c r="S90">
        <f t="shared" ca="1" si="18"/>
        <v>9.1719077568143859E-4</v>
      </c>
      <c r="T90" vm="878">
        <f ca="1"/>
        <v>92.93</v>
      </c>
      <c r="U90">
        <f t="shared" ca="1" si="19"/>
        <v>7.480485689505767E-3</v>
      </c>
    </row>
    <row r="91" spans="1:21" x14ac:dyDescent="0.2">
      <c r="A91" vm="879">
        <f ca="1"/>
        <v>45702</v>
      </c>
      <c r="B91" vm="880">
        <f ca="1"/>
        <v>244.6</v>
      </c>
      <c r="C91">
        <f t="shared" ca="1" si="10"/>
        <v>1.2710636359872452E-2</v>
      </c>
      <c r="D91" vm="881">
        <f ca="1"/>
        <v>138.85</v>
      </c>
      <c r="E91">
        <f t="shared" ca="1" si="11"/>
        <v>2.6313844334392805E-2</v>
      </c>
      <c r="F91" vm="882">
        <f ca="1"/>
        <v>408.43</v>
      </c>
      <c r="G91">
        <f t="shared" ca="1" si="12"/>
        <v>-5.1395722706679336E-3</v>
      </c>
      <c r="H91" vm="883">
        <f ca="1"/>
        <v>736.67</v>
      </c>
      <c r="I91">
        <f t="shared" ca="1" si="13"/>
        <v>1.1131547161524123E-2</v>
      </c>
      <c r="J91" vm="884">
        <f ca="1"/>
        <v>185.23</v>
      </c>
      <c r="K91">
        <f t="shared" ca="1" si="14"/>
        <v>-4.8887933813258656E-3</v>
      </c>
      <c r="L91" vm="885">
        <f ca="1"/>
        <v>609.70000000000005</v>
      </c>
      <c r="M91">
        <f t="shared" ca="1" si="15"/>
        <v>-4.9202105850085635E-5</v>
      </c>
      <c r="N91" vm="885">
        <f ca="1"/>
        <v>609.70000000000005</v>
      </c>
      <c r="O91">
        <f t="shared" ca="1" si="16"/>
        <v>-4.9202105850085635E-5</v>
      </c>
      <c r="P91" vm="886">
        <f ca="1"/>
        <v>266.29000000000002</v>
      </c>
      <c r="Q91">
        <f t="shared" ca="1" si="17"/>
        <v>-1.4871813843364957E-2</v>
      </c>
      <c r="R91" vm="887">
        <f ca="1"/>
        <v>75.819999999999993</v>
      </c>
      <c r="S91">
        <f t="shared" ca="1" si="18"/>
        <v>-7.4617096478597645E-3</v>
      </c>
      <c r="T91" vm="302">
        <f ca="1"/>
        <v>93.32</v>
      </c>
      <c r="U91">
        <f t="shared" ca="1" si="19"/>
        <v>4.196707198966817E-3</v>
      </c>
    </row>
    <row r="92" spans="1:21" x14ac:dyDescent="0.2">
      <c r="A92" vm="888">
        <f ca="1"/>
        <v>45706</v>
      </c>
      <c r="B92" vm="889">
        <f ca="1"/>
        <v>244.47</v>
      </c>
      <c r="C92">
        <f t="shared" ca="1" si="10"/>
        <v>-5.3147996729352193E-4</v>
      </c>
      <c r="D92" vm="890">
        <f ca="1"/>
        <v>139.4</v>
      </c>
      <c r="E92">
        <f t="shared" ca="1" si="11"/>
        <v>3.9611091105510362E-3</v>
      </c>
      <c r="F92" vm="891">
        <f ca="1"/>
        <v>409.64</v>
      </c>
      <c r="G92">
        <f t="shared" ca="1" si="12"/>
        <v>2.9625639644491821E-3</v>
      </c>
      <c r="H92" vm="892">
        <f ca="1"/>
        <v>716.37</v>
      </c>
      <c r="I92">
        <f t="shared" ca="1" si="13"/>
        <v>-2.7556436396215342E-2</v>
      </c>
      <c r="J92" vm="893">
        <f ca="1"/>
        <v>183.77</v>
      </c>
      <c r="K92">
        <f t="shared" ca="1" si="14"/>
        <v>-7.8820925336067563E-3</v>
      </c>
      <c r="L92" vm="894">
        <f ca="1"/>
        <v>611.49</v>
      </c>
      <c r="M92">
        <f t="shared" ca="1" si="15"/>
        <v>2.9358701000491445E-3</v>
      </c>
      <c r="N92" vm="894">
        <f ca="1"/>
        <v>611.49</v>
      </c>
      <c r="O92">
        <f t="shared" ca="1" si="16"/>
        <v>2.9358701000491445E-3</v>
      </c>
      <c r="P92" vm="895">
        <f ca="1"/>
        <v>270.7</v>
      </c>
      <c r="Q92">
        <f t="shared" ca="1" si="17"/>
        <v>1.6560892260317577E-2</v>
      </c>
      <c r="R92" vm="896">
        <f ca="1"/>
        <v>76.959999999999994</v>
      </c>
      <c r="S92">
        <f t="shared" ca="1" si="18"/>
        <v>1.503561065681879E-2</v>
      </c>
      <c r="T92" vm="897">
        <f ca="1"/>
        <v>92.82</v>
      </c>
      <c r="U92">
        <f t="shared" ca="1" si="19"/>
        <v>-5.3579082726103733E-3</v>
      </c>
    </row>
    <row r="93" spans="1:21" x14ac:dyDescent="0.2">
      <c r="A93" vm="898">
        <f ca="1"/>
        <v>45707</v>
      </c>
      <c r="B93" vm="899">
        <f ca="1"/>
        <v>244.87</v>
      </c>
      <c r="C93">
        <f t="shared" ca="1" si="10"/>
        <v>1.6361925798666736E-3</v>
      </c>
      <c r="D93" vm="900">
        <f ca="1"/>
        <v>139.22999999999999</v>
      </c>
      <c r="E93">
        <f t="shared" ca="1" si="11"/>
        <v>-1.2195121951220653E-3</v>
      </c>
      <c r="F93" vm="901">
        <f ca="1"/>
        <v>414.77</v>
      </c>
      <c r="G93">
        <f t="shared" ca="1" si="12"/>
        <v>1.2523191094619655E-2</v>
      </c>
      <c r="H93" vm="902">
        <f ca="1"/>
        <v>703.77</v>
      </c>
      <c r="I93">
        <f t="shared" ca="1" si="13"/>
        <v>-1.7588676242723762E-2</v>
      </c>
      <c r="J93" vm="903">
        <f ca="1"/>
        <v>185.27</v>
      </c>
      <c r="K93">
        <f t="shared" ca="1" si="14"/>
        <v>8.162376884148663E-3</v>
      </c>
      <c r="L93" vm="904">
        <f ca="1"/>
        <v>612.92999999999995</v>
      </c>
      <c r="M93">
        <f t="shared" ca="1" si="15"/>
        <v>2.3549035961339367E-3</v>
      </c>
      <c r="N93" vm="904">
        <f ca="1"/>
        <v>612.92999999999995</v>
      </c>
      <c r="O93">
        <f t="shared" ca="1" si="16"/>
        <v>2.3549035961339367E-3</v>
      </c>
      <c r="P93" vm="905">
        <f ca="1"/>
        <v>270.85000000000002</v>
      </c>
      <c r="Q93">
        <f t="shared" ca="1" si="17"/>
        <v>5.5411895086824572E-4</v>
      </c>
      <c r="R93" vm="906">
        <f ca="1"/>
        <v>77.45</v>
      </c>
      <c r="S93">
        <f t="shared" ca="1" si="18"/>
        <v>6.3669438669439853E-3</v>
      </c>
      <c r="T93" vm="770">
        <f ca="1"/>
        <v>92.97</v>
      </c>
      <c r="U93">
        <f t="shared" ca="1" si="19"/>
        <v>1.6160310277957949E-3</v>
      </c>
    </row>
    <row r="94" spans="1:21" x14ac:dyDescent="0.2">
      <c r="A94" vm="907">
        <f ca="1"/>
        <v>45708</v>
      </c>
      <c r="B94" vm="908">
        <f ca="1"/>
        <v>245.83</v>
      </c>
      <c r="C94">
        <f t="shared" ca="1" si="10"/>
        <v>3.9204475844325888E-3</v>
      </c>
      <c r="D94" vm="635">
        <f ca="1"/>
        <v>140.11000000000001</v>
      </c>
      <c r="E94">
        <f t="shared" ca="1" si="11"/>
        <v>6.3204769087123747E-3</v>
      </c>
      <c r="F94" vm="909">
        <f ca="1"/>
        <v>416.13</v>
      </c>
      <c r="G94">
        <f t="shared" ca="1" si="12"/>
        <v>3.278925669648272E-3</v>
      </c>
      <c r="H94" vm="910">
        <f ca="1"/>
        <v>694.84</v>
      </c>
      <c r="I94">
        <f t="shared" ca="1" si="13"/>
        <v>-1.2688804581042032E-2</v>
      </c>
      <c r="J94" vm="911">
        <f ca="1"/>
        <v>184.56</v>
      </c>
      <c r="K94">
        <f t="shared" ca="1" si="14"/>
        <v>-3.8322448318670477E-3</v>
      </c>
      <c r="L94" vm="912">
        <f ca="1"/>
        <v>610.38</v>
      </c>
      <c r="M94">
        <f t="shared" ca="1" si="15"/>
        <v>-4.1603445744211485E-3</v>
      </c>
      <c r="N94" vm="912">
        <f ca="1"/>
        <v>610.38</v>
      </c>
      <c r="O94">
        <f t="shared" ca="1" si="16"/>
        <v>-4.1603445744211485E-3</v>
      </c>
      <c r="P94" vm="913">
        <f ca="1"/>
        <v>270.99</v>
      </c>
      <c r="Q94">
        <f t="shared" ca="1" si="17"/>
        <v>5.1689126822959696E-4</v>
      </c>
      <c r="R94" vm="914">
        <f ca="1"/>
        <v>77.760000000000005</v>
      </c>
      <c r="S94">
        <f t="shared" ca="1" si="18"/>
        <v>4.0025823111685252E-3</v>
      </c>
      <c r="T94" vm="915">
        <f ca="1"/>
        <v>93.16</v>
      </c>
      <c r="U94">
        <f t="shared" ca="1" si="19"/>
        <v>2.0436700010755915E-3</v>
      </c>
    </row>
    <row r="95" spans="1:21" x14ac:dyDescent="0.2">
      <c r="A95" vm="916">
        <f ca="1"/>
        <v>45709</v>
      </c>
      <c r="B95" vm="917">
        <f ca="1"/>
        <v>245.55</v>
      </c>
      <c r="C95">
        <f t="shared" ca="1" si="10"/>
        <v>-1.1389984948948506E-3</v>
      </c>
      <c r="D95" vm="918">
        <f ca="1"/>
        <v>134.43</v>
      </c>
      <c r="E95">
        <f t="shared" ca="1" si="11"/>
        <v>-4.0539576047391383E-2</v>
      </c>
      <c r="F95" vm="919">
        <f ca="1"/>
        <v>408.21</v>
      </c>
      <c r="G95">
        <f t="shared" ca="1" si="12"/>
        <v>-1.9032513877874743E-2</v>
      </c>
      <c r="H95" vm="920">
        <f ca="1"/>
        <v>683.55</v>
      </c>
      <c r="I95">
        <f t="shared" ca="1" si="13"/>
        <v>-1.6248344942720736E-2</v>
      </c>
      <c r="J95" vm="921">
        <f ca="1"/>
        <v>179.66</v>
      </c>
      <c r="K95">
        <f t="shared" ca="1" si="14"/>
        <v>-2.6549631556133536E-2</v>
      </c>
      <c r="L95" vm="922">
        <f ca="1"/>
        <v>599.94000000000005</v>
      </c>
      <c r="M95">
        <f t="shared" ca="1" si="15"/>
        <v>-1.7104099085815297E-2</v>
      </c>
      <c r="N95" vm="922">
        <f ca="1"/>
        <v>599.94000000000005</v>
      </c>
      <c r="O95">
        <f t="shared" ca="1" si="16"/>
        <v>-1.7104099085815297E-2</v>
      </c>
      <c r="P95" vm="923">
        <f ca="1"/>
        <v>270.74</v>
      </c>
      <c r="Q95">
        <f t="shared" ca="1" si="17"/>
        <v>-9.2254326727923537E-4</v>
      </c>
      <c r="R95" vm="924">
        <f ca="1"/>
        <v>75.349999999999994</v>
      </c>
      <c r="S95">
        <f t="shared" ca="1" si="18"/>
        <v>-3.0992798353909601E-2</v>
      </c>
      <c r="T95" vm="925">
        <f ca="1"/>
        <v>93.71</v>
      </c>
      <c r="U95">
        <f t="shared" ca="1" si="19"/>
        <v>5.9038213825675957E-3</v>
      </c>
    </row>
    <row r="96" spans="1:21" x14ac:dyDescent="0.2">
      <c r="A96" vm="926">
        <f ca="1"/>
        <v>45712</v>
      </c>
      <c r="B96" vm="927">
        <f ca="1"/>
        <v>247.1</v>
      </c>
      <c r="C96">
        <f t="shared" ca="1" si="10"/>
        <v>6.3123600081449113E-3</v>
      </c>
      <c r="D96" vm="928">
        <f ca="1"/>
        <v>130.28</v>
      </c>
      <c r="E96">
        <f t="shared" ca="1" si="11"/>
        <v>-3.0871085323216585E-2</v>
      </c>
      <c r="F96" vm="929">
        <f ca="1"/>
        <v>404</v>
      </c>
      <c r="G96">
        <f t="shared" ca="1" si="12"/>
        <v>-1.0313319124960143E-2</v>
      </c>
      <c r="H96" vm="930">
        <f ca="1"/>
        <v>668.13</v>
      </c>
      <c r="I96">
        <f t="shared" ca="1" si="13"/>
        <v>-2.2558700899714665E-2</v>
      </c>
      <c r="J96" vm="931">
        <f ca="1"/>
        <v>179.25</v>
      </c>
      <c r="K96">
        <f t="shared" ca="1" si="14"/>
        <v>-2.2820883891795426E-3</v>
      </c>
      <c r="L96" vm="932">
        <f ca="1"/>
        <v>597.21</v>
      </c>
      <c r="M96">
        <f t="shared" ca="1" si="15"/>
        <v>-4.5504550455045803E-3</v>
      </c>
      <c r="N96" vm="932">
        <f ca="1"/>
        <v>597.21</v>
      </c>
      <c r="O96">
        <f t="shared" ca="1" si="16"/>
        <v>-4.5504550455045803E-3</v>
      </c>
      <c r="P96" vm="933">
        <f ca="1"/>
        <v>272.20999999999998</v>
      </c>
      <c r="Q96">
        <f t="shared" ca="1" si="17"/>
        <v>5.429563418778054E-3</v>
      </c>
      <c r="R96" vm="934">
        <f ca="1"/>
        <v>75.97</v>
      </c>
      <c r="S96">
        <f t="shared" ca="1" si="18"/>
        <v>8.2282680822827418E-3</v>
      </c>
      <c r="T96" vm="935">
        <f ca="1"/>
        <v>93.91</v>
      </c>
      <c r="U96">
        <f t="shared" ca="1" si="19"/>
        <v>2.1342439440828393E-3</v>
      </c>
    </row>
    <row r="97" spans="1:21" x14ac:dyDescent="0.2">
      <c r="A97" vm="936">
        <f ca="1"/>
        <v>45713</v>
      </c>
      <c r="B97" vm="937">
        <f ca="1"/>
        <v>247.04</v>
      </c>
      <c r="C97">
        <f t="shared" ca="1" si="10"/>
        <v>-2.4281667341158347E-4</v>
      </c>
      <c r="D97" vm="938">
        <f ca="1"/>
        <v>126.63</v>
      </c>
      <c r="E97">
        <f t="shared" ca="1" si="11"/>
        <v>-2.8016579674547171E-2</v>
      </c>
      <c r="F97" vm="939">
        <f ca="1"/>
        <v>397.9</v>
      </c>
      <c r="G97">
        <f t="shared" ca="1" si="12"/>
        <v>-1.5099009900990156E-2</v>
      </c>
      <c r="H97" vm="940">
        <f ca="1"/>
        <v>657.5</v>
      </c>
      <c r="I97">
        <f t="shared" ca="1" si="13"/>
        <v>-1.5910077380150562E-2</v>
      </c>
      <c r="J97" vm="941">
        <f ca="1"/>
        <v>175.42</v>
      </c>
      <c r="K97">
        <f t="shared" ca="1" si="14"/>
        <v>-2.1366806136680683E-2</v>
      </c>
      <c r="L97" vm="942">
        <f ca="1"/>
        <v>594.24</v>
      </c>
      <c r="M97">
        <f t="shared" ca="1" si="15"/>
        <v>-4.9731250313960369E-3</v>
      </c>
      <c r="N97" vm="942">
        <f ca="1"/>
        <v>594.24</v>
      </c>
      <c r="O97">
        <f t="shared" ca="1" si="16"/>
        <v>-4.9731250313960369E-3</v>
      </c>
      <c r="P97" vm="943">
        <f ca="1"/>
        <v>268.62</v>
      </c>
      <c r="Q97">
        <f t="shared" ca="1" si="17"/>
        <v>-1.3188347231916444E-2</v>
      </c>
      <c r="R97" vm="944">
        <f ca="1"/>
        <v>74.13</v>
      </c>
      <c r="S97">
        <f t="shared" ca="1" si="18"/>
        <v>-2.4220086876398622E-2</v>
      </c>
      <c r="T97" vm="945">
        <f ca="1"/>
        <v>94.65</v>
      </c>
      <c r="U97">
        <f t="shared" ca="1" si="19"/>
        <v>7.879884996273125E-3</v>
      </c>
    </row>
    <row r="98" spans="1:21" x14ac:dyDescent="0.2">
      <c r="A98" vm="946">
        <f ca="1"/>
        <v>45714</v>
      </c>
      <c r="B98" vm="947">
        <f ca="1"/>
        <v>240.36</v>
      </c>
      <c r="C98">
        <f t="shared" ca="1" si="10"/>
        <v>-2.704015544041442E-2</v>
      </c>
      <c r="D98" vm="948">
        <f ca="1"/>
        <v>131.28</v>
      </c>
      <c r="E98">
        <f t="shared" ca="1" si="11"/>
        <v>3.6721156124141244E-2</v>
      </c>
      <c r="F98" vm="949">
        <f ca="1"/>
        <v>399.73</v>
      </c>
      <c r="G98">
        <f t="shared" ca="1" si="12"/>
        <v>4.5991455139483316E-3</v>
      </c>
      <c r="H98" vm="950">
        <f ca="1"/>
        <v>673.7</v>
      </c>
      <c r="I98">
        <f t="shared" ca="1" si="13"/>
        <v>2.4638783269962047E-2</v>
      </c>
      <c r="J98" vm="951">
        <f ca="1"/>
        <v>172.73</v>
      </c>
      <c r="K98">
        <f t="shared" ca="1" si="14"/>
        <v>-1.533462547029984E-2</v>
      </c>
      <c r="L98" vm="952">
        <f ca="1"/>
        <v>594.54</v>
      </c>
      <c r="M98">
        <f t="shared" ca="1" si="15"/>
        <v>5.0484652665582007E-4</v>
      </c>
      <c r="N98" vm="952">
        <f ca="1"/>
        <v>594.54</v>
      </c>
      <c r="O98">
        <f t="shared" ca="1" si="16"/>
        <v>5.0484652665582007E-4</v>
      </c>
      <c r="P98" vm="953">
        <f ca="1"/>
        <v>269.02999999999997</v>
      </c>
      <c r="Q98">
        <f t="shared" ca="1" si="17"/>
        <v>1.5263197081377715E-3</v>
      </c>
      <c r="R98" vm="572">
        <f ca="1"/>
        <v>73.849999999999994</v>
      </c>
      <c r="S98">
        <f t="shared" ca="1" si="18"/>
        <v>-3.7771482530689483E-3</v>
      </c>
      <c r="T98" vm="954">
        <f ca="1"/>
        <v>94.91</v>
      </c>
      <c r="U98">
        <f t="shared" ca="1" si="19"/>
        <v>2.7469624933966286E-3</v>
      </c>
    </row>
    <row r="99" spans="1:21" x14ac:dyDescent="0.2">
      <c r="A99" vm="955">
        <f ca="1"/>
        <v>45715</v>
      </c>
      <c r="B99" vm="956">
        <f ca="1"/>
        <v>237.3</v>
      </c>
      <c r="C99">
        <f t="shared" ca="1" si="10"/>
        <v>-1.273090364453321E-2</v>
      </c>
      <c r="D99" vm="957">
        <f ca="1"/>
        <v>120.15</v>
      </c>
      <c r="E99">
        <f t="shared" ca="1" si="11"/>
        <v>-8.4780621572212028E-2</v>
      </c>
      <c r="F99" vm="958">
        <f ca="1"/>
        <v>392.53</v>
      </c>
      <c r="G99">
        <f t="shared" ca="1" si="12"/>
        <v>-1.8012158206789697E-2</v>
      </c>
      <c r="H99" vm="959">
        <f ca="1"/>
        <v>658.24</v>
      </c>
      <c r="I99">
        <f t="shared" ca="1" si="13"/>
        <v>-2.2947899658601802E-2</v>
      </c>
      <c r="J99" vm="960">
        <f ca="1"/>
        <v>168.5</v>
      </c>
      <c r="K99">
        <f t="shared" ca="1" si="14"/>
        <v>-2.4489087014415503E-2</v>
      </c>
      <c r="L99" vm="961">
        <f ca="1"/>
        <v>585.04999999999995</v>
      </c>
      <c r="M99">
        <f t="shared" ca="1" si="15"/>
        <v>-1.5961920139940137E-2</v>
      </c>
      <c r="N99" vm="961">
        <f ca="1"/>
        <v>585.04999999999995</v>
      </c>
      <c r="O99">
        <f t="shared" ca="1" si="16"/>
        <v>-1.5961920139940137E-2</v>
      </c>
      <c r="P99" vm="962">
        <f ca="1"/>
        <v>264.93</v>
      </c>
      <c r="Q99">
        <f t="shared" ca="1" si="17"/>
        <v>-1.5239936066609547E-2</v>
      </c>
      <c r="R99" vm="963">
        <f ca="1"/>
        <v>75.28</v>
      </c>
      <c r="S99">
        <f t="shared" ca="1" si="18"/>
        <v>1.9363574813811874E-2</v>
      </c>
      <c r="T99" vm="964">
        <f ca="1"/>
        <v>94.8</v>
      </c>
      <c r="U99">
        <f t="shared" ca="1" si="19"/>
        <v>-1.158992729954688E-3</v>
      </c>
    </row>
    <row r="100" spans="1:21" x14ac:dyDescent="0.2">
      <c r="A100" vm="965">
        <f ca="1"/>
        <v>45716</v>
      </c>
      <c r="B100" vm="966">
        <f ca="1"/>
        <v>241.84</v>
      </c>
      <c r="C100">
        <f t="shared" ca="1" si="10"/>
        <v>1.9131900547829716E-2</v>
      </c>
      <c r="D100" vm="967">
        <f ca="1"/>
        <v>124.92</v>
      </c>
      <c r="E100">
        <f t="shared" ca="1" si="11"/>
        <v>3.970037453183517E-2</v>
      </c>
      <c r="F100" vm="968">
        <f ca="1"/>
        <v>396.99</v>
      </c>
      <c r="G100">
        <f t="shared" ca="1" si="12"/>
        <v>1.1362188877283359E-2</v>
      </c>
      <c r="H100" vm="969">
        <f ca="1"/>
        <v>668.2</v>
      </c>
      <c r="I100">
        <f t="shared" ca="1" si="13"/>
        <v>1.513125911521639E-2</v>
      </c>
      <c r="J100" vm="970">
        <f ca="1"/>
        <v>170.28</v>
      </c>
      <c r="K100">
        <f t="shared" ca="1" si="14"/>
        <v>1.0563798219584577E-2</v>
      </c>
      <c r="L100" vm="971">
        <f ca="1"/>
        <v>594.17999999999995</v>
      </c>
      <c r="M100">
        <f t="shared" ca="1" si="15"/>
        <v>1.5605503803093746E-2</v>
      </c>
      <c r="N100" vm="971">
        <f ca="1"/>
        <v>594.17999999999995</v>
      </c>
      <c r="O100">
        <f t="shared" ca="1" si="16"/>
        <v>1.5605503803093746E-2</v>
      </c>
      <c r="P100" vm="972">
        <f ca="1"/>
        <v>263.27</v>
      </c>
      <c r="Q100">
        <f t="shared" ca="1" si="17"/>
        <v>-6.2658060619787299E-3</v>
      </c>
      <c r="R100" vm="973">
        <f ca="1"/>
        <v>75.22</v>
      </c>
      <c r="S100">
        <f t="shared" ca="1" si="18"/>
        <v>-7.9702444208292074E-4</v>
      </c>
      <c r="T100" vm="974">
        <f ca="1"/>
        <v>95.32</v>
      </c>
      <c r="U100">
        <f t="shared" ca="1" si="19"/>
        <v>5.4852320675105063E-3</v>
      </c>
    </row>
    <row r="101" spans="1:21" x14ac:dyDescent="0.2">
      <c r="A101" vm="975">
        <f ca="1"/>
        <v>45719</v>
      </c>
      <c r="B101" vm="976">
        <f ca="1"/>
        <v>238.03</v>
      </c>
      <c r="C101">
        <f t="shared" ca="1" si="10"/>
        <v>-1.5754217664571628E-2</v>
      </c>
      <c r="D101" vm="977">
        <f ca="1"/>
        <v>114.06</v>
      </c>
      <c r="E101">
        <f t="shared" ca="1" si="11"/>
        <v>-8.6935638808837645E-2</v>
      </c>
      <c r="F101" vm="978">
        <f ca="1"/>
        <v>388.49</v>
      </c>
      <c r="G101">
        <f t="shared" ca="1" si="12"/>
        <v>-2.1411118667976521E-2</v>
      </c>
      <c r="H101" vm="979">
        <f ca="1"/>
        <v>655.04999999999995</v>
      </c>
      <c r="I101">
        <f t="shared" ca="1" si="13"/>
        <v>-1.9679736605806779E-2</v>
      </c>
      <c r="J101" vm="980">
        <f ca="1"/>
        <v>167.01</v>
      </c>
      <c r="K101">
        <f t="shared" ca="1" si="14"/>
        <v>-1.9203664552501821E-2</v>
      </c>
      <c r="L101" vm="981">
        <f ca="1"/>
        <v>583.77</v>
      </c>
      <c r="M101">
        <f t="shared" ca="1" si="15"/>
        <v>-1.7519943451479298E-2</v>
      </c>
      <c r="N101" vm="981">
        <f ca="1"/>
        <v>583.77</v>
      </c>
      <c r="O101">
        <f t="shared" ca="1" si="16"/>
        <v>-1.7519943451479298E-2</v>
      </c>
      <c r="P101" vm="982">
        <f ca="1"/>
        <v>266.74</v>
      </c>
      <c r="Q101">
        <f t="shared" ca="1" si="17"/>
        <v>1.3180385155923681E-2</v>
      </c>
      <c r="R101" vm="983">
        <f ca="1"/>
        <v>73.319999999999993</v>
      </c>
      <c r="S101">
        <f t="shared" ca="1" si="18"/>
        <v>-2.5259239563945834E-2</v>
      </c>
      <c r="T101" vm="984">
        <f ca="1"/>
        <v>95.39</v>
      </c>
      <c r="U101">
        <f t="shared" ca="1" si="19"/>
        <v>7.3436844313897809E-4</v>
      </c>
    </row>
    <row r="102" spans="1:21" x14ac:dyDescent="0.2">
      <c r="A102" vm="985">
        <f ca="1"/>
        <v>45720</v>
      </c>
      <c r="B102" vm="986">
        <f ca="1"/>
        <v>235.93</v>
      </c>
      <c r="C102">
        <f t="shared" ca="1" si="10"/>
        <v>-8.8224173423517797E-3</v>
      </c>
      <c r="D102" vm="987">
        <f ca="1"/>
        <v>115.99</v>
      </c>
      <c r="E102">
        <f t="shared" ca="1" si="11"/>
        <v>1.6920918814658886E-2</v>
      </c>
      <c r="F102" vm="988">
        <f ca="1"/>
        <v>388.61</v>
      </c>
      <c r="G102">
        <f t="shared" ca="1" si="12"/>
        <v>3.0888825967207535E-4</v>
      </c>
      <c r="H102" vm="989">
        <f ca="1"/>
        <v>640</v>
      </c>
      <c r="I102">
        <f t="shared" ca="1" si="13"/>
        <v>-2.2975345393481346E-2</v>
      </c>
      <c r="J102" vm="990">
        <f ca="1"/>
        <v>170.92</v>
      </c>
      <c r="K102">
        <f t="shared" ca="1" si="14"/>
        <v>2.3411771750194581E-2</v>
      </c>
      <c r="L102" vm="991">
        <f ca="1"/>
        <v>576.86</v>
      </c>
      <c r="M102">
        <f t="shared" ca="1" si="15"/>
        <v>-1.1836853555338521E-2</v>
      </c>
      <c r="N102" vm="991">
        <f ca="1"/>
        <v>576.86</v>
      </c>
      <c r="O102">
        <f t="shared" ca="1" si="16"/>
        <v>-1.1836853555338521E-2</v>
      </c>
      <c r="P102" vm="992">
        <f ca="1"/>
        <v>269.06</v>
      </c>
      <c r="Q102">
        <f t="shared" ca="1" si="17"/>
        <v>8.6976081577565915E-3</v>
      </c>
      <c r="R102" vm="993">
        <f ca="1"/>
        <v>73.31</v>
      </c>
      <c r="S102">
        <f t="shared" ca="1" si="18"/>
        <v>-1.3638843426065064E-4</v>
      </c>
      <c r="T102" vm="994">
        <f ca="1"/>
        <v>95.09</v>
      </c>
      <c r="U102">
        <f t="shared" ca="1" si="19"/>
        <v>-3.1449837509172573E-3</v>
      </c>
    </row>
    <row r="103" spans="1:21" x14ac:dyDescent="0.2">
      <c r="A103" vm="995">
        <f ca="1"/>
        <v>45721</v>
      </c>
      <c r="B103" vm="996">
        <f ca="1"/>
        <v>235.74</v>
      </c>
      <c r="C103">
        <f t="shared" ca="1" si="10"/>
        <v>-8.0532361293603064E-4</v>
      </c>
      <c r="D103" vm="997">
        <f ca="1"/>
        <v>117.3</v>
      </c>
      <c r="E103">
        <f t="shared" ca="1" si="11"/>
        <v>1.1294077075609987E-2</v>
      </c>
      <c r="F103" vm="998">
        <f ca="1"/>
        <v>401.02</v>
      </c>
      <c r="G103">
        <f t="shared" ca="1" si="12"/>
        <v>3.1934330048120144E-2</v>
      </c>
      <c r="H103" vm="999">
        <f ca="1"/>
        <v>656.47</v>
      </c>
      <c r="I103">
        <f t="shared" ca="1" si="13"/>
        <v>2.5734375000000042E-2</v>
      </c>
      <c r="J103" vm="1000">
        <f ca="1"/>
        <v>173.02</v>
      </c>
      <c r="K103">
        <f t="shared" ca="1" si="14"/>
        <v>1.2286449801076661E-2</v>
      </c>
      <c r="L103" vm="1001">
        <f ca="1"/>
        <v>583.05999999999995</v>
      </c>
      <c r="M103">
        <f t="shared" ca="1" si="15"/>
        <v>1.074784176403275E-2</v>
      </c>
      <c r="N103" vm="1001">
        <f ca="1"/>
        <v>583.05999999999995</v>
      </c>
      <c r="O103">
        <f t="shared" ca="1" si="16"/>
        <v>1.074784176403275E-2</v>
      </c>
      <c r="P103" vm="1002">
        <f ca="1"/>
        <v>269.62</v>
      </c>
      <c r="Q103">
        <f t="shared" ca="1" si="17"/>
        <v>2.0813201516390479E-3</v>
      </c>
      <c r="R103" vm="1003">
        <f ca="1"/>
        <v>71.42</v>
      </c>
      <c r="S103">
        <f t="shared" ca="1" si="18"/>
        <v>-2.5780930296003281E-2</v>
      </c>
      <c r="T103" vm="1004">
        <f ca="1"/>
        <v>94.56</v>
      </c>
      <c r="U103">
        <f t="shared" ca="1" si="19"/>
        <v>-5.5736670522662859E-3</v>
      </c>
    </row>
    <row r="104" spans="1:21" x14ac:dyDescent="0.2">
      <c r="A104" vm="1005">
        <f ca="1"/>
        <v>45722</v>
      </c>
      <c r="B104" vm="1006">
        <f ca="1"/>
        <v>235.33</v>
      </c>
      <c r="C104">
        <f t="shared" ca="1" si="10"/>
        <v>-1.7392042080257766E-3</v>
      </c>
      <c r="D104" vm="1007">
        <f ca="1"/>
        <v>110.57</v>
      </c>
      <c r="E104">
        <f t="shared" ca="1" si="11"/>
        <v>-5.7374254049445898E-2</v>
      </c>
      <c r="F104" vm="1008">
        <f ca="1"/>
        <v>396.89</v>
      </c>
      <c r="G104">
        <f t="shared" ca="1" si="12"/>
        <v>-1.0298738217545249E-2</v>
      </c>
      <c r="H104" vm="1009">
        <f ca="1"/>
        <v>627.92999999999995</v>
      </c>
      <c r="I104">
        <f t="shared" ca="1" si="13"/>
        <v>-4.3474949350313152E-2</v>
      </c>
      <c r="J104" vm="1010">
        <f ca="1"/>
        <v>172.35</v>
      </c>
      <c r="K104">
        <f t="shared" ca="1" si="14"/>
        <v>-3.8723846954110269E-3</v>
      </c>
      <c r="L104" vm="1011">
        <f ca="1"/>
        <v>572.71</v>
      </c>
      <c r="M104">
        <f t="shared" ca="1" si="15"/>
        <v>-1.7751174836208812E-2</v>
      </c>
      <c r="N104" vm="1011">
        <f ca="1"/>
        <v>572.71</v>
      </c>
      <c r="O104">
        <f t="shared" ca="1" si="16"/>
        <v>-1.7751174836208812E-2</v>
      </c>
      <c r="P104" vm="1012">
        <f ca="1"/>
        <v>268.25</v>
      </c>
      <c r="Q104">
        <f t="shared" ca="1" si="17"/>
        <v>-5.0812254283807007E-3</v>
      </c>
      <c r="R104" vm="1013">
        <f ca="1"/>
        <v>71.13</v>
      </c>
      <c r="S104">
        <f t="shared" ca="1" si="18"/>
        <v>-4.0604872584711037E-3</v>
      </c>
      <c r="T104" vm="1014">
        <f ca="1"/>
        <v>94.51</v>
      </c>
      <c r="U104">
        <f t="shared" ca="1" si="19"/>
        <v>-5.2876480541452157E-4</v>
      </c>
    </row>
    <row r="105" spans="1:21" x14ac:dyDescent="0.2">
      <c r="A105" vm="1015">
        <f ca="1"/>
        <v>45723</v>
      </c>
      <c r="B105" vm="1016">
        <f ca="1"/>
        <v>239.07</v>
      </c>
      <c r="C105">
        <f t="shared" ca="1" si="10"/>
        <v>1.5892576382101647E-2</v>
      </c>
      <c r="D105" vm="1017">
        <f ca="1"/>
        <v>112.69</v>
      </c>
      <c r="E105">
        <f t="shared" ca="1" si="11"/>
        <v>1.9173374333001762E-2</v>
      </c>
      <c r="F105" vm="1018">
        <f ca="1"/>
        <v>393.31</v>
      </c>
      <c r="G105">
        <f t="shared" ca="1" si="12"/>
        <v>-9.0201315225880829E-3</v>
      </c>
      <c r="H105" vm="1019">
        <f ca="1"/>
        <v>625.66</v>
      </c>
      <c r="I105">
        <f t="shared" ca="1" si="13"/>
        <v>-3.6150526332552704E-3</v>
      </c>
      <c r="J105" vm="1020">
        <f ca="1"/>
        <v>173.86</v>
      </c>
      <c r="K105">
        <f t="shared" ca="1" si="14"/>
        <v>8.7612416594140957E-3</v>
      </c>
      <c r="L105" vm="1021">
        <f ca="1"/>
        <v>575.91999999999996</v>
      </c>
      <c r="M105">
        <f t="shared" ca="1" si="15"/>
        <v>5.6049309423616186E-3</v>
      </c>
      <c r="N105" vm="1021">
        <f ca="1"/>
        <v>575.91999999999996</v>
      </c>
      <c r="O105">
        <f t="shared" ca="1" si="16"/>
        <v>5.6049309423616186E-3</v>
      </c>
      <c r="P105" vm="1022">
        <f ca="1"/>
        <v>268.39</v>
      </c>
      <c r="Q105">
        <f t="shared" ca="1" si="17"/>
        <v>5.2190121155633307E-4</v>
      </c>
      <c r="R105" vm="1023">
        <f ca="1"/>
        <v>72.09</v>
      </c>
      <c r="S105">
        <f t="shared" ca="1" si="18"/>
        <v>1.3496415014761816E-2</v>
      </c>
      <c r="T105" vm="1024">
        <f ca="1"/>
        <v>94.39</v>
      </c>
      <c r="U105">
        <f t="shared" ca="1" si="19"/>
        <v>-1.2697069093218129E-3</v>
      </c>
    </row>
    <row r="106" spans="1:21" x14ac:dyDescent="0.2">
      <c r="A106" vm="1025">
        <f ca="1"/>
        <v>45726</v>
      </c>
      <c r="B106" vm="235">
        <f ca="1"/>
        <v>227.48</v>
      </c>
      <c r="C106">
        <f t="shared" ca="1" si="10"/>
        <v>-4.8479524825364974E-2</v>
      </c>
      <c r="D106" vm="1026">
        <f ca="1"/>
        <v>106.98</v>
      </c>
      <c r="E106">
        <f t="shared" ca="1" si="11"/>
        <v>-5.0669979590025678E-2</v>
      </c>
      <c r="F106" vm="1027">
        <f ca="1"/>
        <v>380.16</v>
      </c>
      <c r="G106">
        <f t="shared" ca="1" si="12"/>
        <v>-3.3434186773791605E-2</v>
      </c>
      <c r="H106" vm="1028">
        <f ca="1"/>
        <v>597.99</v>
      </c>
      <c r="I106">
        <f t="shared" ca="1" si="13"/>
        <v>-4.4225298085221944E-2</v>
      </c>
      <c r="J106" vm="1029">
        <f ca="1"/>
        <v>165.87</v>
      </c>
      <c r="K106">
        <f t="shared" ca="1" si="14"/>
        <v>-4.5956516737605022E-2</v>
      </c>
      <c r="L106" vm="1030">
        <f ca="1"/>
        <v>560.58000000000004</v>
      </c>
      <c r="M106">
        <f t="shared" ca="1" si="15"/>
        <v>-2.6635643839422001E-2</v>
      </c>
      <c r="N106" vm="1030">
        <f ca="1"/>
        <v>560.58000000000004</v>
      </c>
      <c r="O106">
        <f t="shared" ca="1" si="16"/>
        <v>-2.6635643839422001E-2</v>
      </c>
      <c r="P106" vm="1031">
        <f ca="1"/>
        <v>266.04000000000002</v>
      </c>
      <c r="Q106">
        <f t="shared" ca="1" si="17"/>
        <v>-8.7559148999588887E-3</v>
      </c>
      <c r="R106" vm="1032">
        <f ca="1"/>
        <v>70.89</v>
      </c>
      <c r="S106">
        <f t="shared" ca="1" si="18"/>
        <v>-1.6645859342488595E-2</v>
      </c>
      <c r="T106" vm="1033">
        <f ca="1"/>
        <v>95.05</v>
      </c>
      <c r="U106">
        <f t="shared" ca="1" si="19"/>
        <v>6.9922661298866045E-3</v>
      </c>
    </row>
    <row r="107" spans="1:21" x14ac:dyDescent="0.2">
      <c r="A107" vm="1034">
        <f ca="1"/>
        <v>45727</v>
      </c>
      <c r="B107" vm="1035">
        <f ca="1"/>
        <v>220.84</v>
      </c>
      <c r="C107">
        <f t="shared" ca="1" si="10"/>
        <v>-2.9189379286091027E-2</v>
      </c>
      <c r="D107" vm="1036">
        <f ca="1"/>
        <v>108.76</v>
      </c>
      <c r="E107">
        <f t="shared" ca="1" si="11"/>
        <v>1.6638624041876996E-2</v>
      </c>
      <c r="F107" vm="1037">
        <f ca="1"/>
        <v>380.45</v>
      </c>
      <c r="G107">
        <f t="shared" ca="1" si="12"/>
        <v>7.628367003366046E-4</v>
      </c>
      <c r="H107" vm="1038">
        <f ca="1"/>
        <v>605.71</v>
      </c>
      <c r="I107">
        <f t="shared" ca="1" si="13"/>
        <v>1.2909914881519803E-2</v>
      </c>
      <c r="J107" vm="1039">
        <f ca="1"/>
        <v>164.04</v>
      </c>
      <c r="K107">
        <f t="shared" ca="1" si="14"/>
        <v>-1.1032736480376273E-2</v>
      </c>
      <c r="L107" vm="1040">
        <f ca="1"/>
        <v>555.91999999999996</v>
      </c>
      <c r="M107">
        <f t="shared" ca="1" si="15"/>
        <v>-8.3128188661744651E-3</v>
      </c>
      <c r="N107" vm="1040">
        <f ca="1"/>
        <v>555.91999999999996</v>
      </c>
      <c r="O107">
        <f t="shared" ca="1" si="16"/>
        <v>-8.3128188661744651E-3</v>
      </c>
      <c r="P107" vm="1041">
        <f ca="1"/>
        <v>269.16000000000003</v>
      </c>
      <c r="Q107">
        <f t="shared" ca="1" si="17"/>
        <v>1.1727559765448821E-2</v>
      </c>
      <c r="R107" vm="1042">
        <f ca="1"/>
        <v>71.45</v>
      </c>
      <c r="S107">
        <f t="shared" ca="1" si="18"/>
        <v>7.8995627027789849E-3</v>
      </c>
      <c r="T107" vm="173">
        <f ca="1"/>
        <v>94.71</v>
      </c>
      <c r="U107">
        <f t="shared" ca="1" si="19"/>
        <v>-3.5770647027880422E-3</v>
      </c>
    </row>
    <row r="108" spans="1:21" x14ac:dyDescent="0.2">
      <c r="A108" vm="1043">
        <f ca="1"/>
        <v>45728</v>
      </c>
      <c r="B108" vm="1044">
        <f ca="1"/>
        <v>216.98</v>
      </c>
      <c r="C108">
        <f t="shared" ca="1" si="10"/>
        <v>-1.747871762361897E-2</v>
      </c>
      <c r="D108" vm="1045">
        <f ca="1"/>
        <v>115.74</v>
      </c>
      <c r="E108">
        <f t="shared" ca="1" si="11"/>
        <v>6.4178006620080816E-2</v>
      </c>
      <c r="F108" vm="1046">
        <f ca="1"/>
        <v>383.27</v>
      </c>
      <c r="G108">
        <f t="shared" ca="1" si="12"/>
        <v>7.4122749375739082E-3</v>
      </c>
      <c r="H108" vm="1047">
        <f ca="1"/>
        <v>619.55999999999995</v>
      </c>
      <c r="I108">
        <f t="shared" ca="1" si="13"/>
        <v>2.2865727823545769E-2</v>
      </c>
      <c r="J108" vm="1048">
        <f ca="1"/>
        <v>167.11</v>
      </c>
      <c r="K108">
        <f t="shared" ca="1" si="14"/>
        <v>1.871494757376263E-2</v>
      </c>
      <c r="L108" vm="1049">
        <f ca="1"/>
        <v>558.87</v>
      </c>
      <c r="M108">
        <f t="shared" ca="1" si="15"/>
        <v>5.3065189235862098E-3</v>
      </c>
      <c r="N108" vm="1049">
        <f ca="1"/>
        <v>558.87</v>
      </c>
      <c r="O108">
        <f t="shared" ca="1" si="16"/>
        <v>5.3065189235862098E-3</v>
      </c>
      <c r="P108" vm="1050">
        <f ca="1"/>
        <v>270.33</v>
      </c>
      <c r="Q108">
        <f t="shared" ca="1" si="17"/>
        <v>4.3468568880961475E-3</v>
      </c>
      <c r="R108" vm="1051">
        <f ca="1"/>
        <v>72.8</v>
      </c>
      <c r="S108">
        <f t="shared" ca="1" si="18"/>
        <v>1.8894331700489774E-2</v>
      </c>
      <c r="T108" vm="1052">
        <f ca="1"/>
        <v>94.43</v>
      </c>
      <c r="U108">
        <f t="shared" ca="1" si="19"/>
        <v>-2.9563932002955014E-3</v>
      </c>
    </row>
    <row r="109" spans="1:21" x14ac:dyDescent="0.2">
      <c r="A109" vm="1053">
        <f ca="1"/>
        <v>45729</v>
      </c>
      <c r="B109" vm="1054">
        <f ca="1"/>
        <v>209.68</v>
      </c>
      <c r="C109">
        <f t="shared" ca="1" si="10"/>
        <v>-3.3643653792976236E-2</v>
      </c>
      <c r="D109" vm="1055">
        <f ca="1"/>
        <v>115.58</v>
      </c>
      <c r="E109">
        <f t="shared" ca="1" si="11"/>
        <v>-1.382408847416594E-3</v>
      </c>
      <c r="F109" vm="1056">
        <f ca="1"/>
        <v>378.77</v>
      </c>
      <c r="G109">
        <f t="shared" ca="1" si="12"/>
        <v>-1.1741070263782712E-2</v>
      </c>
      <c r="H109" vm="1057">
        <f ca="1"/>
        <v>590.64</v>
      </c>
      <c r="I109">
        <f t="shared" ca="1" si="13"/>
        <v>-4.6678287817160505E-2</v>
      </c>
      <c r="J109" vm="1058">
        <f ca="1"/>
        <v>162.76</v>
      </c>
      <c r="K109">
        <f t="shared" ca="1" si="14"/>
        <v>-2.6030758183232736E-2</v>
      </c>
      <c r="L109" vm="1059">
        <f ca="1"/>
        <v>551.41999999999996</v>
      </c>
      <c r="M109">
        <f t="shared" ca="1" si="15"/>
        <v>-1.3330470413513063E-2</v>
      </c>
      <c r="N109" vm="1059">
        <f ca="1"/>
        <v>551.41999999999996</v>
      </c>
      <c r="O109">
        <f t="shared" ca="1" si="16"/>
        <v>-1.3330470413513063E-2</v>
      </c>
      <c r="P109" vm="1060">
        <f ca="1"/>
        <v>275.13</v>
      </c>
      <c r="Q109">
        <f t="shared" ca="1" si="17"/>
        <v>1.7756075907224545E-2</v>
      </c>
      <c r="R109" vm="1061">
        <f ca="1"/>
        <v>71.62</v>
      </c>
      <c r="S109">
        <f t="shared" ca="1" si="18"/>
        <v>-1.620879120879111E-2</v>
      </c>
      <c r="T109" vm="1062">
        <f ca="1"/>
        <v>94.81</v>
      </c>
      <c r="U109">
        <f t="shared" ca="1" si="19"/>
        <v>4.0241448692152435E-3</v>
      </c>
    </row>
    <row r="110" spans="1:21" x14ac:dyDescent="0.2">
      <c r="A110" vm="1063">
        <f ca="1"/>
        <v>45730</v>
      </c>
      <c r="B110" vm="1064">
        <f ca="1"/>
        <v>213.49</v>
      </c>
      <c r="C110">
        <f t="shared" ca="1" si="10"/>
        <v>1.8170545593285015E-2</v>
      </c>
      <c r="D110" vm="1065">
        <f ca="1"/>
        <v>121.67</v>
      </c>
      <c r="E110">
        <f t="shared" ca="1" si="11"/>
        <v>5.2690776951029618E-2</v>
      </c>
      <c r="F110" vm="1066">
        <f ca="1"/>
        <v>388.56</v>
      </c>
      <c r="G110">
        <f t="shared" ca="1" si="12"/>
        <v>2.5846819969902634E-2</v>
      </c>
      <c r="H110" vm="1067">
        <f ca="1"/>
        <v>607.6</v>
      </c>
      <c r="I110">
        <f t="shared" ca="1" si="13"/>
        <v>2.8714614655289239E-2</v>
      </c>
      <c r="J110" vm="1068">
        <f ca="1"/>
        <v>165.49</v>
      </c>
      <c r="K110">
        <f t="shared" ca="1" si="14"/>
        <v>1.6773162939297238E-2</v>
      </c>
      <c r="L110" vm="1069">
        <f ca="1"/>
        <v>562.80999999999995</v>
      </c>
      <c r="M110">
        <f t="shared" ca="1" si="15"/>
        <v>2.0655761488520524E-2</v>
      </c>
      <c r="N110" vm="1069">
        <f ca="1"/>
        <v>562.80999999999995</v>
      </c>
      <c r="O110">
        <f t="shared" ca="1" si="16"/>
        <v>2.0655761488520524E-2</v>
      </c>
      <c r="P110" vm="1070">
        <f ca="1"/>
        <v>275.24</v>
      </c>
      <c r="Q110">
        <f t="shared" ca="1" si="17"/>
        <v>3.9981099843715203E-4</v>
      </c>
      <c r="R110" vm="1071">
        <f ca="1"/>
        <v>72.28</v>
      </c>
      <c r="S110">
        <f t="shared" ca="1" si="18"/>
        <v>9.2153029879921324E-3</v>
      </c>
      <c r="T110" vm="1072">
        <f ca="1"/>
        <v>94.48</v>
      </c>
      <c r="U110">
        <f t="shared" ca="1" si="19"/>
        <v>-3.4806455015293563E-3</v>
      </c>
    </row>
    <row r="111" spans="1:21" x14ac:dyDescent="0.2">
      <c r="A111" vm="1073">
        <f ca="1"/>
        <v>45733</v>
      </c>
      <c r="B111" vm="1074">
        <f ca="1"/>
        <v>214</v>
      </c>
      <c r="C111">
        <f t="shared" ca="1" si="10"/>
        <v>2.3888706730994E-3</v>
      </c>
      <c r="D111" vm="1075">
        <f ca="1"/>
        <v>119.53</v>
      </c>
      <c r="E111">
        <f t="shared" ca="1" si="11"/>
        <v>-1.7588559217555689E-2</v>
      </c>
      <c r="F111" vm="1076">
        <f ca="1"/>
        <v>388.7</v>
      </c>
      <c r="G111">
        <f t="shared" ca="1" si="12"/>
        <v>3.6030471484451912E-4</v>
      </c>
      <c r="H111" vm="1077">
        <f ca="1"/>
        <v>604.9</v>
      </c>
      <c r="I111">
        <f t="shared" ca="1" si="13"/>
        <v>-4.4437129690586656E-3</v>
      </c>
      <c r="J111" vm="1078">
        <f ca="1"/>
        <v>164.29</v>
      </c>
      <c r="K111">
        <f t="shared" ca="1" si="14"/>
        <v>-7.2511934255847302E-3</v>
      </c>
      <c r="L111" vm="1079">
        <f ca="1"/>
        <v>567.15</v>
      </c>
      <c r="M111">
        <f t="shared" ca="1" si="15"/>
        <v>7.7113057692649953E-3</v>
      </c>
      <c r="N111" vm="1079">
        <f ca="1"/>
        <v>567.15</v>
      </c>
      <c r="O111">
        <f t="shared" ca="1" si="16"/>
        <v>7.7113057692649953E-3</v>
      </c>
      <c r="P111" vm="1080">
        <f ca="1"/>
        <v>276.73</v>
      </c>
      <c r="Q111">
        <f t="shared" ca="1" si="17"/>
        <v>5.413457346315975E-3</v>
      </c>
      <c r="R111" vm="1081">
        <f ca="1"/>
        <v>72.709999999999994</v>
      </c>
      <c r="S111">
        <f t="shared" ca="1" si="18"/>
        <v>5.9490868843385808E-3</v>
      </c>
      <c r="T111" vm="1004">
        <f ca="1"/>
        <v>94.56</v>
      </c>
      <c r="U111">
        <f t="shared" ca="1" si="19"/>
        <v>8.4674005080438491E-4</v>
      </c>
    </row>
    <row r="112" spans="1:21" x14ac:dyDescent="0.2">
      <c r="A112" vm="1082">
        <f ca="1"/>
        <v>45734</v>
      </c>
      <c r="B112" vm="1083">
        <f ca="1"/>
        <v>212.69</v>
      </c>
      <c r="C112">
        <f t="shared" ca="1" si="10"/>
        <v>-6.1214953271028147E-3</v>
      </c>
      <c r="D112" vm="1084">
        <f ca="1"/>
        <v>115.43</v>
      </c>
      <c r="E112">
        <f t="shared" ca="1" si="11"/>
        <v>-3.4301012298167774E-2</v>
      </c>
      <c r="F112" vm="1085">
        <f ca="1"/>
        <v>383.52</v>
      </c>
      <c r="G112">
        <f t="shared" ca="1" si="12"/>
        <v>-1.3326472858245451E-2</v>
      </c>
      <c r="H112" vm="1086">
        <f ca="1"/>
        <v>582.36</v>
      </c>
      <c r="I112">
        <f t="shared" ca="1" si="13"/>
        <v>-3.726235741444861E-2</v>
      </c>
      <c r="J112" vm="1087">
        <f ca="1"/>
        <v>160.66999999999999</v>
      </c>
      <c r="K112">
        <f t="shared" ca="1" si="14"/>
        <v>-2.2034207803274725E-2</v>
      </c>
      <c r="L112" vm="1088">
        <f ca="1"/>
        <v>561.02</v>
      </c>
      <c r="M112">
        <f t="shared" ca="1" si="15"/>
        <v>-1.080842810543947E-2</v>
      </c>
      <c r="N112" vm="1088">
        <f ca="1"/>
        <v>561.02</v>
      </c>
      <c r="O112">
        <f t="shared" ca="1" si="16"/>
        <v>-1.080842810543947E-2</v>
      </c>
      <c r="P112" vm="1089">
        <f ca="1"/>
        <v>279.95999999999998</v>
      </c>
      <c r="Q112">
        <f t="shared" ca="1" si="17"/>
        <v>1.1672026885411633E-2</v>
      </c>
      <c r="R112" vm="1090">
        <f ca="1"/>
        <v>72.209999999999994</v>
      </c>
      <c r="S112">
        <f t="shared" ca="1" si="18"/>
        <v>-6.8766332003850923E-3</v>
      </c>
      <c r="T112" vm="163">
        <f ca="1"/>
        <v>94.67</v>
      </c>
      <c r="U112">
        <f t="shared" ca="1" si="19"/>
        <v>1.1632825719120074E-3</v>
      </c>
    </row>
    <row r="113" spans="1:21" x14ac:dyDescent="0.2">
      <c r="A113" vm="1091">
        <f ca="1"/>
        <v>45735</v>
      </c>
      <c r="B113" vm="1092">
        <f ca="1"/>
        <v>215.24</v>
      </c>
      <c r="C113">
        <f t="shared" ca="1" si="10"/>
        <v>1.1989280173021822E-2</v>
      </c>
      <c r="D113" vm="1093">
        <f ca="1"/>
        <v>117.52</v>
      </c>
      <c r="E113">
        <f t="shared" ca="1" si="11"/>
        <v>1.8106211556787568E-2</v>
      </c>
      <c r="F113" vm="1094">
        <f ca="1"/>
        <v>387.82</v>
      </c>
      <c r="G113">
        <f t="shared" ca="1" si="12"/>
        <v>1.1211931581143126E-2</v>
      </c>
      <c r="H113" vm="1095">
        <f ca="1"/>
        <v>584.05999999999995</v>
      </c>
      <c r="I113">
        <f t="shared" ca="1" si="13"/>
        <v>2.9191565354762207E-3</v>
      </c>
      <c r="J113" vm="1096">
        <f ca="1"/>
        <v>163.89</v>
      </c>
      <c r="K113">
        <f t="shared" ca="1" si="14"/>
        <v>2.0041077985933898E-2</v>
      </c>
      <c r="L113" vm="1097">
        <f ca="1"/>
        <v>567.13</v>
      </c>
      <c r="M113">
        <f t="shared" ca="1" si="15"/>
        <v>1.0890877330576474E-2</v>
      </c>
      <c r="N113" vm="1097">
        <f ca="1"/>
        <v>567.13</v>
      </c>
      <c r="O113">
        <f t="shared" ca="1" si="16"/>
        <v>1.0890877330576474E-2</v>
      </c>
      <c r="P113" vm="1098">
        <f ca="1"/>
        <v>281.11</v>
      </c>
      <c r="Q113">
        <f t="shared" ca="1" si="17"/>
        <v>4.1077296756680745E-3</v>
      </c>
      <c r="R113" vm="1099">
        <f ca="1"/>
        <v>72.42</v>
      </c>
      <c r="S113">
        <f t="shared" ca="1" si="18"/>
        <v>2.9081844619859849E-3</v>
      </c>
      <c r="T113" vm="1100">
        <f ca="1"/>
        <v>94.96</v>
      </c>
      <c r="U113">
        <f t="shared" ca="1" si="19"/>
        <v>3.0632724199851275E-3</v>
      </c>
    </row>
    <row r="114" spans="1:21" x14ac:dyDescent="0.2">
      <c r="A114" vm="1101">
        <f ca="1"/>
        <v>45736</v>
      </c>
      <c r="B114" vm="1102">
        <f ca="1"/>
        <v>214.1</v>
      </c>
      <c r="C114">
        <f t="shared" ca="1" si="10"/>
        <v>-5.2964133060770056E-3</v>
      </c>
      <c r="D114" vm="1103">
        <f ca="1"/>
        <v>118.53</v>
      </c>
      <c r="E114">
        <f t="shared" ca="1" si="11"/>
        <v>8.5942818243703641E-3</v>
      </c>
      <c r="F114" vm="1104">
        <f ca="1"/>
        <v>386.84</v>
      </c>
      <c r="G114">
        <f t="shared" ca="1" si="12"/>
        <v>-2.5269454901759017E-3</v>
      </c>
      <c r="H114" vm="1105">
        <f ca="1"/>
        <v>586</v>
      </c>
      <c r="I114">
        <f t="shared" ca="1" si="13"/>
        <v>3.3215765503545095E-3</v>
      </c>
      <c r="J114" vm="1106">
        <f ca="1"/>
        <v>162.80000000000001</v>
      </c>
      <c r="K114">
        <f t="shared" ca="1" si="14"/>
        <v>-6.6508023674414244E-3</v>
      </c>
      <c r="L114" vm="1107">
        <f ca="1"/>
        <v>565.49</v>
      </c>
      <c r="M114">
        <f t="shared" ca="1" si="15"/>
        <v>-2.8917532135488977E-3</v>
      </c>
      <c r="N114" vm="1107">
        <f ca="1"/>
        <v>565.49</v>
      </c>
      <c r="O114">
        <f t="shared" ca="1" si="16"/>
        <v>-2.8917532135488977E-3</v>
      </c>
      <c r="P114" vm="1108">
        <f ca="1"/>
        <v>280.75</v>
      </c>
      <c r="Q114">
        <f t="shared" ca="1" si="17"/>
        <v>-1.2806374728754353E-3</v>
      </c>
      <c r="R114" vm="1109">
        <f ca="1"/>
        <v>73.73</v>
      </c>
      <c r="S114">
        <f t="shared" ca="1" si="18"/>
        <v>1.8088925711129553E-2</v>
      </c>
      <c r="T114" vm="144">
        <f ca="1"/>
        <v>95.1</v>
      </c>
      <c r="U114">
        <f t="shared" ca="1" si="19"/>
        <v>1.4743049705139067E-3</v>
      </c>
    </row>
    <row r="115" spans="1:21" x14ac:dyDescent="0.2">
      <c r="A115" vm="1110">
        <f ca="1"/>
        <v>45737</v>
      </c>
      <c r="B115" vm="1111">
        <f ca="1"/>
        <v>218.27</v>
      </c>
      <c r="C115">
        <f t="shared" ca="1" si="10"/>
        <v>1.9476879962634357E-2</v>
      </c>
      <c r="D115" vm="1112">
        <f ca="1"/>
        <v>117.7</v>
      </c>
      <c r="E115">
        <f t="shared" ca="1" si="11"/>
        <v>-7.002446637981931E-3</v>
      </c>
      <c r="F115" vm="1113">
        <f ca="1"/>
        <v>391.26</v>
      </c>
      <c r="G115">
        <f t="shared" ca="1" si="12"/>
        <v>1.1425912521972951E-2</v>
      </c>
      <c r="H115" vm="1114">
        <f ca="1"/>
        <v>596.25</v>
      </c>
      <c r="I115">
        <f t="shared" ca="1" si="13"/>
        <v>1.7491467576791809E-2</v>
      </c>
      <c r="J115" vm="1115">
        <f ca="1"/>
        <v>163.99</v>
      </c>
      <c r="K115">
        <f t="shared" ca="1" si="14"/>
        <v>7.3095823095822949E-3</v>
      </c>
      <c r="L115" vm="1116">
        <f ca="1"/>
        <v>563.98</v>
      </c>
      <c r="M115">
        <f t="shared" ca="1" si="15"/>
        <v>-2.6702505791437355E-3</v>
      </c>
      <c r="N115" vm="1116">
        <f ca="1"/>
        <v>563.98</v>
      </c>
      <c r="O115">
        <f t="shared" ca="1" si="16"/>
        <v>-2.6702505791437355E-3</v>
      </c>
      <c r="P115" vm="1117">
        <f ca="1"/>
        <v>278.49</v>
      </c>
      <c r="Q115">
        <f t="shared" ca="1" si="17"/>
        <v>-8.0498664292074484E-3</v>
      </c>
      <c r="R115" vm="1118">
        <f ca="1"/>
        <v>73.790000000000006</v>
      </c>
      <c r="S115">
        <f t="shared" ca="1" si="18"/>
        <v>8.1378000813783085E-4</v>
      </c>
      <c r="T115" vm="1119">
        <f ca="1"/>
        <v>95.02</v>
      </c>
      <c r="U115">
        <f t="shared" ca="1" si="19"/>
        <v>-8.4121976866454579E-4</v>
      </c>
    </row>
    <row r="116" spans="1:21" x14ac:dyDescent="0.2">
      <c r="A116" vm="1120">
        <f ca="1"/>
        <v>45740</v>
      </c>
      <c r="B116" vm="1121">
        <f ca="1"/>
        <v>220.73</v>
      </c>
      <c r="C116">
        <f t="shared" ca="1" si="10"/>
        <v>1.1270444861868234E-2</v>
      </c>
      <c r="D116" vm="1122">
        <f ca="1"/>
        <v>121.41</v>
      </c>
      <c r="E116">
        <f t="shared" ca="1" si="11"/>
        <v>3.1520815632965112E-2</v>
      </c>
      <c r="F116" vm="1123">
        <f ca="1"/>
        <v>393.08</v>
      </c>
      <c r="G116">
        <f t="shared" ca="1" si="12"/>
        <v>4.6516382967847292E-3</v>
      </c>
      <c r="H116" vm="1124">
        <f ca="1"/>
        <v>618.85</v>
      </c>
      <c r="I116">
        <f t="shared" ca="1" si="13"/>
        <v>3.7903563941299831E-2</v>
      </c>
      <c r="J116" vm="1125">
        <f ca="1"/>
        <v>167.68</v>
      </c>
      <c r="K116">
        <f t="shared" ca="1" si="14"/>
        <v>2.250137203488016E-2</v>
      </c>
      <c r="L116" vm="1126">
        <f ca="1"/>
        <v>574.08000000000004</v>
      </c>
      <c r="M116">
        <f t="shared" ca="1" si="15"/>
        <v>1.7908436469378387E-2</v>
      </c>
      <c r="N116" vm="1126">
        <f ca="1"/>
        <v>574.08000000000004</v>
      </c>
      <c r="O116">
        <f t="shared" ca="1" si="16"/>
        <v>1.7908436469378387E-2</v>
      </c>
      <c r="P116" vm="1127">
        <f ca="1"/>
        <v>277.25</v>
      </c>
      <c r="Q116">
        <f t="shared" ca="1" si="17"/>
        <v>-4.4525835757119074E-3</v>
      </c>
      <c r="R116" vm="1128">
        <f ca="1"/>
        <v>74.88</v>
      </c>
      <c r="S116">
        <f t="shared" ca="1" si="18"/>
        <v>1.4771649274969361E-2</v>
      </c>
      <c r="T116" vm="1129">
        <f ca="1"/>
        <v>94.47</v>
      </c>
      <c r="U116">
        <f t="shared" ca="1" si="19"/>
        <v>-5.7882551041885623E-3</v>
      </c>
    </row>
    <row r="117" spans="1:21" x14ac:dyDescent="0.2">
      <c r="A117" vm="1130">
        <f ca="1"/>
        <v>45741</v>
      </c>
      <c r="B117" vm="1131">
        <f ca="1"/>
        <v>223.75</v>
      </c>
      <c r="C117">
        <f t="shared" ca="1" si="10"/>
        <v>1.3681873782449193E-2</v>
      </c>
      <c r="D117" vm="1132">
        <f ca="1"/>
        <v>120.69</v>
      </c>
      <c r="E117">
        <f t="shared" ca="1" si="11"/>
        <v>-5.9303187546330526E-3</v>
      </c>
      <c r="F117" vm="1133">
        <f ca="1"/>
        <v>395.16</v>
      </c>
      <c r="G117">
        <f t="shared" ca="1" si="12"/>
        <v>5.291543706115908E-3</v>
      </c>
      <c r="H117" vm="1134">
        <f ca="1"/>
        <v>626.30999999999995</v>
      </c>
      <c r="I117">
        <f t="shared" ca="1" si="13"/>
        <v>1.2054617435565844E-2</v>
      </c>
      <c r="J117" vm="1135">
        <f ca="1"/>
        <v>170.56</v>
      </c>
      <c r="K117">
        <f t="shared" ca="1" si="14"/>
        <v>1.7175572519083943E-2</v>
      </c>
      <c r="L117" vm="1136">
        <f ca="1"/>
        <v>575.46</v>
      </c>
      <c r="M117">
        <f t="shared" ca="1" si="15"/>
        <v>2.4038461538461457E-3</v>
      </c>
      <c r="N117" vm="1136">
        <f ca="1"/>
        <v>575.46</v>
      </c>
      <c r="O117">
        <f t="shared" ca="1" si="16"/>
        <v>2.4038461538461457E-3</v>
      </c>
      <c r="P117" vm="1137">
        <f ca="1"/>
        <v>278.47000000000003</v>
      </c>
      <c r="Q117">
        <f t="shared" ca="1" si="17"/>
        <v>4.4003606853021725E-3</v>
      </c>
      <c r="R117" vm="582">
        <f ca="1"/>
        <v>74.819999999999993</v>
      </c>
      <c r="S117">
        <f t="shared" ca="1" si="18"/>
        <v>-8.0128205128208172E-4</v>
      </c>
      <c r="T117" vm="1138">
        <f ca="1"/>
        <v>94.63</v>
      </c>
      <c r="U117">
        <f t="shared" ca="1" si="19"/>
        <v>1.6936593627606287E-3</v>
      </c>
    </row>
    <row r="118" spans="1:21" x14ac:dyDescent="0.2">
      <c r="A118" vm="1139">
        <f ca="1"/>
        <v>45742</v>
      </c>
      <c r="B118" vm="1140">
        <f ca="1"/>
        <v>221.53</v>
      </c>
      <c r="C118">
        <f t="shared" ca="1" si="10"/>
        <v>-9.9217877094972019E-3</v>
      </c>
      <c r="D118" vm="1141">
        <f ca="1"/>
        <v>113.76</v>
      </c>
      <c r="E118">
        <f t="shared" ca="1" si="11"/>
        <v>-5.7419835943325816E-2</v>
      </c>
      <c r="F118" vm="1142">
        <f ca="1"/>
        <v>389.97</v>
      </c>
      <c r="G118">
        <f t="shared" ca="1" si="12"/>
        <v>-1.3133920437291217E-2</v>
      </c>
      <c r="H118" vm="1143">
        <f ca="1"/>
        <v>610.98</v>
      </c>
      <c r="I118">
        <f t="shared" ca="1" si="13"/>
        <v>-2.4476696843416086E-2</v>
      </c>
      <c r="J118" vm="1144">
        <f ca="1"/>
        <v>165.06</v>
      </c>
      <c r="K118">
        <f t="shared" ca="1" si="14"/>
        <v>-3.224671669793621E-2</v>
      </c>
      <c r="L118" vm="1145">
        <f ca="1"/>
        <v>568.59</v>
      </c>
      <c r="M118">
        <f t="shared" ca="1" si="15"/>
        <v>-1.1938275466583262E-2</v>
      </c>
      <c r="N118" vm="1145">
        <f ca="1"/>
        <v>568.59</v>
      </c>
      <c r="O118">
        <f t="shared" ca="1" si="16"/>
        <v>-1.1938275466583262E-2</v>
      </c>
      <c r="P118" vm="1146">
        <f ca="1"/>
        <v>278.24</v>
      </c>
      <c r="Q118">
        <f t="shared" ca="1" si="17"/>
        <v>-8.2594175315121258E-4</v>
      </c>
      <c r="R118" vm="1147">
        <f ca="1"/>
        <v>75.42</v>
      </c>
      <c r="S118">
        <f t="shared" ca="1" si="18"/>
        <v>8.0192461908581737E-3</v>
      </c>
      <c r="T118" vm="371">
        <f ca="1"/>
        <v>94.41</v>
      </c>
      <c r="U118">
        <f t="shared" ca="1" si="19"/>
        <v>-2.3248441297685604E-3</v>
      </c>
    </row>
    <row r="119" spans="1:21" x14ac:dyDescent="0.2">
      <c r="A119" vm="1148">
        <f ca="1"/>
        <v>45743</v>
      </c>
      <c r="B119" vm="1149">
        <f ca="1"/>
        <v>223.85</v>
      </c>
      <c r="C119">
        <f t="shared" ca="1" si="10"/>
        <v>1.0472622218209693E-2</v>
      </c>
      <c r="D119" vm="1150">
        <f ca="1"/>
        <v>111.43</v>
      </c>
      <c r="E119">
        <f t="shared" ca="1" si="11"/>
        <v>-2.0481715893108283E-2</v>
      </c>
      <c r="F119" vm="1151">
        <f ca="1"/>
        <v>390.58</v>
      </c>
      <c r="G119">
        <f t="shared" ca="1" si="12"/>
        <v>1.564222888940064E-3</v>
      </c>
      <c r="H119" vm="1152">
        <f ca="1"/>
        <v>602.58000000000004</v>
      </c>
      <c r="I119">
        <f t="shared" ca="1" si="13"/>
        <v>-1.3748404203083533E-2</v>
      </c>
      <c r="J119" vm="1153">
        <f ca="1"/>
        <v>162.24</v>
      </c>
      <c r="K119">
        <f t="shared" ca="1" si="14"/>
        <v>-1.7084696474009408E-2</v>
      </c>
      <c r="L119" vm="1154">
        <f ca="1"/>
        <v>567.08000000000004</v>
      </c>
      <c r="M119">
        <f t="shared" ca="1" si="15"/>
        <v>-2.6556921507588788E-3</v>
      </c>
      <c r="N119" vm="1154">
        <f ca="1"/>
        <v>567.08000000000004</v>
      </c>
      <c r="O119">
        <f t="shared" ca="1" si="16"/>
        <v>-2.6556921507588788E-3</v>
      </c>
      <c r="P119" vm="1155">
        <f ca="1"/>
        <v>281.97000000000003</v>
      </c>
      <c r="Q119">
        <f t="shared" ca="1" si="17"/>
        <v>1.3405692926969588E-2</v>
      </c>
      <c r="R119" vm="1156">
        <f ca="1"/>
        <v>75.48</v>
      </c>
      <c r="S119">
        <f t="shared" ca="1" si="18"/>
        <v>7.9554494828960854E-4</v>
      </c>
      <c r="T119" vm="1157">
        <f ca="1"/>
        <v>94.33</v>
      </c>
      <c r="U119">
        <f t="shared" ca="1" si="19"/>
        <v>-8.4736786357375593E-4</v>
      </c>
    </row>
    <row r="120" spans="1:21" x14ac:dyDescent="0.2">
      <c r="A120" vm="1158">
        <f ca="1"/>
        <v>45744</v>
      </c>
      <c r="B120" vm="1159">
        <f ca="1"/>
        <v>217.9</v>
      </c>
      <c r="C120">
        <f t="shared" ca="1" si="10"/>
        <v>-2.6580299307571983E-2</v>
      </c>
      <c r="D120" vm="1160">
        <f ca="1"/>
        <v>109.67</v>
      </c>
      <c r="E120">
        <f t="shared" ca="1" si="11"/>
        <v>-1.5794669299111594E-2</v>
      </c>
      <c r="F120" vm="1161">
        <f ca="1"/>
        <v>378.8</v>
      </c>
      <c r="G120">
        <f t="shared" ca="1" si="12"/>
        <v>-3.0160274463618141E-2</v>
      </c>
      <c r="H120" vm="1162">
        <f ca="1"/>
        <v>576.74</v>
      </c>
      <c r="I120">
        <f t="shared" ca="1" si="13"/>
        <v>-4.2882272893225847E-2</v>
      </c>
      <c r="J120" vm="1163">
        <f ca="1"/>
        <v>154.33000000000001</v>
      </c>
      <c r="K120">
        <f t="shared" ca="1" si="14"/>
        <v>-4.8754930966469406E-2</v>
      </c>
      <c r="L120" vm="1164">
        <f ca="1"/>
        <v>555.66</v>
      </c>
      <c r="M120">
        <f t="shared" ca="1" si="15"/>
        <v>-2.0138252098469478E-2</v>
      </c>
      <c r="N120" vm="1164">
        <f ca="1"/>
        <v>555.66</v>
      </c>
      <c r="O120">
        <f t="shared" ca="1" si="16"/>
        <v>-2.0138252098469478E-2</v>
      </c>
      <c r="P120" vm="1165">
        <f ca="1"/>
        <v>284.06</v>
      </c>
      <c r="Q120">
        <f t="shared" ca="1" si="17"/>
        <v>7.4121360428413474E-3</v>
      </c>
      <c r="R120" vm="1166">
        <f ca="1"/>
        <v>74.77</v>
      </c>
      <c r="S120">
        <f t="shared" ca="1" si="18"/>
        <v>-9.4064652888183348E-3</v>
      </c>
      <c r="T120" vm="994">
        <f ca="1"/>
        <v>95.09</v>
      </c>
      <c r="U120">
        <f t="shared" ca="1" si="19"/>
        <v>8.056821795823229E-3</v>
      </c>
    </row>
    <row r="121" spans="1:21" x14ac:dyDescent="0.2">
      <c r="A121" vm="1167">
        <f ca="1"/>
        <v>45747</v>
      </c>
      <c r="B121" vm="1168">
        <f ca="1"/>
        <v>222.13</v>
      </c>
      <c r="C121">
        <f t="shared" ca="1" si="10"/>
        <v>1.9412574575493297E-2</v>
      </c>
      <c r="D121" vm="1169">
        <f ca="1"/>
        <v>108.38</v>
      </c>
      <c r="E121">
        <f t="shared" ca="1" si="11"/>
        <v>-1.1762560408498279E-2</v>
      </c>
      <c r="F121" vm="1170">
        <f ca="1"/>
        <v>375.39</v>
      </c>
      <c r="G121">
        <f t="shared" ca="1" si="12"/>
        <v>-9.0021119324182278E-3</v>
      </c>
      <c r="H121" vm="1171">
        <f ca="1"/>
        <v>576.36</v>
      </c>
      <c r="I121">
        <f t="shared" ca="1" si="13"/>
        <v>-6.5887574990462848E-4</v>
      </c>
      <c r="J121" vm="1172">
        <f ca="1"/>
        <v>154.63999999999999</v>
      </c>
      <c r="K121">
        <f t="shared" ca="1" si="14"/>
        <v>2.0086826929305631E-3</v>
      </c>
      <c r="L121" vm="1173">
        <f ca="1"/>
        <v>559.39</v>
      </c>
      <c r="M121">
        <f t="shared" ca="1" si="15"/>
        <v>6.7127380052550449E-3</v>
      </c>
      <c r="N121" vm="1173">
        <f ca="1"/>
        <v>559.39</v>
      </c>
      <c r="O121">
        <f t="shared" ca="1" si="16"/>
        <v>6.7127380052550449E-3</v>
      </c>
      <c r="P121" vm="1174">
        <f ca="1"/>
        <v>288.14</v>
      </c>
      <c r="Q121">
        <f t="shared" ca="1" si="17"/>
        <v>1.4363162712103021E-2</v>
      </c>
      <c r="R121" vm="1175">
        <f ca="1"/>
        <v>77.33</v>
      </c>
      <c r="S121">
        <f t="shared" ca="1" si="18"/>
        <v>3.4238330881369565E-2</v>
      </c>
      <c r="T121" vm="1176">
        <f ca="1"/>
        <v>95.37</v>
      </c>
      <c r="U121">
        <f t="shared" ca="1" si="19"/>
        <v>2.9445788200652134E-3</v>
      </c>
    </row>
    <row r="122" spans="1:21" x14ac:dyDescent="0.2">
      <c r="A122" vm="1177">
        <f ca="1"/>
        <v>45748</v>
      </c>
      <c r="B122" vm="1178">
        <f ca="1"/>
        <v>223.19</v>
      </c>
      <c r="C122">
        <f t="shared" ca="1" si="10"/>
        <v>4.7719803718543298E-3</v>
      </c>
      <c r="D122" vm="1179">
        <f ca="1"/>
        <v>110.15</v>
      </c>
      <c r="E122">
        <f t="shared" ca="1" si="11"/>
        <v>1.6331426462447042E-2</v>
      </c>
      <c r="F122" vm="1180">
        <f ca="1"/>
        <v>382.19</v>
      </c>
      <c r="G122">
        <f t="shared" ca="1" si="12"/>
        <v>1.8114494259303688E-2</v>
      </c>
      <c r="H122" vm="1105">
        <f ca="1"/>
        <v>586</v>
      </c>
      <c r="I122">
        <f t="shared" ca="1" si="13"/>
        <v>1.6725657575126632E-2</v>
      </c>
      <c r="J122" vm="1181">
        <f ca="1"/>
        <v>157.07</v>
      </c>
      <c r="K122">
        <f t="shared" ca="1" si="14"/>
        <v>1.5713916192447018E-2</v>
      </c>
      <c r="L122" vm="1182">
        <f ca="1"/>
        <v>560.97</v>
      </c>
      <c r="M122">
        <f t="shared" ca="1" si="15"/>
        <v>2.8245052646633673E-3</v>
      </c>
      <c r="N122" vm="1182">
        <f ca="1"/>
        <v>560.97</v>
      </c>
      <c r="O122">
        <f t="shared" ca="1" si="16"/>
        <v>2.8245052646633673E-3</v>
      </c>
      <c r="P122" vm="1183">
        <f ca="1"/>
        <v>287.57</v>
      </c>
      <c r="Q122">
        <f t="shared" ca="1" si="17"/>
        <v>-1.9782050392170235E-3</v>
      </c>
      <c r="R122" vm="1184">
        <f ca="1"/>
        <v>77.08</v>
      </c>
      <c r="S122">
        <f t="shared" ca="1" si="18"/>
        <v>-3.2328979697400749E-3</v>
      </c>
      <c r="T122" vm="1185">
        <f ca="1"/>
        <v>95.4</v>
      </c>
      <c r="U122">
        <f t="shared" ca="1" si="19"/>
        <v>3.1456432840517077E-4</v>
      </c>
    </row>
    <row r="123" spans="1:21" x14ac:dyDescent="0.2">
      <c r="A123" vm="1186">
        <f ca="1"/>
        <v>45749</v>
      </c>
      <c r="B123" vm="1187">
        <f ca="1"/>
        <v>223.89</v>
      </c>
      <c r="C123">
        <f t="shared" ca="1" si="10"/>
        <v>3.1363412339262004E-3</v>
      </c>
      <c r="D123" vm="1188">
        <f ca="1"/>
        <v>110.42</v>
      </c>
      <c r="E123">
        <f t="shared" ca="1" si="11"/>
        <v>2.4512029051293326E-3</v>
      </c>
      <c r="F123" vm="1189">
        <f ca="1"/>
        <v>382.14</v>
      </c>
      <c r="G123">
        <f t="shared" ca="1" si="12"/>
        <v>-1.3082498233865712E-4</v>
      </c>
      <c r="H123" vm="1190">
        <f ca="1"/>
        <v>583.92999999999995</v>
      </c>
      <c r="I123">
        <f t="shared" ca="1" si="13"/>
        <v>-3.5324232081912115E-3</v>
      </c>
      <c r="J123" vm="1191">
        <f ca="1"/>
        <v>157.04</v>
      </c>
      <c r="K123">
        <f t="shared" ca="1" si="14"/>
        <v>-1.9099764436239345E-4</v>
      </c>
      <c r="L123" vm="1192">
        <f ca="1"/>
        <v>564.52</v>
      </c>
      <c r="M123">
        <f t="shared" ca="1" si="15"/>
        <v>6.3283241528066638E-3</v>
      </c>
      <c r="N123" vm="1192">
        <f ca="1"/>
        <v>564.52</v>
      </c>
      <c r="O123">
        <f t="shared" ca="1" si="16"/>
        <v>6.3283241528066638E-3</v>
      </c>
      <c r="P123" vm="1193">
        <f ca="1"/>
        <v>288.16000000000003</v>
      </c>
      <c r="Q123">
        <f t="shared" ca="1" si="17"/>
        <v>2.0516743749349094E-3</v>
      </c>
      <c r="R123" vm="1194">
        <f ca="1"/>
        <v>77.739999999999995</v>
      </c>
      <c r="S123">
        <f t="shared" ca="1" si="18"/>
        <v>8.5625324338349327E-3</v>
      </c>
      <c r="T123" vm="1195">
        <f ca="1"/>
        <v>95.31</v>
      </c>
      <c r="U123">
        <f t="shared" ca="1" si="19"/>
        <v>-9.4339622641513002E-4</v>
      </c>
    </row>
    <row r="124" spans="1:21" x14ac:dyDescent="0.2">
      <c r="A124" vm="1196">
        <f ca="1"/>
        <v>45750</v>
      </c>
      <c r="B124" vm="1197">
        <f ca="1"/>
        <v>203.19</v>
      </c>
      <c r="C124">
        <f t="shared" ca="1" si="10"/>
        <v>-9.2456116843092545E-2</v>
      </c>
      <c r="D124" vm="1198">
        <f ca="1"/>
        <v>101.8</v>
      </c>
      <c r="E124">
        <f t="shared" ca="1" si="11"/>
        <v>-7.8065567831914554E-2</v>
      </c>
      <c r="F124" vm="1199">
        <f ca="1"/>
        <v>373.11</v>
      </c>
      <c r="G124">
        <f t="shared" ca="1" si="12"/>
        <v>-2.3630083215575373E-2</v>
      </c>
      <c r="H124" vm="1200">
        <f ca="1"/>
        <v>531.62</v>
      </c>
      <c r="I124">
        <f t="shared" ca="1" si="13"/>
        <v>-8.9582655455277091E-2</v>
      </c>
      <c r="J124" vm="1201">
        <f ca="1"/>
        <v>150.72</v>
      </c>
      <c r="K124">
        <f t="shared" ca="1" si="14"/>
        <v>-4.0244523688232253E-2</v>
      </c>
      <c r="L124" vm="1202">
        <f ca="1"/>
        <v>536.70000000000005</v>
      </c>
      <c r="M124">
        <f t="shared" ca="1" si="15"/>
        <v>-4.9280804931623214E-2</v>
      </c>
      <c r="N124" vm="1202">
        <f ca="1"/>
        <v>536.70000000000005</v>
      </c>
      <c r="O124">
        <f t="shared" ca="1" si="16"/>
        <v>-4.9280804931623214E-2</v>
      </c>
      <c r="P124" vm="1203">
        <f ca="1"/>
        <v>286.42</v>
      </c>
      <c r="Q124">
        <f t="shared" ca="1" si="17"/>
        <v>-6.0383120488617745E-3</v>
      </c>
      <c r="R124" vm="1204">
        <f ca="1"/>
        <v>72.25</v>
      </c>
      <c r="S124">
        <f t="shared" ca="1" si="18"/>
        <v>-7.0620015436068884E-2</v>
      </c>
      <c r="T124" vm="1205">
        <f ca="1"/>
        <v>96.29</v>
      </c>
      <c r="U124">
        <f t="shared" ca="1" si="19"/>
        <v>1.0282236911132137E-2</v>
      </c>
    </row>
    <row r="125" spans="1:21" x14ac:dyDescent="0.2">
      <c r="A125" vm="1206">
        <f ca="1"/>
        <v>45751</v>
      </c>
      <c r="B125" vm="1207">
        <f ca="1"/>
        <v>188.38</v>
      </c>
      <c r="C125">
        <f t="shared" ca="1" si="10"/>
        <v>-7.2887445248289787E-2</v>
      </c>
      <c r="D125" vm="1208">
        <f ca="1"/>
        <v>94.31</v>
      </c>
      <c r="E125">
        <f t="shared" ca="1" si="11"/>
        <v>-7.3575638506876179E-2</v>
      </c>
      <c r="F125" vm="1209">
        <f ca="1"/>
        <v>359.84</v>
      </c>
      <c r="G125">
        <f t="shared" ca="1" si="12"/>
        <v>-3.5565918897912246E-2</v>
      </c>
      <c r="H125" vm="1210">
        <f ca="1"/>
        <v>504.73</v>
      </c>
      <c r="I125">
        <f t="shared" ca="1" si="13"/>
        <v>-5.0581242240698217E-2</v>
      </c>
      <c r="J125" vm="1211">
        <f ca="1"/>
        <v>145.6</v>
      </c>
      <c r="K125">
        <f t="shared" ca="1" si="14"/>
        <v>-3.3970276008492596E-2</v>
      </c>
      <c r="L125" vm="1212">
        <f ca="1"/>
        <v>505.28</v>
      </c>
      <c r="M125">
        <f t="shared" ca="1" si="15"/>
        <v>-5.8542947643003669E-2</v>
      </c>
      <c r="N125" vm="1212">
        <f ca="1"/>
        <v>505.28</v>
      </c>
      <c r="O125">
        <f t="shared" ca="1" si="16"/>
        <v>-5.8542947643003669E-2</v>
      </c>
      <c r="P125" vm="1213">
        <f ca="1"/>
        <v>279.72000000000003</v>
      </c>
      <c r="Q125">
        <f t="shared" ca="1" si="17"/>
        <v>-2.3392221213602363E-2</v>
      </c>
      <c r="R125" vm="1214">
        <f ca="1"/>
        <v>67.92</v>
      </c>
      <c r="S125">
        <f t="shared" ca="1" si="18"/>
        <v>-5.9930795847750844E-2</v>
      </c>
      <c r="T125" vm="1215">
        <f ca="1"/>
        <v>96.56</v>
      </c>
      <c r="U125">
        <f t="shared" ca="1" si="19"/>
        <v>2.8040294942361199E-3</v>
      </c>
    </row>
    <row r="126" spans="1:21" x14ac:dyDescent="0.2">
      <c r="A126" vm="1216">
        <f ca="1"/>
        <v>45754</v>
      </c>
      <c r="B126" vm="1217">
        <f ca="1"/>
        <v>181.46</v>
      </c>
      <c r="C126">
        <f t="shared" ca="1" si="10"/>
        <v>-3.6734260537211953E-2</v>
      </c>
      <c r="D126" vm="1218">
        <f ca="1"/>
        <v>97.64</v>
      </c>
      <c r="E126">
        <f t="shared" ca="1" si="11"/>
        <v>3.5309087053334728E-2</v>
      </c>
      <c r="F126" vm="1219">
        <f ca="1"/>
        <v>357.86</v>
      </c>
      <c r="G126">
        <f t="shared" ca="1" si="12"/>
        <v>-5.502445531347158E-3</v>
      </c>
      <c r="H126" vm="1220">
        <f ca="1"/>
        <v>516.25</v>
      </c>
      <c r="I126">
        <f t="shared" ca="1" si="13"/>
        <v>2.2824084163810317E-2</v>
      </c>
      <c r="J126" vm="1221">
        <f ca="1"/>
        <v>146.75</v>
      </c>
      <c r="K126">
        <f t="shared" ca="1" si="14"/>
        <v>7.8983516483516879E-3</v>
      </c>
      <c r="L126" vm="1222">
        <f ca="1"/>
        <v>504.38</v>
      </c>
      <c r="M126">
        <f t="shared" ca="1" si="15"/>
        <v>-1.7811906269790559E-3</v>
      </c>
      <c r="N126" vm="1222">
        <f ca="1"/>
        <v>504.38</v>
      </c>
      <c r="O126">
        <f t="shared" ca="1" si="16"/>
        <v>-1.7811906269790559E-3</v>
      </c>
      <c r="P126" vm="1223">
        <f ca="1"/>
        <v>273.70999999999998</v>
      </c>
      <c r="Q126">
        <f t="shared" ca="1" si="17"/>
        <v>-2.1485771485771653E-2</v>
      </c>
      <c r="R126" vm="1224">
        <f ca="1"/>
        <v>65.98</v>
      </c>
      <c r="S126">
        <f t="shared" ca="1" si="18"/>
        <v>-2.8563015312131887E-2</v>
      </c>
      <c r="T126" vm="1225">
        <f ca="1"/>
        <v>95.41</v>
      </c>
      <c r="U126">
        <f t="shared" ca="1" si="19"/>
        <v>-1.1909693454846786E-2</v>
      </c>
    </row>
    <row r="127" spans="1:21" x14ac:dyDescent="0.2">
      <c r="A127" vm="1226">
        <f ca="1"/>
        <v>45755</v>
      </c>
      <c r="B127" vm="1227">
        <f ca="1"/>
        <v>172.42</v>
      </c>
      <c r="C127">
        <f t="shared" ca="1" si="10"/>
        <v>-4.9818141739226385E-2</v>
      </c>
      <c r="D127" vm="1228">
        <f ca="1"/>
        <v>96.3</v>
      </c>
      <c r="E127">
        <f t="shared" ca="1" si="11"/>
        <v>-1.3723883654240101E-2</v>
      </c>
      <c r="F127" vm="1229">
        <f ca="1"/>
        <v>354.56</v>
      </c>
      <c r="G127">
        <f t="shared" ca="1" si="12"/>
        <v>-9.2214832616107165E-3</v>
      </c>
      <c r="H127" vm="1230">
        <f ca="1"/>
        <v>510.45</v>
      </c>
      <c r="I127">
        <f t="shared" ca="1" si="13"/>
        <v>-1.1234866828087189E-2</v>
      </c>
      <c r="J127" vm="1231">
        <f ca="1"/>
        <v>144.69999999999999</v>
      </c>
      <c r="K127">
        <f t="shared" ca="1" si="14"/>
        <v>-1.3969335604770095E-2</v>
      </c>
      <c r="L127" vm="1232">
        <f ca="1"/>
        <v>496.48</v>
      </c>
      <c r="M127">
        <f t="shared" ca="1" si="15"/>
        <v>-1.5662793925215069E-2</v>
      </c>
      <c r="N127" vm="1232">
        <f ca="1"/>
        <v>496.48</v>
      </c>
      <c r="O127">
        <f t="shared" ca="1" si="16"/>
        <v>-1.5662793925215069E-2</v>
      </c>
      <c r="P127" vm="1233">
        <f ca="1"/>
        <v>275.2</v>
      </c>
      <c r="Q127">
        <f t="shared" ca="1" si="17"/>
        <v>5.4437178035147025E-3</v>
      </c>
      <c r="R127" vm="1234">
        <f ca="1"/>
        <v>63.34</v>
      </c>
      <c r="S127">
        <f t="shared" ca="1" si="18"/>
        <v>-4.0012124886329194E-2</v>
      </c>
      <c r="T127" vm="1235">
        <f ca="1"/>
        <v>94.93</v>
      </c>
      <c r="U127">
        <f t="shared" ca="1" si="19"/>
        <v>-5.03091919086039E-3</v>
      </c>
    </row>
    <row r="128" spans="1:21" x14ac:dyDescent="0.2">
      <c r="A128" vm="1236">
        <f ca="1"/>
        <v>45756</v>
      </c>
      <c r="B128" vm="1237">
        <f ca="1"/>
        <v>198.85</v>
      </c>
      <c r="C128">
        <f t="shared" ca="1" si="10"/>
        <v>0.15328848161466194</v>
      </c>
      <c r="D128" vm="1238">
        <f ca="1"/>
        <v>114.33</v>
      </c>
      <c r="E128">
        <f t="shared" ca="1" si="11"/>
        <v>0.18722741433021808</v>
      </c>
      <c r="F128" vm="1239">
        <f ca="1"/>
        <v>390.49</v>
      </c>
      <c r="G128">
        <f t="shared" ca="1" si="12"/>
        <v>0.10133686823104696</v>
      </c>
      <c r="H128" vm="1240">
        <f ca="1"/>
        <v>585.77</v>
      </c>
      <c r="I128">
        <f t="shared" ca="1" si="13"/>
        <v>0.14755607797041825</v>
      </c>
      <c r="J128" vm="1241">
        <f ca="1"/>
        <v>158.71</v>
      </c>
      <c r="K128">
        <f t="shared" ca="1" si="14"/>
        <v>9.6821008984105186E-2</v>
      </c>
      <c r="L128" vm="1242">
        <f ca="1"/>
        <v>548.62</v>
      </c>
      <c r="M128">
        <f t="shared" ca="1" si="15"/>
        <v>0.10501933612632933</v>
      </c>
      <c r="N128" vm="1242">
        <f ca="1"/>
        <v>548.62</v>
      </c>
      <c r="O128">
        <f t="shared" ca="1" si="16"/>
        <v>0.10501933612632933</v>
      </c>
      <c r="P128" vm="1243">
        <f ca="1"/>
        <v>285.38</v>
      </c>
      <c r="Q128">
        <f t="shared" ca="1" si="17"/>
        <v>3.6991279069767471E-2</v>
      </c>
      <c r="R128" vm="1244">
        <f ca="1"/>
        <v>67.58</v>
      </c>
      <c r="S128">
        <f t="shared" ca="1" si="18"/>
        <v>6.694032207136083E-2</v>
      </c>
      <c r="T128" vm="1138">
        <f ca="1"/>
        <v>94.63</v>
      </c>
      <c r="U128">
        <f t="shared" ca="1" si="19"/>
        <v>-3.1602233224482393E-3</v>
      </c>
    </row>
    <row r="129" spans="1:21" x14ac:dyDescent="0.2">
      <c r="A129" vm="1245">
        <f ca="1"/>
        <v>45757</v>
      </c>
      <c r="B129" vm="1246">
        <f ca="1"/>
        <v>190.42</v>
      </c>
      <c r="C129">
        <f t="shared" ca="1" si="10"/>
        <v>-4.2393764143827041E-2</v>
      </c>
      <c r="D129" vm="1247">
        <f ca="1"/>
        <v>107.57</v>
      </c>
      <c r="E129">
        <f t="shared" ca="1" si="11"/>
        <v>-5.9127088253301895E-2</v>
      </c>
      <c r="F129" vm="1248">
        <f ca="1"/>
        <v>381.35</v>
      </c>
      <c r="G129">
        <f t="shared" ca="1" si="12"/>
        <v>-2.3406489282696064E-2</v>
      </c>
      <c r="H129" vm="1249">
        <f ca="1"/>
        <v>546.29</v>
      </c>
      <c r="I129">
        <f t="shared" ca="1" si="13"/>
        <v>-6.739846697509265E-2</v>
      </c>
      <c r="J129" vm="1250">
        <f ca="1"/>
        <v>152.82</v>
      </c>
      <c r="K129">
        <f t="shared" ca="1" si="14"/>
        <v>-3.7111713187574911E-2</v>
      </c>
      <c r="L129" vm="1251">
        <f ca="1"/>
        <v>524.58000000000004</v>
      </c>
      <c r="M129">
        <f t="shared" ca="1" si="15"/>
        <v>-4.3819036856111632E-2</v>
      </c>
      <c r="N129" vm="1251">
        <f ca="1"/>
        <v>524.58000000000004</v>
      </c>
      <c r="O129">
        <f t="shared" ca="1" si="16"/>
        <v>-4.3819036856111632E-2</v>
      </c>
      <c r="P129" vm="1252">
        <f ca="1"/>
        <v>292.35000000000002</v>
      </c>
      <c r="Q129">
        <f t="shared" ca="1" si="17"/>
        <v>2.4423575583432711E-2</v>
      </c>
      <c r="R129" vm="1253">
        <f ca="1"/>
        <v>65.319999999999993</v>
      </c>
      <c r="S129">
        <f t="shared" ca="1" si="18"/>
        <v>-3.3441846700207237E-2</v>
      </c>
      <c r="T129" vm="1254">
        <f ca="1"/>
        <v>94.04</v>
      </c>
      <c r="U129">
        <f t="shared" ca="1" si="19"/>
        <v>-6.2348092571065123E-3</v>
      </c>
    </row>
    <row r="130" spans="1:21" x14ac:dyDescent="0.2">
      <c r="A130" vm="1255">
        <f ca="1"/>
        <v>45758</v>
      </c>
      <c r="B130" vm="1256">
        <f ca="1"/>
        <v>198.15</v>
      </c>
      <c r="C130">
        <f t="shared" ca="1" si="10"/>
        <v>4.059447537023432E-2</v>
      </c>
      <c r="D130" vm="1257">
        <f ca="1"/>
        <v>110.93</v>
      </c>
      <c r="E130">
        <f t="shared" ca="1" si="11"/>
        <v>3.1235474574695676E-2</v>
      </c>
      <c r="F130" vm="1258">
        <f ca="1"/>
        <v>388.45</v>
      </c>
      <c r="G130">
        <f t="shared" ca="1" si="12"/>
        <v>1.8618067392159342E-2</v>
      </c>
      <c r="H130" vm="1259">
        <f ca="1"/>
        <v>543.57000000000005</v>
      </c>
      <c r="I130">
        <f t="shared" ca="1" si="13"/>
        <v>-4.9790404363980918E-3</v>
      </c>
      <c r="J130" vm="1260">
        <f ca="1"/>
        <v>157.13999999999999</v>
      </c>
      <c r="K130">
        <f t="shared" ca="1" si="14"/>
        <v>2.8268551236749075E-2</v>
      </c>
      <c r="L130" vm="1261">
        <f ca="1"/>
        <v>533.94000000000005</v>
      </c>
      <c r="M130">
        <f t="shared" ca="1" si="15"/>
        <v>1.7842845705135561E-2</v>
      </c>
      <c r="N130" vm="1261">
        <f ca="1"/>
        <v>533.94000000000005</v>
      </c>
      <c r="O130">
        <f t="shared" ca="1" si="16"/>
        <v>1.7842845705135561E-2</v>
      </c>
      <c r="P130" vm="1262">
        <f ca="1"/>
        <v>297.93</v>
      </c>
      <c r="Q130">
        <f t="shared" ca="1" si="17"/>
        <v>1.9086711133914771E-2</v>
      </c>
      <c r="R130" vm="1263">
        <f ca="1"/>
        <v>66.459999999999994</v>
      </c>
      <c r="S130">
        <f t="shared" ca="1" si="18"/>
        <v>1.7452541334966331E-2</v>
      </c>
      <c r="T130" vm="1264">
        <f ca="1"/>
        <v>93.51</v>
      </c>
      <c r="U130">
        <f t="shared" ca="1" si="19"/>
        <v>-5.6358996171841889E-3</v>
      </c>
    </row>
    <row r="131" spans="1:21" x14ac:dyDescent="0.2">
      <c r="A131" vm="1265">
        <f ca="1"/>
        <v>45761</v>
      </c>
      <c r="B131" vm="1266">
        <f ca="1"/>
        <v>202.52</v>
      </c>
      <c r="C131">
        <f t="shared" ca="1" si="10"/>
        <v>2.2053999495331843E-2</v>
      </c>
      <c r="D131" vm="1267">
        <f ca="1"/>
        <v>110.71</v>
      </c>
      <c r="E131">
        <f t="shared" ca="1" si="11"/>
        <v>-1.9832326692509968E-3</v>
      </c>
      <c r="F131" vm="1268">
        <f ca="1"/>
        <v>387.81</v>
      </c>
      <c r="G131">
        <f t="shared" ca="1" si="12"/>
        <v>-1.6475736903075978E-3</v>
      </c>
      <c r="H131" vm="1269">
        <f ca="1"/>
        <v>531.48</v>
      </c>
      <c r="I131">
        <f t="shared" ca="1" si="13"/>
        <v>-2.2241845576466749E-2</v>
      </c>
      <c r="J131" vm="1270">
        <f ca="1"/>
        <v>159.07</v>
      </c>
      <c r="K131">
        <f t="shared" ca="1" si="14"/>
        <v>1.228204149166353E-2</v>
      </c>
      <c r="L131" vm="1271">
        <f ca="1"/>
        <v>539.12</v>
      </c>
      <c r="M131">
        <f t="shared" ca="1" si="15"/>
        <v>9.7014645840355646E-3</v>
      </c>
      <c r="N131" vm="1271">
        <f ca="1"/>
        <v>539.12</v>
      </c>
      <c r="O131">
        <f t="shared" ca="1" si="16"/>
        <v>9.7014645840355646E-3</v>
      </c>
      <c r="P131" vm="1272">
        <f ca="1"/>
        <v>296.23</v>
      </c>
      <c r="Q131">
        <f t="shared" ca="1" si="17"/>
        <v>-5.7060383311515741E-3</v>
      </c>
      <c r="R131" vm="1273">
        <f ca="1"/>
        <v>66.66</v>
      </c>
      <c r="S131">
        <f t="shared" ca="1" si="18"/>
        <v>3.0093289196509608E-3</v>
      </c>
      <c r="T131" vm="1274">
        <f ca="1"/>
        <v>94.26</v>
      </c>
      <c r="U131">
        <f t="shared" ca="1" si="19"/>
        <v>8.0205325633622062E-3</v>
      </c>
    </row>
    <row r="132" spans="1:21" x14ac:dyDescent="0.2">
      <c r="A132" vm="1275">
        <f ca="1"/>
        <v>45762</v>
      </c>
      <c r="B132" vm="1276">
        <f ca="1"/>
        <v>202.14</v>
      </c>
      <c r="C132">
        <f t="shared" ca="1" si="10"/>
        <v>-1.8763578905788261E-3</v>
      </c>
      <c r="D132" vm="1277">
        <f ca="1"/>
        <v>112.2</v>
      </c>
      <c r="E132">
        <f t="shared" ca="1" si="11"/>
        <v>1.3458585493632094E-2</v>
      </c>
      <c r="F132" vm="1278">
        <f ca="1"/>
        <v>385.73</v>
      </c>
      <c r="G132">
        <f t="shared" ca="1" si="12"/>
        <v>-5.3634511745441942E-3</v>
      </c>
      <c r="H132" vm="1279">
        <f ca="1"/>
        <v>521.52</v>
      </c>
      <c r="I132">
        <f t="shared" ca="1" si="13"/>
        <v>-1.8740121923684874E-2</v>
      </c>
      <c r="J132" vm="1280">
        <f ca="1"/>
        <v>156.31</v>
      </c>
      <c r="K132">
        <f t="shared" ca="1" si="14"/>
        <v>-1.7350851826239962E-2</v>
      </c>
      <c r="L132" vm="1281">
        <f ca="1"/>
        <v>537.61</v>
      </c>
      <c r="M132">
        <f t="shared" ca="1" si="15"/>
        <v>-2.800860661819244E-3</v>
      </c>
      <c r="N132" vm="1281">
        <f ca="1"/>
        <v>537.61</v>
      </c>
      <c r="O132">
        <f t="shared" ca="1" si="16"/>
        <v>-2.800860661819244E-3</v>
      </c>
      <c r="P132" vm="1282">
        <f ca="1"/>
        <v>297.77999999999997</v>
      </c>
      <c r="Q132">
        <f t="shared" ca="1" si="17"/>
        <v>5.2324207541435859E-3</v>
      </c>
      <c r="R132" vm="1283">
        <f ca="1"/>
        <v>66.48</v>
      </c>
      <c r="S132">
        <f t="shared" ca="1" si="18"/>
        <v>-2.7002700270025897E-3</v>
      </c>
      <c r="T132" vm="1284">
        <f ca="1"/>
        <v>94.54</v>
      </c>
      <c r="U132">
        <f t="shared" ca="1" si="19"/>
        <v>2.9705071079991633E-3</v>
      </c>
    </row>
    <row r="133" spans="1:21" x14ac:dyDescent="0.2">
      <c r="A133" vm="1285">
        <f ca="1"/>
        <v>45763</v>
      </c>
      <c r="B133" vm="1286">
        <f ca="1"/>
        <v>194.27</v>
      </c>
      <c r="C133">
        <f t="shared" ref="C133:C196" ca="1" si="20">(B133-B132)/B132</f>
        <v>-3.8933412486395452E-2</v>
      </c>
      <c r="D133" vm="1287">
        <f ca="1"/>
        <v>104.49</v>
      </c>
      <c r="E133">
        <f t="shared" ref="E133:E196" ca="1" si="21">(D133-D132)/D132</f>
        <v>-6.8716577540107016E-2</v>
      </c>
      <c r="F133" vm="1288">
        <f ca="1"/>
        <v>371.61</v>
      </c>
      <c r="G133">
        <f t="shared" ref="G133:G196" ca="1" si="22">(F133-F132)/F132</f>
        <v>-3.6605916055271831E-2</v>
      </c>
      <c r="H133" vm="1289">
        <f ca="1"/>
        <v>502.31</v>
      </c>
      <c r="I133">
        <f t="shared" ref="I133:I196" ca="1" si="23">(H133-H132)/H132</f>
        <v>-3.6834637214296632E-2</v>
      </c>
      <c r="J133" vm="1290">
        <f ca="1"/>
        <v>153.33000000000001</v>
      </c>
      <c r="K133">
        <f t="shared" ref="K133:K196" ca="1" si="24">(J133-J132)/J132</f>
        <v>-1.9064679163201266E-2</v>
      </c>
      <c r="L133" vm="1291">
        <f ca="1"/>
        <v>525.66</v>
      </c>
      <c r="M133">
        <f t="shared" ref="M133:M196" ca="1" si="25">(L133-L132)/L132</f>
        <v>-2.2228009151615567E-2</v>
      </c>
      <c r="N133" vm="1291">
        <f ca="1"/>
        <v>525.66</v>
      </c>
      <c r="O133">
        <f t="shared" ref="O133:O196" ca="1" si="26">(N133-N132)/N132</f>
        <v>-2.2228009151615567E-2</v>
      </c>
      <c r="P133" vm="1292">
        <f ca="1"/>
        <v>307.47000000000003</v>
      </c>
      <c r="Q133">
        <f t="shared" ref="Q133:Q196" ca="1" si="27">(P133-P132)/P132</f>
        <v>3.2540801934314106E-2</v>
      </c>
      <c r="R133" vm="1293">
        <f ca="1"/>
        <v>67.75</v>
      </c>
      <c r="S133">
        <f t="shared" ref="S133:S196" ca="1" si="28">(R133-R132)/R132</f>
        <v>1.9103489771359748E-2</v>
      </c>
      <c r="T133" vm="1294">
        <f ca="1"/>
        <v>94.95</v>
      </c>
      <c r="U133">
        <f t="shared" ref="U133:U196" ca="1" si="29">(T133-T132)/T132</f>
        <v>4.3367886608842452E-3</v>
      </c>
    </row>
    <row r="134" spans="1:21" x14ac:dyDescent="0.2">
      <c r="A134" vm="1295">
        <f ca="1"/>
        <v>45764</v>
      </c>
      <c r="B134" vm="1296">
        <f ca="1"/>
        <v>196.98</v>
      </c>
      <c r="C134">
        <f t="shared" ca="1" si="20"/>
        <v>1.3949657692901525E-2</v>
      </c>
      <c r="D134" vm="1297">
        <f ca="1"/>
        <v>101.49</v>
      </c>
      <c r="E134">
        <f t="shared" ca="1" si="21"/>
        <v>-2.8710881424059718E-2</v>
      </c>
      <c r="F134" vm="1298">
        <f ca="1"/>
        <v>367.78</v>
      </c>
      <c r="G134">
        <f t="shared" ca="1" si="22"/>
        <v>-1.0306504130674741E-2</v>
      </c>
      <c r="H134" vm="1299">
        <f ca="1"/>
        <v>501.48</v>
      </c>
      <c r="I134">
        <f t="shared" ca="1" si="23"/>
        <v>-1.6523660687622864E-3</v>
      </c>
      <c r="J134" vm="1300">
        <f ca="1"/>
        <v>151.16</v>
      </c>
      <c r="K134">
        <f t="shared" ca="1" si="24"/>
        <v>-1.4152481575686531E-2</v>
      </c>
      <c r="L134" vm="1301">
        <f ca="1"/>
        <v>526.41</v>
      </c>
      <c r="M134">
        <f t="shared" ca="1" si="25"/>
        <v>1.4267777650953089E-3</v>
      </c>
      <c r="N134" vm="1301">
        <f ca="1"/>
        <v>526.41</v>
      </c>
      <c r="O134">
        <f t="shared" ca="1" si="26"/>
        <v>1.4267777650953089E-3</v>
      </c>
      <c r="P134" vm="1302">
        <f ca="1"/>
        <v>306.12</v>
      </c>
      <c r="Q134">
        <f t="shared" ca="1" si="27"/>
        <v>-4.3906722607084357E-3</v>
      </c>
      <c r="R134" vm="1303">
        <f ca="1"/>
        <v>69.48</v>
      </c>
      <c r="S134">
        <f t="shared" ca="1" si="28"/>
        <v>2.5535055350553563E-2</v>
      </c>
      <c r="T134" vm="1304">
        <f ca="1"/>
        <v>94.68</v>
      </c>
      <c r="U134">
        <f t="shared" ca="1" si="29"/>
        <v>-2.843601895734555E-3</v>
      </c>
    </row>
    <row r="135" spans="1:21" x14ac:dyDescent="0.2">
      <c r="A135" vm="1305">
        <f ca="1"/>
        <v>45768</v>
      </c>
      <c r="B135" vm="1306">
        <f ca="1"/>
        <v>193.16</v>
      </c>
      <c r="C135">
        <f t="shared" ca="1" si="20"/>
        <v>-1.9392831759569466E-2</v>
      </c>
      <c r="D135" vm="1307">
        <f ca="1"/>
        <v>96.91</v>
      </c>
      <c r="E135">
        <f t="shared" ca="1" si="21"/>
        <v>-4.5127598778204735E-2</v>
      </c>
      <c r="F135" vm="1308">
        <f ca="1"/>
        <v>359.12</v>
      </c>
      <c r="G135">
        <f t="shared" ca="1" si="22"/>
        <v>-2.3546685518516419E-2</v>
      </c>
      <c r="H135" vm="1309">
        <f ca="1"/>
        <v>484.66</v>
      </c>
      <c r="I135">
        <f t="shared" ca="1" si="23"/>
        <v>-3.35407194703677E-2</v>
      </c>
      <c r="J135" vm="1310">
        <f ca="1"/>
        <v>147.66999999999999</v>
      </c>
      <c r="K135">
        <f t="shared" ca="1" si="24"/>
        <v>-2.3088118549880982E-2</v>
      </c>
      <c r="L135" vm="1311">
        <f ca="1"/>
        <v>513.88</v>
      </c>
      <c r="M135">
        <f t="shared" ca="1" si="25"/>
        <v>-2.380273930966352E-2</v>
      </c>
      <c r="N135" vm="1311">
        <f ca="1"/>
        <v>513.88</v>
      </c>
      <c r="O135">
        <f t="shared" ca="1" si="26"/>
        <v>-2.380273930966352E-2</v>
      </c>
      <c r="P135" vm="1312">
        <f ca="1"/>
        <v>315.58999999999997</v>
      </c>
      <c r="Q135">
        <f t="shared" ca="1" si="27"/>
        <v>3.0935580817979782E-2</v>
      </c>
      <c r="R135" vm="1313">
        <f ca="1"/>
        <v>68.62</v>
      </c>
      <c r="S135">
        <f t="shared" ca="1" si="28"/>
        <v>-1.2377662636729986E-2</v>
      </c>
      <c r="T135" vm="213">
        <f ca="1"/>
        <v>94.17</v>
      </c>
      <c r="U135">
        <f t="shared" ca="1" si="29"/>
        <v>-5.3865652724968847E-3</v>
      </c>
    </row>
    <row r="136" spans="1:21" x14ac:dyDescent="0.2">
      <c r="A136" vm="1314">
        <f ca="1"/>
        <v>45769</v>
      </c>
      <c r="B136" vm="1315">
        <f ca="1"/>
        <v>199.74</v>
      </c>
      <c r="C136">
        <f t="shared" ca="1" si="20"/>
        <v>3.4065023814454407E-2</v>
      </c>
      <c r="D136" vm="1316">
        <f ca="1"/>
        <v>98.89</v>
      </c>
      <c r="E136">
        <f t="shared" ca="1" si="21"/>
        <v>2.0431328036322402E-2</v>
      </c>
      <c r="F136" vm="1317">
        <f ca="1"/>
        <v>366.82</v>
      </c>
      <c r="G136">
        <f t="shared" ca="1" si="22"/>
        <v>2.144130095789705E-2</v>
      </c>
      <c r="H136" vm="1318">
        <f ca="1"/>
        <v>500.28</v>
      </c>
      <c r="I136">
        <f t="shared" ca="1" si="23"/>
        <v>3.2228778937811967E-2</v>
      </c>
      <c r="J136" vm="1319">
        <f ca="1"/>
        <v>151.47</v>
      </c>
      <c r="K136">
        <f t="shared" ca="1" si="24"/>
        <v>2.5733053429945228E-2</v>
      </c>
      <c r="L136" vm="1320">
        <f ca="1"/>
        <v>527.25</v>
      </c>
      <c r="M136">
        <f t="shared" ca="1" si="25"/>
        <v>2.6017747334007947E-2</v>
      </c>
      <c r="N136" vm="1320">
        <f ca="1"/>
        <v>527.25</v>
      </c>
      <c r="O136">
        <f t="shared" ca="1" si="26"/>
        <v>2.6017747334007947E-2</v>
      </c>
      <c r="P136" vm="1321">
        <f ca="1"/>
        <v>311.11</v>
      </c>
      <c r="Q136">
        <f t="shared" ca="1" si="27"/>
        <v>-1.4195633575208219E-2</v>
      </c>
      <c r="R136" vm="1322">
        <f ca="1"/>
        <v>69.37</v>
      </c>
      <c r="S136">
        <f t="shared" ca="1" si="28"/>
        <v>1.0929758088020984E-2</v>
      </c>
      <c r="T136" vm="1323">
        <f ca="1"/>
        <v>94.24</v>
      </c>
      <c r="U136">
        <f t="shared" ca="1" si="29"/>
        <v>7.4333651906119977E-4</v>
      </c>
    </row>
    <row r="137" spans="1:21" x14ac:dyDescent="0.2">
      <c r="A137" vm="1324">
        <f ca="1"/>
        <v>45770</v>
      </c>
      <c r="B137" vm="1325">
        <f ca="1"/>
        <v>204.6</v>
      </c>
      <c r="C137">
        <f t="shared" ca="1" si="20"/>
        <v>2.4331631120456519E-2</v>
      </c>
      <c r="D137" vm="1326">
        <f ca="1"/>
        <v>102.71</v>
      </c>
      <c r="E137">
        <f t="shared" ca="1" si="21"/>
        <v>3.8628779451916201E-2</v>
      </c>
      <c r="F137" vm="1327">
        <f ca="1"/>
        <v>374.39</v>
      </c>
      <c r="G137">
        <f t="shared" ca="1" si="22"/>
        <v>2.063682460062154E-2</v>
      </c>
      <c r="H137" vm="1328">
        <f ca="1"/>
        <v>520.27</v>
      </c>
      <c r="I137">
        <f t="shared" ca="1" si="23"/>
        <v>3.9957623730710823E-2</v>
      </c>
      <c r="J137" vm="1329">
        <f ca="1"/>
        <v>155.35</v>
      </c>
      <c r="K137">
        <f t="shared" ca="1" si="24"/>
        <v>2.5615633458770683E-2</v>
      </c>
      <c r="L137" vm="1330">
        <f ca="1"/>
        <v>535.41999999999996</v>
      </c>
      <c r="M137">
        <f t="shared" ca="1" si="25"/>
        <v>1.5495495495495417E-2</v>
      </c>
      <c r="N137" vm="1330">
        <f ca="1"/>
        <v>535.41999999999996</v>
      </c>
      <c r="O137">
        <f t="shared" ca="1" si="26"/>
        <v>1.5495495495495417E-2</v>
      </c>
      <c r="P137" vm="1331">
        <f ca="1"/>
        <v>303.64999999999998</v>
      </c>
      <c r="Q137">
        <f t="shared" ca="1" si="27"/>
        <v>-2.3978657066632495E-2</v>
      </c>
      <c r="R137" vm="1332">
        <f ca="1"/>
        <v>68.05</v>
      </c>
      <c r="S137">
        <f t="shared" ca="1" si="28"/>
        <v>-1.9028398443131141E-2</v>
      </c>
      <c r="T137" vm="1333">
        <f ca="1"/>
        <v>94.34</v>
      </c>
      <c r="U137">
        <f t="shared" ca="1" si="29"/>
        <v>1.0611205432938086E-3</v>
      </c>
    </row>
    <row r="138" spans="1:21" x14ac:dyDescent="0.2">
      <c r="A138" vm="1334">
        <f ca="1"/>
        <v>45771</v>
      </c>
      <c r="B138" vm="1335">
        <f ca="1"/>
        <v>208.37</v>
      </c>
      <c r="C138">
        <f t="shared" ca="1" si="20"/>
        <v>1.8426197458455574E-2</v>
      </c>
      <c r="D138" vm="1336">
        <f ca="1"/>
        <v>106.43</v>
      </c>
      <c r="E138">
        <f t="shared" ca="1" si="21"/>
        <v>3.6218479213319187E-2</v>
      </c>
      <c r="F138" vm="1337">
        <f ca="1"/>
        <v>387.3</v>
      </c>
      <c r="G138">
        <f t="shared" ca="1" si="22"/>
        <v>3.4482758620689724E-2</v>
      </c>
      <c r="H138" vm="1338">
        <f ca="1"/>
        <v>533.15</v>
      </c>
      <c r="I138">
        <f t="shared" ca="1" si="23"/>
        <v>2.4756376496818951E-2</v>
      </c>
      <c r="J138" vm="1339">
        <f ca="1"/>
        <v>159.28</v>
      </c>
      <c r="K138">
        <f t="shared" ca="1" si="24"/>
        <v>2.5297714837463837E-2</v>
      </c>
      <c r="L138" vm="1340">
        <f ca="1"/>
        <v>546.69000000000005</v>
      </c>
      <c r="M138">
        <f t="shared" ca="1" si="25"/>
        <v>2.1048896193642554E-2</v>
      </c>
      <c r="N138" vm="1340">
        <f ca="1"/>
        <v>546.69000000000005</v>
      </c>
      <c r="O138">
        <f t="shared" ca="1" si="26"/>
        <v>2.1048896193642554E-2</v>
      </c>
      <c r="P138" vm="1341">
        <f ca="1"/>
        <v>308.07</v>
      </c>
      <c r="Q138">
        <f t="shared" ca="1" si="27"/>
        <v>1.4556232504528293E-2</v>
      </c>
      <c r="R138" vm="1342">
        <f ca="1"/>
        <v>68.459999999999994</v>
      </c>
      <c r="S138">
        <f t="shared" ca="1" si="28"/>
        <v>6.0249816311535136E-3</v>
      </c>
      <c r="T138" vm="1343">
        <f ca="1"/>
        <v>94.85</v>
      </c>
      <c r="U138">
        <f t="shared" ca="1" si="29"/>
        <v>5.4059783760863987E-3</v>
      </c>
    </row>
    <row r="139" spans="1:21" x14ac:dyDescent="0.2">
      <c r="A139" vm="1344">
        <f ca="1"/>
        <v>45772</v>
      </c>
      <c r="B139" vm="1345">
        <f ca="1"/>
        <v>209.28</v>
      </c>
      <c r="C139">
        <f t="shared" ca="1" si="20"/>
        <v>4.3672313672793424E-3</v>
      </c>
      <c r="D139" vm="1346">
        <f ca="1"/>
        <v>111.01</v>
      </c>
      <c r="E139">
        <f t="shared" ca="1" si="21"/>
        <v>4.3032979423094975E-2</v>
      </c>
      <c r="F139" vm="1347">
        <f ca="1"/>
        <v>391.85</v>
      </c>
      <c r="G139">
        <f t="shared" ca="1" si="22"/>
        <v>1.1747998967208911E-2</v>
      </c>
      <c r="H139" vm="1348">
        <f ca="1"/>
        <v>547.27</v>
      </c>
      <c r="I139">
        <f t="shared" ca="1" si="23"/>
        <v>2.6484103910719318E-2</v>
      </c>
      <c r="J139" vm="1349">
        <f ca="1"/>
        <v>161.96</v>
      </c>
      <c r="K139">
        <f t="shared" ca="1" si="24"/>
        <v>1.6825715720743387E-2</v>
      </c>
      <c r="L139" vm="1350">
        <f ca="1"/>
        <v>550.64</v>
      </c>
      <c r="M139">
        <f t="shared" ca="1" si="25"/>
        <v>7.2253013590882062E-3</v>
      </c>
      <c r="N139" vm="1350">
        <f ca="1"/>
        <v>550.64</v>
      </c>
      <c r="O139">
        <f t="shared" ca="1" si="26"/>
        <v>7.2253013590882062E-3</v>
      </c>
      <c r="P139" vm="1351">
        <f ca="1"/>
        <v>304.73</v>
      </c>
      <c r="Q139">
        <f t="shared" ca="1" si="27"/>
        <v>-1.0841691823286835E-2</v>
      </c>
      <c r="R139" vm="1352">
        <f ca="1"/>
        <v>69.03</v>
      </c>
      <c r="S139">
        <f t="shared" ca="1" si="28"/>
        <v>8.3260297984225455E-3</v>
      </c>
      <c r="T139" vm="1353">
        <f ca="1"/>
        <v>95.21</v>
      </c>
      <c r="U139">
        <f t="shared" ca="1" si="29"/>
        <v>3.7954665260938264E-3</v>
      </c>
    </row>
    <row r="140" spans="1:21" x14ac:dyDescent="0.2">
      <c r="A140" vm="1354">
        <f ca="1"/>
        <v>45775</v>
      </c>
      <c r="B140" vm="1355">
        <f ca="1"/>
        <v>210.14</v>
      </c>
      <c r="C140">
        <f t="shared" ca="1" si="20"/>
        <v>4.1093272171253119E-3</v>
      </c>
      <c r="D140" vm="1356">
        <f ca="1"/>
        <v>108.73</v>
      </c>
      <c r="E140">
        <f t="shared" ca="1" si="21"/>
        <v>-2.053869020808937E-2</v>
      </c>
      <c r="F140" vm="1357">
        <f ca="1"/>
        <v>391.16</v>
      </c>
      <c r="G140">
        <f t="shared" ca="1" si="22"/>
        <v>-1.7608778869465298E-3</v>
      </c>
      <c r="H140" vm="1358">
        <f ca="1"/>
        <v>549.74</v>
      </c>
      <c r="I140">
        <f t="shared" ca="1" si="23"/>
        <v>4.5133115281305886E-3</v>
      </c>
      <c r="J140" vm="1359">
        <f ca="1"/>
        <v>160.61000000000001</v>
      </c>
      <c r="K140">
        <f t="shared" ca="1" si="24"/>
        <v>-8.3353914546801331E-3</v>
      </c>
      <c r="L140" vm="1360">
        <f ca="1"/>
        <v>550.85</v>
      </c>
      <c r="M140">
        <f t="shared" ca="1" si="25"/>
        <v>3.8137440069743641E-4</v>
      </c>
      <c r="N140" vm="1360">
        <f ca="1"/>
        <v>550.85</v>
      </c>
      <c r="O140">
        <f t="shared" ca="1" si="26"/>
        <v>3.8137440069743641E-4</v>
      </c>
      <c r="P140" vm="1361">
        <f ca="1"/>
        <v>309.07</v>
      </c>
      <c r="Q140">
        <f t="shared" ca="1" si="27"/>
        <v>1.4242115971515685E-2</v>
      </c>
      <c r="R140" vm="1362">
        <f ca="1"/>
        <v>67.760000000000005</v>
      </c>
      <c r="S140">
        <f t="shared" ca="1" si="28"/>
        <v>-1.8397798058814949E-2</v>
      </c>
      <c r="T140" vm="1363">
        <f ca="1"/>
        <v>95.59</v>
      </c>
      <c r="U140">
        <f t="shared" ca="1" si="29"/>
        <v>3.9911773973323149E-3</v>
      </c>
    </row>
    <row r="141" spans="1:21" x14ac:dyDescent="0.2">
      <c r="A141" vm="1364">
        <f ca="1"/>
        <v>45776</v>
      </c>
      <c r="B141" vm="1365">
        <f ca="1"/>
        <v>211.21</v>
      </c>
      <c r="C141">
        <f t="shared" ca="1" si="20"/>
        <v>5.091843532882943E-3</v>
      </c>
      <c r="D141" vm="1366">
        <f ca="1"/>
        <v>109.02</v>
      </c>
      <c r="E141">
        <f t="shared" ca="1" si="21"/>
        <v>2.6671571783315738E-3</v>
      </c>
      <c r="F141" vm="1367">
        <f ca="1"/>
        <v>394.04</v>
      </c>
      <c r="G141">
        <f t="shared" ca="1" si="22"/>
        <v>7.3627160241333351E-3</v>
      </c>
      <c r="H141" vm="1368">
        <f ca="1"/>
        <v>554.44000000000005</v>
      </c>
      <c r="I141">
        <f t="shared" ca="1" si="23"/>
        <v>8.549496125441201E-3</v>
      </c>
      <c r="J141" vm="1369">
        <f ca="1"/>
        <v>160.16</v>
      </c>
      <c r="K141">
        <f t="shared" ca="1" si="24"/>
        <v>-2.8018180686135174E-3</v>
      </c>
      <c r="L141" vm="1370">
        <f ca="1"/>
        <v>554.32000000000005</v>
      </c>
      <c r="M141">
        <f t="shared" ca="1" si="25"/>
        <v>6.2993555414360119E-3</v>
      </c>
      <c r="N141" vm="1370">
        <f ca="1"/>
        <v>554.32000000000005</v>
      </c>
      <c r="O141">
        <f t="shared" ca="1" si="26"/>
        <v>6.2993555414360119E-3</v>
      </c>
      <c r="P141" vm="1371">
        <f ca="1"/>
        <v>306.06</v>
      </c>
      <c r="Q141">
        <f t="shared" ca="1" si="27"/>
        <v>-9.7388941016597896E-3</v>
      </c>
      <c r="R141" vm="1372">
        <f ca="1"/>
        <v>65.849999999999994</v>
      </c>
      <c r="S141">
        <f t="shared" ca="1" si="28"/>
        <v>-2.818772136953971E-2</v>
      </c>
      <c r="T141" vm="1373">
        <f ca="1"/>
        <v>95.92</v>
      </c>
      <c r="U141">
        <f t="shared" ca="1" si="29"/>
        <v>3.4522439585730545E-3</v>
      </c>
    </row>
    <row r="142" spans="1:21" x14ac:dyDescent="0.2">
      <c r="A142" vm="1374">
        <f ca="1"/>
        <v>45777</v>
      </c>
      <c r="B142" vm="1375">
        <f ca="1"/>
        <v>212.5</v>
      </c>
      <c r="C142">
        <f t="shared" ca="1" si="20"/>
        <v>6.1076653567539033E-3</v>
      </c>
      <c r="D142" vm="1376">
        <f ca="1"/>
        <v>108.92</v>
      </c>
      <c r="E142">
        <f t="shared" ca="1" si="21"/>
        <v>-9.1726288754351792E-4</v>
      </c>
      <c r="F142" vm="1377">
        <f ca="1"/>
        <v>395.26</v>
      </c>
      <c r="G142">
        <f t="shared" ca="1" si="22"/>
        <v>3.0961323723479096E-3</v>
      </c>
      <c r="H142" vm="1378">
        <f ca="1"/>
        <v>549</v>
      </c>
      <c r="I142">
        <f t="shared" ca="1" si="23"/>
        <v>-9.8117018974100967E-3</v>
      </c>
      <c r="J142" vm="1379">
        <f ca="1"/>
        <v>158.80000000000001</v>
      </c>
      <c r="K142">
        <f t="shared" ca="1" si="24"/>
        <v>-8.4915084915084E-3</v>
      </c>
      <c r="L142" vm="1380">
        <f ca="1"/>
        <v>554.54</v>
      </c>
      <c r="M142">
        <f t="shared" ca="1" si="25"/>
        <v>3.9688266705136666E-4</v>
      </c>
      <c r="N142" vm="1380">
        <f ca="1"/>
        <v>554.54</v>
      </c>
      <c r="O142">
        <f t="shared" ca="1" si="26"/>
        <v>3.9688266705136666E-4</v>
      </c>
      <c r="P142" vm="1381">
        <f ca="1"/>
        <v>303.77</v>
      </c>
      <c r="Q142">
        <f t="shared" ca="1" si="27"/>
        <v>-7.4821930340456784E-3</v>
      </c>
      <c r="R142" vm="1382">
        <f ca="1"/>
        <v>63.56</v>
      </c>
      <c r="S142">
        <f t="shared" ca="1" si="28"/>
        <v>-3.4776006074411427E-2</v>
      </c>
      <c r="T142" vm="1383">
        <f ca="1"/>
        <v>96.07</v>
      </c>
      <c r="U142">
        <f t="shared" ca="1" si="29"/>
        <v>1.5638031693076676E-3</v>
      </c>
    </row>
    <row r="143" spans="1:21" x14ac:dyDescent="0.2">
      <c r="A143" vm="1384">
        <f ca="1"/>
        <v>45778</v>
      </c>
      <c r="B143" vm="1385">
        <f ca="1"/>
        <v>213.32</v>
      </c>
      <c r="C143">
        <f t="shared" ca="1" si="20"/>
        <v>3.8588235294117327E-3</v>
      </c>
      <c r="D143" vm="1386">
        <f ca="1"/>
        <v>111.61</v>
      </c>
      <c r="E143">
        <f t="shared" ca="1" si="21"/>
        <v>2.4697025339698839E-2</v>
      </c>
      <c r="F143" vm="1387">
        <f ca="1"/>
        <v>425.4</v>
      </c>
      <c r="G143">
        <f t="shared" ca="1" si="22"/>
        <v>7.6253605221879239E-2</v>
      </c>
      <c r="H143" vm="1388">
        <f ca="1"/>
        <v>572.21</v>
      </c>
      <c r="I143">
        <f t="shared" ca="1" si="23"/>
        <v>4.2276867030965455E-2</v>
      </c>
      <c r="J143" vm="1389">
        <f ca="1"/>
        <v>161.30000000000001</v>
      </c>
      <c r="K143">
        <f t="shared" ca="1" si="24"/>
        <v>1.5743073047858942E-2</v>
      </c>
      <c r="L143" vm="1390">
        <f ca="1"/>
        <v>558.47</v>
      </c>
      <c r="M143">
        <f t="shared" ca="1" si="25"/>
        <v>7.0869549536553972E-3</v>
      </c>
      <c r="N143" vm="1390">
        <f ca="1"/>
        <v>558.47</v>
      </c>
      <c r="O143">
        <f t="shared" ca="1" si="26"/>
        <v>7.0869549536553972E-3</v>
      </c>
      <c r="P143" vm="1391">
        <f ca="1"/>
        <v>297.45999999999998</v>
      </c>
      <c r="Q143">
        <f t="shared" ca="1" si="27"/>
        <v>-2.0772294828324069E-2</v>
      </c>
      <c r="R143" vm="1392">
        <f ca="1"/>
        <v>64.52</v>
      </c>
      <c r="S143">
        <f t="shared" ca="1" si="28"/>
        <v>1.5103838892385049E-2</v>
      </c>
      <c r="T143" vm="1393">
        <f ca="1"/>
        <v>95.34</v>
      </c>
      <c r="U143">
        <f t="shared" ca="1" si="29"/>
        <v>-7.5986260018735281E-3</v>
      </c>
    </row>
    <row r="144" spans="1:21" x14ac:dyDescent="0.2">
      <c r="A144" vm="1394">
        <f ca="1"/>
        <v>45779</v>
      </c>
      <c r="B144" vm="1395">
        <f ca="1"/>
        <v>205.35</v>
      </c>
      <c r="C144">
        <f t="shared" ca="1" si="20"/>
        <v>-3.7361710106881676E-2</v>
      </c>
      <c r="D144" vm="1396">
        <f ca="1"/>
        <v>114.5</v>
      </c>
      <c r="E144">
        <f t="shared" ca="1" si="21"/>
        <v>2.5893737120329725E-2</v>
      </c>
      <c r="F144" vm="1397">
        <f ca="1"/>
        <v>435.28</v>
      </c>
      <c r="G144">
        <f t="shared" ca="1" si="22"/>
        <v>2.3225199811941693E-2</v>
      </c>
      <c r="H144" vm="1398">
        <f ca="1"/>
        <v>597.02</v>
      </c>
      <c r="I144">
        <f t="shared" ca="1" si="23"/>
        <v>4.3358207651037109E-2</v>
      </c>
      <c r="J144" vm="1399">
        <f ca="1"/>
        <v>164.03</v>
      </c>
      <c r="K144">
        <f t="shared" ca="1" si="24"/>
        <v>1.6924984500929878E-2</v>
      </c>
      <c r="L144" vm="1400">
        <f ca="1"/>
        <v>566.76</v>
      </c>
      <c r="M144">
        <f t="shared" ca="1" si="25"/>
        <v>1.4844127706053974E-2</v>
      </c>
      <c r="N144" vm="1400">
        <f ca="1"/>
        <v>566.76</v>
      </c>
      <c r="O144">
        <f t="shared" ca="1" si="26"/>
        <v>1.4844127706053974E-2</v>
      </c>
      <c r="P144" vm="1401">
        <f ca="1"/>
        <v>297.98</v>
      </c>
      <c r="Q144">
        <f t="shared" ca="1" si="27"/>
        <v>1.7481342029181694E-3</v>
      </c>
      <c r="R144" vm="1402">
        <f ca="1"/>
        <v>64.010000000000005</v>
      </c>
      <c r="S144">
        <f t="shared" ca="1" si="28"/>
        <v>-7.9045257284561521E-3</v>
      </c>
      <c r="T144" vm="1403">
        <f ca="1"/>
        <v>94.7</v>
      </c>
      <c r="U144">
        <f t="shared" ca="1" si="29"/>
        <v>-6.7128172855045161E-3</v>
      </c>
    </row>
    <row r="145" spans="1:21" x14ac:dyDescent="0.2">
      <c r="A145" vm="1404">
        <f ca="1"/>
        <v>45782</v>
      </c>
      <c r="B145" vm="1405">
        <f ca="1"/>
        <v>198.89</v>
      </c>
      <c r="C145">
        <f t="shared" ca="1" si="20"/>
        <v>-3.1458485512539609E-2</v>
      </c>
      <c r="D145" vm="1406">
        <f ca="1"/>
        <v>113.82</v>
      </c>
      <c r="E145">
        <f t="shared" ca="1" si="21"/>
        <v>-5.9388646288210199E-3</v>
      </c>
      <c r="F145" vm="1407">
        <f ca="1"/>
        <v>436.17</v>
      </c>
      <c r="G145">
        <f t="shared" ca="1" si="22"/>
        <v>2.0446609079214375E-3</v>
      </c>
      <c r="H145" vm="1408">
        <f ca="1"/>
        <v>599.27</v>
      </c>
      <c r="I145">
        <f t="shared" ca="1" si="23"/>
        <v>3.7687179658972901E-3</v>
      </c>
      <c r="J145" vm="1409">
        <f ca="1"/>
        <v>164.21</v>
      </c>
      <c r="K145">
        <f t="shared" ca="1" si="24"/>
        <v>1.0973602389807158E-3</v>
      </c>
      <c r="L145" vm="1410">
        <f ca="1"/>
        <v>563.51</v>
      </c>
      <c r="M145">
        <f t="shared" ca="1" si="25"/>
        <v>-5.7343496365304539E-3</v>
      </c>
      <c r="N145" vm="1410">
        <f ca="1"/>
        <v>563.51</v>
      </c>
      <c r="O145">
        <f t="shared" ca="1" si="26"/>
        <v>-5.7343496365304539E-3</v>
      </c>
      <c r="P145" vm="1411">
        <f ca="1"/>
        <v>306.88</v>
      </c>
      <c r="Q145">
        <f t="shared" ca="1" si="27"/>
        <v>2.9867776360829507E-2</v>
      </c>
      <c r="R145" vm="1412">
        <f ca="1"/>
        <v>62.37</v>
      </c>
      <c r="S145">
        <f t="shared" ca="1" si="28"/>
        <v>-2.5620996719262733E-2</v>
      </c>
      <c r="T145" vm="1413">
        <f ca="1"/>
        <v>94.53</v>
      </c>
      <c r="U145">
        <f t="shared" ca="1" si="29"/>
        <v>-1.795142555438244E-3</v>
      </c>
    </row>
    <row r="146" spans="1:21" x14ac:dyDescent="0.2">
      <c r="A146" vm="1414">
        <f ca="1"/>
        <v>45783</v>
      </c>
      <c r="B146" vm="1415">
        <f ca="1"/>
        <v>198.51</v>
      </c>
      <c r="C146">
        <f t="shared" ca="1" si="20"/>
        <v>-1.9106038513751092E-3</v>
      </c>
      <c r="D146" vm="1416">
        <f ca="1"/>
        <v>113.54</v>
      </c>
      <c r="E146">
        <f t="shared" ca="1" si="21"/>
        <v>-2.4600246002458876E-3</v>
      </c>
      <c r="F146" vm="1417">
        <f ca="1"/>
        <v>433.31</v>
      </c>
      <c r="G146">
        <f t="shared" ca="1" si="22"/>
        <v>-6.5570763693055768E-3</v>
      </c>
      <c r="H146" vm="1418">
        <f ca="1"/>
        <v>587.30999999999995</v>
      </c>
      <c r="I146">
        <f t="shared" ca="1" si="23"/>
        <v>-1.9957615098369744E-2</v>
      </c>
      <c r="J146" vm="1419">
        <f ca="1"/>
        <v>163.22999999999999</v>
      </c>
      <c r="K146">
        <f t="shared" ca="1" si="24"/>
        <v>-5.9679678460508988E-3</v>
      </c>
      <c r="L146" vm="1420">
        <f ca="1"/>
        <v>558.79999999999995</v>
      </c>
      <c r="M146">
        <f t="shared" ca="1" si="25"/>
        <v>-8.3583254955547134E-3</v>
      </c>
      <c r="N146" vm="1420">
        <f ca="1"/>
        <v>558.79999999999995</v>
      </c>
      <c r="O146">
        <f t="shared" ca="1" si="26"/>
        <v>-8.3583254955547134E-3</v>
      </c>
      <c r="P146" vm="1421">
        <f ca="1"/>
        <v>315.48</v>
      </c>
      <c r="Q146">
        <f t="shared" ca="1" si="27"/>
        <v>2.8023983315954192E-2</v>
      </c>
      <c r="R146" vm="1422">
        <f ca="1"/>
        <v>64.599999999999994</v>
      </c>
      <c r="S146">
        <f t="shared" ca="1" si="28"/>
        <v>3.5754369087702374E-2</v>
      </c>
      <c r="T146" vm="458">
        <f ca="1"/>
        <v>94.77</v>
      </c>
      <c r="U146">
        <f t="shared" ca="1" si="29"/>
        <v>2.538876547127842E-3</v>
      </c>
    </row>
    <row r="147" spans="1:21" x14ac:dyDescent="0.2">
      <c r="A147" vm="1423">
        <f ca="1"/>
        <v>45784</v>
      </c>
      <c r="B147" vm="1424">
        <f ca="1"/>
        <v>196.25</v>
      </c>
      <c r="C147">
        <f t="shared" ca="1" si="20"/>
        <v>-1.1384816885799159E-2</v>
      </c>
      <c r="D147" vm="1425">
        <f ca="1"/>
        <v>117.06</v>
      </c>
      <c r="E147">
        <f t="shared" ca="1" si="21"/>
        <v>3.1002289941870671E-2</v>
      </c>
      <c r="F147" vm="1426">
        <f ca="1"/>
        <v>433.35</v>
      </c>
      <c r="G147">
        <f t="shared" ca="1" si="22"/>
        <v>9.2312662989592811E-5</v>
      </c>
      <c r="H147" vm="1427">
        <f ca="1"/>
        <v>596.80999999999995</v>
      </c>
      <c r="I147">
        <f t="shared" ca="1" si="23"/>
        <v>1.6175443973370111E-2</v>
      </c>
      <c r="J147" vm="1428">
        <f ca="1"/>
        <v>151.38</v>
      </c>
      <c r="K147">
        <f t="shared" ca="1" si="24"/>
        <v>-7.2596949090240739E-2</v>
      </c>
      <c r="L147" vm="1429">
        <f ca="1"/>
        <v>561.15</v>
      </c>
      <c r="M147">
        <f t="shared" ca="1" si="25"/>
        <v>4.2054402290623173E-3</v>
      </c>
      <c r="N147" vm="1429">
        <f ca="1"/>
        <v>561.15</v>
      </c>
      <c r="O147">
        <f t="shared" ca="1" si="26"/>
        <v>4.2054402290623173E-3</v>
      </c>
      <c r="P147" vm="1430">
        <f ca="1"/>
        <v>310.75</v>
      </c>
      <c r="Q147">
        <f t="shared" ca="1" si="27"/>
        <v>-1.4993026499302706E-2</v>
      </c>
      <c r="R147" vm="1431">
        <f ca="1"/>
        <v>63.51</v>
      </c>
      <c r="S147">
        <f t="shared" ca="1" si="28"/>
        <v>-1.6873065015479822E-2</v>
      </c>
      <c r="T147" vm="1119">
        <f ca="1"/>
        <v>95.02</v>
      </c>
      <c r="U147">
        <f t="shared" ca="1" si="29"/>
        <v>2.6379656009285642E-3</v>
      </c>
    </row>
    <row r="148" spans="1:21" x14ac:dyDescent="0.2">
      <c r="A148" vm="1432">
        <f ca="1"/>
        <v>45785</v>
      </c>
      <c r="B148" vm="1433">
        <f ca="1"/>
        <v>197.49</v>
      </c>
      <c r="C148">
        <f t="shared" ca="1" si="20"/>
        <v>6.3184713375796639E-3</v>
      </c>
      <c r="D148" vm="1434">
        <f ca="1"/>
        <v>117.37</v>
      </c>
      <c r="E148">
        <f t="shared" ca="1" si="21"/>
        <v>2.6482145908081518E-3</v>
      </c>
      <c r="F148" vm="1435">
        <f ca="1"/>
        <v>438.17</v>
      </c>
      <c r="G148">
        <f t="shared" ca="1" si="22"/>
        <v>1.1122649128879641E-2</v>
      </c>
      <c r="H148" vm="1436">
        <f ca="1"/>
        <v>598.01</v>
      </c>
      <c r="I148">
        <f t="shared" ca="1" si="23"/>
        <v>2.0106901694007234E-3</v>
      </c>
      <c r="J148" vm="1437">
        <f ca="1"/>
        <v>154.28</v>
      </c>
      <c r="K148">
        <f t="shared" ca="1" si="24"/>
        <v>1.9157088122605401E-2</v>
      </c>
      <c r="L148" vm="1438">
        <f ca="1"/>
        <v>565.05999999999995</v>
      </c>
      <c r="M148">
        <f t="shared" ca="1" si="25"/>
        <v>6.967833912501057E-3</v>
      </c>
      <c r="N148" vm="1438">
        <f ca="1"/>
        <v>565.05999999999995</v>
      </c>
      <c r="O148">
        <f t="shared" ca="1" si="26"/>
        <v>6.967833912501057E-3</v>
      </c>
      <c r="P148" vm="1439">
        <f ca="1"/>
        <v>304.63</v>
      </c>
      <c r="Q148">
        <f t="shared" ca="1" si="27"/>
        <v>-1.96942880128721E-2</v>
      </c>
      <c r="R148" vm="1440">
        <f ca="1"/>
        <v>65.599999999999994</v>
      </c>
      <c r="S148">
        <f t="shared" ca="1" si="28"/>
        <v>3.2908203432530252E-2</v>
      </c>
      <c r="T148" vm="1441">
        <f ca="1"/>
        <v>94.28</v>
      </c>
      <c r="U148">
        <f t="shared" ca="1" si="29"/>
        <v>-7.787834140180961E-3</v>
      </c>
    </row>
    <row r="149" spans="1:21" x14ac:dyDescent="0.2">
      <c r="A149" vm="1442">
        <f ca="1"/>
        <v>45786</v>
      </c>
      <c r="B149" vm="1443">
        <f ca="1"/>
        <v>198.53</v>
      </c>
      <c r="C149">
        <f t="shared" ca="1" si="20"/>
        <v>5.2660894222491868E-3</v>
      </c>
      <c r="D149" vm="1444">
        <f ca="1"/>
        <v>116.65</v>
      </c>
      <c r="E149">
        <f t="shared" ca="1" si="21"/>
        <v>-6.1344466217943157E-3</v>
      </c>
      <c r="F149" vm="1445">
        <f ca="1"/>
        <v>438.73</v>
      </c>
      <c r="G149">
        <f t="shared" ca="1" si="22"/>
        <v>1.278042768788375E-3</v>
      </c>
      <c r="H149" vm="1446">
        <f ca="1"/>
        <v>592.49</v>
      </c>
      <c r="I149">
        <f t="shared" ca="1" si="23"/>
        <v>-9.2306148726609624E-3</v>
      </c>
      <c r="J149" vm="1447">
        <f ca="1"/>
        <v>152.75</v>
      </c>
      <c r="K149">
        <f t="shared" ca="1" si="24"/>
        <v>-9.917033964220905E-3</v>
      </c>
      <c r="L149" vm="1448">
        <f ca="1"/>
        <v>564.34</v>
      </c>
      <c r="M149">
        <f t="shared" ca="1" si="25"/>
        <v>-1.274200969808363E-3</v>
      </c>
      <c r="N149" vm="1448">
        <f ca="1"/>
        <v>564.34</v>
      </c>
      <c r="O149">
        <f t="shared" ca="1" si="26"/>
        <v>-1.274200969808363E-3</v>
      </c>
      <c r="P149" vm="1449">
        <f ca="1"/>
        <v>306.83999999999997</v>
      </c>
      <c r="Q149">
        <f t="shared" ca="1" si="27"/>
        <v>7.2547024258936398E-3</v>
      </c>
      <c r="R149" vm="1450">
        <f ca="1"/>
        <v>66.61</v>
      </c>
      <c r="S149">
        <f t="shared" ca="1" si="28"/>
        <v>1.5396341463414714E-2</v>
      </c>
      <c r="T149" vm="1451">
        <f ca="1"/>
        <v>94.35</v>
      </c>
      <c r="U149">
        <f t="shared" ca="1" si="29"/>
        <v>7.4246924055996154E-4</v>
      </c>
    </row>
    <row r="150" spans="1:21" x14ac:dyDescent="0.2">
      <c r="A150" vm="1452">
        <f ca="1"/>
        <v>45789</v>
      </c>
      <c r="B150" vm="1453">
        <f ca="1"/>
        <v>210.79</v>
      </c>
      <c r="C150">
        <f t="shared" ca="1" si="20"/>
        <v>6.1753891099581883E-2</v>
      </c>
      <c r="D150" vm="1454">
        <f ca="1"/>
        <v>123</v>
      </c>
      <c r="E150">
        <f t="shared" ca="1" si="21"/>
        <v>5.4436348049721341E-2</v>
      </c>
      <c r="F150" vm="1455">
        <f ca="1"/>
        <v>449.26</v>
      </c>
      <c r="G150">
        <f t="shared" ca="1" si="22"/>
        <v>2.4001094066965951E-2</v>
      </c>
      <c r="H150" vm="1456">
        <f ca="1"/>
        <v>639.42999999999995</v>
      </c>
      <c r="I150">
        <f t="shared" ca="1" si="23"/>
        <v>7.9224965822207866E-2</v>
      </c>
      <c r="J150" vm="1457">
        <f ca="1"/>
        <v>158.46</v>
      </c>
      <c r="K150">
        <f t="shared" ca="1" si="24"/>
        <v>3.7381342062193179E-2</v>
      </c>
      <c r="L150" vm="1458">
        <f ca="1"/>
        <v>582.99</v>
      </c>
      <c r="M150">
        <f t="shared" ca="1" si="25"/>
        <v>3.3047453662685571E-2</v>
      </c>
      <c r="N150" vm="1458">
        <f ca="1"/>
        <v>582.99</v>
      </c>
      <c r="O150">
        <f t="shared" ca="1" si="26"/>
        <v>3.3047453662685571E-2</v>
      </c>
      <c r="P150" vm="1459">
        <f ca="1"/>
        <v>298.19</v>
      </c>
      <c r="Q150">
        <f t="shared" ca="1" si="27"/>
        <v>-2.8190587928562046E-2</v>
      </c>
      <c r="R150" vm="1460">
        <f ca="1"/>
        <v>67.599999999999994</v>
      </c>
      <c r="S150">
        <f t="shared" ca="1" si="28"/>
        <v>1.4862633238252439E-2</v>
      </c>
      <c r="T150" vm="1461">
        <f ca="1"/>
        <v>93.75</v>
      </c>
      <c r="U150">
        <f t="shared" ca="1" si="29"/>
        <v>-6.3593004769474763E-3</v>
      </c>
    </row>
    <row r="151" spans="1:21" x14ac:dyDescent="0.2">
      <c r="A151" vm="1462">
        <f ca="1"/>
        <v>45790</v>
      </c>
      <c r="B151" vm="1463">
        <f ca="1"/>
        <v>212.93</v>
      </c>
      <c r="C151">
        <f t="shared" ca="1" si="20"/>
        <v>1.0152284263959461E-2</v>
      </c>
      <c r="D151" vm="1464">
        <f ca="1"/>
        <v>129.93</v>
      </c>
      <c r="E151">
        <f t="shared" ca="1" si="21"/>
        <v>5.6341463414634203E-2</v>
      </c>
      <c r="F151" vm="1465">
        <f ca="1"/>
        <v>449.14</v>
      </c>
      <c r="G151">
        <f t="shared" ca="1" si="22"/>
        <v>-2.6710590749233086E-4</v>
      </c>
      <c r="H151" vm="1466">
        <f ca="1"/>
        <v>656.03</v>
      </c>
      <c r="I151">
        <f t="shared" ca="1" si="23"/>
        <v>2.5960621178236904E-2</v>
      </c>
      <c r="J151" vm="1467">
        <f ca="1"/>
        <v>159.53</v>
      </c>
      <c r="K151">
        <f t="shared" ca="1" si="24"/>
        <v>6.7524927426479437E-3</v>
      </c>
      <c r="L151" vm="1468">
        <f ca="1"/>
        <v>586.84</v>
      </c>
      <c r="M151">
        <f t="shared" ca="1" si="25"/>
        <v>6.6038868591228369E-3</v>
      </c>
      <c r="N151" vm="1468">
        <f ca="1"/>
        <v>586.84</v>
      </c>
      <c r="O151">
        <f t="shared" ca="1" si="26"/>
        <v>6.6038868591228369E-3</v>
      </c>
      <c r="P151" vm="1469">
        <f ca="1"/>
        <v>299.45999999999998</v>
      </c>
      <c r="Q151">
        <f t="shared" ca="1" si="27"/>
        <v>4.2590294778496324E-3</v>
      </c>
      <c r="R151" vm="1470">
        <f ca="1"/>
        <v>69.59</v>
      </c>
      <c r="S151">
        <f t="shared" ca="1" si="28"/>
        <v>2.9437869822485346E-2</v>
      </c>
      <c r="T151" vm="1471">
        <f ca="1"/>
        <v>93.68</v>
      </c>
      <c r="U151">
        <f t="shared" ca="1" si="29"/>
        <v>-7.4666666666659389E-4</v>
      </c>
    </row>
    <row r="152" spans="1:21" x14ac:dyDescent="0.2">
      <c r="A152" vm="1472">
        <f ca="1"/>
        <v>45791</v>
      </c>
      <c r="B152" vm="1473">
        <f ca="1"/>
        <v>212.33</v>
      </c>
      <c r="C152">
        <f t="shared" ca="1" si="20"/>
        <v>-2.8178274550321432E-3</v>
      </c>
      <c r="D152" vm="374">
        <f ca="1"/>
        <v>135.34</v>
      </c>
      <c r="E152">
        <f t="shared" ca="1" si="21"/>
        <v>4.1637804971907923E-2</v>
      </c>
      <c r="F152" vm="1474">
        <f ca="1"/>
        <v>452.94</v>
      </c>
      <c r="G152">
        <f t="shared" ca="1" si="22"/>
        <v>8.4606136171349947E-3</v>
      </c>
      <c r="H152" vm="1475">
        <f ca="1"/>
        <v>659.36</v>
      </c>
      <c r="I152">
        <f t="shared" ca="1" si="23"/>
        <v>5.0759873786260399E-3</v>
      </c>
      <c r="J152" vm="1476">
        <f ca="1"/>
        <v>165.37</v>
      </c>
      <c r="K152">
        <f t="shared" ca="1" si="24"/>
        <v>3.6607534632984412E-2</v>
      </c>
      <c r="L152" vm="1477">
        <f ca="1"/>
        <v>587.59</v>
      </c>
      <c r="M152">
        <f t="shared" ca="1" si="25"/>
        <v>1.2780314906959307E-3</v>
      </c>
      <c r="N152" vm="1477">
        <f ca="1"/>
        <v>587.59</v>
      </c>
      <c r="O152">
        <f t="shared" ca="1" si="26"/>
        <v>1.2780314906959307E-3</v>
      </c>
      <c r="P152" vm="1478">
        <f ca="1"/>
        <v>293.16000000000003</v>
      </c>
      <c r="Q152">
        <f t="shared" ca="1" si="27"/>
        <v>-2.1037868162692697E-2</v>
      </c>
      <c r="R152" vm="1479">
        <f ca="1"/>
        <v>68.73</v>
      </c>
      <c r="S152">
        <f t="shared" ca="1" si="28"/>
        <v>-1.2358097427791341E-2</v>
      </c>
      <c r="T152" vm="1480">
        <f ca="1"/>
        <v>93.33</v>
      </c>
      <c r="U152">
        <f t="shared" ca="1" si="29"/>
        <v>-3.736122971819049E-3</v>
      </c>
    </row>
    <row r="153" spans="1:21" x14ac:dyDescent="0.2">
      <c r="A153" vm="1481">
        <f ca="1"/>
        <v>45792</v>
      </c>
      <c r="B153" vm="1482">
        <f ca="1"/>
        <v>211.45</v>
      </c>
      <c r="C153">
        <f t="shared" ca="1" si="20"/>
        <v>-4.144492064239739E-3</v>
      </c>
      <c r="D153" vm="1483">
        <f ca="1"/>
        <v>134.83000000000001</v>
      </c>
      <c r="E153">
        <f t="shared" ca="1" si="21"/>
        <v>-3.7682872764887758E-3</v>
      </c>
      <c r="F153" vm="1484">
        <f ca="1"/>
        <v>453.13</v>
      </c>
      <c r="G153">
        <f t="shared" ca="1" si="22"/>
        <v>4.1948160904313535E-4</v>
      </c>
      <c r="H153" vm="1485">
        <f ca="1"/>
        <v>643.88</v>
      </c>
      <c r="I153">
        <f t="shared" ca="1" si="23"/>
        <v>-2.3477311332200948E-2</v>
      </c>
      <c r="J153" vm="1486">
        <f ca="1"/>
        <v>163.96</v>
      </c>
      <c r="K153">
        <f t="shared" ca="1" si="24"/>
        <v>-8.5263348854084566E-3</v>
      </c>
      <c r="L153" vm="1487">
        <f ca="1"/>
        <v>590.46</v>
      </c>
      <c r="M153">
        <f t="shared" ca="1" si="25"/>
        <v>4.8843581408805539E-3</v>
      </c>
      <c r="N153" vm="1487">
        <f ca="1"/>
        <v>590.46</v>
      </c>
      <c r="O153">
        <f t="shared" ca="1" si="26"/>
        <v>4.8843581408805539E-3</v>
      </c>
      <c r="P153" vm="1488">
        <f ca="1"/>
        <v>297.83999999999997</v>
      </c>
      <c r="Q153">
        <f t="shared" ca="1" si="27"/>
        <v>1.5963978714694876E-2</v>
      </c>
      <c r="R153" vm="1489">
        <f ca="1"/>
        <v>67.59</v>
      </c>
      <c r="S153">
        <f t="shared" ca="1" si="28"/>
        <v>-1.6586643387167182E-2</v>
      </c>
      <c r="T153" vm="263">
        <f ca="1"/>
        <v>93.94</v>
      </c>
      <c r="U153">
        <f t="shared" ca="1" si="29"/>
        <v>6.5359477124182948E-3</v>
      </c>
    </row>
    <row r="154" spans="1:21" x14ac:dyDescent="0.2">
      <c r="A154" vm="1490">
        <f ca="1"/>
        <v>45793</v>
      </c>
      <c r="B154" vm="1491">
        <f ca="1"/>
        <v>211.26</v>
      </c>
      <c r="C154">
        <f t="shared" ca="1" si="20"/>
        <v>-8.9855757862377739E-4</v>
      </c>
      <c r="D154" vm="196">
        <f ca="1"/>
        <v>135.4</v>
      </c>
      <c r="E154">
        <f t="shared" ca="1" si="21"/>
        <v>4.2275457984127648E-3</v>
      </c>
      <c r="F154" vm="1492">
        <f ca="1"/>
        <v>454.27</v>
      </c>
      <c r="G154">
        <f t="shared" ca="1" si="22"/>
        <v>2.5158343080351918E-3</v>
      </c>
      <c r="H154" vm="1493">
        <f ca="1"/>
        <v>640.34</v>
      </c>
      <c r="I154">
        <f t="shared" ca="1" si="23"/>
        <v>-5.4979188668695467E-3</v>
      </c>
      <c r="J154" vm="1494">
        <f ca="1"/>
        <v>166.19</v>
      </c>
      <c r="K154">
        <f t="shared" ca="1" si="24"/>
        <v>1.3600878262990911E-2</v>
      </c>
      <c r="L154" vm="1495">
        <f ca="1"/>
        <v>594.20000000000005</v>
      </c>
      <c r="M154">
        <f t="shared" ca="1" si="25"/>
        <v>6.3340446431595851E-3</v>
      </c>
      <c r="N154" vm="1495">
        <f ca="1"/>
        <v>594.20000000000005</v>
      </c>
      <c r="O154">
        <f t="shared" ca="1" si="26"/>
        <v>6.3340446431595851E-3</v>
      </c>
      <c r="P154" vm="1496">
        <f ca="1"/>
        <v>294.24</v>
      </c>
      <c r="Q154">
        <f t="shared" ca="1" si="27"/>
        <v>-1.2087026591458388E-2</v>
      </c>
      <c r="R154" vm="1497">
        <f ca="1"/>
        <v>68.099999999999994</v>
      </c>
      <c r="S154">
        <f t="shared" ca="1" si="28"/>
        <v>7.5454948956944941E-3</v>
      </c>
      <c r="T154" vm="1498">
        <f ca="1"/>
        <v>93.97</v>
      </c>
      <c r="U154">
        <f t="shared" ca="1" si="29"/>
        <v>3.193527783691839E-4</v>
      </c>
    </row>
    <row r="155" spans="1:21" x14ac:dyDescent="0.2">
      <c r="A155" vm="1499">
        <f ca="1"/>
        <v>45796</v>
      </c>
      <c r="B155" vm="1500">
        <f ca="1"/>
        <v>208.78</v>
      </c>
      <c r="C155">
        <f t="shared" ca="1" si="20"/>
        <v>-1.1739089273880478E-2</v>
      </c>
      <c r="D155" vm="1501">
        <f ca="1"/>
        <v>135.57</v>
      </c>
      <c r="E155">
        <f t="shared" ca="1" si="21"/>
        <v>1.2555391432790804E-3</v>
      </c>
      <c r="F155" vm="1502">
        <f ca="1"/>
        <v>458.87</v>
      </c>
      <c r="G155">
        <f t="shared" ca="1" si="22"/>
        <v>1.0126136438681892E-2</v>
      </c>
      <c r="H155" vm="1503">
        <f ca="1"/>
        <v>640.42999999999995</v>
      </c>
      <c r="I155">
        <f t="shared" ca="1" si="23"/>
        <v>1.4055033263565939E-4</v>
      </c>
      <c r="J155" vm="1504">
        <f ca="1"/>
        <v>166.54</v>
      </c>
      <c r="K155">
        <f t="shared" ca="1" si="24"/>
        <v>2.1060232264275489E-3</v>
      </c>
      <c r="L155" vm="1505">
        <f ca="1"/>
        <v>594.85</v>
      </c>
      <c r="M155">
        <f t="shared" ca="1" si="25"/>
        <v>1.0939077751598405E-3</v>
      </c>
      <c r="N155" vm="1505">
        <f ca="1"/>
        <v>594.85</v>
      </c>
      <c r="O155">
        <f t="shared" ca="1" si="26"/>
        <v>1.0939077751598405E-3</v>
      </c>
      <c r="P155" vm="1506">
        <f ca="1"/>
        <v>298.02999999999997</v>
      </c>
      <c r="Q155">
        <f t="shared" ca="1" si="27"/>
        <v>1.2880641653072199E-2</v>
      </c>
      <c r="R155" vm="1507">
        <f ca="1"/>
        <v>68.510000000000005</v>
      </c>
      <c r="S155">
        <f t="shared" ca="1" si="28"/>
        <v>6.0205580029370166E-3</v>
      </c>
      <c r="T155" vm="1508">
        <f ca="1"/>
        <v>93.92</v>
      </c>
      <c r="U155">
        <f t="shared" ca="1" si="29"/>
        <v>-5.3208470788546514E-4</v>
      </c>
    </row>
    <row r="156" spans="1:21" x14ac:dyDescent="0.2">
      <c r="A156" vm="1509">
        <f ca="1"/>
        <v>45797</v>
      </c>
      <c r="B156" vm="1510">
        <f ca="1"/>
        <v>206.86</v>
      </c>
      <c r="C156">
        <f t="shared" ca="1" si="20"/>
        <v>-9.1962831688858493E-3</v>
      </c>
      <c r="D156" vm="1511">
        <f ca="1"/>
        <v>134.38</v>
      </c>
      <c r="E156">
        <f t="shared" ca="1" si="21"/>
        <v>-8.7777531902338106E-3</v>
      </c>
      <c r="F156" vm="1512">
        <f ca="1"/>
        <v>458.17</v>
      </c>
      <c r="G156">
        <f t="shared" ca="1" si="22"/>
        <v>-1.5254865212369268E-3</v>
      </c>
      <c r="H156" vm="1513">
        <f ca="1"/>
        <v>637.1</v>
      </c>
      <c r="I156">
        <f t="shared" ca="1" si="23"/>
        <v>-5.1996314975874449E-3</v>
      </c>
      <c r="J156" vm="1514">
        <f ca="1"/>
        <v>163.98</v>
      </c>
      <c r="K156">
        <f t="shared" ca="1" si="24"/>
        <v>-1.5371682478683814E-2</v>
      </c>
      <c r="L156" vm="1515">
        <f ca="1"/>
        <v>592.85</v>
      </c>
      <c r="M156">
        <f t="shared" ca="1" si="25"/>
        <v>-3.3621921492813312E-3</v>
      </c>
      <c r="N156" vm="1515">
        <f ca="1"/>
        <v>592.85</v>
      </c>
      <c r="O156">
        <f t="shared" ca="1" si="26"/>
        <v>-3.3621921492813312E-3</v>
      </c>
      <c r="P156" vm="1516">
        <f ca="1"/>
        <v>303.58</v>
      </c>
      <c r="Q156">
        <f t="shared" ca="1" si="27"/>
        <v>1.8622286347012084E-2</v>
      </c>
      <c r="R156" vm="1517">
        <f ca="1"/>
        <v>68.66</v>
      </c>
      <c r="S156">
        <f t="shared" ca="1" si="28"/>
        <v>2.1894613924973209E-3</v>
      </c>
      <c r="T156" vm="1518">
        <f ca="1"/>
        <v>93.8</v>
      </c>
      <c r="U156">
        <f t="shared" ca="1" si="29"/>
        <v>-1.277683134582672E-3</v>
      </c>
    </row>
    <row r="157" spans="1:21" x14ac:dyDescent="0.2">
      <c r="A157" vm="1519">
        <f ca="1"/>
        <v>45798</v>
      </c>
      <c r="B157" vm="1520">
        <f ca="1"/>
        <v>202.09</v>
      </c>
      <c r="C157">
        <f t="shared" ca="1" si="20"/>
        <v>-2.3059073769699363E-2</v>
      </c>
      <c r="D157" vm="1521">
        <f ca="1"/>
        <v>131.80000000000001</v>
      </c>
      <c r="E157">
        <f t="shared" ca="1" si="21"/>
        <v>-1.9199285607977259E-2</v>
      </c>
      <c r="F157" vm="1522">
        <f ca="1"/>
        <v>452.57</v>
      </c>
      <c r="G157">
        <f t="shared" ca="1" si="22"/>
        <v>-1.2222537486086E-2</v>
      </c>
      <c r="H157" vm="1523">
        <f ca="1"/>
        <v>635.5</v>
      </c>
      <c r="I157">
        <f t="shared" ca="1" si="23"/>
        <v>-2.5113796892167989E-3</v>
      </c>
      <c r="J157" vm="1524">
        <f ca="1"/>
        <v>168.56</v>
      </c>
      <c r="K157">
        <f t="shared" ca="1" si="24"/>
        <v>2.7930235394560389E-2</v>
      </c>
      <c r="L157" vm="1525">
        <f ca="1"/>
        <v>582.86</v>
      </c>
      <c r="M157">
        <f t="shared" ca="1" si="25"/>
        <v>-1.6850805431390753E-2</v>
      </c>
      <c r="N157" vm="1525">
        <f ca="1"/>
        <v>582.86</v>
      </c>
      <c r="O157">
        <f t="shared" ca="1" si="26"/>
        <v>-1.6850805431390753E-2</v>
      </c>
      <c r="P157" vm="1526">
        <f ca="1"/>
        <v>305.82</v>
      </c>
      <c r="Q157">
        <f t="shared" ca="1" si="27"/>
        <v>7.3786151920416671E-3</v>
      </c>
      <c r="R157" vm="1489">
        <f ca="1"/>
        <v>67.59</v>
      </c>
      <c r="S157">
        <f t="shared" ca="1" si="28"/>
        <v>-1.5584037285173219E-2</v>
      </c>
      <c r="T157" vm="1527">
        <f ca="1"/>
        <v>93.15</v>
      </c>
      <c r="U157">
        <f t="shared" ca="1" si="29"/>
        <v>-6.9296375266523613E-3</v>
      </c>
    </row>
    <row r="158" spans="1:21" x14ac:dyDescent="0.2">
      <c r="A158" vm="1528">
        <f ca="1"/>
        <v>45799</v>
      </c>
      <c r="B158" vm="1529">
        <f ca="1"/>
        <v>201.36</v>
      </c>
      <c r="C158">
        <f t="shared" ca="1" si="20"/>
        <v>-3.6122519669453696E-3</v>
      </c>
      <c r="D158" vm="1530">
        <f ca="1"/>
        <v>132.83000000000001</v>
      </c>
      <c r="E158">
        <f t="shared" ca="1" si="21"/>
        <v>7.8148710166919648E-3</v>
      </c>
      <c r="F158" vm="1531">
        <f ca="1"/>
        <v>454.86</v>
      </c>
      <c r="G158">
        <f t="shared" ca="1" si="22"/>
        <v>5.0599907196677207E-3</v>
      </c>
      <c r="H158" vm="1532">
        <f ca="1"/>
        <v>636.57000000000005</v>
      </c>
      <c r="I158">
        <f t="shared" ca="1" si="23"/>
        <v>1.6837136113297404E-3</v>
      </c>
      <c r="J158" vm="1533">
        <f ca="1"/>
        <v>170.87</v>
      </c>
      <c r="K158">
        <f t="shared" ca="1" si="24"/>
        <v>1.370431893687709E-2</v>
      </c>
      <c r="L158" vm="1534">
        <f ca="1"/>
        <v>583.09</v>
      </c>
      <c r="M158">
        <f t="shared" ca="1" si="25"/>
        <v>3.9460590879459591E-4</v>
      </c>
      <c r="N158" vm="1534">
        <f ca="1"/>
        <v>583.09</v>
      </c>
      <c r="O158">
        <f t="shared" ca="1" si="26"/>
        <v>3.9460590879459591E-4</v>
      </c>
      <c r="P158" vm="1535">
        <f ca="1"/>
        <v>303.11</v>
      </c>
      <c r="Q158">
        <f t="shared" ca="1" si="27"/>
        <v>-8.8614217513569415E-3</v>
      </c>
      <c r="R158" vm="1536">
        <f ca="1"/>
        <v>67.14</v>
      </c>
      <c r="S158">
        <f t="shared" ca="1" si="28"/>
        <v>-6.6577896138482438E-3</v>
      </c>
      <c r="T158" vm="1537">
        <f ca="1"/>
        <v>93.5</v>
      </c>
      <c r="U158">
        <f t="shared" ca="1" si="29"/>
        <v>3.7573805689747105E-3</v>
      </c>
    </row>
    <row r="159" spans="1:21" x14ac:dyDescent="0.2">
      <c r="A159" vm="1538">
        <f ca="1"/>
        <v>45800</v>
      </c>
      <c r="B159" vm="1539">
        <f ca="1"/>
        <v>195.27</v>
      </c>
      <c r="C159">
        <f t="shared" ca="1" si="20"/>
        <v>-3.0244338498212172E-2</v>
      </c>
      <c r="D159" vm="1540">
        <f ca="1"/>
        <v>131.29</v>
      </c>
      <c r="E159">
        <f t="shared" ca="1" si="21"/>
        <v>-1.1593766468418433E-2</v>
      </c>
      <c r="F159" vm="1541">
        <f ca="1"/>
        <v>450.18</v>
      </c>
      <c r="G159">
        <f t="shared" ca="1" si="22"/>
        <v>-1.0288880094974293E-2</v>
      </c>
      <c r="H159" vm="1542">
        <f ca="1"/>
        <v>627.05999999999995</v>
      </c>
      <c r="I159">
        <f t="shared" ca="1" si="23"/>
        <v>-1.4939441066968446E-2</v>
      </c>
      <c r="J159" vm="1543">
        <f ca="1"/>
        <v>168.47</v>
      </c>
      <c r="K159">
        <f t="shared" ca="1" si="24"/>
        <v>-1.4045765786855537E-2</v>
      </c>
      <c r="L159" vm="1544">
        <f ca="1"/>
        <v>579.11</v>
      </c>
      <c r="M159">
        <f t="shared" ca="1" si="25"/>
        <v>-6.8257044367079148E-3</v>
      </c>
      <c r="N159" vm="1544">
        <f ca="1"/>
        <v>579.11</v>
      </c>
      <c r="O159">
        <f t="shared" ca="1" si="26"/>
        <v>-6.8257044367079148E-3</v>
      </c>
      <c r="P159" vm="1545">
        <f ca="1"/>
        <v>309.75</v>
      </c>
      <c r="Q159">
        <f t="shared" ca="1" si="27"/>
        <v>2.1906238659232576E-2</v>
      </c>
      <c r="R159" vm="1546">
        <f ca="1"/>
        <v>67.989999999999995</v>
      </c>
      <c r="S159">
        <f t="shared" ca="1" si="28"/>
        <v>1.266011319630614E-2</v>
      </c>
      <c r="T159" vm="1547">
        <f ca="1"/>
        <v>93.77</v>
      </c>
      <c r="U159">
        <f t="shared" ca="1" si="29"/>
        <v>2.8877005347593158E-3</v>
      </c>
    </row>
    <row r="160" spans="1:21" x14ac:dyDescent="0.2">
      <c r="A160" vm="1548">
        <f ca="1"/>
        <v>45804</v>
      </c>
      <c r="B160" vm="736">
        <f ca="1"/>
        <v>200.21</v>
      </c>
      <c r="C160">
        <f t="shared" ca="1" si="20"/>
        <v>2.5298304911148654E-2</v>
      </c>
      <c r="D160" vm="1549">
        <f ca="1"/>
        <v>135.5</v>
      </c>
      <c r="E160">
        <f t="shared" ca="1" si="21"/>
        <v>3.2066417853606581E-2</v>
      </c>
      <c r="F160" vm="1550">
        <f ca="1"/>
        <v>460.69</v>
      </c>
      <c r="G160">
        <f t="shared" ca="1" si="22"/>
        <v>2.3346217068728043E-2</v>
      </c>
      <c r="H160" vm="1551">
        <f ca="1"/>
        <v>642.32000000000005</v>
      </c>
      <c r="I160">
        <f t="shared" ca="1" si="23"/>
        <v>2.4335789238669515E-2</v>
      </c>
      <c r="J160" vm="1552">
        <f ca="1"/>
        <v>172.9</v>
      </c>
      <c r="K160">
        <f t="shared" ca="1" si="24"/>
        <v>2.6295482875289409E-2</v>
      </c>
      <c r="L160" vm="532">
        <f ca="1"/>
        <v>591.15</v>
      </c>
      <c r="M160">
        <f t="shared" ca="1" si="25"/>
        <v>2.079052338933875E-2</v>
      </c>
      <c r="N160" vm="532">
        <f ca="1"/>
        <v>591.15</v>
      </c>
      <c r="O160">
        <f t="shared" ca="1" si="26"/>
        <v>2.079052338933875E-2</v>
      </c>
      <c r="P160" vm="1553">
        <f ca="1"/>
        <v>304.5</v>
      </c>
      <c r="Q160">
        <f t="shared" ca="1" si="27"/>
        <v>-1.6949152542372881E-2</v>
      </c>
      <c r="R160" vm="1554">
        <f ca="1"/>
        <v>67.28</v>
      </c>
      <c r="S160">
        <f t="shared" ca="1" si="28"/>
        <v>-1.0442712163553372E-2</v>
      </c>
      <c r="T160" vm="1555">
        <f ca="1"/>
        <v>94.16</v>
      </c>
      <c r="U160">
        <f t="shared" ca="1" si="29"/>
        <v>4.159112722619181E-3</v>
      </c>
    </row>
    <row r="161" spans="1:21" x14ac:dyDescent="0.2">
      <c r="A161" vm="1556">
        <f ca="1"/>
        <v>45805</v>
      </c>
      <c r="B161" vm="1557">
        <f ca="1"/>
        <v>200.42</v>
      </c>
      <c r="C161">
        <f t="shared" ca="1" si="20"/>
        <v>1.0488986564106664E-3</v>
      </c>
      <c r="D161" vm="38">
        <f ca="1"/>
        <v>134.81</v>
      </c>
      <c r="E161">
        <f t="shared" ca="1" si="21"/>
        <v>-5.0922509225092083E-3</v>
      </c>
      <c r="F161" vm="1558">
        <f ca="1"/>
        <v>457.36</v>
      </c>
      <c r="G161">
        <f t="shared" ca="1" si="22"/>
        <v>-7.2282880027784062E-3</v>
      </c>
      <c r="H161" vm="1559">
        <f ca="1"/>
        <v>643.58000000000004</v>
      </c>
      <c r="I161">
        <f t="shared" ca="1" si="23"/>
        <v>1.9616390584132376E-3</v>
      </c>
      <c r="J161" vm="1560">
        <f ca="1"/>
        <v>172.36</v>
      </c>
      <c r="K161">
        <f t="shared" ca="1" si="24"/>
        <v>-3.1231925968767615E-3</v>
      </c>
      <c r="L161" vm="1561">
        <f ca="1"/>
        <v>587.73</v>
      </c>
      <c r="M161">
        <f t="shared" ca="1" si="25"/>
        <v>-5.7853336716568709E-3</v>
      </c>
      <c r="N161" vm="1561">
        <f ca="1"/>
        <v>587.73</v>
      </c>
      <c r="O161">
        <f t="shared" ca="1" si="26"/>
        <v>-5.7853336716568709E-3</v>
      </c>
      <c r="P161" vm="1562">
        <f ca="1"/>
        <v>303.81</v>
      </c>
      <c r="Q161">
        <f t="shared" ca="1" si="27"/>
        <v>-2.2660098522167414E-3</v>
      </c>
      <c r="R161" vm="1563">
        <f ca="1"/>
        <v>67.89</v>
      </c>
      <c r="S161">
        <f t="shared" ca="1" si="28"/>
        <v>9.0665873959571847E-3</v>
      </c>
      <c r="T161" vm="1564">
        <f ca="1"/>
        <v>93.9</v>
      </c>
      <c r="U161">
        <f t="shared" ca="1" si="29"/>
        <v>-2.761257434154534E-3</v>
      </c>
    </row>
    <row r="162" spans="1:21" x14ac:dyDescent="0.2">
      <c r="A162" vm="1565">
        <f ca="1"/>
        <v>45806</v>
      </c>
      <c r="B162" vm="1566">
        <f ca="1"/>
        <v>199.95</v>
      </c>
      <c r="C162">
        <f t="shared" ca="1" si="20"/>
        <v>-2.3450753417822517E-3</v>
      </c>
      <c r="D162" vm="1567">
        <f ca="1"/>
        <v>139.19</v>
      </c>
      <c r="E162">
        <f t="shared" ca="1" si="21"/>
        <v>3.2490171352273535E-2</v>
      </c>
      <c r="F162" vm="1568">
        <f ca="1"/>
        <v>458.68</v>
      </c>
      <c r="G162">
        <f t="shared" ca="1" si="22"/>
        <v>2.8861290886828608E-3</v>
      </c>
      <c r="H162" vm="1569">
        <f ca="1"/>
        <v>645.04999999999995</v>
      </c>
      <c r="I162">
        <f t="shared" ca="1" si="23"/>
        <v>2.2840983249944272E-3</v>
      </c>
      <c r="J162" vm="1570">
        <f ca="1"/>
        <v>171.86</v>
      </c>
      <c r="K162">
        <f t="shared" ca="1" si="24"/>
        <v>-2.9009050823857042E-3</v>
      </c>
      <c r="L162" vm="1571">
        <f ca="1"/>
        <v>590.04999999999995</v>
      </c>
      <c r="M162">
        <f t="shared" ca="1" si="25"/>
        <v>3.9473908087045689E-3</v>
      </c>
      <c r="N162" vm="1571">
        <f ca="1"/>
        <v>590.04999999999995</v>
      </c>
      <c r="O162">
        <f t="shared" ca="1" si="26"/>
        <v>3.9473908087045689E-3</v>
      </c>
      <c r="P162" vm="1572">
        <f ca="1"/>
        <v>305.61</v>
      </c>
      <c r="Q162">
        <f t="shared" ca="1" si="27"/>
        <v>5.9247556038313793E-3</v>
      </c>
      <c r="R162" vm="1573">
        <f ca="1"/>
        <v>67.19</v>
      </c>
      <c r="S162">
        <f t="shared" ca="1" si="28"/>
        <v>-1.0310796877301558E-2</v>
      </c>
      <c r="T162" vm="1574">
        <f ca="1"/>
        <v>94.29</v>
      </c>
      <c r="U162">
        <f t="shared" ca="1" si="29"/>
        <v>4.1533546325878655E-3</v>
      </c>
    </row>
    <row r="163" spans="1:21" x14ac:dyDescent="0.2">
      <c r="A163" vm="1575">
        <f ca="1"/>
        <v>45807</v>
      </c>
      <c r="B163" vm="1576">
        <f ca="1"/>
        <v>200.85</v>
      </c>
      <c r="C163">
        <f t="shared" ca="1" si="20"/>
        <v>4.5011252813203584E-3</v>
      </c>
      <c r="D163" vm="1577">
        <f ca="1"/>
        <v>135.13</v>
      </c>
      <c r="E163">
        <f t="shared" ca="1" si="21"/>
        <v>-2.9168762123715802E-2</v>
      </c>
      <c r="F163" vm="1578">
        <f ca="1"/>
        <v>460.36</v>
      </c>
      <c r="G163">
        <f t="shared" ca="1" si="22"/>
        <v>3.66268422429582E-3</v>
      </c>
      <c r="H163" vm="735">
        <f ca="1"/>
        <v>647.49</v>
      </c>
      <c r="I163">
        <f t="shared" ca="1" si="23"/>
        <v>3.7826525075576383E-3</v>
      </c>
      <c r="J163" vm="1579">
        <f ca="1"/>
        <v>171.74</v>
      </c>
      <c r="K163">
        <f t="shared" ca="1" si="24"/>
        <v>-6.9824275573143572E-4</v>
      </c>
      <c r="L163" vm="1580">
        <f ca="1"/>
        <v>589.39</v>
      </c>
      <c r="M163">
        <f t="shared" ca="1" si="25"/>
        <v>-1.1185492754850746E-3</v>
      </c>
      <c r="N163" vm="1580">
        <f ca="1"/>
        <v>589.39</v>
      </c>
      <c r="O163">
        <f t="shared" ca="1" si="26"/>
        <v>-1.1185492754850746E-3</v>
      </c>
      <c r="P163" vm="1581">
        <f ca="1"/>
        <v>303.60000000000002</v>
      </c>
      <c r="Q163">
        <f t="shared" ca="1" si="27"/>
        <v>-6.5770099145970057E-3</v>
      </c>
      <c r="R163" vm="1582">
        <f ca="1"/>
        <v>67.150000000000006</v>
      </c>
      <c r="S163">
        <f t="shared" ca="1" si="28"/>
        <v>-5.9532668551855997E-4</v>
      </c>
      <c r="T163" vm="183">
        <f ca="1"/>
        <v>94.57</v>
      </c>
      <c r="U163">
        <f t="shared" ca="1" si="29"/>
        <v>2.9695619896063941E-3</v>
      </c>
    </row>
    <row r="164" spans="1:21" x14ac:dyDescent="0.2">
      <c r="A164" vm="1583">
        <f ca="1"/>
        <v>45810</v>
      </c>
      <c r="B164" vm="1584">
        <f ca="1"/>
        <v>201.7</v>
      </c>
      <c r="C164">
        <f t="shared" ca="1" si="20"/>
        <v>4.2320139407517766E-3</v>
      </c>
      <c r="D164" vm="1585">
        <f ca="1"/>
        <v>137.38</v>
      </c>
      <c r="E164">
        <f t="shared" ca="1" si="21"/>
        <v>1.6650632724043515E-2</v>
      </c>
      <c r="F164" vm="1586">
        <f ca="1"/>
        <v>461.97</v>
      </c>
      <c r="G164">
        <f t="shared" ca="1" si="22"/>
        <v>3.4972630115562031E-3</v>
      </c>
      <c r="H164" vm="1587">
        <f ca="1"/>
        <v>670.9</v>
      </c>
      <c r="I164">
        <f t="shared" ca="1" si="23"/>
        <v>3.6154998532795822E-2</v>
      </c>
      <c r="J164" vm="1588">
        <f ca="1"/>
        <v>169.03</v>
      </c>
      <c r="K164">
        <f t="shared" ca="1" si="24"/>
        <v>-1.5779666938395293E-2</v>
      </c>
      <c r="L164" vm="1589">
        <f ca="1"/>
        <v>592.71</v>
      </c>
      <c r="M164">
        <f t="shared" ca="1" si="25"/>
        <v>5.6329425338062233E-3</v>
      </c>
      <c r="N164" vm="1589">
        <f ca="1"/>
        <v>592.71</v>
      </c>
      <c r="O164">
        <f t="shared" ca="1" si="26"/>
        <v>5.6329425338062233E-3</v>
      </c>
      <c r="P164" vm="1590">
        <f ca="1"/>
        <v>311.67</v>
      </c>
      <c r="Q164">
        <f t="shared" ca="1" si="27"/>
        <v>2.6581027667984165E-2</v>
      </c>
      <c r="R164" vm="1591">
        <f ca="1"/>
        <v>69.55</v>
      </c>
      <c r="S164">
        <f t="shared" ca="1" si="28"/>
        <v>3.5740878629932853E-2</v>
      </c>
      <c r="T164" vm="263">
        <f ca="1"/>
        <v>93.94</v>
      </c>
      <c r="U164">
        <f t="shared" ca="1" si="29"/>
        <v>-6.661732050333039E-3</v>
      </c>
    </row>
    <row r="165" spans="1:21" x14ac:dyDescent="0.2">
      <c r="A165" vm="1592">
        <f ca="1"/>
        <v>45811</v>
      </c>
      <c r="B165" vm="1593">
        <f ca="1"/>
        <v>203.27</v>
      </c>
      <c r="C165">
        <f t="shared" ca="1" si="20"/>
        <v>7.7838373822509748E-3</v>
      </c>
      <c r="D165" vm="1594">
        <f ca="1"/>
        <v>141.22</v>
      </c>
      <c r="E165">
        <f t="shared" ca="1" si="21"/>
        <v>2.7951666909302689E-2</v>
      </c>
      <c r="F165" vm="1595">
        <f ca="1"/>
        <v>462.97</v>
      </c>
      <c r="G165">
        <f t="shared" ca="1" si="22"/>
        <v>2.1646427257181202E-3</v>
      </c>
      <c r="H165" vm="1596">
        <f ca="1"/>
        <v>666.85</v>
      </c>
      <c r="I165">
        <f t="shared" ca="1" si="23"/>
        <v>-6.036667163511633E-3</v>
      </c>
      <c r="J165" vm="1597">
        <f ca="1"/>
        <v>166.18</v>
      </c>
      <c r="K165">
        <f t="shared" ca="1" si="24"/>
        <v>-1.6860912264095099E-2</v>
      </c>
      <c r="L165" vm="1598">
        <f ca="1"/>
        <v>596.09</v>
      </c>
      <c r="M165">
        <f t="shared" ca="1" si="25"/>
        <v>5.7026201683791321E-3</v>
      </c>
      <c r="N165" vm="1598">
        <f ca="1"/>
        <v>596.09</v>
      </c>
      <c r="O165">
        <f t="shared" ca="1" si="26"/>
        <v>5.7026201683791321E-3</v>
      </c>
      <c r="P165" vm="1599">
        <f ca="1"/>
        <v>308.91000000000003</v>
      </c>
      <c r="Q165">
        <f t="shared" ca="1" si="27"/>
        <v>-8.8555202618153528E-3</v>
      </c>
      <c r="R165" vm="1600">
        <f ca="1"/>
        <v>69.89</v>
      </c>
      <c r="S165">
        <f t="shared" ca="1" si="28"/>
        <v>4.8885693745507322E-3</v>
      </c>
      <c r="T165" vm="1601">
        <f ca="1"/>
        <v>93.85</v>
      </c>
      <c r="U165">
        <f t="shared" ca="1" si="29"/>
        <v>-9.5805833510755176E-4</v>
      </c>
    </row>
    <row r="166" spans="1:21" x14ac:dyDescent="0.2">
      <c r="A166" vm="1602">
        <f ca="1"/>
        <v>45812</v>
      </c>
      <c r="B166" vm="1603">
        <f ca="1"/>
        <v>202.82</v>
      </c>
      <c r="C166">
        <f t="shared" ca="1" si="20"/>
        <v>-2.2138042996999903E-3</v>
      </c>
      <c r="D166" vm="1604">
        <f ca="1"/>
        <v>141.91999999999999</v>
      </c>
      <c r="E166">
        <f t="shared" ca="1" si="21"/>
        <v>4.9568049851295044E-3</v>
      </c>
      <c r="F166" vm="1605">
        <f ca="1"/>
        <v>463.87</v>
      </c>
      <c r="G166">
        <f t="shared" ca="1" si="22"/>
        <v>1.9439704516490857E-3</v>
      </c>
      <c r="H166" vm="1606">
        <f ca="1"/>
        <v>687.95</v>
      </c>
      <c r="I166">
        <f t="shared" ca="1" si="23"/>
        <v>3.1641298642873246E-2</v>
      </c>
      <c r="J166" vm="1607">
        <f ca="1"/>
        <v>168.05</v>
      </c>
      <c r="K166">
        <f t="shared" ca="1" si="24"/>
        <v>1.1252858346371431E-2</v>
      </c>
      <c r="L166" vm="1608">
        <f ca="1"/>
        <v>595.92999999999995</v>
      </c>
      <c r="M166">
        <f t="shared" ca="1" si="25"/>
        <v>-2.6841584324528483E-4</v>
      </c>
      <c r="N166" vm="1608">
        <f ca="1"/>
        <v>595.92999999999995</v>
      </c>
      <c r="O166">
        <f t="shared" ca="1" si="26"/>
        <v>-2.6841584324528483E-4</v>
      </c>
      <c r="P166" vm="1609">
        <f ca="1"/>
        <v>310.89999999999998</v>
      </c>
      <c r="Q166">
        <f t="shared" ca="1" si="27"/>
        <v>6.4420057621959537E-3</v>
      </c>
      <c r="R166" vm="1610">
        <f ca="1"/>
        <v>69.34</v>
      </c>
      <c r="S166">
        <f t="shared" ca="1" si="28"/>
        <v>-7.8695092287880547E-3</v>
      </c>
      <c r="T166" vm="1284">
        <f ca="1"/>
        <v>94.54</v>
      </c>
      <c r="U166">
        <f t="shared" ca="1" si="29"/>
        <v>7.3521576984551086E-3</v>
      </c>
    </row>
    <row r="167" spans="1:21" x14ac:dyDescent="0.2">
      <c r="A167" vm="1611">
        <f ca="1"/>
        <v>45813</v>
      </c>
      <c r="B167" vm="1612">
        <f ca="1"/>
        <v>200.63</v>
      </c>
      <c r="C167">
        <f t="shared" ca="1" si="20"/>
        <v>-1.0797751701015669E-2</v>
      </c>
      <c r="D167" vm="1613">
        <f ca="1"/>
        <v>139.99</v>
      </c>
      <c r="E167">
        <f t="shared" ca="1" si="21"/>
        <v>-1.3599210822998722E-2</v>
      </c>
      <c r="F167" vm="1614">
        <f ca="1"/>
        <v>467.68</v>
      </c>
      <c r="G167">
        <f t="shared" ca="1" si="22"/>
        <v>8.2135080949403971E-3</v>
      </c>
      <c r="H167" vm="1615">
        <f ca="1"/>
        <v>684.62</v>
      </c>
      <c r="I167">
        <f t="shared" ca="1" si="23"/>
        <v>-4.8404680572716628E-3</v>
      </c>
      <c r="J167" vm="1616">
        <f ca="1"/>
        <v>168.21</v>
      </c>
      <c r="K167">
        <f t="shared" ca="1" si="24"/>
        <v>9.5209759000295497E-4</v>
      </c>
      <c r="L167" vm="1617">
        <f ca="1"/>
        <v>593.04999999999995</v>
      </c>
      <c r="M167">
        <f t="shared" ca="1" si="25"/>
        <v>-4.8327823737687242E-3</v>
      </c>
      <c r="N167" vm="1617">
        <f ca="1"/>
        <v>593.04999999999995</v>
      </c>
      <c r="O167">
        <f t="shared" ca="1" si="26"/>
        <v>-4.8327823737687242E-3</v>
      </c>
      <c r="P167" vm="1618">
        <f ca="1"/>
        <v>309.33</v>
      </c>
      <c r="Q167">
        <f t="shared" ca="1" si="27"/>
        <v>-5.0498552589256784E-3</v>
      </c>
      <c r="R167" vm="1619">
        <f ca="1"/>
        <v>69.930000000000007</v>
      </c>
      <c r="S167">
        <f t="shared" ca="1" si="28"/>
        <v>8.508797231035526E-3</v>
      </c>
      <c r="T167" vm="1274">
        <f ca="1"/>
        <v>94.26</v>
      </c>
      <c r="U167">
        <f t="shared" ca="1" si="29"/>
        <v>-2.9617093293843994E-3</v>
      </c>
    </row>
    <row r="168" spans="1:21" x14ac:dyDescent="0.2">
      <c r="A168" vm="1620">
        <f ca="1"/>
        <v>45814</v>
      </c>
      <c r="B168" vm="1621">
        <f ca="1"/>
        <v>203.92</v>
      </c>
      <c r="C168">
        <f t="shared" ca="1" si="20"/>
        <v>1.6398345212580333E-2</v>
      </c>
      <c r="D168" vm="1622">
        <f ca="1"/>
        <v>141.72</v>
      </c>
      <c r="E168">
        <f t="shared" ca="1" si="21"/>
        <v>1.2358025573255159E-2</v>
      </c>
      <c r="F168" vm="1623">
        <f ca="1"/>
        <v>470.38</v>
      </c>
      <c r="G168">
        <f t="shared" ca="1" si="22"/>
        <v>5.7731782415326475E-3</v>
      </c>
      <c r="H168" vm="1624">
        <f ca="1"/>
        <v>697.71</v>
      </c>
      <c r="I168">
        <f t="shared" ca="1" si="23"/>
        <v>1.912009581957879E-2</v>
      </c>
      <c r="J168" vm="1625">
        <f ca="1"/>
        <v>173.68</v>
      </c>
      <c r="K168">
        <f t="shared" ca="1" si="24"/>
        <v>3.2518875215504423E-2</v>
      </c>
      <c r="L168" vm="1626">
        <f ca="1"/>
        <v>599.14</v>
      </c>
      <c r="M168">
        <f t="shared" ca="1" si="25"/>
        <v>1.0268948655256778E-2</v>
      </c>
      <c r="N168" vm="1626">
        <f ca="1"/>
        <v>599.14</v>
      </c>
      <c r="O168">
        <f t="shared" ca="1" si="26"/>
        <v>1.0268948655256778E-2</v>
      </c>
      <c r="P168" vm="1627">
        <f ca="1"/>
        <v>305.18</v>
      </c>
      <c r="Q168">
        <f t="shared" ca="1" si="27"/>
        <v>-1.3416092845828008E-2</v>
      </c>
      <c r="R168" vm="103">
        <f ca="1"/>
        <v>71.38</v>
      </c>
      <c r="S168">
        <f t="shared" ca="1" si="28"/>
        <v>2.0735020735020572E-2</v>
      </c>
      <c r="T168" vm="1264">
        <f ca="1"/>
        <v>93.51</v>
      </c>
      <c r="U168">
        <f t="shared" ca="1" si="29"/>
        <v>-7.9567154678548691E-3</v>
      </c>
    </row>
    <row r="169" spans="1:21" x14ac:dyDescent="0.2">
      <c r="A169" vm="1628">
        <f ca="1"/>
        <v>45817</v>
      </c>
      <c r="B169" vm="1629">
        <f ca="1"/>
        <v>201.45</v>
      </c>
      <c r="C169">
        <f t="shared" ca="1" si="20"/>
        <v>-1.2112593173793641E-2</v>
      </c>
      <c r="D169" vm="1630">
        <f ca="1"/>
        <v>142.63</v>
      </c>
      <c r="E169">
        <f t="shared" ca="1" si="21"/>
        <v>6.4211120519333661E-3</v>
      </c>
      <c r="F169" vm="1631">
        <f ca="1"/>
        <v>472.75</v>
      </c>
      <c r="G169">
        <f t="shared" ca="1" si="22"/>
        <v>5.0384795271907912E-3</v>
      </c>
      <c r="H169" vm="1632">
        <f ca="1"/>
        <v>694.06</v>
      </c>
      <c r="I169">
        <f t="shared" ca="1" si="23"/>
        <v>-5.2313998652736681E-3</v>
      </c>
      <c r="J169" vm="1633">
        <f ca="1"/>
        <v>176.09</v>
      </c>
      <c r="K169">
        <f t="shared" ca="1" si="24"/>
        <v>1.3876093965914304E-2</v>
      </c>
      <c r="L169" vm="1634">
        <f ca="1"/>
        <v>599.67999999999995</v>
      </c>
      <c r="M169">
        <f t="shared" ca="1" si="25"/>
        <v>9.0129185165397675E-4</v>
      </c>
      <c r="N169" vm="1634">
        <f ca="1"/>
        <v>599.67999999999995</v>
      </c>
      <c r="O169">
        <f t="shared" ca="1" si="26"/>
        <v>9.0129185165397675E-4</v>
      </c>
      <c r="P169" vm="1635">
        <f ca="1"/>
        <v>306.62</v>
      </c>
      <c r="Q169">
        <f t="shared" ca="1" si="27"/>
        <v>4.7185267710859093E-3</v>
      </c>
      <c r="R169" vm="1636">
        <f ca="1"/>
        <v>72.05</v>
      </c>
      <c r="S169">
        <f t="shared" ca="1" si="28"/>
        <v>9.3863827402634031E-3</v>
      </c>
      <c r="T169" vm="1471">
        <f ca="1"/>
        <v>93.68</v>
      </c>
      <c r="U169">
        <f t="shared" ca="1" si="29"/>
        <v>1.8179873810287852E-3</v>
      </c>
    </row>
    <row r="170" spans="1:21" x14ac:dyDescent="0.2">
      <c r="A170" vm="1637">
        <f ca="1"/>
        <v>45818</v>
      </c>
      <c r="B170" vm="1638">
        <f ca="1"/>
        <v>202.67</v>
      </c>
      <c r="C170">
        <f t="shared" ca="1" si="20"/>
        <v>6.0560933234053062E-3</v>
      </c>
      <c r="D170" vm="1639">
        <f ca="1"/>
        <v>143.96</v>
      </c>
      <c r="E170">
        <f t="shared" ca="1" si="21"/>
        <v>9.3248264740938974E-3</v>
      </c>
      <c r="F170" vm="1640">
        <f ca="1"/>
        <v>470.92</v>
      </c>
      <c r="G170">
        <f t="shared" ca="1" si="22"/>
        <v>-3.87096774193545E-3</v>
      </c>
      <c r="H170" vm="1641">
        <f ca="1"/>
        <v>702.4</v>
      </c>
      <c r="I170">
        <f t="shared" ca="1" si="23"/>
        <v>1.2016252197216425E-2</v>
      </c>
      <c r="J170" vm="1642">
        <f ca="1"/>
        <v>178.6</v>
      </c>
      <c r="K170">
        <f t="shared" ca="1" si="24"/>
        <v>1.4254074620932426E-2</v>
      </c>
      <c r="L170" vm="1643">
        <f ca="1"/>
        <v>603.08000000000004</v>
      </c>
      <c r="M170">
        <f t="shared" ca="1" si="25"/>
        <v>5.6696905016010062E-3</v>
      </c>
      <c r="N170" vm="1643">
        <f ca="1"/>
        <v>603.08000000000004</v>
      </c>
      <c r="O170">
        <f t="shared" ca="1" si="26"/>
        <v>5.6696905016010062E-3</v>
      </c>
      <c r="P170" vm="1644">
        <f ca="1"/>
        <v>306.70999999999998</v>
      </c>
      <c r="Q170">
        <f t="shared" ca="1" si="27"/>
        <v>2.9352292740191438E-4</v>
      </c>
      <c r="R170" vm="1645">
        <f ca="1"/>
        <v>71.599999999999994</v>
      </c>
      <c r="S170">
        <f t="shared" ca="1" si="28"/>
        <v>-6.2456627342123922E-3</v>
      </c>
      <c r="T170" vm="1646">
        <f ca="1"/>
        <v>93.84</v>
      </c>
      <c r="U170">
        <f t="shared" ca="1" si="29"/>
        <v>1.7079419299743444E-3</v>
      </c>
    </row>
    <row r="171" spans="1:21" x14ac:dyDescent="0.2">
      <c r="A171" vm="1647">
        <f ca="1"/>
        <v>45819</v>
      </c>
      <c r="B171" vm="1648">
        <f ca="1"/>
        <v>198.78</v>
      </c>
      <c r="C171">
        <f t="shared" ca="1" si="20"/>
        <v>-1.9193763260472622E-2</v>
      </c>
      <c r="D171" vm="1649">
        <f ca="1"/>
        <v>142.83000000000001</v>
      </c>
      <c r="E171">
        <f t="shared" ca="1" si="21"/>
        <v>-7.8494026118365885E-3</v>
      </c>
      <c r="F171" vm="1650">
        <f ca="1"/>
        <v>472.62</v>
      </c>
      <c r="G171">
        <f t="shared" ca="1" si="22"/>
        <v>3.6099549817378506E-3</v>
      </c>
      <c r="H171" vm="1651">
        <f ca="1"/>
        <v>694.14</v>
      </c>
      <c r="I171">
        <f t="shared" ca="1" si="23"/>
        <v>-1.1759681093394064E-2</v>
      </c>
      <c r="J171" vm="1652">
        <f ca="1"/>
        <v>177.35</v>
      </c>
      <c r="K171">
        <f t="shared" ca="1" si="24"/>
        <v>-6.998880179171333E-3</v>
      </c>
      <c r="L171" vm="1653">
        <f ca="1"/>
        <v>601.36</v>
      </c>
      <c r="M171">
        <f t="shared" ca="1" si="25"/>
        <v>-2.8520262651721617E-3</v>
      </c>
      <c r="N171" vm="1653">
        <f ca="1"/>
        <v>601.36</v>
      </c>
      <c r="O171">
        <f t="shared" ca="1" si="26"/>
        <v>-2.8520262651721617E-3</v>
      </c>
      <c r="P171" vm="1654">
        <f ca="1"/>
        <v>308.37</v>
      </c>
      <c r="Q171">
        <f t="shared" ca="1" si="27"/>
        <v>5.4122786997490308E-3</v>
      </c>
      <c r="R171" vm="582">
        <f ca="1"/>
        <v>74.819999999999993</v>
      </c>
      <c r="S171">
        <f t="shared" ca="1" si="28"/>
        <v>4.4972067039106133E-2</v>
      </c>
      <c r="T171" vm="1655">
        <f ca="1"/>
        <v>94.23</v>
      </c>
      <c r="U171">
        <f t="shared" ca="1" si="29"/>
        <v>4.1560102301790337E-3</v>
      </c>
    </row>
    <row r="172" spans="1:21" x14ac:dyDescent="0.2">
      <c r="A172" vm="1656">
        <f ca="1"/>
        <v>45820</v>
      </c>
      <c r="B172" vm="1657">
        <f ca="1"/>
        <v>199.2</v>
      </c>
      <c r="C172">
        <f t="shared" ca="1" si="20"/>
        <v>2.112888620585509E-3</v>
      </c>
      <c r="D172" vm="1658">
        <f ca="1"/>
        <v>145</v>
      </c>
      <c r="E172">
        <f t="shared" ca="1" si="21"/>
        <v>1.5192886648463119E-2</v>
      </c>
      <c r="F172" vm="1659">
        <f ca="1"/>
        <v>478.87</v>
      </c>
      <c r="G172">
        <f t="shared" ca="1" si="22"/>
        <v>1.3224154712030808E-2</v>
      </c>
      <c r="H172" vm="1660">
        <f ca="1"/>
        <v>693.36</v>
      </c>
      <c r="I172">
        <f t="shared" ca="1" si="23"/>
        <v>-1.1236926268475707E-3</v>
      </c>
      <c r="J172" vm="1661">
        <f ca="1"/>
        <v>175.7</v>
      </c>
      <c r="K172">
        <f t="shared" ca="1" si="24"/>
        <v>-9.3036368762334683E-3</v>
      </c>
      <c r="L172" vm="1662">
        <f ca="1"/>
        <v>603.75</v>
      </c>
      <c r="M172">
        <f t="shared" ca="1" si="25"/>
        <v>3.9743248636423881E-3</v>
      </c>
      <c r="N172" vm="1662">
        <f ca="1"/>
        <v>603.75</v>
      </c>
      <c r="O172">
        <f t="shared" ca="1" si="26"/>
        <v>3.9743248636423881E-3</v>
      </c>
      <c r="P172" vm="1663">
        <f ca="1"/>
        <v>312.2</v>
      </c>
      <c r="Q172">
        <f t="shared" ca="1" si="27"/>
        <v>1.242014463144918E-2</v>
      </c>
      <c r="R172" vm="1664">
        <f ca="1"/>
        <v>75.05</v>
      </c>
      <c r="S172">
        <f t="shared" ca="1" si="28"/>
        <v>3.0740443731623094E-3</v>
      </c>
      <c r="T172" vm="1665">
        <f ca="1"/>
        <v>94.64</v>
      </c>
      <c r="U172">
        <f t="shared" ca="1" si="29"/>
        <v>4.3510559269871229E-3</v>
      </c>
    </row>
    <row r="173" spans="1:21" x14ac:dyDescent="0.2">
      <c r="A173" vm="1666">
        <f ca="1"/>
        <v>45821</v>
      </c>
      <c r="B173" vm="1667">
        <f ca="1"/>
        <v>196.45</v>
      </c>
      <c r="C173">
        <f t="shared" ca="1" si="20"/>
        <v>-1.3805220883534136E-2</v>
      </c>
      <c r="D173" vm="1668">
        <f ca="1"/>
        <v>141.97</v>
      </c>
      <c r="E173">
        <f t="shared" ca="1" si="21"/>
        <v>-2.089655172413794E-2</v>
      </c>
      <c r="F173" vm="1669">
        <f ca="1"/>
        <v>474.96</v>
      </c>
      <c r="G173">
        <f t="shared" ca="1" si="22"/>
        <v>-8.165055234197225E-3</v>
      </c>
      <c r="H173" vm="1670">
        <f ca="1"/>
        <v>682.87</v>
      </c>
      <c r="I173">
        <f t="shared" ca="1" si="23"/>
        <v>-1.5129225799007743E-2</v>
      </c>
      <c r="J173" vm="1671">
        <f ca="1"/>
        <v>174.67</v>
      </c>
      <c r="K173">
        <f t="shared" ca="1" si="24"/>
        <v>-5.8622652248150322E-3</v>
      </c>
      <c r="L173" vm="1672">
        <f ca="1"/>
        <v>597</v>
      </c>
      <c r="M173">
        <f t="shared" ca="1" si="25"/>
        <v>-1.1180124223602485E-2</v>
      </c>
      <c r="N173" vm="1672">
        <f ca="1"/>
        <v>597</v>
      </c>
      <c r="O173">
        <f t="shared" ca="1" si="26"/>
        <v>-1.1180124223602485E-2</v>
      </c>
      <c r="P173" vm="1673">
        <f ca="1"/>
        <v>316.29000000000002</v>
      </c>
      <c r="Q173">
        <f t="shared" ca="1" si="27"/>
        <v>1.3100576553491455E-2</v>
      </c>
      <c r="R173" vm="1674">
        <f ca="1"/>
        <v>80.22</v>
      </c>
      <c r="S173">
        <f t="shared" ca="1" si="28"/>
        <v>6.8887408394403757E-2</v>
      </c>
      <c r="T173" vm="1574">
        <f ca="1"/>
        <v>94.29</v>
      </c>
      <c r="U173">
        <f t="shared" ca="1" si="29"/>
        <v>-3.6982248520709459E-3</v>
      </c>
    </row>
    <row r="174" spans="1:21" x14ac:dyDescent="0.2">
      <c r="A174" vm="1675">
        <f ca="1"/>
        <v>45824</v>
      </c>
      <c r="B174" vm="1676">
        <f ca="1"/>
        <v>198.42</v>
      </c>
      <c r="C174">
        <f t="shared" ca="1" si="20"/>
        <v>1.0027996945787727E-2</v>
      </c>
      <c r="D174" vm="1677">
        <f ca="1"/>
        <v>144.69</v>
      </c>
      <c r="E174">
        <f t="shared" ca="1" si="21"/>
        <v>1.9158977248714508E-2</v>
      </c>
      <c r="F174" vm="1678">
        <f ca="1"/>
        <v>479.14</v>
      </c>
      <c r="G174">
        <f t="shared" ca="1" si="22"/>
        <v>8.8007411150412811E-3</v>
      </c>
      <c r="H174" vm="1679">
        <f ca="1"/>
        <v>702.12</v>
      </c>
      <c r="I174">
        <f t="shared" ca="1" si="23"/>
        <v>2.8189845797882467E-2</v>
      </c>
      <c r="J174" vm="1680">
        <f ca="1"/>
        <v>176.77</v>
      </c>
      <c r="K174">
        <f t="shared" ca="1" si="24"/>
        <v>1.2022671323066485E-2</v>
      </c>
      <c r="L174" vm="1681">
        <f ca="1"/>
        <v>602.67999999999995</v>
      </c>
      <c r="M174">
        <f t="shared" ca="1" si="25"/>
        <v>9.5142378559463156E-3</v>
      </c>
      <c r="N174" vm="1681">
        <f ca="1"/>
        <v>602.67999999999995</v>
      </c>
      <c r="O174">
        <f t="shared" ca="1" si="26"/>
        <v>9.5142378559463156E-3</v>
      </c>
      <c r="P174" vm="1682">
        <f ca="1"/>
        <v>311.77999999999997</v>
      </c>
      <c r="Q174">
        <f t="shared" ca="1" si="27"/>
        <v>-1.4259066046982349E-2</v>
      </c>
      <c r="R174" vm="1683">
        <f ca="1"/>
        <v>78.59</v>
      </c>
      <c r="S174">
        <f t="shared" ca="1" si="28"/>
        <v>-2.0319122413363196E-2</v>
      </c>
      <c r="T174" vm="1684">
        <f ca="1"/>
        <v>94.02</v>
      </c>
      <c r="U174">
        <f t="shared" ca="1" si="29"/>
        <v>-2.863506204263551E-3</v>
      </c>
    </row>
    <row r="175" spans="1:21" x14ac:dyDescent="0.2">
      <c r="A175" vm="1685">
        <f ca="1"/>
        <v>45825</v>
      </c>
      <c r="B175" vm="1686">
        <f ca="1"/>
        <v>195.64</v>
      </c>
      <c r="C175">
        <f t="shared" ca="1" si="20"/>
        <v>-1.4010684406813835E-2</v>
      </c>
      <c r="D175" vm="1687">
        <f ca="1"/>
        <v>144.12</v>
      </c>
      <c r="E175">
        <f t="shared" ca="1" si="21"/>
        <v>-3.9394567696454021E-3</v>
      </c>
      <c r="F175" vm="1688">
        <f ca="1"/>
        <v>478.04</v>
      </c>
      <c r="G175">
        <f t="shared" ca="1" si="22"/>
        <v>-2.2957799390574069E-3</v>
      </c>
      <c r="H175" vm="1689">
        <f ca="1"/>
        <v>697.23</v>
      </c>
      <c r="I175">
        <f t="shared" ca="1" si="23"/>
        <v>-6.9646214322337868E-3</v>
      </c>
      <c r="J175" vm="1690">
        <f ca="1"/>
        <v>175.95</v>
      </c>
      <c r="K175">
        <f t="shared" ca="1" si="24"/>
        <v>-4.6387961758218108E-3</v>
      </c>
      <c r="L175" vm="358">
        <f ca="1"/>
        <v>597.53</v>
      </c>
      <c r="M175">
        <f t="shared" ca="1" si="25"/>
        <v>-8.5451649299793878E-3</v>
      </c>
      <c r="N175" vm="358">
        <f ca="1"/>
        <v>597.53</v>
      </c>
      <c r="O175">
        <f t="shared" ca="1" si="26"/>
        <v>-8.5451649299793878E-3</v>
      </c>
      <c r="P175" vm="1691">
        <f ca="1"/>
        <v>311.94</v>
      </c>
      <c r="Q175">
        <f t="shared" ca="1" si="27"/>
        <v>5.1318237218559565E-4</v>
      </c>
      <c r="R175" vm="1692">
        <f ca="1"/>
        <v>82.3</v>
      </c>
      <c r="S175">
        <f t="shared" ca="1" si="28"/>
        <v>4.7207023794375795E-2</v>
      </c>
      <c r="T175" vm="1072">
        <f ca="1"/>
        <v>94.48</v>
      </c>
      <c r="U175">
        <f t="shared" ca="1" si="29"/>
        <v>4.8925760476495215E-3</v>
      </c>
    </row>
    <row r="176" spans="1:21" x14ac:dyDescent="0.2">
      <c r="A176" vm="1693">
        <f ca="1"/>
        <v>45826</v>
      </c>
      <c r="B176" vm="1694">
        <f ca="1"/>
        <v>196.58</v>
      </c>
      <c r="C176">
        <f t="shared" ca="1" si="20"/>
        <v>4.8047434062565234E-3</v>
      </c>
      <c r="D176" vm="1695">
        <f ca="1"/>
        <v>145.47999999999999</v>
      </c>
      <c r="E176">
        <f t="shared" ca="1" si="21"/>
        <v>9.4365806272549632E-3</v>
      </c>
      <c r="F176" vm="1696">
        <f ca="1"/>
        <v>480.24</v>
      </c>
      <c r="G176">
        <f t="shared" ca="1" si="22"/>
        <v>4.6021253451593771E-3</v>
      </c>
      <c r="H176" vm="1697">
        <f ca="1"/>
        <v>695.77</v>
      </c>
      <c r="I176">
        <f t="shared" ca="1" si="23"/>
        <v>-2.0940005450138925E-3</v>
      </c>
      <c r="J176" vm="1698">
        <f ca="1"/>
        <v>173.32</v>
      </c>
      <c r="K176">
        <f t="shared" ca="1" si="24"/>
        <v>-1.4947428246660958E-2</v>
      </c>
      <c r="L176" vm="1699">
        <f ca="1"/>
        <v>597.44000000000005</v>
      </c>
      <c r="M176">
        <f t="shared" ca="1" si="25"/>
        <v>-1.5062005254952578E-4</v>
      </c>
      <c r="N176" vm="1699">
        <f ca="1"/>
        <v>597.44000000000005</v>
      </c>
      <c r="O176">
        <f t="shared" ca="1" si="26"/>
        <v>-1.5062005254952578E-4</v>
      </c>
      <c r="P176" vm="1700">
        <f ca="1"/>
        <v>310.26</v>
      </c>
      <c r="Q176">
        <f t="shared" ca="1" si="27"/>
        <v>-5.3856510867474738E-3</v>
      </c>
      <c r="R176" vm="1701">
        <f ca="1"/>
        <v>82.27</v>
      </c>
      <c r="S176">
        <f t="shared" ca="1" si="28"/>
        <v>-3.6452004860268699E-4</v>
      </c>
      <c r="T176" vm="1284">
        <f ca="1"/>
        <v>94.54</v>
      </c>
      <c r="U176">
        <f t="shared" ca="1" si="29"/>
        <v>6.350550381033263E-4</v>
      </c>
    </row>
    <row r="177" spans="1:21" x14ac:dyDescent="0.2">
      <c r="A177" vm="1702">
        <f ca="1"/>
        <v>45828</v>
      </c>
      <c r="B177" vm="1703">
        <f ca="1"/>
        <v>201</v>
      </c>
      <c r="C177">
        <f t="shared" ca="1" si="20"/>
        <v>2.2484484688167602E-2</v>
      </c>
      <c r="D177" vm="1704">
        <f ca="1"/>
        <v>143.85</v>
      </c>
      <c r="E177">
        <f t="shared" ca="1" si="21"/>
        <v>-1.1204289249381327E-2</v>
      </c>
      <c r="F177" vm="1705">
        <f ca="1"/>
        <v>477.4</v>
      </c>
      <c r="G177">
        <f t="shared" ca="1" si="22"/>
        <v>-5.9137098117608526E-3</v>
      </c>
      <c r="H177" vm="1706">
        <f ca="1"/>
        <v>682.35</v>
      </c>
      <c r="I177">
        <f t="shared" ca="1" si="23"/>
        <v>-1.928798309786274E-2</v>
      </c>
      <c r="J177" vm="1707">
        <f ca="1"/>
        <v>166.64</v>
      </c>
      <c r="K177">
        <f t="shared" ca="1" si="24"/>
        <v>-3.8541426263558776E-2</v>
      </c>
      <c r="L177" vm="1708">
        <f ca="1"/>
        <v>594.28</v>
      </c>
      <c r="M177">
        <f t="shared" ca="1" si="25"/>
        <v>-5.2892340653456103E-3</v>
      </c>
      <c r="N177" vm="1708">
        <f ca="1"/>
        <v>594.28</v>
      </c>
      <c r="O177">
        <f t="shared" ca="1" si="26"/>
        <v>-5.2892340653456103E-3</v>
      </c>
      <c r="P177" vm="1709">
        <f ca="1"/>
        <v>310.13</v>
      </c>
      <c r="Q177">
        <f t="shared" ca="1" si="27"/>
        <v>-4.1900341648938133E-4</v>
      </c>
      <c r="R177" vm="1710">
        <f ca="1"/>
        <v>83.12</v>
      </c>
      <c r="S177">
        <f t="shared" ca="1" si="28"/>
        <v>1.0331834204448871E-2</v>
      </c>
      <c r="T177" vm="1711">
        <f ca="1"/>
        <v>94.6</v>
      </c>
      <c r="U177">
        <f t="shared" ca="1" si="29"/>
        <v>6.3465199915367101E-4</v>
      </c>
    </row>
    <row r="178" spans="1:21" x14ac:dyDescent="0.2">
      <c r="A178" vm="1712">
        <f ca="1"/>
        <v>45831</v>
      </c>
      <c r="B178" vm="1713">
        <f ca="1"/>
        <v>201.5</v>
      </c>
      <c r="C178">
        <f t="shared" ca="1" si="20"/>
        <v>2.4875621890547263E-3</v>
      </c>
      <c r="D178" vm="1714">
        <f ca="1"/>
        <v>144.16999999999999</v>
      </c>
      <c r="E178">
        <f t="shared" ca="1" si="21"/>
        <v>2.2245394508167756E-3</v>
      </c>
      <c r="F178" vm="1715">
        <f ca="1"/>
        <v>486</v>
      </c>
      <c r="G178">
        <f t="shared" ca="1" si="22"/>
        <v>1.8014243820695483E-2</v>
      </c>
      <c r="H178" vm="1716">
        <f ca="1"/>
        <v>698.53</v>
      </c>
      <c r="I178">
        <f t="shared" ca="1" si="23"/>
        <v>2.3712171173151535E-2</v>
      </c>
      <c r="J178" vm="1717">
        <f ca="1"/>
        <v>165.19</v>
      </c>
      <c r="K178">
        <f t="shared" ca="1" si="24"/>
        <v>-8.7013922227555732E-3</v>
      </c>
      <c r="L178" vm="1718">
        <f ca="1"/>
        <v>600.15</v>
      </c>
      <c r="M178">
        <f t="shared" ca="1" si="25"/>
        <v>9.8774988221040673E-3</v>
      </c>
      <c r="N178" vm="1718">
        <f ca="1"/>
        <v>600.15</v>
      </c>
      <c r="O178">
        <f t="shared" ca="1" si="26"/>
        <v>9.8774988221040673E-3</v>
      </c>
      <c r="P178" vm="1719">
        <f ca="1"/>
        <v>311.08</v>
      </c>
      <c r="Q178">
        <f t="shared" ca="1" si="27"/>
        <v>3.0632315480604543E-3</v>
      </c>
      <c r="R178" vm="1720">
        <f ca="1"/>
        <v>76.41</v>
      </c>
      <c r="S178">
        <f t="shared" ca="1" si="28"/>
        <v>-8.0726660250240709E-2</v>
      </c>
      <c r="T178" vm="1235">
        <f ca="1"/>
        <v>94.93</v>
      </c>
      <c r="U178">
        <f t="shared" ca="1" si="29"/>
        <v>3.488372093023388E-3</v>
      </c>
    </row>
    <row r="179" spans="1:21" x14ac:dyDescent="0.2">
      <c r="A179" vm="1721">
        <f ca="1"/>
        <v>45832</v>
      </c>
      <c r="B179" vm="1722">
        <f ca="1"/>
        <v>200.3</v>
      </c>
      <c r="C179">
        <f t="shared" ca="1" si="20"/>
        <v>-5.9553349875929957E-3</v>
      </c>
      <c r="D179" vm="1723">
        <f ca="1"/>
        <v>147.9</v>
      </c>
      <c r="E179">
        <f t="shared" ca="1" si="21"/>
        <v>2.5872234167996243E-2</v>
      </c>
      <c r="F179" vm="1724">
        <f ca="1"/>
        <v>490.11</v>
      </c>
      <c r="G179">
        <f t="shared" ca="1" si="22"/>
        <v>8.4567901234568182E-3</v>
      </c>
      <c r="H179" vm="1725">
        <f ca="1"/>
        <v>712.2</v>
      </c>
      <c r="I179">
        <f t="shared" ca="1" si="23"/>
        <v>1.9569667730806227E-2</v>
      </c>
      <c r="J179" vm="1726">
        <f ca="1"/>
        <v>166.77</v>
      </c>
      <c r="K179">
        <f t="shared" ca="1" si="24"/>
        <v>9.5647436285490189E-3</v>
      </c>
      <c r="L179" vm="1727">
        <f ca="1"/>
        <v>606.78</v>
      </c>
      <c r="M179">
        <f t="shared" ca="1" si="25"/>
        <v>1.104723819045238E-2</v>
      </c>
      <c r="N179" vm="1727">
        <f ca="1"/>
        <v>606.78</v>
      </c>
      <c r="O179">
        <f t="shared" ca="1" si="26"/>
        <v>1.104723819045238E-2</v>
      </c>
      <c r="P179" vm="1728">
        <f ca="1"/>
        <v>306.19</v>
      </c>
      <c r="Q179">
        <f t="shared" ca="1" si="27"/>
        <v>-1.5719429085765676E-2</v>
      </c>
      <c r="R179" vm="1729">
        <f ca="1"/>
        <v>73</v>
      </c>
      <c r="S179">
        <f t="shared" ca="1" si="28"/>
        <v>-4.4627666535793704E-2</v>
      </c>
      <c r="T179" vm="1730">
        <f ca="1"/>
        <v>95.26</v>
      </c>
      <c r="U179">
        <f t="shared" ca="1" si="29"/>
        <v>3.4762456546929134E-3</v>
      </c>
    </row>
    <row r="180" spans="1:21" x14ac:dyDescent="0.2">
      <c r="A180" vm="1731">
        <f ca="1"/>
        <v>45833</v>
      </c>
      <c r="B180" vm="1732">
        <f ca="1"/>
        <v>201.56</v>
      </c>
      <c r="C180">
        <f t="shared" ca="1" si="20"/>
        <v>6.2905641537693005E-3</v>
      </c>
      <c r="D180" vm="1733">
        <f ca="1"/>
        <v>154.31</v>
      </c>
      <c r="E180">
        <f t="shared" ca="1" si="21"/>
        <v>4.3340094658553055E-2</v>
      </c>
      <c r="F180" vm="1734">
        <f ca="1"/>
        <v>492.27</v>
      </c>
      <c r="G180">
        <f t="shared" ca="1" si="22"/>
        <v>4.407173899736729E-3</v>
      </c>
      <c r="H180" vm="1735">
        <f ca="1"/>
        <v>708.68</v>
      </c>
      <c r="I180">
        <f t="shared" ca="1" si="23"/>
        <v>-4.942431901151496E-3</v>
      </c>
      <c r="J180" vm="1736">
        <f ca="1"/>
        <v>170.68</v>
      </c>
      <c r="K180">
        <f t="shared" ca="1" si="24"/>
        <v>2.3445463812436267E-2</v>
      </c>
      <c r="L180" vm="1737">
        <f ca="1"/>
        <v>607.12</v>
      </c>
      <c r="M180">
        <f t="shared" ca="1" si="25"/>
        <v>5.6033488249453156E-4</v>
      </c>
      <c r="N180" vm="1737">
        <f ca="1"/>
        <v>607.12</v>
      </c>
      <c r="O180">
        <f t="shared" ca="1" si="26"/>
        <v>5.6033488249453156E-4</v>
      </c>
      <c r="P180" vm="1738">
        <f ca="1"/>
        <v>307.12</v>
      </c>
      <c r="Q180">
        <f t="shared" ca="1" si="27"/>
        <v>3.0373297625657493E-3</v>
      </c>
      <c r="R180" vm="993">
        <f ca="1"/>
        <v>73.31</v>
      </c>
      <c r="S180">
        <f t="shared" ca="1" si="28"/>
        <v>4.2465753424657847E-3</v>
      </c>
      <c r="T180" vm="1739">
        <f ca="1"/>
        <v>95.3</v>
      </c>
      <c r="U180">
        <f t="shared" ca="1" si="29"/>
        <v>4.1990342221280748E-4</v>
      </c>
    </row>
    <row r="181" spans="1:21" x14ac:dyDescent="0.2">
      <c r="A181" vm="1740">
        <f ca="1"/>
        <v>45834</v>
      </c>
      <c r="B181" vm="1703">
        <f ca="1"/>
        <v>201</v>
      </c>
      <c r="C181">
        <f t="shared" ca="1" si="20"/>
        <v>-2.7783290335384116E-3</v>
      </c>
      <c r="D181" vm="1741">
        <f ca="1"/>
        <v>155.02000000000001</v>
      </c>
      <c r="E181">
        <f t="shared" ca="1" si="21"/>
        <v>4.6011276002851922E-3</v>
      </c>
      <c r="F181" vm="1742">
        <f ca="1"/>
        <v>497.45</v>
      </c>
      <c r="G181">
        <f t="shared" ca="1" si="22"/>
        <v>1.0522680642736724E-2</v>
      </c>
      <c r="H181" vm="1743">
        <f ca="1"/>
        <v>726.09</v>
      </c>
      <c r="I181">
        <f t="shared" ca="1" si="23"/>
        <v>2.456680024834916E-2</v>
      </c>
      <c r="J181" vm="1744">
        <f ca="1"/>
        <v>173.54</v>
      </c>
      <c r="K181">
        <f t="shared" ca="1" si="24"/>
        <v>1.6756503398171932E-2</v>
      </c>
      <c r="L181" vm="1745">
        <f ca="1"/>
        <v>611.87</v>
      </c>
      <c r="M181">
        <f t="shared" ca="1" si="25"/>
        <v>7.8238239557253918E-3</v>
      </c>
      <c r="N181" vm="1745">
        <f ca="1"/>
        <v>611.87</v>
      </c>
      <c r="O181">
        <f t="shared" ca="1" si="26"/>
        <v>7.8238239557253918E-3</v>
      </c>
      <c r="P181" vm="1746">
        <f ca="1"/>
        <v>306.77999999999997</v>
      </c>
      <c r="Q181">
        <f t="shared" ca="1" si="27"/>
        <v>-1.1070591299818697E-3</v>
      </c>
      <c r="R181" vm="1747">
        <f ca="1"/>
        <v>73.59</v>
      </c>
      <c r="S181">
        <f t="shared" ca="1" si="28"/>
        <v>3.8193970808893894E-3</v>
      </c>
      <c r="T181" vm="1748">
        <f ca="1"/>
        <v>95.64</v>
      </c>
      <c r="U181">
        <f t="shared" ca="1" si="29"/>
        <v>3.5676810073452616E-3</v>
      </c>
    </row>
    <row r="182" spans="1:21" x14ac:dyDescent="0.2">
      <c r="A182" vm="1749">
        <f ca="1"/>
        <v>45835</v>
      </c>
      <c r="B182" vm="1750">
        <f ca="1"/>
        <v>201.08</v>
      </c>
      <c r="C182">
        <f t="shared" ca="1" si="20"/>
        <v>3.9800995024881844E-4</v>
      </c>
      <c r="D182" vm="1751">
        <f ca="1"/>
        <v>157.75</v>
      </c>
      <c r="E182">
        <f t="shared" ca="1" si="21"/>
        <v>1.7610630886337179E-2</v>
      </c>
      <c r="F182" vm="1752">
        <f ca="1"/>
        <v>495.94</v>
      </c>
      <c r="G182">
        <f t="shared" ca="1" si="22"/>
        <v>-3.0354809528595657E-3</v>
      </c>
      <c r="H182" vm="1753">
        <f ca="1"/>
        <v>733.63</v>
      </c>
      <c r="I182">
        <f t="shared" ca="1" si="23"/>
        <v>1.0384387610351284E-2</v>
      </c>
      <c r="J182" vm="1754">
        <f ca="1"/>
        <v>178.53</v>
      </c>
      <c r="K182">
        <f t="shared" ca="1" si="24"/>
        <v>2.8754177711190557E-2</v>
      </c>
      <c r="L182" vm="1755">
        <f ca="1"/>
        <v>614.91</v>
      </c>
      <c r="M182">
        <f t="shared" ca="1" si="25"/>
        <v>4.9683756353473179E-3</v>
      </c>
      <c r="N182" vm="1755">
        <f ca="1"/>
        <v>614.91</v>
      </c>
      <c r="O182">
        <f t="shared" ca="1" si="26"/>
        <v>4.9683756353473179E-3</v>
      </c>
      <c r="P182" vm="1756">
        <f ca="1"/>
        <v>301.22000000000003</v>
      </c>
      <c r="Q182">
        <f t="shared" ca="1" si="27"/>
        <v>-1.8123736879848574E-2</v>
      </c>
      <c r="R182" vm="1757">
        <f ca="1"/>
        <v>73.28</v>
      </c>
      <c r="S182">
        <f t="shared" ca="1" si="28"/>
        <v>-4.2125288762060367E-3</v>
      </c>
      <c r="T182" vm="984">
        <f ca="1"/>
        <v>95.39</v>
      </c>
      <c r="U182">
        <f t="shared" ca="1" si="29"/>
        <v>-2.6139690506064408E-3</v>
      </c>
    </row>
    <row r="183" spans="1:21" x14ac:dyDescent="0.2">
      <c r="A183" vm="1758">
        <f ca="1"/>
        <v>45838</v>
      </c>
      <c r="B183" vm="1759">
        <f ca="1"/>
        <v>205.17</v>
      </c>
      <c r="C183">
        <f t="shared" ca="1" si="20"/>
        <v>2.0340163119156429E-2</v>
      </c>
      <c r="D183" vm="1760">
        <f ca="1"/>
        <v>157.99</v>
      </c>
      <c r="E183">
        <f t="shared" ca="1" si="21"/>
        <v>1.5213946117274744E-3</v>
      </c>
      <c r="F183" vm="1761">
        <f ca="1"/>
        <v>497.41</v>
      </c>
      <c r="G183">
        <f t="shared" ca="1" si="22"/>
        <v>2.964068234060627E-3</v>
      </c>
      <c r="H183" vm="1762">
        <f ca="1"/>
        <v>738.09</v>
      </c>
      <c r="I183">
        <f t="shared" ca="1" si="23"/>
        <v>6.0793588048471793E-3</v>
      </c>
      <c r="J183" vm="1763">
        <f ca="1"/>
        <v>176.23</v>
      </c>
      <c r="K183">
        <f t="shared" ca="1" si="24"/>
        <v>-1.2882988853414056E-2</v>
      </c>
      <c r="L183" vm="1764">
        <f ca="1"/>
        <v>617.85</v>
      </c>
      <c r="M183">
        <f t="shared" ca="1" si="25"/>
        <v>4.7811874908524092E-3</v>
      </c>
      <c r="N183" vm="1764">
        <f ca="1"/>
        <v>617.85</v>
      </c>
      <c r="O183">
        <f t="shared" ca="1" si="26"/>
        <v>4.7811874908524092E-3</v>
      </c>
      <c r="P183" vm="1765">
        <f ca="1"/>
        <v>304.83</v>
      </c>
      <c r="Q183">
        <f t="shared" ca="1" si="27"/>
        <v>1.1984595976362648E-2</v>
      </c>
      <c r="R183" vm="1766">
        <f ca="1"/>
        <v>73.11</v>
      </c>
      <c r="S183">
        <f t="shared" ca="1" si="28"/>
        <v>-2.319868995633211E-3</v>
      </c>
      <c r="T183" vm="1767">
        <f ca="1"/>
        <v>95.77</v>
      </c>
      <c r="U183">
        <f t="shared" ca="1" si="29"/>
        <v>3.9836460844951821E-3</v>
      </c>
    </row>
    <row r="184" spans="1:21" x14ac:dyDescent="0.2">
      <c r="A184" vm="1768">
        <f ca="1"/>
        <v>45839</v>
      </c>
      <c r="B184" vm="1769">
        <f ca="1"/>
        <v>207.82</v>
      </c>
      <c r="C184">
        <f t="shared" ca="1" si="20"/>
        <v>1.2916118340888072E-2</v>
      </c>
      <c r="D184" vm="1770">
        <f ca="1"/>
        <v>153.30000000000001</v>
      </c>
      <c r="E184">
        <f t="shared" ca="1" si="21"/>
        <v>-2.9685423128046062E-2</v>
      </c>
      <c r="F184" vm="1771">
        <f ca="1"/>
        <v>492.05</v>
      </c>
      <c r="G184">
        <f t="shared" ca="1" si="22"/>
        <v>-1.0775818741078814E-2</v>
      </c>
      <c r="H184" vm="1772">
        <f ca="1"/>
        <v>719.22</v>
      </c>
      <c r="I184">
        <f t="shared" ca="1" si="23"/>
        <v>-2.5565987887655982E-2</v>
      </c>
      <c r="J184" vm="1773">
        <f ca="1"/>
        <v>175.84</v>
      </c>
      <c r="K184">
        <f t="shared" ca="1" si="24"/>
        <v>-2.2130170799522578E-3</v>
      </c>
      <c r="L184" vm="1774">
        <f ca="1"/>
        <v>617.65</v>
      </c>
      <c r="M184">
        <f t="shared" ca="1" si="25"/>
        <v>-3.2370316419850364E-4</v>
      </c>
      <c r="N184" vm="1774">
        <f ca="1"/>
        <v>617.65</v>
      </c>
      <c r="O184">
        <f t="shared" ca="1" si="26"/>
        <v>-3.2370316419850364E-4</v>
      </c>
      <c r="P184" vm="1775">
        <f ca="1"/>
        <v>307.55</v>
      </c>
      <c r="Q184">
        <f t="shared" ca="1" si="27"/>
        <v>8.9230062657875784E-3</v>
      </c>
      <c r="R184" vm="1776">
        <f ca="1"/>
        <v>73.930000000000007</v>
      </c>
      <c r="S184">
        <f t="shared" ca="1" si="28"/>
        <v>1.1215975926685917E-2</v>
      </c>
      <c r="T184" vm="1777">
        <f ca="1"/>
        <v>95.29</v>
      </c>
      <c r="U184">
        <f t="shared" ca="1" si="29"/>
        <v>-5.0120079356791251E-3</v>
      </c>
    </row>
    <row r="185" spans="1:21" x14ac:dyDescent="0.2">
      <c r="A185" vm="1778">
        <f ca="1"/>
        <v>45840</v>
      </c>
      <c r="B185" vm="1779">
        <f ca="1"/>
        <v>212.44</v>
      </c>
      <c r="C185">
        <f t="shared" ca="1" si="20"/>
        <v>2.2230776633625274E-2</v>
      </c>
      <c r="D185" vm="1780">
        <f ca="1"/>
        <v>157.25</v>
      </c>
      <c r="E185">
        <f t="shared" ca="1" si="21"/>
        <v>2.5766470971950346E-2</v>
      </c>
      <c r="F185" vm="1781">
        <f ca="1"/>
        <v>491.09</v>
      </c>
      <c r="G185">
        <f t="shared" ca="1" si="22"/>
        <v>-1.9510212376791715E-3</v>
      </c>
      <c r="H185" vm="1782">
        <f ca="1"/>
        <v>713.57</v>
      </c>
      <c r="I185">
        <f t="shared" ca="1" si="23"/>
        <v>-7.8557325992046623E-3</v>
      </c>
      <c r="J185" vm="1783">
        <f ca="1"/>
        <v>178.64</v>
      </c>
      <c r="K185">
        <f t="shared" ca="1" si="24"/>
        <v>1.5923566878980795E-2</v>
      </c>
      <c r="L185" vm="1784">
        <f ca="1"/>
        <v>620.45000000000005</v>
      </c>
      <c r="M185">
        <f t="shared" ca="1" si="25"/>
        <v>4.5333117461346531E-3</v>
      </c>
      <c r="N185" vm="1784">
        <f ca="1"/>
        <v>620.45000000000005</v>
      </c>
      <c r="O185">
        <f t="shared" ca="1" si="26"/>
        <v>4.5333117461346531E-3</v>
      </c>
      <c r="P185" vm="1785">
        <f ca="1"/>
        <v>309.25</v>
      </c>
      <c r="Q185">
        <f t="shared" ca="1" si="27"/>
        <v>5.5275564948788439E-3</v>
      </c>
      <c r="R185" vm="1786">
        <f ca="1"/>
        <v>75.59</v>
      </c>
      <c r="S185">
        <f t="shared" ca="1" si="28"/>
        <v>2.2453672392803957E-2</v>
      </c>
      <c r="T185" vm="994">
        <f ca="1"/>
        <v>95.09</v>
      </c>
      <c r="U185">
        <f t="shared" ca="1" si="29"/>
        <v>-2.0988561234127697E-3</v>
      </c>
    </row>
    <row r="186" spans="1:21" x14ac:dyDescent="0.2">
      <c r="A186" vm="1787">
        <f ca="1"/>
        <v>45841</v>
      </c>
      <c r="B186" vm="1788">
        <f ca="1"/>
        <v>213.55</v>
      </c>
      <c r="C186">
        <f t="shared" ca="1" si="20"/>
        <v>5.2250047072115125E-3</v>
      </c>
      <c r="D186" vm="1789">
        <f ca="1"/>
        <v>159.34</v>
      </c>
      <c r="E186">
        <f t="shared" ca="1" si="21"/>
        <v>1.3290937996820372E-2</v>
      </c>
      <c r="F186" vm="1790">
        <f ca="1"/>
        <v>498.84</v>
      </c>
      <c r="G186">
        <f t="shared" ca="1" si="22"/>
        <v>1.5781221364719298E-2</v>
      </c>
      <c r="H186" vm="1791">
        <f ca="1"/>
        <v>719.01</v>
      </c>
      <c r="I186">
        <f t="shared" ca="1" si="23"/>
        <v>7.6236388861638527E-3</v>
      </c>
      <c r="J186" vm="1792">
        <f ca="1"/>
        <v>179.53</v>
      </c>
      <c r="K186">
        <f t="shared" ca="1" si="24"/>
        <v>4.9820868786386863E-3</v>
      </c>
      <c r="L186" vm="1793">
        <f ca="1"/>
        <v>625.34</v>
      </c>
      <c r="M186">
        <f t="shared" ca="1" si="25"/>
        <v>7.8813764203400534E-3</v>
      </c>
      <c r="N186" vm="1793">
        <f ca="1"/>
        <v>625.34</v>
      </c>
      <c r="O186">
        <f t="shared" ca="1" si="26"/>
        <v>7.8813764203400534E-3</v>
      </c>
      <c r="P186" vm="1794">
        <f ca="1"/>
        <v>307.14</v>
      </c>
      <c r="Q186">
        <f t="shared" ca="1" si="27"/>
        <v>-6.8229587712207397E-3</v>
      </c>
      <c r="R186" vm="1795">
        <f ca="1"/>
        <v>75.19</v>
      </c>
      <c r="S186">
        <f t="shared" ca="1" si="28"/>
        <v>-5.2917052520175378E-3</v>
      </c>
      <c r="T186" vm="1796">
        <f ca="1"/>
        <v>94.76</v>
      </c>
      <c r="U186">
        <f t="shared" ca="1" si="29"/>
        <v>-3.4703964665053978E-3</v>
      </c>
    </row>
    <row r="187" spans="1:21" x14ac:dyDescent="0.2">
      <c r="A187" vm="1797">
        <f ca="1"/>
        <v>45845</v>
      </c>
      <c r="B187" vm="1798">
        <f ca="1"/>
        <v>209.95</v>
      </c>
      <c r="C187">
        <f t="shared" ca="1" si="20"/>
        <v>-1.6857878716928225E-2</v>
      </c>
      <c r="D187" vm="1799">
        <f ca="1"/>
        <v>158.24</v>
      </c>
      <c r="E187">
        <f t="shared" ca="1" si="21"/>
        <v>-6.9034768419731036E-3</v>
      </c>
      <c r="F187" vm="1800">
        <f ca="1"/>
        <v>497.72</v>
      </c>
      <c r="G187">
        <f t="shared" ca="1" si="22"/>
        <v>-2.2452088846121958E-3</v>
      </c>
      <c r="H187" vm="1801">
        <f ca="1"/>
        <v>718.35</v>
      </c>
      <c r="I187">
        <f t="shared" ca="1" si="23"/>
        <v>-9.1792881879246215E-4</v>
      </c>
      <c r="J187" vm="1802">
        <f ca="1"/>
        <v>176.79</v>
      </c>
      <c r="K187">
        <f t="shared" ca="1" si="24"/>
        <v>-1.5262073191110172E-2</v>
      </c>
      <c r="L187" vm="1803">
        <f ca="1"/>
        <v>620.67999999999995</v>
      </c>
      <c r="M187">
        <f t="shared" ca="1" si="25"/>
        <v>-7.451946141299264E-3</v>
      </c>
      <c r="N187" vm="1803">
        <f ca="1"/>
        <v>620.67999999999995</v>
      </c>
      <c r="O187">
        <f t="shared" ca="1" si="26"/>
        <v>-7.451946141299264E-3</v>
      </c>
      <c r="P187" vm="1804">
        <f ca="1"/>
        <v>307.37</v>
      </c>
      <c r="Q187">
        <f t="shared" ca="1" si="27"/>
        <v>7.4884417529471313E-4</v>
      </c>
      <c r="R187" vm="1805">
        <f ca="1"/>
        <v>76.48</v>
      </c>
      <c r="S187">
        <f t="shared" ca="1" si="28"/>
        <v>1.7156536773507199E-2</v>
      </c>
      <c r="T187" vm="1806">
        <f ca="1"/>
        <v>94.46</v>
      </c>
      <c r="U187">
        <f t="shared" ca="1" si="29"/>
        <v>-3.1658927817645776E-3</v>
      </c>
    </row>
    <row r="188" spans="1:21" x14ac:dyDescent="0.2">
      <c r="A188" vm="1807">
        <f ca="1"/>
        <v>45846</v>
      </c>
      <c r="B188" vm="1808">
        <f ca="1"/>
        <v>210.01</v>
      </c>
      <c r="C188">
        <f t="shared" ca="1" si="20"/>
        <v>2.8578232912599322E-4</v>
      </c>
      <c r="D188" vm="1809">
        <f ca="1"/>
        <v>160</v>
      </c>
      <c r="E188">
        <f t="shared" ca="1" si="21"/>
        <v>1.1122345803842207E-2</v>
      </c>
      <c r="F188" vm="1810">
        <f ca="1"/>
        <v>496.62</v>
      </c>
      <c r="G188">
        <f t="shared" ca="1" si="22"/>
        <v>-2.2100779554770204E-3</v>
      </c>
      <c r="H188" vm="1811">
        <f ca="1"/>
        <v>720.67</v>
      </c>
      <c r="I188">
        <f t="shared" ca="1" si="23"/>
        <v>3.2296234426114514E-3</v>
      </c>
      <c r="J188" vm="1812">
        <f ca="1"/>
        <v>174.36</v>
      </c>
      <c r="K188">
        <f t="shared" ca="1" si="24"/>
        <v>-1.3745121330391869E-2</v>
      </c>
      <c r="L188" vm="1813">
        <f ca="1"/>
        <v>620.34</v>
      </c>
      <c r="M188">
        <f t="shared" ca="1" si="25"/>
        <v>-5.47786298897851E-4</v>
      </c>
      <c r="N188" vm="1813">
        <f ca="1"/>
        <v>620.34</v>
      </c>
      <c r="O188">
        <f t="shared" ca="1" si="26"/>
        <v>-5.47786298897851E-4</v>
      </c>
      <c r="P188" vm="1814">
        <f ca="1"/>
        <v>304.16000000000003</v>
      </c>
      <c r="Q188">
        <f t="shared" ca="1" si="27"/>
        <v>-1.0443439502879199E-2</v>
      </c>
      <c r="R188" vm="896">
        <f ca="1"/>
        <v>76.959999999999994</v>
      </c>
      <c r="S188">
        <f t="shared" ca="1" si="28"/>
        <v>6.2761506276149291E-3</v>
      </c>
      <c r="T188" vm="1815">
        <f ca="1"/>
        <v>94.32</v>
      </c>
      <c r="U188">
        <f t="shared" ca="1" si="29"/>
        <v>-1.4821088291340312E-3</v>
      </c>
    </row>
    <row r="189" spans="1:21" x14ac:dyDescent="0.2">
      <c r="A189" vm="1816">
        <f ca="1"/>
        <v>45847</v>
      </c>
      <c r="B189" vm="1817">
        <f ca="1"/>
        <v>211.14</v>
      </c>
      <c r="C189">
        <f t="shared" ca="1" si="20"/>
        <v>5.3806961573258198E-3</v>
      </c>
      <c r="D189" vm="1818">
        <f ca="1"/>
        <v>162.88</v>
      </c>
      <c r="E189">
        <f t="shared" ca="1" si="21"/>
        <v>1.7999999999999971E-2</v>
      </c>
      <c r="F189" vm="1819">
        <f ca="1"/>
        <v>503.51</v>
      </c>
      <c r="G189">
        <f t="shared" ca="1" si="22"/>
        <v>1.3873786798759587E-2</v>
      </c>
      <c r="H189" vm="1820">
        <f ca="1"/>
        <v>732.78</v>
      </c>
      <c r="I189">
        <f t="shared" ca="1" si="23"/>
        <v>1.6803807567957615E-2</v>
      </c>
      <c r="J189" vm="1821">
        <f ca="1"/>
        <v>176.62</v>
      </c>
      <c r="K189">
        <f t="shared" ca="1" si="24"/>
        <v>1.2961688460656061E-2</v>
      </c>
      <c r="L189" vm="1822">
        <f ca="1"/>
        <v>624.05999999999995</v>
      </c>
      <c r="M189">
        <f t="shared" ca="1" si="25"/>
        <v>5.9967114808007118E-3</v>
      </c>
      <c r="N189" vm="1822">
        <f ca="1"/>
        <v>624.05999999999995</v>
      </c>
      <c r="O189">
        <f t="shared" ca="1" si="26"/>
        <v>5.9967114808007118E-3</v>
      </c>
      <c r="P189" vm="1823">
        <f ca="1"/>
        <v>305.52</v>
      </c>
      <c r="Q189">
        <f t="shared" ca="1" si="27"/>
        <v>4.4713308784848655E-3</v>
      </c>
      <c r="R189" vm="602">
        <f ca="1"/>
        <v>76.930000000000007</v>
      </c>
      <c r="S189">
        <f t="shared" ca="1" si="28"/>
        <v>-3.8981288981271994E-4</v>
      </c>
      <c r="T189" vm="1062">
        <f ca="1"/>
        <v>94.81</v>
      </c>
      <c r="U189">
        <f t="shared" ca="1" si="29"/>
        <v>5.1950805767600628E-3</v>
      </c>
    </row>
    <row r="190" spans="1:21" x14ac:dyDescent="0.2">
      <c r="A190" vm="1824">
        <f ca="1"/>
        <v>45848</v>
      </c>
      <c r="B190" vm="1825">
        <f ca="1"/>
        <v>212.41</v>
      </c>
      <c r="C190">
        <f t="shared" ca="1" si="20"/>
        <v>6.0149663730226875E-3</v>
      </c>
      <c r="D190" vm="1826">
        <f ca="1"/>
        <v>164.1</v>
      </c>
      <c r="E190">
        <f t="shared" ca="1" si="21"/>
        <v>7.4901768172887951E-3</v>
      </c>
      <c r="F190" vm="1299">
        <f ca="1"/>
        <v>501.48</v>
      </c>
      <c r="G190">
        <f t="shared" ca="1" si="22"/>
        <v>-4.0316974836646195E-3</v>
      </c>
      <c r="H190" vm="1827">
        <f ca="1"/>
        <v>727.24</v>
      </c>
      <c r="I190">
        <f t="shared" ca="1" si="23"/>
        <v>-7.5602500068232808E-3</v>
      </c>
      <c r="J190" vm="1828">
        <f ca="1"/>
        <v>177.62</v>
      </c>
      <c r="K190">
        <f t="shared" ca="1" si="24"/>
        <v>5.6618729475710564E-3</v>
      </c>
      <c r="L190" vm="1829">
        <f ca="1"/>
        <v>625.82000000000005</v>
      </c>
      <c r="M190">
        <f t="shared" ca="1" si="25"/>
        <v>2.8202416434318892E-3</v>
      </c>
      <c r="N190" vm="1829">
        <f ca="1"/>
        <v>625.82000000000005</v>
      </c>
      <c r="O190">
        <f t="shared" ca="1" si="26"/>
        <v>2.8202416434318892E-3</v>
      </c>
      <c r="P190" vm="1830">
        <f ca="1"/>
        <v>306.2</v>
      </c>
      <c r="Q190">
        <f t="shared" ca="1" si="27"/>
        <v>2.225713537575304E-3</v>
      </c>
      <c r="R190" vm="1831">
        <f ca="1"/>
        <v>75.39</v>
      </c>
      <c r="S190">
        <f t="shared" ca="1" si="28"/>
        <v>-2.0018198362147487E-2</v>
      </c>
      <c r="T190" vm="1796">
        <f ca="1"/>
        <v>94.76</v>
      </c>
      <c r="U190">
        <f t="shared" ca="1" si="29"/>
        <v>-5.2737053053472378E-4</v>
      </c>
    </row>
    <row r="191" spans="1:21" x14ac:dyDescent="0.2">
      <c r="A191" vm="1832">
        <f ca="1"/>
        <v>45849</v>
      </c>
      <c r="B191" vm="1833">
        <f ca="1"/>
        <v>211.16</v>
      </c>
      <c r="C191">
        <f t="shared" ca="1" si="20"/>
        <v>-5.8848453462642999E-3</v>
      </c>
      <c r="D191" vm="1834">
        <f ca="1"/>
        <v>164.92</v>
      </c>
      <c r="E191">
        <f t="shared" ca="1" si="21"/>
        <v>4.9969530773917928E-3</v>
      </c>
      <c r="F191" vm="1835">
        <f ca="1"/>
        <v>503.32</v>
      </c>
      <c r="G191">
        <f t="shared" ca="1" si="22"/>
        <v>3.6691393475312573E-3</v>
      </c>
      <c r="H191" vm="1836">
        <f ca="1"/>
        <v>717.51</v>
      </c>
      <c r="I191">
        <f t="shared" ca="1" si="23"/>
        <v>-1.3379352070843212E-2</v>
      </c>
      <c r="J191" vm="1837">
        <f ca="1"/>
        <v>180.19</v>
      </c>
      <c r="K191">
        <f t="shared" ca="1" si="24"/>
        <v>1.4469091318545169E-2</v>
      </c>
      <c r="L191" vm="1838">
        <f ca="1"/>
        <v>623.62</v>
      </c>
      <c r="M191">
        <f t="shared" ca="1" si="25"/>
        <v>-3.5153878111917887E-3</v>
      </c>
      <c r="N191" vm="1838">
        <f ca="1"/>
        <v>623.62</v>
      </c>
      <c r="O191">
        <f t="shared" ca="1" si="26"/>
        <v>-3.5153878111917887E-3</v>
      </c>
      <c r="P191" vm="1839">
        <f ca="1"/>
        <v>309.14</v>
      </c>
      <c r="Q191">
        <f t="shared" ca="1" si="27"/>
        <v>9.6015676028739314E-3</v>
      </c>
      <c r="R191" vm="1840">
        <f ca="1"/>
        <v>77.290000000000006</v>
      </c>
      <c r="S191">
        <f t="shared" ca="1" si="28"/>
        <v>2.5202281469691015E-2</v>
      </c>
      <c r="T191" vm="1815">
        <f ca="1"/>
        <v>94.32</v>
      </c>
      <c r="U191">
        <f t="shared" ca="1" si="29"/>
        <v>-4.6433094132546631E-3</v>
      </c>
    </row>
    <row r="192" spans="1:21" x14ac:dyDescent="0.2">
      <c r="A192" vm="1841">
        <f ca="1"/>
        <v>45852</v>
      </c>
      <c r="B192" vm="1842">
        <f ca="1"/>
        <v>208.62</v>
      </c>
      <c r="C192">
        <f t="shared" ca="1" si="20"/>
        <v>-1.202879333207043E-2</v>
      </c>
      <c r="D192" vm="110">
        <f ca="1"/>
        <v>164.07</v>
      </c>
      <c r="E192">
        <f t="shared" ca="1" si="21"/>
        <v>-5.1540140674265966E-3</v>
      </c>
      <c r="F192" vm="1843">
        <f ca="1"/>
        <v>503.02</v>
      </c>
      <c r="G192">
        <f t="shared" ca="1" si="22"/>
        <v>-5.9604227926569853E-4</v>
      </c>
      <c r="H192" vm="1844">
        <f ca="1"/>
        <v>720.92</v>
      </c>
      <c r="I192">
        <f t="shared" ca="1" si="23"/>
        <v>4.7525470028291841E-3</v>
      </c>
      <c r="J192" vm="1845">
        <f ca="1"/>
        <v>181.56</v>
      </c>
      <c r="K192">
        <f t="shared" ca="1" si="24"/>
        <v>7.6030856318330901E-3</v>
      </c>
      <c r="L192" vm="1846">
        <f ca="1"/>
        <v>624.80999999999995</v>
      </c>
      <c r="M192">
        <f t="shared" ca="1" si="25"/>
        <v>1.9082133350436818E-3</v>
      </c>
      <c r="N192" vm="1846">
        <f ca="1"/>
        <v>624.80999999999995</v>
      </c>
      <c r="O192">
        <f t="shared" ca="1" si="26"/>
        <v>1.9082133350436818E-3</v>
      </c>
      <c r="P192" vm="1847">
        <f ca="1"/>
        <v>308.01</v>
      </c>
      <c r="Q192">
        <f t="shared" ca="1" si="27"/>
        <v>-3.6553018050074254E-3</v>
      </c>
      <c r="R192" vm="1848">
        <f ca="1"/>
        <v>75.62</v>
      </c>
      <c r="S192">
        <f t="shared" ca="1" si="28"/>
        <v>-2.1606934920429571E-2</v>
      </c>
      <c r="T192" vm="1441">
        <f ca="1"/>
        <v>94.28</v>
      </c>
      <c r="U192">
        <f t="shared" ca="1" si="29"/>
        <v>-4.2408821034766798E-4</v>
      </c>
    </row>
    <row r="193" spans="1:21" x14ac:dyDescent="0.2">
      <c r="A193" vm="1849">
        <f ca="1"/>
        <v>45853</v>
      </c>
      <c r="B193" vm="1850">
        <f ca="1"/>
        <v>209.11</v>
      </c>
      <c r="C193">
        <f t="shared" ca="1" si="20"/>
        <v>2.3487680951011845E-3</v>
      </c>
      <c r="D193" vm="1851">
        <f ca="1"/>
        <v>170.7</v>
      </c>
      <c r="E193">
        <f t="shared" ca="1" si="21"/>
        <v>4.0409581276284488E-2</v>
      </c>
      <c r="F193" vm="1852">
        <f ca="1"/>
        <v>505.82</v>
      </c>
      <c r="G193">
        <f t="shared" ca="1" si="22"/>
        <v>5.5663790704147181E-3</v>
      </c>
      <c r="H193" vm="1853">
        <f ca="1"/>
        <v>710.39</v>
      </c>
      <c r="I193">
        <f t="shared" ca="1" si="23"/>
        <v>-1.4606336347999741E-2</v>
      </c>
      <c r="J193" vm="1854">
        <f ca="1"/>
        <v>182</v>
      </c>
      <c r="K193">
        <f t="shared" ca="1" si="24"/>
        <v>2.4234412866269979E-3</v>
      </c>
      <c r="L193" vm="1855">
        <f ca="1"/>
        <v>622.14</v>
      </c>
      <c r="M193">
        <f t="shared" ca="1" si="25"/>
        <v>-4.2732990829211425E-3</v>
      </c>
      <c r="N193" vm="1855">
        <f ca="1"/>
        <v>622.14</v>
      </c>
      <c r="O193">
        <f t="shared" ca="1" si="26"/>
        <v>-4.2732990829211425E-3</v>
      </c>
      <c r="P193" vm="1856">
        <f ca="1"/>
        <v>306.73</v>
      </c>
      <c r="Q193">
        <f t="shared" ca="1" si="27"/>
        <v>-4.1557092302197092E-3</v>
      </c>
      <c r="R193" vm="1857">
        <f ca="1"/>
        <v>75.260000000000005</v>
      </c>
      <c r="S193">
        <f t="shared" ca="1" si="28"/>
        <v>-4.7606453319227636E-3</v>
      </c>
      <c r="T193" vm="935">
        <f ca="1"/>
        <v>93.91</v>
      </c>
      <c r="U193">
        <f t="shared" ca="1" si="29"/>
        <v>-3.9244802715316558E-3</v>
      </c>
    </row>
    <row r="194" spans="1:21" x14ac:dyDescent="0.2">
      <c r="A194" vm="1858">
        <f ca="1"/>
        <v>45854</v>
      </c>
      <c r="B194" vm="1859">
        <f ca="1"/>
        <v>210.16</v>
      </c>
      <c r="C194">
        <f t="shared" ca="1" si="20"/>
        <v>5.0212806656782689E-3</v>
      </c>
      <c r="D194" vm="1860">
        <f ca="1"/>
        <v>171.37</v>
      </c>
      <c r="E194">
        <f t="shared" ca="1" si="21"/>
        <v>3.9250146455771292E-3</v>
      </c>
      <c r="F194" vm="1861">
        <f ca="1"/>
        <v>505.62</v>
      </c>
      <c r="G194">
        <f t="shared" ca="1" si="22"/>
        <v>-3.9539757225888386E-4</v>
      </c>
      <c r="H194" vm="1862">
        <f ca="1"/>
        <v>702.91</v>
      </c>
      <c r="I194">
        <f t="shared" ca="1" si="23"/>
        <v>-1.0529427497571782E-2</v>
      </c>
      <c r="J194" vm="1863">
        <f ca="1"/>
        <v>182.97</v>
      </c>
      <c r="K194">
        <f t="shared" ca="1" si="24"/>
        <v>5.3296703296703231E-3</v>
      </c>
      <c r="L194" vm="1864">
        <f ca="1"/>
        <v>624.22</v>
      </c>
      <c r="M194">
        <f t="shared" ca="1" si="25"/>
        <v>3.3432989359308855E-3</v>
      </c>
      <c r="N194" vm="1864">
        <f ca="1"/>
        <v>624.22</v>
      </c>
      <c r="O194">
        <f t="shared" ca="1" si="26"/>
        <v>3.3432989359308855E-3</v>
      </c>
      <c r="P194" vm="1865">
        <f ca="1"/>
        <v>308.26</v>
      </c>
      <c r="Q194">
        <f t="shared" ca="1" si="27"/>
        <v>4.9881002836369859E-3</v>
      </c>
      <c r="R194" vm="1795">
        <f ca="1"/>
        <v>75.19</v>
      </c>
      <c r="S194">
        <f t="shared" ca="1" si="28"/>
        <v>-9.3010895562061369E-4</v>
      </c>
      <c r="T194" vm="213">
        <f ca="1"/>
        <v>94.17</v>
      </c>
      <c r="U194">
        <f t="shared" ca="1" si="29"/>
        <v>2.7686082419338212E-3</v>
      </c>
    </row>
    <row r="195" spans="1:21" x14ac:dyDescent="0.2">
      <c r="A195" vm="1866">
        <f ca="1"/>
        <v>45855</v>
      </c>
      <c r="B195" vm="1867">
        <f ca="1"/>
        <v>210.02</v>
      </c>
      <c r="C195">
        <f t="shared" ca="1" si="20"/>
        <v>-6.6615911686327735E-4</v>
      </c>
      <c r="D195" vm="1868">
        <f ca="1"/>
        <v>173</v>
      </c>
      <c r="E195">
        <f t="shared" ca="1" si="21"/>
        <v>9.5115831242340871E-3</v>
      </c>
      <c r="F195" vm="1869">
        <f ca="1"/>
        <v>511.7</v>
      </c>
      <c r="G195">
        <f t="shared" ca="1" si="22"/>
        <v>1.2024840789525698E-2</v>
      </c>
      <c r="H195" vm="1870">
        <f ca="1"/>
        <v>701.41</v>
      </c>
      <c r="I195">
        <f t="shared" ca="1" si="23"/>
        <v>-2.1339858587870425E-3</v>
      </c>
      <c r="J195" vm="1871">
        <f ca="1"/>
        <v>183.58</v>
      </c>
      <c r="K195">
        <f t="shared" ca="1" si="24"/>
        <v>3.3338798710171812E-3</v>
      </c>
      <c r="L195" vm="1872">
        <f ca="1"/>
        <v>628.04</v>
      </c>
      <c r="M195">
        <f t="shared" ca="1" si="25"/>
        <v>6.1196373073594823E-3</v>
      </c>
      <c r="N195" vm="1872">
        <f ca="1"/>
        <v>628.04</v>
      </c>
      <c r="O195">
        <f t="shared" ca="1" si="26"/>
        <v>6.1196373073594823E-3</v>
      </c>
      <c r="P195" vm="1873">
        <f ca="1"/>
        <v>307.58999999999997</v>
      </c>
      <c r="Q195">
        <f t="shared" ca="1" si="27"/>
        <v>-2.1734899111140464E-3</v>
      </c>
      <c r="R195" vm="1874">
        <f ca="1"/>
        <v>76.16</v>
      </c>
      <c r="S195">
        <f t="shared" ca="1" si="28"/>
        <v>1.2900651682404561E-2</v>
      </c>
      <c r="T195" vm="1875">
        <f ca="1"/>
        <v>94.14</v>
      </c>
      <c r="U195">
        <f t="shared" ca="1" si="29"/>
        <v>-3.1857279388341445E-4</v>
      </c>
    </row>
    <row r="196" spans="1:21" x14ac:dyDescent="0.2">
      <c r="A196" vm="1876">
        <f ca="1"/>
        <v>45856</v>
      </c>
      <c r="B196" vm="1877">
        <f ca="1"/>
        <v>211.18</v>
      </c>
      <c r="C196">
        <f t="shared" ca="1" si="20"/>
        <v>5.5232834968098115E-3</v>
      </c>
      <c r="D196" vm="1878">
        <f ca="1"/>
        <v>172.41</v>
      </c>
      <c r="E196">
        <f t="shared" ca="1" si="21"/>
        <v>-3.4104046242774762E-3</v>
      </c>
      <c r="F196" vm="1879">
        <f ca="1"/>
        <v>510.05</v>
      </c>
      <c r="G196">
        <f t="shared" ca="1" si="22"/>
        <v>-3.2245456322063265E-3</v>
      </c>
      <c r="H196" vm="1880">
        <f ca="1"/>
        <v>704.28</v>
      </c>
      <c r="I196">
        <f t="shared" ca="1" si="23"/>
        <v>4.0917580302533537E-3</v>
      </c>
      <c r="J196" vm="1881">
        <f ca="1"/>
        <v>185.06</v>
      </c>
      <c r="K196">
        <f t="shared" ca="1" si="24"/>
        <v>8.06188037912621E-3</v>
      </c>
      <c r="L196" vm="1882">
        <f ca="1"/>
        <v>627.58000000000004</v>
      </c>
      <c r="M196">
        <f t="shared" ca="1" si="25"/>
        <v>-7.3243742436775161E-4</v>
      </c>
      <c r="N196" vm="1882">
        <f ca="1"/>
        <v>627.58000000000004</v>
      </c>
      <c r="O196">
        <f t="shared" ca="1" si="26"/>
        <v>-7.3243742436775161E-4</v>
      </c>
      <c r="P196" vm="1883">
        <f ca="1"/>
        <v>308.39</v>
      </c>
      <c r="Q196">
        <f t="shared" ca="1" si="27"/>
        <v>2.600864787541895E-3</v>
      </c>
      <c r="R196" vm="64">
        <f ca="1"/>
        <v>75.930000000000007</v>
      </c>
      <c r="S196">
        <f t="shared" ca="1" si="28"/>
        <v>-3.019957983193143E-3</v>
      </c>
      <c r="T196" vm="1884">
        <f ca="1"/>
        <v>94.4</v>
      </c>
      <c r="U196">
        <f t="shared" ca="1" si="29"/>
        <v>2.7618440620353207E-3</v>
      </c>
    </row>
    <row r="197" spans="1:21" x14ac:dyDescent="0.2">
      <c r="A197" vm="1885">
        <f ca="1"/>
        <v>45859</v>
      </c>
      <c r="B197" vm="1886">
        <f ca="1"/>
        <v>212.48</v>
      </c>
      <c r="C197">
        <f t="shared" ref="C197:C251" ca="1" si="30">(B197-B196)/B196</f>
        <v>6.155885974050492E-3</v>
      </c>
      <c r="D197" vm="1887">
        <f ca="1"/>
        <v>171.38</v>
      </c>
      <c r="E197">
        <f t="shared" ref="E197:E251" ca="1" si="31">(D197-D196)/D196</f>
        <v>-5.9741314308914863E-3</v>
      </c>
      <c r="F197" vm="1888">
        <f ca="1"/>
        <v>510.06</v>
      </c>
      <c r="G197">
        <f t="shared" ref="G197:G251" ca="1" si="32">(F197-F196)/F196</f>
        <v>1.9605920988120585E-5</v>
      </c>
      <c r="H197" vm="1889">
        <f ca="1"/>
        <v>712.96500000000003</v>
      </c>
      <c r="I197">
        <f t="shared" ref="I197:I251" ca="1" si="33">(H197-H196)/H196</f>
        <v>1.2331743056738882E-2</v>
      </c>
      <c r="J197" vm="1890">
        <f ca="1"/>
        <v>190.1</v>
      </c>
      <c r="K197">
        <f t="shared" ref="K197:K251" ca="1" si="34">(J197-J196)/J196</f>
        <v>2.7234410461471913E-2</v>
      </c>
      <c r="L197" vm="1891">
        <f ca="1"/>
        <v>628.77</v>
      </c>
      <c r="M197">
        <f t="shared" ref="M197:M251" ca="1" si="35">(L197-L196)/L196</f>
        <v>1.8961725995091316E-3</v>
      </c>
      <c r="N197" vm="1891">
        <f ca="1"/>
        <v>628.77</v>
      </c>
      <c r="O197">
        <f t="shared" ref="O197:O251" ca="1" si="36">(N197-N196)/N196</f>
        <v>1.8961725995091316E-3</v>
      </c>
      <c r="P197" vm="1892">
        <f ca="1"/>
        <v>313.13</v>
      </c>
      <c r="Q197">
        <f t="shared" ref="Q197:Q251" ca="1" si="37">(P197-P196)/P196</f>
        <v>1.5370148188981515E-2</v>
      </c>
      <c r="R197" vm="1786">
        <f ca="1"/>
        <v>75.59</v>
      </c>
      <c r="S197">
        <f t="shared" ref="S197:S251" ca="1" si="38">(R197-R196)/R196</f>
        <v>-4.4778085078362095E-3</v>
      </c>
      <c r="T197" vm="1893">
        <f ca="1"/>
        <v>94.73</v>
      </c>
      <c r="U197">
        <f t="shared" ref="U197:U251" ca="1" si="39">(T197-T196)/T196</f>
        <v>3.4957627118643885E-3</v>
      </c>
    </row>
    <row r="198" spans="1:21" x14ac:dyDescent="0.2">
      <c r="A198" vm="1894">
        <f ca="1"/>
        <v>45860</v>
      </c>
      <c r="B198" vm="1895">
        <f ca="1"/>
        <v>214.4</v>
      </c>
      <c r="C198">
        <f t="shared" ca="1" si="30"/>
        <v>9.0361445783133289E-3</v>
      </c>
      <c r="D198" vm="1896">
        <f ca="1"/>
        <v>167.03</v>
      </c>
      <c r="E198">
        <f t="shared" ca="1" si="31"/>
        <v>-2.5382191620959241E-2</v>
      </c>
      <c r="F198" vm="1897">
        <f ca="1"/>
        <v>505.27</v>
      </c>
      <c r="G198">
        <f t="shared" ca="1" si="32"/>
        <v>-9.3910520330941858E-3</v>
      </c>
      <c r="H198" vm="1898">
        <f ca="1"/>
        <v>704.81</v>
      </c>
      <c r="I198">
        <f t="shared" ca="1" si="33"/>
        <v>-1.1438149137755831E-2</v>
      </c>
      <c r="J198" vm="1899">
        <f ca="1"/>
        <v>191.34</v>
      </c>
      <c r="K198">
        <f t="shared" ca="1" si="34"/>
        <v>6.522882693319354E-3</v>
      </c>
      <c r="L198" vm="1900">
        <f ca="1"/>
        <v>628.86</v>
      </c>
      <c r="M198">
        <f t="shared" ca="1" si="35"/>
        <v>1.4313660002867795E-4</v>
      </c>
      <c r="N198" vm="1900">
        <f ca="1"/>
        <v>628.86</v>
      </c>
      <c r="O198">
        <f t="shared" ca="1" si="36"/>
        <v>1.4313660002867795E-4</v>
      </c>
      <c r="P198" vm="1901">
        <f ca="1"/>
        <v>316.10000000000002</v>
      </c>
      <c r="Q198">
        <f t="shared" ca="1" si="37"/>
        <v>9.4848784849743788E-3</v>
      </c>
      <c r="R198" vm="924">
        <f ca="1"/>
        <v>75.349999999999994</v>
      </c>
      <c r="S198">
        <f t="shared" ca="1" si="38"/>
        <v>-3.1750231512105978E-3</v>
      </c>
      <c r="T198" vm="1902">
        <f ca="1"/>
        <v>95</v>
      </c>
      <c r="U198">
        <f t="shared" ca="1" si="39"/>
        <v>2.8502058482001058E-3</v>
      </c>
    </row>
    <row r="199" spans="1:21" x14ac:dyDescent="0.2">
      <c r="A199" vm="1903">
        <f ca="1"/>
        <v>45861</v>
      </c>
      <c r="B199" vm="1904">
        <f ca="1"/>
        <v>214.15</v>
      </c>
      <c r="C199">
        <f t="shared" ca="1" si="30"/>
        <v>-1.1660447761194029E-3</v>
      </c>
      <c r="D199" vm="1905">
        <f ca="1"/>
        <v>170.78</v>
      </c>
      <c r="E199">
        <f t="shared" ca="1" si="31"/>
        <v>2.2451056696401843E-2</v>
      </c>
      <c r="F199" vm="1906">
        <f ca="1"/>
        <v>505.87</v>
      </c>
      <c r="G199">
        <f t="shared" ca="1" si="32"/>
        <v>1.1874839194886352E-3</v>
      </c>
      <c r="H199" vm="1907">
        <f ca="1"/>
        <v>713.58</v>
      </c>
      <c r="I199">
        <f t="shared" ca="1" si="33"/>
        <v>1.2443069763482494E-2</v>
      </c>
      <c r="J199" vm="1908">
        <f ca="1"/>
        <v>190.23</v>
      </c>
      <c r="K199">
        <f t="shared" ca="1" si="34"/>
        <v>-5.8011915961117049E-3</v>
      </c>
      <c r="L199" vm="1909">
        <f ca="1"/>
        <v>634.21</v>
      </c>
      <c r="M199">
        <f t="shared" ca="1" si="35"/>
        <v>8.5074579397640526E-3</v>
      </c>
      <c r="N199" vm="1909">
        <f ca="1"/>
        <v>634.21</v>
      </c>
      <c r="O199">
        <f t="shared" ca="1" si="36"/>
        <v>8.5074579397640526E-3</v>
      </c>
      <c r="P199" vm="1910">
        <f ca="1"/>
        <v>312.18</v>
      </c>
      <c r="Q199">
        <f t="shared" ca="1" si="37"/>
        <v>-1.2401138880101283E-2</v>
      </c>
      <c r="R199" vm="963">
        <f ca="1"/>
        <v>75.28</v>
      </c>
      <c r="S199">
        <f t="shared" ca="1" si="38"/>
        <v>-9.289980092898896E-4</v>
      </c>
      <c r="T199" vm="1911">
        <f ca="1"/>
        <v>94.66</v>
      </c>
      <c r="U199">
        <f t="shared" ca="1" si="39"/>
        <v>-3.5789473684210886E-3</v>
      </c>
    </row>
    <row r="200" spans="1:21" x14ac:dyDescent="0.2">
      <c r="A200" vm="1912">
        <f ca="1"/>
        <v>45862</v>
      </c>
      <c r="B200" vm="1913">
        <f ca="1"/>
        <v>213.76</v>
      </c>
      <c r="C200">
        <f t="shared" ca="1" si="30"/>
        <v>-1.8211533971515983E-3</v>
      </c>
      <c r="D200" vm="1914">
        <f ca="1"/>
        <v>173.74</v>
      </c>
      <c r="E200">
        <f t="shared" ca="1" si="31"/>
        <v>1.7332240309169737E-2</v>
      </c>
      <c r="F200" vm="1915">
        <f ca="1"/>
        <v>510.88</v>
      </c>
      <c r="G200">
        <f t="shared" ca="1" si="32"/>
        <v>9.9037302073655114E-3</v>
      </c>
      <c r="H200" vm="1916">
        <f ca="1"/>
        <v>714.8</v>
      </c>
      <c r="I200">
        <f t="shared" ca="1" si="33"/>
        <v>1.7096891729027068E-3</v>
      </c>
      <c r="J200" vm="1917">
        <f ca="1"/>
        <v>192.17</v>
      </c>
      <c r="K200">
        <f t="shared" ca="1" si="34"/>
        <v>1.0198181149135246E-2</v>
      </c>
      <c r="L200" vm="1918">
        <f ca="1"/>
        <v>634.41999999999996</v>
      </c>
      <c r="M200">
        <f t="shared" ca="1" si="35"/>
        <v>3.3112060673897082E-4</v>
      </c>
      <c r="N200" vm="1918">
        <f ca="1"/>
        <v>634.41999999999996</v>
      </c>
      <c r="O200">
        <f t="shared" ca="1" si="36"/>
        <v>3.3112060673897082E-4</v>
      </c>
      <c r="P200" vm="1919">
        <f ca="1"/>
        <v>310.27</v>
      </c>
      <c r="Q200">
        <f t="shared" ca="1" si="37"/>
        <v>-6.1182651034660295E-3</v>
      </c>
      <c r="R200" vm="818">
        <f ca="1"/>
        <v>76.09</v>
      </c>
      <c r="S200">
        <f t="shared" ca="1" si="38"/>
        <v>1.0759829968119052E-2</v>
      </c>
      <c r="T200" vm="193">
        <f ca="1"/>
        <v>94.52</v>
      </c>
      <c r="U200">
        <f t="shared" ca="1" si="39"/>
        <v>-1.478977392774145E-3</v>
      </c>
    </row>
    <row r="201" spans="1:21" x14ac:dyDescent="0.2">
      <c r="A201" vm="1920">
        <f ca="1"/>
        <v>45863</v>
      </c>
      <c r="B201" vm="1921">
        <f ca="1"/>
        <v>213.88</v>
      </c>
      <c r="C201">
        <f t="shared" ca="1" si="30"/>
        <v>5.6137724550900337E-4</v>
      </c>
      <c r="D201" vm="1922">
        <f ca="1"/>
        <v>173.5</v>
      </c>
      <c r="E201">
        <f t="shared" ca="1" si="31"/>
        <v>-1.3813744675953096E-3</v>
      </c>
      <c r="F201" vm="1923">
        <f ca="1"/>
        <v>513.71</v>
      </c>
      <c r="G201">
        <f t="shared" ca="1" si="32"/>
        <v>5.5394613216411702E-3</v>
      </c>
      <c r="H201" vm="1924">
        <f ca="1"/>
        <v>712.68</v>
      </c>
      <c r="I201">
        <f t="shared" ca="1" si="33"/>
        <v>-2.9658645775042037E-3</v>
      </c>
      <c r="J201" vm="1925">
        <f ca="1"/>
        <v>193.18</v>
      </c>
      <c r="K201">
        <f t="shared" ca="1" si="34"/>
        <v>5.2557631263986026E-3</v>
      </c>
      <c r="L201" vm="1513">
        <f ca="1"/>
        <v>637.1</v>
      </c>
      <c r="M201">
        <f t="shared" ca="1" si="35"/>
        <v>4.2243308849028464E-3</v>
      </c>
      <c r="N201" vm="1513">
        <f ca="1"/>
        <v>637.1</v>
      </c>
      <c r="O201">
        <f t="shared" ca="1" si="36"/>
        <v>4.2243308849028464E-3</v>
      </c>
      <c r="P201" vm="1926">
        <f ca="1"/>
        <v>307.39999999999998</v>
      </c>
      <c r="Q201">
        <f t="shared" ca="1" si="37"/>
        <v>-9.2500080574983226E-3</v>
      </c>
      <c r="R201" vm="1927">
        <f ca="1"/>
        <v>74.849999999999994</v>
      </c>
      <c r="S201">
        <f t="shared" ca="1" si="38"/>
        <v>-1.6296490997503077E-2</v>
      </c>
      <c r="T201" vm="1928">
        <f ca="1"/>
        <v>94.74</v>
      </c>
      <c r="U201">
        <f t="shared" ca="1" si="39"/>
        <v>2.3275497249259296E-3</v>
      </c>
    </row>
    <row r="202" spans="1:21" x14ac:dyDescent="0.2">
      <c r="A202" vm="1929">
        <f ca="1"/>
        <v>45866</v>
      </c>
      <c r="B202" vm="1930">
        <f ca="1"/>
        <v>214.05</v>
      </c>
      <c r="C202">
        <f t="shared" ca="1" si="30"/>
        <v>7.9483822704327618E-4</v>
      </c>
      <c r="D202" vm="1931">
        <f ca="1"/>
        <v>176.75</v>
      </c>
      <c r="E202">
        <f t="shared" ca="1" si="31"/>
        <v>1.8731988472622477E-2</v>
      </c>
      <c r="F202" vm="1932">
        <f ca="1"/>
        <v>512.5</v>
      </c>
      <c r="G202">
        <f t="shared" ca="1" si="32"/>
        <v>-2.3554145334917292E-3</v>
      </c>
      <c r="H202" vm="1933">
        <f ca="1"/>
        <v>717.63</v>
      </c>
      <c r="I202">
        <f t="shared" ca="1" si="33"/>
        <v>6.9456137396868801E-3</v>
      </c>
      <c r="J202" vm="1934">
        <f ca="1"/>
        <v>192.58</v>
      </c>
      <c r="K202">
        <f t="shared" ca="1" si="34"/>
        <v>-3.1059115850501826E-3</v>
      </c>
      <c r="L202" vm="1935">
        <f ca="1"/>
        <v>636.94000000000005</v>
      </c>
      <c r="M202">
        <f t="shared" ca="1" si="35"/>
        <v>-2.5113796892162638E-4</v>
      </c>
      <c r="N202" vm="1935">
        <f ca="1"/>
        <v>636.94000000000005</v>
      </c>
      <c r="O202">
        <f t="shared" ca="1" si="36"/>
        <v>-2.5113796892162638E-4</v>
      </c>
      <c r="P202" vm="1936">
        <f ca="1"/>
        <v>305.41000000000003</v>
      </c>
      <c r="Q202">
        <f t="shared" ca="1" si="37"/>
        <v>-6.4736499674689406E-3</v>
      </c>
      <c r="R202" vm="1937">
        <f ca="1"/>
        <v>77.17</v>
      </c>
      <c r="S202">
        <f t="shared" ca="1" si="38"/>
        <v>3.0995323981296025E-2</v>
      </c>
      <c r="T202" vm="1413">
        <f ca="1"/>
        <v>94.53</v>
      </c>
      <c r="U202">
        <f t="shared" ca="1" si="39"/>
        <v>-2.2165927802405929E-3</v>
      </c>
    </row>
    <row r="203" spans="1:21" x14ac:dyDescent="0.2">
      <c r="A203" vm="1938">
        <f ca="1"/>
        <v>45867</v>
      </c>
      <c r="B203" vm="1939">
        <f ca="1"/>
        <v>211.27</v>
      </c>
      <c r="C203">
        <f t="shared" ca="1" si="30"/>
        <v>-1.298761971501986E-2</v>
      </c>
      <c r="D203" vm="1940">
        <f ca="1"/>
        <v>175.51</v>
      </c>
      <c r="E203">
        <f t="shared" ca="1" si="31"/>
        <v>-7.0155586987270674E-3</v>
      </c>
      <c r="F203" vm="1941">
        <f ca="1"/>
        <v>512.57000000000005</v>
      </c>
      <c r="G203">
        <f t="shared" ca="1" si="32"/>
        <v>1.3658536585375614E-4</v>
      </c>
      <c r="H203" vm="1942">
        <f ca="1"/>
        <v>700</v>
      </c>
      <c r="I203">
        <f t="shared" ca="1" si="33"/>
        <v>-2.4566977411758142E-2</v>
      </c>
      <c r="J203" vm="1943">
        <f ca="1"/>
        <v>195.75</v>
      </c>
      <c r="K203">
        <f t="shared" ca="1" si="34"/>
        <v>1.6460691660608512E-2</v>
      </c>
      <c r="L203" vm="1944">
        <f ca="1"/>
        <v>635.26</v>
      </c>
      <c r="M203">
        <f t="shared" ca="1" si="35"/>
        <v>-2.6376110779666273E-3</v>
      </c>
      <c r="N203" vm="1944">
        <f ca="1"/>
        <v>635.26</v>
      </c>
      <c r="O203">
        <f t="shared" ca="1" si="36"/>
        <v>-2.6376110779666273E-3</v>
      </c>
      <c r="P203" vm="1945">
        <f ca="1"/>
        <v>306.25</v>
      </c>
      <c r="Q203">
        <f t="shared" ca="1" si="37"/>
        <v>2.7504011001603578E-3</v>
      </c>
      <c r="R203" vm="1946">
        <f ca="1"/>
        <v>79.8</v>
      </c>
      <c r="S203">
        <f t="shared" ca="1" si="38"/>
        <v>3.4080601269923488E-2</v>
      </c>
      <c r="T203" vm="1947">
        <f ca="1"/>
        <v>95.15</v>
      </c>
      <c r="U203">
        <f t="shared" ca="1" si="39"/>
        <v>6.5587644134137788E-3</v>
      </c>
    </row>
    <row r="204" spans="1:21" x14ac:dyDescent="0.2">
      <c r="A204" vm="1948">
        <f ca="1"/>
        <v>45868</v>
      </c>
      <c r="B204" vm="1949">
        <f ca="1"/>
        <v>209.05</v>
      </c>
      <c r="C204">
        <f t="shared" ca="1" si="30"/>
        <v>-1.0507880910683007E-2</v>
      </c>
      <c r="D204" vm="1950">
        <f ca="1"/>
        <v>179.27</v>
      </c>
      <c r="E204">
        <f t="shared" ca="1" si="31"/>
        <v>2.1423280724745138E-2</v>
      </c>
      <c r="F204" vm="1951">
        <f ca="1"/>
        <v>513.24</v>
      </c>
      <c r="G204">
        <f t="shared" ca="1" si="32"/>
        <v>1.3071385371753303E-3</v>
      </c>
      <c r="H204" vm="1952">
        <f ca="1"/>
        <v>695.21</v>
      </c>
      <c r="I204">
        <f t="shared" ca="1" si="33"/>
        <v>-6.8428571428570907E-3</v>
      </c>
      <c r="J204" vm="1953">
        <f ca="1"/>
        <v>196.53</v>
      </c>
      <c r="K204">
        <f t="shared" ca="1" si="34"/>
        <v>3.9846743295019211E-3</v>
      </c>
      <c r="L204" vm="1954">
        <f ca="1"/>
        <v>634.46</v>
      </c>
      <c r="M204">
        <f t="shared" ca="1" si="35"/>
        <v>-1.2593268897773424E-3</v>
      </c>
      <c r="N204" vm="1954">
        <f ca="1"/>
        <v>634.46</v>
      </c>
      <c r="O204">
        <f t="shared" ca="1" si="36"/>
        <v>-1.2593268897773424E-3</v>
      </c>
      <c r="P204" vm="1955">
        <f ca="1"/>
        <v>300.95999999999998</v>
      </c>
      <c r="Q204">
        <f t="shared" ca="1" si="37"/>
        <v>-1.7273469387755168E-2</v>
      </c>
      <c r="R204" vm="1956">
        <f ca="1"/>
        <v>81.040000000000006</v>
      </c>
      <c r="S204">
        <f t="shared" ca="1" si="38"/>
        <v>1.55388471177946E-2</v>
      </c>
      <c r="T204" vm="1957">
        <f ca="1"/>
        <v>94.82</v>
      </c>
      <c r="U204">
        <f t="shared" ca="1" si="39"/>
        <v>-3.4682080924856805E-3</v>
      </c>
    </row>
    <row r="205" spans="1:21" x14ac:dyDescent="0.2">
      <c r="A205" vm="1958">
        <f ca="1"/>
        <v>45869</v>
      </c>
      <c r="B205" vm="1959">
        <f ca="1"/>
        <v>207.57</v>
      </c>
      <c r="C205">
        <f t="shared" ca="1" si="30"/>
        <v>-7.0796460176992017E-3</v>
      </c>
      <c r="D205" vm="1960">
        <f ca="1"/>
        <v>177.87</v>
      </c>
      <c r="E205">
        <f t="shared" ca="1" si="31"/>
        <v>-7.8094494338149471E-3</v>
      </c>
      <c r="F205" vm="1961">
        <f ca="1"/>
        <v>533.5</v>
      </c>
      <c r="G205">
        <f t="shared" ca="1" si="32"/>
        <v>3.9474709687475629E-2</v>
      </c>
      <c r="H205" vm="1962">
        <f ca="1"/>
        <v>773.44</v>
      </c>
      <c r="I205">
        <f t="shared" ca="1" si="33"/>
        <v>0.11252715006976312</v>
      </c>
      <c r="J205" vm="1963">
        <f ca="1"/>
        <v>191.9</v>
      </c>
      <c r="K205">
        <f t="shared" ca="1" si="34"/>
        <v>-2.3558744212079558E-2</v>
      </c>
      <c r="L205" vm="1964">
        <f ca="1"/>
        <v>632.08000000000004</v>
      </c>
      <c r="M205">
        <f t="shared" ca="1" si="35"/>
        <v>-3.7512215112063727E-3</v>
      </c>
      <c r="N205" vm="1964">
        <f ca="1"/>
        <v>632.08000000000004</v>
      </c>
      <c r="O205">
        <f t="shared" ca="1" si="36"/>
        <v>-3.7512215112063727E-3</v>
      </c>
      <c r="P205" vm="1965">
        <f ca="1"/>
        <v>302.95999999999998</v>
      </c>
      <c r="Q205">
        <f t="shared" ca="1" si="37"/>
        <v>6.6454013822434882E-3</v>
      </c>
      <c r="R205" vm="1966">
        <f ca="1"/>
        <v>79.59</v>
      </c>
      <c r="S205">
        <f t="shared" ca="1" si="38"/>
        <v>-1.7892398815399835E-2</v>
      </c>
      <c r="T205" vm="1967">
        <f ca="1"/>
        <v>94.9</v>
      </c>
      <c r="U205">
        <f t="shared" ca="1" si="39"/>
        <v>8.437038599452912E-4</v>
      </c>
    </row>
    <row r="206" spans="1:21" x14ac:dyDescent="0.2">
      <c r="A206" vm="1968">
        <f ca="1"/>
        <v>45870</v>
      </c>
      <c r="B206" vm="1969">
        <f ca="1"/>
        <v>202.38</v>
      </c>
      <c r="C206">
        <f t="shared" ca="1" si="30"/>
        <v>-2.5003613238907346E-2</v>
      </c>
      <c r="D206" vm="1970">
        <f ca="1"/>
        <v>173.72</v>
      </c>
      <c r="E206">
        <f t="shared" ca="1" si="31"/>
        <v>-2.3331646708270117E-2</v>
      </c>
      <c r="F206" vm="1971">
        <f ca="1"/>
        <v>524.11</v>
      </c>
      <c r="G206">
        <f t="shared" ca="1" si="32"/>
        <v>-1.7600749765698195E-2</v>
      </c>
      <c r="H206" vm="1972">
        <f ca="1"/>
        <v>750.01</v>
      </c>
      <c r="I206">
        <f t="shared" ca="1" si="33"/>
        <v>-3.0293235415804795E-2</v>
      </c>
      <c r="J206" vm="1973">
        <f ca="1"/>
        <v>189.13</v>
      </c>
      <c r="K206">
        <f t="shared" ca="1" si="34"/>
        <v>-1.4434601354872382E-2</v>
      </c>
      <c r="L206" vm="1974">
        <f ca="1"/>
        <v>621.72</v>
      </c>
      <c r="M206">
        <f t="shared" ca="1" si="35"/>
        <v>-1.6390330337931927E-2</v>
      </c>
      <c r="N206" vm="1974">
        <f ca="1"/>
        <v>621.72</v>
      </c>
      <c r="O206">
        <f t="shared" ca="1" si="36"/>
        <v>-1.6390330337931927E-2</v>
      </c>
      <c r="P206" vm="1975">
        <f ca="1"/>
        <v>309.11</v>
      </c>
      <c r="Q206">
        <f t="shared" ca="1" si="37"/>
        <v>2.029970953261168E-2</v>
      </c>
      <c r="R206" vm="1976">
        <f ca="1"/>
        <v>77.459999999999994</v>
      </c>
      <c r="S206">
        <f t="shared" ca="1" si="38"/>
        <v>-2.6762156049755115E-2</v>
      </c>
      <c r="T206" vm="1977">
        <f ca="1"/>
        <v>95.68</v>
      </c>
      <c r="U206">
        <f t="shared" ca="1" si="39"/>
        <v>8.2191780821917922E-3</v>
      </c>
    </row>
    <row r="207" spans="1:21" x14ac:dyDescent="0.2">
      <c r="A207" vm="1978">
        <f ca="1"/>
        <v>45873</v>
      </c>
      <c r="B207" vm="1979">
        <f ca="1"/>
        <v>203.35</v>
      </c>
      <c r="C207">
        <f t="shared" ca="1" si="30"/>
        <v>4.7929637315940257E-3</v>
      </c>
      <c r="D207" vm="1980">
        <f ca="1"/>
        <v>180</v>
      </c>
      <c r="E207">
        <f t="shared" ca="1" si="31"/>
        <v>3.6150126640571038E-2</v>
      </c>
      <c r="F207" vm="1981">
        <f ca="1"/>
        <v>535.64</v>
      </c>
      <c r="G207">
        <f t="shared" ca="1" si="32"/>
        <v>2.1999198641506502E-2</v>
      </c>
      <c r="H207" vm="1982">
        <f ca="1"/>
        <v>776.37</v>
      </c>
      <c r="I207">
        <f t="shared" ca="1" si="33"/>
        <v>3.5146198050692676E-2</v>
      </c>
      <c r="J207" vm="1983">
        <f ca="1"/>
        <v>195.04</v>
      </c>
      <c r="K207">
        <f t="shared" ca="1" si="34"/>
        <v>3.124834769735101E-2</v>
      </c>
      <c r="L207" vm="1984">
        <f ca="1"/>
        <v>631.16999999999996</v>
      </c>
      <c r="M207">
        <f t="shared" ca="1" si="35"/>
        <v>1.519976838448165E-2</v>
      </c>
      <c r="N207" vm="1984">
        <f ca="1"/>
        <v>631.16999999999996</v>
      </c>
      <c r="O207">
        <f t="shared" ca="1" si="36"/>
        <v>1.519976838448165E-2</v>
      </c>
      <c r="P207" vm="1985">
        <f ca="1"/>
        <v>310.91000000000003</v>
      </c>
      <c r="Q207">
        <f t="shared" ca="1" si="37"/>
        <v>5.8231697453981152E-3</v>
      </c>
      <c r="R207" vm="1986">
        <f ca="1"/>
        <v>76.11</v>
      </c>
      <c r="S207">
        <f t="shared" ca="1" si="38"/>
        <v>-1.7428350116188929E-2</v>
      </c>
      <c r="T207" vm="1987">
        <f ca="1"/>
        <v>95.81</v>
      </c>
      <c r="U207">
        <f t="shared" ca="1" si="39"/>
        <v>1.3586956521738655E-3</v>
      </c>
    </row>
    <row r="208" spans="1:21" x14ac:dyDescent="0.2">
      <c r="A208" vm="1988">
        <f ca="1"/>
        <v>45874</v>
      </c>
      <c r="B208" vm="1989">
        <f ca="1"/>
        <v>202.92</v>
      </c>
      <c r="C208">
        <f t="shared" ca="1" si="30"/>
        <v>-2.114580772067897E-3</v>
      </c>
      <c r="D208" vm="1990">
        <f ca="1"/>
        <v>178.26</v>
      </c>
      <c r="E208">
        <f t="shared" ca="1" si="31"/>
        <v>-9.6666666666667175E-3</v>
      </c>
      <c r="F208" vm="1991">
        <f ca="1"/>
        <v>527.75</v>
      </c>
      <c r="G208">
        <f t="shared" ca="1" si="32"/>
        <v>-1.4730042565902447E-2</v>
      </c>
      <c r="H208" vm="1992">
        <f ca="1"/>
        <v>763.46</v>
      </c>
      <c r="I208">
        <f t="shared" ca="1" si="33"/>
        <v>-1.6628669320040663E-2</v>
      </c>
      <c r="J208" vm="1993">
        <f ca="1"/>
        <v>194.67</v>
      </c>
      <c r="K208">
        <f t="shared" ca="1" si="34"/>
        <v>-1.8970467596390718E-3</v>
      </c>
      <c r="L208" vm="1994">
        <f ca="1"/>
        <v>627.97</v>
      </c>
      <c r="M208">
        <f t="shared" ca="1" si="35"/>
        <v>-5.0699494589412234E-3</v>
      </c>
      <c r="N208" vm="1994">
        <f ca="1"/>
        <v>627.97</v>
      </c>
      <c r="O208">
        <f t="shared" ca="1" si="36"/>
        <v>-5.0699494589412234E-3</v>
      </c>
      <c r="P208" vm="1995">
        <f ca="1"/>
        <v>311.16000000000003</v>
      </c>
      <c r="Q208">
        <f t="shared" ca="1" si="37"/>
        <v>8.0409121610755519E-4</v>
      </c>
      <c r="R208" vm="1996">
        <f ca="1"/>
        <v>75.02</v>
      </c>
      <c r="S208">
        <f t="shared" ca="1" si="38"/>
        <v>-1.4321376954408138E-2</v>
      </c>
      <c r="T208" vm="1997">
        <f ca="1"/>
        <v>95.74</v>
      </c>
      <c r="U208">
        <f t="shared" ca="1" si="39"/>
        <v>-7.3061267091125554E-4</v>
      </c>
    </row>
    <row r="209" spans="1:21" x14ac:dyDescent="0.2">
      <c r="A209" vm="1998">
        <f ca="1"/>
        <v>45875</v>
      </c>
      <c r="B209" vm="1999">
        <f ca="1"/>
        <v>213.25</v>
      </c>
      <c r="C209">
        <f t="shared" ca="1" si="30"/>
        <v>5.0906761285235629E-2</v>
      </c>
      <c r="D209" vm="2000">
        <f ca="1"/>
        <v>179.42</v>
      </c>
      <c r="E209">
        <f t="shared" ca="1" si="31"/>
        <v>6.5073488163356705E-3</v>
      </c>
      <c r="F209" vm="2001">
        <f ca="1"/>
        <v>524.94000000000005</v>
      </c>
      <c r="G209">
        <f t="shared" ca="1" si="32"/>
        <v>-5.3244907626716163E-3</v>
      </c>
      <c r="H209" vm="2002">
        <f ca="1"/>
        <v>771.99</v>
      </c>
      <c r="I209">
        <f t="shared" ca="1" si="33"/>
        <v>1.1172818484268949E-2</v>
      </c>
      <c r="J209" vm="2003">
        <f ca="1"/>
        <v>196.09</v>
      </c>
      <c r="K209">
        <f t="shared" ca="1" si="34"/>
        <v>7.2943956439102892E-3</v>
      </c>
      <c r="L209" vm="2004">
        <f ca="1"/>
        <v>632.78</v>
      </c>
      <c r="M209">
        <f t="shared" ca="1" si="35"/>
        <v>7.6596015733234792E-3</v>
      </c>
      <c r="N209" vm="2004">
        <f ca="1"/>
        <v>632.78</v>
      </c>
      <c r="O209">
        <f t="shared" ca="1" si="36"/>
        <v>7.6596015733234792E-3</v>
      </c>
      <c r="P209" vm="2005">
        <f ca="1"/>
        <v>310.5</v>
      </c>
      <c r="Q209">
        <f t="shared" ca="1" si="37"/>
        <v>-2.1210952564597796E-3</v>
      </c>
      <c r="R209" vm="1118">
        <f ca="1"/>
        <v>73.790000000000006</v>
      </c>
      <c r="S209">
        <f t="shared" ca="1" si="38"/>
        <v>-1.6395627832577843E-2</v>
      </c>
      <c r="T209" vm="2006">
        <f ca="1"/>
        <v>95.67</v>
      </c>
      <c r="U209">
        <f t="shared" ca="1" si="39"/>
        <v>-7.3114685606844769E-4</v>
      </c>
    </row>
    <row r="210" spans="1:21" x14ac:dyDescent="0.2">
      <c r="A210" vm="2007">
        <f ca="1"/>
        <v>45876</v>
      </c>
      <c r="B210" vm="2008">
        <f ca="1"/>
        <v>220.03</v>
      </c>
      <c r="C210">
        <f t="shared" ca="1" si="30"/>
        <v>3.1793669402110203E-2</v>
      </c>
      <c r="D210" vm="2009">
        <f ca="1"/>
        <v>180.77</v>
      </c>
      <c r="E210">
        <f t="shared" ca="1" si="31"/>
        <v>7.5242447887639216E-3</v>
      </c>
      <c r="F210" vm="2010">
        <f ca="1"/>
        <v>520.84</v>
      </c>
      <c r="G210">
        <f t="shared" ca="1" si="32"/>
        <v>-7.8104164285442571E-3</v>
      </c>
      <c r="H210" vm="2011">
        <f ca="1"/>
        <v>761.83</v>
      </c>
      <c r="I210">
        <f t="shared" ca="1" si="33"/>
        <v>-1.3160792238241386E-2</v>
      </c>
      <c r="J210" vm="2012">
        <f ca="1"/>
        <v>196.52</v>
      </c>
      <c r="K210">
        <f t="shared" ca="1" si="34"/>
        <v>2.1928706206334175E-3</v>
      </c>
      <c r="L210" vm="2013">
        <f ca="1"/>
        <v>632.25</v>
      </c>
      <c r="M210">
        <f t="shared" ca="1" si="35"/>
        <v>-8.37573880337515E-4</v>
      </c>
      <c r="N210" vm="2013">
        <f ca="1"/>
        <v>632.25</v>
      </c>
      <c r="O210">
        <f t="shared" ca="1" si="36"/>
        <v>-8.37573880337515E-4</v>
      </c>
      <c r="P210" vm="2014">
        <f ca="1"/>
        <v>313.12</v>
      </c>
      <c r="Q210">
        <f t="shared" ca="1" si="37"/>
        <v>8.438003220611931E-3</v>
      </c>
      <c r="R210" vm="2015">
        <f ca="1"/>
        <v>73.42</v>
      </c>
      <c r="S210">
        <f t="shared" ca="1" si="38"/>
        <v>-5.0142295704025544E-3</v>
      </c>
      <c r="T210" vm="2016">
        <f ca="1"/>
        <v>95.6</v>
      </c>
      <c r="U210">
        <f t="shared" ca="1" si="39"/>
        <v>-7.3168182293307604E-4</v>
      </c>
    </row>
    <row r="211" spans="1:21" x14ac:dyDescent="0.2">
      <c r="A211" vm="2017">
        <f ca="1"/>
        <v>45877</v>
      </c>
      <c r="B211" vm="2018">
        <f ca="1"/>
        <v>229.35</v>
      </c>
      <c r="C211">
        <f t="shared" ca="1" si="30"/>
        <v>4.2357860291778363E-2</v>
      </c>
      <c r="D211" vm="2019">
        <f ca="1"/>
        <v>182.7</v>
      </c>
      <c r="E211">
        <f t="shared" ca="1" si="31"/>
        <v>1.0676550312551741E-2</v>
      </c>
      <c r="F211" vm="2020">
        <f ca="1"/>
        <v>522.04</v>
      </c>
      <c r="G211">
        <f t="shared" ca="1" si="32"/>
        <v>2.3039705091773516E-3</v>
      </c>
      <c r="H211" vm="2021">
        <f ca="1"/>
        <v>769.3</v>
      </c>
      <c r="I211">
        <f t="shared" ca="1" si="33"/>
        <v>9.8053371487076026E-3</v>
      </c>
      <c r="J211" vm="2022">
        <f ca="1"/>
        <v>201.42</v>
      </c>
      <c r="K211">
        <f t="shared" ca="1" si="34"/>
        <v>2.4933848972114682E-2</v>
      </c>
      <c r="L211" vm="2023">
        <f ca="1"/>
        <v>637.17999999999995</v>
      </c>
      <c r="M211">
        <f t="shared" ca="1" si="35"/>
        <v>7.7975484381177544E-3</v>
      </c>
      <c r="N211" vm="2023">
        <f ca="1"/>
        <v>637.17999999999995</v>
      </c>
      <c r="O211">
        <f t="shared" ca="1" si="36"/>
        <v>7.7975484381177544E-3</v>
      </c>
      <c r="P211" vm="2024">
        <f ca="1"/>
        <v>313.05</v>
      </c>
      <c r="Q211">
        <f t="shared" ca="1" si="37"/>
        <v>-2.2355646397545089E-4</v>
      </c>
      <c r="R211" vm="506">
        <f ca="1"/>
        <v>73.3</v>
      </c>
      <c r="S211">
        <f t="shared" ca="1" si="38"/>
        <v>-1.6344320348679452E-3</v>
      </c>
      <c r="T211" vm="2025">
        <f ca="1"/>
        <v>95.38</v>
      </c>
      <c r="U211">
        <f t="shared" ca="1" si="39"/>
        <v>-2.3012552301255114E-3</v>
      </c>
    </row>
    <row r="212" spans="1:21" x14ac:dyDescent="0.2">
      <c r="A212" vm="2026">
        <f ca="1"/>
        <v>45880</v>
      </c>
      <c r="B212" vm="2027">
        <f ca="1"/>
        <v>227.18</v>
      </c>
      <c r="C212">
        <f t="shared" ca="1" si="30"/>
        <v>-9.4615216917374647E-3</v>
      </c>
      <c r="D212" vm="2028">
        <f ca="1"/>
        <v>182.06</v>
      </c>
      <c r="E212">
        <f t="shared" ca="1" si="31"/>
        <v>-3.5030103995620492E-3</v>
      </c>
      <c r="F212" vm="2029">
        <f ca="1"/>
        <v>521.77</v>
      </c>
      <c r="G212">
        <f t="shared" ca="1" si="32"/>
        <v>-5.1720174699253284E-4</v>
      </c>
      <c r="H212" vm="2030">
        <f ca="1"/>
        <v>765.87</v>
      </c>
      <c r="I212">
        <f t="shared" ca="1" si="33"/>
        <v>-4.4585987261145845E-3</v>
      </c>
      <c r="J212" vm="1703">
        <f ca="1"/>
        <v>201</v>
      </c>
      <c r="K212">
        <f t="shared" ca="1" si="34"/>
        <v>-2.0851951146856691E-3</v>
      </c>
      <c r="L212" vm="2031">
        <f ca="1"/>
        <v>635.91999999999996</v>
      </c>
      <c r="M212">
        <f t="shared" ca="1" si="35"/>
        <v>-1.9774631972127046E-3</v>
      </c>
      <c r="N212" vm="2031">
        <f ca="1"/>
        <v>635.91999999999996</v>
      </c>
      <c r="O212">
        <f t="shared" ca="1" si="36"/>
        <v>-1.9774631972127046E-3</v>
      </c>
      <c r="P212" vm="2032">
        <f ca="1"/>
        <v>308.55</v>
      </c>
      <c r="Q212">
        <f t="shared" ca="1" si="37"/>
        <v>-1.4374700527072352E-2</v>
      </c>
      <c r="R212" vm="2033">
        <f ca="1"/>
        <v>73.8</v>
      </c>
      <c r="S212">
        <f t="shared" ca="1" si="38"/>
        <v>6.8212824010914054E-3</v>
      </c>
      <c r="T212" vm="1225">
        <f ca="1"/>
        <v>95.41</v>
      </c>
      <c r="U212">
        <f t="shared" ca="1" si="39"/>
        <v>3.1453134829105827E-4</v>
      </c>
    </row>
    <row r="213" spans="1:21" x14ac:dyDescent="0.2">
      <c r="A213" vm="2034">
        <f ca="1"/>
        <v>45881</v>
      </c>
      <c r="B213" vm="2035">
        <f ca="1"/>
        <v>229.65</v>
      </c>
      <c r="C213">
        <f t="shared" ca="1" si="30"/>
        <v>1.0872435953869173E-2</v>
      </c>
      <c r="D213" vm="2036">
        <f ca="1"/>
        <v>183.16</v>
      </c>
      <c r="E213">
        <f t="shared" ca="1" si="31"/>
        <v>6.0419641876304202E-3</v>
      </c>
      <c r="F213" vm="2037">
        <f ca="1"/>
        <v>529.24</v>
      </c>
      <c r="G213">
        <f t="shared" ca="1" si="32"/>
        <v>1.431665293136828E-2</v>
      </c>
      <c r="H213" vm="2038">
        <f ca="1"/>
        <v>790</v>
      </c>
      <c r="I213">
        <f t="shared" ca="1" si="33"/>
        <v>3.1506652565056727E-2</v>
      </c>
      <c r="J213" vm="2039">
        <f ca="1"/>
        <v>203.34</v>
      </c>
      <c r="K213">
        <f t="shared" ca="1" si="34"/>
        <v>1.1641791044776136E-2</v>
      </c>
      <c r="L213" vm="2040">
        <f ca="1"/>
        <v>642.69000000000005</v>
      </c>
      <c r="M213">
        <f t="shared" ca="1" si="35"/>
        <v>1.0645993206692817E-2</v>
      </c>
      <c r="N213" vm="2040">
        <f ca="1"/>
        <v>642.69000000000005</v>
      </c>
      <c r="O213">
        <f t="shared" ca="1" si="36"/>
        <v>1.0645993206692817E-2</v>
      </c>
      <c r="P213" vm="2041">
        <f ca="1"/>
        <v>308.27</v>
      </c>
      <c r="Q213">
        <f t="shared" ca="1" si="37"/>
        <v>-9.0747042618709946E-4</v>
      </c>
      <c r="R213" vm="2042">
        <f ca="1"/>
        <v>72.95</v>
      </c>
      <c r="S213">
        <f t="shared" ca="1" si="38"/>
        <v>-1.1517615176151685E-2</v>
      </c>
      <c r="T213" vm="984">
        <f ca="1"/>
        <v>95.39</v>
      </c>
      <c r="U213">
        <f t="shared" ca="1" si="39"/>
        <v>-2.0962163295247901E-4</v>
      </c>
    </row>
    <row r="214" spans="1:21" x14ac:dyDescent="0.2">
      <c r="A214" vm="2043">
        <f ca="1"/>
        <v>45882</v>
      </c>
      <c r="B214" vm="2044">
        <f ca="1"/>
        <v>233.33</v>
      </c>
      <c r="C214">
        <f t="shared" ca="1" si="30"/>
        <v>1.6024384933594631E-2</v>
      </c>
      <c r="D214" vm="2045">
        <f ca="1"/>
        <v>181.59</v>
      </c>
      <c r="E214">
        <f t="shared" ca="1" si="31"/>
        <v>-8.5717405547062302E-3</v>
      </c>
      <c r="F214" vm="2046">
        <f ca="1"/>
        <v>520.58000000000004</v>
      </c>
      <c r="G214">
        <f t="shared" ca="1" si="32"/>
        <v>-1.6363086690348364E-2</v>
      </c>
      <c r="H214" vm="2047">
        <f ca="1"/>
        <v>780.08</v>
      </c>
      <c r="I214">
        <f t="shared" ca="1" si="33"/>
        <v>-1.2556962025316403E-2</v>
      </c>
      <c r="J214" vm="2048">
        <f ca="1"/>
        <v>201.96</v>
      </c>
      <c r="K214">
        <f t="shared" ca="1" si="34"/>
        <v>-6.7866627323694079E-3</v>
      </c>
      <c r="L214" vm="2049">
        <f ca="1"/>
        <v>644.89</v>
      </c>
      <c r="M214">
        <f t="shared" ca="1" si="35"/>
        <v>3.4231122314022804E-3</v>
      </c>
      <c r="N214" vm="2049">
        <f ca="1"/>
        <v>644.89</v>
      </c>
      <c r="O214">
        <f t="shared" ca="1" si="36"/>
        <v>3.4231122314022804E-3</v>
      </c>
      <c r="P214" vm="2050">
        <f ca="1"/>
        <v>309.20999999999998</v>
      </c>
      <c r="Q214">
        <f t="shared" ca="1" si="37"/>
        <v>3.0492749862133773E-3</v>
      </c>
      <c r="R214" vm="2051">
        <f ca="1"/>
        <v>72.459999999999994</v>
      </c>
      <c r="S214">
        <f t="shared" ca="1" si="38"/>
        <v>-6.7169294037012894E-3</v>
      </c>
      <c r="T214" vm="2052">
        <f ca="1"/>
        <v>95.73</v>
      </c>
      <c r="U214">
        <f t="shared" ca="1" si="39"/>
        <v>3.5643149177062941E-3</v>
      </c>
    </row>
    <row r="215" spans="1:21" x14ac:dyDescent="0.2">
      <c r="A215" vm="2053">
        <f ca="1"/>
        <v>45883</v>
      </c>
      <c r="B215" vm="2054">
        <f ca="1"/>
        <v>232.78</v>
      </c>
      <c r="C215">
        <f t="shared" ca="1" si="30"/>
        <v>-2.3571765310933497E-3</v>
      </c>
      <c r="D215" vm="2055">
        <f ca="1"/>
        <v>182.02</v>
      </c>
      <c r="E215">
        <f t="shared" ca="1" si="31"/>
        <v>2.3679718046148292E-3</v>
      </c>
      <c r="F215" vm="2056">
        <f ca="1"/>
        <v>522.48</v>
      </c>
      <c r="G215">
        <f t="shared" ca="1" si="32"/>
        <v>3.6497752506818876E-3</v>
      </c>
      <c r="H215" vm="2057">
        <f ca="1"/>
        <v>782.13</v>
      </c>
      <c r="I215">
        <f t="shared" ca="1" si="33"/>
        <v>2.627935596349034E-3</v>
      </c>
      <c r="J215" vm="2058">
        <f ca="1"/>
        <v>202.94</v>
      </c>
      <c r="K215">
        <f t="shared" ca="1" si="34"/>
        <v>4.852446028916566E-3</v>
      </c>
      <c r="L215" vm="2059">
        <f ca="1"/>
        <v>644.95000000000005</v>
      </c>
      <c r="M215">
        <f t="shared" ca="1" si="35"/>
        <v>9.3039122951292649E-5</v>
      </c>
      <c r="N215" vm="2059">
        <f ca="1"/>
        <v>644.95000000000005</v>
      </c>
      <c r="O215">
        <f t="shared" ca="1" si="36"/>
        <v>9.3039122951292649E-5</v>
      </c>
      <c r="P215" vm="2060">
        <f ca="1"/>
        <v>307.25</v>
      </c>
      <c r="Q215">
        <f t="shared" ca="1" si="37"/>
        <v>-6.3387341935900506E-3</v>
      </c>
      <c r="R215" vm="2061">
        <f ca="1"/>
        <v>73.739999999999995</v>
      </c>
      <c r="S215">
        <f t="shared" ca="1" si="38"/>
        <v>1.7664918575765957E-2</v>
      </c>
      <c r="T215" vm="2062">
        <f ca="1"/>
        <v>95.42</v>
      </c>
      <c r="U215">
        <f t="shared" ca="1" si="39"/>
        <v>-3.2382743131724877E-3</v>
      </c>
    </row>
    <row r="216" spans="1:21" x14ac:dyDescent="0.2">
      <c r="A216" vm="2063">
        <f ca="1"/>
        <v>45884</v>
      </c>
      <c r="B216" vm="2064">
        <f ca="1"/>
        <v>231.59</v>
      </c>
      <c r="C216">
        <f t="shared" ca="1" si="30"/>
        <v>-5.1121230346249579E-3</v>
      </c>
      <c r="D216" vm="2065">
        <f ca="1"/>
        <v>180.45</v>
      </c>
      <c r="E216">
        <f t="shared" ca="1" si="31"/>
        <v>-8.6254257773872179E-3</v>
      </c>
      <c r="F216" vm="2066">
        <f ca="1"/>
        <v>520.16999999999996</v>
      </c>
      <c r="G216">
        <f t="shared" ca="1" si="32"/>
        <v>-4.4212218649518813E-3</v>
      </c>
      <c r="H216" vm="2067">
        <f ca="1"/>
        <v>785.23</v>
      </c>
      <c r="I216">
        <f t="shared" ca="1" si="33"/>
        <v>3.9635354736425182E-3</v>
      </c>
      <c r="J216" vm="2068">
        <f ca="1"/>
        <v>203.9</v>
      </c>
      <c r="K216">
        <f t="shared" ca="1" si="34"/>
        <v>4.7304622055780428E-3</v>
      </c>
      <c r="L216" vm="2069">
        <f ca="1"/>
        <v>643.44000000000005</v>
      </c>
      <c r="M216">
        <f t="shared" ca="1" si="35"/>
        <v>-2.3412667648654794E-3</v>
      </c>
      <c r="N216" vm="2069">
        <f ca="1"/>
        <v>643.44000000000005</v>
      </c>
      <c r="O216">
        <f t="shared" ca="1" si="36"/>
        <v>-2.3412667648654794E-3</v>
      </c>
      <c r="P216" vm="2070">
        <f ca="1"/>
        <v>307.43</v>
      </c>
      <c r="Q216">
        <f t="shared" ca="1" si="37"/>
        <v>5.8584214808789854E-4</v>
      </c>
      <c r="R216" vm="1051">
        <f ca="1"/>
        <v>72.8</v>
      </c>
      <c r="S216">
        <f t="shared" ca="1" si="38"/>
        <v>-1.2747491185245426E-2</v>
      </c>
      <c r="T216" vm="2071">
        <f ca="1"/>
        <v>95.23</v>
      </c>
      <c r="U216">
        <f t="shared" ca="1" si="39"/>
        <v>-1.9911968140850734E-3</v>
      </c>
    </row>
    <row r="217" spans="1:21" x14ac:dyDescent="0.2">
      <c r="A217" vm="2072">
        <f ca="1"/>
        <v>45887</v>
      </c>
      <c r="B217" vm="2073">
        <f ca="1"/>
        <v>230.89</v>
      </c>
      <c r="C217">
        <f t="shared" ca="1" si="30"/>
        <v>-3.02258301308354E-3</v>
      </c>
      <c r="D217" vm="2074">
        <f ca="1"/>
        <v>182.01</v>
      </c>
      <c r="E217">
        <f t="shared" ca="1" si="31"/>
        <v>8.6450540315877109E-3</v>
      </c>
      <c r="F217" vm="2075">
        <f ca="1"/>
        <v>517.1</v>
      </c>
      <c r="G217">
        <f t="shared" ca="1" si="32"/>
        <v>-5.9019166810849082E-3</v>
      </c>
      <c r="H217" vm="2076">
        <f ca="1"/>
        <v>767.37</v>
      </c>
      <c r="I217">
        <f t="shared" ca="1" si="33"/>
        <v>-2.2744928237586455E-2</v>
      </c>
      <c r="J217" vm="2077">
        <f ca="1"/>
        <v>203.5</v>
      </c>
      <c r="K217">
        <f t="shared" ca="1" si="34"/>
        <v>-1.961745953898998E-3</v>
      </c>
      <c r="L217" vm="2078">
        <f ca="1"/>
        <v>643.29999999999995</v>
      </c>
      <c r="M217">
        <f t="shared" ca="1" si="35"/>
        <v>-2.1758050478692657E-4</v>
      </c>
      <c r="N217" vm="2078">
        <f ca="1"/>
        <v>643.29999999999995</v>
      </c>
      <c r="O217">
        <f t="shared" ca="1" si="36"/>
        <v>-2.1758050478692657E-4</v>
      </c>
      <c r="P217" vm="2079">
        <f ca="1"/>
        <v>306.95</v>
      </c>
      <c r="Q217">
        <f t="shared" ca="1" si="37"/>
        <v>-1.5613310347071469E-3</v>
      </c>
      <c r="R217" vm="2080">
        <f ca="1"/>
        <v>73.17</v>
      </c>
      <c r="S217">
        <f t="shared" ca="1" si="38"/>
        <v>5.082417582417645E-3</v>
      </c>
      <c r="T217" vm="2081">
        <f ca="1"/>
        <v>95.14</v>
      </c>
      <c r="U217">
        <f t="shared" ca="1" si="39"/>
        <v>-9.4508033182824115E-4</v>
      </c>
    </row>
    <row r="218" spans="1:21" x14ac:dyDescent="0.2">
      <c r="A218" vm="2082">
        <f ca="1"/>
        <v>45888</v>
      </c>
      <c r="B218" vm="2083">
        <f ca="1"/>
        <v>230.56</v>
      </c>
      <c r="C218">
        <f t="shared" ca="1" si="30"/>
        <v>-1.429252024773633E-3</v>
      </c>
      <c r="D218" vm="2084">
        <f ca="1"/>
        <v>175.64</v>
      </c>
      <c r="E218">
        <f t="shared" ca="1" si="31"/>
        <v>-3.4998077028734711E-2</v>
      </c>
      <c r="F218" vm="2085">
        <f ca="1"/>
        <v>509.77</v>
      </c>
      <c r="G218">
        <f t="shared" ca="1" si="32"/>
        <v>-1.4175207890156721E-2</v>
      </c>
      <c r="H218" vm="2086">
        <f ca="1"/>
        <v>751.48</v>
      </c>
      <c r="I218">
        <f t="shared" ca="1" si="33"/>
        <v>-2.0707090451802895E-2</v>
      </c>
      <c r="J218" vm="2087">
        <f ca="1"/>
        <v>201.57</v>
      </c>
      <c r="K218">
        <f t="shared" ca="1" si="34"/>
        <v>-9.4840294840295176E-3</v>
      </c>
      <c r="L218" vm="2088">
        <f ca="1"/>
        <v>639.80999999999995</v>
      </c>
      <c r="M218">
        <f t="shared" ca="1" si="35"/>
        <v>-5.4251515622571259E-3</v>
      </c>
      <c r="N218" vm="2088">
        <f ca="1"/>
        <v>639.80999999999995</v>
      </c>
      <c r="O218">
        <f t="shared" ca="1" si="36"/>
        <v>-5.4251515622571259E-3</v>
      </c>
      <c r="P218" vm="2089">
        <f ca="1"/>
        <v>305.27</v>
      </c>
      <c r="Q218">
        <f t="shared" ca="1" si="37"/>
        <v>-5.4732041049031007E-3</v>
      </c>
      <c r="R218" vm="2090">
        <f ca="1"/>
        <v>72.3</v>
      </c>
      <c r="S218">
        <f t="shared" ca="1" si="38"/>
        <v>-1.1890118901189075E-2</v>
      </c>
      <c r="T218" vm="2025">
        <f ca="1"/>
        <v>95.38</v>
      </c>
      <c r="U218">
        <f t="shared" ca="1" si="39"/>
        <v>2.5225982762244574E-3</v>
      </c>
    </row>
    <row r="219" spans="1:21" x14ac:dyDescent="0.2">
      <c r="A219" vm="2091">
        <f ca="1"/>
        <v>45889</v>
      </c>
      <c r="B219" vm="2092">
        <f ca="1"/>
        <v>226.01</v>
      </c>
      <c r="C219">
        <f t="shared" ca="1" si="30"/>
        <v>-1.9734559333796024E-2</v>
      </c>
      <c r="D219" vm="2093">
        <f ca="1"/>
        <v>175.4</v>
      </c>
      <c r="E219">
        <f t="shared" ca="1" si="31"/>
        <v>-1.3664313368252146E-3</v>
      </c>
      <c r="F219" vm="2094">
        <f ca="1"/>
        <v>505.72</v>
      </c>
      <c r="G219">
        <f t="shared" ca="1" si="32"/>
        <v>-7.9447594012985352E-3</v>
      </c>
      <c r="H219" vm="2095">
        <f ca="1"/>
        <v>747.72</v>
      </c>
      <c r="I219">
        <f t="shared" ca="1" si="33"/>
        <v>-5.0034598392505337E-3</v>
      </c>
      <c r="J219" vm="2096">
        <f ca="1"/>
        <v>199.32</v>
      </c>
      <c r="K219">
        <f t="shared" ca="1" si="34"/>
        <v>-1.116237535347522E-2</v>
      </c>
      <c r="L219" vm="2097">
        <f ca="1"/>
        <v>638.11</v>
      </c>
      <c r="M219">
        <f t="shared" ca="1" si="35"/>
        <v>-2.6570388083961361E-3</v>
      </c>
      <c r="N219" vm="2097">
        <f ca="1"/>
        <v>638.11</v>
      </c>
      <c r="O219">
        <f t="shared" ca="1" si="36"/>
        <v>-2.6570388083961361E-3</v>
      </c>
      <c r="P219" vm="2098">
        <f ca="1"/>
        <v>308.36</v>
      </c>
      <c r="Q219">
        <f t="shared" ca="1" si="37"/>
        <v>1.0122186916500252E-2</v>
      </c>
      <c r="R219" vm="2099">
        <f ca="1"/>
        <v>73.52</v>
      </c>
      <c r="S219">
        <f t="shared" ca="1" si="38"/>
        <v>1.6874135546334702E-2</v>
      </c>
      <c r="T219" vm="2100">
        <f ca="1"/>
        <v>95.52</v>
      </c>
      <c r="U219">
        <f t="shared" ca="1" si="39"/>
        <v>1.4678129586915556E-3</v>
      </c>
    </row>
    <row r="220" spans="1:21" x14ac:dyDescent="0.2">
      <c r="A220" vm="2101">
        <f ca="1"/>
        <v>45890</v>
      </c>
      <c r="B220" vm="2102">
        <f ca="1"/>
        <v>224.9</v>
      </c>
      <c r="C220">
        <f t="shared" ca="1" si="30"/>
        <v>-4.9112871111897053E-3</v>
      </c>
      <c r="D220" vm="2103">
        <f ca="1"/>
        <v>174.98</v>
      </c>
      <c r="E220">
        <f t="shared" ca="1" si="31"/>
        <v>-2.3945267958951875E-3</v>
      </c>
      <c r="F220" vm="2104">
        <f ca="1"/>
        <v>504.24</v>
      </c>
      <c r="G220">
        <f t="shared" ca="1" si="32"/>
        <v>-2.926520604286993E-3</v>
      </c>
      <c r="H220" vm="2105">
        <f ca="1"/>
        <v>739.1</v>
      </c>
      <c r="I220">
        <f t="shared" ca="1" si="33"/>
        <v>-1.1528379607339651E-2</v>
      </c>
      <c r="J220" vm="2106">
        <f ca="1"/>
        <v>199.75</v>
      </c>
      <c r="K220">
        <f t="shared" ca="1" si="34"/>
        <v>2.1573349387919269E-3</v>
      </c>
      <c r="L220" vm="2107">
        <f ca="1"/>
        <v>635.54999999999995</v>
      </c>
      <c r="M220">
        <f t="shared" ca="1" si="35"/>
        <v>-4.0118474871104655E-3</v>
      </c>
      <c r="N220" vm="2107">
        <f ca="1"/>
        <v>635.54999999999995</v>
      </c>
      <c r="O220">
        <f t="shared" ca="1" si="36"/>
        <v>-4.0118474871104655E-3</v>
      </c>
      <c r="P220" vm="2108">
        <f ca="1"/>
        <v>307.29000000000002</v>
      </c>
      <c r="Q220">
        <f t="shared" ca="1" si="37"/>
        <v>-3.4699701647424863E-3</v>
      </c>
      <c r="R220" vm="944">
        <f ca="1"/>
        <v>74.13</v>
      </c>
      <c r="S220">
        <f t="shared" ca="1" si="38"/>
        <v>8.2970620239390565E-3</v>
      </c>
      <c r="T220" vm="2109">
        <f ca="1"/>
        <v>95.24</v>
      </c>
      <c r="U220">
        <f t="shared" ca="1" si="39"/>
        <v>-2.931323283082089E-3</v>
      </c>
    </row>
    <row r="221" spans="1:21" x14ac:dyDescent="0.2">
      <c r="A221" vm="2110">
        <f ca="1"/>
        <v>45891</v>
      </c>
      <c r="B221" vm="2111">
        <f ca="1"/>
        <v>227.76</v>
      </c>
      <c r="C221">
        <f t="shared" ca="1" si="30"/>
        <v>1.2716763005780281E-2</v>
      </c>
      <c r="D221" vm="2112">
        <f ca="1"/>
        <v>177.99</v>
      </c>
      <c r="E221">
        <f t="shared" ca="1" si="31"/>
        <v>1.7201965938964565E-2</v>
      </c>
      <c r="F221" vm="2113">
        <f ca="1"/>
        <v>507.23</v>
      </c>
      <c r="G221">
        <f t="shared" ca="1" si="32"/>
        <v>5.9297160082500576E-3</v>
      </c>
      <c r="H221" vm="2114">
        <f ca="1"/>
        <v>754.79</v>
      </c>
      <c r="I221">
        <f t="shared" ca="1" si="33"/>
        <v>2.1228521174401219E-2</v>
      </c>
      <c r="J221" vm="2115">
        <f ca="1"/>
        <v>206.09</v>
      </c>
      <c r="K221">
        <f t="shared" ca="1" si="34"/>
        <v>3.1739674593241569E-2</v>
      </c>
      <c r="L221" vm="2116">
        <f ca="1"/>
        <v>645.30999999999995</v>
      </c>
      <c r="M221">
        <f t="shared" ca="1" si="35"/>
        <v>1.5356777594209727E-2</v>
      </c>
      <c r="N221" vm="2116">
        <f ca="1"/>
        <v>645.30999999999995</v>
      </c>
      <c r="O221">
        <f t="shared" ca="1" si="36"/>
        <v>1.5356777594209727E-2</v>
      </c>
      <c r="P221" vm="2117">
        <f ca="1"/>
        <v>310.58</v>
      </c>
      <c r="Q221">
        <f t="shared" ca="1" si="37"/>
        <v>1.070649874711173E-2</v>
      </c>
      <c r="R221" vm="2118">
        <f ca="1"/>
        <v>74.64</v>
      </c>
      <c r="S221">
        <f t="shared" ca="1" si="38"/>
        <v>6.8798057466613405E-3</v>
      </c>
      <c r="T221" vm="1767">
        <f ca="1"/>
        <v>95.77</v>
      </c>
      <c r="U221">
        <f t="shared" ca="1" si="39"/>
        <v>5.564888702225968E-3</v>
      </c>
    </row>
    <row r="222" spans="1:21" x14ac:dyDescent="0.2">
      <c r="A222" vm="2119">
        <f ca="1"/>
        <v>45894</v>
      </c>
      <c r="B222" vm="2120">
        <f ca="1"/>
        <v>227.16</v>
      </c>
      <c r="C222">
        <f t="shared" ca="1" si="30"/>
        <v>-2.6343519494204178E-3</v>
      </c>
      <c r="D222" vm="2121">
        <f ca="1"/>
        <v>179.81</v>
      </c>
      <c r="E222">
        <f t="shared" ca="1" si="31"/>
        <v>1.0225293555817704E-2</v>
      </c>
      <c r="F222" vm="2122">
        <f ca="1"/>
        <v>504.26</v>
      </c>
      <c r="G222">
        <f t="shared" ca="1" si="32"/>
        <v>-5.8553319007157052E-3</v>
      </c>
      <c r="H222" vm="2123">
        <f ca="1"/>
        <v>753.3</v>
      </c>
      <c r="I222">
        <f t="shared" ca="1" si="33"/>
        <v>-1.9740590097908151E-3</v>
      </c>
      <c r="J222" vm="2124">
        <f ca="1"/>
        <v>208.49</v>
      </c>
      <c r="K222">
        <f t="shared" ca="1" si="34"/>
        <v>1.1645397641807005E-2</v>
      </c>
      <c r="L222" vm="2125">
        <f ca="1"/>
        <v>642.47</v>
      </c>
      <c r="M222">
        <f t="shared" ca="1" si="35"/>
        <v>-4.4009855728253371E-3</v>
      </c>
      <c r="N222" vm="2125">
        <f ca="1"/>
        <v>642.47</v>
      </c>
      <c r="O222">
        <f t="shared" ca="1" si="36"/>
        <v>-4.4009855728253371E-3</v>
      </c>
      <c r="P222" vm="2126">
        <f ca="1"/>
        <v>309.83</v>
      </c>
      <c r="Q222">
        <f t="shared" ca="1" si="37"/>
        <v>-2.4148367570352245E-3</v>
      </c>
      <c r="R222" vm="2127">
        <f ca="1"/>
        <v>75.75</v>
      </c>
      <c r="S222">
        <f t="shared" ca="1" si="38"/>
        <v>1.487138263665594E-2</v>
      </c>
      <c r="T222" vm="2128">
        <f ca="1"/>
        <v>95.58</v>
      </c>
      <c r="U222">
        <f t="shared" ca="1" si="39"/>
        <v>-1.9839198078730053E-3</v>
      </c>
    </row>
    <row r="223" spans="1:21" x14ac:dyDescent="0.2">
      <c r="A223" vm="2129">
        <f ca="1"/>
        <v>45895</v>
      </c>
      <c r="B223" vm="2130">
        <f ca="1"/>
        <v>229.31</v>
      </c>
      <c r="C223">
        <f t="shared" ca="1" si="30"/>
        <v>9.4646944884663048E-3</v>
      </c>
      <c r="D223" vm="2131">
        <f ca="1"/>
        <v>181.77</v>
      </c>
      <c r="E223">
        <f t="shared" ca="1" si="31"/>
        <v>1.0900394861242467E-2</v>
      </c>
      <c r="F223" vm="2132">
        <f ca="1"/>
        <v>502.04</v>
      </c>
      <c r="G223">
        <f t="shared" ca="1" si="32"/>
        <v>-4.4024907785665543E-3</v>
      </c>
      <c r="H223" vm="2133">
        <f ca="1"/>
        <v>754.1</v>
      </c>
      <c r="I223">
        <f t="shared" ca="1" si="33"/>
        <v>1.0619938935352029E-3</v>
      </c>
      <c r="J223" vm="2134">
        <f ca="1"/>
        <v>207.14</v>
      </c>
      <c r="K223">
        <f t="shared" ca="1" si="34"/>
        <v>-6.4751307017124208E-3</v>
      </c>
      <c r="L223" vm="2135">
        <f ca="1"/>
        <v>645.16</v>
      </c>
      <c r="M223">
        <f t="shared" ca="1" si="35"/>
        <v>4.1869659283701038E-3</v>
      </c>
      <c r="N223" vm="2135">
        <f ca="1"/>
        <v>645.16</v>
      </c>
      <c r="O223">
        <f t="shared" ca="1" si="36"/>
        <v>4.1869659283701038E-3</v>
      </c>
      <c r="P223" vm="2136">
        <f ca="1"/>
        <v>312.08</v>
      </c>
      <c r="Q223">
        <f t="shared" ca="1" si="37"/>
        <v>7.2620469289610438E-3</v>
      </c>
      <c r="R223" vm="2137">
        <f ca="1"/>
        <v>74.05</v>
      </c>
      <c r="S223">
        <f t="shared" ca="1" si="38"/>
        <v>-2.2442244224422481E-2</v>
      </c>
      <c r="T223" vm="45">
        <f ca="1"/>
        <v>95.83</v>
      </c>
      <c r="U223">
        <f t="shared" ca="1" si="39"/>
        <v>2.6156099602427287E-3</v>
      </c>
    </row>
    <row r="224" spans="1:21" x14ac:dyDescent="0.2">
      <c r="A224" vm="2138">
        <f ca="1"/>
        <v>45896</v>
      </c>
      <c r="B224" vm="2139">
        <f ca="1"/>
        <v>230.49</v>
      </c>
      <c r="C224">
        <f t="shared" ca="1" si="30"/>
        <v>5.1458723998081494E-3</v>
      </c>
      <c r="D224" vm="2140">
        <f ca="1"/>
        <v>181.6</v>
      </c>
      <c r="E224">
        <f t="shared" ca="1" si="31"/>
        <v>-9.3524784067786711E-4</v>
      </c>
      <c r="F224" vm="2141">
        <f ca="1"/>
        <v>506.74</v>
      </c>
      <c r="G224">
        <f t="shared" ca="1" si="32"/>
        <v>9.3618038403314244E-3</v>
      </c>
      <c r="H224" vm="2142">
        <f ca="1"/>
        <v>747.38</v>
      </c>
      <c r="I224">
        <f t="shared" ca="1" si="33"/>
        <v>-8.9112849754674813E-3</v>
      </c>
      <c r="J224" vm="2143">
        <f ca="1"/>
        <v>207.48</v>
      </c>
      <c r="K224">
        <f t="shared" ca="1" si="34"/>
        <v>1.6414019503717459E-3</v>
      </c>
      <c r="L224" vm="2144">
        <f ca="1"/>
        <v>646.63</v>
      </c>
      <c r="M224">
        <f t="shared" ca="1" si="35"/>
        <v>2.2785045570091565E-3</v>
      </c>
      <c r="N224" vm="2144">
        <f ca="1"/>
        <v>646.63</v>
      </c>
      <c r="O224">
        <f t="shared" ca="1" si="36"/>
        <v>2.2785045570091565E-3</v>
      </c>
      <c r="P224" vm="2145">
        <f ca="1"/>
        <v>312.70999999999998</v>
      </c>
      <c r="Q224">
        <f t="shared" ca="1" si="37"/>
        <v>2.018713150474223E-3</v>
      </c>
      <c r="R224" vm="2146">
        <f ca="1"/>
        <v>74.680000000000007</v>
      </c>
      <c r="S224">
        <f t="shared" ca="1" si="38"/>
        <v>8.5077650236328115E-3</v>
      </c>
      <c r="T224" vm="2147">
        <f ca="1"/>
        <v>96.01</v>
      </c>
      <c r="U224">
        <f t="shared" ca="1" si="39"/>
        <v>1.8783262026505982E-3</v>
      </c>
    </row>
    <row r="225" spans="1:21" x14ac:dyDescent="0.2">
      <c r="A225" vm="2148">
        <f ca="1"/>
        <v>45897</v>
      </c>
      <c r="B225" vm="2149">
        <f ca="1"/>
        <v>232.56</v>
      </c>
      <c r="C225">
        <f t="shared" ca="1" si="30"/>
        <v>8.9808668488871243E-3</v>
      </c>
      <c r="D225" vm="2150">
        <f ca="1"/>
        <v>180.17</v>
      </c>
      <c r="E225">
        <f t="shared" ca="1" si="31"/>
        <v>-7.8744493392070864E-3</v>
      </c>
      <c r="F225" vm="2151">
        <f ca="1"/>
        <v>509.64</v>
      </c>
      <c r="G225">
        <f t="shared" ca="1" si="32"/>
        <v>5.722855902435129E-3</v>
      </c>
      <c r="H225" vm="2152">
        <f ca="1"/>
        <v>751.11</v>
      </c>
      <c r="I225">
        <f t="shared" ca="1" si="33"/>
        <v>4.990767748668707E-3</v>
      </c>
      <c r="J225" vm="2153">
        <f ca="1"/>
        <v>211.64</v>
      </c>
      <c r="K225">
        <f t="shared" ca="1" si="34"/>
        <v>2.0050125313283193E-2</v>
      </c>
      <c r="L225" vm="2154">
        <f ca="1"/>
        <v>648.91999999999996</v>
      </c>
      <c r="M225">
        <f t="shared" ca="1" si="35"/>
        <v>3.5414379165828428E-3</v>
      </c>
      <c r="N225" vm="2154">
        <f ca="1"/>
        <v>648.91999999999996</v>
      </c>
      <c r="O225">
        <f t="shared" ca="1" si="36"/>
        <v>3.5414379165828428E-3</v>
      </c>
      <c r="P225" vm="2155">
        <f ca="1"/>
        <v>315.02999999999997</v>
      </c>
      <c r="Q225">
        <f t="shared" ca="1" si="37"/>
        <v>7.4190144223081874E-3</v>
      </c>
      <c r="R225" vm="2156">
        <f ca="1"/>
        <v>75.239999999999995</v>
      </c>
      <c r="S225">
        <f t="shared" ca="1" si="38"/>
        <v>7.4986609534010177E-3</v>
      </c>
      <c r="T225" vm="2157">
        <f ca="1"/>
        <v>96.23</v>
      </c>
      <c r="U225">
        <f t="shared" ca="1" si="39"/>
        <v>2.2914279762524616E-3</v>
      </c>
    </row>
    <row r="226" spans="1:21" x14ac:dyDescent="0.2">
      <c r="A226" vm="2158">
        <f ca="1"/>
        <v>45898</v>
      </c>
      <c r="B226" vm="2159">
        <f ca="1"/>
        <v>232.14</v>
      </c>
      <c r="C226">
        <f t="shared" ca="1" si="30"/>
        <v>-1.8059855521156516E-3</v>
      </c>
      <c r="D226" vm="2160">
        <f ca="1"/>
        <v>174.18</v>
      </c>
      <c r="E226">
        <f t="shared" ca="1" si="31"/>
        <v>-3.3246378420380647E-2</v>
      </c>
      <c r="F226" vm="2161">
        <f ca="1"/>
        <v>506.69</v>
      </c>
      <c r="G226">
        <f t="shared" ca="1" si="32"/>
        <v>-5.7883996546581676E-3</v>
      </c>
      <c r="H226" vm="2162">
        <f ca="1"/>
        <v>738.7</v>
      </c>
      <c r="I226">
        <f t="shared" ca="1" si="33"/>
        <v>-1.6522213790257045E-2</v>
      </c>
      <c r="J226" vm="2163">
        <f ca="1"/>
        <v>212.91</v>
      </c>
      <c r="K226">
        <f t="shared" ca="1" si="34"/>
        <v>6.0007560007560492E-3</v>
      </c>
      <c r="L226" vm="1569">
        <f ca="1"/>
        <v>645.04999999999995</v>
      </c>
      <c r="M226">
        <f t="shared" ca="1" si="35"/>
        <v>-5.9637551624237266E-3</v>
      </c>
      <c r="N226" vm="1569">
        <f ca="1"/>
        <v>645.04999999999995</v>
      </c>
      <c r="O226">
        <f t="shared" ca="1" si="36"/>
        <v>-5.9637551624237266E-3</v>
      </c>
      <c r="P226" vm="2164">
        <f ca="1"/>
        <v>318.07</v>
      </c>
      <c r="Q226">
        <f t="shared" ca="1" si="37"/>
        <v>9.6498746151160858E-3</v>
      </c>
      <c r="R226" vm="2165">
        <f ca="1"/>
        <v>74.84</v>
      </c>
      <c r="S226">
        <f t="shared" ca="1" si="38"/>
        <v>-5.3163211057946774E-3</v>
      </c>
      <c r="T226" vm="2166">
        <f ca="1"/>
        <v>96.15</v>
      </c>
      <c r="U226">
        <f t="shared" ca="1" si="39"/>
        <v>-8.3134157747062544E-4</v>
      </c>
    </row>
    <row r="227" spans="1:21" x14ac:dyDescent="0.2">
      <c r="A227" vm="2167">
        <f ca="1"/>
        <v>45902</v>
      </c>
      <c r="B227" vm="2168">
        <f ca="1"/>
        <v>229.72</v>
      </c>
      <c r="C227">
        <f t="shared" ca="1" si="30"/>
        <v>-1.0424743689153044E-2</v>
      </c>
      <c r="D227" vm="1905">
        <f ca="1"/>
        <v>170.78</v>
      </c>
      <c r="E227">
        <f t="shared" ca="1" si="31"/>
        <v>-1.9520036743598607E-2</v>
      </c>
      <c r="F227" vm="2169">
        <f ca="1"/>
        <v>505.12</v>
      </c>
      <c r="G227">
        <f t="shared" ca="1" si="32"/>
        <v>-3.0985415145355012E-3</v>
      </c>
      <c r="H227" vm="2170">
        <f ca="1"/>
        <v>735.11</v>
      </c>
      <c r="I227">
        <f t="shared" ca="1" si="33"/>
        <v>-4.8598889941790062E-3</v>
      </c>
      <c r="J227" vm="2171">
        <f ca="1"/>
        <v>211.35</v>
      </c>
      <c r="K227">
        <f t="shared" ca="1" si="34"/>
        <v>-7.3270395941947408E-3</v>
      </c>
      <c r="L227" vm="2172">
        <f ca="1"/>
        <v>640.27</v>
      </c>
      <c r="M227">
        <f t="shared" ca="1" si="35"/>
        <v>-7.4102782730020508E-3</v>
      </c>
      <c r="N227" vm="2172">
        <f ca="1"/>
        <v>640.27</v>
      </c>
      <c r="O227">
        <f t="shared" ca="1" si="36"/>
        <v>-7.4102782730020508E-3</v>
      </c>
      <c r="P227" vm="2173">
        <f ca="1"/>
        <v>325.58999999999997</v>
      </c>
      <c r="Q227">
        <f t="shared" ca="1" si="37"/>
        <v>2.3642594397459624E-2</v>
      </c>
      <c r="R227" vm="2174">
        <f ca="1"/>
        <v>76.760000000000005</v>
      </c>
      <c r="S227">
        <f t="shared" ca="1" si="38"/>
        <v>2.5654730090860525E-2</v>
      </c>
      <c r="T227" vm="2175">
        <f ca="1"/>
        <v>95.55</v>
      </c>
      <c r="U227">
        <f t="shared" ca="1" si="39"/>
        <v>-6.2402496099844881E-3</v>
      </c>
    </row>
    <row r="228" spans="1:21" x14ac:dyDescent="0.2">
      <c r="A228" vm="2176">
        <f ca="1"/>
        <v>45903</v>
      </c>
      <c r="B228" vm="2177">
        <f ca="1"/>
        <v>238.47</v>
      </c>
      <c r="C228">
        <f t="shared" ca="1" si="30"/>
        <v>3.8089848511231067E-2</v>
      </c>
      <c r="D228" vm="2178">
        <f ca="1"/>
        <v>170.62</v>
      </c>
      <c r="E228">
        <f t="shared" ca="1" si="31"/>
        <v>-9.3687785454969307E-4</v>
      </c>
      <c r="F228" vm="2179">
        <f ca="1"/>
        <v>505.35</v>
      </c>
      <c r="G228">
        <f t="shared" ca="1" si="32"/>
        <v>4.5533734558128402E-4</v>
      </c>
      <c r="H228" vm="2180">
        <f ca="1"/>
        <v>737.05</v>
      </c>
      <c r="I228">
        <f t="shared" ca="1" si="33"/>
        <v>2.6390608208294551E-3</v>
      </c>
      <c r="J228" vm="2181">
        <f ca="1"/>
        <v>230.66</v>
      </c>
      <c r="K228">
        <f t="shared" ca="1" si="34"/>
        <v>9.1365034303288392E-2</v>
      </c>
      <c r="L228" vm="2182">
        <f ca="1"/>
        <v>643.74</v>
      </c>
      <c r="M228">
        <f t="shared" ca="1" si="35"/>
        <v>5.419588611054754E-3</v>
      </c>
      <c r="N228" vm="2182">
        <f ca="1"/>
        <v>643.74</v>
      </c>
      <c r="O228">
        <f t="shared" ca="1" si="36"/>
        <v>5.419588611054754E-3</v>
      </c>
      <c r="P228" vm="2183">
        <f ca="1"/>
        <v>328.14</v>
      </c>
      <c r="Q228">
        <f t="shared" ca="1" si="37"/>
        <v>7.8319358702663208E-3</v>
      </c>
      <c r="R228" vm="2184">
        <f ca="1"/>
        <v>74.83</v>
      </c>
      <c r="S228">
        <f t="shared" ca="1" si="38"/>
        <v>-2.5143303804064703E-2</v>
      </c>
      <c r="T228" vm="2185">
        <f ca="1"/>
        <v>95.88</v>
      </c>
      <c r="U228">
        <f t="shared" ca="1" si="39"/>
        <v>3.4536891679748647E-3</v>
      </c>
    </row>
    <row r="229" spans="1:21" x14ac:dyDescent="0.2">
      <c r="A229" vm="2186">
        <f ca="1"/>
        <v>45904</v>
      </c>
      <c r="B229" vm="2187">
        <f ca="1"/>
        <v>239.78</v>
      </c>
      <c r="C229">
        <f t="shared" ca="1" si="30"/>
        <v>5.4933534616513702E-3</v>
      </c>
      <c r="D229" vm="2188">
        <f ca="1"/>
        <v>171.66</v>
      </c>
      <c r="E229">
        <f t="shared" ca="1" si="31"/>
        <v>6.0954167155081E-3</v>
      </c>
      <c r="F229" vm="2189">
        <f ca="1"/>
        <v>507.97</v>
      </c>
      <c r="G229">
        <f t="shared" ca="1" si="32"/>
        <v>5.184525576333243E-3</v>
      </c>
      <c r="H229" vm="2190">
        <f ca="1"/>
        <v>748.65</v>
      </c>
      <c r="I229">
        <f t="shared" ca="1" si="33"/>
        <v>1.573841666101353E-2</v>
      </c>
      <c r="J229" vm="2191">
        <f ca="1"/>
        <v>232.3</v>
      </c>
      <c r="K229">
        <f t="shared" ca="1" si="34"/>
        <v>7.110032081852141E-3</v>
      </c>
      <c r="L229" vm="2192">
        <f ca="1"/>
        <v>649.12</v>
      </c>
      <c r="M229">
        <f t="shared" ca="1" si="35"/>
        <v>8.3574113772641057E-3</v>
      </c>
      <c r="N229" vm="2192">
        <f ca="1"/>
        <v>649.12</v>
      </c>
      <c r="O229">
        <f t="shared" ca="1" si="36"/>
        <v>8.3574113772641057E-3</v>
      </c>
      <c r="P229" vm="2193">
        <f ca="1"/>
        <v>326.69</v>
      </c>
      <c r="Q229">
        <f t="shared" ca="1" si="37"/>
        <v>-4.4188456146766275E-3</v>
      </c>
      <c r="R229" vm="2194">
        <f ca="1"/>
        <v>74.180000000000007</v>
      </c>
      <c r="S229">
        <f t="shared" ca="1" si="38"/>
        <v>-8.6863557396764865E-3</v>
      </c>
      <c r="T229" vm="2195">
        <f ca="1"/>
        <v>96.31</v>
      </c>
      <c r="U229">
        <f t="shared" ca="1" si="39"/>
        <v>4.4847726324573093E-3</v>
      </c>
    </row>
    <row r="230" spans="1:21" x14ac:dyDescent="0.2">
      <c r="A230" vm="2196">
        <f ca="1"/>
        <v>45905</v>
      </c>
      <c r="B230" vm="2197">
        <f ca="1"/>
        <v>239.69</v>
      </c>
      <c r="C230">
        <f t="shared" ca="1" si="30"/>
        <v>-3.7534406539329137E-4</v>
      </c>
      <c r="D230" vm="2198">
        <f ca="1"/>
        <v>167.02</v>
      </c>
      <c r="E230">
        <f t="shared" ca="1" si="31"/>
        <v>-2.7030175929162219E-2</v>
      </c>
      <c r="F230" vm="2199">
        <f ca="1"/>
        <v>495</v>
      </c>
      <c r="G230">
        <f t="shared" ca="1" si="32"/>
        <v>-2.5533003917554239E-2</v>
      </c>
      <c r="H230" vm="2200">
        <f ca="1"/>
        <v>752.45</v>
      </c>
      <c r="I230">
        <f t="shared" ca="1" si="33"/>
        <v>5.0758031122688421E-3</v>
      </c>
      <c r="J230" vm="96">
        <f ca="1"/>
        <v>235</v>
      </c>
      <c r="K230">
        <f t="shared" ca="1" si="34"/>
        <v>1.162290142057679E-2</v>
      </c>
      <c r="L230" vm="2201">
        <f ca="1"/>
        <v>647.24</v>
      </c>
      <c r="M230">
        <f t="shared" ca="1" si="35"/>
        <v>-2.8962287404486003E-3</v>
      </c>
      <c r="N230" vm="2201">
        <f ca="1"/>
        <v>647.24</v>
      </c>
      <c r="O230">
        <f t="shared" ca="1" si="36"/>
        <v>-2.8962287404486003E-3</v>
      </c>
      <c r="P230" vm="2202">
        <f ca="1"/>
        <v>331.05</v>
      </c>
      <c r="Q230">
        <f t="shared" ca="1" si="37"/>
        <v>1.3345985490832329E-2</v>
      </c>
      <c r="R230" vm="2203">
        <f ca="1"/>
        <v>72.63</v>
      </c>
      <c r="S230">
        <f t="shared" ca="1" si="38"/>
        <v>-2.0895119978430996E-2</v>
      </c>
      <c r="T230" vm="2204">
        <f ca="1"/>
        <v>96.78</v>
      </c>
      <c r="U230">
        <f t="shared" ca="1" si="39"/>
        <v>4.8800747585920345E-3</v>
      </c>
    </row>
    <row r="231" spans="1:21" x14ac:dyDescent="0.2">
      <c r="A231" vm="2205">
        <f ca="1"/>
        <v>45908</v>
      </c>
      <c r="B231" vm="2206">
        <f ca="1"/>
        <v>237.88</v>
      </c>
      <c r="C231">
        <f t="shared" ca="1" si="30"/>
        <v>-7.5514205849222006E-3</v>
      </c>
      <c r="D231" vm="2207">
        <f ca="1"/>
        <v>168.31</v>
      </c>
      <c r="E231">
        <f t="shared" ca="1" si="31"/>
        <v>7.7236259130642557E-3</v>
      </c>
      <c r="F231" vm="2208">
        <f ca="1"/>
        <v>498.2</v>
      </c>
      <c r="G231">
        <f t="shared" ca="1" si="32"/>
        <v>6.4646464646464421E-3</v>
      </c>
      <c r="H231" vm="2209">
        <f ca="1"/>
        <v>752.3</v>
      </c>
      <c r="I231">
        <f t="shared" ca="1" si="33"/>
        <v>-1.9934879393991752E-4</v>
      </c>
      <c r="J231" vm="2210">
        <f ca="1"/>
        <v>234.04</v>
      </c>
      <c r="K231">
        <f t="shared" ca="1" si="34"/>
        <v>-4.085106382978757E-3</v>
      </c>
      <c r="L231" vm="2211">
        <f ca="1"/>
        <v>648.83000000000004</v>
      </c>
      <c r="M231">
        <f t="shared" ca="1" si="35"/>
        <v>2.4565848835053951E-3</v>
      </c>
      <c r="N231" vm="2211">
        <f ca="1"/>
        <v>648.83000000000004</v>
      </c>
      <c r="O231">
        <f t="shared" ca="1" si="36"/>
        <v>2.4565848835053951E-3</v>
      </c>
      <c r="P231" vm="2212">
        <f ca="1"/>
        <v>334.82</v>
      </c>
      <c r="Q231">
        <f t="shared" ca="1" si="37"/>
        <v>1.1388007853798465E-2</v>
      </c>
      <c r="R231" vm="408">
        <f ca="1"/>
        <v>73.040000000000006</v>
      </c>
      <c r="S231">
        <f t="shared" ca="1" si="38"/>
        <v>5.6450502547158313E-3</v>
      </c>
      <c r="T231" vm="2213">
        <f ca="1"/>
        <v>97.08</v>
      </c>
      <c r="U231">
        <f t="shared" ca="1" si="39"/>
        <v>3.0998140111593011E-3</v>
      </c>
    </row>
    <row r="232" spans="1:21" x14ac:dyDescent="0.2">
      <c r="A232" vm="2214">
        <f ca="1"/>
        <v>45909</v>
      </c>
      <c r="B232" vm="2215">
        <f ca="1"/>
        <v>234.35</v>
      </c>
      <c r="C232">
        <f t="shared" ca="1" si="30"/>
        <v>-1.4839414831007236E-2</v>
      </c>
      <c r="D232" vm="2216">
        <f ca="1"/>
        <v>170.76</v>
      </c>
      <c r="E232">
        <f t="shared" ca="1" si="31"/>
        <v>1.4556473174499368E-2</v>
      </c>
      <c r="F232" vm="2217">
        <f ca="1"/>
        <v>498.41</v>
      </c>
      <c r="G232">
        <f t="shared" ca="1" si="32"/>
        <v>4.215174628663918E-4</v>
      </c>
      <c r="H232" vm="2218">
        <f ca="1"/>
        <v>765.7</v>
      </c>
      <c r="I232">
        <f t="shared" ca="1" si="33"/>
        <v>1.7812043067925151E-2</v>
      </c>
      <c r="J232" vm="2219">
        <f ca="1"/>
        <v>239.63</v>
      </c>
      <c r="K232">
        <f t="shared" ca="1" si="34"/>
        <v>2.3884806016065647E-2</v>
      </c>
      <c r="L232" vm="2220">
        <f ca="1"/>
        <v>650.33000000000004</v>
      </c>
      <c r="M232">
        <f t="shared" ca="1" si="35"/>
        <v>2.3118536442519612E-3</v>
      </c>
      <c r="N232" vm="2220">
        <f ca="1"/>
        <v>650.33000000000004</v>
      </c>
      <c r="O232">
        <f t="shared" ca="1" si="36"/>
        <v>2.3118536442519612E-3</v>
      </c>
      <c r="P232" vm="2221">
        <f ca="1"/>
        <v>334.06</v>
      </c>
      <c r="Q232">
        <f t="shared" ca="1" si="37"/>
        <v>-2.269876351472406E-3</v>
      </c>
      <c r="R232" vm="2222">
        <f ca="1"/>
        <v>73.39</v>
      </c>
      <c r="S232">
        <f t="shared" ca="1" si="38"/>
        <v>4.7918948521357375E-3</v>
      </c>
      <c r="T232" vm="2223">
        <f ca="1"/>
        <v>96.85</v>
      </c>
      <c r="U232">
        <f t="shared" ca="1" si="39"/>
        <v>-2.3691800576844252E-3</v>
      </c>
    </row>
    <row r="233" spans="1:21" x14ac:dyDescent="0.2">
      <c r="A233" vm="2224">
        <f ca="1"/>
        <v>45910</v>
      </c>
      <c r="B233" vm="2225">
        <f ca="1"/>
        <v>226.79</v>
      </c>
      <c r="C233">
        <f t="shared" ca="1" si="30"/>
        <v>-3.2259441007040764E-2</v>
      </c>
      <c r="D233" vm="2226">
        <f ca="1"/>
        <v>177.33</v>
      </c>
      <c r="E233">
        <f t="shared" ca="1" si="31"/>
        <v>3.8475052705551779E-2</v>
      </c>
      <c r="F233" vm="2227">
        <f ca="1"/>
        <v>500.37</v>
      </c>
      <c r="G233">
        <f t="shared" ca="1" si="32"/>
        <v>3.9325053670672327E-3</v>
      </c>
      <c r="H233" vm="2228">
        <f ca="1"/>
        <v>751.98</v>
      </c>
      <c r="I233">
        <f t="shared" ca="1" si="33"/>
        <v>-1.7918244743372114E-2</v>
      </c>
      <c r="J233" vm="2229">
        <f ca="1"/>
        <v>239.17</v>
      </c>
      <c r="K233">
        <f t="shared" ca="1" si="34"/>
        <v>-1.9196260902224595E-3</v>
      </c>
      <c r="L233" vm="2230">
        <f ca="1"/>
        <v>652.21</v>
      </c>
      <c r="M233">
        <f t="shared" ca="1" si="35"/>
        <v>2.8908400350591166E-3</v>
      </c>
      <c r="N233" vm="2230">
        <f ca="1"/>
        <v>652.21</v>
      </c>
      <c r="O233">
        <f t="shared" ca="1" si="36"/>
        <v>2.8908400350591166E-3</v>
      </c>
      <c r="P233" vm="2231">
        <f ca="1"/>
        <v>335.26</v>
      </c>
      <c r="Q233">
        <f t="shared" ca="1" si="37"/>
        <v>3.5921690714242611E-3</v>
      </c>
      <c r="R233" vm="2232">
        <f ca="1"/>
        <v>74.709999999999994</v>
      </c>
      <c r="S233">
        <f t="shared" ca="1" si="38"/>
        <v>1.798610164872589E-2</v>
      </c>
      <c r="T233" vm="2233">
        <f ca="1"/>
        <v>97.11</v>
      </c>
      <c r="U233">
        <f t="shared" ca="1" si="39"/>
        <v>2.6845637583893145E-3</v>
      </c>
    </row>
    <row r="234" spans="1:21" x14ac:dyDescent="0.2">
      <c r="A234" vm="2234">
        <f ca="1"/>
        <v>45911</v>
      </c>
      <c r="B234" vm="2235">
        <f ca="1"/>
        <v>230.03</v>
      </c>
      <c r="C234">
        <f t="shared" ca="1" si="30"/>
        <v>1.4286344195070371E-2</v>
      </c>
      <c r="D234" vm="2236">
        <f ca="1"/>
        <v>177.17</v>
      </c>
      <c r="E234">
        <f t="shared" ca="1" si="31"/>
        <v>-9.0227259910914681E-4</v>
      </c>
      <c r="F234" vm="2237">
        <f ca="1"/>
        <v>501.01</v>
      </c>
      <c r="G234">
        <f t="shared" ca="1" si="32"/>
        <v>1.2790535004096695E-3</v>
      </c>
      <c r="H234" vm="2238">
        <f ca="1"/>
        <v>750.9</v>
      </c>
      <c r="I234">
        <f t="shared" ca="1" si="33"/>
        <v>-1.4362084097981874E-3</v>
      </c>
      <c r="J234" vm="2239">
        <f ca="1"/>
        <v>240.37</v>
      </c>
      <c r="K234">
        <f t="shared" ca="1" si="34"/>
        <v>5.0173516745411926E-3</v>
      </c>
      <c r="L234" vm="2240">
        <f ca="1"/>
        <v>657.63</v>
      </c>
      <c r="M234">
        <f t="shared" ca="1" si="35"/>
        <v>8.3102068352217204E-3</v>
      </c>
      <c r="N234" vm="2240">
        <f ca="1"/>
        <v>657.63</v>
      </c>
      <c r="O234">
        <f t="shared" ca="1" si="36"/>
        <v>8.3102068352217204E-3</v>
      </c>
      <c r="P234" vm="2241">
        <f ca="1"/>
        <v>334.76</v>
      </c>
      <c r="Q234">
        <f t="shared" ca="1" si="37"/>
        <v>-1.4913798246137327E-3</v>
      </c>
      <c r="R234" vm="1729">
        <f ca="1"/>
        <v>73</v>
      </c>
      <c r="S234">
        <f t="shared" ca="1" si="38"/>
        <v>-2.2888502208539604E-2</v>
      </c>
      <c r="T234" vm="2242">
        <f ca="1"/>
        <v>97.26</v>
      </c>
      <c r="U234">
        <f t="shared" ca="1" si="39"/>
        <v>1.5446400988570249E-3</v>
      </c>
    </row>
    <row r="235" spans="1:21" x14ac:dyDescent="0.2">
      <c r="A235" vm="2243">
        <f ca="1"/>
        <v>45912</v>
      </c>
      <c r="B235" vm="2244">
        <f ca="1"/>
        <v>234.07</v>
      </c>
      <c r="C235">
        <f t="shared" ca="1" si="30"/>
        <v>1.7562926574794559E-2</v>
      </c>
      <c r="D235" vm="2245">
        <f ca="1"/>
        <v>177.82</v>
      </c>
      <c r="E235">
        <f t="shared" ca="1" si="31"/>
        <v>3.6687926849918481E-3</v>
      </c>
      <c r="F235" vm="2246">
        <f ca="1"/>
        <v>509.9</v>
      </c>
      <c r="G235">
        <f t="shared" ca="1" si="32"/>
        <v>1.7744156803257392E-2</v>
      </c>
      <c r="H235" vm="2247">
        <f ca="1"/>
        <v>755.59</v>
      </c>
      <c r="I235">
        <f t="shared" ca="1" si="33"/>
        <v>6.2458383273405974E-3</v>
      </c>
      <c r="J235" vm="2248">
        <f ca="1"/>
        <v>240.8</v>
      </c>
      <c r="K235">
        <f t="shared" ca="1" si="34"/>
        <v>1.7889087656529801E-3</v>
      </c>
      <c r="L235" vm="2249">
        <f ca="1"/>
        <v>657.41</v>
      </c>
      <c r="M235">
        <f t="shared" ca="1" si="35"/>
        <v>-3.3453461672981353E-4</v>
      </c>
      <c r="N235" vm="2249">
        <f ca="1"/>
        <v>657.41</v>
      </c>
      <c r="O235">
        <f t="shared" ca="1" si="36"/>
        <v>-3.3453461672981353E-4</v>
      </c>
      <c r="P235" vm="2250">
        <f ca="1"/>
        <v>335.42</v>
      </c>
      <c r="Q235">
        <f t="shared" ca="1" si="37"/>
        <v>1.9715617158562104E-3</v>
      </c>
      <c r="R235" vm="993">
        <f ca="1"/>
        <v>73.31</v>
      </c>
      <c r="S235">
        <f t="shared" ca="1" si="38"/>
        <v>4.2465753424657847E-3</v>
      </c>
      <c r="T235" vm="2251">
        <f ca="1"/>
        <v>96.98</v>
      </c>
      <c r="U235">
        <f t="shared" ca="1" si="39"/>
        <v>-2.8788813489615578E-3</v>
      </c>
    </row>
    <row r="236" spans="1:21" x14ac:dyDescent="0.2">
      <c r="A236" vm="2252">
        <f ca="1"/>
        <v>45915</v>
      </c>
      <c r="B236" vm="2253">
        <f ca="1"/>
        <v>236.7</v>
      </c>
      <c r="C236">
        <f t="shared" ca="1" si="30"/>
        <v>1.1235955056179756E-2</v>
      </c>
      <c r="D236" vm="2254">
        <f ca="1"/>
        <v>177.75</v>
      </c>
      <c r="E236">
        <f t="shared" ca="1" si="31"/>
        <v>-3.9365650657964898E-4</v>
      </c>
      <c r="F236" vm="2255">
        <f ca="1"/>
        <v>515.36</v>
      </c>
      <c r="G236">
        <f t="shared" ca="1" si="32"/>
        <v>1.0707981957246591E-2</v>
      </c>
      <c r="H236" vm="2256">
        <f ca="1"/>
        <v>764.7</v>
      </c>
      <c r="I236">
        <f t="shared" ca="1" si="33"/>
        <v>1.2056803292791081E-2</v>
      </c>
      <c r="J236" vm="2257">
        <f ca="1"/>
        <v>251.61</v>
      </c>
      <c r="K236">
        <f t="shared" ca="1" si="34"/>
        <v>4.4892026578073098E-2</v>
      </c>
      <c r="L236" vm="2258">
        <f ca="1"/>
        <v>660.91</v>
      </c>
      <c r="M236">
        <f t="shared" ca="1" si="35"/>
        <v>5.3239226662204712E-3</v>
      </c>
      <c r="N236" vm="2258">
        <f ca="1"/>
        <v>660.91</v>
      </c>
      <c r="O236">
        <f t="shared" ca="1" si="36"/>
        <v>5.3239226662204712E-3</v>
      </c>
      <c r="P236" vm="2259">
        <f ca="1"/>
        <v>338.91</v>
      </c>
      <c r="Q236">
        <f t="shared" ca="1" si="37"/>
        <v>1.0404865541708929E-2</v>
      </c>
      <c r="R236" vm="153">
        <f ca="1"/>
        <v>74.23</v>
      </c>
      <c r="S236">
        <f t="shared" ca="1" si="38"/>
        <v>1.2549447551493681E-2</v>
      </c>
      <c r="T236" vm="2260">
        <f ca="1"/>
        <v>97.14</v>
      </c>
      <c r="U236">
        <f t="shared" ca="1" si="39"/>
        <v>1.6498247061249389E-3</v>
      </c>
    </row>
    <row r="237" spans="1:21" x14ac:dyDescent="0.2">
      <c r="A237" vm="2261">
        <f ca="1"/>
        <v>45916</v>
      </c>
      <c r="B237" vm="2262">
        <f ca="1"/>
        <v>238.15</v>
      </c>
      <c r="C237">
        <f t="shared" ca="1" si="30"/>
        <v>6.1258977608788217E-3</v>
      </c>
      <c r="D237" vm="2263">
        <f ca="1"/>
        <v>174.88</v>
      </c>
      <c r="E237">
        <f t="shared" ca="1" si="31"/>
        <v>-1.6146272855133641E-2</v>
      </c>
      <c r="F237" vm="2264">
        <f ca="1"/>
        <v>509.04</v>
      </c>
      <c r="G237">
        <f t="shared" ca="1" si="32"/>
        <v>-1.2263272275690766E-2</v>
      </c>
      <c r="H237" vm="2265">
        <f ca="1"/>
        <v>779</v>
      </c>
      <c r="I237">
        <f t="shared" ca="1" si="33"/>
        <v>1.8700143847260303E-2</v>
      </c>
      <c r="J237" vm="2266">
        <f ca="1"/>
        <v>251.16</v>
      </c>
      <c r="K237">
        <f t="shared" ca="1" si="34"/>
        <v>-1.7884821747943922E-3</v>
      </c>
      <c r="L237" vm="2267">
        <f ca="1"/>
        <v>660</v>
      </c>
      <c r="M237">
        <f t="shared" ca="1" si="35"/>
        <v>-1.3768894403170904E-3</v>
      </c>
      <c r="N237" vm="2267">
        <f ca="1"/>
        <v>660</v>
      </c>
      <c r="O237">
        <f t="shared" ca="1" si="36"/>
        <v>-1.3768894403170904E-3</v>
      </c>
      <c r="P237" vm="2268">
        <f ca="1"/>
        <v>339.59</v>
      </c>
      <c r="Q237">
        <f t="shared" ca="1" si="37"/>
        <v>2.0064323861790738E-3</v>
      </c>
      <c r="R237" vm="2269">
        <f ca="1"/>
        <v>75.67</v>
      </c>
      <c r="S237">
        <f t="shared" ca="1" si="38"/>
        <v>1.9399164758183991E-2</v>
      </c>
      <c r="T237" vm="2270">
        <f ca="1"/>
        <v>97.2</v>
      </c>
      <c r="U237">
        <f t="shared" ca="1" si="39"/>
        <v>6.1766522544783064E-4</v>
      </c>
    </row>
    <row r="238" spans="1:21" x14ac:dyDescent="0.2">
      <c r="A238" vm="2271">
        <f ca="1"/>
        <v>45917</v>
      </c>
      <c r="B238" vm="2272">
        <f ca="1"/>
        <v>238.99</v>
      </c>
      <c r="C238">
        <f t="shared" ca="1" si="30"/>
        <v>3.5271887465882991E-3</v>
      </c>
      <c r="D238" vm="2273">
        <f ca="1"/>
        <v>170.29</v>
      </c>
      <c r="E238">
        <f t="shared" ca="1" si="31"/>
        <v>-2.6246569075937805E-2</v>
      </c>
      <c r="F238" vm="2274">
        <f ca="1"/>
        <v>510.02</v>
      </c>
      <c r="G238">
        <f t="shared" ca="1" si="32"/>
        <v>1.9251925192518492E-3</v>
      </c>
      <c r="H238" vm="2275">
        <f ca="1"/>
        <v>775.71500000000003</v>
      </c>
      <c r="I238">
        <f t="shared" ca="1" si="33"/>
        <v>-4.2169448010269169E-3</v>
      </c>
      <c r="J238" vm="2276">
        <f ca="1"/>
        <v>249.53</v>
      </c>
      <c r="K238">
        <f t="shared" ca="1" si="34"/>
        <v>-6.4898869246695157E-3</v>
      </c>
      <c r="L238" vm="2277">
        <f ca="1"/>
        <v>659.18</v>
      </c>
      <c r="M238">
        <f t="shared" ca="1" si="35"/>
        <v>-1.2424242424243183E-3</v>
      </c>
      <c r="N238" vm="2277">
        <f ca="1"/>
        <v>659.18</v>
      </c>
      <c r="O238">
        <f t="shared" ca="1" si="36"/>
        <v>-1.2424242424243183E-3</v>
      </c>
      <c r="P238" vm="2278">
        <f ca="1"/>
        <v>336.97</v>
      </c>
      <c r="Q238">
        <f t="shared" ca="1" si="37"/>
        <v>-7.7151859595392912E-3</v>
      </c>
      <c r="R238" vm="2279">
        <f ca="1"/>
        <v>74.97</v>
      </c>
      <c r="S238">
        <f t="shared" ca="1" si="38"/>
        <v>-9.2506938020351908E-3</v>
      </c>
      <c r="T238" vm="2280">
        <f ca="1"/>
        <v>96.99</v>
      </c>
      <c r="U238">
        <f t="shared" ca="1" si="39"/>
        <v>-2.1604938271605756E-3</v>
      </c>
    </row>
    <row r="239" spans="1:21" x14ac:dyDescent="0.2">
      <c r="A239" vm="2281">
        <f ca="1"/>
        <v>45918</v>
      </c>
      <c r="B239" vm="2206">
        <f ca="1"/>
        <v>237.88</v>
      </c>
      <c r="C239">
        <f t="shared" ca="1" si="30"/>
        <v>-4.6445457968953248E-3</v>
      </c>
      <c r="D239" vm="2282">
        <f ca="1"/>
        <v>176.24</v>
      </c>
      <c r="E239">
        <f t="shared" ca="1" si="31"/>
        <v>3.4940395795407933E-2</v>
      </c>
      <c r="F239" vm="2283">
        <f ca="1"/>
        <v>508.45</v>
      </c>
      <c r="G239">
        <f t="shared" ca="1" si="32"/>
        <v>-3.0783106544841248E-3</v>
      </c>
      <c r="H239" vm="2284">
        <f ca="1"/>
        <v>780.25</v>
      </c>
      <c r="I239">
        <f t="shared" ca="1" si="33"/>
        <v>5.8462192944573306E-3</v>
      </c>
      <c r="J239" vm="2285">
        <f ca="1"/>
        <v>252.03</v>
      </c>
      <c r="K239">
        <f t="shared" ca="1" si="34"/>
        <v>1.0018835410571875E-2</v>
      </c>
      <c r="L239" vm="2286">
        <f ca="1"/>
        <v>662.26</v>
      </c>
      <c r="M239">
        <f t="shared" ca="1" si="35"/>
        <v>4.6724718589763667E-3</v>
      </c>
      <c r="N239" vm="2286">
        <f ca="1"/>
        <v>662.26</v>
      </c>
      <c r="O239">
        <f t="shared" ca="1" si="36"/>
        <v>4.6724718589763667E-3</v>
      </c>
      <c r="P239" vm="2287">
        <f ca="1"/>
        <v>335.62</v>
      </c>
      <c r="Q239">
        <f t="shared" ca="1" si="37"/>
        <v>-4.0062913612488428E-3</v>
      </c>
      <c r="R239" vm="2288">
        <f ca="1"/>
        <v>74.69</v>
      </c>
      <c r="S239">
        <f t="shared" ca="1" si="38"/>
        <v>-3.7348272642390443E-3</v>
      </c>
      <c r="T239" vm="2289">
        <f ca="1"/>
        <v>96.67</v>
      </c>
      <c r="U239">
        <f t="shared" ca="1" si="39"/>
        <v>-3.299309207134686E-3</v>
      </c>
    </row>
    <row r="240" spans="1:21" x14ac:dyDescent="0.2">
      <c r="A240" vm="2290">
        <f ca="1"/>
        <v>45919</v>
      </c>
      <c r="B240" vm="2291">
        <f ca="1"/>
        <v>245.5</v>
      </c>
      <c r="C240">
        <f t="shared" ca="1" si="30"/>
        <v>3.2032957793845657E-2</v>
      </c>
      <c r="D240" vm="2292">
        <f ca="1"/>
        <v>176.67</v>
      </c>
      <c r="E240">
        <f t="shared" ca="1" si="31"/>
        <v>2.4398547435314252E-3</v>
      </c>
      <c r="F240" vm="2293">
        <f ca="1"/>
        <v>517.92999999999995</v>
      </c>
      <c r="G240">
        <f t="shared" ca="1" si="32"/>
        <v>1.8644901170223153E-2</v>
      </c>
      <c r="H240" vm="2294">
        <f ca="1"/>
        <v>778.38</v>
      </c>
      <c r="I240">
        <f t="shared" ca="1" si="33"/>
        <v>-2.3966677347004224E-3</v>
      </c>
      <c r="J240" vm="2295">
        <f ca="1"/>
        <v>254.72</v>
      </c>
      <c r="K240">
        <f t="shared" ca="1" si="34"/>
        <v>1.0673332539777002E-2</v>
      </c>
      <c r="L240" vm="2296">
        <f ca="1"/>
        <v>663.7</v>
      </c>
      <c r="M240">
        <f t="shared" ca="1" si="35"/>
        <v>2.174372602905286E-3</v>
      </c>
      <c r="N240" vm="2296">
        <f ca="1"/>
        <v>663.7</v>
      </c>
      <c r="O240">
        <f t="shared" ca="1" si="36"/>
        <v>2.174372602905286E-3</v>
      </c>
      <c r="P240" vm="2297">
        <f ca="1"/>
        <v>339.18</v>
      </c>
      <c r="Q240">
        <f t="shared" ca="1" si="37"/>
        <v>1.0607234372206668E-2</v>
      </c>
      <c r="R240" vm="2099">
        <f ca="1"/>
        <v>73.52</v>
      </c>
      <c r="S240">
        <f t="shared" ca="1" si="38"/>
        <v>-1.5664747623510535E-2</v>
      </c>
      <c r="T240" vm="2298">
        <f ca="1"/>
        <v>96.63</v>
      </c>
      <c r="U240">
        <f t="shared" ca="1" si="39"/>
        <v>-4.1377883521264357E-4</v>
      </c>
    </row>
    <row r="241" spans="1:21" x14ac:dyDescent="0.2">
      <c r="A241" vm="2299">
        <f ca="1"/>
        <v>45922</v>
      </c>
      <c r="B241" vm="2300">
        <f ca="1"/>
        <v>256.08</v>
      </c>
      <c r="C241">
        <f t="shared" ca="1" si="30"/>
        <v>4.3095723014256557E-2</v>
      </c>
      <c r="D241" vm="864">
        <f ca="1"/>
        <v>183.61</v>
      </c>
      <c r="E241">
        <f t="shared" ca="1" si="31"/>
        <v>3.9282277692873867E-2</v>
      </c>
      <c r="F241" vm="2301">
        <f ca="1"/>
        <v>514.45000000000005</v>
      </c>
      <c r="G241">
        <f t="shared" ca="1" si="32"/>
        <v>-6.719054698511198E-3</v>
      </c>
      <c r="H241" vm="2302">
        <f ca="1"/>
        <v>765.16</v>
      </c>
      <c r="I241">
        <f t="shared" ca="1" si="33"/>
        <v>-1.6983992394460325E-2</v>
      </c>
      <c r="J241" vm="2303">
        <f ca="1"/>
        <v>252.53</v>
      </c>
      <c r="K241">
        <f t="shared" ca="1" si="34"/>
        <v>-8.5976758793969762E-3</v>
      </c>
      <c r="L241" vm="2304">
        <f ca="1"/>
        <v>666.84</v>
      </c>
      <c r="M241">
        <f t="shared" ca="1" si="35"/>
        <v>4.731053186680708E-3</v>
      </c>
      <c r="N241" vm="2304">
        <f ca="1"/>
        <v>666.84</v>
      </c>
      <c r="O241">
        <f t="shared" ca="1" si="36"/>
        <v>4.731053186680708E-3</v>
      </c>
      <c r="P241" vm="2305">
        <f ca="1"/>
        <v>345.05</v>
      </c>
      <c r="Q241">
        <f t="shared" ca="1" si="37"/>
        <v>1.7306444955480879E-2</v>
      </c>
      <c r="R241" vm="2306">
        <f ca="1"/>
        <v>73.45</v>
      </c>
      <c r="S241">
        <f t="shared" ca="1" si="38"/>
        <v>-9.5212187159947207E-4</v>
      </c>
      <c r="T241" vm="2307">
        <f ca="1"/>
        <v>96.47</v>
      </c>
      <c r="U241">
        <f t="shared" ca="1" si="39"/>
        <v>-1.6558004760426016E-3</v>
      </c>
    </row>
    <row r="242" spans="1:21" x14ac:dyDescent="0.2">
      <c r="A242" vm="2308">
        <f ca="1"/>
        <v>45923</v>
      </c>
      <c r="B242" vm="718">
        <f ca="1"/>
        <v>254.43</v>
      </c>
      <c r="C242">
        <f t="shared" ca="1" si="30"/>
        <v>-6.4432989690720761E-3</v>
      </c>
      <c r="D242" vm="2309">
        <f ca="1"/>
        <v>178.43</v>
      </c>
      <c r="E242">
        <f t="shared" ca="1" si="31"/>
        <v>-2.8211971025543306E-2</v>
      </c>
      <c r="F242" vm="2310">
        <f ca="1"/>
        <v>509.23</v>
      </c>
      <c r="G242">
        <f t="shared" ca="1" si="32"/>
        <v>-1.0146758674312424E-2</v>
      </c>
      <c r="H242" vm="2311">
        <f ca="1"/>
        <v>755.4</v>
      </c>
      <c r="I242">
        <f t="shared" ca="1" si="33"/>
        <v>-1.2755502117204234E-2</v>
      </c>
      <c r="J242" vm="2312">
        <f ca="1"/>
        <v>251.66</v>
      </c>
      <c r="K242">
        <f t="shared" ca="1" si="34"/>
        <v>-3.4451352314576666E-3</v>
      </c>
      <c r="L242" vm="2313">
        <f ca="1"/>
        <v>663.21</v>
      </c>
      <c r="M242">
        <f t="shared" ca="1" si="35"/>
        <v>-5.4435846679863169E-3</v>
      </c>
      <c r="N242" vm="2313">
        <f ca="1"/>
        <v>663.21</v>
      </c>
      <c r="O242">
        <f t="shared" ca="1" si="36"/>
        <v>-5.4435846679863169E-3</v>
      </c>
      <c r="P242" vm="2314">
        <f ca="1"/>
        <v>346.46</v>
      </c>
      <c r="Q242">
        <f t="shared" ca="1" si="37"/>
        <v>4.086364295029613E-3</v>
      </c>
      <c r="R242" vm="1664">
        <f ca="1"/>
        <v>75.05</v>
      </c>
      <c r="S242">
        <f t="shared" ca="1" si="38"/>
        <v>2.1783526208304892E-2</v>
      </c>
      <c r="T242" vm="2315">
        <f ca="1"/>
        <v>96.74</v>
      </c>
      <c r="U242">
        <f t="shared" ca="1" si="39"/>
        <v>2.7987975536435785E-3</v>
      </c>
    </row>
    <row r="243" spans="1:21" x14ac:dyDescent="0.2">
      <c r="A243" vm="2316">
        <f ca="1"/>
        <v>45924</v>
      </c>
      <c r="B243" vm="2317">
        <f ca="1"/>
        <v>252.31</v>
      </c>
      <c r="C243">
        <f t="shared" ca="1" si="30"/>
        <v>-8.332350744802125E-3</v>
      </c>
      <c r="D243" vm="2318">
        <f ca="1"/>
        <v>176.97</v>
      </c>
      <c r="E243">
        <f t="shared" ca="1" si="31"/>
        <v>-8.1824805245755087E-3</v>
      </c>
      <c r="F243" vm="2319">
        <f ca="1"/>
        <v>510.15</v>
      </c>
      <c r="G243">
        <f t="shared" ca="1" si="32"/>
        <v>1.8066492547571019E-3</v>
      </c>
      <c r="H243" vm="2320">
        <f ca="1"/>
        <v>760.66</v>
      </c>
      <c r="I243">
        <f t="shared" ca="1" si="33"/>
        <v>6.9631983055334808E-3</v>
      </c>
      <c r="J243" vm="2321">
        <f ca="1"/>
        <v>247.14</v>
      </c>
      <c r="K243">
        <f t="shared" ca="1" si="34"/>
        <v>-1.7960740681872409E-2</v>
      </c>
      <c r="L243" vm="2322">
        <f ca="1"/>
        <v>661.1</v>
      </c>
      <c r="M243">
        <f t="shared" ca="1" si="35"/>
        <v>-3.1814960570558551E-3</v>
      </c>
      <c r="N243" vm="2322">
        <f ca="1"/>
        <v>661.1</v>
      </c>
      <c r="O243">
        <f t="shared" ca="1" si="36"/>
        <v>-3.1814960570558551E-3</v>
      </c>
      <c r="P243" vm="2323">
        <f ca="1"/>
        <v>343.32</v>
      </c>
      <c r="Q243">
        <f t="shared" ca="1" si="37"/>
        <v>-9.0630953068174865E-3</v>
      </c>
      <c r="R243" vm="877">
        <f ca="1"/>
        <v>76.39</v>
      </c>
      <c r="S243">
        <f t="shared" ca="1" si="38"/>
        <v>1.7854763491006041E-2</v>
      </c>
      <c r="T243" vm="2324">
        <f ca="1"/>
        <v>96.48</v>
      </c>
      <c r="U243">
        <f t="shared" ca="1" si="39"/>
        <v>-2.6876162910894246E-3</v>
      </c>
    </row>
    <row r="244" spans="1:21" x14ac:dyDescent="0.2">
      <c r="A244" vm="2325">
        <f ca="1"/>
        <v>45925</v>
      </c>
      <c r="B244" vm="2326">
        <f ca="1"/>
        <v>256.87</v>
      </c>
      <c r="C244">
        <f t="shared" ca="1" si="30"/>
        <v>1.8073005429828395E-2</v>
      </c>
      <c r="D244" vm="2327">
        <f ca="1"/>
        <v>177.69</v>
      </c>
      <c r="E244">
        <f t="shared" ca="1" si="31"/>
        <v>4.0684861840989935E-3</v>
      </c>
      <c r="F244" vm="2328">
        <f ca="1"/>
        <v>507.03</v>
      </c>
      <c r="G244">
        <f t="shared" ca="1" si="32"/>
        <v>-6.1158482799176803E-3</v>
      </c>
      <c r="H244" vm="2329">
        <f ca="1"/>
        <v>748.91</v>
      </c>
      <c r="I244">
        <f t="shared" ca="1" si="33"/>
        <v>-1.5447111718770543E-2</v>
      </c>
      <c r="J244" vm="2330">
        <f ca="1"/>
        <v>245.79</v>
      </c>
      <c r="K244">
        <f t="shared" ca="1" si="34"/>
        <v>-5.4624908958484843E-3</v>
      </c>
      <c r="L244" vm="2331">
        <f ca="1"/>
        <v>658.05</v>
      </c>
      <c r="M244">
        <f t="shared" ca="1" si="35"/>
        <v>-4.6135229163516379E-3</v>
      </c>
      <c r="N244" vm="2331">
        <f ca="1"/>
        <v>658.05</v>
      </c>
      <c r="O244">
        <f t="shared" ca="1" si="36"/>
        <v>-4.6135229163516379E-3</v>
      </c>
      <c r="P244" vm="2332">
        <f ca="1"/>
        <v>344.75</v>
      </c>
      <c r="Q244">
        <f t="shared" ca="1" si="37"/>
        <v>4.1652102994291238E-3</v>
      </c>
      <c r="R244" vm="2333">
        <f ca="1"/>
        <v>76.989999999999995</v>
      </c>
      <c r="S244">
        <f t="shared" ca="1" si="38"/>
        <v>7.85443120827326E-3</v>
      </c>
      <c r="T244" vm="2334">
        <f ca="1"/>
        <v>96.27</v>
      </c>
      <c r="U244">
        <f t="shared" ca="1" si="39"/>
        <v>-2.176616915422968E-3</v>
      </c>
    </row>
    <row r="245" spans="1:21" x14ac:dyDescent="0.2">
      <c r="A245" vm="2335">
        <f ca="1"/>
        <v>45926</v>
      </c>
      <c r="B245" vm="2336">
        <f ca="1"/>
        <v>255.46</v>
      </c>
      <c r="C245">
        <f t="shared" ca="1" si="30"/>
        <v>-5.4891579398139E-3</v>
      </c>
      <c r="D245" vm="2337">
        <f ca="1"/>
        <v>178.19</v>
      </c>
      <c r="E245">
        <f t="shared" ca="1" si="31"/>
        <v>2.8138893578704485E-3</v>
      </c>
      <c r="F245" vm="2338">
        <f ca="1"/>
        <v>511.46</v>
      </c>
      <c r="G245">
        <f t="shared" ca="1" si="32"/>
        <v>8.7371555923712735E-3</v>
      </c>
      <c r="H245" vm="2339">
        <f ca="1"/>
        <v>743.75</v>
      </c>
      <c r="I245">
        <f t="shared" ca="1" si="33"/>
        <v>-6.8900134862666653E-3</v>
      </c>
      <c r="J245" vm="2340">
        <f ca="1"/>
        <v>246.54</v>
      </c>
      <c r="K245">
        <f t="shared" ca="1" si="34"/>
        <v>3.0513853289393386E-3</v>
      </c>
      <c r="L245" vm="2341">
        <f ca="1"/>
        <v>661.82</v>
      </c>
      <c r="M245">
        <f t="shared" ca="1" si="35"/>
        <v>5.7290479446852E-3</v>
      </c>
      <c r="N245" vm="2341">
        <f ca="1"/>
        <v>661.82</v>
      </c>
      <c r="O245">
        <f t="shared" ca="1" si="36"/>
        <v>5.7290479446852E-3</v>
      </c>
      <c r="P245" vm="2342">
        <f ca="1"/>
        <v>346.74</v>
      </c>
      <c r="Q245">
        <f t="shared" ca="1" si="37"/>
        <v>5.7722987672226512E-3</v>
      </c>
      <c r="R245" vm="2343">
        <f ca="1"/>
        <v>77.02</v>
      </c>
      <c r="S245">
        <f t="shared" ca="1" si="38"/>
        <v>3.8966099493442186E-4</v>
      </c>
      <c r="T245" vm="2344">
        <f ca="1"/>
        <v>96.22</v>
      </c>
      <c r="U245">
        <f t="shared" ca="1" si="39"/>
        <v>-5.1937259790170518E-4</v>
      </c>
    </row>
    <row r="246" spans="1:21" x14ac:dyDescent="0.2">
      <c r="A246" vm="2345">
        <f ca="1"/>
        <v>45929</v>
      </c>
      <c r="B246" vm="718">
        <f ca="1"/>
        <v>254.43</v>
      </c>
      <c r="C246">
        <f t="shared" ca="1" si="30"/>
        <v>-4.0319423784545569E-3</v>
      </c>
      <c r="D246" vm="2346">
        <f ca="1"/>
        <v>181.85</v>
      </c>
      <c r="E246">
        <f t="shared" ca="1" si="31"/>
        <v>2.0539873169089156E-2</v>
      </c>
      <c r="F246" vm="2347">
        <f ca="1"/>
        <v>514.6</v>
      </c>
      <c r="G246">
        <f t="shared" ca="1" si="32"/>
        <v>6.1392875298166881E-3</v>
      </c>
      <c r="H246" vm="2348">
        <f ca="1"/>
        <v>743.4</v>
      </c>
      <c r="I246">
        <f t="shared" ca="1" si="33"/>
        <v>-4.7058823529414823E-4</v>
      </c>
      <c r="J246" vm="2349">
        <f ca="1"/>
        <v>244.05</v>
      </c>
      <c r="K246">
        <f t="shared" ca="1" si="34"/>
        <v>-1.0099780968605422E-2</v>
      </c>
      <c r="L246" vm="2350">
        <f ca="1"/>
        <v>663.68</v>
      </c>
      <c r="M246">
        <f t="shared" ca="1" si="35"/>
        <v>2.8104318394728172E-3</v>
      </c>
      <c r="N246" vm="2350">
        <f ca="1"/>
        <v>663.68</v>
      </c>
      <c r="O246">
        <f t="shared" ca="1" si="36"/>
        <v>2.8104318394728172E-3</v>
      </c>
      <c r="P246" vm="2351">
        <f ca="1"/>
        <v>352.46</v>
      </c>
      <c r="Q246">
        <f t="shared" ca="1" si="37"/>
        <v>1.6496510353578964E-2</v>
      </c>
      <c r="R246" vm="2352">
        <f ca="1"/>
        <v>74.59</v>
      </c>
      <c r="S246">
        <f t="shared" ca="1" si="38"/>
        <v>-3.155024668917155E-2</v>
      </c>
      <c r="T246" vm="2353">
        <f ca="1"/>
        <v>96.5</v>
      </c>
      <c r="U246">
        <f t="shared" ca="1" si="39"/>
        <v>2.9099979214300678E-3</v>
      </c>
    </row>
    <row r="247" spans="1:21" x14ac:dyDescent="0.2">
      <c r="A247" vm="2354">
        <f ca="1"/>
        <v>45930</v>
      </c>
      <c r="B247" vm="2355">
        <f ca="1"/>
        <v>254.63</v>
      </c>
      <c r="C247">
        <f t="shared" ca="1" si="30"/>
        <v>7.8607082498128613E-4</v>
      </c>
      <c r="D247" vm="2356">
        <f ca="1"/>
        <v>186.58</v>
      </c>
      <c r="E247">
        <f t="shared" ca="1" si="31"/>
        <v>2.6010448171570076E-2</v>
      </c>
      <c r="F247" vm="2357">
        <f ca="1"/>
        <v>517.95000000000005</v>
      </c>
      <c r="G247">
        <f t="shared" ca="1" si="32"/>
        <v>6.5099106101827097E-3</v>
      </c>
      <c r="H247" vm="2358">
        <f ca="1"/>
        <v>734.38</v>
      </c>
      <c r="I247">
        <f t="shared" ca="1" si="33"/>
        <v>-1.2133440947000244E-2</v>
      </c>
      <c r="J247" vm="2359">
        <f ca="1"/>
        <v>243.1</v>
      </c>
      <c r="K247">
        <f t="shared" ca="1" si="34"/>
        <v>-3.8926449498054377E-3</v>
      </c>
      <c r="L247" vm="2360">
        <f ca="1"/>
        <v>666.18</v>
      </c>
      <c r="M247">
        <f t="shared" ca="1" si="35"/>
        <v>3.7668756027000967E-3</v>
      </c>
      <c r="O247">
        <f t="shared" ca="1" si="36"/>
        <v>-1</v>
      </c>
      <c r="P247" vm="2361">
        <f ca="1"/>
        <v>355.47</v>
      </c>
      <c r="Q247">
        <f t="shared" ca="1" si="37"/>
        <v>8.5399761675085065E-3</v>
      </c>
      <c r="R247" vm="2362">
        <f ca="1"/>
        <v>73.75</v>
      </c>
      <c r="S247">
        <f t="shared" ca="1" si="38"/>
        <v>-1.1261563212226886E-2</v>
      </c>
      <c r="T247" vm="2363">
        <f ca="1"/>
        <v>96.46</v>
      </c>
      <c r="U247">
        <f t="shared" ca="1" si="39"/>
        <v>-4.1450777202079017E-4</v>
      </c>
    </row>
    <row r="248" spans="1:21" x14ac:dyDescent="0.2">
      <c r="A248" vm="2364">
        <f ca="1"/>
        <v>45931</v>
      </c>
      <c r="B248" vm="2365">
        <f ca="1"/>
        <v>255.45</v>
      </c>
      <c r="C248">
        <f t="shared" ca="1" si="30"/>
        <v>3.2203589522051337E-3</v>
      </c>
      <c r="D248" vm="2366">
        <f ca="1"/>
        <v>187.24</v>
      </c>
      <c r="E248">
        <f t="shared" ca="1" si="31"/>
        <v>3.537356629863847E-3</v>
      </c>
      <c r="F248" vm="2367">
        <f ca="1"/>
        <v>519.71</v>
      </c>
      <c r="G248">
        <f t="shared" ca="1" si="32"/>
        <v>3.3980113910608953E-3</v>
      </c>
      <c r="H248" vm="2368">
        <f ca="1"/>
        <v>717.34</v>
      </c>
      <c r="I248">
        <f t="shared" ca="1" si="33"/>
        <v>-2.3203246275769987E-2</v>
      </c>
      <c r="J248" vm="2369">
        <f ca="1"/>
        <v>244.9</v>
      </c>
      <c r="K248">
        <f t="shared" ca="1" si="34"/>
        <v>7.4043603455368635E-3</v>
      </c>
      <c r="L248" vm="2370">
        <f ca="1"/>
        <v>668.45</v>
      </c>
      <c r="M248">
        <f t="shared" ca="1" si="35"/>
        <v>3.4074874658502141E-3</v>
      </c>
      <c r="O248" t="e">
        <f t="shared" si="36"/>
        <v>#DIV/0!</v>
      </c>
      <c r="P248" vm="2371">
        <f ca="1"/>
        <v>356.03</v>
      </c>
      <c r="Q248">
        <f t="shared" ca="1" si="37"/>
        <v>1.5753790755899102E-3</v>
      </c>
      <c r="R248" vm="2372">
        <f ca="1"/>
        <v>73.14</v>
      </c>
      <c r="S248">
        <f t="shared" ca="1" si="38"/>
        <v>-8.2711864406779592E-3</v>
      </c>
      <c r="T248" vm="2373">
        <f ca="1"/>
        <v>96.49</v>
      </c>
      <c r="U248">
        <f t="shared" ca="1" si="39"/>
        <v>3.1100974497202092E-4</v>
      </c>
    </row>
    <row r="249" spans="1:21" x14ac:dyDescent="0.2">
      <c r="A249" vm="2374">
        <f ca="1"/>
        <v>45932</v>
      </c>
      <c r="B249" vm="2375">
        <f ca="1"/>
        <v>257.13</v>
      </c>
      <c r="C249">
        <f t="shared" ca="1" si="30"/>
        <v>6.5766294773928636E-3</v>
      </c>
      <c r="D249" vm="2376">
        <f ca="1"/>
        <v>188.89</v>
      </c>
      <c r="E249">
        <f t="shared" ca="1" si="31"/>
        <v>8.8122196111940672E-3</v>
      </c>
      <c r="F249" vm="2377">
        <f ca="1"/>
        <v>515.74</v>
      </c>
      <c r="G249">
        <f t="shared" ca="1" si="32"/>
        <v>-7.6388755267361164E-3</v>
      </c>
      <c r="H249" vm="2378">
        <f ca="1"/>
        <v>727.05</v>
      </c>
      <c r="I249">
        <f t="shared" ca="1" si="33"/>
        <v>1.3536119552792152E-2</v>
      </c>
      <c r="J249" vm="2379">
        <f ca="1"/>
        <v>245.69</v>
      </c>
      <c r="K249">
        <f t="shared" ca="1" si="34"/>
        <v>3.2258064516128707E-3</v>
      </c>
      <c r="L249" vm="2380">
        <f ca="1"/>
        <v>669.22</v>
      </c>
      <c r="M249">
        <f t="shared" ca="1" si="35"/>
        <v>1.1519186176976314E-3</v>
      </c>
      <c r="O249" t="e">
        <f t="shared" si="36"/>
        <v>#DIV/0!</v>
      </c>
      <c r="P249" vm="2381">
        <f ca="1"/>
        <v>354.79</v>
      </c>
      <c r="Q249">
        <f t="shared" ca="1" si="37"/>
        <v>-3.4828525686036354E-3</v>
      </c>
      <c r="R249" vm="2382">
        <f ca="1"/>
        <v>71.540000000000006</v>
      </c>
      <c r="S249">
        <f t="shared" ca="1" si="38"/>
        <v>-2.1875854525567326E-2</v>
      </c>
      <c r="T249" vm="2383">
        <f ca="1"/>
        <v>96.59</v>
      </c>
      <c r="U249">
        <f t="shared" ca="1" si="39"/>
        <v>1.0363768266142452E-3</v>
      </c>
    </row>
    <row r="250" spans="1:21" x14ac:dyDescent="0.2">
      <c r="A250" vm="2384">
        <f ca="1"/>
        <v>45933</v>
      </c>
      <c r="B250" vm="2385">
        <f ca="1"/>
        <v>258.02</v>
      </c>
      <c r="C250">
        <f t="shared" ca="1" si="30"/>
        <v>3.461284175319824E-3</v>
      </c>
      <c r="D250" vm="2386">
        <f ca="1"/>
        <v>187.62</v>
      </c>
      <c r="E250">
        <f t="shared" ca="1" si="31"/>
        <v>-6.7234898618242465E-3</v>
      </c>
      <c r="F250" vm="2387">
        <f ca="1"/>
        <v>517.35</v>
      </c>
      <c r="G250">
        <f t="shared" ca="1" si="32"/>
        <v>3.1217280024818969E-3</v>
      </c>
      <c r="H250" vm="2388">
        <f ca="1"/>
        <v>710.56</v>
      </c>
      <c r="I250">
        <f t="shared" ca="1" si="33"/>
        <v>-2.2680695963138726E-2</v>
      </c>
      <c r="J250" vm="2389">
        <f ca="1"/>
        <v>245.35</v>
      </c>
      <c r="K250">
        <f t="shared" ca="1" si="34"/>
        <v>-1.3838577068663901E-3</v>
      </c>
      <c r="L250" vm="2390">
        <f ca="1"/>
        <v>669.21</v>
      </c>
      <c r="M250">
        <f t="shared" ca="1" si="35"/>
        <v>-1.4942769193973439E-5</v>
      </c>
      <c r="O250" t="e">
        <f t="shared" si="36"/>
        <v>#DIV/0!</v>
      </c>
      <c r="P250" vm="2391">
        <f ca="1"/>
        <v>357.64</v>
      </c>
      <c r="Q250">
        <f t="shared" ca="1" si="37"/>
        <v>8.0329208827756293E-3</v>
      </c>
      <c r="R250" vm="2392">
        <f ca="1"/>
        <v>71.709999999999994</v>
      </c>
      <c r="S250">
        <f t="shared" ca="1" si="38"/>
        <v>2.3762929829464281E-3</v>
      </c>
      <c r="T250" vm="2393">
        <f ca="1"/>
        <v>96.4</v>
      </c>
      <c r="U250">
        <f t="shared" ca="1" si="39"/>
        <v>-1.9670773371984443E-3</v>
      </c>
    </row>
    <row r="251" spans="1:21" x14ac:dyDescent="0.2">
      <c r="A251" vm="2394">
        <f ca="1"/>
        <v>45936</v>
      </c>
      <c r="B251" vm="2395">
        <f ca="1"/>
        <v>256.69</v>
      </c>
      <c r="C251">
        <f t="shared" ca="1" si="30"/>
        <v>-5.1546391752576703E-3</v>
      </c>
      <c r="D251" vm="2396">
        <f ca="1"/>
        <v>185.54</v>
      </c>
      <c r="E251">
        <f t="shared" ca="1" si="31"/>
        <v>-1.1086238140923209E-2</v>
      </c>
      <c r="F251" vm="2397">
        <f ca="1"/>
        <v>528.57000000000005</v>
      </c>
      <c r="G251">
        <f t="shared" ca="1" si="32"/>
        <v>2.1687445636416405E-2</v>
      </c>
      <c r="H251" vm="2398">
        <f ca="1"/>
        <v>715.66</v>
      </c>
      <c r="I251">
        <f t="shared" ca="1" si="33"/>
        <v>7.1774375140734393E-3</v>
      </c>
      <c r="J251" vm="2399">
        <f ca="1"/>
        <v>250.43</v>
      </c>
      <c r="K251">
        <f t="shared" ca="1" si="34"/>
        <v>2.070511514163445E-2</v>
      </c>
      <c r="L251" vm="2400">
        <f ca="1"/>
        <v>671.61</v>
      </c>
      <c r="M251">
        <f t="shared" ca="1" si="35"/>
        <v>3.5863181960819131E-3</v>
      </c>
      <c r="O251" t="e">
        <f t="shared" si="36"/>
        <v>#DIV/0!</v>
      </c>
      <c r="P251" vm="2401">
        <f ca="1"/>
        <v>364.38</v>
      </c>
      <c r="Q251">
        <f t="shared" ca="1" si="37"/>
        <v>1.88457666927637E-2</v>
      </c>
      <c r="R251" vm="2402">
        <f ca="1"/>
        <v>72.87</v>
      </c>
      <c r="S251">
        <f t="shared" ca="1" si="38"/>
        <v>1.6176265513875483E-2</v>
      </c>
      <c r="T251" vm="2403">
        <f ca="1"/>
        <v>96.12</v>
      </c>
      <c r="U251">
        <f t="shared" ca="1" si="39"/>
        <v>-2.9045643153527089E-3</v>
      </c>
    </row>
    <row r="252" spans="1:21" x14ac:dyDescent="0.2">
      <c r="A252" vm="2404">
        <f ca="1"/>
        <v>45937</v>
      </c>
      <c r="B252" vm="2405">
        <f ca="1"/>
        <v>256.48</v>
      </c>
      <c r="D252" vm="2406">
        <f ca="1"/>
        <v>185.04</v>
      </c>
      <c r="F252" vm="2407">
        <f ca="1"/>
        <v>523.98</v>
      </c>
      <c r="H252" vm="2408">
        <f ca="1"/>
        <v>713.08</v>
      </c>
      <c r="J252" vm="2409">
        <f ca="1"/>
        <v>245.76</v>
      </c>
      <c r="L252" vm="2410">
        <f ca="1"/>
        <v>669.12</v>
      </c>
      <c r="P252" vm="2411">
        <f ca="1"/>
        <v>366.26</v>
      </c>
      <c r="R252" vm="340">
        <f ca="1"/>
        <v>73.2</v>
      </c>
      <c r="T252" vm="2412">
        <f ca="1"/>
        <v>96.36</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7" customFormat="1" ht="34" x14ac:dyDescent="0.2">
      <c r="A1" s="15" t="s">
        <v>28</v>
      </c>
      <c r="B1" s="15" t="s">
        <v>26</v>
      </c>
      <c r="C1" s="15" t="s">
        <v>27</v>
      </c>
      <c r="D1" s="17"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43"/>
  <sheetViews>
    <sheetView workbookViewId="0">
      <selection activeCell="K9" sqref="K9"/>
    </sheetView>
  </sheetViews>
  <sheetFormatPr baseColWidth="10" defaultColWidth="10.83203125" defaultRowHeight="16" x14ac:dyDescent="0.2"/>
  <cols>
    <col min="1" max="1" width="35.33203125" bestFit="1" customWidth="1"/>
    <col min="2" max="2" width="12" bestFit="1" customWidth="1"/>
    <col min="3" max="3" width="12.33203125" bestFit="1" customWidth="1"/>
    <col min="4" max="4" width="12.83203125" style="22" bestFit="1" customWidth="1"/>
    <col min="5" max="5" width="13.1640625" style="16" bestFit="1" customWidth="1"/>
    <col min="6" max="6" width="9.6640625" bestFit="1" customWidth="1"/>
    <col min="7" max="7" width="8.83203125" customWidth="1"/>
    <col min="8" max="8" width="9.33203125" customWidth="1"/>
  </cols>
  <sheetData>
    <row r="1" spans="1:5" x14ac:dyDescent="0.2">
      <c r="A1" t="s">
        <v>8</v>
      </c>
      <c r="B1" t="s">
        <v>1</v>
      </c>
      <c r="C1" t="s">
        <v>9</v>
      </c>
      <c r="D1" s="22" t="s">
        <v>40</v>
      </c>
      <c r="E1" s="16" t="s">
        <v>10</v>
      </c>
    </row>
    <row r="3" spans="1:5" x14ac:dyDescent="0.2">
      <c r="A3" s="3" t="s">
        <v>41</v>
      </c>
    </row>
    <row r="4" spans="1:5" s="3" customFormat="1" x14ac:dyDescent="0.2">
      <c r="D4" s="23"/>
      <c r="E4" s="18"/>
    </row>
    <row r="5" spans="1:5" x14ac:dyDescent="0.2">
      <c r="A5" t="s">
        <v>15</v>
      </c>
      <c r="B5" t="s">
        <v>3</v>
      </c>
      <c r="C5" s="21">
        <v>-0.12</v>
      </c>
      <c r="D5" s="22">
        <v>-240</v>
      </c>
      <c r="E5" s="16">
        <v>-12</v>
      </c>
    </row>
    <row r="6" spans="1:5" x14ac:dyDescent="0.2">
      <c r="A6" t="s">
        <v>21</v>
      </c>
      <c r="B6" t="s">
        <v>3</v>
      </c>
      <c r="C6" s="21">
        <v>-0.12</v>
      </c>
      <c r="D6" s="22">
        <v>-120</v>
      </c>
      <c r="E6" s="16">
        <v>-12</v>
      </c>
    </row>
    <row r="7" spans="1:5" x14ac:dyDescent="0.2">
      <c r="A7" t="s">
        <v>22</v>
      </c>
      <c r="B7" t="s">
        <v>3</v>
      </c>
      <c r="C7" s="21">
        <v>-0.12</v>
      </c>
      <c r="D7" s="22">
        <v>-2760</v>
      </c>
      <c r="E7" s="16">
        <v>-12</v>
      </c>
    </row>
    <row r="8" spans="1:5" x14ac:dyDescent="0.2">
      <c r="A8" t="s">
        <v>23</v>
      </c>
      <c r="B8" t="s">
        <v>3</v>
      </c>
      <c r="C8" s="21">
        <v>-0.12</v>
      </c>
      <c r="D8" s="22">
        <v>-180</v>
      </c>
      <c r="E8" s="16">
        <v>-12</v>
      </c>
    </row>
    <row r="9" spans="1:5" x14ac:dyDescent="0.2">
      <c r="A9" t="s">
        <v>31</v>
      </c>
      <c r="B9" t="s">
        <v>4</v>
      </c>
      <c r="C9" s="21">
        <v>0.12</v>
      </c>
      <c r="D9" s="22">
        <v>1440</v>
      </c>
      <c r="E9" s="16">
        <v>12</v>
      </c>
    </row>
    <row r="10" spans="1:5" x14ac:dyDescent="0.2">
      <c r="A10" t="s">
        <v>33</v>
      </c>
      <c r="B10" t="s">
        <v>5</v>
      </c>
      <c r="C10" s="21">
        <v>-0.45</v>
      </c>
      <c r="D10" s="22">
        <v>-4050</v>
      </c>
      <c r="E10" s="16">
        <v>-45</v>
      </c>
    </row>
    <row r="11" spans="1:5" s="3" customFormat="1" x14ac:dyDescent="0.2">
      <c r="A11" s="3" t="s">
        <v>42</v>
      </c>
      <c r="D11" s="23">
        <v>-5910</v>
      </c>
      <c r="E11" s="18">
        <v>-12.19</v>
      </c>
    </row>
    <row r="13" spans="1:5" x14ac:dyDescent="0.2">
      <c r="A13" s="3" t="s">
        <v>43</v>
      </c>
    </row>
    <row r="14" spans="1:5" s="3" customFormat="1" x14ac:dyDescent="0.2">
      <c r="D14" s="23"/>
      <c r="E14" s="18"/>
    </row>
    <row r="15" spans="1:5" x14ac:dyDescent="0.2">
      <c r="A15" t="s">
        <v>15</v>
      </c>
      <c r="B15" t="s">
        <v>3</v>
      </c>
      <c r="C15" s="21">
        <v>0.12</v>
      </c>
      <c r="D15" s="22">
        <v>240</v>
      </c>
      <c r="E15" s="16">
        <v>12</v>
      </c>
    </row>
    <row r="16" spans="1:5" x14ac:dyDescent="0.2">
      <c r="A16" t="s">
        <v>21</v>
      </c>
      <c r="B16" t="s">
        <v>3</v>
      </c>
      <c r="C16" s="21">
        <v>0.12</v>
      </c>
      <c r="D16" s="22">
        <v>120</v>
      </c>
      <c r="E16" s="16">
        <v>12</v>
      </c>
    </row>
    <row r="17" spans="1:5" x14ac:dyDescent="0.2">
      <c r="A17" t="s">
        <v>22</v>
      </c>
      <c r="B17" t="s">
        <v>3</v>
      </c>
      <c r="C17" s="21">
        <v>0.12</v>
      </c>
      <c r="D17" s="22">
        <v>2760</v>
      </c>
      <c r="E17" s="16">
        <v>12</v>
      </c>
    </row>
    <row r="18" spans="1:5" x14ac:dyDescent="0.2">
      <c r="A18" t="s">
        <v>23</v>
      </c>
      <c r="B18" t="s">
        <v>3</v>
      </c>
      <c r="C18" s="21">
        <v>0.12</v>
      </c>
      <c r="D18" s="22">
        <v>180</v>
      </c>
      <c r="E18" s="16">
        <v>12</v>
      </c>
    </row>
    <row r="19" spans="1:5" x14ac:dyDescent="0.2">
      <c r="A19" t="s">
        <v>33</v>
      </c>
      <c r="B19" t="s">
        <v>5</v>
      </c>
      <c r="C19" s="21">
        <v>0.15</v>
      </c>
      <c r="D19" s="22">
        <v>1350</v>
      </c>
      <c r="E19" s="16">
        <v>15</v>
      </c>
    </row>
    <row r="20" spans="1:5" s="3" customFormat="1" x14ac:dyDescent="0.2">
      <c r="A20" s="3" t="s">
        <v>44</v>
      </c>
      <c r="D20" s="23">
        <v>4650</v>
      </c>
      <c r="E20" s="18">
        <v>12.74</v>
      </c>
    </row>
    <row r="22" spans="1:5" x14ac:dyDescent="0.2">
      <c r="A22" s="3" t="s">
        <v>45</v>
      </c>
    </row>
    <row r="23" spans="1:5" s="3" customFormat="1" x14ac:dyDescent="0.2">
      <c r="D23" s="23"/>
      <c r="E23" s="18"/>
    </row>
    <row r="24" spans="1:5" x14ac:dyDescent="0.2">
      <c r="A24" t="s">
        <v>15</v>
      </c>
      <c r="B24" t="s">
        <v>3</v>
      </c>
      <c r="C24" s="21">
        <v>0.15</v>
      </c>
      <c r="D24" s="22">
        <v>300</v>
      </c>
      <c r="E24" s="16">
        <v>15</v>
      </c>
    </row>
    <row r="25" spans="1:5" x14ac:dyDescent="0.2">
      <c r="A25" t="s">
        <v>21</v>
      </c>
      <c r="B25" t="s">
        <v>3</v>
      </c>
      <c r="C25" s="21">
        <v>0.15</v>
      </c>
      <c r="D25" s="22">
        <v>150</v>
      </c>
      <c r="E25" s="16">
        <v>15</v>
      </c>
    </row>
    <row r="26" spans="1:5" x14ac:dyDescent="0.2">
      <c r="A26" t="s">
        <v>22</v>
      </c>
      <c r="B26" t="s">
        <v>3</v>
      </c>
      <c r="C26" s="21">
        <v>0.15</v>
      </c>
      <c r="D26" s="22">
        <v>3450</v>
      </c>
      <c r="E26" s="16">
        <v>15</v>
      </c>
    </row>
    <row r="27" spans="1:5" x14ac:dyDescent="0.2">
      <c r="A27" t="s">
        <v>23</v>
      </c>
      <c r="B27" t="s">
        <v>3</v>
      </c>
      <c r="C27" s="21">
        <v>0.15</v>
      </c>
      <c r="D27" s="22">
        <v>225</v>
      </c>
      <c r="E27" s="16">
        <v>15</v>
      </c>
    </row>
    <row r="28" spans="1:5" x14ac:dyDescent="0.2">
      <c r="A28" t="s">
        <v>30</v>
      </c>
      <c r="B28" t="s">
        <v>6</v>
      </c>
      <c r="C28" s="21">
        <v>0.12</v>
      </c>
      <c r="D28" s="22">
        <v>360</v>
      </c>
      <c r="E28" s="16">
        <v>12</v>
      </c>
    </row>
    <row r="29" spans="1:5" s="3" customFormat="1" x14ac:dyDescent="0.2">
      <c r="A29" s="3" t="s">
        <v>46</v>
      </c>
      <c r="D29" s="23">
        <v>4485</v>
      </c>
      <c r="E29" s="18">
        <v>14.7</v>
      </c>
    </row>
    <row r="31" spans="1:5" x14ac:dyDescent="0.2">
      <c r="A31" s="3" t="s">
        <v>47</v>
      </c>
    </row>
    <row r="32" spans="1:5" s="3" customFormat="1" x14ac:dyDescent="0.2">
      <c r="D32" s="23"/>
      <c r="E32" s="18"/>
    </row>
    <row r="33" spans="1:5" x14ac:dyDescent="0.2">
      <c r="A33" t="s">
        <v>15</v>
      </c>
      <c r="B33" t="s">
        <v>3</v>
      </c>
      <c r="C33" s="21">
        <v>-0.12</v>
      </c>
      <c r="D33" s="22">
        <v>-240</v>
      </c>
      <c r="E33" s="16">
        <v>-12</v>
      </c>
    </row>
    <row r="34" spans="1:5" x14ac:dyDescent="0.2">
      <c r="A34" t="s">
        <v>21</v>
      </c>
      <c r="B34" t="s">
        <v>3</v>
      </c>
      <c r="C34" s="21">
        <v>-0.12</v>
      </c>
      <c r="D34" s="22">
        <v>-120</v>
      </c>
      <c r="E34" s="16">
        <v>-12</v>
      </c>
    </row>
    <row r="35" spans="1:5" x14ac:dyDescent="0.2">
      <c r="A35" t="s">
        <v>22</v>
      </c>
      <c r="B35" t="s">
        <v>3</v>
      </c>
      <c r="C35" s="21">
        <v>-0.12</v>
      </c>
      <c r="D35" s="22">
        <v>-2760</v>
      </c>
      <c r="E35" s="16">
        <v>-12</v>
      </c>
    </row>
    <row r="36" spans="1:5" x14ac:dyDescent="0.2">
      <c r="A36" t="s">
        <v>23</v>
      </c>
      <c r="B36" t="s">
        <v>3</v>
      </c>
      <c r="C36" s="21">
        <v>-0.12</v>
      </c>
      <c r="D36" s="22">
        <v>-180</v>
      </c>
      <c r="E36" s="16">
        <v>-12</v>
      </c>
    </row>
    <row r="37" spans="1:5" x14ac:dyDescent="0.2">
      <c r="A37" t="s">
        <v>31</v>
      </c>
      <c r="B37" t="s">
        <v>4</v>
      </c>
      <c r="C37" s="21">
        <v>-0.43</v>
      </c>
      <c r="D37" s="22">
        <v>-5160</v>
      </c>
      <c r="E37" s="16">
        <v>-43</v>
      </c>
    </row>
    <row r="38" spans="1:5" s="3" customFormat="1" x14ac:dyDescent="0.2">
      <c r="A38" s="3" t="s">
        <v>48</v>
      </c>
      <c r="D38" s="23">
        <v>-8460</v>
      </c>
      <c r="E38" s="18">
        <v>-21.42</v>
      </c>
    </row>
    <row r="40" spans="1:5" x14ac:dyDescent="0.2">
      <c r="A40" s="3" t="s">
        <v>49</v>
      </c>
    </row>
    <row r="41" spans="1:5" s="3" customFormat="1" x14ac:dyDescent="0.2">
      <c r="D41" s="23"/>
      <c r="E41" s="18"/>
    </row>
    <row r="42" spans="1:5" x14ac:dyDescent="0.2">
      <c r="A42" t="s">
        <v>30</v>
      </c>
      <c r="B42" t="s">
        <v>6</v>
      </c>
      <c r="C42" s="21">
        <v>3</v>
      </c>
      <c r="D42" s="22">
        <v>9000</v>
      </c>
      <c r="E42" s="16">
        <v>300</v>
      </c>
    </row>
    <row r="43" spans="1:5" s="3" customFormat="1" x14ac:dyDescent="0.2">
      <c r="A43" s="3" t="s">
        <v>50</v>
      </c>
      <c r="D43" s="23">
        <v>9000</v>
      </c>
      <c r="E43" s="18">
        <v>300</v>
      </c>
    </row>
  </sheetData>
  <conditionalFormatting sqref="D2:E43">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4" t="s">
        <v>8</v>
      </c>
      <c r="B1" s="14" t="s">
        <v>1</v>
      </c>
      <c r="C1" s="14" t="s">
        <v>24</v>
      </c>
      <c r="D1" s="14"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73"/>
  <sheetViews>
    <sheetView workbookViewId="0">
      <selection activeCell="I11" sqref="I11"/>
    </sheetView>
  </sheetViews>
  <sheetFormatPr baseColWidth="10" defaultColWidth="10.83203125" defaultRowHeight="16" x14ac:dyDescent="0.2"/>
  <cols>
    <col min="1" max="1" width="28.5" customWidth="1"/>
  </cols>
  <sheetData>
    <row r="1" spans="1:3" x14ac:dyDescent="0.2">
      <c r="A1" t="s">
        <v>71</v>
      </c>
      <c r="B1" t="s">
        <v>72</v>
      </c>
      <c r="C1" t="s">
        <v>73</v>
      </c>
    </row>
    <row r="2" spans="1:3" x14ac:dyDescent="0.2">
      <c r="A2" s="24">
        <v>45938.994293981479</v>
      </c>
      <c r="B2" t="s">
        <v>51</v>
      </c>
      <c r="C2" t="s">
        <v>52</v>
      </c>
    </row>
    <row r="3" spans="1:3" x14ac:dyDescent="0.2">
      <c r="A3" s="24">
        <v>45938.994293981479</v>
      </c>
      <c r="B3" t="s">
        <v>51</v>
      </c>
      <c r="C3" t="s">
        <v>53</v>
      </c>
    </row>
    <row r="4" spans="1:3" x14ac:dyDescent="0.2">
      <c r="A4" s="24">
        <v>45938.994293981479</v>
      </c>
      <c r="B4" t="s">
        <v>54</v>
      </c>
      <c r="C4" t="s">
        <v>55</v>
      </c>
    </row>
    <row r="5" spans="1:3" x14ac:dyDescent="0.2">
      <c r="A5" s="24">
        <v>45938.994305555556</v>
      </c>
      <c r="B5" t="s">
        <v>54</v>
      </c>
      <c r="C5" t="s">
        <v>56</v>
      </c>
    </row>
    <row r="6" spans="1:3" x14ac:dyDescent="0.2">
      <c r="A6" s="24">
        <v>45938.994305555556</v>
      </c>
      <c r="B6" t="s">
        <v>51</v>
      </c>
      <c r="C6" t="s">
        <v>57</v>
      </c>
    </row>
    <row r="7" spans="1:3" x14ac:dyDescent="0.2">
      <c r="A7" s="24">
        <v>45938.994305555556</v>
      </c>
      <c r="B7" t="s">
        <v>54</v>
      </c>
      <c r="C7" t="s">
        <v>58</v>
      </c>
    </row>
    <row r="8" spans="1:3" x14ac:dyDescent="0.2">
      <c r="A8" s="24">
        <v>45938.994305555556</v>
      </c>
      <c r="B8" t="s">
        <v>54</v>
      </c>
      <c r="C8" t="s">
        <v>59</v>
      </c>
    </row>
    <row r="9" spans="1:3" x14ac:dyDescent="0.2">
      <c r="A9" s="24">
        <v>45938.994305555556</v>
      </c>
      <c r="B9" t="s">
        <v>51</v>
      </c>
      <c r="C9" t="s">
        <v>60</v>
      </c>
    </row>
    <row r="10" spans="1:3" x14ac:dyDescent="0.2">
      <c r="A10" s="24">
        <v>45938.994305555556</v>
      </c>
      <c r="B10" t="s">
        <v>54</v>
      </c>
      <c r="C10" t="s">
        <v>61</v>
      </c>
    </row>
    <row r="11" spans="1:3" x14ac:dyDescent="0.2">
      <c r="A11" s="24">
        <v>45938.994305555556</v>
      </c>
      <c r="B11" t="s">
        <v>54</v>
      </c>
      <c r="C11" t="s">
        <v>62</v>
      </c>
    </row>
    <row r="12" spans="1:3" x14ac:dyDescent="0.2">
      <c r="A12" s="24">
        <v>45938.994305555556</v>
      </c>
      <c r="B12" t="s">
        <v>51</v>
      </c>
      <c r="C12" t="s">
        <v>63</v>
      </c>
    </row>
    <row r="13" spans="1:3" x14ac:dyDescent="0.2">
      <c r="A13" s="24">
        <v>45938.994305555556</v>
      </c>
      <c r="B13" t="s">
        <v>54</v>
      </c>
      <c r="C13" t="s">
        <v>64</v>
      </c>
    </row>
    <row r="14" spans="1:3" x14ac:dyDescent="0.2">
      <c r="A14" s="24">
        <v>45938.994305555556</v>
      </c>
      <c r="B14" t="s">
        <v>54</v>
      </c>
      <c r="C14" t="s">
        <v>65</v>
      </c>
    </row>
    <row r="15" spans="1:3" x14ac:dyDescent="0.2">
      <c r="A15" s="24">
        <v>45938.994305555556</v>
      </c>
      <c r="B15" t="s">
        <v>51</v>
      </c>
      <c r="C15" t="s">
        <v>66</v>
      </c>
    </row>
    <row r="16" spans="1:3" x14ac:dyDescent="0.2">
      <c r="A16" s="24">
        <v>45938.994305555556</v>
      </c>
      <c r="B16" t="s">
        <v>54</v>
      </c>
      <c r="C16" t="s">
        <v>67</v>
      </c>
    </row>
    <row r="17" spans="1:3" x14ac:dyDescent="0.2">
      <c r="A17" s="24">
        <v>45938.994305555556</v>
      </c>
      <c r="B17" t="s">
        <v>54</v>
      </c>
      <c r="C17" t="s">
        <v>68</v>
      </c>
    </row>
    <row r="18" spans="1:3" x14ac:dyDescent="0.2">
      <c r="A18" s="24">
        <v>45938.994305555556</v>
      </c>
      <c r="B18" t="s">
        <v>51</v>
      </c>
      <c r="C18" t="s">
        <v>69</v>
      </c>
    </row>
    <row r="19" spans="1:3" x14ac:dyDescent="0.2">
      <c r="A19" s="24">
        <v>45938.994305555556</v>
      </c>
      <c r="B19" t="s">
        <v>51</v>
      </c>
      <c r="C19" t="s">
        <v>70</v>
      </c>
    </row>
    <row r="20" spans="1:3" x14ac:dyDescent="0.2">
      <c r="A20" s="24">
        <v>45938.994328703702</v>
      </c>
      <c r="B20" t="s">
        <v>51</v>
      </c>
      <c r="C20" t="s">
        <v>52</v>
      </c>
    </row>
    <row r="21" spans="1:3" x14ac:dyDescent="0.2">
      <c r="A21" s="24">
        <v>45938.994328703702</v>
      </c>
      <c r="B21" t="s">
        <v>51</v>
      </c>
      <c r="C21" t="s">
        <v>53</v>
      </c>
    </row>
    <row r="22" spans="1:3" x14ac:dyDescent="0.2">
      <c r="A22" s="24">
        <v>45938.994328703702</v>
      </c>
      <c r="B22" t="s">
        <v>54</v>
      </c>
      <c r="C22" t="s">
        <v>55</v>
      </c>
    </row>
    <row r="23" spans="1:3" x14ac:dyDescent="0.2">
      <c r="A23" s="24">
        <v>45938.994328703702</v>
      </c>
      <c r="B23" t="s">
        <v>54</v>
      </c>
      <c r="C23" t="s">
        <v>56</v>
      </c>
    </row>
    <row r="24" spans="1:3" x14ac:dyDescent="0.2">
      <c r="A24" s="24">
        <v>45938.994328703702</v>
      </c>
      <c r="B24" t="s">
        <v>51</v>
      </c>
      <c r="C24" t="s">
        <v>57</v>
      </c>
    </row>
    <row r="25" spans="1:3" x14ac:dyDescent="0.2">
      <c r="A25" s="24">
        <v>45938.994328703702</v>
      </c>
      <c r="B25" t="s">
        <v>54</v>
      </c>
      <c r="C25" t="s">
        <v>58</v>
      </c>
    </row>
    <row r="26" spans="1:3" x14ac:dyDescent="0.2">
      <c r="A26" s="24">
        <v>45938.994328703702</v>
      </c>
      <c r="B26" t="s">
        <v>54</v>
      </c>
      <c r="C26" t="s">
        <v>59</v>
      </c>
    </row>
    <row r="27" spans="1:3" x14ac:dyDescent="0.2">
      <c r="A27" s="24">
        <v>45938.994328703702</v>
      </c>
      <c r="B27" t="s">
        <v>51</v>
      </c>
      <c r="C27" t="s">
        <v>60</v>
      </c>
    </row>
    <row r="28" spans="1:3" x14ac:dyDescent="0.2">
      <c r="A28" s="24">
        <v>45938.994328703702</v>
      </c>
      <c r="B28" t="s">
        <v>54</v>
      </c>
      <c r="C28" t="s">
        <v>61</v>
      </c>
    </row>
    <row r="29" spans="1:3" x14ac:dyDescent="0.2">
      <c r="A29" s="24">
        <v>45938.994328703702</v>
      </c>
      <c r="B29" t="s">
        <v>54</v>
      </c>
      <c r="C29" t="s">
        <v>62</v>
      </c>
    </row>
    <row r="30" spans="1:3" x14ac:dyDescent="0.2">
      <c r="A30" s="24">
        <v>45938.994328703702</v>
      </c>
      <c r="B30" t="s">
        <v>51</v>
      </c>
      <c r="C30" t="s">
        <v>63</v>
      </c>
    </row>
    <row r="31" spans="1:3" x14ac:dyDescent="0.2">
      <c r="A31" s="24">
        <v>45938.994328703702</v>
      </c>
      <c r="B31" t="s">
        <v>54</v>
      </c>
      <c r="C31" t="s">
        <v>64</v>
      </c>
    </row>
    <row r="32" spans="1:3" x14ac:dyDescent="0.2">
      <c r="A32" s="24">
        <v>45938.994328703702</v>
      </c>
      <c r="B32" t="s">
        <v>54</v>
      </c>
      <c r="C32" t="s">
        <v>65</v>
      </c>
    </row>
    <row r="33" spans="1:3" x14ac:dyDescent="0.2">
      <c r="A33" s="24">
        <v>45938.994328703702</v>
      </c>
      <c r="B33" t="s">
        <v>51</v>
      </c>
      <c r="C33" t="s">
        <v>66</v>
      </c>
    </row>
    <row r="34" spans="1:3" x14ac:dyDescent="0.2">
      <c r="A34" s="24">
        <v>45938.994328703702</v>
      </c>
      <c r="B34" t="s">
        <v>54</v>
      </c>
      <c r="C34" t="s">
        <v>67</v>
      </c>
    </row>
    <row r="35" spans="1:3" x14ac:dyDescent="0.2">
      <c r="A35" s="24">
        <v>45938.994328703702</v>
      </c>
      <c r="B35" t="s">
        <v>54</v>
      </c>
      <c r="C35" t="s">
        <v>68</v>
      </c>
    </row>
    <row r="36" spans="1:3" x14ac:dyDescent="0.2">
      <c r="A36" s="24">
        <v>45938.994340277779</v>
      </c>
      <c r="B36" t="s">
        <v>51</v>
      </c>
      <c r="C36" t="s">
        <v>69</v>
      </c>
    </row>
    <row r="37" spans="1:3" x14ac:dyDescent="0.2">
      <c r="A37" s="24">
        <v>45938.994340277779</v>
      </c>
      <c r="B37" t="s">
        <v>51</v>
      </c>
      <c r="C37" t="s">
        <v>70</v>
      </c>
    </row>
    <row r="38" spans="1:3" x14ac:dyDescent="0.2">
      <c r="A38" s="24">
        <v>45938.994351851848</v>
      </c>
      <c r="B38" t="s">
        <v>51</v>
      </c>
      <c r="C38" t="s">
        <v>52</v>
      </c>
    </row>
    <row r="39" spans="1:3" x14ac:dyDescent="0.2">
      <c r="A39" s="24">
        <v>45938.994351851848</v>
      </c>
      <c r="B39" t="s">
        <v>51</v>
      </c>
      <c r="C39" t="s">
        <v>53</v>
      </c>
    </row>
    <row r="40" spans="1:3" x14ac:dyDescent="0.2">
      <c r="A40" s="24">
        <v>45938.994351851848</v>
      </c>
      <c r="B40" t="s">
        <v>54</v>
      </c>
      <c r="C40" t="s">
        <v>55</v>
      </c>
    </row>
    <row r="41" spans="1:3" x14ac:dyDescent="0.2">
      <c r="A41" s="24">
        <v>45938.994351851848</v>
      </c>
      <c r="B41" t="s">
        <v>54</v>
      </c>
      <c r="C41" t="s">
        <v>56</v>
      </c>
    </row>
    <row r="42" spans="1:3" x14ac:dyDescent="0.2">
      <c r="A42" s="24">
        <v>45938.994351851848</v>
      </c>
      <c r="B42" t="s">
        <v>51</v>
      </c>
      <c r="C42" t="s">
        <v>57</v>
      </c>
    </row>
    <row r="43" spans="1:3" x14ac:dyDescent="0.2">
      <c r="A43" s="24">
        <v>45938.994351851848</v>
      </c>
      <c r="B43" t="s">
        <v>54</v>
      </c>
      <c r="C43" t="s">
        <v>58</v>
      </c>
    </row>
    <row r="44" spans="1:3" x14ac:dyDescent="0.2">
      <c r="A44" s="24">
        <v>45938.994351851848</v>
      </c>
      <c r="B44" t="s">
        <v>54</v>
      </c>
      <c r="C44" t="s">
        <v>59</v>
      </c>
    </row>
    <row r="45" spans="1:3" x14ac:dyDescent="0.2">
      <c r="A45" s="24">
        <v>45938.994351851848</v>
      </c>
      <c r="B45" t="s">
        <v>51</v>
      </c>
      <c r="C45" t="s">
        <v>60</v>
      </c>
    </row>
    <row r="46" spans="1:3" x14ac:dyDescent="0.2">
      <c r="A46" s="24">
        <v>45938.994351851848</v>
      </c>
      <c r="B46" t="s">
        <v>54</v>
      </c>
      <c r="C46" t="s">
        <v>61</v>
      </c>
    </row>
    <row r="47" spans="1:3" x14ac:dyDescent="0.2">
      <c r="A47" s="24">
        <v>45938.994351851848</v>
      </c>
      <c r="B47" t="s">
        <v>54</v>
      </c>
      <c r="C47" t="s">
        <v>62</v>
      </c>
    </row>
    <row r="48" spans="1:3" x14ac:dyDescent="0.2">
      <c r="A48" s="24">
        <v>45938.994351851848</v>
      </c>
      <c r="B48" t="s">
        <v>51</v>
      </c>
      <c r="C48" t="s">
        <v>63</v>
      </c>
    </row>
    <row r="49" spans="1:3" x14ac:dyDescent="0.2">
      <c r="A49" s="24">
        <v>45938.994351851848</v>
      </c>
      <c r="B49" t="s">
        <v>54</v>
      </c>
      <c r="C49" t="s">
        <v>64</v>
      </c>
    </row>
    <row r="50" spans="1:3" x14ac:dyDescent="0.2">
      <c r="A50" s="24">
        <v>45938.994351851848</v>
      </c>
      <c r="B50" t="s">
        <v>54</v>
      </c>
      <c r="C50" t="s">
        <v>65</v>
      </c>
    </row>
    <row r="51" spans="1:3" x14ac:dyDescent="0.2">
      <c r="A51" s="24">
        <v>45938.994351851848</v>
      </c>
      <c r="B51" t="s">
        <v>51</v>
      </c>
      <c r="C51" t="s">
        <v>66</v>
      </c>
    </row>
    <row r="52" spans="1:3" x14ac:dyDescent="0.2">
      <c r="A52" s="24">
        <v>45938.994351851848</v>
      </c>
      <c r="B52" t="s">
        <v>54</v>
      </c>
      <c r="C52" t="s">
        <v>67</v>
      </c>
    </row>
    <row r="53" spans="1:3" x14ac:dyDescent="0.2">
      <c r="A53" s="24">
        <v>45938.994351851848</v>
      </c>
      <c r="B53" t="s">
        <v>54</v>
      </c>
      <c r="C53" t="s">
        <v>68</v>
      </c>
    </row>
    <row r="54" spans="1:3" x14ac:dyDescent="0.2">
      <c r="A54" s="24">
        <v>45938.994351851848</v>
      </c>
      <c r="B54" t="s">
        <v>51</v>
      </c>
      <c r="C54" t="s">
        <v>69</v>
      </c>
    </row>
    <row r="55" spans="1:3" x14ac:dyDescent="0.2">
      <c r="A55" s="24">
        <v>45938.994351851848</v>
      </c>
      <c r="B55" t="s">
        <v>51</v>
      </c>
      <c r="C55" t="s">
        <v>70</v>
      </c>
    </row>
    <row r="56" spans="1:3" x14ac:dyDescent="0.2">
      <c r="A56" s="24">
        <v>45938.994351851848</v>
      </c>
      <c r="B56" t="s">
        <v>51</v>
      </c>
      <c r="C56" t="s">
        <v>52</v>
      </c>
    </row>
    <row r="57" spans="1:3" x14ac:dyDescent="0.2">
      <c r="A57" s="24">
        <v>45938.994351851848</v>
      </c>
      <c r="B57" t="s">
        <v>51</v>
      </c>
      <c r="C57" t="s">
        <v>53</v>
      </c>
    </row>
    <row r="58" spans="1:3" x14ac:dyDescent="0.2">
      <c r="A58" s="24">
        <v>45938.994351851848</v>
      </c>
      <c r="B58" t="s">
        <v>54</v>
      </c>
      <c r="C58" t="s">
        <v>55</v>
      </c>
    </row>
    <row r="59" spans="1:3" x14ac:dyDescent="0.2">
      <c r="A59" s="24">
        <v>45938.994351851848</v>
      </c>
      <c r="B59" t="s">
        <v>54</v>
      </c>
      <c r="C59" t="s">
        <v>56</v>
      </c>
    </row>
    <row r="60" spans="1:3" x14ac:dyDescent="0.2">
      <c r="A60" s="24">
        <v>45938.994351851848</v>
      </c>
      <c r="B60" t="s">
        <v>51</v>
      </c>
      <c r="C60" t="s">
        <v>57</v>
      </c>
    </row>
    <row r="61" spans="1:3" x14ac:dyDescent="0.2">
      <c r="A61" s="24">
        <v>45938.994351851848</v>
      </c>
      <c r="B61" t="s">
        <v>54</v>
      </c>
      <c r="C61" t="s">
        <v>58</v>
      </c>
    </row>
    <row r="62" spans="1:3" x14ac:dyDescent="0.2">
      <c r="A62" s="24">
        <v>45938.994351851848</v>
      </c>
      <c r="B62" t="s">
        <v>54</v>
      </c>
      <c r="C62" t="s">
        <v>59</v>
      </c>
    </row>
    <row r="63" spans="1:3" x14ac:dyDescent="0.2">
      <c r="A63" s="24">
        <v>45938.994351851848</v>
      </c>
      <c r="B63" t="s">
        <v>51</v>
      </c>
      <c r="C63" t="s">
        <v>60</v>
      </c>
    </row>
    <row r="64" spans="1:3" x14ac:dyDescent="0.2">
      <c r="A64" s="24">
        <v>45938.994351851848</v>
      </c>
      <c r="B64" t="s">
        <v>54</v>
      </c>
      <c r="C64" t="s">
        <v>61</v>
      </c>
    </row>
    <row r="65" spans="1:3" x14ac:dyDescent="0.2">
      <c r="A65" s="24">
        <v>45938.994351851848</v>
      </c>
      <c r="B65" t="s">
        <v>54</v>
      </c>
      <c r="C65" t="s">
        <v>62</v>
      </c>
    </row>
    <row r="66" spans="1:3" x14ac:dyDescent="0.2">
      <c r="A66" s="24">
        <v>45938.994351851848</v>
      </c>
      <c r="B66" t="s">
        <v>51</v>
      </c>
      <c r="C66" t="s">
        <v>63</v>
      </c>
    </row>
    <row r="67" spans="1:3" x14ac:dyDescent="0.2">
      <c r="A67" s="24">
        <v>45938.994351851848</v>
      </c>
      <c r="B67" t="s">
        <v>54</v>
      </c>
      <c r="C67" t="s">
        <v>64</v>
      </c>
    </row>
    <row r="68" spans="1:3" x14ac:dyDescent="0.2">
      <c r="A68" s="24">
        <v>45938.994351851848</v>
      </c>
      <c r="B68" t="s">
        <v>54</v>
      </c>
      <c r="C68" t="s">
        <v>65</v>
      </c>
    </row>
    <row r="69" spans="1:3" x14ac:dyDescent="0.2">
      <c r="A69" s="24">
        <v>45938.994351851848</v>
      </c>
      <c r="B69" t="s">
        <v>51</v>
      </c>
      <c r="C69" t="s">
        <v>66</v>
      </c>
    </row>
    <row r="70" spans="1:3" x14ac:dyDescent="0.2">
      <c r="A70" s="24">
        <v>45938.994351851848</v>
      </c>
      <c r="B70" t="s">
        <v>54</v>
      </c>
      <c r="C70" t="s">
        <v>67</v>
      </c>
    </row>
    <row r="71" spans="1:3" x14ac:dyDescent="0.2">
      <c r="A71" s="24">
        <v>45938.994351851848</v>
      </c>
      <c r="B71" t="s">
        <v>54</v>
      </c>
      <c r="C71" t="s">
        <v>68</v>
      </c>
    </row>
    <row r="72" spans="1:3" x14ac:dyDescent="0.2">
      <c r="A72" s="24">
        <v>45938.994351851848</v>
      </c>
      <c r="B72" t="s">
        <v>51</v>
      </c>
      <c r="C72" t="s">
        <v>69</v>
      </c>
    </row>
    <row r="73" spans="1:3" x14ac:dyDescent="0.2">
      <c r="A73" s="24">
        <v>45938.994351851848</v>
      </c>
      <c r="B73" t="s">
        <v>51</v>
      </c>
      <c r="C73"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2025-10-08T21:54:46Z</dcterms:modified>
</cp:coreProperties>
</file>